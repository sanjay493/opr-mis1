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90" yWindow="0" windowWidth="11715" windowHeight="11760"/>
  </bookViews>
  <sheets>
    <sheet name="Part A" sheetId="4" r:id="rId1"/>
    <sheet name="PART B" sheetId="1" r:id="rId2"/>
    <sheet name="PART C" sheetId="2" r:id="rId3"/>
  </sheets>
  <calcPr calcId="144525"/>
</workbook>
</file>

<file path=xl/calcChain.xml><?xml version="1.0" encoding="utf-8"?>
<calcChain xmlns="http://schemas.openxmlformats.org/spreadsheetml/2006/main">
  <c r="E23" i="4" l="1"/>
  <c r="D23" i="4"/>
  <c r="H5" i="4" l="1"/>
  <c r="H4" i="4"/>
</calcChain>
</file>

<file path=xl/sharedStrings.xml><?xml version="1.0" encoding="utf-8"?>
<sst xmlns="http://schemas.openxmlformats.org/spreadsheetml/2006/main" count="69" uniqueCount="53">
  <si>
    <t xml:space="preserve">Fund Availability </t>
  </si>
  <si>
    <t>CSS</t>
  </si>
  <si>
    <t>CS</t>
  </si>
  <si>
    <t>Last FY</t>
  </si>
  <si>
    <t>Current FY</t>
  </si>
  <si>
    <t xml:space="preserve">                                                                DEPARTMENT NAME:                                                                                                                                                               (in Rs. Crores)</t>
  </si>
  <si>
    <t>7a</t>
  </si>
  <si>
    <t>Budget Estimate (BE) for current FY; RE/Actuals for Last FY</t>
  </si>
  <si>
    <t>Deficit in transfer of Central and State share from treasury to SNA as on 1st April</t>
  </si>
  <si>
    <t xml:space="preserve">Funds Released to State / CNAs upto the Month </t>
  </si>
  <si>
    <t>Commensurate State share of (4) in case of CSS</t>
  </si>
  <si>
    <t xml:space="preserve">Mother snaction including commensurate State share in CSS / Assignment given in TSA in CS / PAO Direct expenditure </t>
  </si>
  <si>
    <t>Cumulative Scheme funds available with State / CNAs upto thte Month (2+3+4+5+6)</t>
  </si>
  <si>
    <t>Of which estimated Central share</t>
  </si>
  <si>
    <t>-</t>
  </si>
  <si>
    <t xml:space="preserve">Fund Utilization </t>
  </si>
  <si>
    <t>11a</t>
  </si>
  <si>
    <t>Funds released by the State Govt. to the SNA account upto the month</t>
  </si>
  <si>
    <t>Scheme fund utilization (Actual Expenditure) from SNA / SNA  SPARSH / TSA/ Direct PAO during the Month</t>
  </si>
  <si>
    <t xml:space="preserve">% Utilization of Central share against BE / RE (11a /1) </t>
  </si>
  <si>
    <t xml:space="preserve">Note: CSS-Centally Sponsored Schemes CS - Cental Sector Schemes </t>
  </si>
  <si>
    <t>ANNEXURE TO MONTHLY D.O. LETTER: PART B
Report on Utilization of scheme funds for the month of ……………20…</t>
  </si>
  <si>
    <t>Part C of Annexure - Selected Sectoral Indicators</t>
  </si>
  <si>
    <t>Information to be provided monthly</t>
  </si>
  <si>
    <t>S. No.</t>
  </si>
  <si>
    <t>Indicator</t>
  </si>
  <si>
    <t>% change in YTD from previous FY</t>
  </si>
  <si>
    <t>Import of finish steel (in Million Metric Tonnes)</t>
  </si>
  <si>
    <t>Export of finished steel in (in Million Metric Tonnes)</t>
  </si>
  <si>
    <t xml:space="preserve">Samples rejected or found substandard on quality testing </t>
  </si>
  <si>
    <t xml:space="preserve">Information to be provided quarterly </t>
  </si>
  <si>
    <t xml:space="preserve">Indicator </t>
  </si>
  <si>
    <t>FY 2024-25 (upto 31st Dec)</t>
  </si>
  <si>
    <t>FY 2023-24 (upto 31st Dec)</t>
  </si>
  <si>
    <t>Part -A of Annexure Selected Developmetal Indicators in respect of Ministry of Steel</t>
  </si>
  <si>
    <t xml:space="preserve">S. No. </t>
  </si>
  <si>
    <t>Iron ore production by CPSUs (in Million Metric Tonnes)</t>
  </si>
  <si>
    <t>Ferro scrap processed by CPSU plants (in Million Metric Tonnes)</t>
  </si>
  <si>
    <t>Cumulative incentive disbursed under PLI scheme for Steel (in Rs Cr.)</t>
  </si>
  <si>
    <t>Number of MSME vendors not received payment from CPSEs in stipulated time of 45 days</t>
  </si>
  <si>
    <t>Quantum of payments for MSME vendors pending from CPSEs for more than 45 days</t>
  </si>
  <si>
    <t xml:space="preserve">SNA / CNA balance at the end of the month </t>
  </si>
  <si>
    <t>Opening Balance in SNA / CNA bank account on 1st April of FY</t>
  </si>
  <si>
    <t xml:space="preserve">Cumulative shceme fund utilization (Acutal Expediture) from SNA / SNA SPARSH/ TSA / Direct PAO utpo the Month </t>
  </si>
  <si>
    <t>% of Crude Steel Production opeating capacity utilisation at SAIL</t>
  </si>
  <si>
    <t>Crude steel production by SAIL(in Million Metric Tonnes)</t>
  </si>
  <si>
    <t>Finished steel production by SAIL (in Million Metric Tonnes)</t>
  </si>
  <si>
    <t xml:space="preserve"> Quarter (Q4'25-26)</t>
  </si>
  <si>
    <t xml:space="preserve"> Quarter (Q1'26-27)</t>
  </si>
  <si>
    <t xml:space="preserve"> Quarter Previous FY (Q1'25-26)</t>
  </si>
  <si>
    <t>FY 2026-27 (upto 31 Jul)</t>
  </si>
  <si>
    <t>FY 2025-26 (upto 31 Jul)</t>
  </si>
  <si>
    <t>% Change in Apr-Jul'26 w.r.t. Apr-Jul'25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</si>
</sst>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 wrapText="1"/>
    </xf>
    <xf numFmtId="17" fontId="2" fillId="0" borderId="1" xfId="0" applyNumberFormat="1" applyFont="1" applyBorder="1" applyAlignment="1">
      <alignment horizontal="center" vertical="top" wrapText="1"/>
    </xf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17" fontId="1" fillId="0" borderId="3" xfId="0" applyNumberFormat="1" applyFont="1" applyBorder="1"/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16" fontId="1" fillId="0" borderId="1" xfId="0" applyNumberFormat="1" applyFont="1" applyBorder="1"/>
    <xf numFmtId="1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 wrapText="1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K23"/>
  <sheetViews>
    <sheetView tabSelected="1" topLeftCell="A2" zoomScale="85" zoomScaleNormal="85" workbookViewId="0">
      <selection activeCell="E24" sqref="E24"/>
    </sheetView>
  </sheetViews>
  <sheetFormatPr defaultRowHeight="15" x14ac:dyDescent="0.25"/>
  <cols>
    <col min="1" max="1" width="7.42578125" bestFit="1" customWidth="1"/>
    <col min="2" max="2" width="33" bestFit="1" customWidth="1"/>
    <col min="3" max="4" width="12.140625" bestFit="1" customWidth="1"/>
    <col min="5" max="5" width="13.85546875" bestFit="1" customWidth="1"/>
    <col min="6" max="7" width="10.28515625" bestFit="1" customWidth="1"/>
    <col min="8" max="8" width="14.5703125" customWidth="1"/>
  </cols>
  <sheetData>
    <row r="1" spans="1:11" ht="15.6" x14ac:dyDescent="0.3">
      <c r="A1" s="41" t="s">
        <v>34</v>
      </c>
      <c r="B1" s="41"/>
      <c r="C1" s="41"/>
      <c r="D1" s="41"/>
      <c r="E1" s="41"/>
      <c r="F1" s="41"/>
      <c r="G1" s="41"/>
      <c r="H1" s="41"/>
    </row>
    <row r="2" spans="1:11" ht="15.6" x14ac:dyDescent="0.3">
      <c r="A2" s="22"/>
      <c r="B2" s="23"/>
      <c r="C2" s="24"/>
      <c r="D2" s="24"/>
      <c r="E2" s="24"/>
      <c r="F2" s="25"/>
      <c r="G2" s="25"/>
      <c r="H2" s="26"/>
    </row>
    <row r="3" spans="1:11" ht="66.75" customHeight="1" x14ac:dyDescent="0.25">
      <c r="A3" s="5" t="s">
        <v>35</v>
      </c>
      <c r="B3" s="5" t="s">
        <v>25</v>
      </c>
      <c r="C3" s="28">
        <v>46198</v>
      </c>
      <c r="D3" s="28">
        <v>46204</v>
      </c>
      <c r="E3" s="28">
        <v>45839</v>
      </c>
      <c r="F3" s="29" t="s">
        <v>50</v>
      </c>
      <c r="G3" s="29" t="s">
        <v>51</v>
      </c>
      <c r="H3" s="29" t="s">
        <v>52</v>
      </c>
    </row>
    <row r="4" spans="1:11" s="34" customFormat="1" ht="57" customHeight="1" x14ac:dyDescent="0.3">
      <c r="A4" s="30">
        <v>1</v>
      </c>
      <c r="B4" s="31" t="s">
        <v>45</v>
      </c>
      <c r="C4" s="32">
        <v>1.6659999999999999</v>
      </c>
      <c r="D4" s="32">
        <v>1.673</v>
      </c>
      <c r="E4" s="32">
        <v>1.5920000000000001</v>
      </c>
      <c r="F4" s="32">
        <v>6.43</v>
      </c>
      <c r="G4" s="32">
        <v>6.4450000000000003</v>
      </c>
      <c r="H4" s="33">
        <f>(F4-G4)*100/G4</f>
        <v>-0.23273855702095528</v>
      </c>
      <c r="K4" s="35"/>
    </row>
    <row r="5" spans="1:11" s="34" customFormat="1" ht="52.5" customHeight="1" x14ac:dyDescent="0.3">
      <c r="A5" s="30">
        <v>2</v>
      </c>
      <c r="B5" s="31" t="s">
        <v>46</v>
      </c>
      <c r="C5" s="32">
        <v>1.395</v>
      </c>
      <c r="D5" s="32">
        <v>1.4830000000000001</v>
      </c>
      <c r="E5" s="32">
        <v>1.4019999999999999</v>
      </c>
      <c r="F5" s="32">
        <v>5.5119999999999996</v>
      </c>
      <c r="G5" s="32">
        <v>5.47</v>
      </c>
      <c r="H5" s="33">
        <f>(F5-G5)*100/G5</f>
        <v>0.76782449725776636</v>
      </c>
    </row>
    <row r="6" spans="1:11" ht="57" hidden="1" customHeight="1" x14ac:dyDescent="0.3">
      <c r="A6" s="5">
        <v>3</v>
      </c>
      <c r="B6" s="6" t="s">
        <v>36</v>
      </c>
      <c r="C6" s="5"/>
      <c r="D6" s="5"/>
      <c r="E6" s="5"/>
      <c r="F6" s="5"/>
      <c r="G6" s="5"/>
      <c r="H6" s="5"/>
    </row>
    <row r="7" spans="1:11" ht="48" hidden="1" customHeight="1" x14ac:dyDescent="0.3">
      <c r="A7" s="5">
        <v>4</v>
      </c>
      <c r="B7" s="6" t="s">
        <v>37</v>
      </c>
      <c r="C7" s="5"/>
      <c r="D7" s="5"/>
      <c r="E7" s="5"/>
      <c r="F7" s="5"/>
      <c r="G7" s="5"/>
      <c r="H7" s="5"/>
    </row>
    <row r="8" spans="1:11" ht="57" hidden="1" customHeight="1" x14ac:dyDescent="0.3">
      <c r="A8" s="5">
        <v>5</v>
      </c>
      <c r="B8" s="6" t="s">
        <v>38</v>
      </c>
      <c r="C8" s="5"/>
      <c r="D8" s="5"/>
      <c r="E8" s="5"/>
      <c r="F8" s="5"/>
      <c r="G8" s="5"/>
      <c r="H8" s="5"/>
    </row>
    <row r="9" spans="1:11" ht="51" hidden="1" customHeight="1" x14ac:dyDescent="0.3">
      <c r="A9" s="5">
        <v>6</v>
      </c>
      <c r="B9" s="6" t="s">
        <v>39</v>
      </c>
      <c r="C9" s="5"/>
      <c r="D9" s="5"/>
      <c r="E9" s="5"/>
      <c r="F9" s="5"/>
      <c r="G9" s="5"/>
      <c r="H9" s="5"/>
    </row>
    <row r="10" spans="1:11" ht="54.75" hidden="1" customHeight="1" x14ac:dyDescent="0.3">
      <c r="A10" s="5">
        <v>7</v>
      </c>
      <c r="B10" s="6" t="s">
        <v>40</v>
      </c>
      <c r="C10" s="5"/>
      <c r="D10" s="5"/>
      <c r="E10" s="5"/>
      <c r="F10" s="5"/>
      <c r="G10" s="5"/>
      <c r="H10" s="5"/>
    </row>
    <row r="13" spans="1:11" x14ac:dyDescent="0.25">
      <c r="A13" t="s">
        <v>30</v>
      </c>
    </row>
    <row r="14" spans="1:11" ht="45" x14ac:dyDescent="0.25">
      <c r="A14" s="39" t="s">
        <v>24</v>
      </c>
      <c r="B14" s="36" t="s">
        <v>31</v>
      </c>
      <c r="C14" s="38" t="s">
        <v>47</v>
      </c>
      <c r="D14" s="38" t="s">
        <v>48</v>
      </c>
      <c r="E14" s="38" t="s">
        <v>49</v>
      </c>
      <c r="F14" s="38"/>
    </row>
    <row r="15" spans="1:11" ht="30" x14ac:dyDescent="0.25">
      <c r="A15" s="39">
        <v>1</v>
      </c>
      <c r="B15" s="37" t="s">
        <v>44</v>
      </c>
      <c r="C15" s="40">
        <v>101</v>
      </c>
      <c r="D15" s="40">
        <v>96</v>
      </c>
      <c r="E15" s="40">
        <v>96</v>
      </c>
      <c r="F15" s="36"/>
    </row>
    <row r="23" spans="4:5" x14ac:dyDescent="0.25">
      <c r="D23">
        <f>+($D$4-C4)*100/C4</f>
        <v>0.42016806722689781</v>
      </c>
      <c r="E23">
        <f>+($D$4-E4)*100/E4</f>
        <v>5.0879396984924599</v>
      </c>
    </row>
  </sheetData>
  <mergeCells count="1">
    <mergeCell ref="A1:H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F25"/>
  <sheetViews>
    <sheetView topLeftCell="A16" workbookViewId="0">
      <selection activeCell="A2" sqref="A2:F3"/>
    </sheetView>
  </sheetViews>
  <sheetFormatPr defaultRowHeight="15" x14ac:dyDescent="0.25"/>
  <cols>
    <col min="1" max="1" width="7.140625" style="2" customWidth="1"/>
    <col min="2" max="2" width="110.7109375" customWidth="1"/>
    <col min="3" max="3" width="13.42578125" style="1" customWidth="1"/>
    <col min="4" max="4" width="15.140625" style="1" customWidth="1"/>
    <col min="5" max="5" width="14.42578125" style="3" customWidth="1"/>
    <col min="6" max="6" width="14" style="3" customWidth="1"/>
  </cols>
  <sheetData>
    <row r="1" spans="1:6" ht="15.6" x14ac:dyDescent="0.3">
      <c r="A1" s="10"/>
      <c r="B1" s="11"/>
      <c r="C1" s="12"/>
      <c r="D1" s="12"/>
      <c r="E1" s="13"/>
      <c r="F1" s="13"/>
    </row>
    <row r="2" spans="1:6" ht="15.75" customHeight="1" x14ac:dyDescent="0.25">
      <c r="A2" s="43" t="s">
        <v>21</v>
      </c>
      <c r="B2" s="44"/>
      <c r="C2" s="44"/>
      <c r="D2" s="44"/>
      <c r="E2" s="44"/>
      <c r="F2" s="45"/>
    </row>
    <row r="3" spans="1:6" ht="15.75" customHeight="1" x14ac:dyDescent="0.25">
      <c r="A3" s="46"/>
      <c r="B3" s="47"/>
      <c r="C3" s="47"/>
      <c r="D3" s="47"/>
      <c r="E3" s="47"/>
      <c r="F3" s="48"/>
    </row>
    <row r="4" spans="1:6" ht="15.75" customHeight="1" x14ac:dyDescent="0.3">
      <c r="A4" s="41"/>
      <c r="B4" s="41"/>
      <c r="C4" s="41"/>
      <c r="D4" s="41"/>
      <c r="E4" s="41"/>
      <c r="F4" s="41"/>
    </row>
    <row r="5" spans="1:6" ht="15.6" x14ac:dyDescent="0.3">
      <c r="A5" s="49" t="s">
        <v>5</v>
      </c>
      <c r="B5" s="49"/>
      <c r="C5" s="49"/>
      <c r="D5" s="49"/>
      <c r="E5" s="49"/>
      <c r="F5" s="49"/>
    </row>
    <row r="6" spans="1:6" ht="15.75" x14ac:dyDescent="0.25">
      <c r="A6" s="50" t="s">
        <v>0</v>
      </c>
      <c r="B6" s="50"/>
      <c r="C6" s="49" t="s">
        <v>1</v>
      </c>
      <c r="D6" s="49"/>
      <c r="E6" s="53" t="s">
        <v>2</v>
      </c>
      <c r="F6" s="53"/>
    </row>
    <row r="7" spans="1:6" ht="15.75" x14ac:dyDescent="0.25">
      <c r="A7" s="50"/>
      <c r="B7" s="50"/>
      <c r="C7" s="14" t="s">
        <v>3</v>
      </c>
      <c r="D7" s="14" t="s">
        <v>4</v>
      </c>
      <c r="E7" s="8" t="s">
        <v>3</v>
      </c>
      <c r="F7" s="8" t="s">
        <v>4</v>
      </c>
    </row>
    <row r="8" spans="1:6" ht="15.6" x14ac:dyDescent="0.3">
      <c r="A8" s="15">
        <v>1</v>
      </c>
      <c r="B8" s="5" t="s">
        <v>7</v>
      </c>
      <c r="C8" s="7"/>
      <c r="D8" s="7"/>
      <c r="E8" s="16"/>
      <c r="F8" s="16"/>
    </row>
    <row r="9" spans="1:6" ht="15.6" x14ac:dyDescent="0.3">
      <c r="A9" s="15">
        <v>2</v>
      </c>
      <c r="B9" s="5" t="s">
        <v>42</v>
      </c>
      <c r="C9" s="7"/>
      <c r="D9" s="7"/>
      <c r="E9" s="16"/>
      <c r="F9" s="16"/>
    </row>
    <row r="10" spans="1:6" ht="15.6" x14ac:dyDescent="0.3">
      <c r="A10" s="15">
        <v>3</v>
      </c>
      <c r="B10" s="5" t="s">
        <v>8</v>
      </c>
      <c r="C10" s="7"/>
      <c r="D10" s="7"/>
      <c r="E10" s="16" t="s">
        <v>14</v>
      </c>
      <c r="F10" s="16" t="s">
        <v>14</v>
      </c>
    </row>
    <row r="11" spans="1:6" ht="15.6" x14ac:dyDescent="0.3">
      <c r="A11" s="15">
        <v>4</v>
      </c>
      <c r="B11" s="5" t="s">
        <v>9</v>
      </c>
      <c r="C11" s="7"/>
      <c r="D11" s="7"/>
      <c r="E11" s="16"/>
      <c r="F11" s="16"/>
    </row>
    <row r="12" spans="1:6" ht="15.6" x14ac:dyDescent="0.3">
      <c r="A12" s="15">
        <v>5</v>
      </c>
      <c r="B12" s="5" t="s">
        <v>10</v>
      </c>
      <c r="C12" s="7"/>
      <c r="D12" s="7"/>
      <c r="E12" s="16" t="s">
        <v>14</v>
      </c>
      <c r="F12" s="16" t="s">
        <v>14</v>
      </c>
    </row>
    <row r="13" spans="1:6" ht="15.6" x14ac:dyDescent="0.3">
      <c r="A13" s="15">
        <v>6</v>
      </c>
      <c r="B13" s="6" t="s">
        <v>11</v>
      </c>
      <c r="C13" s="7"/>
      <c r="D13" s="7"/>
      <c r="E13" s="16"/>
      <c r="F13" s="16"/>
    </row>
    <row r="14" spans="1:6" ht="15.6" x14ac:dyDescent="0.3">
      <c r="A14" s="15">
        <v>7</v>
      </c>
      <c r="B14" s="5" t="s">
        <v>12</v>
      </c>
      <c r="C14" s="7"/>
      <c r="D14" s="7"/>
      <c r="E14" s="16"/>
      <c r="F14" s="16"/>
    </row>
    <row r="15" spans="1:6" ht="15.6" x14ac:dyDescent="0.3">
      <c r="A15" s="15" t="s">
        <v>6</v>
      </c>
      <c r="B15" s="17" t="s">
        <v>13</v>
      </c>
      <c r="C15" s="7"/>
      <c r="D15" s="7"/>
      <c r="E15" s="16"/>
      <c r="F15" s="16"/>
    </row>
    <row r="16" spans="1:6" ht="15.75" customHeight="1" x14ac:dyDescent="0.3">
      <c r="A16" s="51"/>
      <c r="B16" s="51"/>
      <c r="C16" s="51"/>
      <c r="D16" s="51"/>
      <c r="E16" s="51"/>
      <c r="F16" s="51"/>
    </row>
    <row r="17" spans="1:6" ht="15.75" x14ac:dyDescent="0.25">
      <c r="A17" s="52" t="s">
        <v>15</v>
      </c>
      <c r="B17" s="52"/>
      <c r="C17" s="49" t="s">
        <v>1</v>
      </c>
      <c r="D17" s="49"/>
      <c r="E17" s="53" t="s">
        <v>2</v>
      </c>
      <c r="F17" s="53"/>
    </row>
    <row r="18" spans="1:6" ht="15.75" x14ac:dyDescent="0.25">
      <c r="A18" s="52"/>
      <c r="B18" s="52"/>
      <c r="C18" s="18" t="s">
        <v>3</v>
      </c>
      <c r="D18" s="18" t="s">
        <v>4</v>
      </c>
      <c r="E18" s="8" t="s">
        <v>3</v>
      </c>
      <c r="F18" s="8" t="s">
        <v>4</v>
      </c>
    </row>
    <row r="19" spans="1:6" ht="15.6" x14ac:dyDescent="0.3">
      <c r="A19" s="15">
        <v>8</v>
      </c>
      <c r="B19" s="5" t="s">
        <v>17</v>
      </c>
      <c r="C19" s="7"/>
      <c r="D19" s="7"/>
      <c r="E19" s="16" t="s">
        <v>14</v>
      </c>
      <c r="F19" s="16" t="s">
        <v>14</v>
      </c>
    </row>
    <row r="20" spans="1:6" ht="15.6" x14ac:dyDescent="0.3">
      <c r="A20" s="15">
        <v>9</v>
      </c>
      <c r="B20" s="5" t="s">
        <v>41</v>
      </c>
      <c r="C20" s="7"/>
      <c r="D20" s="7"/>
      <c r="E20" s="16"/>
      <c r="F20" s="16"/>
    </row>
    <row r="21" spans="1:6" ht="15.6" x14ac:dyDescent="0.3">
      <c r="A21" s="15">
        <v>10</v>
      </c>
      <c r="B21" s="5" t="s">
        <v>18</v>
      </c>
      <c r="C21" s="7"/>
      <c r="D21" s="7"/>
      <c r="E21" s="16"/>
      <c r="F21" s="16"/>
    </row>
    <row r="22" spans="1:6" ht="15.6" x14ac:dyDescent="0.3">
      <c r="A22" s="15">
        <v>11</v>
      </c>
      <c r="B22" s="6" t="s">
        <v>43</v>
      </c>
      <c r="C22" s="7"/>
      <c r="D22" s="7"/>
      <c r="E22" s="16"/>
      <c r="F22" s="16"/>
    </row>
    <row r="23" spans="1:6" ht="15.6" x14ac:dyDescent="0.3">
      <c r="A23" s="15" t="s">
        <v>16</v>
      </c>
      <c r="B23" s="17" t="s">
        <v>13</v>
      </c>
      <c r="C23" s="7"/>
      <c r="D23" s="7"/>
      <c r="E23" s="16"/>
      <c r="F23" s="16"/>
    </row>
    <row r="24" spans="1:6" ht="15.6" x14ac:dyDescent="0.3">
      <c r="A24" s="15">
        <v>12</v>
      </c>
      <c r="B24" s="5" t="s">
        <v>19</v>
      </c>
      <c r="C24" s="7"/>
      <c r="D24" s="7"/>
      <c r="E24" s="16"/>
      <c r="F24" s="16"/>
    </row>
    <row r="25" spans="1:6" ht="15.6" x14ac:dyDescent="0.3">
      <c r="A25" s="42" t="s">
        <v>20</v>
      </c>
      <c r="B25" s="42"/>
      <c r="C25" s="42"/>
      <c r="D25" s="42"/>
      <c r="E25" s="42"/>
      <c r="F25" s="42"/>
    </row>
  </sheetData>
  <mergeCells count="11">
    <mergeCell ref="A25:F25"/>
    <mergeCell ref="A4:F4"/>
    <mergeCell ref="A2:F3"/>
    <mergeCell ref="A5:F5"/>
    <mergeCell ref="A6:B7"/>
    <mergeCell ref="A16:F16"/>
    <mergeCell ref="A17:B18"/>
    <mergeCell ref="C17:D17"/>
    <mergeCell ref="E17:F17"/>
    <mergeCell ref="C6:D6"/>
    <mergeCell ref="E6:F6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H6"/>
  <sheetViews>
    <sheetView workbookViewId="0">
      <selection activeCell="B22" sqref="B21:B22"/>
    </sheetView>
  </sheetViews>
  <sheetFormatPr defaultRowHeight="15" x14ac:dyDescent="0.25"/>
  <cols>
    <col min="1" max="1" width="7.7109375" style="2" customWidth="1"/>
    <col min="2" max="2" width="32.85546875" style="4" customWidth="1"/>
    <col min="3" max="3" width="16.42578125" customWidth="1"/>
    <col min="4" max="4" width="17.140625" customWidth="1"/>
    <col min="5" max="5" width="19.7109375" customWidth="1"/>
    <col min="6" max="6" width="16.7109375" customWidth="1"/>
    <col min="7" max="7" width="17.140625" customWidth="1"/>
    <col min="8" max="8" width="20.140625" customWidth="1"/>
  </cols>
  <sheetData>
    <row r="1" spans="1:8" ht="15.6" x14ac:dyDescent="0.3">
      <c r="A1" s="54" t="s">
        <v>22</v>
      </c>
      <c r="B1" s="55"/>
      <c r="C1" s="55"/>
      <c r="D1" s="55"/>
      <c r="E1" s="55"/>
      <c r="F1" s="55"/>
      <c r="G1" s="55"/>
      <c r="H1" s="56"/>
    </row>
    <row r="2" spans="1:8" ht="15.6" x14ac:dyDescent="0.3">
      <c r="A2" s="54" t="s">
        <v>23</v>
      </c>
      <c r="B2" s="55"/>
      <c r="C2" s="55"/>
      <c r="D2" s="55"/>
      <c r="E2" s="55"/>
      <c r="F2" s="55"/>
      <c r="G2" s="55"/>
      <c r="H2" s="56"/>
    </row>
    <row r="3" spans="1:8" ht="31.15" x14ac:dyDescent="0.3">
      <c r="A3" s="8" t="s">
        <v>24</v>
      </c>
      <c r="B3" s="19" t="s">
        <v>25</v>
      </c>
      <c r="C3" s="20">
        <v>45597</v>
      </c>
      <c r="D3" s="20">
        <v>45627</v>
      </c>
      <c r="E3" s="20">
        <v>45261</v>
      </c>
      <c r="F3" s="9" t="s">
        <v>32</v>
      </c>
      <c r="G3" s="9" t="s">
        <v>33</v>
      </c>
      <c r="H3" s="9" t="s">
        <v>26</v>
      </c>
    </row>
    <row r="4" spans="1:8" ht="31.15" x14ac:dyDescent="0.3">
      <c r="A4" s="15">
        <v>1</v>
      </c>
      <c r="B4" s="21" t="s">
        <v>27</v>
      </c>
      <c r="C4" s="27"/>
      <c r="D4" s="5"/>
      <c r="E4" s="5"/>
      <c r="F4" s="5"/>
      <c r="G4" s="5"/>
      <c r="H4" s="5"/>
    </row>
    <row r="5" spans="1:8" ht="31.15" x14ac:dyDescent="0.3">
      <c r="A5" s="15">
        <v>2</v>
      </c>
      <c r="B5" s="21" t="s">
        <v>28</v>
      </c>
      <c r="C5" s="5"/>
      <c r="D5" s="5"/>
      <c r="E5" s="5"/>
      <c r="F5" s="5"/>
      <c r="G5" s="5"/>
      <c r="H5" s="5"/>
    </row>
    <row r="6" spans="1:8" ht="31.15" x14ac:dyDescent="0.3">
      <c r="A6" s="15">
        <v>3</v>
      </c>
      <c r="B6" s="21" t="s">
        <v>29</v>
      </c>
      <c r="C6" s="5"/>
      <c r="D6" s="5"/>
      <c r="E6" s="5"/>
      <c r="F6" s="5"/>
      <c r="G6" s="5"/>
      <c r="H6" s="5"/>
    </row>
  </sheetData>
  <mergeCells count="2">
    <mergeCell ref="A1:H1"/>
    <mergeCell ref="A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 A</vt:lpstr>
      <vt:lpstr>PART B</vt:lpstr>
      <vt:lpstr>PART 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2026-08-02T10:57:30Z</dcterms:modified>
</cp:coreProperties>
</file>