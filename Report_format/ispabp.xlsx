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33E056B6-448E-40B9-B80D-970465137D93}" xr6:coauthVersionLast="47" xr6:coauthVersionMax="47" xr10:uidLastSave="{00000000-0000-0000-0000-000000000000}"/>
  <bookViews>
    <workbookView xWindow="11424" yWindow="0" windowWidth="11712" windowHeight="12336" xr2:uid="{680B40C9-50A5-4CF7-A3AF-CF05B1B8DBBF}"/>
  </bookViews>
  <sheets>
    <sheet name="SUMM PROD" sheetId="1" r:id="rId1"/>
  </sheets>
  <definedNames>
    <definedName name="_1">#REF!</definedName>
    <definedName name="_2">#REF!</definedName>
    <definedName name="_3">#REF!</definedName>
    <definedName name="_4">#REF!</definedName>
    <definedName name="a">#REF!</definedName>
    <definedName name="AA">#REF!</definedName>
    <definedName name="AB">#REF!</definedName>
    <definedName name="AC">#REF!</definedName>
    <definedName name="AD">#REF!</definedName>
    <definedName name="AE">#REF!</definedName>
    <definedName name="AF">#REF!</definedName>
    <definedName name="AG">#REF!</definedName>
    <definedName name="AH">#REF!</definedName>
    <definedName name="AI">#REF!</definedName>
    <definedName name="AK">#REF!</definedName>
    <definedName name="AL">#REF!</definedName>
    <definedName name="AM">#REF!</definedName>
    <definedName name="AN">#REF!</definedName>
    <definedName name="AS">#REF!</definedName>
    <definedName name="BFSH">#REF!</definedName>
    <definedName name="BFSO">#REF!</definedName>
    <definedName name="BFSP">#REF!</definedName>
    <definedName name="BFSS">#REF!</definedName>
    <definedName name="CL">#REF!</definedName>
    <definedName name="D">#REF!</definedName>
    <definedName name="E">#REF!</definedName>
    <definedName name="F">#REF!</definedName>
    <definedName name="G">#REF!</definedName>
    <definedName name="H">#REF!</definedName>
    <definedName name="I">#REF!</definedName>
    <definedName name="J">#REF!</definedName>
    <definedName name="K">#REF!</definedName>
    <definedName name="L">#REF!</definedName>
    <definedName name="M">#REF!</definedName>
    <definedName name="MMH">#REF!</definedName>
    <definedName name="MMO">#REF!</definedName>
    <definedName name="MMP">#REF!</definedName>
    <definedName name="MMS">#REF!</definedName>
    <definedName name="MSH">#REF!</definedName>
    <definedName name="MSO">#REF!</definedName>
    <definedName name="MSP">#REF!</definedName>
    <definedName name="MSS">#REF!</definedName>
    <definedName name="N">#REF!</definedName>
    <definedName name="O">#REF!</definedName>
    <definedName name="OHH">#REF!</definedName>
    <definedName name="OHO">#REF!</definedName>
    <definedName name="OHP">#REF!</definedName>
    <definedName name="OHS">#REF!</definedName>
    <definedName name="P">#REF!</definedName>
    <definedName name="Q">#REF!</definedName>
    <definedName name="RL">#REF!</definedName>
    <definedName name="RM">#REF!</definedName>
    <definedName name="rmisp">#REF!</definedName>
    <definedName name="S">#REF!</definedName>
    <definedName name="sds">#REF!</definedName>
    <definedName name="SKH">#REF!</definedName>
    <definedName name="SKO">#REF!</definedName>
    <definedName name="SKP">#REF!</definedName>
    <definedName name="SKS">#REF!</definedName>
    <definedName name="SLPH">#REF!</definedName>
    <definedName name="SLPO">#REF!</definedName>
    <definedName name="SLPP">#REF!</definedName>
    <definedName name="SLPS">#REF!</definedName>
    <definedName name="SOKH">#REF!</definedName>
    <definedName name="SOKO">#REF!</definedName>
    <definedName name="SOKP">#REF!</definedName>
    <definedName name="SOKS">#REF!</definedName>
    <definedName name="SPH">#REF!</definedName>
    <definedName name="SPP">#REF!</definedName>
    <definedName name="T">#REF!</definedName>
    <definedName name="U">#REF!</definedName>
    <definedName name="V">#REF!</definedName>
    <definedName name="W">#REF!</definedName>
    <definedName name="WAH">#REF!</definedName>
    <definedName name="WAO">#REF!</definedName>
    <definedName name="WAP">#REF!</definedName>
    <definedName name="WAS">#REF!</definedName>
    <definedName name="X">#REF!</definedName>
    <definedName name="Y">#REF!</definedName>
    <definedName name="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7" i="1" s="1"/>
  <c r="P22" i="1"/>
  <c r="P21" i="1"/>
  <c r="P20" i="1"/>
  <c r="N19" i="1"/>
  <c r="N23" i="1" s="1"/>
  <c r="N27" i="1" s="1"/>
  <c r="J19" i="1"/>
  <c r="J28" i="1" s="1"/>
  <c r="F19" i="1"/>
  <c r="F23" i="1" s="1"/>
  <c r="F27" i="1" s="1"/>
  <c r="K19" i="1"/>
  <c r="P18" i="1"/>
  <c r="P17" i="1"/>
  <c r="O19" i="1"/>
  <c r="M19" i="1"/>
  <c r="L19" i="1"/>
  <c r="I19" i="1"/>
  <c r="G19" i="1"/>
  <c r="E19" i="1"/>
  <c r="D19" i="1"/>
  <c r="P14" i="1"/>
  <c r="P13" i="1"/>
  <c r="P12" i="1"/>
  <c r="P11" i="1"/>
  <c r="P9" i="1"/>
  <c r="P8" i="1"/>
  <c r="P7" i="1"/>
  <c r="M7" i="1"/>
  <c r="L7" i="1"/>
  <c r="I7" i="1"/>
  <c r="H7" i="1"/>
  <c r="E7" i="1"/>
  <c r="D7" i="1"/>
  <c r="O7" i="1"/>
  <c r="N7" i="1"/>
  <c r="K7" i="1"/>
  <c r="J7" i="1"/>
  <c r="G7" i="1"/>
  <c r="F7" i="1"/>
  <c r="M23" i="1" l="1"/>
  <c r="M27" i="1" s="1"/>
  <c r="M28" i="1"/>
  <c r="I23" i="1"/>
  <c r="I27" i="1" s="1"/>
  <c r="I28" i="1"/>
  <c r="E23" i="1"/>
  <c r="E27" i="1" s="1"/>
  <c r="E28" i="1"/>
  <c r="G23" i="1"/>
  <c r="G27" i="1" s="1"/>
  <c r="G28" i="1"/>
  <c r="O23" i="1"/>
  <c r="O27" i="1" s="1"/>
  <c r="O28" i="1"/>
  <c r="K23" i="1"/>
  <c r="K27" i="1" s="1"/>
  <c r="K28" i="1"/>
  <c r="D23" i="1"/>
  <c r="P19" i="1"/>
  <c r="D28" i="1"/>
  <c r="L23" i="1"/>
  <c r="L27" i="1" s="1"/>
  <c r="H19" i="1"/>
  <c r="P16" i="1"/>
  <c r="F28" i="1"/>
  <c r="N28" i="1"/>
  <c r="P30" i="1" l="1"/>
  <c r="P31" i="1" s="1"/>
  <c r="D27" i="1"/>
  <c r="H23" i="1"/>
  <c r="H27" i="1" s="1"/>
  <c r="H28" i="1"/>
  <c r="L28" i="1"/>
  <c r="P23" i="1" l="1"/>
  <c r="P27" i="1" l="1"/>
  <c r="P28" i="1"/>
</calcChain>
</file>

<file path=xl/sharedStrings.xml><?xml version="1.0" encoding="utf-8"?>
<sst xmlns="http://schemas.openxmlformats.org/spreadsheetml/2006/main" count="56" uniqueCount="43">
  <si>
    <t>Major Production Summary</t>
  </si>
  <si>
    <t>ITEMS</t>
  </si>
  <si>
    <t>Unit</t>
  </si>
  <si>
    <t>COB #10</t>
  </si>
  <si>
    <t>OP/ day</t>
  </si>
  <si>
    <t>COB #11</t>
  </si>
  <si>
    <t>All COB</t>
  </si>
  <si>
    <t>Eq. OP/ day</t>
  </si>
  <si>
    <t>Sinter</t>
  </si>
  <si>
    <t>000 MT</t>
  </si>
  <si>
    <t>Hot Metal</t>
  </si>
  <si>
    <t xml:space="preserve">HM /Day </t>
  </si>
  <si>
    <t>MT</t>
  </si>
  <si>
    <t>Pig Iron</t>
  </si>
  <si>
    <t>000 Mt</t>
  </si>
  <si>
    <t>Caster # 1 +2</t>
  </si>
  <si>
    <t>Caster #3</t>
  </si>
  <si>
    <t>Crude Steel</t>
  </si>
  <si>
    <t>SALEABLE STEEL</t>
  </si>
  <si>
    <t>WR Mill</t>
  </si>
  <si>
    <t>Bar Mill</t>
  </si>
  <si>
    <t>US Mill</t>
  </si>
  <si>
    <t>Finished Steel</t>
  </si>
  <si>
    <t>Saleable 150 Billets</t>
  </si>
  <si>
    <t>200 Blooms</t>
  </si>
  <si>
    <t>Saleable Semis</t>
  </si>
  <si>
    <t>Saleable Steel</t>
  </si>
  <si>
    <t>Hot metal to crude steel</t>
  </si>
  <si>
    <t>Crude to Saleable Conversion</t>
  </si>
  <si>
    <t>Finished Component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</si>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</sst>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6" x14ac:knownFonts="1">
    <font>
      <sz val="11"/>
      <name val="Calibri"/>
    </font>
    <font>
      <sz val="11"/>
      <color rgb="FF000000"/>
      <name val="Arial Narrow"/>
      <family val="2"/>
    </font>
    <font>
      <b/>
      <sz val="24"/>
      <color rgb="FF000000"/>
      <name val="Arial Narrow"/>
      <family val="2"/>
    </font>
    <font>
      <sz val="11"/>
      <name val="Calibri"/>
      <family val="2"/>
    </font>
    <font>
      <b/>
      <u/>
      <sz val="20"/>
      <color rgb="FF000000"/>
      <name val="Arial Narrow"/>
      <family val="2"/>
    </font>
    <font>
      <b/>
      <sz val="20"/>
      <name val="Arial Narrow"/>
      <family val="2"/>
    </font>
    <font>
      <u/>
      <sz val="20"/>
      <color rgb="FF000000"/>
      <name val="Arial Narrow"/>
      <family val="2"/>
    </font>
    <font>
      <sz val="20"/>
      <name val="Arial Narrow"/>
      <family val="2"/>
    </font>
    <font>
      <b/>
      <sz val="20"/>
      <color rgb="FF000000"/>
      <name val="Arial Narrow"/>
      <family val="2"/>
    </font>
    <font>
      <i/>
      <sz val="11"/>
      <name val="Calibri"/>
      <family val="2"/>
    </font>
    <font>
      <b/>
      <i/>
      <sz val="20"/>
      <color rgb="FF000000"/>
      <name val="Arial Narrow"/>
      <family val="2"/>
    </font>
    <font>
      <b/>
      <i/>
      <sz val="20"/>
      <name val="Arial Narrow"/>
      <family val="2"/>
    </font>
    <font>
      <i/>
      <sz val="20"/>
      <name val="Arial Narrow"/>
      <family val="2"/>
    </font>
    <font>
      <sz val="20"/>
      <color rgb="FF000000"/>
      <name val="Arial Narrow"/>
      <family val="2"/>
    </font>
    <font>
      <b/>
      <sz val="11"/>
      <name val="Calibri"/>
      <family val="2"/>
    </font>
    <font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14" fillId="0" borderId="0" xfId="0" applyFont="1"/>
    <xf numFmtId="164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9" fontId="7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ABA9-7073-43A6-B9F6-D1FAE113EEAB}">
  <sheetPr>
    <pageSetUpPr fitToPage="1"/>
  </sheetPr>
  <dimension ref="A1:X100"/>
  <sheetViews>
    <sheetView tabSelected="1" topLeftCell="A13" zoomScale="80" zoomScaleNormal="80" workbookViewId="0">
      <selection activeCell="B16" sqref="B16"/>
    </sheetView>
  </sheetViews>
  <sheetFormatPr defaultColWidth="14.44140625" defaultRowHeight="15" customHeight="1" x14ac:dyDescent="0.3"/>
  <cols>
    <col min="1" max="1" width="8.88671875" customWidth="1"/>
    <col min="2" max="2" width="37.6640625" customWidth="1"/>
    <col min="3" max="3" width="28.88671875" customWidth="1"/>
    <col min="4" max="4" width="13.33203125" customWidth="1"/>
    <col min="5" max="5" width="13.6640625" customWidth="1"/>
    <col min="6" max="6" width="12.6640625" customWidth="1"/>
    <col min="7" max="15" width="12.88671875" customWidth="1"/>
    <col min="16" max="16" width="22.88671875" customWidth="1"/>
    <col min="17" max="24" width="8.88671875" customWidth="1"/>
  </cols>
  <sheetData>
    <row r="1" spans="1:24" ht="30" customHeight="1" x14ac:dyDescent="0.3">
      <c r="B1" s="1"/>
      <c r="C1" s="1"/>
      <c r="I1" s="1"/>
      <c r="J1" s="1"/>
      <c r="K1" s="1"/>
      <c r="L1" s="1"/>
      <c r="M1" s="1"/>
      <c r="N1" s="1"/>
      <c r="O1" s="1"/>
      <c r="P1" s="2"/>
    </row>
    <row r="2" spans="1:24" ht="48.75" customHeight="1" x14ac:dyDescent="0.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4" ht="30" customHeight="1" x14ac:dyDescent="0.3">
      <c r="B3" s="5" t="s">
        <v>1</v>
      </c>
      <c r="C3" s="6" t="s">
        <v>2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</row>
    <row r="4" spans="1:24" ht="30" customHeight="1" x14ac:dyDescent="0.3">
      <c r="B4" s="5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1:24" ht="30" customHeight="1" x14ac:dyDescent="0.3">
      <c r="B5" s="10" t="s">
        <v>3</v>
      </c>
      <c r="C5" s="6" t="s">
        <v>4</v>
      </c>
      <c r="D5" s="11">
        <v>98</v>
      </c>
      <c r="E5" s="11">
        <v>98</v>
      </c>
      <c r="F5" s="11">
        <v>98</v>
      </c>
      <c r="G5" s="12">
        <v>98</v>
      </c>
      <c r="H5" s="12">
        <v>98</v>
      </c>
      <c r="I5" s="12">
        <v>98</v>
      </c>
      <c r="J5" s="12">
        <v>98</v>
      </c>
      <c r="K5" s="12">
        <v>96</v>
      </c>
      <c r="L5" s="12">
        <v>94</v>
      </c>
      <c r="M5" s="12">
        <v>94</v>
      </c>
      <c r="N5" s="12">
        <v>94</v>
      </c>
      <c r="O5" s="12">
        <v>94</v>
      </c>
      <c r="P5" s="13">
        <v>96.509589041095893</v>
      </c>
    </row>
    <row r="6" spans="1:24" ht="30" customHeight="1" x14ac:dyDescent="0.3">
      <c r="B6" s="10" t="s">
        <v>5</v>
      </c>
      <c r="C6" s="6" t="s">
        <v>4</v>
      </c>
      <c r="D6" s="11">
        <v>96.6</v>
      </c>
      <c r="E6" s="11">
        <v>96.03</v>
      </c>
      <c r="F6" s="11">
        <v>98</v>
      </c>
      <c r="G6" s="11">
        <v>98</v>
      </c>
      <c r="H6" s="11">
        <v>98</v>
      </c>
      <c r="I6" s="11">
        <v>98</v>
      </c>
      <c r="J6" s="11">
        <v>98</v>
      </c>
      <c r="K6" s="11">
        <v>98</v>
      </c>
      <c r="L6" s="11">
        <v>98</v>
      </c>
      <c r="M6" s="11">
        <v>98</v>
      </c>
      <c r="N6" s="11">
        <v>98</v>
      </c>
      <c r="O6" s="11">
        <v>98</v>
      </c>
      <c r="P6" s="13">
        <v>97.71761643835616</v>
      </c>
    </row>
    <row r="7" spans="1:24" ht="30" customHeight="1" x14ac:dyDescent="0.3">
      <c r="B7" s="14" t="s">
        <v>6</v>
      </c>
      <c r="C7" s="15" t="s">
        <v>7</v>
      </c>
      <c r="D7" s="11">
        <f t="shared" ref="D7:P7" si="0">+D5+(D6*(31.55/17.2))</f>
        <v>275.19360465116279</v>
      </c>
      <c r="E7" s="11">
        <f t="shared" si="0"/>
        <v>274.14805232558138</v>
      </c>
      <c r="F7" s="11">
        <f t="shared" si="0"/>
        <v>277.76162790697674</v>
      </c>
      <c r="G7" s="11">
        <f t="shared" si="0"/>
        <v>277.76162790697674</v>
      </c>
      <c r="H7" s="11">
        <f t="shared" si="0"/>
        <v>277.76162790697674</v>
      </c>
      <c r="I7" s="11">
        <f t="shared" si="0"/>
        <v>277.76162790697674</v>
      </c>
      <c r="J7" s="11">
        <f t="shared" si="0"/>
        <v>277.76162790697674</v>
      </c>
      <c r="K7" s="11">
        <f t="shared" si="0"/>
        <v>275.76162790697674</v>
      </c>
      <c r="L7" s="11">
        <f t="shared" si="0"/>
        <v>273.76162790697674</v>
      </c>
      <c r="M7" s="11">
        <f t="shared" si="0"/>
        <v>273.76162790697674</v>
      </c>
      <c r="N7" s="11">
        <f t="shared" si="0"/>
        <v>273.76162790697674</v>
      </c>
      <c r="O7" s="11">
        <f t="shared" si="0"/>
        <v>273.76162790697674</v>
      </c>
      <c r="P7" s="16">
        <f t="shared" si="0"/>
        <v>275.7532401242434</v>
      </c>
    </row>
    <row r="8" spans="1:24" ht="30" customHeight="1" x14ac:dyDescent="0.3">
      <c r="B8" s="14" t="s">
        <v>8</v>
      </c>
      <c r="C8" s="6" t="s">
        <v>9</v>
      </c>
      <c r="D8" s="11">
        <v>291.67745491328117</v>
      </c>
      <c r="E8" s="11">
        <v>262.22925033069032</v>
      </c>
      <c r="F8" s="11">
        <v>360.38993227265996</v>
      </c>
      <c r="G8" s="11">
        <v>367.40140955422919</v>
      </c>
      <c r="H8" s="11">
        <v>367.40140955422919</v>
      </c>
      <c r="I8" s="11">
        <v>358.98763681634608</v>
      </c>
      <c r="J8" s="11">
        <v>373.01059137948459</v>
      </c>
      <c r="K8" s="11">
        <v>360.38993227265996</v>
      </c>
      <c r="L8" s="11">
        <v>373.01059137948459</v>
      </c>
      <c r="M8" s="11">
        <v>377.21747774842612</v>
      </c>
      <c r="N8" s="11">
        <v>337.95320497163834</v>
      </c>
      <c r="O8" s="11">
        <v>377.21747774842612</v>
      </c>
      <c r="P8" s="16">
        <f t="shared" ref="P8:P9" si="1">SUM(D8:O8)</f>
        <v>4206.8863689415557</v>
      </c>
    </row>
    <row r="9" spans="1:24" ht="30" customHeight="1" x14ac:dyDescent="0.3">
      <c r="B9" s="14" t="s">
        <v>10</v>
      </c>
      <c r="C9" s="6" t="s">
        <v>9</v>
      </c>
      <c r="D9" s="12">
        <v>208</v>
      </c>
      <c r="E9" s="12">
        <v>187</v>
      </c>
      <c r="F9" s="12">
        <v>257</v>
      </c>
      <c r="G9" s="12">
        <v>262</v>
      </c>
      <c r="H9" s="12">
        <v>262</v>
      </c>
      <c r="I9" s="12">
        <v>256</v>
      </c>
      <c r="J9" s="12">
        <v>266</v>
      </c>
      <c r="K9" s="12">
        <v>257</v>
      </c>
      <c r="L9" s="12">
        <v>266</v>
      </c>
      <c r="M9" s="12">
        <v>269</v>
      </c>
      <c r="N9" s="12">
        <v>241</v>
      </c>
      <c r="O9" s="12">
        <v>269</v>
      </c>
      <c r="P9" s="16">
        <f t="shared" si="1"/>
        <v>3000</v>
      </c>
    </row>
    <row r="10" spans="1:24" ht="30" customHeight="1" x14ac:dyDescent="0.3">
      <c r="A10" s="17"/>
      <c r="B10" s="18" t="s">
        <v>11</v>
      </c>
      <c r="C10" s="19" t="s">
        <v>12</v>
      </c>
      <c r="D10" s="20">
        <v>8000</v>
      </c>
      <c r="E10" s="20">
        <v>8500</v>
      </c>
      <c r="F10" s="20">
        <v>8862.0689655172409</v>
      </c>
      <c r="G10" s="20">
        <v>8733.3333333333339</v>
      </c>
      <c r="H10" s="20">
        <v>8733.3333333333339</v>
      </c>
      <c r="I10" s="20">
        <v>8827.5862068965525</v>
      </c>
      <c r="J10" s="20">
        <v>8866.6666666666661</v>
      </c>
      <c r="K10" s="20">
        <v>8862.0689655172409</v>
      </c>
      <c r="L10" s="20">
        <v>8866.6666666666661</v>
      </c>
      <c r="M10" s="20">
        <v>8966.6666666666661</v>
      </c>
      <c r="N10" s="20">
        <v>8925.9259259259252</v>
      </c>
      <c r="O10" s="20">
        <v>8966.6666666666661</v>
      </c>
      <c r="P10" s="21">
        <v>8771.9298245614027</v>
      </c>
      <c r="Q10" s="17"/>
      <c r="R10" s="17"/>
      <c r="S10" s="17"/>
      <c r="T10" s="17"/>
      <c r="U10" s="17"/>
      <c r="V10" s="17"/>
      <c r="W10" s="17"/>
      <c r="X10" s="17"/>
    </row>
    <row r="11" spans="1:24" ht="30" customHeight="1" x14ac:dyDescent="0.3">
      <c r="B11" s="14" t="s">
        <v>13</v>
      </c>
      <c r="C11" s="6" t="s">
        <v>14</v>
      </c>
      <c r="D11" s="22">
        <v>1.9450000000000001</v>
      </c>
      <c r="E11" s="22">
        <v>4.0750000000000002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3">
        <f t="shared" ref="P11:P14" si="2">SUM(D11:O11)</f>
        <v>6.0200000000000005</v>
      </c>
    </row>
    <row r="12" spans="1:24" ht="30" customHeight="1" x14ac:dyDescent="0.3">
      <c r="B12" s="14" t="s">
        <v>15</v>
      </c>
      <c r="C12" s="6" t="s">
        <v>9</v>
      </c>
      <c r="D12" s="24">
        <v>134.58797299964127</v>
      </c>
      <c r="E12" s="24">
        <v>108.10698639698282</v>
      </c>
      <c r="F12" s="24">
        <v>165.4790831258789</v>
      </c>
      <c r="G12" s="24">
        <v>167.54865862687521</v>
      </c>
      <c r="H12" s="24">
        <v>167.54865862687521</v>
      </c>
      <c r="I12" s="24">
        <v>164.53746354019148</v>
      </c>
      <c r="J12" s="24">
        <v>171.31513696962469</v>
      </c>
      <c r="K12" s="24">
        <v>165.47908312587887</v>
      </c>
      <c r="L12" s="24">
        <v>171.31513696962469</v>
      </c>
      <c r="M12" s="24">
        <v>174.13999572668681</v>
      </c>
      <c r="N12" s="24">
        <v>156.21791909525015</v>
      </c>
      <c r="O12" s="24">
        <v>174.13999572668681</v>
      </c>
      <c r="P12" s="16">
        <f t="shared" si="2"/>
        <v>1920.4160909301968</v>
      </c>
    </row>
    <row r="13" spans="1:24" ht="30" customHeight="1" x14ac:dyDescent="0.3">
      <c r="B13" s="14" t="s">
        <v>16</v>
      </c>
      <c r="C13" s="6" t="s">
        <v>9</v>
      </c>
      <c r="D13" s="24">
        <v>59.103175776253281</v>
      </c>
      <c r="E13" s="24">
        <v>62.796968405277049</v>
      </c>
      <c r="F13" s="24">
        <v>76.51715039577833</v>
      </c>
      <c r="G13" s="24">
        <v>79.155672823218978</v>
      </c>
      <c r="H13" s="24">
        <v>79.155672823218978</v>
      </c>
      <c r="I13" s="24">
        <v>76.517150395778387</v>
      </c>
      <c r="J13" s="24">
        <v>79.155672823218978</v>
      </c>
      <c r="K13" s="24">
        <v>76.517150395778359</v>
      </c>
      <c r="L13" s="24">
        <v>79.155672823218978</v>
      </c>
      <c r="M13" s="24">
        <v>79.155672823219007</v>
      </c>
      <c r="N13" s="24">
        <v>70.712401055408961</v>
      </c>
      <c r="O13" s="24">
        <v>79.155672823219007</v>
      </c>
      <c r="P13" s="16">
        <f t="shared" si="2"/>
        <v>897.09803336358823</v>
      </c>
    </row>
    <row r="14" spans="1:24" ht="30" customHeight="1" x14ac:dyDescent="0.3">
      <c r="B14" s="14" t="s">
        <v>17</v>
      </c>
      <c r="C14" s="6" t="s">
        <v>9</v>
      </c>
      <c r="D14" s="24">
        <v>193.69114877589453</v>
      </c>
      <c r="E14" s="24">
        <v>170.90395480225988</v>
      </c>
      <c r="F14" s="24">
        <v>241.99623352165725</v>
      </c>
      <c r="G14" s="24">
        <v>246.70433145009417</v>
      </c>
      <c r="H14" s="24">
        <v>246.70433145009417</v>
      </c>
      <c r="I14" s="24">
        <v>241.05461393596985</v>
      </c>
      <c r="J14" s="24">
        <v>250.47080979284368</v>
      </c>
      <c r="K14" s="24">
        <v>241.99623352165725</v>
      </c>
      <c r="L14" s="24">
        <v>250.47080979284368</v>
      </c>
      <c r="M14" s="24">
        <v>253.29566854990583</v>
      </c>
      <c r="N14" s="24">
        <v>226.93032015065913</v>
      </c>
      <c r="O14" s="24">
        <v>253.29566854990583</v>
      </c>
      <c r="P14" s="16">
        <f t="shared" si="2"/>
        <v>2817.5141242937852</v>
      </c>
    </row>
    <row r="15" spans="1:24" ht="30" customHeight="1" x14ac:dyDescent="0.3">
      <c r="B15" s="5" t="s">
        <v>18</v>
      </c>
      <c r="C15" s="7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</row>
    <row r="16" spans="1:24" ht="30" customHeight="1" x14ac:dyDescent="0.3">
      <c r="B16" s="10" t="s">
        <v>19</v>
      </c>
      <c r="C16" s="6" t="s">
        <v>9</v>
      </c>
      <c r="D16" s="12">
        <v>36.5</v>
      </c>
      <c r="E16" s="12">
        <v>37.5</v>
      </c>
      <c r="F16" s="12">
        <v>44</v>
      </c>
      <c r="G16" s="12">
        <v>45.5</v>
      </c>
      <c r="H16" s="12">
        <v>45.5</v>
      </c>
      <c r="I16" s="12">
        <v>44</v>
      </c>
      <c r="J16" s="12">
        <v>45.5</v>
      </c>
      <c r="K16" s="12">
        <v>44</v>
      </c>
      <c r="L16" s="12">
        <v>45.5</v>
      </c>
      <c r="M16" s="12">
        <v>45.5</v>
      </c>
      <c r="N16" s="12">
        <v>41</v>
      </c>
      <c r="O16" s="12">
        <v>45.5</v>
      </c>
      <c r="P16" s="16">
        <f t="shared" ref="P16:P23" si="3">SUM(D16:O16)</f>
        <v>520</v>
      </c>
    </row>
    <row r="17" spans="1:24" ht="30" customHeight="1" x14ac:dyDescent="0.3">
      <c r="B17" s="10" t="s">
        <v>20</v>
      </c>
      <c r="C17" s="6" t="s">
        <v>9</v>
      </c>
      <c r="D17" s="12">
        <v>68.5</v>
      </c>
      <c r="E17" s="12">
        <v>71</v>
      </c>
      <c r="F17" s="12">
        <v>83.5</v>
      </c>
      <c r="G17" s="12">
        <v>87</v>
      </c>
      <c r="H17" s="12">
        <v>87</v>
      </c>
      <c r="I17" s="12">
        <v>83.5</v>
      </c>
      <c r="J17" s="12">
        <v>87</v>
      </c>
      <c r="K17" s="12">
        <v>83.5</v>
      </c>
      <c r="L17" s="12">
        <v>87</v>
      </c>
      <c r="M17" s="12">
        <v>87</v>
      </c>
      <c r="N17" s="12">
        <v>78</v>
      </c>
      <c r="O17" s="12">
        <v>87</v>
      </c>
      <c r="P17" s="16">
        <f t="shared" si="3"/>
        <v>990</v>
      </c>
    </row>
    <row r="18" spans="1:24" ht="30" customHeight="1" x14ac:dyDescent="0.3">
      <c r="B18" s="10" t="s">
        <v>21</v>
      </c>
      <c r="C18" s="6" t="s">
        <v>9</v>
      </c>
      <c r="D18" s="12">
        <v>56</v>
      </c>
      <c r="E18" s="12">
        <v>59.5</v>
      </c>
      <c r="F18" s="12">
        <v>72.5</v>
      </c>
      <c r="G18" s="12">
        <v>75</v>
      </c>
      <c r="H18" s="12">
        <v>75</v>
      </c>
      <c r="I18" s="12">
        <v>72.5</v>
      </c>
      <c r="J18" s="12">
        <v>75</v>
      </c>
      <c r="K18" s="12">
        <v>72.5</v>
      </c>
      <c r="L18" s="12">
        <v>75</v>
      </c>
      <c r="M18" s="12">
        <v>75</v>
      </c>
      <c r="N18" s="12">
        <v>67</v>
      </c>
      <c r="O18" s="12">
        <v>75</v>
      </c>
      <c r="P18" s="16">
        <f t="shared" si="3"/>
        <v>850</v>
      </c>
    </row>
    <row r="19" spans="1:24" ht="30" customHeight="1" x14ac:dyDescent="0.3">
      <c r="B19" s="10" t="s">
        <v>22</v>
      </c>
      <c r="C19" s="6" t="s">
        <v>9</v>
      </c>
      <c r="D19" s="12">
        <f t="shared" ref="D19:O19" si="4">SUM(D16:D18)</f>
        <v>161</v>
      </c>
      <c r="E19" s="12">
        <f t="shared" si="4"/>
        <v>168</v>
      </c>
      <c r="F19" s="12">
        <f t="shared" si="4"/>
        <v>200</v>
      </c>
      <c r="G19" s="12">
        <f t="shared" si="4"/>
        <v>207.5</v>
      </c>
      <c r="H19" s="12">
        <f t="shared" si="4"/>
        <v>207.5</v>
      </c>
      <c r="I19" s="12">
        <f t="shared" si="4"/>
        <v>200</v>
      </c>
      <c r="J19" s="12">
        <f t="shared" si="4"/>
        <v>207.5</v>
      </c>
      <c r="K19" s="12">
        <f t="shared" si="4"/>
        <v>200</v>
      </c>
      <c r="L19" s="12">
        <f t="shared" si="4"/>
        <v>207.5</v>
      </c>
      <c r="M19" s="12">
        <f t="shared" si="4"/>
        <v>207.5</v>
      </c>
      <c r="N19" s="12">
        <f t="shared" si="4"/>
        <v>186</v>
      </c>
      <c r="O19" s="12">
        <f t="shared" si="4"/>
        <v>207.5</v>
      </c>
      <c r="P19" s="16">
        <f t="shared" si="3"/>
        <v>2360</v>
      </c>
    </row>
    <row r="20" spans="1:24" ht="30" customHeight="1" x14ac:dyDescent="0.3">
      <c r="B20" s="10" t="s">
        <v>23</v>
      </c>
      <c r="C20" s="6" t="s">
        <v>9</v>
      </c>
      <c r="D20" s="12">
        <v>20.999683707758695</v>
      </c>
      <c r="E20" s="12">
        <v>3.5686330405587798E-4</v>
      </c>
      <c r="F20" s="12">
        <v>33.000252383219134</v>
      </c>
      <c r="G20" s="12">
        <v>30.000384879034087</v>
      </c>
      <c r="H20" s="12">
        <v>30.000384879034087</v>
      </c>
      <c r="I20" s="12">
        <v>31.999632797531696</v>
      </c>
      <c r="J20" s="12">
        <v>32.999863221783585</v>
      </c>
      <c r="K20" s="12">
        <v>33.000252383219106</v>
      </c>
      <c r="L20" s="12">
        <v>32.999863221783585</v>
      </c>
      <c r="M20" s="12">
        <v>36.499721978845699</v>
      </c>
      <c r="N20" s="12">
        <v>32.499570217875373</v>
      </c>
      <c r="O20" s="12">
        <v>36.000021978845702</v>
      </c>
      <c r="P20" s="16">
        <f t="shared" si="3"/>
        <v>349.99998851223484</v>
      </c>
    </row>
    <row r="21" spans="1:24" ht="30" customHeight="1" x14ac:dyDescent="0.3">
      <c r="B21" s="10" t="s">
        <v>24</v>
      </c>
      <c r="C21" s="6" t="s">
        <v>9</v>
      </c>
      <c r="D21" s="11">
        <v>2.7340158309380056E-4</v>
      </c>
      <c r="E21" s="11">
        <v>1.3463218997640069E-4</v>
      </c>
      <c r="F21" s="11">
        <v>-2.9103830456733704E-14</v>
      </c>
      <c r="G21" s="11">
        <v>-1.4551915228366852E-14</v>
      </c>
      <c r="H21" s="11">
        <v>-1.4551915228366852E-14</v>
      </c>
      <c r="I21" s="11">
        <v>2.9103830456733704E-14</v>
      </c>
      <c r="J21" s="11">
        <v>-1.4551915228366852E-14</v>
      </c>
      <c r="K21" s="11">
        <v>0</v>
      </c>
      <c r="L21" s="11">
        <v>-1.4551915228366852E-14</v>
      </c>
      <c r="M21" s="11">
        <v>1.4551915228366852E-14</v>
      </c>
      <c r="N21" s="11">
        <v>-1.4551915228366852E-14</v>
      </c>
      <c r="O21" s="11">
        <v>1.4551915228366852E-14</v>
      </c>
      <c r="P21" s="16">
        <f t="shared" si="3"/>
        <v>4.0803377302654558E-4</v>
      </c>
    </row>
    <row r="22" spans="1:24" ht="30" customHeight="1" x14ac:dyDescent="0.3">
      <c r="B22" s="10" t="s">
        <v>25</v>
      </c>
      <c r="C22" s="6" t="s">
        <v>9</v>
      </c>
      <c r="D22" s="12">
        <v>20.999957109341789</v>
      </c>
      <c r="E22" s="12">
        <v>4.9149549403227862E-4</v>
      </c>
      <c r="F22" s="12">
        <v>33.000252383219106</v>
      </c>
      <c r="G22" s="12">
        <v>30.000384879034069</v>
      </c>
      <c r="H22" s="12">
        <v>30.000384879034069</v>
      </c>
      <c r="I22" s="12">
        <v>31.999632797531724</v>
      </c>
      <c r="J22" s="12">
        <v>32.999863221783571</v>
      </c>
      <c r="K22" s="12">
        <v>33.000252383219106</v>
      </c>
      <c r="L22" s="12">
        <v>32.999863221783571</v>
      </c>
      <c r="M22" s="12">
        <v>36.499721978845713</v>
      </c>
      <c r="N22" s="12">
        <v>32.499570217875359</v>
      </c>
      <c r="O22" s="12">
        <v>36.000021978845716</v>
      </c>
      <c r="P22" s="16">
        <f t="shared" si="3"/>
        <v>350.00039654600789</v>
      </c>
    </row>
    <row r="23" spans="1:24" ht="30" customHeight="1" x14ac:dyDescent="0.3">
      <c r="A23" s="28"/>
      <c r="B23" s="10" t="s">
        <v>26</v>
      </c>
      <c r="C23" s="6" t="s">
        <v>9</v>
      </c>
      <c r="D23" s="29">
        <f t="shared" ref="D23:O23" si="5">+D19+D22</f>
        <v>181.99995710934178</v>
      </c>
      <c r="E23" s="29">
        <f t="shared" si="5"/>
        <v>168.00049149549403</v>
      </c>
      <c r="F23" s="29">
        <f t="shared" si="5"/>
        <v>233.00025238321911</v>
      </c>
      <c r="G23" s="29">
        <f t="shared" si="5"/>
        <v>237.50038487903407</v>
      </c>
      <c r="H23" s="29">
        <f t="shared" si="5"/>
        <v>237.50038487903407</v>
      </c>
      <c r="I23" s="29">
        <f t="shared" si="5"/>
        <v>231.99963279753172</v>
      </c>
      <c r="J23" s="29">
        <f t="shared" si="5"/>
        <v>240.49986322178358</v>
      </c>
      <c r="K23" s="29">
        <f t="shared" si="5"/>
        <v>233.00025238321911</v>
      </c>
      <c r="L23" s="29">
        <f t="shared" si="5"/>
        <v>240.49986322178358</v>
      </c>
      <c r="M23" s="29">
        <f t="shared" si="5"/>
        <v>243.99972197884571</v>
      </c>
      <c r="N23" s="29">
        <f t="shared" si="5"/>
        <v>218.49957021787537</v>
      </c>
      <c r="O23" s="29">
        <f t="shared" si="5"/>
        <v>243.50002197884572</v>
      </c>
      <c r="P23" s="16">
        <f t="shared" si="3"/>
        <v>2710.0003965460073</v>
      </c>
      <c r="Q23" s="28"/>
      <c r="R23" s="28"/>
      <c r="S23" s="28"/>
      <c r="T23" s="28"/>
      <c r="U23" s="28"/>
      <c r="V23" s="28"/>
      <c r="W23" s="28"/>
      <c r="X23" s="28"/>
    </row>
    <row r="24" spans="1:24" ht="30" customHeight="1" x14ac:dyDescent="0.3">
      <c r="P24" s="30"/>
    </row>
    <row r="25" spans="1:24" ht="30" customHeight="1" x14ac:dyDescent="0.3">
      <c r="P25" s="30"/>
    </row>
    <row r="26" spans="1:24" ht="30" customHeight="1" x14ac:dyDescent="0.3">
      <c r="B26" s="31" t="s">
        <v>27</v>
      </c>
      <c r="D26" s="32">
        <v>0.94161958568738235</v>
      </c>
      <c r="E26" s="32">
        <v>0.94161958568738213</v>
      </c>
      <c r="F26" s="32">
        <v>0.94161958568738224</v>
      </c>
      <c r="G26" s="32">
        <v>0.94161958568738235</v>
      </c>
      <c r="H26" s="32">
        <v>0.94161958568738235</v>
      </c>
      <c r="I26" s="32">
        <v>0.94161958568738224</v>
      </c>
      <c r="J26" s="32">
        <v>0.94161958568738224</v>
      </c>
      <c r="K26" s="32">
        <v>0.94161958568738224</v>
      </c>
      <c r="L26" s="32">
        <v>0.94161958568738224</v>
      </c>
      <c r="M26" s="32">
        <v>0.94161958568738224</v>
      </c>
      <c r="N26" s="32">
        <v>0.94161958568738224</v>
      </c>
      <c r="O26" s="32">
        <v>0.94161958568738224</v>
      </c>
      <c r="P26" s="32">
        <v>0.94161958568738224</v>
      </c>
    </row>
    <row r="27" spans="1:24" ht="30" customHeight="1" x14ac:dyDescent="0.3">
      <c r="B27" s="33" t="s">
        <v>28</v>
      </c>
      <c r="C27" s="34"/>
      <c r="D27" s="32">
        <f t="shared" ref="D27:P27" si="6">D23/D14</f>
        <v>0.9396400313569323</v>
      </c>
      <c r="E27" s="32">
        <f t="shared" si="6"/>
        <v>0.98301114032074199</v>
      </c>
      <c r="F27" s="32">
        <f t="shared" si="6"/>
        <v>0.96282594564583146</v>
      </c>
      <c r="G27" s="32">
        <f t="shared" si="6"/>
        <v>0.96269239977684795</v>
      </c>
      <c r="H27" s="32">
        <f t="shared" si="6"/>
        <v>0.96269239977684795</v>
      </c>
      <c r="I27" s="32">
        <f t="shared" si="6"/>
        <v>0.96243597668351055</v>
      </c>
      <c r="J27" s="32">
        <f t="shared" si="6"/>
        <v>0.96019118323885033</v>
      </c>
      <c r="K27" s="32">
        <f t="shared" si="6"/>
        <v>0.96282594564583146</v>
      </c>
      <c r="L27" s="32">
        <f t="shared" si="6"/>
        <v>0.96019118323885033</v>
      </c>
      <c r="M27" s="32">
        <f t="shared" si="6"/>
        <v>0.96330001762652107</v>
      </c>
      <c r="N27" s="32">
        <f t="shared" si="6"/>
        <v>0.96284872851196535</v>
      </c>
      <c r="O27" s="32">
        <f t="shared" si="6"/>
        <v>0.96132722431797091</v>
      </c>
      <c r="P27" s="32">
        <f t="shared" si="6"/>
        <v>0.96184092678693267</v>
      </c>
    </row>
    <row r="28" spans="1:24" ht="30" customHeight="1" x14ac:dyDescent="0.3">
      <c r="B28" s="33" t="s">
        <v>29</v>
      </c>
      <c r="C28" s="34"/>
      <c r="D28" s="35">
        <f t="shared" ref="D28:P28" si="7">+D19/D23</f>
        <v>0.88461559308651128</v>
      </c>
      <c r="E28" s="35">
        <f t="shared" si="7"/>
        <v>0.99999707444014208</v>
      </c>
      <c r="F28" s="35">
        <f t="shared" si="7"/>
        <v>0.85836816893681689</v>
      </c>
      <c r="G28" s="35">
        <f t="shared" si="7"/>
        <v>0.87368279468551535</v>
      </c>
      <c r="H28" s="35">
        <f t="shared" si="7"/>
        <v>0.87368279468551535</v>
      </c>
      <c r="I28" s="35">
        <f t="shared" si="7"/>
        <v>0.86207032997565947</v>
      </c>
      <c r="J28" s="35">
        <f t="shared" si="7"/>
        <v>0.86278635347350763</v>
      </c>
      <c r="K28" s="35">
        <f t="shared" si="7"/>
        <v>0.85836816893681689</v>
      </c>
      <c r="L28" s="35">
        <f t="shared" si="7"/>
        <v>0.86278635347350763</v>
      </c>
      <c r="M28" s="35">
        <f t="shared" si="7"/>
        <v>0.85041080504997391</v>
      </c>
      <c r="N28" s="35">
        <f t="shared" si="7"/>
        <v>0.85126025563588681</v>
      </c>
      <c r="O28" s="35">
        <f t="shared" si="7"/>
        <v>0.85215598057739295</v>
      </c>
      <c r="P28" s="32">
        <f t="shared" si="7"/>
        <v>0.87084858105847684</v>
      </c>
    </row>
    <row r="29" spans="1:24" ht="30" customHeight="1" x14ac:dyDescent="0.3">
      <c r="P29" s="30"/>
    </row>
    <row r="30" spans="1:24" ht="30" customHeight="1" x14ac:dyDescent="0.3">
      <c r="P30" s="36">
        <f>+P19*100/80</f>
        <v>2950</v>
      </c>
    </row>
    <row r="31" spans="1:24" ht="30" customHeight="1" x14ac:dyDescent="0.3">
      <c r="P31" s="37">
        <f>0.8*P30</f>
        <v>2360</v>
      </c>
    </row>
    <row r="32" spans="1:24" ht="30" customHeight="1" x14ac:dyDescent="0.3">
      <c r="P32" s="30"/>
    </row>
    <row r="33" spans="16:16" ht="30" customHeight="1" x14ac:dyDescent="0.3">
      <c r="P33" s="30"/>
    </row>
    <row r="34" spans="16:16" ht="30" customHeight="1" x14ac:dyDescent="0.3">
      <c r="P34" s="30"/>
    </row>
    <row r="35" spans="16:16" ht="30" customHeight="1" x14ac:dyDescent="0.3">
      <c r="P35" s="30"/>
    </row>
    <row r="36" spans="16:16" ht="30" customHeight="1" x14ac:dyDescent="0.3">
      <c r="P36" s="30"/>
    </row>
    <row r="37" spans="16:16" ht="30" customHeight="1" x14ac:dyDescent="0.3">
      <c r="P37" s="30"/>
    </row>
    <row r="38" spans="16:16" ht="30" customHeight="1" x14ac:dyDescent="0.3">
      <c r="P38" s="30"/>
    </row>
    <row r="39" spans="16:16" ht="30" customHeight="1" x14ac:dyDescent="0.3">
      <c r="P39" s="30"/>
    </row>
    <row r="40" spans="16:16" ht="30" customHeight="1" x14ac:dyDescent="0.3">
      <c r="P40" s="30"/>
    </row>
    <row r="41" spans="16:16" ht="30" customHeight="1" x14ac:dyDescent="0.3">
      <c r="P41" s="30"/>
    </row>
    <row r="42" spans="16:16" ht="30" customHeight="1" x14ac:dyDescent="0.3">
      <c r="P42" s="30"/>
    </row>
    <row r="43" spans="16:16" ht="30" customHeight="1" x14ac:dyDescent="0.3">
      <c r="P43" s="30"/>
    </row>
    <row r="44" spans="16:16" ht="30" customHeight="1" x14ac:dyDescent="0.3">
      <c r="P44" s="30"/>
    </row>
    <row r="45" spans="16:16" ht="30" customHeight="1" x14ac:dyDescent="0.3">
      <c r="P45" s="30"/>
    </row>
    <row r="46" spans="16:16" ht="30" customHeight="1" x14ac:dyDescent="0.3">
      <c r="P46" s="30"/>
    </row>
    <row r="47" spans="16:16" ht="30" customHeight="1" x14ac:dyDescent="0.3">
      <c r="P47" s="30"/>
    </row>
    <row r="48" spans="16:16" ht="30" customHeight="1" x14ac:dyDescent="0.3">
      <c r="P48" s="30"/>
    </row>
    <row r="49" spans="16:16" ht="30" customHeight="1" x14ac:dyDescent="0.3">
      <c r="P49" s="30"/>
    </row>
    <row r="50" spans="16:16" ht="30" customHeight="1" x14ac:dyDescent="0.3">
      <c r="P50" s="30"/>
    </row>
    <row r="51" spans="16:16" ht="30" customHeight="1" x14ac:dyDescent="0.3">
      <c r="P51" s="30"/>
    </row>
    <row r="52" spans="16:16" ht="30" customHeight="1" x14ac:dyDescent="0.3">
      <c r="P52" s="30"/>
    </row>
    <row r="53" spans="16:16" ht="30" customHeight="1" x14ac:dyDescent="0.3">
      <c r="P53" s="30"/>
    </row>
    <row r="54" spans="16:16" ht="30" customHeight="1" x14ac:dyDescent="0.3">
      <c r="P54" s="30"/>
    </row>
    <row r="55" spans="16:16" ht="30" customHeight="1" x14ac:dyDescent="0.3">
      <c r="P55" s="30"/>
    </row>
    <row r="56" spans="16:16" ht="30" customHeight="1" x14ac:dyDescent="0.3">
      <c r="P56" s="30"/>
    </row>
    <row r="57" spans="16:16" ht="30" customHeight="1" x14ac:dyDescent="0.3">
      <c r="P57" s="30"/>
    </row>
    <row r="58" spans="16:16" ht="30" customHeight="1" x14ac:dyDescent="0.3">
      <c r="P58" s="30"/>
    </row>
    <row r="59" spans="16:16" ht="30" customHeight="1" x14ac:dyDescent="0.3">
      <c r="P59" s="30"/>
    </row>
    <row r="60" spans="16:16" ht="30" customHeight="1" x14ac:dyDescent="0.3">
      <c r="P60" s="30"/>
    </row>
    <row r="61" spans="16:16" ht="30" customHeight="1" x14ac:dyDescent="0.3">
      <c r="P61" s="30"/>
    </row>
    <row r="62" spans="16:16" ht="30" customHeight="1" x14ac:dyDescent="0.3">
      <c r="P62" s="30"/>
    </row>
    <row r="63" spans="16:16" ht="30" customHeight="1" x14ac:dyDescent="0.3">
      <c r="P63" s="30"/>
    </row>
    <row r="64" spans="16:16" ht="30" customHeight="1" x14ac:dyDescent="0.3">
      <c r="P64" s="30"/>
    </row>
    <row r="65" spans="16:16" ht="30" customHeight="1" x14ac:dyDescent="0.3">
      <c r="P65" s="30"/>
    </row>
    <row r="66" spans="16:16" ht="30" customHeight="1" x14ac:dyDescent="0.3">
      <c r="P66" s="30"/>
    </row>
    <row r="67" spans="16:16" ht="30" customHeight="1" x14ac:dyDescent="0.3">
      <c r="P67" s="30"/>
    </row>
    <row r="68" spans="16:16" ht="30" customHeight="1" x14ac:dyDescent="0.3">
      <c r="P68" s="30"/>
    </row>
    <row r="69" spans="16:16" ht="30" customHeight="1" x14ac:dyDescent="0.3">
      <c r="P69" s="30"/>
    </row>
    <row r="70" spans="16:16" ht="30" customHeight="1" x14ac:dyDescent="0.3">
      <c r="P70" s="30"/>
    </row>
    <row r="71" spans="16:16" ht="30" customHeight="1" x14ac:dyDescent="0.3">
      <c r="P71" s="30"/>
    </row>
    <row r="72" spans="16:16" ht="30" customHeight="1" x14ac:dyDescent="0.3">
      <c r="P72" s="30"/>
    </row>
    <row r="73" spans="16:16" ht="30" customHeight="1" x14ac:dyDescent="0.3">
      <c r="P73" s="30"/>
    </row>
    <row r="74" spans="16:16" ht="30" customHeight="1" x14ac:dyDescent="0.3">
      <c r="P74" s="30"/>
    </row>
    <row r="75" spans="16:16" ht="30" customHeight="1" x14ac:dyDescent="0.3">
      <c r="P75" s="30"/>
    </row>
    <row r="76" spans="16:16" ht="30" customHeight="1" x14ac:dyDescent="0.3">
      <c r="P76" s="30"/>
    </row>
    <row r="77" spans="16:16" ht="30" customHeight="1" x14ac:dyDescent="0.3">
      <c r="P77" s="30"/>
    </row>
    <row r="78" spans="16:16" ht="30" customHeight="1" x14ac:dyDescent="0.3">
      <c r="P78" s="30"/>
    </row>
    <row r="79" spans="16:16" ht="30" customHeight="1" x14ac:dyDescent="0.3">
      <c r="P79" s="30"/>
    </row>
    <row r="80" spans="16:16" ht="30" customHeight="1" x14ac:dyDescent="0.3">
      <c r="P80" s="30"/>
    </row>
    <row r="81" spans="16:16" ht="30" customHeight="1" x14ac:dyDescent="0.3">
      <c r="P81" s="30"/>
    </row>
    <row r="82" spans="16:16" ht="30" customHeight="1" x14ac:dyDescent="0.3">
      <c r="P82" s="30"/>
    </row>
    <row r="83" spans="16:16" ht="30" customHeight="1" x14ac:dyDescent="0.3">
      <c r="P83" s="30"/>
    </row>
    <row r="84" spans="16:16" ht="30" customHeight="1" x14ac:dyDescent="0.3">
      <c r="P84" s="30"/>
    </row>
    <row r="85" spans="16:16" ht="30" customHeight="1" x14ac:dyDescent="0.3">
      <c r="P85" s="30"/>
    </row>
    <row r="86" spans="16:16" ht="30" customHeight="1" x14ac:dyDescent="0.3">
      <c r="P86" s="30"/>
    </row>
    <row r="87" spans="16:16" ht="30" customHeight="1" x14ac:dyDescent="0.3">
      <c r="P87" s="30"/>
    </row>
    <row r="88" spans="16:16" ht="30" customHeight="1" x14ac:dyDescent="0.3">
      <c r="P88" s="30"/>
    </row>
    <row r="89" spans="16:16" ht="30" customHeight="1" x14ac:dyDescent="0.3">
      <c r="P89" s="30"/>
    </row>
    <row r="90" spans="16:16" ht="30" customHeight="1" x14ac:dyDescent="0.3">
      <c r="P90" s="30"/>
    </row>
    <row r="91" spans="16:16" ht="30" customHeight="1" x14ac:dyDescent="0.3">
      <c r="P91" s="30"/>
    </row>
    <row r="92" spans="16:16" ht="30" customHeight="1" x14ac:dyDescent="0.3">
      <c r="P92" s="30"/>
    </row>
    <row r="93" spans="16:16" ht="30" customHeight="1" x14ac:dyDescent="0.3">
      <c r="P93" s="30"/>
    </row>
    <row r="94" spans="16:16" ht="30" customHeight="1" x14ac:dyDescent="0.3">
      <c r="P94" s="30"/>
    </row>
    <row r="95" spans="16:16" ht="30" customHeight="1" x14ac:dyDescent="0.3">
      <c r="P95" s="30"/>
    </row>
    <row r="96" spans="16:16" ht="30" customHeight="1" x14ac:dyDescent="0.3">
      <c r="P96" s="30"/>
    </row>
    <row r="97" spans="16:16" ht="30" customHeight="1" x14ac:dyDescent="0.3">
      <c r="P97" s="30"/>
    </row>
    <row r="98" spans="16:16" ht="30" customHeight="1" x14ac:dyDescent="0.3">
      <c r="P98" s="30"/>
    </row>
    <row r="99" spans="16:16" ht="30" customHeight="1" x14ac:dyDescent="0.3">
      <c r="P99" s="30"/>
    </row>
    <row r="100" spans="16:16" ht="30" customHeight="1" x14ac:dyDescent="0.3">
      <c r="P100" s="30"/>
    </row>
  </sheetData>
  <mergeCells count="3">
    <mergeCell ref="B2:P2"/>
    <mergeCell ref="B27:C27"/>
    <mergeCell ref="B28:C28"/>
  </mergeCells>
  <printOptions horizontalCentered="1" verticalCentered="1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Sanjay</dc:creator>
  <cp:lastModifiedBy>Kumar Sanjay</cp:lastModifiedBy>
  <dcterms:created xsi:type="dcterms:W3CDTF">2026-06-07T07:58:51Z</dcterms:created>
  <dcterms:modified xsi:type="dcterms:W3CDTF">2026-06-07T08:09:38Z</dcterms:modified>
</cp:coreProperties>
</file>