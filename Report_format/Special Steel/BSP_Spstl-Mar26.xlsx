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LANNING\A Planning 25-26 - 011025\Special steel &amp; CO Report\"/>
    </mc:Choice>
  </mc:AlternateContent>
  <bookViews>
    <workbookView xWindow="0" yWindow="0" windowWidth="28800" windowHeight="11310"/>
  </bookViews>
  <sheets>
    <sheet name="CORP" sheetId="1" r:id="rId1"/>
  </sheets>
  <definedNames>
    <definedName name="_xlnm.Print_Area" localSheetId="0">CORP!$A$2:$L$47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E40" i="1"/>
  <c r="D40" i="1"/>
  <c r="C40" i="1"/>
  <c r="K39" i="1"/>
  <c r="K38" i="1"/>
  <c r="K37" i="1"/>
  <c r="K36" i="1"/>
  <c r="K35" i="1"/>
  <c r="K34" i="1"/>
  <c r="K33" i="1"/>
  <c r="K32" i="1"/>
  <c r="J48" i="1"/>
  <c r="H40" i="1"/>
  <c r="K31" i="1"/>
  <c r="F40" i="1"/>
  <c r="F30" i="1"/>
  <c r="J28" i="1"/>
  <c r="D28" i="1"/>
  <c r="K27" i="1"/>
  <c r="K26" i="1"/>
  <c r="I28" i="1"/>
  <c r="H28" i="1"/>
  <c r="G28" i="1"/>
  <c r="K28" i="1" s="1"/>
  <c r="E28" i="1"/>
  <c r="C28" i="1"/>
  <c r="K24" i="1"/>
  <c r="K23" i="1"/>
  <c r="K22" i="1"/>
  <c r="K21" i="1"/>
  <c r="K20" i="1"/>
  <c r="D25" i="1"/>
  <c r="I25" i="1"/>
  <c r="H25" i="1"/>
  <c r="K19" i="1"/>
  <c r="E25" i="1"/>
  <c r="E30" i="1" s="1"/>
  <c r="C25" i="1"/>
  <c r="K17" i="1"/>
  <c r="K16" i="1"/>
  <c r="K15" i="1"/>
  <c r="K14" i="1"/>
  <c r="J18" i="1"/>
  <c r="I18" i="1"/>
  <c r="H18" i="1"/>
  <c r="G18" i="1"/>
  <c r="K18" i="1" s="1"/>
  <c r="E18" i="1"/>
  <c r="D18" i="1"/>
  <c r="C18" i="1"/>
  <c r="K12" i="1"/>
  <c r="K11" i="1"/>
  <c r="K10" i="1"/>
  <c r="K9" i="1"/>
  <c r="K8" i="1"/>
  <c r="K7" i="1"/>
  <c r="I13" i="1"/>
  <c r="I41" i="1" s="1"/>
  <c r="E13" i="1"/>
  <c r="C13" i="1"/>
  <c r="C41" i="1" s="1"/>
  <c r="K6" i="1"/>
  <c r="H13" i="1"/>
  <c r="G13" i="1"/>
  <c r="D13" i="1"/>
  <c r="K13" i="1" l="1"/>
  <c r="D30" i="1"/>
  <c r="C30" i="1"/>
  <c r="H30" i="1"/>
  <c r="D41" i="1"/>
  <c r="H41" i="1"/>
  <c r="E41" i="1"/>
  <c r="F41" i="1"/>
  <c r="I30" i="1"/>
  <c r="G25" i="1"/>
  <c r="K25" i="1" s="1"/>
  <c r="K29" i="1"/>
  <c r="G40" i="1"/>
  <c r="K40" i="1" s="1"/>
  <c r="G30" i="1" l="1"/>
  <c r="K30" i="1" s="1"/>
  <c r="G41" i="1"/>
  <c r="K41" i="1" s="1"/>
</calcChain>
</file>

<file path=xl/sharedStrings.xml><?xml version="1.0" encoding="utf-8"?>
<sst xmlns="http://schemas.openxmlformats.org/spreadsheetml/2006/main" count="105" uniqueCount="64">
  <si>
    <t>BHILAI STEEL PLANT</t>
  </si>
  <si>
    <t>Unit : Tonnes</t>
  </si>
  <si>
    <t>Products</t>
  </si>
  <si>
    <t>Quality/ Grade</t>
  </si>
  <si>
    <t>ABP 
2025-26</t>
  </si>
  <si>
    <t>ABP</t>
  </si>
  <si>
    <t>Orders Available</t>
  </si>
  <si>
    <t>Loading (Till Date)</t>
  </si>
  <si>
    <t>Loadable (in stock)</t>
  </si>
  <si>
    <t>Semis/Fin(in process)</t>
  </si>
  <si>
    <t>EXPECTED LOADING
       #</t>
  </si>
  <si>
    <t>%Ful of</t>
  </si>
  <si>
    <t>Remarks/Reasons for shortfall.</t>
  </si>
  <si>
    <t>Total</t>
  </si>
  <si>
    <t>Effective *</t>
  </si>
  <si>
    <t>despatch wrt effective order</t>
  </si>
  <si>
    <t>Semis</t>
  </si>
  <si>
    <t>Total Semis</t>
  </si>
  <si>
    <t>Wire Rods</t>
  </si>
  <si>
    <t>Total Wire Rod Mill</t>
  </si>
  <si>
    <t>Merchant</t>
  </si>
  <si>
    <t>Total Merchant Mill</t>
  </si>
  <si>
    <t>BRM PRODUCT</t>
  </si>
  <si>
    <t>Total BRM PRODUCT</t>
  </si>
  <si>
    <t>Rails</t>
  </si>
  <si>
    <t>Total Special Long Products</t>
  </si>
  <si>
    <t>Plates</t>
  </si>
  <si>
    <t>Total  Plates</t>
  </si>
  <si>
    <t>Total special steel</t>
  </si>
  <si>
    <t>AS FIGURES ARE NOT AVAILABLE DUE TO ERP STABILISATION.</t>
  </si>
  <si>
    <t xml:space="preserve">SPECIAL  STEEL  REPORT  FOR   :         </t>
  </si>
  <si>
    <t>31.03.26</t>
  </si>
  <si>
    <t>March'26</t>
  </si>
  <si>
    <t>SAILTOWER Gr-6/V65/V55 (Bloom)</t>
  </si>
  <si>
    <t>-</t>
  </si>
  <si>
    <t>_</t>
  </si>
  <si>
    <t>TLT/MMn/45C8 Grade(Billets)+(SBS-Slab)</t>
  </si>
  <si>
    <t>ST/HMn (Billets)</t>
  </si>
  <si>
    <t>MMn/HMn/(Blooms/NWS)/C45/EN19/Cr5</t>
  </si>
  <si>
    <t>LOW CARBON DRAWING QUALITY(Billets)</t>
  </si>
  <si>
    <t>LOW CARBON DRAWING QUALITY(BLOOMS)</t>
  </si>
  <si>
    <t>HCR-500(Billets)</t>
  </si>
  <si>
    <t>ELECTRODE QUALITY</t>
  </si>
  <si>
    <t>SAE/GR-II/GR-III/Gr7M/CAQ/HC /MIG</t>
  </si>
  <si>
    <t>TMT-HCR</t>
  </si>
  <si>
    <t>TMT Fe 500 D/550D/SEQR</t>
  </si>
  <si>
    <t>HT/SAILMA</t>
  </si>
  <si>
    <t>CU BEARING</t>
  </si>
  <si>
    <t>IS-2062 Gr-B0/BR</t>
  </si>
  <si>
    <t>TMT Fe 500 D/EQR/550 D/600D/SeQR</t>
  </si>
  <si>
    <t>FE 500 S/ Plain Round (Rail Steel)</t>
  </si>
  <si>
    <t xml:space="preserve">TMT </t>
  </si>
  <si>
    <t>HCR</t>
  </si>
  <si>
    <t>PRIME(RSM/URM/CRail)</t>
  </si>
  <si>
    <t>--</t>
  </si>
  <si>
    <t>BQ (Home sales)</t>
  </si>
  <si>
    <t>Priority given to direct dispatch orders</t>
  </si>
  <si>
    <t>HT(HOME-SALES INCL SAILHARD/DMR)</t>
  </si>
  <si>
    <t>HT(EXPORT)</t>
  </si>
  <si>
    <t>IS-2062 GR-C</t>
  </si>
  <si>
    <t>API</t>
  </si>
  <si>
    <t>SBQ(HOME-SALES)</t>
  </si>
  <si>
    <t>SBQ(EXPORT)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</si>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</sst>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0"/>
      <name val="Arial"/>
      <family val="2"/>
    </font>
    <font>
      <sz val="10"/>
      <name val="Arial"/>
      <family val="2"/>
    </font>
    <font>
      <sz val="12"/>
      <color rgb="FFFF000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color indexed="9"/>
      <name val="Arial"/>
      <family val="2"/>
    </font>
    <font>
      <b/>
      <i/>
      <sz val="10"/>
      <color indexed="9"/>
      <name val="Arial"/>
      <family val="2"/>
    </font>
    <font>
      <u/>
      <sz val="10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156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6" fillId="0" borderId="4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7" fillId="0" borderId="1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" fontId="1" fillId="0" borderId="3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3" xfId="0" applyFont="1" applyBorder="1" applyAlignment="1">
      <alignment horizontal="right" vertical="top"/>
    </xf>
    <xf numFmtId="0" fontId="1" fillId="0" borderId="22" xfId="0" quotePrefix="1" applyFont="1" applyBorder="1" applyAlignment="1">
      <alignment horizontal="right" vertical="top"/>
    </xf>
    <xf numFmtId="164" fontId="1" fillId="0" borderId="23" xfId="0" quotePrefix="1" applyNumberFormat="1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 wrapText="1"/>
    </xf>
    <xf numFmtId="0" fontId="1" fillId="0" borderId="18" xfId="0" applyFont="1" applyBorder="1" applyAlignment="1">
      <alignment vertical="top"/>
    </xf>
    <xf numFmtId="1" fontId="1" fillId="0" borderId="24" xfId="0" applyNumberFormat="1" applyFont="1" applyBorder="1" applyAlignment="1">
      <alignment vertical="top"/>
    </xf>
    <xf numFmtId="0" fontId="1" fillId="0" borderId="24" xfId="0" applyFont="1" applyBorder="1" applyAlignment="1">
      <alignment horizontal="right" vertical="top"/>
    </xf>
    <xf numFmtId="0" fontId="1" fillId="0" borderId="26" xfId="0" quotePrefix="1" applyFont="1" applyBorder="1" applyAlignment="1">
      <alignment horizontal="right" vertical="top"/>
    </xf>
    <xf numFmtId="1" fontId="1" fillId="0" borderId="27" xfId="0" applyNumberFormat="1" applyFont="1" applyBorder="1" applyAlignment="1">
      <alignment vertical="top"/>
    </xf>
    <xf numFmtId="164" fontId="1" fillId="2" borderId="23" xfId="0" quotePrefix="1" applyNumberFormat="1" applyFont="1" applyFill="1" applyBorder="1" applyAlignment="1">
      <alignment horizontal="center" vertical="top"/>
    </xf>
    <xf numFmtId="0" fontId="1" fillId="0" borderId="19" xfId="0" applyFont="1" applyBorder="1" applyAlignment="1">
      <alignment horizontal="right" vertical="top"/>
    </xf>
    <xf numFmtId="0" fontId="8" fillId="0" borderId="24" xfId="0" applyFont="1" applyBorder="1" applyAlignment="1">
      <alignment horizontal="center" vertical="top" wrapText="1"/>
    </xf>
    <xf numFmtId="0" fontId="8" fillId="0" borderId="24" xfId="0" applyFont="1" applyBorder="1" applyAlignment="1">
      <alignment vertical="top" wrapText="1"/>
    </xf>
    <xf numFmtId="0" fontId="1" fillId="0" borderId="24" xfId="0" applyFont="1" applyBorder="1" applyAlignment="1">
      <alignment vertical="top"/>
    </xf>
    <xf numFmtId="1" fontId="1" fillId="0" borderId="19" xfId="0" applyNumberFormat="1" applyFont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9" fillId="3" borderId="28" xfId="0" applyFont="1" applyFill="1" applyBorder="1" applyAlignment="1">
      <alignment vertical="top"/>
    </xf>
    <xf numFmtId="1" fontId="9" fillId="3" borderId="29" xfId="0" applyNumberFormat="1" applyFont="1" applyFill="1" applyBorder="1" applyAlignment="1">
      <alignment vertical="top"/>
    </xf>
    <xf numFmtId="0" fontId="9" fillId="3" borderId="30" xfId="0" applyFont="1" applyFill="1" applyBorder="1" applyAlignment="1">
      <alignment vertical="top"/>
    </xf>
    <xf numFmtId="0" fontId="9" fillId="3" borderId="30" xfId="0" applyFont="1" applyFill="1" applyBorder="1" applyAlignment="1">
      <alignment horizontal="right" vertical="top"/>
    </xf>
    <xf numFmtId="0" fontId="9" fillId="3" borderId="31" xfId="0" quotePrefix="1" applyFont="1" applyFill="1" applyBorder="1" applyAlignment="1">
      <alignment horizontal="right" vertical="top"/>
    </xf>
    <xf numFmtId="164" fontId="9" fillId="3" borderId="29" xfId="0" quotePrefix="1" applyNumberFormat="1" applyFont="1" applyFill="1" applyBorder="1" applyAlignment="1">
      <alignment horizontal="center" vertical="top"/>
    </xf>
    <xf numFmtId="0" fontId="9" fillId="3" borderId="32" xfId="0" applyFont="1" applyFill="1" applyBorder="1" applyAlignment="1">
      <alignment horizontal="center" vertical="top"/>
    </xf>
    <xf numFmtId="0" fontId="9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0" borderId="33" xfId="0" applyNumberFormat="1" applyFont="1" applyBorder="1" applyAlignment="1">
      <alignment vertical="top"/>
    </xf>
    <xf numFmtId="1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horizontal="right" vertical="top"/>
    </xf>
    <xf numFmtId="1" fontId="1" fillId="0" borderId="22" xfId="0" quotePrefix="1" applyNumberFormat="1" applyFont="1" applyBorder="1" applyAlignment="1">
      <alignment horizontal="right" vertical="top"/>
    </xf>
    <xf numFmtId="164" fontId="10" fillId="0" borderId="33" xfId="0" quotePrefix="1" applyNumberFormat="1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 wrapText="1"/>
    </xf>
    <xf numFmtId="0" fontId="1" fillId="0" borderId="34" xfId="0" quotePrefix="1" applyFont="1" applyBorder="1" applyAlignment="1">
      <alignment horizontal="right" vertical="top"/>
    </xf>
    <xf numFmtId="164" fontId="10" fillId="0" borderId="14" xfId="0" quotePrefix="1" applyNumberFormat="1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 wrapText="1"/>
    </xf>
    <xf numFmtId="0" fontId="9" fillId="3" borderId="32" xfId="0" applyFont="1" applyFill="1" applyBorder="1" applyAlignment="1">
      <alignment vertical="top"/>
    </xf>
    <xf numFmtId="0" fontId="9" fillId="3" borderId="29" xfId="0" applyFont="1" applyFill="1" applyBorder="1" applyAlignment="1">
      <alignment vertical="top"/>
    </xf>
    <xf numFmtId="0" fontId="9" fillId="3" borderId="31" xfId="0" applyFont="1" applyFill="1" applyBorder="1" applyAlignment="1">
      <alignment vertical="top"/>
    </xf>
    <xf numFmtId="0" fontId="6" fillId="3" borderId="32" xfId="0" applyFont="1" applyFill="1" applyBorder="1" applyAlignment="1">
      <alignment horizontal="center" vertical="top" wrapText="1"/>
    </xf>
    <xf numFmtId="0" fontId="7" fillId="0" borderId="18" xfId="0" applyFont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0" borderId="35" xfId="0" quotePrefix="1" applyFont="1" applyBorder="1" applyAlignment="1">
      <alignment horizontal="right" vertical="top"/>
    </xf>
    <xf numFmtId="164" fontId="1" fillId="0" borderId="33" xfId="0" quotePrefix="1" applyNumberFormat="1" applyFont="1" applyBorder="1" applyAlignment="1">
      <alignment horizontal="center" vertical="top"/>
    </xf>
    <xf numFmtId="0" fontId="1" fillId="2" borderId="19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1" fontId="9" fillId="3" borderId="30" xfId="0" applyNumberFormat="1" applyFont="1" applyFill="1" applyBorder="1" applyAlignment="1">
      <alignment vertical="top"/>
    </xf>
    <xf numFmtId="164" fontId="6" fillId="3" borderId="32" xfId="0" quotePrefix="1" applyNumberFormat="1" applyFont="1" applyFill="1" applyBorder="1" applyAlignment="1">
      <alignment horizontal="center" vertical="top"/>
    </xf>
    <xf numFmtId="0" fontId="9" fillId="3" borderId="32" xfId="0" applyFont="1" applyFill="1" applyBorder="1" applyAlignment="1">
      <alignment horizontal="center" vertical="top" wrapText="1"/>
    </xf>
    <xf numFmtId="0" fontId="1" fillId="0" borderId="36" xfId="0" applyFont="1" applyBorder="1" applyAlignment="1">
      <alignment vertical="top"/>
    </xf>
    <xf numFmtId="1" fontId="1" fillId="0" borderId="37" xfId="0" applyNumberFormat="1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11" xfId="0" quotePrefix="1" applyNumberFormat="1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 wrapText="1"/>
    </xf>
    <xf numFmtId="0" fontId="1" fillId="3" borderId="32" xfId="0" applyFont="1" applyFill="1" applyBorder="1" applyAlignment="1">
      <alignment vertical="top"/>
    </xf>
    <xf numFmtId="164" fontId="1" fillId="3" borderId="29" xfId="0" quotePrefix="1" applyNumberFormat="1" applyFont="1" applyFill="1" applyBorder="1" applyAlignment="1">
      <alignment horizontal="center" vertical="top"/>
    </xf>
    <xf numFmtId="0" fontId="7" fillId="0" borderId="32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0" borderId="17" xfId="0" applyNumberFormat="1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7" xfId="0" applyFont="1" applyBorder="1" applyAlignment="1">
      <alignment horizontal="right" vertical="top"/>
    </xf>
    <xf numFmtId="0" fontId="1" fillId="0" borderId="0" xfId="0" quotePrefix="1" applyFont="1" applyBorder="1" applyAlignment="1">
      <alignment horizontal="right" vertical="top"/>
    </xf>
    <xf numFmtId="164" fontId="1" fillId="0" borderId="32" xfId="0" quotePrefix="1" applyNumberFormat="1" applyFont="1" applyBorder="1" applyAlignment="1">
      <alignment horizontal="center" vertical="top"/>
    </xf>
    <xf numFmtId="0" fontId="1" fillId="0" borderId="32" xfId="0" applyFont="1" applyBorder="1" applyAlignment="1">
      <alignment vertical="center" wrapText="1"/>
    </xf>
    <xf numFmtId="0" fontId="6" fillId="3" borderId="32" xfId="0" applyFont="1" applyFill="1" applyBorder="1" applyAlignment="1">
      <alignment vertical="top"/>
    </xf>
    <xf numFmtId="0" fontId="1" fillId="3" borderId="31" xfId="0" quotePrefix="1" applyFont="1" applyFill="1" applyBorder="1" applyAlignment="1">
      <alignment horizontal="right" vertical="top"/>
    </xf>
    <xf numFmtId="164" fontId="6" fillId="3" borderId="12" xfId="0" quotePrefix="1" applyNumberFormat="1" applyFont="1" applyFill="1" applyBorder="1" applyAlignment="1">
      <alignment horizontal="center" vertical="top"/>
    </xf>
    <xf numFmtId="0" fontId="1" fillId="3" borderId="27" xfId="0" applyFont="1" applyFill="1" applyBorder="1" applyAlignment="1">
      <alignment vertical="center" wrapText="1"/>
    </xf>
    <xf numFmtId="0" fontId="7" fillId="0" borderId="27" xfId="0" applyFont="1" applyBorder="1" applyAlignment="1">
      <alignment vertical="top"/>
    </xf>
    <xf numFmtId="1" fontId="1" fillId="0" borderId="9" xfId="0" applyNumberFormat="1" applyFont="1" applyBorder="1" applyAlignment="1">
      <alignment vertical="top"/>
    </xf>
    <xf numFmtId="1" fontId="6" fillId="0" borderId="21" xfId="0" applyNumberFormat="1" applyFont="1" applyBorder="1" applyAlignment="1">
      <alignment horizontal="right" vertical="top"/>
    </xf>
    <xf numFmtId="1" fontId="1" fillId="0" borderId="21" xfId="0" applyNumberFormat="1" applyFont="1" applyBorder="1" applyAlignment="1">
      <alignment horizontal="right" vertical="top"/>
    </xf>
    <xf numFmtId="0" fontId="1" fillId="0" borderId="9" xfId="0" applyFont="1" applyBorder="1" applyAlignment="1">
      <alignment vertical="top" wrapText="1"/>
    </xf>
    <xf numFmtId="1" fontId="1" fillId="0" borderId="0" xfId="0" applyNumberFormat="1" applyFont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37" xfId="0" applyFont="1" applyBorder="1" applyAlignment="1">
      <alignment horizontal="right" vertical="top"/>
    </xf>
    <xf numFmtId="0" fontId="1" fillId="0" borderId="24" xfId="0" applyNumberFormat="1" applyFont="1" applyBorder="1" applyAlignment="1">
      <alignment vertical="top" wrapText="1"/>
    </xf>
    <xf numFmtId="1" fontId="1" fillId="0" borderId="37" xfId="0" applyNumberFormat="1" applyFont="1" applyBorder="1" applyAlignment="1">
      <alignment horizontal="right" vertical="top"/>
    </xf>
    <xf numFmtId="0" fontId="1" fillId="0" borderId="12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" fontId="1" fillId="2" borderId="17" xfId="0" applyNumberFormat="1" applyFont="1" applyFill="1" applyBorder="1" applyAlignment="1">
      <alignment vertical="top"/>
    </xf>
    <xf numFmtId="1" fontId="1" fillId="0" borderId="0" xfId="0" applyNumberFormat="1" applyFont="1" applyFill="1" applyBorder="1" applyAlignment="1">
      <alignment vertical="top"/>
    </xf>
    <xf numFmtId="164" fontId="9" fillId="3" borderId="30" xfId="0" applyNumberFormat="1" applyFont="1" applyFill="1" applyBorder="1" applyAlignment="1">
      <alignment horizontal="center" vertical="top"/>
    </xf>
    <xf numFmtId="0" fontId="11" fillId="3" borderId="32" xfId="0" applyFont="1" applyFill="1" applyBorder="1" applyAlignment="1">
      <alignment horizontal="center" vertical="top" wrapText="1"/>
    </xf>
    <xf numFmtId="1" fontId="9" fillId="0" borderId="0" xfId="0" applyNumberFormat="1" applyFont="1" applyFill="1" applyBorder="1" applyAlignment="1">
      <alignment vertical="top"/>
    </xf>
    <xf numFmtId="1" fontId="9" fillId="0" borderId="0" xfId="0" applyNumberFormat="1" applyFont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1" fontId="6" fillId="2" borderId="15" xfId="0" applyNumberFormat="1" applyFont="1" applyFill="1" applyBorder="1" applyAlignment="1">
      <alignment vertical="top"/>
    </xf>
    <xf numFmtId="0" fontId="6" fillId="0" borderId="15" xfId="0" applyFont="1" applyBorder="1" applyAlignment="1">
      <alignment horizontal="right" vertical="top"/>
    </xf>
    <xf numFmtId="0" fontId="6" fillId="0" borderId="16" xfId="0" quotePrefix="1" applyFont="1" applyBorder="1" applyAlignment="1">
      <alignment horizontal="right" vertical="top"/>
    </xf>
    <xf numFmtId="164" fontId="6" fillId="0" borderId="32" xfId="0" quotePrefix="1" applyNumberFormat="1" applyFont="1" applyBorder="1" applyAlignment="1">
      <alignment horizontal="center" vertical="top"/>
    </xf>
    <xf numFmtId="0" fontId="6" fillId="0" borderId="0" xfId="0" applyFont="1" applyAlignment="1">
      <alignment vertical="top"/>
    </xf>
    <xf numFmtId="1" fontId="6" fillId="0" borderId="0" xfId="0" applyNumberFormat="1" applyFont="1" applyFill="1" applyBorder="1" applyAlignment="1">
      <alignment vertical="top"/>
    </xf>
    <xf numFmtId="1" fontId="6" fillId="0" borderId="0" xfId="0" applyNumberFormat="1" applyFont="1" applyAlignment="1">
      <alignment vertical="top"/>
    </xf>
    <xf numFmtId="1" fontId="1" fillId="0" borderId="0" xfId="0" applyNumberFormat="1" applyFont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7" fillId="0" borderId="0" xfId="1" applyFont="1" applyAlignment="1" applyProtection="1">
      <alignment vertical="top"/>
    </xf>
    <xf numFmtId="0" fontId="1" fillId="2" borderId="0" xfId="0" applyFont="1" applyFill="1" applyAlignment="1">
      <alignment vertical="top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9" fillId="3" borderId="28" xfId="0" applyFont="1" applyFill="1" applyBorder="1" applyAlignment="1">
      <alignment horizontal="left" vertical="top"/>
    </xf>
    <xf numFmtId="0" fontId="9" fillId="3" borderId="7" xfId="0" applyFont="1" applyFill="1" applyBorder="1" applyAlignment="1">
      <alignment horizontal="left" vertical="top"/>
    </xf>
    <xf numFmtId="0" fontId="9" fillId="3" borderId="30" xfId="0" applyFont="1" applyFill="1" applyBorder="1" applyAlignment="1">
      <alignment horizontal="left" vertical="top"/>
    </xf>
    <xf numFmtId="0" fontId="9" fillId="3" borderId="13" xfId="0" applyFont="1" applyFill="1" applyBorder="1" applyAlignment="1">
      <alignment horizontal="left" vertical="top"/>
    </xf>
    <xf numFmtId="0" fontId="9" fillId="3" borderId="15" xfId="0" applyFont="1" applyFill="1" applyBorder="1" applyAlignment="1">
      <alignment horizontal="left" vertical="top"/>
    </xf>
    <xf numFmtId="0" fontId="9" fillId="0" borderId="28" xfId="0" applyFont="1" applyBorder="1" applyAlignment="1">
      <alignment horizontal="left" vertical="top"/>
    </xf>
    <xf numFmtId="0" fontId="9" fillId="0" borderId="30" xfId="0" applyFont="1" applyBorder="1" applyAlignment="1">
      <alignment horizontal="left" vertical="top"/>
    </xf>
    <xf numFmtId="0" fontId="6" fillId="0" borderId="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1" fillId="0" borderId="25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35</xdr:row>
      <xdr:rowOff>38100</xdr:rowOff>
    </xdr:from>
    <xdr:to>
      <xdr:col>9</xdr:col>
      <xdr:colOff>171450</xdr:colOff>
      <xdr:row>36</xdr:row>
      <xdr:rowOff>190500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8039100" y="8105775"/>
          <a:ext cx="0" cy="381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190500</xdr:colOff>
      <xdr:row>6</xdr:row>
      <xdr:rowOff>19050</xdr:rowOff>
    </xdr:from>
    <xdr:to>
      <xdr:col>33</xdr:col>
      <xdr:colOff>361950</xdr:colOff>
      <xdr:row>11</xdr:row>
      <xdr:rowOff>76200</xdr:rowOff>
    </xdr:to>
    <xdr:sp macro="" textlink="">
      <xdr:nvSpPr>
        <xdr:cNvPr id="3" name="AutoShape 8"/>
        <xdr:cNvSpPr>
          <a:spLocks/>
        </xdr:cNvSpPr>
      </xdr:nvSpPr>
      <xdr:spPr bwMode="auto">
        <a:xfrm>
          <a:off x="23783925" y="1638300"/>
          <a:ext cx="171450" cy="1057275"/>
        </a:xfrm>
        <a:prstGeom prst="rightBrace">
          <a:avLst>
            <a:gd name="adj1" fmla="val 513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35</xdr:row>
      <xdr:rowOff>38100</xdr:rowOff>
    </xdr:from>
    <xdr:to>
      <xdr:col>9</xdr:col>
      <xdr:colOff>171450</xdr:colOff>
      <xdr:row>36</xdr:row>
      <xdr:rowOff>190500</xdr:rowOff>
    </xdr:to>
    <xdr:sp macro="" textlink="">
      <xdr:nvSpPr>
        <xdr:cNvPr id="4" name="AutoShape 13"/>
        <xdr:cNvSpPr>
          <a:spLocks/>
        </xdr:cNvSpPr>
      </xdr:nvSpPr>
      <xdr:spPr bwMode="auto">
        <a:xfrm>
          <a:off x="8039100" y="8105775"/>
          <a:ext cx="0" cy="381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35</xdr:row>
      <xdr:rowOff>38100</xdr:rowOff>
    </xdr:from>
    <xdr:to>
      <xdr:col>14</xdr:col>
      <xdr:colOff>171450</xdr:colOff>
      <xdr:row>36</xdr:row>
      <xdr:rowOff>180975</xdr:rowOff>
    </xdr:to>
    <xdr:sp macro="" textlink="">
      <xdr:nvSpPr>
        <xdr:cNvPr id="5" name="AutoShape 22"/>
        <xdr:cNvSpPr>
          <a:spLocks/>
        </xdr:cNvSpPr>
      </xdr:nvSpPr>
      <xdr:spPr bwMode="auto">
        <a:xfrm>
          <a:off x="12620625" y="8105775"/>
          <a:ext cx="123825" cy="371475"/>
        </a:xfrm>
        <a:prstGeom prst="rightBrace">
          <a:avLst>
            <a:gd name="adj1" fmla="val 25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180975</xdr:colOff>
      <xdr:row>35</xdr:row>
      <xdr:rowOff>19050</xdr:rowOff>
    </xdr:from>
    <xdr:to>
      <xdr:col>14</xdr:col>
      <xdr:colOff>304800</xdr:colOff>
      <xdr:row>36</xdr:row>
      <xdr:rowOff>161925</xdr:rowOff>
    </xdr:to>
    <xdr:sp macro="" textlink="">
      <xdr:nvSpPr>
        <xdr:cNvPr id="6" name="AutoShape 23"/>
        <xdr:cNvSpPr>
          <a:spLocks/>
        </xdr:cNvSpPr>
      </xdr:nvSpPr>
      <xdr:spPr bwMode="auto">
        <a:xfrm>
          <a:off x="12753975" y="8086725"/>
          <a:ext cx="123825" cy="371475"/>
        </a:xfrm>
        <a:prstGeom prst="rightBrace">
          <a:avLst>
            <a:gd name="adj1" fmla="val 25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R60"/>
  <sheetViews>
    <sheetView tabSelected="1" workbookViewId="0">
      <selection activeCell="M42" sqref="M42"/>
    </sheetView>
  </sheetViews>
  <sheetFormatPr defaultRowHeight="12.75" x14ac:dyDescent="0.2"/>
  <cols>
    <col min="1" max="1" width="15.28515625" style="5" customWidth="1"/>
    <col min="2" max="2" width="42.85546875" style="5" customWidth="1"/>
    <col min="3" max="3" width="12.85546875" style="5" customWidth="1"/>
    <col min="4" max="4" width="12.85546875" style="5" hidden="1" customWidth="1"/>
    <col min="5" max="5" width="9" style="5" customWidth="1"/>
    <col min="6" max="6" width="9.7109375" style="5" customWidth="1"/>
    <col min="7" max="7" width="11.28515625" style="5" customWidth="1"/>
    <col min="8" max="8" width="9.7109375" style="5" customWidth="1"/>
    <col min="9" max="9" width="9.85546875" style="5" customWidth="1"/>
    <col min="10" max="10" width="10.7109375" style="5" hidden="1" customWidth="1"/>
    <col min="11" max="11" width="8.85546875" style="6" customWidth="1"/>
    <col min="12" max="12" width="48" style="5" customWidth="1"/>
    <col min="13" max="13" width="9.140625" style="5"/>
    <col min="14" max="14" width="12.42578125" style="5" customWidth="1"/>
    <col min="15" max="15" width="7.85546875" style="5" hidden="1" customWidth="1"/>
    <col min="16" max="16" width="7.140625" style="5" bestFit="1" customWidth="1"/>
    <col min="17" max="17" width="4" style="5" bestFit="1" customWidth="1"/>
    <col min="18" max="16384" width="9.140625" style="5"/>
  </cols>
  <sheetData>
    <row r="2" spans="1:12" s="1" customFormat="1" ht="18" x14ac:dyDescent="0.2">
      <c r="C2" s="144" t="s">
        <v>30</v>
      </c>
      <c r="D2" s="144"/>
      <c r="E2" s="144"/>
      <c r="F2" s="144"/>
      <c r="G2" s="144"/>
      <c r="H2" s="144"/>
      <c r="I2" s="2" t="s">
        <v>31</v>
      </c>
      <c r="K2" s="3"/>
    </row>
    <row r="3" spans="1:12" ht="13.5" thickBot="1" x14ac:dyDescent="0.25">
      <c r="A3" s="4" t="s">
        <v>0</v>
      </c>
      <c r="L3" s="7" t="s">
        <v>1</v>
      </c>
    </row>
    <row r="4" spans="1:12" ht="15.75" customHeight="1" x14ac:dyDescent="0.2">
      <c r="A4" s="145" t="s">
        <v>2</v>
      </c>
      <c r="B4" s="147" t="s">
        <v>3</v>
      </c>
      <c r="C4" s="135" t="s">
        <v>4</v>
      </c>
      <c r="D4" s="8" t="s">
        <v>5</v>
      </c>
      <c r="E4" s="149" t="s">
        <v>6</v>
      </c>
      <c r="F4" s="150"/>
      <c r="G4" s="139" t="s">
        <v>7</v>
      </c>
      <c r="H4" s="139" t="s">
        <v>8</v>
      </c>
      <c r="I4" s="135" t="s">
        <v>9</v>
      </c>
      <c r="J4" s="137" t="s">
        <v>10</v>
      </c>
      <c r="K4" s="9" t="s">
        <v>11</v>
      </c>
      <c r="L4" s="139" t="s">
        <v>12</v>
      </c>
    </row>
    <row r="5" spans="1:12" ht="51" customHeight="1" thickBot="1" x14ac:dyDescent="0.25">
      <c r="A5" s="146"/>
      <c r="B5" s="148"/>
      <c r="C5" s="136"/>
      <c r="D5" s="10" t="s">
        <v>32</v>
      </c>
      <c r="E5" s="11" t="s">
        <v>13</v>
      </c>
      <c r="F5" s="12" t="s">
        <v>14</v>
      </c>
      <c r="G5" s="151"/>
      <c r="H5" s="151"/>
      <c r="I5" s="136"/>
      <c r="J5" s="138"/>
      <c r="K5" s="13" t="s">
        <v>15</v>
      </c>
      <c r="L5" s="140"/>
    </row>
    <row r="6" spans="1:12" ht="16.5" customHeight="1" thickBot="1" x14ac:dyDescent="0.25">
      <c r="A6" s="14" t="s">
        <v>16</v>
      </c>
      <c r="B6" s="15" t="s">
        <v>33</v>
      </c>
      <c r="C6" s="16">
        <v>155000</v>
      </c>
      <c r="D6" s="16">
        <v>12000</v>
      </c>
      <c r="E6" s="17">
        <v>4500</v>
      </c>
      <c r="F6" s="17">
        <v>3000</v>
      </c>
      <c r="G6" s="18">
        <v>2000</v>
      </c>
      <c r="H6" s="19">
        <v>1802</v>
      </c>
      <c r="I6" s="20" t="s">
        <v>34</v>
      </c>
      <c r="J6" s="21" t="e">
        <v>#REF!</v>
      </c>
      <c r="K6" s="22">
        <f>IFERROR(+G6*100/F6,"-")</f>
        <v>66.666666666666671</v>
      </c>
      <c r="L6" s="23" t="s">
        <v>35</v>
      </c>
    </row>
    <row r="7" spans="1:12" ht="16.5" customHeight="1" thickBot="1" x14ac:dyDescent="0.25">
      <c r="A7" s="24"/>
      <c r="B7" s="15" t="s">
        <v>36</v>
      </c>
      <c r="C7" s="141">
        <v>0</v>
      </c>
      <c r="D7" s="141">
        <v>0</v>
      </c>
      <c r="E7" s="17">
        <v>7825</v>
      </c>
      <c r="F7" s="17">
        <v>8000</v>
      </c>
      <c r="G7" s="25">
        <v>7188</v>
      </c>
      <c r="H7" s="19">
        <v>2510</v>
      </c>
      <c r="I7" s="26" t="s">
        <v>34</v>
      </c>
      <c r="J7" s="27" t="e">
        <v>#REF!</v>
      </c>
      <c r="K7" s="22">
        <f t="shared" ref="K7:K41" si="0">IFERROR(+G7*100/F7,"-")</f>
        <v>89.85</v>
      </c>
      <c r="L7" s="23" t="s">
        <v>34</v>
      </c>
    </row>
    <row r="8" spans="1:12" ht="16.5" customHeight="1" thickBot="1" x14ac:dyDescent="0.25">
      <c r="A8" s="24"/>
      <c r="B8" s="15" t="s">
        <v>37</v>
      </c>
      <c r="C8" s="142">
        <v>0</v>
      </c>
      <c r="D8" s="142">
        <v>0</v>
      </c>
      <c r="E8" s="17">
        <v>0</v>
      </c>
      <c r="F8" s="17">
        <v>0</v>
      </c>
      <c r="G8" s="28">
        <v>0</v>
      </c>
      <c r="H8" s="19">
        <v>0</v>
      </c>
      <c r="I8" s="26" t="s">
        <v>34</v>
      </c>
      <c r="J8" s="27"/>
      <c r="K8" s="29" t="str">
        <f t="shared" si="0"/>
        <v>-</v>
      </c>
      <c r="L8" s="23" t="s">
        <v>34</v>
      </c>
    </row>
    <row r="9" spans="1:12" ht="16.5" customHeight="1" x14ac:dyDescent="0.2">
      <c r="A9" s="24"/>
      <c r="B9" s="15" t="s">
        <v>38</v>
      </c>
      <c r="C9" s="141">
        <v>80000</v>
      </c>
      <c r="D9" s="141">
        <v>6200</v>
      </c>
      <c r="E9" s="17">
        <v>10160</v>
      </c>
      <c r="F9" s="17">
        <v>10500</v>
      </c>
      <c r="G9" s="25">
        <v>10160</v>
      </c>
      <c r="H9" s="19">
        <v>1743</v>
      </c>
      <c r="I9" s="30" t="s">
        <v>34</v>
      </c>
      <c r="J9" s="27"/>
      <c r="K9" s="29">
        <f t="shared" si="0"/>
        <v>96.761904761904759</v>
      </c>
      <c r="L9" s="31" t="s">
        <v>34</v>
      </c>
    </row>
    <row r="10" spans="1:12" ht="16.5" customHeight="1" x14ac:dyDescent="0.2">
      <c r="A10" s="24"/>
      <c r="B10" s="32" t="s">
        <v>39</v>
      </c>
      <c r="C10" s="143"/>
      <c r="D10" s="143"/>
      <c r="E10" s="17">
        <v>750</v>
      </c>
      <c r="F10" s="17">
        <v>800</v>
      </c>
      <c r="G10" s="25">
        <v>750</v>
      </c>
      <c r="H10" s="19">
        <v>3032</v>
      </c>
      <c r="I10" s="30" t="s">
        <v>34</v>
      </c>
      <c r="J10" s="27"/>
      <c r="K10" s="29">
        <f t="shared" si="0"/>
        <v>93.75</v>
      </c>
      <c r="L10" s="23" t="s">
        <v>34</v>
      </c>
    </row>
    <row r="11" spans="1:12" x14ac:dyDescent="0.2">
      <c r="A11" s="24"/>
      <c r="B11" s="32" t="s">
        <v>40</v>
      </c>
      <c r="C11" s="142">
        <v>0</v>
      </c>
      <c r="D11" s="142">
        <v>0</v>
      </c>
      <c r="E11" s="17">
        <v>0</v>
      </c>
      <c r="F11" s="17">
        <v>0</v>
      </c>
      <c r="G11" s="25">
        <v>0</v>
      </c>
      <c r="H11" s="19">
        <v>0</v>
      </c>
      <c r="I11" s="26" t="s">
        <v>34</v>
      </c>
      <c r="J11" s="27" t="e">
        <v>#REF!</v>
      </c>
      <c r="K11" s="29" t="str">
        <f t="shared" si="0"/>
        <v>-</v>
      </c>
      <c r="L11" s="23" t="s">
        <v>34</v>
      </c>
    </row>
    <row r="12" spans="1:12" ht="16.5" customHeight="1" thickBot="1" x14ac:dyDescent="0.25">
      <c r="A12" s="24"/>
      <c r="B12" s="33" t="s">
        <v>41</v>
      </c>
      <c r="C12" s="33">
        <v>0</v>
      </c>
      <c r="D12" s="33">
        <v>0</v>
      </c>
      <c r="E12" s="17">
        <v>0</v>
      </c>
      <c r="F12" s="17">
        <v>0</v>
      </c>
      <c r="G12" s="34">
        <v>0</v>
      </c>
      <c r="H12" s="19">
        <v>0</v>
      </c>
      <c r="I12" s="26" t="s">
        <v>34</v>
      </c>
      <c r="J12" s="27" t="e">
        <v>#REF!</v>
      </c>
      <c r="K12" s="22" t="str">
        <f t="shared" si="0"/>
        <v>-</v>
      </c>
      <c r="L12" s="23" t="s">
        <v>34</v>
      </c>
    </row>
    <row r="13" spans="1:12" s="43" customFormat="1" ht="18" customHeight="1" thickBot="1" x14ac:dyDescent="0.25">
      <c r="A13" s="128" t="s">
        <v>17</v>
      </c>
      <c r="B13" s="129"/>
      <c r="C13" s="35">
        <f t="shared" ref="C13:I13" si="1">SUM(C6:C12)</f>
        <v>235000</v>
      </c>
      <c r="D13" s="35">
        <f t="shared" si="1"/>
        <v>18200</v>
      </c>
      <c r="E13" s="36">
        <f t="shared" si="1"/>
        <v>23235</v>
      </c>
      <c r="F13" s="37">
        <v>21000</v>
      </c>
      <c r="G13" s="38">
        <f t="shared" si="1"/>
        <v>20098</v>
      </c>
      <c r="H13" s="38">
        <f t="shared" si="1"/>
        <v>9087</v>
      </c>
      <c r="I13" s="39">
        <f t="shared" si="1"/>
        <v>0</v>
      </c>
      <c r="J13" s="40"/>
      <c r="K13" s="41">
        <f t="shared" si="0"/>
        <v>95.704761904761909</v>
      </c>
      <c r="L13" s="42" t="s">
        <v>34</v>
      </c>
    </row>
    <row r="14" spans="1:12" ht="13.5" thickBot="1" x14ac:dyDescent="0.25">
      <c r="A14" s="14" t="s">
        <v>18</v>
      </c>
      <c r="B14" s="44" t="s">
        <v>42</v>
      </c>
      <c r="C14" s="15">
        <v>72000</v>
      </c>
      <c r="D14" s="15">
        <v>17000</v>
      </c>
      <c r="E14" s="45">
        <v>14544</v>
      </c>
      <c r="F14" s="46">
        <v>14500</v>
      </c>
      <c r="G14" s="47">
        <v>14194.01</v>
      </c>
      <c r="H14" s="19">
        <v>1386</v>
      </c>
      <c r="I14" s="48">
        <v>0</v>
      </c>
      <c r="J14" s="49" t="e">
        <v>#REF!</v>
      </c>
      <c r="K14" s="50">
        <f t="shared" si="0"/>
        <v>97.88972413793104</v>
      </c>
      <c r="L14" s="51" t="s">
        <v>34</v>
      </c>
    </row>
    <row r="15" spans="1:12" ht="16.5" customHeight="1" thickBot="1" x14ac:dyDescent="0.25">
      <c r="A15" s="14"/>
      <c r="B15" s="44" t="s">
        <v>43</v>
      </c>
      <c r="C15" s="15">
        <v>201000</v>
      </c>
      <c r="D15" s="15">
        <v>1300</v>
      </c>
      <c r="E15" s="45">
        <v>19985</v>
      </c>
      <c r="F15" s="46">
        <v>15000</v>
      </c>
      <c r="G15" s="47">
        <v>14238</v>
      </c>
      <c r="H15" s="19">
        <v>639</v>
      </c>
      <c r="I15" s="48">
        <v>0</v>
      </c>
      <c r="J15" s="49"/>
      <c r="K15" s="50">
        <f t="shared" si="0"/>
        <v>94.92</v>
      </c>
      <c r="L15" s="51" t="s">
        <v>34</v>
      </c>
    </row>
    <row r="16" spans="1:12" ht="16.5" customHeight="1" thickBot="1" x14ac:dyDescent="0.25">
      <c r="A16" s="24"/>
      <c r="B16" s="44" t="s">
        <v>44</v>
      </c>
      <c r="C16" s="15">
        <v>15000</v>
      </c>
      <c r="D16" s="15">
        <v>16200</v>
      </c>
      <c r="E16" s="45">
        <v>1303</v>
      </c>
      <c r="F16" s="46">
        <v>1500</v>
      </c>
      <c r="G16" s="47">
        <v>1230</v>
      </c>
      <c r="H16" s="19">
        <v>64</v>
      </c>
      <c r="I16" s="48">
        <v>0</v>
      </c>
      <c r="J16" s="27" t="e">
        <v>#REF!</v>
      </c>
      <c r="K16" s="50">
        <f t="shared" si="0"/>
        <v>82</v>
      </c>
      <c r="L16" s="51" t="s">
        <v>34</v>
      </c>
    </row>
    <row r="17" spans="1:18" ht="16.5" customHeight="1" thickBot="1" x14ac:dyDescent="0.25">
      <c r="A17" s="24"/>
      <c r="B17" s="44" t="s">
        <v>45</v>
      </c>
      <c r="C17" s="15">
        <v>185000</v>
      </c>
      <c r="D17" s="15">
        <v>40600</v>
      </c>
      <c r="E17" s="45">
        <v>13170</v>
      </c>
      <c r="F17" s="46">
        <v>11500</v>
      </c>
      <c r="G17" s="47">
        <v>9673</v>
      </c>
      <c r="H17" s="19">
        <v>125</v>
      </c>
      <c r="I17" s="48">
        <v>0</v>
      </c>
      <c r="J17" s="52" t="e">
        <v>#REF!</v>
      </c>
      <c r="K17" s="53">
        <f t="shared" si="0"/>
        <v>84.113043478260863</v>
      </c>
      <c r="L17" s="54" t="s">
        <v>34</v>
      </c>
    </row>
    <row r="18" spans="1:18" s="43" customFormat="1" ht="28.5" customHeight="1" thickBot="1" x14ac:dyDescent="0.25">
      <c r="A18" s="128" t="s">
        <v>19</v>
      </c>
      <c r="B18" s="130"/>
      <c r="C18" s="55">
        <f t="shared" ref="C18:J18" si="2">SUM(C14:C17)</f>
        <v>473000</v>
      </c>
      <c r="D18" s="55">
        <f t="shared" si="2"/>
        <v>75100</v>
      </c>
      <c r="E18" s="36">
        <f t="shared" si="2"/>
        <v>49002</v>
      </c>
      <c r="F18" s="56">
        <v>42500</v>
      </c>
      <c r="G18" s="38">
        <f t="shared" si="2"/>
        <v>39335.01</v>
      </c>
      <c r="H18" s="38">
        <f t="shared" si="2"/>
        <v>2214</v>
      </c>
      <c r="I18" s="39">
        <f t="shared" si="2"/>
        <v>0</v>
      </c>
      <c r="J18" s="57" t="e">
        <f t="shared" si="2"/>
        <v>#REF!</v>
      </c>
      <c r="K18" s="41">
        <f t="shared" si="0"/>
        <v>92.55296470588236</v>
      </c>
      <c r="L18" s="58" t="s">
        <v>34</v>
      </c>
    </row>
    <row r="19" spans="1:18" ht="18.75" customHeight="1" x14ac:dyDescent="0.2">
      <c r="A19" s="59" t="s">
        <v>20</v>
      </c>
      <c r="B19" s="16" t="s">
        <v>46</v>
      </c>
      <c r="C19" s="16">
        <v>10000</v>
      </c>
      <c r="D19" s="16">
        <v>1300</v>
      </c>
      <c r="E19" s="17">
        <v>0</v>
      </c>
      <c r="F19" s="60">
        <v>0</v>
      </c>
      <c r="G19" s="47">
        <v>0</v>
      </c>
      <c r="H19" s="19">
        <v>0</v>
      </c>
      <c r="I19" s="48">
        <v>0</v>
      </c>
      <c r="J19" s="61" t="e">
        <v>#REF!</v>
      </c>
      <c r="K19" s="62" t="str">
        <f t="shared" si="0"/>
        <v>-</v>
      </c>
      <c r="L19" s="51" t="s">
        <v>34</v>
      </c>
    </row>
    <row r="20" spans="1:18" ht="18.75" customHeight="1" x14ac:dyDescent="0.2">
      <c r="A20" s="59" t="s">
        <v>2</v>
      </c>
      <c r="B20" s="16" t="s">
        <v>47</v>
      </c>
      <c r="C20" s="16">
        <v>15000</v>
      </c>
      <c r="D20" s="16">
        <v>0</v>
      </c>
      <c r="E20" s="17">
        <v>420</v>
      </c>
      <c r="F20" s="60">
        <v>450</v>
      </c>
      <c r="G20" s="47">
        <v>420</v>
      </c>
      <c r="H20" s="19">
        <v>26</v>
      </c>
      <c r="I20" s="48">
        <v>0</v>
      </c>
      <c r="J20" s="27" t="e">
        <v>#REF!</v>
      </c>
      <c r="K20" s="62">
        <f t="shared" si="0"/>
        <v>93.333333333333329</v>
      </c>
      <c r="L20" s="51" t="s">
        <v>34</v>
      </c>
    </row>
    <row r="21" spans="1:18" x14ac:dyDescent="0.2">
      <c r="A21" s="59"/>
      <c r="B21" s="16" t="s">
        <v>48</v>
      </c>
      <c r="C21" s="16">
        <v>0</v>
      </c>
      <c r="D21" s="16">
        <v>2300</v>
      </c>
      <c r="E21" s="17">
        <v>11352</v>
      </c>
      <c r="F21" s="60">
        <v>10000</v>
      </c>
      <c r="G21" s="47">
        <v>8965</v>
      </c>
      <c r="H21" s="19">
        <v>20</v>
      </c>
      <c r="I21" s="48">
        <v>0</v>
      </c>
      <c r="J21" s="27" t="e">
        <v>#REF!</v>
      </c>
      <c r="K21" s="62">
        <f t="shared" si="0"/>
        <v>89.65</v>
      </c>
      <c r="L21" s="51" t="s">
        <v>34</v>
      </c>
    </row>
    <row r="22" spans="1:18" ht="24.75" customHeight="1" x14ac:dyDescent="0.2">
      <c r="A22" s="24"/>
      <c r="B22" s="16" t="s">
        <v>44</v>
      </c>
      <c r="C22" s="16">
        <v>28000</v>
      </c>
      <c r="D22" s="16">
        <v>40700</v>
      </c>
      <c r="E22" s="17">
        <v>1896</v>
      </c>
      <c r="F22" s="60">
        <v>2000</v>
      </c>
      <c r="G22" s="47">
        <v>1610</v>
      </c>
      <c r="H22" s="19">
        <v>19</v>
      </c>
      <c r="I22" s="48">
        <v>0</v>
      </c>
      <c r="J22" s="27" t="e">
        <v>#REF!</v>
      </c>
      <c r="K22" s="50">
        <f t="shared" si="0"/>
        <v>80.5</v>
      </c>
      <c r="L22" s="63" t="s">
        <v>34</v>
      </c>
    </row>
    <row r="23" spans="1:18" ht="27.75" customHeight="1" x14ac:dyDescent="0.2">
      <c r="A23" s="24"/>
      <c r="B23" s="16" t="s">
        <v>49</v>
      </c>
      <c r="C23" s="16">
        <v>492000</v>
      </c>
      <c r="D23" s="16">
        <v>0</v>
      </c>
      <c r="E23" s="17">
        <v>70170</v>
      </c>
      <c r="F23" s="60">
        <v>55000</v>
      </c>
      <c r="G23" s="47">
        <v>45778</v>
      </c>
      <c r="H23" s="19">
        <v>2298</v>
      </c>
      <c r="I23" s="48">
        <v>0</v>
      </c>
      <c r="J23" s="27" t="e">
        <v>#REF!</v>
      </c>
      <c r="K23" s="62">
        <f t="shared" si="0"/>
        <v>83.232727272727274</v>
      </c>
      <c r="L23" s="51" t="s">
        <v>34</v>
      </c>
    </row>
    <row r="24" spans="1:18" ht="28.5" customHeight="1" thickBot="1" x14ac:dyDescent="0.25">
      <c r="A24" s="24"/>
      <c r="B24" s="16" t="s">
        <v>50</v>
      </c>
      <c r="C24" s="16">
        <v>0</v>
      </c>
      <c r="D24" s="16">
        <v>45100</v>
      </c>
      <c r="E24" s="17">
        <v>0</v>
      </c>
      <c r="F24" s="60">
        <v>0</v>
      </c>
      <c r="G24" s="47">
        <v>0</v>
      </c>
      <c r="H24" s="19">
        <v>0</v>
      </c>
      <c r="I24" s="48">
        <v>0</v>
      </c>
      <c r="J24" s="52" t="e">
        <v>#REF!</v>
      </c>
      <c r="K24" s="62" t="str">
        <f t="shared" si="0"/>
        <v>-</v>
      </c>
      <c r="L24" s="64" t="s">
        <v>34</v>
      </c>
    </row>
    <row r="25" spans="1:18" s="43" customFormat="1" ht="27.75" customHeight="1" thickBot="1" x14ac:dyDescent="0.25">
      <c r="A25" s="128" t="s">
        <v>21</v>
      </c>
      <c r="B25" s="130"/>
      <c r="C25" s="55">
        <f t="shared" ref="C25:I25" si="3">SUM(C19:C24)</f>
        <v>545000</v>
      </c>
      <c r="D25" s="55">
        <f t="shared" si="3"/>
        <v>89400</v>
      </c>
      <c r="E25" s="36">
        <f t="shared" si="3"/>
        <v>83838</v>
      </c>
      <c r="F25" s="56">
        <v>60000</v>
      </c>
      <c r="G25" s="65">
        <f t="shared" si="3"/>
        <v>56773</v>
      </c>
      <c r="H25" s="38">
        <f t="shared" si="3"/>
        <v>2363</v>
      </c>
      <c r="I25" s="39">
        <f t="shared" si="3"/>
        <v>0</v>
      </c>
      <c r="J25" s="40"/>
      <c r="K25" s="66">
        <f t="shared" si="0"/>
        <v>94.62166666666667</v>
      </c>
      <c r="L25" s="67" t="s">
        <v>34</v>
      </c>
    </row>
    <row r="26" spans="1:18" x14ac:dyDescent="0.2">
      <c r="A26" s="24" t="s">
        <v>22</v>
      </c>
      <c r="B26" s="16" t="s">
        <v>51</v>
      </c>
      <c r="C26" s="16">
        <v>1023000</v>
      </c>
      <c r="D26" s="16"/>
      <c r="E26" s="68">
        <v>117600</v>
      </c>
      <c r="F26" s="68">
        <v>110000</v>
      </c>
      <c r="G26" s="69">
        <v>97764</v>
      </c>
      <c r="H26" s="69">
        <v>4668</v>
      </c>
      <c r="I26" s="69">
        <v>0</v>
      </c>
      <c r="J26" s="27"/>
      <c r="K26" s="50">
        <f t="shared" si="0"/>
        <v>88.876363636363635</v>
      </c>
      <c r="L26" s="63" t="s">
        <v>34</v>
      </c>
    </row>
    <row r="27" spans="1:18" ht="13.5" thickBot="1" x14ac:dyDescent="0.25">
      <c r="A27" s="24"/>
      <c r="B27" s="70" t="s">
        <v>52</v>
      </c>
      <c r="C27" s="70">
        <v>62000</v>
      </c>
      <c r="D27" s="70"/>
      <c r="E27" s="68">
        <v>2884</v>
      </c>
      <c r="F27" s="68">
        <v>2500</v>
      </c>
      <c r="G27" s="69">
        <v>1939</v>
      </c>
      <c r="H27" s="69">
        <v>332</v>
      </c>
      <c r="I27" s="69">
        <v>0</v>
      </c>
      <c r="J27" s="52"/>
      <c r="K27" s="71">
        <f t="shared" si="0"/>
        <v>77.56</v>
      </c>
      <c r="L27" s="72" t="s">
        <v>34</v>
      </c>
    </row>
    <row r="28" spans="1:18" ht="13.5" thickBot="1" x14ac:dyDescent="0.25">
      <c r="A28" s="128" t="s">
        <v>23</v>
      </c>
      <c r="B28" s="130"/>
      <c r="C28" s="73">
        <f>SUM(C26:C27)</f>
        <v>1085000</v>
      </c>
      <c r="D28" s="73">
        <f t="shared" ref="D28:J28" si="4">SUM(D26:D27)</f>
        <v>0</v>
      </c>
      <c r="E28" s="73">
        <f t="shared" si="4"/>
        <v>120484</v>
      </c>
      <c r="F28" s="73">
        <v>112500</v>
      </c>
      <c r="G28" s="73">
        <f t="shared" si="4"/>
        <v>99703</v>
      </c>
      <c r="H28" s="73">
        <f t="shared" si="4"/>
        <v>5000</v>
      </c>
      <c r="I28" s="73">
        <f t="shared" si="4"/>
        <v>0</v>
      </c>
      <c r="J28" s="73">
        <f t="shared" si="4"/>
        <v>0</v>
      </c>
      <c r="K28" s="74">
        <f t="shared" si="0"/>
        <v>88.62488888888889</v>
      </c>
      <c r="L28" s="58" t="s">
        <v>34</v>
      </c>
    </row>
    <row r="29" spans="1:18" ht="20.25" customHeight="1" thickBot="1" x14ac:dyDescent="0.25">
      <c r="A29" s="75" t="s">
        <v>24</v>
      </c>
      <c r="B29" s="76" t="s">
        <v>53</v>
      </c>
      <c r="C29" s="70">
        <v>1545000</v>
      </c>
      <c r="D29" s="70"/>
      <c r="E29" s="77">
        <v>132000</v>
      </c>
      <c r="F29" s="78">
        <v>132000</v>
      </c>
      <c r="G29" s="79">
        <v>117577</v>
      </c>
      <c r="H29" s="80">
        <v>18452</v>
      </c>
      <c r="I29" s="81">
        <v>0</v>
      </c>
      <c r="J29" s="82" t="e">
        <v>#REF!</v>
      </c>
      <c r="K29" s="83">
        <f t="shared" si="0"/>
        <v>89.073484848484853</v>
      </c>
      <c r="L29" s="84" t="s">
        <v>54</v>
      </c>
    </row>
    <row r="30" spans="1:18" ht="19.5" customHeight="1" thickBot="1" x14ac:dyDescent="0.25">
      <c r="A30" s="55" t="s">
        <v>25</v>
      </c>
      <c r="B30" s="73"/>
      <c r="C30" s="85">
        <f>+C29+C25+C18+C13+C28</f>
        <v>3883000</v>
      </c>
      <c r="D30" s="85" t="e">
        <f>+D29+#REF!+D25+D18+D13+D28</f>
        <v>#REF!</v>
      </c>
      <c r="E30" s="85">
        <f>+E29+E25+E18+E13+E28</f>
        <v>408559</v>
      </c>
      <c r="F30" s="85">
        <f>+F29+F25+F18+F13+F28</f>
        <v>368000</v>
      </c>
      <c r="G30" s="85">
        <f>+G29+G25+G18+G13+G28</f>
        <v>333486.01</v>
      </c>
      <c r="H30" s="85">
        <f>+H29+H25+H18+H13+H28</f>
        <v>37116</v>
      </c>
      <c r="I30" s="85">
        <f>+I29+I25+I18+I13+I28</f>
        <v>0</v>
      </c>
      <c r="J30" s="86"/>
      <c r="K30" s="87">
        <f t="shared" si="0"/>
        <v>90.621198369565221</v>
      </c>
      <c r="L30" s="88"/>
    </row>
    <row r="31" spans="1:18" x14ac:dyDescent="0.2">
      <c r="A31" s="89" t="s">
        <v>26</v>
      </c>
      <c r="B31" s="17" t="s">
        <v>55</v>
      </c>
      <c r="C31" s="17">
        <v>202000</v>
      </c>
      <c r="D31" s="17" t="e">
        <v>#REF!</v>
      </c>
      <c r="E31" s="17">
        <v>15000</v>
      </c>
      <c r="F31" s="60">
        <v>8000</v>
      </c>
      <c r="G31" s="90">
        <v>5950</v>
      </c>
      <c r="H31" s="91">
        <v>2409</v>
      </c>
      <c r="I31" s="92">
        <v>1298</v>
      </c>
      <c r="J31" s="21" t="e">
        <v>#REF!</v>
      </c>
      <c r="K31" s="62">
        <f t="shared" si="0"/>
        <v>74.375</v>
      </c>
      <c r="L31" s="93" t="s">
        <v>56</v>
      </c>
      <c r="N31" s="152"/>
      <c r="O31" s="102"/>
      <c r="Q31" s="94"/>
      <c r="R31" s="94"/>
    </row>
    <row r="32" spans="1:18" x14ac:dyDescent="0.2">
      <c r="A32" s="70"/>
      <c r="B32" s="17" t="s">
        <v>57</v>
      </c>
      <c r="C32" s="17">
        <v>252000</v>
      </c>
      <c r="D32" s="17">
        <v>21600</v>
      </c>
      <c r="E32" s="68">
        <v>35000</v>
      </c>
      <c r="F32" s="95">
        <v>25000</v>
      </c>
      <c r="G32" s="69">
        <v>21650</v>
      </c>
      <c r="H32" s="96">
        <v>4433</v>
      </c>
      <c r="I32" s="96">
        <v>1354</v>
      </c>
      <c r="J32" s="27" t="e">
        <v>#REF!</v>
      </c>
      <c r="K32" s="62">
        <f t="shared" si="0"/>
        <v>86.6</v>
      </c>
      <c r="L32" s="97" t="s">
        <v>34</v>
      </c>
      <c r="N32" s="152"/>
      <c r="O32" s="102"/>
      <c r="Q32" s="94"/>
      <c r="R32" s="94"/>
    </row>
    <row r="33" spans="1:18" x14ac:dyDescent="0.2">
      <c r="A33" s="70"/>
      <c r="B33" s="17" t="s">
        <v>58</v>
      </c>
      <c r="C33" s="17">
        <v>0</v>
      </c>
      <c r="D33" s="17">
        <v>0</v>
      </c>
      <c r="E33" s="68">
        <v>0</v>
      </c>
      <c r="F33" s="95">
        <v>0</v>
      </c>
      <c r="G33" s="69">
        <v>0</v>
      </c>
      <c r="H33" s="98">
        <v>0</v>
      </c>
      <c r="I33" s="98">
        <v>0</v>
      </c>
      <c r="J33" s="27" t="e">
        <v>#REF!</v>
      </c>
      <c r="K33" s="62" t="str">
        <f t="shared" si="0"/>
        <v>-</v>
      </c>
      <c r="L33" s="33" t="s">
        <v>34</v>
      </c>
      <c r="N33" s="152"/>
      <c r="O33" s="102"/>
      <c r="Q33" s="94"/>
      <c r="R33" s="94"/>
    </row>
    <row r="34" spans="1:18" ht="13.5" thickBot="1" x14ac:dyDescent="0.25">
      <c r="A34" s="70"/>
      <c r="B34" s="17" t="s">
        <v>59</v>
      </c>
      <c r="C34" s="17">
        <v>12000</v>
      </c>
      <c r="D34" s="17">
        <v>1000</v>
      </c>
      <c r="E34" s="68">
        <v>0</v>
      </c>
      <c r="F34" s="95">
        <v>0</v>
      </c>
      <c r="G34" s="69">
        <v>0</v>
      </c>
      <c r="H34" s="98">
        <v>0</v>
      </c>
      <c r="I34" s="98">
        <v>0</v>
      </c>
      <c r="J34" s="27" t="e">
        <v>#REF!</v>
      </c>
      <c r="K34" s="62" t="str">
        <f t="shared" si="0"/>
        <v>-</v>
      </c>
      <c r="L34" s="33" t="s">
        <v>34</v>
      </c>
      <c r="M34" s="94"/>
      <c r="N34" s="152"/>
      <c r="O34" s="102"/>
      <c r="Q34" s="94"/>
      <c r="R34" s="94"/>
    </row>
    <row r="35" spans="1:18" x14ac:dyDescent="0.2">
      <c r="A35" s="70"/>
      <c r="B35" s="17" t="s">
        <v>47</v>
      </c>
      <c r="C35" s="17">
        <v>16000</v>
      </c>
      <c r="D35" s="17">
        <v>1400</v>
      </c>
      <c r="E35" s="68">
        <v>0</v>
      </c>
      <c r="F35" s="95">
        <v>1000</v>
      </c>
      <c r="G35" s="69">
        <v>924</v>
      </c>
      <c r="H35" s="98">
        <v>116</v>
      </c>
      <c r="I35" s="98">
        <v>29</v>
      </c>
      <c r="J35" s="27" t="e">
        <v>#REF!</v>
      </c>
      <c r="K35" s="62">
        <f t="shared" si="0"/>
        <v>92.4</v>
      </c>
      <c r="L35" s="93" t="s">
        <v>34</v>
      </c>
      <c r="N35" s="152"/>
      <c r="O35" s="102"/>
      <c r="Q35" s="94"/>
      <c r="R35" s="94"/>
    </row>
    <row r="36" spans="1:18" ht="18" customHeight="1" x14ac:dyDescent="0.2">
      <c r="A36" s="70"/>
      <c r="B36" s="17" t="s">
        <v>60</v>
      </c>
      <c r="C36" s="17">
        <v>0</v>
      </c>
      <c r="D36" s="17">
        <v>0</v>
      </c>
      <c r="E36" s="68">
        <v>0</v>
      </c>
      <c r="F36" s="95">
        <v>0</v>
      </c>
      <c r="G36" s="69">
        <v>0</v>
      </c>
      <c r="H36" s="98">
        <v>0</v>
      </c>
      <c r="I36" s="98">
        <v>0</v>
      </c>
      <c r="J36" s="27" t="e">
        <v>#REF!</v>
      </c>
      <c r="K36" s="50" t="str">
        <f t="shared" si="0"/>
        <v>-</v>
      </c>
      <c r="L36" s="33" t="s">
        <v>34</v>
      </c>
      <c r="N36" s="152"/>
      <c r="O36" s="102"/>
      <c r="Q36" s="94"/>
      <c r="R36" s="94"/>
    </row>
    <row r="37" spans="1:18" ht="18" customHeight="1" x14ac:dyDescent="0.2">
      <c r="A37" s="70"/>
      <c r="B37" s="17" t="s">
        <v>61</v>
      </c>
      <c r="C37" s="17">
        <v>24000</v>
      </c>
      <c r="D37" s="17">
        <v>2100</v>
      </c>
      <c r="E37" s="68">
        <v>0</v>
      </c>
      <c r="F37" s="95">
        <v>0</v>
      </c>
      <c r="G37" s="69">
        <v>0</v>
      </c>
      <c r="H37" s="98">
        <v>141</v>
      </c>
      <c r="I37" s="98">
        <v>450</v>
      </c>
      <c r="J37" s="27" t="e">
        <v>#REF!</v>
      </c>
      <c r="K37" s="62" t="str">
        <f t="shared" si="0"/>
        <v>-</v>
      </c>
      <c r="L37" s="33" t="s">
        <v>34</v>
      </c>
      <c r="N37" s="153"/>
      <c r="O37" s="102"/>
      <c r="Q37" s="94"/>
      <c r="R37" s="94"/>
    </row>
    <row r="38" spans="1:18" ht="21.75" customHeight="1" x14ac:dyDescent="0.2">
      <c r="A38" s="70"/>
      <c r="B38" s="17" t="s">
        <v>62</v>
      </c>
      <c r="C38" s="17">
        <v>0</v>
      </c>
      <c r="D38" s="17">
        <v>0</v>
      </c>
      <c r="E38" s="68">
        <v>0</v>
      </c>
      <c r="F38" s="95">
        <v>0</v>
      </c>
      <c r="G38" s="69">
        <v>0</v>
      </c>
      <c r="H38" s="98">
        <v>0</v>
      </c>
      <c r="I38" s="98">
        <v>0</v>
      </c>
      <c r="J38" s="27" t="e">
        <v>#REF!</v>
      </c>
      <c r="K38" s="62" t="str">
        <f t="shared" si="0"/>
        <v>-</v>
      </c>
      <c r="L38" s="33" t="s">
        <v>34</v>
      </c>
      <c r="N38" s="152"/>
      <c r="O38" s="102"/>
      <c r="Q38" s="94"/>
      <c r="R38" s="94"/>
    </row>
    <row r="39" spans="1:18" ht="13.5" thickBot="1" x14ac:dyDescent="0.25">
      <c r="A39" s="99"/>
      <c r="B39" s="17" t="s">
        <v>63</v>
      </c>
      <c r="C39" s="17">
        <v>200000</v>
      </c>
      <c r="D39" s="17">
        <v>17100</v>
      </c>
      <c r="E39" s="100">
        <v>0</v>
      </c>
      <c r="F39" s="80">
        <v>7000</v>
      </c>
      <c r="G39" s="101">
        <v>6717</v>
      </c>
      <c r="H39" s="81">
        <v>1208</v>
      </c>
      <c r="I39" s="81">
        <v>1415</v>
      </c>
      <c r="J39" s="82"/>
      <c r="K39" s="71">
        <f t="shared" si="0"/>
        <v>95.957142857142856</v>
      </c>
      <c r="L39" s="70" t="s">
        <v>34</v>
      </c>
      <c r="N39" s="153"/>
      <c r="O39" s="102"/>
      <c r="Q39" s="94"/>
      <c r="R39" s="94"/>
    </row>
    <row r="40" spans="1:18" s="43" customFormat="1" ht="13.5" thickBot="1" x14ac:dyDescent="0.25">
      <c r="A40" s="131" t="s">
        <v>27</v>
      </c>
      <c r="B40" s="132"/>
      <c r="C40" s="55">
        <f t="shared" ref="C40:I40" si="5">SUM(C31:C39)</f>
        <v>706000</v>
      </c>
      <c r="D40" s="55" t="e">
        <f t="shared" si="5"/>
        <v>#REF!</v>
      </c>
      <c r="E40" s="36">
        <f t="shared" si="5"/>
        <v>50000</v>
      </c>
      <c r="F40" s="56">
        <f t="shared" si="5"/>
        <v>41000</v>
      </c>
      <c r="G40" s="38">
        <f t="shared" si="5"/>
        <v>35241</v>
      </c>
      <c r="H40" s="39">
        <f t="shared" si="5"/>
        <v>8307</v>
      </c>
      <c r="I40" s="39">
        <f t="shared" si="5"/>
        <v>4546</v>
      </c>
      <c r="J40" s="40"/>
      <c r="K40" s="103">
        <f t="shared" si="0"/>
        <v>85.953658536585365</v>
      </c>
      <c r="L40" s="104" t="s">
        <v>34</v>
      </c>
      <c r="N40" s="154"/>
      <c r="O40" s="105"/>
      <c r="Q40" s="106"/>
      <c r="R40" s="106"/>
    </row>
    <row r="41" spans="1:18" s="114" customFormat="1" ht="18" customHeight="1" thickBot="1" x14ac:dyDescent="0.25">
      <c r="A41" s="133" t="s">
        <v>28</v>
      </c>
      <c r="B41" s="134"/>
      <c r="C41" s="107">
        <f>C13+C18+C25+C28+C29+C40</f>
        <v>4589000</v>
      </c>
      <c r="D41" s="107" t="e">
        <f>+D40+D29+#REF!+D25+D18+D13</f>
        <v>#REF!</v>
      </c>
      <c r="E41" s="108">
        <f>E13+E18+E25+E28+E29+E40</f>
        <v>458559</v>
      </c>
      <c r="F41" s="109">
        <f>F13+F18+F25+F28+F29+F40</f>
        <v>409000</v>
      </c>
      <c r="G41" s="110">
        <f>G13+G18+G25+G28+G29+G40</f>
        <v>368727.01</v>
      </c>
      <c r="H41" s="111">
        <f>H13+H18+H25+H28+H29+H40</f>
        <v>45423</v>
      </c>
      <c r="I41" s="111">
        <f>I13+I18+I25+I28+I29+I40</f>
        <v>4546</v>
      </c>
      <c r="J41" s="112"/>
      <c r="K41" s="113">
        <f t="shared" si="0"/>
        <v>90.153303178484109</v>
      </c>
      <c r="L41" s="107" t="s">
        <v>34</v>
      </c>
      <c r="N41" s="155"/>
      <c r="O41" s="115"/>
      <c r="Q41" s="116"/>
      <c r="R41" s="116"/>
    </row>
    <row r="42" spans="1:18" x14ac:dyDescent="0.2">
      <c r="E42" s="94"/>
      <c r="F42" s="94"/>
      <c r="G42" s="94"/>
      <c r="H42" s="94"/>
      <c r="I42" s="94"/>
      <c r="J42" s="94"/>
      <c r="K42" s="117"/>
      <c r="L42" s="94"/>
      <c r="M42" s="94"/>
      <c r="N42" s="94"/>
      <c r="O42" s="94"/>
      <c r="P42" s="94"/>
      <c r="Q42" s="94"/>
      <c r="R42" s="94"/>
    </row>
    <row r="43" spans="1:18" ht="17.25" customHeight="1" x14ac:dyDescent="0.2">
      <c r="B43" s="125"/>
      <c r="C43" s="126"/>
      <c r="D43" s="126"/>
      <c r="E43" s="126"/>
      <c r="F43" s="126"/>
      <c r="G43" s="126"/>
      <c r="H43" s="126"/>
      <c r="I43" s="126"/>
      <c r="J43" s="126"/>
      <c r="K43" s="126"/>
      <c r="L43" s="126"/>
    </row>
    <row r="44" spans="1:18" ht="10.5" customHeight="1" x14ac:dyDescent="0.2"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</row>
    <row r="45" spans="1:18" ht="19.5" customHeight="1" x14ac:dyDescent="0.2">
      <c r="B45" s="118"/>
      <c r="E45" s="119"/>
      <c r="F45" s="119"/>
      <c r="G45" s="119"/>
      <c r="H45" s="119"/>
      <c r="I45" s="119"/>
      <c r="J45" s="119"/>
      <c r="K45" s="120"/>
    </row>
    <row r="46" spans="1:18" s="121" customFormat="1" ht="15.75" customHeight="1" x14ac:dyDescent="0.2"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</row>
    <row r="47" spans="1:18" s="121" customFormat="1" x14ac:dyDescent="0.2">
      <c r="B47" s="127" t="s">
        <v>29</v>
      </c>
      <c r="C47" s="127"/>
      <c r="D47" s="127"/>
      <c r="E47" s="127"/>
      <c r="F47" s="127"/>
      <c r="G47" s="127"/>
      <c r="H47" s="127"/>
      <c r="I47" s="127"/>
      <c r="J47" s="127"/>
      <c r="K47" s="127"/>
      <c r="L47" s="122"/>
    </row>
    <row r="48" spans="1:18" x14ac:dyDescent="0.2">
      <c r="E48" s="94"/>
      <c r="F48" s="94"/>
      <c r="G48" s="94"/>
      <c r="H48" s="94"/>
      <c r="I48" s="94"/>
      <c r="J48" s="94" t="e">
        <f>SUM(J31:J38)</f>
        <v>#REF!</v>
      </c>
      <c r="K48" s="117"/>
    </row>
    <row r="49" spans="5:12" x14ac:dyDescent="0.2">
      <c r="E49" s="123"/>
    </row>
    <row r="51" spans="5:12" x14ac:dyDescent="0.2">
      <c r="L51" s="114"/>
    </row>
    <row r="52" spans="5:12" x14ac:dyDescent="0.2">
      <c r="E52" s="94"/>
      <c r="F52" s="94"/>
      <c r="G52" s="94"/>
      <c r="H52" s="94"/>
      <c r="I52" s="94"/>
    </row>
    <row r="54" spans="5:12" x14ac:dyDescent="0.2">
      <c r="E54" s="124"/>
      <c r="F54" s="124"/>
      <c r="G54" s="124"/>
      <c r="H54" s="124"/>
    </row>
    <row r="55" spans="5:12" x14ac:dyDescent="0.2">
      <c r="E55" s="124"/>
      <c r="F55" s="124"/>
      <c r="G55" s="124"/>
      <c r="H55" s="124"/>
    </row>
    <row r="56" spans="5:12" x14ac:dyDescent="0.2">
      <c r="E56" s="124"/>
      <c r="F56" s="124"/>
      <c r="G56" s="124"/>
      <c r="H56" s="124"/>
    </row>
    <row r="57" spans="5:12" x14ac:dyDescent="0.2">
      <c r="E57" s="124"/>
      <c r="F57" s="124"/>
      <c r="G57" s="124"/>
      <c r="H57" s="124"/>
    </row>
    <row r="58" spans="5:12" x14ac:dyDescent="0.2">
      <c r="E58" s="124"/>
      <c r="F58" s="124"/>
      <c r="G58" s="124"/>
      <c r="H58" s="124"/>
    </row>
    <row r="59" spans="5:12" x14ac:dyDescent="0.2">
      <c r="E59" s="124"/>
      <c r="F59" s="124"/>
      <c r="G59" s="124"/>
      <c r="H59" s="124"/>
    </row>
    <row r="60" spans="5:12" x14ac:dyDescent="0.2">
      <c r="E60" s="124"/>
      <c r="F60" s="124"/>
      <c r="G60" s="124"/>
      <c r="H60" s="124"/>
    </row>
  </sheetData>
  <mergeCells count="23">
    <mergeCell ref="C9:C11"/>
    <mergeCell ref="D9:D11"/>
    <mergeCell ref="C2:H2"/>
    <mergeCell ref="A4:A5"/>
    <mergeCell ref="B4:B5"/>
    <mergeCell ref="C4:C5"/>
    <mergeCell ref="E4:F4"/>
    <mergeCell ref="G4:G5"/>
    <mergeCell ref="H4:H5"/>
    <mergeCell ref="I4:I5"/>
    <mergeCell ref="J4:J5"/>
    <mergeCell ref="L4:L5"/>
    <mergeCell ref="C7:C8"/>
    <mergeCell ref="D7:D8"/>
    <mergeCell ref="B43:L44"/>
    <mergeCell ref="B46:L46"/>
    <mergeCell ref="B47:K47"/>
    <mergeCell ref="A13:B13"/>
    <mergeCell ref="A18:B18"/>
    <mergeCell ref="A25:B25"/>
    <mergeCell ref="A28:B28"/>
    <mergeCell ref="A40:B40"/>
    <mergeCell ref="A41:B41"/>
  </mergeCells>
  <pageMargins left="0.95" right="0.23" top="0.34" bottom="0.28999999999999998" header="0.25" footer="0.28999999999999998"/>
  <pageSetup paperSize="9" scale="6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CORP</vt:lpstr>
      <vt:lpstr>CORP!Print_Area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</cp:lastModifiedBy>
  <dcterms:created xsi:type="dcterms:W3CDTF">2026-04-18T11:34:11Z</dcterms:created>
  <dcterms:modified xsi:type="dcterms:W3CDTF">2026-04-18T11:37:49Z</dcterms:modified>
</cp:coreProperties>
</file>