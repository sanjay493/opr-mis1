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I56" i="1"/>
  <c r="H56"/>
  <c r="J56" s="1"/>
  <c r="G56"/>
  <c r="I55"/>
  <c r="H55"/>
  <c r="J55" s="1"/>
  <c r="G55"/>
  <c r="I54"/>
  <c r="H54"/>
  <c r="G54"/>
  <c r="E54"/>
  <c r="I53"/>
  <c r="H53"/>
  <c r="J53" s="1"/>
  <c r="G53"/>
  <c r="I52"/>
  <c r="H52"/>
  <c r="J52" s="1"/>
  <c r="G52"/>
  <c r="E52"/>
  <c r="J51"/>
  <c r="I51"/>
  <c r="H51"/>
  <c r="G51"/>
  <c r="E51"/>
  <c r="F50"/>
  <c r="F57" s="1"/>
  <c r="D50"/>
  <c r="C50"/>
  <c r="C57" s="1"/>
  <c r="J49"/>
  <c r="I49"/>
  <c r="H49"/>
  <c r="G49"/>
  <c r="J48"/>
  <c r="I48"/>
  <c r="H48"/>
  <c r="G48"/>
  <c r="J47"/>
  <c r="I47"/>
  <c r="H47"/>
  <c r="G47"/>
  <c r="G50" s="1"/>
  <c r="E47"/>
  <c r="I46"/>
  <c r="H46"/>
  <c r="J46" s="1"/>
  <c r="G46"/>
  <c r="E46"/>
  <c r="I45"/>
  <c r="H45"/>
  <c r="J45" s="1"/>
  <c r="G45"/>
  <c r="E45"/>
  <c r="J44"/>
  <c r="J50" s="1"/>
  <c r="I44"/>
  <c r="I50" s="1"/>
  <c r="H44"/>
  <c r="H50" s="1"/>
  <c r="G44"/>
  <c r="E44"/>
  <c r="F42"/>
  <c r="D42"/>
  <c r="C42"/>
  <c r="J41"/>
  <c r="I41"/>
  <c r="H41"/>
  <c r="G41"/>
  <c r="E41"/>
  <c r="I40"/>
  <c r="H40"/>
  <c r="J40" s="1"/>
  <c r="G40"/>
  <c r="E40"/>
  <c r="I39"/>
  <c r="H39"/>
  <c r="J39" s="1"/>
  <c r="G39"/>
  <c r="E39"/>
  <c r="J38"/>
  <c r="I38"/>
  <c r="H38"/>
  <c r="G38"/>
  <c r="E38"/>
  <c r="J37"/>
  <c r="I37"/>
  <c r="H37"/>
  <c r="G37"/>
  <c r="G42" s="1"/>
  <c r="E37"/>
  <c r="E42" s="1"/>
  <c r="I36"/>
  <c r="H36"/>
  <c r="J36" s="1"/>
  <c r="G36"/>
  <c r="E36"/>
  <c r="I35"/>
  <c r="H35"/>
  <c r="J35" s="1"/>
  <c r="G35"/>
  <c r="I34"/>
  <c r="I42" s="1"/>
  <c r="H34"/>
  <c r="H42" s="1"/>
  <c r="G34"/>
  <c r="F32"/>
  <c r="D32"/>
  <c r="D57" s="1"/>
  <c r="C32"/>
  <c r="E31"/>
  <c r="J30"/>
  <c r="I30"/>
  <c r="H30"/>
  <c r="G30"/>
  <c r="E30"/>
  <c r="J29"/>
  <c r="I29"/>
  <c r="H29"/>
  <c r="G29"/>
  <c r="E29"/>
  <c r="I28"/>
  <c r="H28"/>
  <c r="J28" s="1"/>
  <c r="G28"/>
  <c r="E28"/>
  <c r="I27"/>
  <c r="H27"/>
  <c r="J27" s="1"/>
  <c r="G27"/>
  <c r="E27"/>
  <c r="J26"/>
  <c r="I26"/>
  <c r="H26"/>
  <c r="G26"/>
  <c r="E26"/>
  <c r="E32" s="1"/>
  <c r="J25"/>
  <c r="I25"/>
  <c r="H25"/>
  <c r="G25"/>
  <c r="E25"/>
  <c r="I24"/>
  <c r="H24"/>
  <c r="J24" s="1"/>
  <c r="G24"/>
  <c r="I23"/>
  <c r="H23"/>
  <c r="J23" s="1"/>
  <c r="G23"/>
  <c r="E23"/>
  <c r="I22"/>
  <c r="I32" s="1"/>
  <c r="H22"/>
  <c r="J22" s="1"/>
  <c r="G22"/>
  <c r="G32" s="1"/>
  <c r="E22"/>
  <c r="F20"/>
  <c r="D20"/>
  <c r="C20"/>
  <c r="J18"/>
  <c r="I18"/>
  <c r="H18"/>
  <c r="G18"/>
  <c r="J17"/>
  <c r="I17"/>
  <c r="H17"/>
  <c r="G17"/>
  <c r="E17"/>
  <c r="J16"/>
  <c r="I16"/>
  <c r="H16"/>
  <c r="G16"/>
  <c r="E16"/>
  <c r="I15"/>
  <c r="H15"/>
  <c r="J15" s="1"/>
  <c r="G15"/>
  <c r="E15"/>
  <c r="I14"/>
  <c r="H14"/>
  <c r="J14" s="1"/>
  <c r="G14"/>
  <c r="I13"/>
  <c r="H13"/>
  <c r="J13" s="1"/>
  <c r="G13"/>
  <c r="E13"/>
  <c r="J12"/>
  <c r="I12"/>
  <c r="H12"/>
  <c r="G12"/>
  <c r="J11"/>
  <c r="I11"/>
  <c r="H11"/>
  <c r="G11"/>
  <c r="E11"/>
  <c r="J10"/>
  <c r="I10"/>
  <c r="H10"/>
  <c r="G10"/>
  <c r="E10"/>
  <c r="I9"/>
  <c r="H9"/>
  <c r="J9" s="1"/>
  <c r="G9"/>
  <c r="E9"/>
  <c r="I8"/>
  <c r="H8"/>
  <c r="J8" s="1"/>
  <c r="G8"/>
  <c r="E8"/>
  <c r="J7"/>
  <c r="I7"/>
  <c r="I20" s="1"/>
  <c r="H7"/>
  <c r="H20" s="1"/>
  <c r="G7"/>
  <c r="G20" s="1"/>
  <c r="E7"/>
  <c r="E20" s="1"/>
  <c r="J32" l="1"/>
  <c r="I57"/>
  <c r="J20"/>
  <c r="G57"/>
  <c r="H32"/>
  <c r="H57" s="1"/>
  <c r="E50"/>
  <c r="E57" s="1"/>
  <c r="J34"/>
  <c r="J42" s="1"/>
  <c r="J57" s="1"/>
</calcChain>
</file>

<file path=xl/sharedStrings.xml><?xml version="1.0" encoding="utf-8"?>
<sst xmlns="http://schemas.openxmlformats.org/spreadsheetml/2006/main" count="95" uniqueCount="60">
  <si>
    <t>Date:</t>
  </si>
  <si>
    <t>PRODUCT</t>
  </si>
  <si>
    <t>QUALITY/GRADE</t>
  </si>
  <si>
    <t>APP</t>
  </si>
  <si>
    <t>ACTUAL UP TO</t>
  </si>
  <si>
    <t>ASKING RATE</t>
  </si>
  <si>
    <t>APP FOR THE</t>
  </si>
  <si>
    <t>ORDER AVAILABLE</t>
  </si>
  <si>
    <t>DESPATCH</t>
  </si>
  <si>
    <t>EXPECTED</t>
  </si>
  <si>
    <t xml:space="preserve"> LAST MONTH</t>
  </si>
  <si>
    <t>PER- MONTH</t>
  </si>
  <si>
    <t>MONTH</t>
  </si>
  <si>
    <t>TOTAL</t>
  </si>
  <si>
    <t>EFFECTIVE</t>
  </si>
  <si>
    <t>TILL DATE</t>
  </si>
  <si>
    <t>HR COIL</t>
  </si>
  <si>
    <t>LPG/EN 10120/JIS</t>
  </si>
  <si>
    <t>HT GRADES *</t>
  </si>
  <si>
    <t>API</t>
  </si>
  <si>
    <t>MC SERIES</t>
  </si>
  <si>
    <t>BOILER QUALITY</t>
  </si>
  <si>
    <t>SAE 1020</t>
  </si>
  <si>
    <t>CU BEARING</t>
  </si>
  <si>
    <t>SAILCOR</t>
  </si>
  <si>
    <t>AUTO GRADE</t>
  </si>
  <si>
    <t>EDD K</t>
  </si>
  <si>
    <t>SAILSOFT (WTCR)</t>
  </si>
  <si>
    <t>IS 2062 E250B0/ Gr.C</t>
  </si>
  <si>
    <t>ASTM A131 FH36</t>
  </si>
  <si>
    <t xml:space="preserve"> </t>
  </si>
  <si>
    <t>HR PLATE</t>
  </si>
  <si>
    <t>LPG</t>
  </si>
  <si>
    <t>DMR</t>
  </si>
  <si>
    <t>IS 2062 E250B0/ GR C</t>
  </si>
  <si>
    <t>SHIP BUILDING</t>
  </si>
  <si>
    <t>HR SHEET</t>
  </si>
  <si>
    <t>IS 2062 E250B0/GR C</t>
  </si>
  <si>
    <t>CR COIL/</t>
  </si>
  <si>
    <t>SHEET</t>
  </si>
  <si>
    <t>Cu-Bearing</t>
  </si>
  <si>
    <t>DD-K/EDD-K</t>
  </si>
  <si>
    <t xml:space="preserve">0.4mm&amp;below CR COIL </t>
  </si>
  <si>
    <t>0.4mm&amp;below GP/GC</t>
  </si>
  <si>
    <t>SLAB</t>
  </si>
  <si>
    <t>GRND/TOT</t>
  </si>
  <si>
    <t>GRAND TOTAL</t>
  </si>
  <si>
    <t>* HT grades include IS 2062E300/350/410/450, IS 5986 Fe490/510, IS 5986 GR 325/355/420, IS 10748 Gr 5, ASTM A572 GR 50</t>
  </si>
  <si>
    <t>* Auto grades include E-34/E-46/BSK-46, HSFQ/SAILFORMING</t>
  </si>
  <si>
    <t>HSFQ/SAIL FORMING</t>
  </si>
  <si>
    <t>ISC390W/440W</t>
  </si>
  <si>
    <t>WTCR</t>
  </si>
  <si>
    <t>28 MN B5</t>
  </si>
  <si>
    <t>-</t>
  </si>
  <si>
    <t>IS 18316 LS</t>
  </si>
  <si>
    <t>Si : 0.03 Max (Export)</t>
  </si>
  <si>
    <t>IS 513 CR1 390/410/440</t>
  </si>
  <si>
    <t>SPECIAL STEEL REPORT FOR APRIL  2026</t>
  </si>
  <si>
    <t>2026-27</t>
  </si>
  <si>
    <t>SAE 1006 Si controlled export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</si>
</sst>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409]mmmm\-yy;@"/>
  </numFmts>
  <fonts count="1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165" fontId="4" fillId="2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6" fillId="0" borderId="17" xfId="0" applyFont="1" applyFill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ecial%20Steel%202026-27/Spl.Steel%20April'26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st Page"/>
      <sheetName val="PLANT CONTROL"/>
      <sheetName val="RMT"/>
      <sheetName val="SRM OFFICE"/>
      <sheetName val="CORPORATE OFFICE"/>
      <sheetName val="Sheet1"/>
      <sheetName val="Sheet2"/>
      <sheetName val="Sheet3"/>
    </sheetNames>
    <sheetDataSet>
      <sheetData sheetId="0">
        <row r="6">
          <cell r="E6">
            <v>941</v>
          </cell>
        </row>
        <row r="7">
          <cell r="E7">
            <v>0</v>
          </cell>
        </row>
        <row r="8">
          <cell r="C8">
            <v>1658</v>
          </cell>
          <cell r="D8">
            <v>1658</v>
          </cell>
        </row>
        <row r="9">
          <cell r="C9">
            <v>6337</v>
          </cell>
          <cell r="D9">
            <v>6337</v>
          </cell>
          <cell r="E9">
            <v>4260</v>
          </cell>
        </row>
        <row r="10">
          <cell r="C10">
            <v>0</v>
          </cell>
          <cell r="D10">
            <v>0</v>
          </cell>
          <cell r="E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</row>
        <row r="14">
          <cell r="C14">
            <v>8035</v>
          </cell>
          <cell r="D14">
            <v>8035</v>
          </cell>
          <cell r="E14">
            <v>4450</v>
          </cell>
        </row>
        <row r="15">
          <cell r="C15">
            <v>6096</v>
          </cell>
          <cell r="D15">
            <v>6096</v>
          </cell>
          <cell r="E15">
            <v>3840</v>
          </cell>
        </row>
        <row r="16">
          <cell r="C16">
            <v>22</v>
          </cell>
          <cell r="D16">
            <v>22</v>
          </cell>
          <cell r="E16">
            <v>21</v>
          </cell>
        </row>
        <row r="17">
          <cell r="C17">
            <v>0</v>
          </cell>
          <cell r="E17">
            <v>0</v>
          </cell>
        </row>
        <row r="19">
          <cell r="C19">
            <v>0</v>
          </cell>
          <cell r="D19">
            <v>0</v>
          </cell>
          <cell r="E19">
            <v>0</v>
          </cell>
        </row>
        <row r="22">
          <cell r="C22">
            <v>2365</v>
          </cell>
          <cell r="D22">
            <v>2365</v>
          </cell>
          <cell r="E22">
            <v>1455</v>
          </cell>
        </row>
        <row r="23">
          <cell r="C23">
            <v>0</v>
          </cell>
          <cell r="D23">
            <v>0</v>
          </cell>
        </row>
        <row r="24">
          <cell r="C24">
            <v>578</v>
          </cell>
          <cell r="D24">
            <v>578</v>
          </cell>
          <cell r="E24">
            <v>191</v>
          </cell>
        </row>
        <row r="26">
          <cell r="C26">
            <v>0</v>
          </cell>
          <cell r="D26">
            <v>0</v>
          </cell>
          <cell r="E26">
            <v>0</v>
          </cell>
        </row>
        <row r="28">
          <cell r="C28">
            <v>1254</v>
          </cell>
          <cell r="D28">
            <v>1254</v>
          </cell>
          <cell r="E28">
            <v>440</v>
          </cell>
        </row>
        <row r="29">
          <cell r="C29">
            <v>1856</v>
          </cell>
          <cell r="D29">
            <v>1856</v>
          </cell>
          <cell r="E29">
            <v>836</v>
          </cell>
        </row>
        <row r="30">
          <cell r="C30">
            <v>41</v>
          </cell>
          <cell r="D30">
            <v>41</v>
          </cell>
          <cell r="E30">
            <v>40</v>
          </cell>
        </row>
        <row r="31">
          <cell r="C31">
            <v>65</v>
          </cell>
          <cell r="D31">
            <v>65</v>
          </cell>
          <cell r="E31">
            <v>28</v>
          </cell>
        </row>
        <row r="33">
          <cell r="C33">
            <v>368</v>
          </cell>
          <cell r="D33">
            <v>368</v>
          </cell>
          <cell r="E33">
            <v>280</v>
          </cell>
        </row>
        <row r="34">
          <cell r="C34">
            <v>1177</v>
          </cell>
          <cell r="D34">
            <v>1177</v>
          </cell>
          <cell r="E34">
            <v>113</v>
          </cell>
        </row>
        <row r="35">
          <cell r="C35">
            <v>319</v>
          </cell>
          <cell r="D35">
            <v>319</v>
          </cell>
          <cell r="E35">
            <v>184</v>
          </cell>
        </row>
        <row r="36">
          <cell r="C36">
            <v>148</v>
          </cell>
          <cell r="D36">
            <v>148</v>
          </cell>
          <cell r="E36">
            <v>52</v>
          </cell>
        </row>
        <row r="38">
          <cell r="C38">
            <v>3060</v>
          </cell>
          <cell r="D38">
            <v>3060</v>
          </cell>
          <cell r="E38">
            <v>1601</v>
          </cell>
        </row>
        <row r="39">
          <cell r="C39">
            <v>0</v>
          </cell>
          <cell r="D39">
            <v>0</v>
          </cell>
          <cell r="E39">
            <v>0</v>
          </cell>
        </row>
        <row r="41">
          <cell r="C41">
            <v>107</v>
          </cell>
          <cell r="D41">
            <v>107</v>
          </cell>
          <cell r="E41">
            <v>48</v>
          </cell>
        </row>
        <row r="43">
          <cell r="C43">
            <v>0</v>
          </cell>
          <cell r="D43">
            <v>0</v>
          </cell>
          <cell r="E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</row>
        <row r="48">
          <cell r="C48">
            <v>0</v>
          </cell>
          <cell r="D48">
            <v>0</v>
          </cell>
          <cell r="E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</row>
        <row r="53">
          <cell r="C53">
            <v>11045</v>
          </cell>
          <cell r="D53">
            <v>11045</v>
          </cell>
          <cell r="E53">
            <v>3252</v>
          </cell>
        </row>
        <row r="54">
          <cell r="C54">
            <v>1480</v>
          </cell>
          <cell r="D54">
            <v>1480</v>
          </cell>
          <cell r="E54">
            <v>1472</v>
          </cell>
        </row>
        <row r="56">
          <cell r="C56">
            <v>0</v>
          </cell>
          <cell r="D56">
            <v>0</v>
          </cell>
          <cell r="E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</row>
        <row r="60">
          <cell r="C60">
            <v>0</v>
          </cell>
          <cell r="D60">
            <v>0</v>
          </cell>
          <cell r="E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</row>
        <row r="64">
          <cell r="C64">
            <v>491</v>
          </cell>
          <cell r="D64">
            <v>491</v>
          </cell>
          <cell r="E64">
            <v>42</v>
          </cell>
        </row>
        <row r="66">
          <cell r="C66">
            <v>0</v>
          </cell>
          <cell r="D66">
            <v>0</v>
          </cell>
          <cell r="E66">
            <v>0</v>
          </cell>
        </row>
        <row r="68">
          <cell r="C68">
            <v>2268</v>
          </cell>
          <cell r="D68">
            <v>2268</v>
          </cell>
          <cell r="E68">
            <v>659</v>
          </cell>
        </row>
        <row r="69">
          <cell r="C69">
            <v>0</v>
          </cell>
          <cell r="D69">
            <v>0</v>
          </cell>
          <cell r="E69">
            <v>0</v>
          </cell>
        </row>
        <row r="70">
          <cell r="C70">
            <v>8000</v>
          </cell>
          <cell r="E70">
            <v>7628</v>
          </cell>
        </row>
        <row r="71">
          <cell r="C71">
            <v>862</v>
          </cell>
          <cell r="D71">
            <v>862</v>
          </cell>
          <cell r="E71">
            <v>862</v>
          </cell>
        </row>
        <row r="72">
          <cell r="C72">
            <v>1794</v>
          </cell>
          <cell r="D72">
            <v>1794</v>
          </cell>
          <cell r="E72">
            <v>1794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"/>
  <sheetViews>
    <sheetView tabSelected="1" topLeftCell="A44" workbookViewId="0">
      <selection sqref="A1:XFD1048576"/>
    </sheetView>
  </sheetViews>
  <sheetFormatPr defaultRowHeight="15"/>
  <cols>
    <col min="1" max="1" width="10.7109375" style="10" customWidth="1"/>
    <col min="2" max="2" width="23" style="10" bestFit="1" customWidth="1"/>
    <col min="3" max="4" width="15.85546875" style="56" customWidth="1"/>
    <col min="5" max="5" width="13.7109375" style="56" bestFit="1" customWidth="1"/>
    <col min="6" max="10" width="15.85546875" style="56" customWidth="1"/>
    <col min="11" max="16384" width="9.140625" style="10"/>
  </cols>
  <sheetData>
    <row r="1" spans="1:12" ht="18">
      <c r="A1" s="6" t="s">
        <v>57</v>
      </c>
      <c r="B1" s="6"/>
      <c r="C1" s="6"/>
      <c r="D1" s="6"/>
      <c r="E1" s="6"/>
      <c r="F1" s="6"/>
      <c r="G1" s="6"/>
      <c r="H1" s="6"/>
      <c r="I1" s="6"/>
      <c r="J1" s="6"/>
    </row>
    <row r="2" spans="1:12">
      <c r="A2" s="1"/>
      <c r="B2" s="1"/>
      <c r="C2" s="2"/>
      <c r="D2" s="2"/>
      <c r="E2" s="2"/>
      <c r="F2" s="2"/>
      <c r="G2" s="2"/>
      <c r="H2" s="2" t="s">
        <v>0</v>
      </c>
      <c r="I2" s="3">
        <v>46142</v>
      </c>
      <c r="J2" s="2"/>
    </row>
    <row r="3" spans="1:12">
      <c r="A3" s="1"/>
      <c r="B3" s="1"/>
      <c r="C3" s="2"/>
      <c r="D3" s="2"/>
      <c r="E3" s="2"/>
      <c r="F3" s="2"/>
      <c r="G3" s="2"/>
      <c r="H3" s="2"/>
      <c r="I3" s="2"/>
      <c r="J3" s="2"/>
    </row>
    <row r="4" spans="1:12" ht="15.75" thickBot="1">
      <c r="A4" s="11" t="s">
        <v>1</v>
      </c>
      <c r="B4" s="11" t="s">
        <v>2</v>
      </c>
      <c r="C4" s="12" t="s">
        <v>58</v>
      </c>
      <c r="D4" s="13"/>
      <c r="E4" s="14"/>
      <c r="F4" s="15">
        <v>46113</v>
      </c>
      <c r="G4" s="16"/>
      <c r="H4" s="16"/>
      <c r="I4" s="16"/>
      <c r="J4" s="17"/>
    </row>
    <row r="5" spans="1:12" ht="15.75" thickTop="1">
      <c r="A5" s="18" t="s">
        <v>1</v>
      </c>
      <c r="B5" s="19" t="s">
        <v>2</v>
      </c>
      <c r="C5" s="20" t="s">
        <v>3</v>
      </c>
      <c r="D5" s="20" t="s">
        <v>4</v>
      </c>
      <c r="E5" s="21" t="s">
        <v>5</v>
      </c>
      <c r="F5" s="22" t="s">
        <v>6</v>
      </c>
      <c r="G5" s="23" t="s">
        <v>7</v>
      </c>
      <c r="H5" s="24"/>
      <c r="I5" s="20" t="s">
        <v>8</v>
      </c>
      <c r="J5" s="20" t="s">
        <v>9</v>
      </c>
    </row>
    <row r="6" spans="1:12">
      <c r="A6" s="25"/>
      <c r="B6" s="26"/>
      <c r="C6" s="20"/>
      <c r="D6" s="21" t="s">
        <v>10</v>
      </c>
      <c r="E6" s="21" t="s">
        <v>11</v>
      </c>
      <c r="F6" s="20" t="s">
        <v>12</v>
      </c>
      <c r="G6" s="27" t="s">
        <v>13</v>
      </c>
      <c r="H6" s="27" t="s">
        <v>14</v>
      </c>
      <c r="I6" s="20" t="s">
        <v>15</v>
      </c>
      <c r="J6" s="20" t="s">
        <v>8</v>
      </c>
    </row>
    <row r="7" spans="1:12">
      <c r="A7" s="28" t="s">
        <v>16</v>
      </c>
      <c r="B7" s="29" t="s">
        <v>17</v>
      </c>
      <c r="C7" s="4">
        <v>65000</v>
      </c>
      <c r="D7" s="4">
        <v>0</v>
      </c>
      <c r="E7" s="5">
        <f>(C7-D7)/12</f>
        <v>5416.666666666667</v>
      </c>
      <c r="F7" s="4">
        <v>5000</v>
      </c>
      <c r="G7" s="4">
        <f>+'[1]1st Page'!C8+'[1]1st Page'!C9</f>
        <v>7995</v>
      </c>
      <c r="H7" s="4">
        <f>+'[1]1st Page'!D8+'[1]1st Page'!D9</f>
        <v>7995</v>
      </c>
      <c r="I7" s="5">
        <f>+'[1]1st Page'!E6+'[1]1st Page'!E9</f>
        <v>5201</v>
      </c>
      <c r="J7" s="4">
        <f t="shared" ref="J7:J18" si="0">H7</f>
        <v>7995</v>
      </c>
      <c r="L7" s="30"/>
    </row>
    <row r="8" spans="1:12">
      <c r="A8" s="31"/>
      <c r="B8" s="29" t="s">
        <v>18</v>
      </c>
      <c r="C8" s="4">
        <v>174000</v>
      </c>
      <c r="D8" s="4">
        <v>0</v>
      </c>
      <c r="E8" s="5">
        <f t="shared" ref="E8:E11" si="1">(C8-D8)/12</f>
        <v>14500</v>
      </c>
      <c r="F8" s="4">
        <v>13500</v>
      </c>
      <c r="G8" s="4">
        <f>+'[1]1st Page'!C14</f>
        <v>8035</v>
      </c>
      <c r="H8" s="4">
        <f>+'[1]1st Page'!D14</f>
        <v>8035</v>
      </c>
      <c r="I8" s="4">
        <f>+'[1]1st Page'!E14</f>
        <v>4450</v>
      </c>
      <c r="J8" s="4">
        <f t="shared" si="0"/>
        <v>8035</v>
      </c>
      <c r="L8" s="30"/>
    </row>
    <row r="9" spans="1:12">
      <c r="A9" s="31"/>
      <c r="B9" s="29" t="s">
        <v>19</v>
      </c>
      <c r="C9" s="4">
        <v>20000</v>
      </c>
      <c r="D9" s="4">
        <v>0</v>
      </c>
      <c r="E9" s="5">
        <f t="shared" si="1"/>
        <v>1666.6666666666667</v>
      </c>
      <c r="F9" s="4">
        <v>1500</v>
      </c>
      <c r="G9" s="4">
        <f>+'[1]1st Page'!C19</f>
        <v>0</v>
      </c>
      <c r="H9" s="4">
        <f>+'[1]1st Page'!D19</f>
        <v>0</v>
      </c>
      <c r="I9" s="4">
        <f>+'[1]1st Page'!E19</f>
        <v>0</v>
      </c>
      <c r="J9" s="4">
        <f t="shared" si="0"/>
        <v>0</v>
      </c>
      <c r="L9" s="30"/>
    </row>
    <row r="10" spans="1:12">
      <c r="A10" s="31"/>
      <c r="B10" s="29" t="s">
        <v>20</v>
      </c>
      <c r="C10" s="4">
        <v>60000</v>
      </c>
      <c r="D10" s="4">
        <v>0</v>
      </c>
      <c r="E10" s="5">
        <f t="shared" si="1"/>
        <v>5000</v>
      </c>
      <c r="F10" s="4">
        <v>4700</v>
      </c>
      <c r="G10" s="4">
        <f>+'[1]1st Page'!C22</f>
        <v>2365</v>
      </c>
      <c r="H10" s="4">
        <f>+'[1]1st Page'!D22</f>
        <v>2365</v>
      </c>
      <c r="I10" s="4">
        <f>+'[1]1st Page'!E22</f>
        <v>1455</v>
      </c>
      <c r="J10" s="4">
        <f t="shared" si="0"/>
        <v>2365</v>
      </c>
      <c r="L10" s="30"/>
    </row>
    <row r="11" spans="1:12" ht="13.5" customHeight="1">
      <c r="A11" s="31"/>
      <c r="B11" s="29" t="s">
        <v>21</v>
      </c>
      <c r="C11" s="4">
        <v>5000</v>
      </c>
      <c r="D11" s="4">
        <v>0</v>
      </c>
      <c r="E11" s="5">
        <f t="shared" si="1"/>
        <v>416.66666666666669</v>
      </c>
      <c r="F11" s="5">
        <v>400</v>
      </c>
      <c r="G11" s="4">
        <f>+'[1]1st Page'!C23</f>
        <v>0</v>
      </c>
      <c r="H11" s="4">
        <f>+'[1]1st Page'!D23</f>
        <v>0</v>
      </c>
      <c r="I11" s="4">
        <f>+'[1]1st Page'!E23</f>
        <v>0</v>
      </c>
      <c r="J11" s="4">
        <f t="shared" si="0"/>
        <v>0</v>
      </c>
      <c r="L11" s="30"/>
    </row>
    <row r="12" spans="1:12">
      <c r="A12" s="31"/>
      <c r="B12" s="32" t="s">
        <v>52</v>
      </c>
      <c r="C12" s="4">
        <v>10000</v>
      </c>
      <c r="D12" s="4">
        <v>0</v>
      </c>
      <c r="E12" s="5" t="s">
        <v>53</v>
      </c>
      <c r="F12" s="5">
        <v>800</v>
      </c>
      <c r="G12" s="4">
        <f>+'[1]1st Page'!C64</f>
        <v>491</v>
      </c>
      <c r="H12" s="4">
        <f>+'[1]1st Page'!D64</f>
        <v>491</v>
      </c>
      <c r="I12" s="4">
        <f>+'[1]1st Page'!E64</f>
        <v>42</v>
      </c>
      <c r="J12" s="4">
        <f t="shared" si="0"/>
        <v>491</v>
      </c>
      <c r="L12" s="30"/>
    </row>
    <row r="13" spans="1:12">
      <c r="A13" s="31"/>
      <c r="B13" s="29" t="s">
        <v>23</v>
      </c>
      <c r="C13" s="4">
        <v>44000</v>
      </c>
      <c r="D13" s="4">
        <v>0</v>
      </c>
      <c r="E13" s="5">
        <f>(C13-D13)/12</f>
        <v>3666.6666666666665</v>
      </c>
      <c r="F13" s="5">
        <v>3400</v>
      </c>
      <c r="G13" s="4">
        <f>+'[1]1st Page'!C28</f>
        <v>1254</v>
      </c>
      <c r="H13" s="4">
        <f>+'[1]1st Page'!D28</f>
        <v>1254</v>
      </c>
      <c r="I13" s="4">
        <f>+'[1]1st Page'!E28</f>
        <v>440</v>
      </c>
      <c r="J13" s="4">
        <f t="shared" si="0"/>
        <v>1254</v>
      </c>
      <c r="L13" s="30"/>
    </row>
    <row r="14" spans="1:12" ht="16.5" customHeight="1">
      <c r="A14" s="31"/>
      <c r="B14" s="29" t="s">
        <v>24</v>
      </c>
      <c r="C14" s="4">
        <v>36000</v>
      </c>
      <c r="D14" s="4">
        <v>0</v>
      </c>
      <c r="E14" s="5" t="s">
        <v>53</v>
      </c>
      <c r="F14" s="5">
        <v>2800</v>
      </c>
      <c r="G14" s="4">
        <f>+'[1]1st Page'!C33</f>
        <v>368</v>
      </c>
      <c r="H14" s="4">
        <f>+'[1]1st Page'!D33</f>
        <v>368</v>
      </c>
      <c r="I14" s="4">
        <f>+'[1]1st Page'!E33</f>
        <v>280</v>
      </c>
      <c r="J14" s="4">
        <f t="shared" si="0"/>
        <v>368</v>
      </c>
      <c r="L14" s="30"/>
    </row>
    <row r="15" spans="1:12">
      <c r="A15" s="31"/>
      <c r="B15" s="29" t="s">
        <v>25</v>
      </c>
      <c r="C15" s="4">
        <v>78000</v>
      </c>
      <c r="D15" s="4">
        <v>0</v>
      </c>
      <c r="E15" s="5">
        <f>(C15-D15)/12</f>
        <v>6500</v>
      </c>
      <c r="F15" s="5">
        <v>6000</v>
      </c>
      <c r="G15" s="4">
        <f>+'[1]1st Page'!C38+'[1]1st Page'!C41</f>
        <v>3167</v>
      </c>
      <c r="H15" s="4">
        <f>+'[1]1st Page'!D38+'[1]1st Page'!D41</f>
        <v>3167</v>
      </c>
      <c r="I15" s="4">
        <f>'[1]1st Page'!E41+'[1]1st Page'!E38</f>
        <v>1649</v>
      </c>
      <c r="J15" s="4">
        <f t="shared" si="0"/>
        <v>3167</v>
      </c>
      <c r="L15" s="30"/>
    </row>
    <row r="16" spans="1:12">
      <c r="A16" s="31"/>
      <c r="B16" s="29" t="s">
        <v>26</v>
      </c>
      <c r="C16" s="4">
        <v>0</v>
      </c>
      <c r="D16" s="4">
        <v>0</v>
      </c>
      <c r="E16" s="5">
        <f t="shared" ref="E16" si="2">(C16-D16)/3</f>
        <v>0</v>
      </c>
      <c r="F16" s="5">
        <v>0</v>
      </c>
      <c r="G16" s="4">
        <f>+'[1]1st Page'!C49</f>
        <v>0</v>
      </c>
      <c r="H16" s="4">
        <f>+'[1]1st Page'!D49</f>
        <v>0</v>
      </c>
      <c r="I16" s="4">
        <f>+'[1]1st Page'!E49</f>
        <v>0</v>
      </c>
      <c r="J16" s="4">
        <f t="shared" si="0"/>
        <v>0</v>
      </c>
      <c r="L16" s="30"/>
    </row>
    <row r="17" spans="1:12">
      <c r="A17" s="31"/>
      <c r="B17" s="29" t="s">
        <v>27</v>
      </c>
      <c r="C17" s="4">
        <v>120000</v>
      </c>
      <c r="D17" s="4">
        <v>0</v>
      </c>
      <c r="E17" s="5">
        <f>(C17-D17)/12</f>
        <v>10000</v>
      </c>
      <c r="F17" s="5">
        <v>9300</v>
      </c>
      <c r="G17" s="4">
        <f>+'[1]1st Page'!C53</f>
        <v>11045</v>
      </c>
      <c r="H17" s="4">
        <f>+'[1]1st Page'!D53</f>
        <v>11045</v>
      </c>
      <c r="I17" s="4">
        <f>+'[1]1st Page'!E53</f>
        <v>3252</v>
      </c>
      <c r="J17" s="4">
        <f t="shared" si="0"/>
        <v>11045</v>
      </c>
      <c r="L17" s="30"/>
    </row>
    <row r="18" spans="1:12">
      <c r="A18" s="31"/>
      <c r="B18" s="29" t="s">
        <v>28</v>
      </c>
      <c r="C18" s="4">
        <v>0</v>
      </c>
      <c r="D18" s="4">
        <v>0</v>
      </c>
      <c r="E18" s="5" t="s">
        <v>53</v>
      </c>
      <c r="F18" s="5">
        <v>0</v>
      </c>
      <c r="G18" s="4">
        <f>+'[1]1st Page'!C60+'[1]1st Page'!C56</f>
        <v>0</v>
      </c>
      <c r="H18" s="4">
        <f>+'[1]1st Page'!D60+'[1]1st Page'!D56</f>
        <v>0</v>
      </c>
      <c r="I18" s="4">
        <f>+'[1]1st Page'!E56+'[1]1st Page'!E60</f>
        <v>0</v>
      </c>
      <c r="J18" s="4">
        <f t="shared" si="0"/>
        <v>0</v>
      </c>
      <c r="L18" s="30"/>
    </row>
    <row r="19" spans="1:12" ht="25.5">
      <c r="A19" s="31"/>
      <c r="B19" s="33" t="s">
        <v>59</v>
      </c>
      <c r="C19" s="4">
        <v>20000</v>
      </c>
      <c r="D19" s="4">
        <v>0</v>
      </c>
      <c r="E19" s="5"/>
      <c r="F19" s="5">
        <v>1500</v>
      </c>
      <c r="G19" s="4"/>
      <c r="H19" s="4"/>
      <c r="I19" s="4"/>
      <c r="J19" s="4"/>
      <c r="L19" s="30"/>
    </row>
    <row r="20" spans="1:12">
      <c r="A20" s="34"/>
      <c r="B20" s="35" t="s">
        <v>13</v>
      </c>
      <c r="C20" s="36">
        <f>SUM(C7:C19)</f>
        <v>632000</v>
      </c>
      <c r="D20" s="36">
        <f>SUM(D7:D19)</f>
        <v>0</v>
      </c>
      <c r="E20" s="37">
        <f t="shared" ref="E20:L20" si="3">SUM(E7:E18)</f>
        <v>47166.666666666672</v>
      </c>
      <c r="F20" s="36">
        <f>SUM(F7:F19)</f>
        <v>48900</v>
      </c>
      <c r="G20" s="36">
        <f t="shared" si="3"/>
        <v>34720</v>
      </c>
      <c r="H20" s="36">
        <f t="shared" si="3"/>
        <v>34720</v>
      </c>
      <c r="I20" s="36">
        <f t="shared" si="3"/>
        <v>16769</v>
      </c>
      <c r="J20" s="36">
        <f t="shared" si="3"/>
        <v>34720</v>
      </c>
    </row>
    <row r="21" spans="1:12">
      <c r="A21" s="31"/>
      <c r="B21" s="38"/>
      <c r="C21" s="39"/>
      <c r="D21" s="40"/>
      <c r="E21" s="40"/>
      <c r="F21" s="40"/>
      <c r="G21" s="40"/>
      <c r="H21" s="40"/>
      <c r="I21" s="40"/>
      <c r="J21" s="4" t="s">
        <v>30</v>
      </c>
    </row>
    <row r="22" spans="1:12">
      <c r="A22" s="28" t="s">
        <v>31</v>
      </c>
      <c r="B22" s="29" t="s">
        <v>32</v>
      </c>
      <c r="C22" s="4">
        <v>1000</v>
      </c>
      <c r="D22" s="4">
        <v>0</v>
      </c>
      <c r="E22" s="5">
        <f>(C22-D22)/12</f>
        <v>83.333333333333329</v>
      </c>
      <c r="F22" s="5">
        <v>100</v>
      </c>
      <c r="G22" s="4">
        <f>+'[1]1st Page'!C10</f>
        <v>0</v>
      </c>
      <c r="H22" s="4">
        <f>+'[1]1st Page'!D10</f>
        <v>0</v>
      </c>
      <c r="I22" s="4">
        <f>+'[1]1st Page'!E10</f>
        <v>0</v>
      </c>
      <c r="J22" s="4">
        <f t="shared" ref="J22:J30" si="4">H22</f>
        <v>0</v>
      </c>
    </row>
    <row r="23" spans="1:12">
      <c r="A23" s="31"/>
      <c r="B23" s="29" t="s">
        <v>18</v>
      </c>
      <c r="C23" s="4">
        <v>60000</v>
      </c>
      <c r="D23" s="4">
        <v>0</v>
      </c>
      <c r="E23" s="5">
        <f>(C23-D23)/12</f>
        <v>5000</v>
      </c>
      <c r="F23" s="5">
        <v>4700</v>
      </c>
      <c r="G23" s="4">
        <f>+'[1]1st Page'!C15</f>
        <v>6096</v>
      </c>
      <c r="H23" s="4">
        <f>+'[1]1st Page'!D15</f>
        <v>6096</v>
      </c>
      <c r="I23" s="4">
        <f>+'[1]1st Page'!E15</f>
        <v>3840</v>
      </c>
      <c r="J23" s="4">
        <f t="shared" si="4"/>
        <v>6096</v>
      </c>
    </row>
    <row r="24" spans="1:12">
      <c r="A24" s="31"/>
      <c r="B24" s="29" t="s">
        <v>49</v>
      </c>
      <c r="C24" s="4">
        <v>0</v>
      </c>
      <c r="D24" s="4">
        <v>0</v>
      </c>
      <c r="E24" s="5" t="s">
        <v>53</v>
      </c>
      <c r="F24" s="5">
        <v>0</v>
      </c>
      <c r="G24" s="4">
        <f>+'[1]1st Page'!C39</f>
        <v>0</v>
      </c>
      <c r="H24" s="4">
        <f>+'[1]1st Page'!D39</f>
        <v>0</v>
      </c>
      <c r="I24" s="4">
        <f>+'[1]1st Page'!E39</f>
        <v>0</v>
      </c>
      <c r="J24" s="4">
        <f t="shared" si="4"/>
        <v>0</v>
      </c>
    </row>
    <row r="25" spans="1:12" hidden="1">
      <c r="A25" s="31"/>
      <c r="B25" s="29" t="s">
        <v>22</v>
      </c>
      <c r="C25" s="4">
        <v>0</v>
      </c>
      <c r="D25" s="4"/>
      <c r="E25" s="5">
        <f t="shared" ref="E25" si="5">(C25-D25)/2</f>
        <v>0</v>
      </c>
      <c r="F25" s="5">
        <v>0</v>
      </c>
      <c r="G25" s="4">
        <f>+'[1]1st Page'!C26</f>
        <v>0</v>
      </c>
      <c r="H25" s="4">
        <f>+'[1]1st Page'!D26</f>
        <v>0</v>
      </c>
      <c r="I25" s="4">
        <f>+'[1]1st Page'!E26</f>
        <v>0</v>
      </c>
      <c r="J25" s="4">
        <f t="shared" si="4"/>
        <v>0</v>
      </c>
    </row>
    <row r="26" spans="1:12">
      <c r="A26" s="31"/>
      <c r="B26" s="29" t="s">
        <v>23</v>
      </c>
      <c r="C26" s="4">
        <v>84000</v>
      </c>
      <c r="D26" s="4">
        <v>0</v>
      </c>
      <c r="E26" s="5">
        <f>(C26-D26)/12</f>
        <v>7000</v>
      </c>
      <c r="F26" s="5">
        <v>6500</v>
      </c>
      <c r="G26" s="4">
        <f>+'[1]1st Page'!C29</f>
        <v>1856</v>
      </c>
      <c r="H26" s="4">
        <f>+'[1]1st Page'!D29</f>
        <v>1856</v>
      </c>
      <c r="I26" s="4">
        <f>+'[1]1st Page'!E29</f>
        <v>836</v>
      </c>
      <c r="J26" s="4">
        <f t="shared" si="4"/>
        <v>1856</v>
      </c>
    </row>
    <row r="27" spans="1:12">
      <c r="A27" s="31"/>
      <c r="B27" s="29" t="s">
        <v>24</v>
      </c>
      <c r="C27" s="4">
        <v>12000</v>
      </c>
      <c r="D27" s="4">
        <v>0</v>
      </c>
      <c r="E27" s="5">
        <f t="shared" ref="E27:E31" si="6">(C27-D27)/12</f>
        <v>1000</v>
      </c>
      <c r="F27" s="5">
        <v>900</v>
      </c>
      <c r="G27" s="4">
        <f>+'[1]1st Page'!C34</f>
        <v>1177</v>
      </c>
      <c r="H27" s="4">
        <f>+'[1]1st Page'!D34</f>
        <v>1177</v>
      </c>
      <c r="I27" s="4">
        <f>+'[1]1st Page'!E34</f>
        <v>113</v>
      </c>
      <c r="J27" s="4">
        <f t="shared" si="4"/>
        <v>1177</v>
      </c>
    </row>
    <row r="28" spans="1:12" ht="14.25" customHeight="1">
      <c r="A28" s="31"/>
      <c r="B28" s="29" t="s">
        <v>33</v>
      </c>
      <c r="C28" s="4">
        <v>4000</v>
      </c>
      <c r="D28" s="4">
        <v>0</v>
      </c>
      <c r="E28" s="5">
        <f t="shared" si="6"/>
        <v>333.33333333333331</v>
      </c>
      <c r="F28" s="5">
        <v>300</v>
      </c>
      <c r="G28" s="4">
        <f>+'[1]1st Page'!C43</f>
        <v>0</v>
      </c>
      <c r="H28" s="4">
        <f>+'[1]1st Page'!D43</f>
        <v>0</v>
      </c>
      <c r="I28" s="4">
        <f>+'[1]1st Page'!E43</f>
        <v>0</v>
      </c>
      <c r="J28" s="4">
        <f t="shared" si="4"/>
        <v>0</v>
      </c>
    </row>
    <row r="29" spans="1:12">
      <c r="A29" s="31"/>
      <c r="B29" s="29" t="s">
        <v>34</v>
      </c>
      <c r="C29" s="4">
        <v>3000</v>
      </c>
      <c r="D29" s="4">
        <v>0</v>
      </c>
      <c r="E29" s="5">
        <f t="shared" si="6"/>
        <v>250</v>
      </c>
      <c r="F29" s="5">
        <v>200</v>
      </c>
      <c r="G29" s="4">
        <f>+'[1]1st Page'!C57+'[1]1st Page'!C61</f>
        <v>0</v>
      </c>
      <c r="H29" s="4">
        <f>+'[1]1st Page'!D57+'[1]1st Page'!D61</f>
        <v>0</v>
      </c>
      <c r="I29" s="4">
        <f>+'[1]1st Page'!E57+'[1]1st Page'!E61</f>
        <v>0</v>
      </c>
      <c r="J29" s="4">
        <f t="shared" si="4"/>
        <v>0</v>
      </c>
    </row>
    <row r="30" spans="1:12">
      <c r="A30" s="31"/>
      <c r="B30" s="29" t="s">
        <v>35</v>
      </c>
      <c r="C30" s="4">
        <v>6000</v>
      </c>
      <c r="D30" s="4">
        <v>0</v>
      </c>
      <c r="E30" s="5">
        <f t="shared" si="6"/>
        <v>500</v>
      </c>
      <c r="F30" s="5">
        <v>500</v>
      </c>
      <c r="G30" s="4">
        <f>+'[1]1st Page'!C24</f>
        <v>578</v>
      </c>
      <c r="H30" s="4">
        <f>+'[1]1st Page'!D24</f>
        <v>578</v>
      </c>
      <c r="I30" s="4">
        <f>+'[1]1st Page'!E24</f>
        <v>191</v>
      </c>
      <c r="J30" s="4">
        <f t="shared" si="4"/>
        <v>578</v>
      </c>
    </row>
    <row r="31" spans="1:12">
      <c r="A31" s="31"/>
      <c r="B31" s="29" t="s">
        <v>21</v>
      </c>
      <c r="C31" s="4">
        <v>5000</v>
      </c>
      <c r="D31" s="4">
        <v>0</v>
      </c>
      <c r="E31" s="5">
        <f t="shared" si="6"/>
        <v>416.66666666666669</v>
      </c>
      <c r="F31" s="5">
        <v>400</v>
      </c>
      <c r="G31" s="4">
        <v>0</v>
      </c>
      <c r="H31" s="4">
        <v>0</v>
      </c>
      <c r="I31" s="4">
        <v>0</v>
      </c>
      <c r="J31" s="4">
        <v>0</v>
      </c>
    </row>
    <row r="32" spans="1:12">
      <c r="A32" s="34"/>
      <c r="B32" s="35" t="s">
        <v>13</v>
      </c>
      <c r="C32" s="36">
        <f t="shared" ref="C32:J32" si="7">SUM(C22:C31)</f>
        <v>175000</v>
      </c>
      <c r="D32" s="36">
        <f t="shared" si="7"/>
        <v>0</v>
      </c>
      <c r="E32" s="37">
        <f t="shared" si="7"/>
        <v>14583.333333333332</v>
      </c>
      <c r="F32" s="36">
        <f t="shared" si="7"/>
        <v>13600</v>
      </c>
      <c r="G32" s="36">
        <f t="shared" si="7"/>
        <v>9707</v>
      </c>
      <c r="H32" s="36">
        <f t="shared" si="7"/>
        <v>9707</v>
      </c>
      <c r="I32" s="36">
        <f t="shared" si="7"/>
        <v>4980</v>
      </c>
      <c r="J32" s="36">
        <f t="shared" si="7"/>
        <v>9707</v>
      </c>
    </row>
    <row r="33" spans="1:10">
      <c r="A33" s="31"/>
      <c r="B33" s="38"/>
      <c r="C33" s="39"/>
      <c r="D33" s="40"/>
      <c r="E33" s="40"/>
      <c r="F33" s="40"/>
      <c r="G33" s="40"/>
      <c r="H33" s="40"/>
      <c r="I33" s="40"/>
      <c r="J33" s="41" t="s">
        <v>30</v>
      </c>
    </row>
    <row r="34" spans="1:10" ht="14.1" customHeight="1">
      <c r="A34" s="28" t="s">
        <v>36</v>
      </c>
      <c r="B34" s="29" t="s">
        <v>32</v>
      </c>
      <c r="C34" s="4">
        <v>1000</v>
      </c>
      <c r="D34" s="4">
        <v>0</v>
      </c>
      <c r="E34" s="5" t="s">
        <v>53</v>
      </c>
      <c r="F34" s="4">
        <v>100</v>
      </c>
      <c r="G34" s="4">
        <f>+'[1]1st Page'!C11</f>
        <v>0</v>
      </c>
      <c r="H34" s="4">
        <f>+'[1]1st Page'!D11</f>
        <v>0</v>
      </c>
      <c r="I34" s="4">
        <f>+'[1]1st Page'!E11+'[1]1st Page'!E7</f>
        <v>0</v>
      </c>
      <c r="J34" s="4">
        <f>H34</f>
        <v>0</v>
      </c>
    </row>
    <row r="35" spans="1:10">
      <c r="A35" s="31"/>
      <c r="B35" s="29" t="s">
        <v>18</v>
      </c>
      <c r="C35" s="4">
        <v>5000</v>
      </c>
      <c r="D35" s="4">
        <v>0</v>
      </c>
      <c r="E35" s="5" t="s">
        <v>53</v>
      </c>
      <c r="F35" s="4">
        <v>400</v>
      </c>
      <c r="G35" s="4">
        <f>+'[1]1st Page'!C16</f>
        <v>22</v>
      </c>
      <c r="H35" s="4">
        <f>+'[1]1st Page'!D16</f>
        <v>22</v>
      </c>
      <c r="I35" s="4">
        <f>+'[1]1st Page'!E16</f>
        <v>21</v>
      </c>
      <c r="J35" s="4">
        <f t="shared" ref="J35:J41" si="8">H35</f>
        <v>22</v>
      </c>
    </row>
    <row r="36" spans="1:10">
      <c r="A36" s="31"/>
      <c r="B36" s="29" t="s">
        <v>23</v>
      </c>
      <c r="C36" s="4">
        <v>12000</v>
      </c>
      <c r="D36" s="4">
        <v>0</v>
      </c>
      <c r="E36" s="5">
        <f>(C36-D36)/12</f>
        <v>1000</v>
      </c>
      <c r="F36" s="4">
        <v>900</v>
      </c>
      <c r="G36" s="4">
        <f>+'[1]1st Page'!C30</f>
        <v>41</v>
      </c>
      <c r="H36" s="4">
        <f>+'[1]1st Page'!D30</f>
        <v>41</v>
      </c>
      <c r="I36" s="4">
        <f>+'[1]1st Page'!E30</f>
        <v>40</v>
      </c>
      <c r="J36" s="4">
        <f t="shared" si="8"/>
        <v>41</v>
      </c>
    </row>
    <row r="37" spans="1:10">
      <c r="A37" s="31"/>
      <c r="B37" s="29" t="s">
        <v>24</v>
      </c>
      <c r="C37" s="4">
        <v>8000</v>
      </c>
      <c r="D37" s="4">
        <v>0</v>
      </c>
      <c r="E37" s="5">
        <f>(C37-D37)/12</f>
        <v>666.66666666666663</v>
      </c>
      <c r="F37" s="4">
        <v>600</v>
      </c>
      <c r="G37" s="4">
        <f>+'[1]1st Page'!C35</f>
        <v>319</v>
      </c>
      <c r="H37" s="4">
        <f>+'[1]1st Page'!D35</f>
        <v>319</v>
      </c>
      <c r="I37" s="4">
        <f>+'[1]1st Page'!E35</f>
        <v>184</v>
      </c>
      <c r="J37" s="4">
        <f t="shared" si="8"/>
        <v>319</v>
      </c>
    </row>
    <row r="38" spans="1:10">
      <c r="A38" s="31"/>
      <c r="B38" s="29" t="s">
        <v>33</v>
      </c>
      <c r="C38" s="4">
        <v>2000</v>
      </c>
      <c r="D38" s="4">
        <v>0</v>
      </c>
      <c r="E38" s="5">
        <f>(C38-D38)/12</f>
        <v>166.66666666666666</v>
      </c>
      <c r="F38" s="4">
        <v>100</v>
      </c>
      <c r="G38" s="4">
        <f>+'[1]1st Page'!C44</f>
        <v>0</v>
      </c>
      <c r="H38" s="4">
        <f>+'[1]1st Page'!D44</f>
        <v>0</v>
      </c>
      <c r="I38" s="4">
        <f>+'[1]1st Page'!E44</f>
        <v>0</v>
      </c>
      <c r="J38" s="4">
        <f t="shared" si="8"/>
        <v>0</v>
      </c>
    </row>
    <row r="39" spans="1:10">
      <c r="A39" s="31"/>
      <c r="B39" s="29" t="s">
        <v>26</v>
      </c>
      <c r="C39" s="4">
        <v>0</v>
      </c>
      <c r="D39" s="4">
        <v>0</v>
      </c>
      <c r="E39" s="5">
        <f t="shared" ref="E39:E41" si="9">(C39-D39)/2</f>
        <v>0</v>
      </c>
      <c r="F39" s="4">
        <v>0</v>
      </c>
      <c r="G39" s="4">
        <f>+'[1]1st Page'!C50</f>
        <v>0</v>
      </c>
      <c r="H39" s="4">
        <f>+'[1]1st Page'!D50</f>
        <v>0</v>
      </c>
      <c r="I39" s="4">
        <f>+'[1]1st Page'!E50</f>
        <v>0</v>
      </c>
      <c r="J39" s="4">
        <f t="shared" si="8"/>
        <v>0</v>
      </c>
    </row>
    <row r="40" spans="1:10">
      <c r="A40" s="31"/>
      <c r="B40" s="29" t="s">
        <v>29</v>
      </c>
      <c r="C40" s="4">
        <v>0</v>
      </c>
      <c r="D40" s="4">
        <v>0</v>
      </c>
      <c r="E40" s="5">
        <f t="shared" si="9"/>
        <v>0</v>
      </c>
      <c r="F40" s="5">
        <v>0</v>
      </c>
      <c r="G40" s="4">
        <f>'[1]1st Page'!C66</f>
        <v>0</v>
      </c>
      <c r="H40" s="4">
        <f>'[1]1st Page'!D66</f>
        <v>0</v>
      </c>
      <c r="I40" s="4">
        <f>'[1]1st Page'!E66</f>
        <v>0</v>
      </c>
      <c r="J40" s="4">
        <f t="shared" si="8"/>
        <v>0</v>
      </c>
    </row>
    <row r="41" spans="1:10">
      <c r="A41" s="31"/>
      <c r="B41" s="29" t="s">
        <v>37</v>
      </c>
      <c r="C41" s="4">
        <v>0</v>
      </c>
      <c r="D41" s="4">
        <v>0</v>
      </c>
      <c r="E41" s="5">
        <f t="shared" si="9"/>
        <v>0</v>
      </c>
      <c r="F41" s="5">
        <v>0</v>
      </c>
      <c r="G41" s="4">
        <f>+'[1]1st Page'!C58+'[1]1st Page'!C62</f>
        <v>0</v>
      </c>
      <c r="H41" s="4">
        <f>+'[1]1st Page'!D58+'[1]1st Page'!D62</f>
        <v>0</v>
      </c>
      <c r="I41" s="4">
        <f>+'[1]1st Page'!E58+'[1]1st Page'!E62</f>
        <v>0</v>
      </c>
      <c r="J41" s="4">
        <f t="shared" si="8"/>
        <v>0</v>
      </c>
    </row>
    <row r="42" spans="1:10">
      <c r="A42" s="34"/>
      <c r="B42" s="35" t="s">
        <v>13</v>
      </c>
      <c r="C42" s="36">
        <f t="shared" ref="C42:J42" si="10">SUM(C34:C41)</f>
        <v>28000</v>
      </c>
      <c r="D42" s="36">
        <f t="shared" si="10"/>
        <v>0</v>
      </c>
      <c r="E42" s="37">
        <f>SUM(E34:E41)</f>
        <v>1833.3333333333333</v>
      </c>
      <c r="F42" s="36">
        <f t="shared" si="10"/>
        <v>2100</v>
      </c>
      <c r="G42" s="36">
        <f t="shared" si="10"/>
        <v>382</v>
      </c>
      <c r="H42" s="36">
        <f t="shared" si="10"/>
        <v>382</v>
      </c>
      <c r="I42" s="36">
        <f t="shared" si="10"/>
        <v>245</v>
      </c>
      <c r="J42" s="36">
        <f t="shared" si="10"/>
        <v>382</v>
      </c>
    </row>
    <row r="43" spans="1:10">
      <c r="A43" s="31"/>
      <c r="B43" s="38"/>
      <c r="C43" s="39"/>
      <c r="D43" s="40"/>
      <c r="E43" s="40"/>
      <c r="F43" s="40"/>
      <c r="G43" s="40"/>
      <c r="H43" s="40"/>
      <c r="I43" s="40"/>
      <c r="J43" s="41" t="s">
        <v>30</v>
      </c>
    </row>
    <row r="44" spans="1:10">
      <c r="A44" s="28" t="s">
        <v>38</v>
      </c>
      <c r="B44" s="29" t="s">
        <v>24</v>
      </c>
      <c r="C44" s="4">
        <v>8000</v>
      </c>
      <c r="D44" s="4">
        <v>0</v>
      </c>
      <c r="E44" s="5">
        <f>(C44-D44)/12</f>
        <v>666.66666666666663</v>
      </c>
      <c r="F44" s="4">
        <v>600</v>
      </c>
      <c r="G44" s="4">
        <f>+'[1]1st Page'!C36</f>
        <v>148</v>
      </c>
      <c r="H44" s="4">
        <f>+'[1]1st Page'!D36</f>
        <v>148</v>
      </c>
      <c r="I44" s="4">
        <f>+'[1]1st Page'!E36</f>
        <v>52</v>
      </c>
      <c r="J44" s="4">
        <f t="shared" ref="J44:J49" si="11">H44</f>
        <v>148</v>
      </c>
    </row>
    <row r="45" spans="1:10">
      <c r="A45" s="42" t="s">
        <v>39</v>
      </c>
      <c r="B45" s="29" t="s">
        <v>40</v>
      </c>
      <c r="C45" s="4">
        <v>8000</v>
      </c>
      <c r="D45" s="4">
        <v>0</v>
      </c>
      <c r="E45" s="5">
        <f>(C45-D45)/12</f>
        <v>666.66666666666663</v>
      </c>
      <c r="F45" s="4">
        <v>600</v>
      </c>
      <c r="G45" s="4">
        <f>+'[1]1st Page'!C31</f>
        <v>65</v>
      </c>
      <c r="H45" s="4">
        <f>+'[1]1st Page'!D31</f>
        <v>65</v>
      </c>
      <c r="I45" s="4">
        <f>+'[1]1st Page'!E31</f>
        <v>28</v>
      </c>
      <c r="J45" s="4">
        <f t="shared" si="11"/>
        <v>65</v>
      </c>
    </row>
    <row r="46" spans="1:10">
      <c r="A46" s="31"/>
      <c r="B46" s="29" t="s">
        <v>41</v>
      </c>
      <c r="C46" s="4">
        <v>0</v>
      </c>
      <c r="D46" s="4">
        <v>0</v>
      </c>
      <c r="E46" s="5">
        <f>(C46-D46)/12</f>
        <v>0</v>
      </c>
      <c r="F46" s="4">
        <v>0</v>
      </c>
      <c r="G46" s="4">
        <f>+'[1]1st Page'!C51</f>
        <v>0</v>
      </c>
      <c r="H46" s="4">
        <f>+'[1]1st Page'!D51</f>
        <v>0</v>
      </c>
      <c r="I46" s="4">
        <f>+'[1]1st Page'!E51</f>
        <v>0</v>
      </c>
      <c r="J46" s="4">
        <f t="shared" si="11"/>
        <v>0</v>
      </c>
    </row>
    <row r="47" spans="1:10">
      <c r="A47" s="31"/>
      <c r="B47" s="29" t="s">
        <v>50</v>
      </c>
      <c r="C47" s="4">
        <v>18000</v>
      </c>
      <c r="D47" s="4">
        <v>0</v>
      </c>
      <c r="E47" s="5">
        <f>(C47-D47)/12</f>
        <v>1500</v>
      </c>
      <c r="F47" s="4">
        <v>1400</v>
      </c>
      <c r="G47" s="4">
        <f>+'[1]1st Page'!C48</f>
        <v>0</v>
      </c>
      <c r="H47" s="4">
        <f>+'[1]1st Page'!D48</f>
        <v>0</v>
      </c>
      <c r="I47" s="4">
        <f>+'[1]1st Page'!E48</f>
        <v>0</v>
      </c>
      <c r="J47" s="4">
        <f t="shared" si="11"/>
        <v>0</v>
      </c>
    </row>
    <row r="48" spans="1:10">
      <c r="A48" s="31"/>
      <c r="B48" s="29" t="s">
        <v>56</v>
      </c>
      <c r="C48" s="4">
        <v>0</v>
      </c>
      <c r="D48" s="4">
        <v>0</v>
      </c>
      <c r="E48" s="5" t="s">
        <v>53</v>
      </c>
      <c r="F48" s="4">
        <v>0</v>
      </c>
      <c r="G48" s="4">
        <f>+'[1]1st Page'!C68</f>
        <v>2268</v>
      </c>
      <c r="H48" s="4">
        <f>+'[1]1st Page'!D68</f>
        <v>2268</v>
      </c>
      <c r="I48" s="4">
        <f>+'[1]1st Page'!E68</f>
        <v>659</v>
      </c>
      <c r="J48" s="4">
        <f t="shared" si="11"/>
        <v>2268</v>
      </c>
    </row>
    <row r="49" spans="1:10" ht="15" customHeight="1">
      <c r="A49" s="31"/>
      <c r="B49" s="29" t="s">
        <v>54</v>
      </c>
      <c r="C49" s="4" t="s">
        <v>53</v>
      </c>
      <c r="D49" s="4">
        <v>0</v>
      </c>
      <c r="E49" s="5" t="s">
        <v>53</v>
      </c>
      <c r="F49" s="5" t="s">
        <v>53</v>
      </c>
      <c r="G49" s="4">
        <f>+'[1]1st Page'!C69</f>
        <v>0</v>
      </c>
      <c r="H49" s="4">
        <f>+'[1]1st Page'!D69</f>
        <v>0</v>
      </c>
      <c r="I49" s="4">
        <f>+'[1]1st Page'!E69</f>
        <v>0</v>
      </c>
      <c r="J49" s="4">
        <f t="shared" si="11"/>
        <v>0</v>
      </c>
    </row>
    <row r="50" spans="1:10">
      <c r="A50" s="43" t="s">
        <v>13</v>
      </c>
      <c r="B50" s="35" t="s">
        <v>13</v>
      </c>
      <c r="C50" s="36">
        <f t="shared" ref="C50:J50" si="12">SUM(C44:C49)</f>
        <v>34000</v>
      </c>
      <c r="D50" s="36">
        <f>SUM(D44:D49)</f>
        <v>0</v>
      </c>
      <c r="E50" s="5">
        <f>(C50-D50)/12</f>
        <v>2833.3333333333335</v>
      </c>
      <c r="F50" s="36">
        <f t="shared" si="12"/>
        <v>2600</v>
      </c>
      <c r="G50" s="36">
        <f t="shared" si="12"/>
        <v>2481</v>
      </c>
      <c r="H50" s="36">
        <f t="shared" si="12"/>
        <v>2481</v>
      </c>
      <c r="I50" s="36">
        <f t="shared" si="12"/>
        <v>739</v>
      </c>
      <c r="J50" s="36">
        <f t="shared" si="12"/>
        <v>2481</v>
      </c>
    </row>
    <row r="51" spans="1:10">
      <c r="A51" s="31"/>
      <c r="B51" s="35" t="s">
        <v>42</v>
      </c>
      <c r="C51" s="44">
        <v>20500</v>
      </c>
      <c r="D51" s="4">
        <v>0</v>
      </c>
      <c r="E51" s="5">
        <f>(C51-D51)/12</f>
        <v>1708.3333333333333</v>
      </c>
      <c r="F51" s="4">
        <v>1600</v>
      </c>
      <c r="G51" s="4">
        <f>+'[1]1st Page'!C71</f>
        <v>862</v>
      </c>
      <c r="H51" s="4">
        <f>+'[1]1st Page'!D71</f>
        <v>862</v>
      </c>
      <c r="I51" s="4">
        <f>+'[1]1st Page'!E71</f>
        <v>862</v>
      </c>
      <c r="J51" s="4">
        <f>H51</f>
        <v>862</v>
      </c>
    </row>
    <row r="52" spans="1:10">
      <c r="A52" s="31"/>
      <c r="B52" s="35" t="s">
        <v>43</v>
      </c>
      <c r="C52" s="4">
        <v>14500</v>
      </c>
      <c r="D52" s="4">
        <v>0</v>
      </c>
      <c r="E52" s="5">
        <f>(C52-D52)/12</f>
        <v>1208.3333333333333</v>
      </c>
      <c r="F52" s="4">
        <v>1100</v>
      </c>
      <c r="G52" s="4">
        <f>+'[1]1st Page'!C72</f>
        <v>1794</v>
      </c>
      <c r="H52" s="4">
        <f>+'[1]1st Page'!D72</f>
        <v>1794</v>
      </c>
      <c r="I52" s="4">
        <f>+'[1]1st Page'!E72</f>
        <v>1794</v>
      </c>
      <c r="J52" s="4">
        <f>H52</f>
        <v>1794</v>
      </c>
    </row>
    <row r="53" spans="1:10">
      <c r="A53" s="7" t="s">
        <v>44</v>
      </c>
      <c r="B53" s="45" t="s">
        <v>51</v>
      </c>
      <c r="C53" s="44">
        <v>0</v>
      </c>
      <c r="D53" s="4">
        <v>0</v>
      </c>
      <c r="E53" s="5" t="s">
        <v>53</v>
      </c>
      <c r="F53" s="4">
        <v>0</v>
      </c>
      <c r="G53" s="44">
        <f>+'[1]1st Page'!C54</f>
        <v>1480</v>
      </c>
      <c r="H53" s="44">
        <f>+'[1]1st Page'!D54</f>
        <v>1480</v>
      </c>
      <c r="I53" s="44">
        <f>+'[1]1st Page'!E54</f>
        <v>1472</v>
      </c>
      <c r="J53" s="44">
        <f>H53</f>
        <v>1480</v>
      </c>
    </row>
    <row r="54" spans="1:10">
      <c r="A54" s="8"/>
      <c r="B54" s="45" t="s">
        <v>18</v>
      </c>
      <c r="C54" s="46">
        <v>0</v>
      </c>
      <c r="D54" s="4">
        <v>0</v>
      </c>
      <c r="E54" s="5">
        <f t="shared" ref="E54" si="13">(C54-D54)/10</f>
        <v>0</v>
      </c>
      <c r="F54" s="4">
        <v>0</v>
      </c>
      <c r="G54" s="44">
        <f>+'[1]1st Page'!C17</f>
        <v>0</v>
      </c>
      <c r="H54" s="44">
        <f>+'[1]1st Page'!C17</f>
        <v>0</v>
      </c>
      <c r="I54" s="44">
        <f>+'[1]1st Page'!E17</f>
        <v>0</v>
      </c>
      <c r="J54" s="44"/>
    </row>
    <row r="55" spans="1:10">
      <c r="A55" s="8"/>
      <c r="B55" s="45" t="s">
        <v>32</v>
      </c>
      <c r="C55" s="44">
        <v>0</v>
      </c>
      <c r="D55" s="4">
        <v>0</v>
      </c>
      <c r="E55" s="5" t="s">
        <v>53</v>
      </c>
      <c r="F55" s="47">
        <v>0</v>
      </c>
      <c r="G55" s="47">
        <f>+'[1]1st Page'!C12</f>
        <v>0</v>
      </c>
      <c r="H55" s="44">
        <f>+'[1]1st Page'!D12</f>
        <v>0</v>
      </c>
      <c r="I55" s="44">
        <f>+'[1]1st Page'!E12</f>
        <v>0</v>
      </c>
      <c r="J55" s="44">
        <f>+H55</f>
        <v>0</v>
      </c>
    </row>
    <row r="56" spans="1:10">
      <c r="A56" s="9"/>
      <c r="B56" s="45" t="s">
        <v>55</v>
      </c>
      <c r="C56" s="44">
        <v>0</v>
      </c>
      <c r="D56" s="4">
        <v>0</v>
      </c>
      <c r="E56" s="5">
        <v>0</v>
      </c>
      <c r="F56" s="47">
        <v>0</v>
      </c>
      <c r="G56" s="44">
        <f>+'[1]1st Page'!C70</f>
        <v>8000</v>
      </c>
      <c r="H56" s="44">
        <f>+G56</f>
        <v>8000</v>
      </c>
      <c r="I56" s="44">
        <f>+'[1]1st Page'!E70</f>
        <v>7628</v>
      </c>
      <c r="J56" s="44">
        <f>+H56</f>
        <v>8000</v>
      </c>
    </row>
    <row r="57" spans="1:10">
      <c r="A57" s="48" t="s">
        <v>45</v>
      </c>
      <c r="B57" s="35" t="s">
        <v>46</v>
      </c>
      <c r="C57" s="36">
        <f t="shared" ref="C57:G57" si="14">C50+C42+C32+C20+C52+C51+C53</f>
        <v>904000</v>
      </c>
      <c r="D57" s="36">
        <f>D50+D42+D32+D20+D52+D51+D53+D55+D54+D56</f>
        <v>0</v>
      </c>
      <c r="E57" s="37">
        <f>E50+E42+E32+E20+E52+E51</f>
        <v>69333.333333333328</v>
      </c>
      <c r="F57" s="36">
        <f t="shared" si="14"/>
        <v>69900</v>
      </c>
      <c r="G57" s="36">
        <f t="shared" si="14"/>
        <v>51426</v>
      </c>
      <c r="H57" s="36">
        <f>H50+H42+H32+H20+H52+H51+H53+H55+H56</f>
        <v>59426</v>
      </c>
      <c r="I57" s="36">
        <f>I50+I42+I32+I20+I52+I51+I53+I55+I54+I56</f>
        <v>34489</v>
      </c>
      <c r="J57" s="36">
        <f>J50+J42+J32+J20+J52+J51+J53+J55+J56</f>
        <v>59426</v>
      </c>
    </row>
    <row r="58" spans="1:10">
      <c r="A58" s="49" t="s">
        <v>47</v>
      </c>
      <c r="B58" s="50"/>
      <c r="C58" s="51"/>
      <c r="D58" s="51"/>
      <c r="E58" s="51"/>
      <c r="F58" s="51"/>
      <c r="G58" s="52"/>
      <c r="H58" s="52"/>
      <c r="I58" s="52"/>
      <c r="J58" s="53" t="s">
        <v>30</v>
      </c>
    </row>
    <row r="59" spans="1:10">
      <c r="A59" s="49" t="s">
        <v>48</v>
      </c>
      <c r="B59" s="54"/>
      <c r="C59" s="54"/>
      <c r="D59" s="54"/>
      <c r="E59" s="54"/>
      <c r="F59" s="54"/>
      <c r="G59" s="54"/>
      <c r="H59" s="54"/>
      <c r="I59" s="54"/>
      <c r="J59" s="54"/>
    </row>
    <row r="60" spans="1:10">
      <c r="A60" s="50"/>
      <c r="B60" s="50"/>
      <c r="C60" s="51"/>
      <c r="D60" s="51"/>
      <c r="E60" s="51"/>
      <c r="F60" s="51"/>
      <c r="G60" s="51"/>
      <c r="H60" s="51"/>
      <c r="I60" s="51"/>
      <c r="J60" s="51"/>
    </row>
    <row r="61" spans="1:10">
      <c r="A61" s="50"/>
      <c r="B61" s="50"/>
      <c r="C61" s="51"/>
      <c r="D61" s="51"/>
      <c r="E61" s="51"/>
      <c r="F61" s="51"/>
      <c r="G61" s="51"/>
      <c r="H61" s="51"/>
      <c r="I61" s="51"/>
      <c r="J61" s="51"/>
    </row>
    <row r="62" spans="1:10">
      <c r="A62" s="50"/>
      <c r="B62" s="50"/>
      <c r="C62" s="51"/>
      <c r="D62" s="51"/>
      <c r="E62" s="51"/>
      <c r="F62" s="51"/>
      <c r="G62" s="51"/>
      <c r="H62" s="51"/>
      <c r="I62" s="51"/>
      <c r="J62" s="51"/>
    </row>
    <row r="63" spans="1:10">
      <c r="A63" s="50"/>
      <c r="B63" s="50"/>
      <c r="C63" s="51"/>
      <c r="D63" s="51"/>
      <c r="E63" s="51"/>
      <c r="F63" s="51"/>
      <c r="G63" s="51"/>
      <c r="H63" s="51"/>
      <c r="I63" s="51"/>
      <c r="J63" s="51"/>
    </row>
    <row r="64" spans="1:10">
      <c r="A64" s="50"/>
      <c r="B64" s="50"/>
      <c r="C64" s="51"/>
      <c r="D64" s="51"/>
      <c r="E64" s="51"/>
      <c r="F64" s="51"/>
      <c r="G64" s="51"/>
      <c r="H64" s="51"/>
      <c r="I64" s="51"/>
      <c r="J64" s="51"/>
    </row>
    <row r="65" spans="1:10">
      <c r="A65" s="50"/>
      <c r="B65" s="50"/>
      <c r="C65" s="51"/>
      <c r="D65" s="51"/>
      <c r="E65" s="51"/>
      <c r="F65" s="51"/>
      <c r="G65" s="51"/>
      <c r="H65" s="51"/>
      <c r="I65" s="51"/>
      <c r="J65" s="51"/>
    </row>
    <row r="66" spans="1:10">
      <c r="A66" s="50"/>
      <c r="B66" s="50"/>
      <c r="C66" s="51"/>
      <c r="D66" s="51"/>
      <c r="E66" s="51"/>
      <c r="F66" s="51"/>
      <c r="G66" s="51"/>
      <c r="H66" s="51"/>
      <c r="I66" s="51"/>
      <c r="J66" s="51"/>
    </row>
    <row r="67" spans="1:10">
      <c r="A67" s="50"/>
      <c r="B67" s="50"/>
      <c r="C67" s="51"/>
      <c r="D67" s="51"/>
      <c r="E67" s="51"/>
      <c r="F67" s="51"/>
      <c r="G67" s="51"/>
      <c r="H67" s="51"/>
      <c r="I67" s="51"/>
      <c r="J67" s="51"/>
    </row>
    <row r="68" spans="1:10">
      <c r="A68" s="50"/>
      <c r="B68" s="50"/>
      <c r="C68" s="51"/>
      <c r="D68" s="51"/>
      <c r="E68" s="51"/>
      <c r="F68" s="51"/>
      <c r="G68" s="51"/>
      <c r="H68" s="51"/>
      <c r="I68" s="51"/>
      <c r="J68" s="51"/>
    </row>
    <row r="69" spans="1:10">
      <c r="A69" s="50"/>
      <c r="B69" s="50"/>
      <c r="C69" s="51"/>
      <c r="D69" s="51"/>
      <c r="E69" s="51"/>
      <c r="F69" s="51"/>
      <c r="G69" s="51"/>
      <c r="H69" s="51"/>
      <c r="I69" s="51"/>
      <c r="J69" s="51"/>
    </row>
    <row r="70" spans="1:10">
      <c r="A70" s="50"/>
      <c r="B70" s="50"/>
      <c r="C70" s="51"/>
      <c r="D70" s="51"/>
      <c r="E70" s="51"/>
      <c r="F70" s="51"/>
      <c r="G70" s="51"/>
      <c r="H70" s="51"/>
      <c r="I70" s="51"/>
      <c r="J70" s="51"/>
    </row>
    <row r="71" spans="1:10">
      <c r="A71" s="50"/>
      <c r="B71" s="50"/>
      <c r="C71" s="51"/>
      <c r="D71" s="51"/>
      <c r="E71" s="51"/>
      <c r="F71" s="51"/>
      <c r="G71" s="51"/>
      <c r="H71" s="51"/>
      <c r="I71" s="51"/>
      <c r="J71" s="51"/>
    </row>
    <row r="72" spans="1:10">
      <c r="A72" s="50"/>
      <c r="B72" s="50"/>
      <c r="C72" s="51"/>
      <c r="D72" s="51"/>
      <c r="E72" s="51"/>
      <c r="F72" s="51"/>
      <c r="G72" s="51"/>
      <c r="H72" s="51"/>
      <c r="I72" s="51"/>
      <c r="J72" s="51"/>
    </row>
    <row r="73" spans="1:10">
      <c r="A73" s="50"/>
      <c r="B73" s="50"/>
      <c r="C73" s="51"/>
      <c r="D73" s="51"/>
      <c r="E73" s="51"/>
      <c r="F73" s="51"/>
      <c r="G73" s="51"/>
      <c r="H73" s="51"/>
      <c r="I73" s="51"/>
      <c r="J73" s="51"/>
    </row>
    <row r="74" spans="1:10">
      <c r="A74" s="50"/>
      <c r="B74" s="50"/>
      <c r="C74" s="51"/>
      <c r="D74" s="51"/>
      <c r="E74" s="51"/>
      <c r="F74" s="51"/>
      <c r="G74" s="51"/>
      <c r="H74" s="51"/>
      <c r="I74" s="51"/>
      <c r="J74" s="51"/>
    </row>
    <row r="75" spans="1:10">
      <c r="A75" s="50"/>
      <c r="B75" s="50"/>
      <c r="C75" s="51"/>
      <c r="D75" s="51"/>
      <c r="E75" s="51"/>
      <c r="F75" s="51"/>
      <c r="G75" s="51"/>
      <c r="H75" s="51"/>
      <c r="I75" s="51"/>
      <c r="J75" s="51"/>
    </row>
    <row r="76" spans="1:10">
      <c r="A76" s="50"/>
      <c r="B76" s="50"/>
      <c r="C76" s="51"/>
      <c r="D76" s="51"/>
      <c r="E76" s="51"/>
      <c r="F76" s="51"/>
      <c r="G76" s="51"/>
      <c r="H76" s="51"/>
      <c r="I76" s="51"/>
      <c r="J76" s="51"/>
    </row>
    <row r="77" spans="1:10">
      <c r="A77" s="50"/>
      <c r="B77" s="50"/>
      <c r="C77" s="51"/>
      <c r="D77" s="51"/>
      <c r="E77" s="51"/>
      <c r="F77" s="51"/>
      <c r="G77" s="51"/>
      <c r="H77" s="51"/>
      <c r="I77" s="51"/>
      <c r="J77" s="51"/>
    </row>
    <row r="78" spans="1:10" ht="48.75" customHeight="1">
      <c r="A78" s="50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0"/>
      <c r="B79" s="50"/>
      <c r="C79" s="51"/>
      <c r="D79" s="51"/>
      <c r="E79" s="51"/>
      <c r="F79" s="51"/>
      <c r="G79" s="51"/>
      <c r="H79" s="51"/>
      <c r="I79" s="51"/>
      <c r="J79" s="51"/>
    </row>
    <row r="80" spans="1:10">
      <c r="A80" s="50"/>
      <c r="B80" s="50"/>
      <c r="C80" s="51"/>
      <c r="D80" s="51"/>
      <c r="E80" s="51"/>
      <c r="F80" s="51"/>
      <c r="G80" s="51"/>
      <c r="H80" s="51"/>
      <c r="I80" s="51"/>
      <c r="J80" s="51"/>
    </row>
    <row r="96" spans="3:10">
      <c r="C96" s="10"/>
      <c r="D96" s="10"/>
      <c r="E96" s="10"/>
      <c r="F96" s="10"/>
      <c r="G96" s="10"/>
      <c r="H96" s="10"/>
      <c r="I96" s="10"/>
      <c r="J96" s="10"/>
    </row>
    <row r="102" spans="3:10">
      <c r="C102" s="10"/>
      <c r="D102" s="10"/>
      <c r="E102" s="10"/>
      <c r="F102" s="10"/>
      <c r="G102" s="10"/>
      <c r="H102" s="10"/>
      <c r="I102" s="10"/>
      <c r="J102" s="10"/>
    </row>
    <row r="103" spans="3:10">
      <c r="C103" s="10"/>
      <c r="D103" s="10"/>
      <c r="E103" s="10"/>
      <c r="F103" s="10"/>
      <c r="G103" s="10"/>
      <c r="H103" s="10"/>
      <c r="I103" s="10"/>
      <c r="J103" s="10"/>
    </row>
    <row r="104" spans="3:10">
      <c r="C104" s="10"/>
      <c r="D104" s="10"/>
      <c r="E104" s="10"/>
      <c r="F104" s="10"/>
      <c r="G104" s="10"/>
      <c r="H104" s="10"/>
      <c r="I104" s="10"/>
      <c r="J104" s="10"/>
    </row>
    <row r="105" spans="3:10">
      <c r="C105" s="10"/>
      <c r="D105" s="10"/>
      <c r="E105" s="10"/>
      <c r="F105" s="10"/>
      <c r="G105" s="10"/>
      <c r="H105" s="10"/>
      <c r="I105" s="10"/>
      <c r="J105" s="10"/>
    </row>
    <row r="106" spans="3:10">
      <c r="C106" s="10"/>
      <c r="D106" s="10"/>
      <c r="E106" s="10"/>
      <c r="F106" s="10"/>
      <c r="G106" s="10"/>
      <c r="H106" s="10"/>
      <c r="I106" s="10"/>
      <c r="J106" s="10"/>
    </row>
  </sheetData>
  <mergeCells count="3">
    <mergeCell ref="A1:J1"/>
    <mergeCell ref="G5:H5"/>
    <mergeCell ref="A53:A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2026-06-06T05:21:10Z</dcterms:modified>
</cp:coreProperties>
</file>