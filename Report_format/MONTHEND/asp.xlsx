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md cell" sheetId="1" r:id="rId1"/>
  </sheets>
  <externalReferences>
    <externalReference r:id="rId2"/>
  </externalReferences>
  <definedNames>
    <definedName name="_xlnm._FilterDatabase" localSheetId="0" hidden="1">'md cell'!$A$1:$P$5</definedName>
    <definedName name="_xlnm.Print_Area" localSheetId="0">'md cell'!$A$1:$P$75</definedName>
  </definedNames>
  <calcPr calcId="144525"/>
</workbook>
</file>

<file path=xl/calcChain.xml><?xml version="1.0" encoding="utf-8"?>
<calcChain xmlns="http://schemas.openxmlformats.org/spreadsheetml/2006/main">
  <c r="E115" i="1" l="1"/>
  <c r="X114" i="1"/>
  <c r="E114" i="1"/>
  <c r="X113" i="1"/>
  <c r="E113" i="1"/>
  <c r="X112" i="1"/>
  <c r="X111" i="1"/>
  <c r="X110" i="1"/>
  <c r="AA109" i="1"/>
  <c r="Z109" i="1"/>
  <c r="Y109" i="1"/>
  <c r="X109" i="1"/>
  <c r="X108" i="1"/>
  <c r="X107" i="1"/>
  <c r="H104" i="1"/>
  <c r="G104" i="1"/>
  <c r="E104" i="1"/>
  <c r="D104" i="1"/>
  <c r="C104" i="1"/>
  <c r="T103" i="1"/>
  <c r="T102" i="1"/>
  <c r="T101" i="1"/>
  <c r="AE100" i="1"/>
  <c r="Z100" i="1"/>
  <c r="U100" i="1"/>
  <c r="T100" i="1"/>
  <c r="L100" i="1"/>
  <c r="L102" i="1" s="1"/>
  <c r="AE99" i="1"/>
  <c r="U99" i="1"/>
  <c r="T99" i="1"/>
  <c r="K99" i="1"/>
  <c r="AE98" i="1"/>
  <c r="U98" i="1"/>
  <c r="AC98" i="1" s="1"/>
  <c r="T98" i="1"/>
  <c r="G98" i="1"/>
  <c r="F98" i="1"/>
  <c r="AE97" i="1"/>
  <c r="U97" i="1"/>
  <c r="AC97" i="1" s="1"/>
  <c r="T97" i="1"/>
  <c r="K97" i="1"/>
  <c r="J97" i="1"/>
  <c r="AE96" i="1"/>
  <c r="U96" i="1"/>
  <c r="AC96" i="1" s="1"/>
  <c r="T96" i="1"/>
  <c r="I96" i="1"/>
  <c r="H96" i="1"/>
  <c r="G96" i="1"/>
  <c r="G99" i="1" s="1"/>
  <c r="F96" i="1"/>
  <c r="E96" i="1"/>
  <c r="D96" i="1"/>
  <c r="U95" i="1"/>
  <c r="T95" i="1"/>
  <c r="K95" i="1"/>
  <c r="I95" i="1"/>
  <c r="H95" i="1"/>
  <c r="G95" i="1"/>
  <c r="F95" i="1"/>
  <c r="E95" i="1"/>
  <c r="D95" i="1"/>
  <c r="AE94" i="1"/>
  <c r="U94" i="1"/>
  <c r="T94" i="1"/>
  <c r="N94" i="1"/>
  <c r="M94" i="1"/>
  <c r="L94" i="1"/>
  <c r="K94" i="1"/>
  <c r="J94" i="1"/>
  <c r="AH93" i="1"/>
  <c r="Z93" i="1"/>
  <c r="U93" i="1"/>
  <c r="T93" i="1"/>
  <c r="O93" i="1"/>
  <c r="N93" i="1"/>
  <c r="M93" i="1"/>
  <c r="L93" i="1"/>
  <c r="K93" i="1"/>
  <c r="J93" i="1"/>
  <c r="AE92" i="1"/>
  <c r="U92" i="1"/>
  <c r="T92" i="1"/>
  <c r="AE91" i="1"/>
  <c r="Z91" i="1"/>
  <c r="U91" i="1"/>
  <c r="AC91" i="1" s="1"/>
  <c r="T91" i="1"/>
  <c r="W90" i="1"/>
  <c r="L90" i="1"/>
  <c r="AK89" i="1"/>
  <c r="AH89" i="1"/>
  <c r="Z89" i="1"/>
  <c r="M89" i="1"/>
  <c r="AA88" i="1"/>
  <c r="Z88" i="1"/>
  <c r="Y88" i="1"/>
  <c r="Z87" i="1"/>
  <c r="AE80" i="1"/>
  <c r="AE95" i="1" s="1"/>
  <c r="K80" i="1"/>
  <c r="AC78" i="1"/>
  <c r="AB78" i="1"/>
  <c r="K78" i="1"/>
  <c r="L74" i="1"/>
  <c r="L73" i="1"/>
  <c r="N72" i="1"/>
  <c r="M72" i="1"/>
  <c r="L72" i="1"/>
  <c r="K72" i="1"/>
  <c r="J72" i="1"/>
  <c r="H72" i="1"/>
  <c r="G72" i="1"/>
  <c r="F72" i="1"/>
  <c r="E72" i="1"/>
  <c r="D72" i="1"/>
  <c r="C72" i="1"/>
  <c r="I72" i="1" s="1"/>
  <c r="I69" i="1"/>
  <c r="P69" i="1" s="1"/>
  <c r="I68" i="1"/>
  <c r="P68" i="1" s="1"/>
  <c r="Z67" i="1"/>
  <c r="P67" i="1"/>
  <c r="I67" i="1"/>
  <c r="C66" i="1"/>
  <c r="P66" i="1" s="1"/>
  <c r="C65" i="1"/>
  <c r="I65" i="1" s="1"/>
  <c r="P65" i="1" s="1"/>
  <c r="C64" i="1"/>
  <c r="I64" i="1" s="1"/>
  <c r="P63" i="1"/>
  <c r="I63" i="1"/>
  <c r="O62" i="1"/>
  <c r="N62" i="1"/>
  <c r="M62" i="1"/>
  <c r="L62" i="1"/>
  <c r="K62" i="1"/>
  <c r="J62" i="1"/>
  <c r="H62" i="1"/>
  <c r="G62" i="1"/>
  <c r="F62" i="1"/>
  <c r="E62" i="1"/>
  <c r="D62" i="1"/>
  <c r="P61" i="1"/>
  <c r="I60" i="1"/>
  <c r="I62" i="1" s="1"/>
  <c r="R59" i="1"/>
  <c r="P57" i="1"/>
  <c r="I57" i="1"/>
  <c r="S54" i="1"/>
  <c r="P54" i="1"/>
  <c r="I54" i="1"/>
  <c r="S53" i="1"/>
  <c r="P53" i="1"/>
  <c r="P52" i="1"/>
  <c r="Q50" i="1"/>
  <c r="P50" i="1"/>
  <c r="P51" i="1" s="1"/>
  <c r="C50" i="1"/>
  <c r="C51" i="1" s="1"/>
  <c r="I49" i="1"/>
  <c r="P49" i="1" s="1"/>
  <c r="S47" i="1"/>
  <c r="O46" i="1"/>
  <c r="AA45" i="1"/>
  <c r="S45" i="1"/>
  <c r="Q45" i="1"/>
  <c r="AA44" i="1"/>
  <c r="Q44" i="1"/>
  <c r="B43" i="1"/>
  <c r="B45" i="1" s="1"/>
  <c r="C96" i="1" s="1"/>
  <c r="AG42" i="1"/>
  <c r="W42" i="1"/>
  <c r="AG41" i="1"/>
  <c r="V41" i="1"/>
  <c r="T41" i="1"/>
  <c r="AG40" i="1"/>
  <c r="AG39" i="1"/>
  <c r="U39" i="1"/>
  <c r="N39" i="1"/>
  <c r="M39" i="1"/>
  <c r="L39" i="1"/>
  <c r="K39" i="1"/>
  <c r="F39" i="1"/>
  <c r="E39" i="1"/>
  <c r="B39" i="1"/>
  <c r="AG38" i="1"/>
  <c r="N38" i="1"/>
  <c r="M38" i="1"/>
  <c r="O38" i="1" s="1"/>
  <c r="L38" i="1"/>
  <c r="AG37" i="1"/>
  <c r="AG36" i="1"/>
  <c r="O35" i="1"/>
  <c r="G35" i="1"/>
  <c r="AG34" i="1"/>
  <c r="P34" i="1"/>
  <c r="N34" i="1"/>
  <c r="M34" i="1"/>
  <c r="AG33" i="1"/>
  <c r="P33" i="1"/>
  <c r="AS32" i="1"/>
  <c r="AS33" i="1" s="1"/>
  <c r="AG32" i="1"/>
  <c r="P32" i="1"/>
  <c r="O32" i="1"/>
  <c r="N32" i="1"/>
  <c r="M32" i="1"/>
  <c r="L32" i="1"/>
  <c r="K32" i="1"/>
  <c r="F32" i="1"/>
  <c r="AG31" i="1"/>
  <c r="P31" i="1"/>
  <c r="O31" i="1"/>
  <c r="N31" i="1"/>
  <c r="M31" i="1"/>
  <c r="AM30" i="1"/>
  <c r="P30" i="1"/>
  <c r="O30" i="1"/>
  <c r="N30" i="1"/>
  <c r="M30" i="1"/>
  <c r="H30" i="1"/>
  <c r="G30" i="1"/>
  <c r="H29" i="1"/>
  <c r="G29" i="1"/>
  <c r="E29" i="1"/>
  <c r="AG27" i="1"/>
  <c r="AX26" i="1"/>
  <c r="AG26" i="1"/>
  <c r="AA26" i="1"/>
  <c r="AG25" i="1"/>
  <c r="L25" i="1"/>
  <c r="AG24" i="1"/>
  <c r="J24" i="1"/>
  <c r="I24" i="1"/>
  <c r="AH85" i="1" s="1"/>
  <c r="AH100" i="1" s="1"/>
  <c r="H24" i="1"/>
  <c r="G24" i="1"/>
  <c r="F24" i="1"/>
  <c r="Z85" i="1" s="1"/>
  <c r="E24" i="1"/>
  <c r="Y85" i="1" s="1"/>
  <c r="D24" i="1"/>
  <c r="C24" i="1"/>
  <c r="AG23" i="1"/>
  <c r="L23" i="1"/>
  <c r="I23" i="1"/>
  <c r="AH84" i="1" s="1"/>
  <c r="AH99" i="1" s="1"/>
  <c r="G23" i="1"/>
  <c r="F23" i="1"/>
  <c r="C70" i="1" s="1"/>
  <c r="E23" i="1"/>
  <c r="Y84" i="1" s="1"/>
  <c r="D23" i="1"/>
  <c r="C23" i="1"/>
  <c r="AG22" i="1"/>
  <c r="L22" i="1"/>
  <c r="O44" i="1" s="1"/>
  <c r="O45" i="1" s="1"/>
  <c r="O94" i="1" s="1"/>
  <c r="I22" i="1"/>
  <c r="AH83" i="1" s="1"/>
  <c r="AH98" i="1" s="1"/>
  <c r="AI98" i="1" s="1"/>
  <c r="G22" i="1"/>
  <c r="F22" i="1"/>
  <c r="C58" i="1" s="1"/>
  <c r="E22" i="1"/>
  <c r="Y83" i="1" s="1"/>
  <c r="D22" i="1"/>
  <c r="C22" i="1"/>
  <c r="N21" i="1"/>
  <c r="L21" i="1"/>
  <c r="I21" i="1"/>
  <c r="AH82" i="1" s="1"/>
  <c r="AH97" i="1" s="1"/>
  <c r="AI97" i="1" s="1"/>
  <c r="G21" i="1"/>
  <c r="H21" i="1" s="1"/>
  <c r="F21" i="1"/>
  <c r="Z82" i="1" s="1"/>
  <c r="E21" i="1"/>
  <c r="Y82" i="1" s="1"/>
  <c r="D21" i="1"/>
  <c r="C21" i="1"/>
  <c r="N20" i="1"/>
  <c r="L20" i="1"/>
  <c r="I20" i="1"/>
  <c r="G20" i="1"/>
  <c r="F20" i="1"/>
  <c r="E20" i="1"/>
  <c r="H20" i="1" s="1"/>
  <c r="D20" i="1"/>
  <c r="C20" i="1"/>
  <c r="L19" i="1"/>
  <c r="I19" i="1"/>
  <c r="H19" i="1"/>
  <c r="G19" i="1"/>
  <c r="F19" i="1"/>
  <c r="E19" i="1"/>
  <c r="D19" i="1"/>
  <c r="J79" i="1" s="1"/>
  <c r="K79" i="1" s="1"/>
  <c r="C19" i="1"/>
  <c r="AG18" i="1"/>
  <c r="L18" i="1"/>
  <c r="I18" i="1"/>
  <c r="AH81" i="1" s="1"/>
  <c r="AH96" i="1" s="1"/>
  <c r="AI96" i="1" s="1"/>
  <c r="G18" i="1"/>
  <c r="F18" i="1"/>
  <c r="C61" i="1" s="1"/>
  <c r="C62" i="1" s="1"/>
  <c r="E18" i="1"/>
  <c r="Y81" i="1" s="1"/>
  <c r="D18" i="1"/>
  <c r="J77" i="1" s="1"/>
  <c r="C18" i="1"/>
  <c r="P17" i="1"/>
  <c r="O17" i="1"/>
  <c r="L17" i="1"/>
  <c r="C17" i="1"/>
  <c r="AY16" i="1"/>
  <c r="P16" i="1"/>
  <c r="O16" i="1"/>
  <c r="L16" i="1"/>
  <c r="I16" i="1"/>
  <c r="F16" i="1"/>
  <c r="D16" i="1"/>
  <c r="D17" i="1" s="1"/>
  <c r="L15" i="1"/>
  <c r="L26" i="1" s="1"/>
  <c r="O43" i="1" s="1"/>
  <c r="I15" i="1"/>
  <c r="F15" i="1"/>
  <c r="D15" i="1"/>
  <c r="C15" i="1"/>
  <c r="I14" i="1"/>
  <c r="F14" i="1"/>
  <c r="D14" i="1"/>
  <c r="N25" i="1" s="1"/>
  <c r="C14" i="1"/>
  <c r="I13" i="1"/>
  <c r="AH80" i="1" s="1"/>
  <c r="AH95" i="1" s="1"/>
  <c r="G13" i="1"/>
  <c r="H13" i="1" s="1"/>
  <c r="F13" i="1"/>
  <c r="Z80" i="1" s="1"/>
  <c r="E13" i="1"/>
  <c r="Y80" i="1" s="1"/>
  <c r="D13" i="1"/>
  <c r="C13" i="1"/>
  <c r="I12" i="1"/>
  <c r="G12" i="1"/>
  <c r="H12" i="1" s="1"/>
  <c r="F12" i="1"/>
  <c r="Z79" i="1" s="1"/>
  <c r="E12" i="1"/>
  <c r="Y79" i="1" s="1"/>
  <c r="D12" i="1"/>
  <c r="C12" i="1"/>
  <c r="I11" i="1"/>
  <c r="AH77" i="1" s="1"/>
  <c r="G11" i="1"/>
  <c r="F11" i="1"/>
  <c r="Z77" i="1" s="1"/>
  <c r="E11" i="1"/>
  <c r="Y77" i="1" s="1"/>
  <c r="D11" i="1"/>
  <c r="I10" i="1"/>
  <c r="AH76" i="1" s="1"/>
  <c r="AH91" i="1" s="1"/>
  <c r="H10" i="1"/>
  <c r="G10" i="1"/>
  <c r="F10" i="1"/>
  <c r="Z76" i="1" s="1"/>
  <c r="E10" i="1"/>
  <c r="Y76" i="1" s="1"/>
  <c r="D10" i="1"/>
  <c r="C10" i="1"/>
  <c r="I9" i="1"/>
  <c r="H9" i="1"/>
  <c r="G9" i="1"/>
  <c r="F9" i="1"/>
  <c r="E9" i="1"/>
  <c r="D9" i="1"/>
  <c r="C9" i="1"/>
  <c r="C11" i="1" s="1"/>
  <c r="I8" i="1"/>
  <c r="I17" i="1" s="1"/>
  <c r="G8" i="1"/>
  <c r="H8" i="1" s="1"/>
  <c r="F8" i="1"/>
  <c r="F17" i="1" s="1"/>
  <c r="E8" i="1"/>
  <c r="D8" i="1"/>
  <c r="C8" i="1"/>
  <c r="I7" i="1"/>
  <c r="I28" i="1" s="1"/>
  <c r="N5" i="1"/>
  <c r="M5" i="1"/>
  <c r="L5" i="1"/>
  <c r="P58" i="1" s="1"/>
  <c r="P59" i="1" s="1"/>
  <c r="K5" i="1"/>
  <c r="N4" i="1"/>
  <c r="M4" i="1"/>
  <c r="L4" i="1"/>
  <c r="K4" i="1"/>
  <c r="N3" i="1"/>
  <c r="M3" i="1"/>
  <c r="L3" i="1"/>
  <c r="K3" i="1"/>
  <c r="A3" i="1"/>
  <c r="Y91" i="1" l="1"/>
  <c r="AB76" i="1"/>
  <c r="Y107" i="1"/>
  <c r="AB79" i="1"/>
  <c r="Y94" i="1"/>
  <c r="AB94" i="1" s="1"/>
  <c r="Y110" i="1"/>
  <c r="Y96" i="1"/>
  <c r="Y112" i="1"/>
  <c r="AB81" i="1"/>
  <c r="Y99" i="1"/>
  <c r="AB99" i="1" s="1"/>
  <c r="Y115" i="1"/>
  <c r="AB84" i="1"/>
  <c r="AF97" i="1"/>
  <c r="AA76" i="1"/>
  <c r="AA107" i="1" s="1"/>
  <c r="Z107" i="1"/>
  <c r="AI76" i="1"/>
  <c r="AC76" i="1"/>
  <c r="AH79" i="1"/>
  <c r="AH94" i="1" s="1"/>
  <c r="AH92" i="1"/>
  <c r="AI79" i="1"/>
  <c r="AC79" i="1"/>
  <c r="Z110" i="1"/>
  <c r="AA79" i="1"/>
  <c r="AA110" i="1" s="1"/>
  <c r="Z113" i="1"/>
  <c r="AI82" i="1"/>
  <c r="AC82" i="1"/>
  <c r="AA82" i="1"/>
  <c r="AA113" i="1" s="1"/>
  <c r="C95" i="1"/>
  <c r="P70" i="1"/>
  <c r="I70" i="1"/>
  <c r="Z116" i="1"/>
  <c r="AI85" i="1"/>
  <c r="AC85" i="1"/>
  <c r="AA85" i="1"/>
  <c r="AA116" i="1" s="1"/>
  <c r="AF98" i="1"/>
  <c r="Y108" i="1"/>
  <c r="Y92" i="1"/>
  <c r="AB92" i="1" s="1"/>
  <c r="AB77" i="1"/>
  <c r="Y95" i="1"/>
  <c r="AB95" i="1" s="1"/>
  <c r="AB80" i="1"/>
  <c r="Y111" i="1"/>
  <c r="AA77" i="1"/>
  <c r="AA108" i="1" s="1"/>
  <c r="Z108" i="1"/>
  <c r="Z92" i="1"/>
  <c r="AI77" i="1"/>
  <c r="AC77" i="1"/>
  <c r="AC80" i="1"/>
  <c r="Z111" i="1"/>
  <c r="AA80" i="1"/>
  <c r="AA111" i="1" s="1"/>
  <c r="AI80" i="1"/>
  <c r="L77" i="1"/>
  <c r="G40" i="1" s="1"/>
  <c r="K77" i="1"/>
  <c r="M80" i="1" s="1"/>
  <c r="H38" i="1" s="1"/>
  <c r="L80" i="1"/>
  <c r="G38" i="1" s="1"/>
  <c r="M77" i="1"/>
  <c r="H40" i="1" s="1"/>
  <c r="AF91" i="1"/>
  <c r="AF96" i="1"/>
  <c r="Y113" i="1"/>
  <c r="AB82" i="1"/>
  <c r="Y97" i="1"/>
  <c r="Y114" i="1"/>
  <c r="Y98" i="1"/>
  <c r="AB83" i="1"/>
  <c r="Y116" i="1"/>
  <c r="AB85" i="1"/>
  <c r="Y100" i="1"/>
  <c r="AB100" i="1" s="1"/>
  <c r="AI91" i="1"/>
  <c r="H11" i="1"/>
  <c r="H18" i="1"/>
  <c r="H23" i="1"/>
  <c r="Z83" i="1"/>
  <c r="AC100" i="1"/>
  <c r="P72" i="1"/>
  <c r="AI100" i="1"/>
  <c r="P60" i="1"/>
  <c r="P62" i="1" s="1"/>
  <c r="C71" i="1"/>
  <c r="Z81" i="1"/>
  <c r="Z84" i="1"/>
  <c r="H22" i="1"/>
  <c r="C55" i="1"/>
  <c r="Z115" i="1" l="1"/>
  <c r="AA84" i="1"/>
  <c r="AA115" i="1" s="1"/>
  <c r="AI84" i="1"/>
  <c r="AC84" i="1"/>
  <c r="Z99" i="1"/>
  <c r="AF80" i="1"/>
  <c r="AD80" i="1"/>
  <c r="AF76" i="1"/>
  <c r="AD76" i="1"/>
  <c r="AA81" i="1"/>
  <c r="AA112" i="1" s="1"/>
  <c r="Z112" i="1"/>
  <c r="AI81" i="1"/>
  <c r="AC81" i="1"/>
  <c r="AF77" i="1"/>
  <c r="AD77" i="1"/>
  <c r="AB91" i="1"/>
  <c r="AD91" i="1" s="1"/>
  <c r="AM91" i="1" s="1"/>
  <c r="AA91" i="1"/>
  <c r="C56" i="1"/>
  <c r="P55" i="1"/>
  <c r="I71" i="1"/>
  <c r="P71" i="1"/>
  <c r="AF100" i="1"/>
  <c r="AD100" i="1"/>
  <c r="AB97" i="1"/>
  <c r="AD97" i="1" s="1"/>
  <c r="AM97" i="1" s="1"/>
  <c r="AA97" i="1"/>
  <c r="AA100" i="1"/>
  <c r="AA98" i="1"/>
  <c r="AB98" i="1"/>
  <c r="AD98" i="1" s="1"/>
  <c r="AD85" i="1"/>
  <c r="AF85" i="1"/>
  <c r="AF79" i="1"/>
  <c r="AD79" i="1"/>
  <c r="Z114" i="1"/>
  <c r="AI83" i="1"/>
  <c r="AC83" i="1"/>
  <c r="AA83" i="1"/>
  <c r="Z94" i="1"/>
  <c r="AA92" i="1"/>
  <c r="AI92" i="1"/>
  <c r="AC92" i="1"/>
  <c r="AD82" i="1"/>
  <c r="AF82" i="1"/>
  <c r="AA96" i="1"/>
  <c r="AB96" i="1"/>
  <c r="AD96" i="1" s="1"/>
  <c r="AM96" i="1" s="1"/>
  <c r="Z95" i="1" l="1"/>
  <c r="AA94" i="1"/>
  <c r="AI94" i="1"/>
  <c r="AF81" i="1"/>
  <c r="AD81" i="1"/>
  <c r="AF92" i="1"/>
  <c r="AC94" i="1"/>
  <c r="AD92" i="1"/>
  <c r="AM92" i="1" s="1"/>
  <c r="AA114" i="1"/>
  <c r="AJ83" i="1"/>
  <c r="AF84" i="1"/>
  <c r="AD84" i="1"/>
  <c r="AC99" i="1"/>
  <c r="AA99" i="1"/>
  <c r="AI99" i="1"/>
  <c r="AF83" i="1"/>
  <c r="AD83" i="1"/>
  <c r="P56" i="1"/>
  <c r="R47" i="1"/>
  <c r="AF99" i="1" l="1"/>
  <c r="AD99" i="1"/>
  <c r="AI95" i="1"/>
  <c r="AC95" i="1"/>
  <c r="AA95" i="1"/>
  <c r="AD94" i="1"/>
  <c r="AM94" i="1" s="1"/>
  <c r="AF94" i="1"/>
  <c r="AD95" i="1" l="1"/>
  <c r="AM95" i="1" s="1"/>
  <c r="AF95" i="1"/>
</calcChain>
</file>

<file path=xl/sharedStrings.xml><?xml version="1.0" encoding="utf-8"?>
<sst xmlns="http://schemas.openxmlformats.org/spreadsheetml/2006/main" count="358" uniqueCount="226">
  <si>
    <t>ALLOY STEELS PLANT, DURGAPUR</t>
  </si>
  <si>
    <t>PRODUCTION PERFORMANCE: 2026-27</t>
  </si>
  <si>
    <t>PRODUCTION PLANNING &amp; CONTROL DEPARTMENT</t>
  </si>
  <si>
    <t>ITEM</t>
  </si>
  <si>
    <t>ABP</t>
  </si>
  <si>
    <t>ACTUAL</t>
  </si>
  <si>
    <t>RATE</t>
  </si>
  <si>
    <t>% ABP</t>
  </si>
  <si>
    <t>30/04/2026</t>
  </si>
  <si>
    <t xml:space="preserve">CRUDE </t>
  </si>
  <si>
    <t/>
  </si>
  <si>
    <t>SAL. ST.</t>
  </si>
  <si>
    <t>03.09.2020</t>
  </si>
  <si>
    <t>PARAMETERS</t>
  </si>
  <si>
    <t>UNIT</t>
  </si>
  <si>
    <t>ON DATE</t>
  </si>
  <si>
    <t>MONTHLY</t>
  </si>
  <si>
    <t>DESP</t>
  </si>
  <si>
    <t>ON DT</t>
  </si>
  <si>
    <t>CUMM</t>
  </si>
  <si>
    <t>%FUL</t>
  </si>
  <si>
    <t>Major  Delays &amp; Shut Downs</t>
  </si>
  <si>
    <t>TOTAL HEATS (EAF+H/M)</t>
  </si>
  <si>
    <t>NO.</t>
  </si>
  <si>
    <t>EQPT.</t>
  </si>
  <si>
    <t>From</t>
  </si>
  <si>
    <t xml:space="preserve">To </t>
  </si>
  <si>
    <t>Duration</t>
  </si>
  <si>
    <t>Agency</t>
  </si>
  <si>
    <t>Reasons</t>
  </si>
  <si>
    <t>LIQUID</t>
  </si>
  <si>
    <t>T</t>
  </si>
  <si>
    <t>CR#03</t>
  </si>
  <si>
    <t>11:15 HRS</t>
  </si>
  <si>
    <t>14:00 HRS</t>
  </si>
  <si>
    <t>2 HRS 45 MIN</t>
  </si>
  <si>
    <t>CR. MAINT.</t>
  </si>
  <si>
    <t>PREVENTIVE MAINTENANCE DONE</t>
  </si>
  <si>
    <t>CRUDE</t>
  </si>
  <si>
    <t>RAW WATER</t>
  </si>
  <si>
    <t>17:30 HRS</t>
  </si>
  <si>
    <t>19:50 HRS</t>
  </si>
  <si>
    <t>2 HRS 20 MIN</t>
  </si>
  <si>
    <t>MED POWER</t>
  </si>
  <si>
    <t>ARJUNPUR SHUT DOWN FOR POWER CUT AND REPAIR, RECTIFIED.</t>
  </si>
  <si>
    <t>TOTAL CC</t>
  </si>
  <si>
    <t>FCE#3</t>
  </si>
  <si>
    <t>23:20 HRS</t>
  </si>
  <si>
    <t>CONT.</t>
  </si>
  <si>
    <t xml:space="preserve">            -</t>
  </si>
  <si>
    <t>MED/EED/PD</t>
  </si>
  <si>
    <t>TRANSFORMER OIL LEAKAGE,GROUND FAULT, RECTIFICATION JOB ON PROGRESS.</t>
  </si>
  <si>
    <t>INGOT PRODUCTION</t>
  </si>
  <si>
    <t>HOT METAL ROUTE HEATS</t>
  </si>
  <si>
    <t>CURRENT SAL. STOCK -PLANT(T)</t>
  </si>
  <si>
    <t>TOTAL AOD ROUTE HEATS</t>
  </si>
  <si>
    <t xml:space="preserve"> </t>
  </si>
  <si>
    <t>BILLET</t>
  </si>
  <si>
    <t>PREV DT</t>
  </si>
  <si>
    <t>STN. STEEL HEATS</t>
  </si>
  <si>
    <t>DSP COG  NM^3/HR</t>
  </si>
  <si>
    <t xml:space="preserve">Item </t>
  </si>
  <si>
    <t xml:space="preserve">ABP </t>
  </si>
  <si>
    <t>Actual</t>
  </si>
  <si>
    <t>%</t>
  </si>
  <si>
    <t>CPLY(T)</t>
  </si>
  <si>
    <t>NON-STN.STEEL HEATS</t>
  </si>
  <si>
    <t>FORGE</t>
  </si>
  <si>
    <t xml:space="preserve">(T) </t>
  </si>
  <si>
    <t>Ach</t>
  </si>
  <si>
    <t>BBM CHARGE WEIGHT</t>
  </si>
  <si>
    <t>PLATE</t>
  </si>
  <si>
    <t>Crude Steel</t>
  </si>
  <si>
    <t>BBM FINISHING</t>
  </si>
  <si>
    <t>INGOT</t>
  </si>
  <si>
    <t>EQUIP.</t>
  </si>
  <si>
    <t xml:space="preserve">       HEAT PROCESSED</t>
  </si>
  <si>
    <t>POSITION</t>
  </si>
  <si>
    <t>Concast Slab</t>
  </si>
  <si>
    <t>FORGE SHOP FINISHING</t>
  </si>
  <si>
    <t>CC BLOOM</t>
  </si>
  <si>
    <t>EAF#2</t>
  </si>
  <si>
    <t>OK</t>
  </si>
  <si>
    <t>Concast Bloom</t>
  </si>
  <si>
    <t xml:space="preserve">SALEABLE STEEL </t>
  </si>
  <si>
    <t>CC SLAB</t>
  </si>
  <si>
    <t>EAF#3</t>
  </si>
  <si>
    <t>DOWN</t>
  </si>
  <si>
    <t>INSPECTION UNDER PROCESS.</t>
  </si>
  <si>
    <t>Total CC</t>
  </si>
  <si>
    <t>PLANT DESPATCH</t>
  </si>
  <si>
    <t>FRG SLAB</t>
  </si>
  <si>
    <t>CCS</t>
  </si>
  <si>
    <t>Ingot Steel</t>
  </si>
  <si>
    <t>DSP SPL. STEEL INGOTS</t>
  </si>
  <si>
    <t>OTHER INGOT</t>
  </si>
  <si>
    <t>LF1</t>
  </si>
  <si>
    <t xml:space="preserve">BBM Charge Weight </t>
  </si>
  <si>
    <t>DSP HOT METAL ( MT)</t>
  </si>
  <si>
    <t>LF2</t>
  </si>
  <si>
    <t xml:space="preserve">Total Saleable  </t>
  </si>
  <si>
    <t>STN SLAB</t>
  </si>
  <si>
    <t>AOD/HOT METAL</t>
  </si>
  <si>
    <t xml:space="preserve">Dispatch </t>
  </si>
  <si>
    <t>TOTAL PLANT ST.</t>
  </si>
  <si>
    <t>VAD</t>
  </si>
  <si>
    <t xml:space="preserve">Special Steel Ingots – DSP  </t>
  </si>
  <si>
    <t>MAJOR TECHNO ECONOMIC PARAMETERS</t>
  </si>
  <si>
    <t>STOCKYARD</t>
  </si>
  <si>
    <t>VOD</t>
  </si>
  <si>
    <t>DSP Hot Metal</t>
  </si>
  <si>
    <t>AREA</t>
  </si>
  <si>
    <t>KEY TE PARAMETERS</t>
  </si>
  <si>
    <t>NORM</t>
  </si>
  <si>
    <t>CUM.</t>
  </si>
  <si>
    <t>25-26PRODUCITON (T)</t>
  </si>
  <si>
    <t>ALL TIME BEST  PRODUCTION (T)</t>
  </si>
  <si>
    <t>SMS</t>
  </si>
  <si>
    <t>POWER ON TO TAP TIME</t>
  </si>
  <si>
    <t>HR</t>
  </si>
  <si>
    <t>ABP25-26</t>
  </si>
  <si>
    <t>FOR A MONTH</t>
  </si>
  <si>
    <t>MONTH</t>
  </si>
  <si>
    <t>YEARLY</t>
  </si>
  <si>
    <t>YEAR</t>
  </si>
  <si>
    <t>Item</t>
  </si>
  <si>
    <t>HEAT SIZE</t>
  </si>
  <si>
    <t xml:space="preserve">TOT CRUDE </t>
  </si>
  <si>
    <t>POWER CONS.</t>
  </si>
  <si>
    <t>KWH/T</t>
  </si>
  <si>
    <t>FUEL CONS</t>
  </si>
  <si>
    <t>CC PDN</t>
  </si>
  <si>
    <t>ELECTRODE CONS.</t>
  </si>
  <si>
    <t>KG/T</t>
  </si>
  <si>
    <t>SALEABLE</t>
  </si>
  <si>
    <t>AUG'10</t>
  </si>
  <si>
    <t>YLD: LIQUID TO INGOT</t>
  </si>
  <si>
    <t>DESPATCH</t>
  </si>
  <si>
    <t>AOD FUEL CONS.(Prevous  day)</t>
  </si>
  <si>
    <t>GCAL/TON</t>
  </si>
  <si>
    <t>BBM CH WT</t>
  </si>
  <si>
    <t>AUG'09</t>
  </si>
  <si>
    <t>88-89</t>
  </si>
  <si>
    <t>YIELD</t>
  </si>
  <si>
    <t>N/C</t>
  </si>
  <si>
    <t>GRADE</t>
  </si>
  <si>
    <t>RECPT (T)</t>
  </si>
  <si>
    <t>ROLL.(T)</t>
  </si>
  <si>
    <t>REL. (T)</t>
  </si>
  <si>
    <t>DESP.(T)</t>
  </si>
  <si>
    <t>SAL STOCK</t>
  </si>
  <si>
    <t xml:space="preserve"> MONTHLY STATUS OF BRC BLOOM</t>
  </si>
  <si>
    <t xml:space="preserve">BBM Charge weight </t>
  </si>
  <si>
    <t>BBM</t>
  </si>
  <si>
    <t>45C8</t>
  </si>
  <si>
    <t>CL II/C-20/R16</t>
  </si>
  <si>
    <t>AISI 1018</t>
  </si>
  <si>
    <t>LOCATION</t>
  </si>
  <si>
    <t>01-04-26</t>
  </si>
  <si>
    <t>01-05-26</t>
  </si>
  <si>
    <t>26-27</t>
  </si>
  <si>
    <t>PLANT STOCK - NON-IPT</t>
  </si>
  <si>
    <t xml:space="preserve">                                      - IPT </t>
  </si>
  <si>
    <t>TOTAL PLANT STOCK</t>
  </si>
  <si>
    <t>STOCKYARD STOCK</t>
  </si>
  <si>
    <t>+</t>
  </si>
  <si>
    <t>MONTH-WISE PRODUCTION 25-26</t>
  </si>
  <si>
    <t xml:space="preserve">   </t>
  </si>
  <si>
    <t>PARTICULARS</t>
  </si>
  <si>
    <t>APR</t>
  </si>
  <si>
    <t>MAY</t>
  </si>
  <si>
    <t>JUN</t>
  </si>
  <si>
    <t>JUL</t>
  </si>
  <si>
    <t>AUG</t>
  </si>
  <si>
    <t>SEP</t>
  </si>
  <si>
    <t>H1 26-27</t>
  </si>
  <si>
    <t>OCT</t>
  </si>
  <si>
    <t>NOV</t>
  </si>
  <si>
    <t>DEC</t>
  </si>
  <si>
    <t>JAN</t>
  </si>
  <si>
    <t>FEB</t>
  </si>
  <si>
    <t>MAR</t>
  </si>
  <si>
    <t>ABP (T)</t>
  </si>
  <si>
    <t>CRUDE STEEL</t>
  </si>
  <si>
    <t>ACTUAL (T)</t>
  </si>
  <si>
    <t>%ABP</t>
  </si>
  <si>
    <t>NO OF HEATS</t>
  </si>
  <si>
    <t>NO OF HOT METAL HTS</t>
  </si>
  <si>
    <t>SALEABLE STEEL</t>
  </si>
  <si>
    <t>CCB RECPT(TON)DSPC20</t>
  </si>
  <si>
    <t>CCB RECPT(TON)DSP45C8</t>
  </si>
  <si>
    <t>CCB RECPT(TON)DSP1018</t>
  </si>
  <si>
    <t>CCBRECPT(TON)BSP/EN 19</t>
  </si>
  <si>
    <t>CCB RECPT(TON)BSP/45C8</t>
  </si>
  <si>
    <t>CCB RECPT(TON)BSP/50CRMO4(M)</t>
  </si>
  <si>
    <t>-</t>
  </si>
  <si>
    <t>DSP SPL INGOTS(TON)</t>
  </si>
  <si>
    <t>DSP HOT METAL(TON)</t>
  </si>
  <si>
    <t>SCRAP &amp; PIG IRON</t>
  </si>
  <si>
    <t>CUMM 25-26</t>
  </si>
  <si>
    <t>RMT FINAL</t>
  </si>
  <si>
    <t>CPLY</t>
  </si>
  <si>
    <t>APRIL'26</t>
  </si>
  <si>
    <t>prev dt cum</t>
  </si>
  <si>
    <t>CW</t>
  </si>
  <si>
    <t>8234/8235</t>
  </si>
  <si>
    <t>OUT(fin+cog)</t>
  </si>
  <si>
    <t>fin</t>
  </si>
  <si>
    <t>POWER</t>
  </si>
  <si>
    <t>ENTER SL.NO. -&gt;</t>
  </si>
  <si>
    <t>TOTAL SAL</t>
  </si>
  <si>
    <t>RAJESH KUMAR</t>
  </si>
  <si>
    <t>DGM(PPCD, PC &amp; SHIP),ASP</t>
  </si>
  <si>
    <t>SPL ING</t>
  </si>
  <si>
    <t>DSP HOT/</t>
  </si>
  <si>
    <t>\</t>
  </si>
  <si>
    <t>KABITA DEB</t>
  </si>
  <si>
    <t>GM(PPCD, PC &amp; SHIP),ASP</t>
  </si>
  <si>
    <t>RMT LIKELY</t>
  </si>
  <si>
    <t>SULEKHA KUMARI</t>
  </si>
  <si>
    <t xml:space="preserve"> AGM(PPCD &amp;  SHIPPING), ASP</t>
  </si>
  <si>
    <t>DIFFERNCE</t>
  </si>
  <si>
    <t xml:space="preserve">% OVER </t>
  </si>
  <si>
    <t>H1 25-26</t>
  </si>
  <si>
    <t>QI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</si>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</sst>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00"/>
    <numFmt numFmtId="166" formatCode="[$-14009]dd/mm/yy;@"/>
    <numFmt numFmtId="167" formatCode="_(* #,##0.00_);_(* \(#,##0.00\);_(* &quot;-&quot;??_);_(@_)"/>
    <numFmt numFmtId="168" formatCode="_(&quot;$&quot;* #,##0.00_);_(&quot;$&quot;* \(#,##0.00\);_(&quot;$&quot;* &quot;-&quot;??_);_(@_)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i/>
      <sz val="20"/>
      <name val="Arial"/>
      <family val="2"/>
    </font>
    <font>
      <b/>
      <u/>
      <sz val="20"/>
      <name val="Arial"/>
      <family val="2"/>
    </font>
    <font>
      <b/>
      <u/>
      <sz val="18"/>
      <name val="Arial"/>
      <family val="2"/>
    </font>
    <font>
      <b/>
      <sz val="16"/>
      <name val="Arial"/>
      <family val="2"/>
    </font>
    <font>
      <b/>
      <sz val="20"/>
      <name val="Calibri"/>
      <family val="2"/>
    </font>
    <font>
      <sz val="20"/>
      <name val="Calibri"/>
      <family val="2"/>
    </font>
    <font>
      <b/>
      <i/>
      <u/>
      <sz val="20"/>
      <name val="Arial"/>
      <family val="2"/>
    </font>
    <font>
      <b/>
      <sz val="10"/>
      <name val="Arial"/>
      <family val="2"/>
    </font>
    <font>
      <b/>
      <sz val="18"/>
      <name val="Arial Black"/>
      <family val="2"/>
    </font>
    <font>
      <b/>
      <sz val="20"/>
      <name val="Arial Black"/>
      <family val="2"/>
    </font>
    <font>
      <sz val="18"/>
      <name val="Arial"/>
      <family val="2"/>
    </font>
    <font>
      <b/>
      <i/>
      <sz val="22"/>
      <name val="Arial"/>
      <family val="2"/>
    </font>
    <font>
      <b/>
      <i/>
      <sz val="18"/>
      <name val="Arial"/>
      <family val="2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/>
      <diagonal/>
    </border>
    <border>
      <left style="medium">
        <color rgb="FFC0504D"/>
      </left>
      <right style="medium">
        <color rgb="FFC0504D"/>
      </right>
      <top/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thin">
        <color rgb="FFC0504D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medium">
        <color rgb="FFC0504D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/>
      <right/>
      <top/>
      <bottom style="medium">
        <color rgb="FFC0504D"/>
      </bottom>
      <diagonal/>
    </border>
    <border>
      <left/>
      <right style="medium">
        <color rgb="FFC0504D"/>
      </right>
      <top/>
      <bottom style="medium">
        <color rgb="FFC0504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504D"/>
      </left>
      <right style="medium">
        <color rgb="FFC0504D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C0504D"/>
      </left>
      <right style="medium">
        <color rgb="FFC0504D"/>
      </right>
      <top style="medium">
        <color indexed="64"/>
      </top>
      <bottom style="medium">
        <color rgb="FFC0504D"/>
      </bottom>
      <diagonal/>
    </border>
    <border>
      <left/>
      <right style="thin">
        <color indexed="64"/>
      </right>
      <top/>
      <bottom/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indexed="64"/>
      </bottom>
      <diagonal/>
    </border>
    <border>
      <left style="medium">
        <color indexed="64"/>
      </left>
      <right style="medium">
        <color rgb="FFC0504D"/>
      </right>
      <top style="medium">
        <color rgb="FFC0504D"/>
      </top>
      <bottom style="medium">
        <color rgb="FFC0504D"/>
      </bottom>
      <diagonal/>
    </border>
  </borders>
  <cellStyleXfs count="602">
    <xf numFmtId="0" fontId="0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</cellStyleXfs>
  <cellXfs count="38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17" fontId="2" fillId="0" borderId="2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9" xfId="0" applyFont="1" applyBorder="1" applyAlignment="1">
      <alignment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20" fontId="2" fillId="0" borderId="16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vertical="center" wrapText="1"/>
    </xf>
    <xf numFmtId="20" fontId="3" fillId="0" borderId="16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2" fillId="0" borderId="29" xfId="0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1" fontId="5" fillId="0" borderId="16" xfId="0" applyNumberFormat="1" applyFont="1" applyBorder="1" applyAlignment="1">
      <alignment horizontal="center" vertical="center" wrapText="1"/>
    </xf>
    <xf numFmtId="20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1" fontId="2" fillId="0" borderId="31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2" fontId="2" fillId="0" borderId="16" xfId="0" applyNumberFormat="1" applyFont="1" applyBorder="1" applyAlignment="1">
      <alignment horizontal="center" vertical="center"/>
    </xf>
    <xf numFmtId="2" fontId="2" fillId="0" borderId="37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2" fontId="2" fillId="0" borderId="39" xfId="0" applyNumberFormat="1" applyFont="1" applyBorder="1" applyAlignment="1">
      <alignment horizontal="left" vertical="center"/>
    </xf>
    <xf numFmtId="2" fontId="2" fillId="0" borderId="40" xfId="0" applyNumberFormat="1" applyFont="1" applyBorder="1" applyAlignment="1">
      <alignment horizontal="left" vertical="center"/>
    </xf>
    <xf numFmtId="1" fontId="2" fillId="0" borderId="4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left" vertical="center"/>
    </xf>
    <xf numFmtId="1" fontId="7" fillId="0" borderId="32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2" fontId="2" fillId="0" borderId="43" xfId="0" applyNumberFormat="1" applyFont="1" applyBorder="1" applyAlignment="1">
      <alignment horizontal="left" vertical="center"/>
    </xf>
    <xf numFmtId="2" fontId="2" fillId="0" borderId="44" xfId="0" applyNumberFormat="1" applyFont="1" applyBorder="1" applyAlignment="1">
      <alignment horizontal="left" vertical="center"/>
    </xf>
    <xf numFmtId="1" fontId="2" fillId="0" borderId="45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9" fillId="0" borderId="46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0" fillId="0" borderId="4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left" vertical="center" wrapText="1"/>
    </xf>
    <xf numFmtId="3" fontId="9" fillId="0" borderId="48" xfId="0" applyNumberFormat="1" applyFont="1" applyBorder="1" applyAlignment="1">
      <alignment horizontal="center" vertical="center" wrapText="1"/>
    </xf>
    <xf numFmtId="1" fontId="9" fillId="0" borderId="48" xfId="0" applyNumberFormat="1" applyFont="1" applyBorder="1" applyAlignment="1">
      <alignment horizontal="center" vertical="center" wrapText="1"/>
    </xf>
    <xf numFmtId="0" fontId="4" fillId="0" borderId="49" xfId="0" applyFont="1" applyBorder="1" applyAlignment="1">
      <alignment vertical="center" wrapText="1"/>
    </xf>
    <xf numFmtId="0" fontId="2" fillId="0" borderId="49" xfId="0" applyFont="1" applyBorder="1" applyAlignment="1">
      <alignment vertical="center"/>
    </xf>
    <xf numFmtId="20" fontId="11" fillId="0" borderId="0" xfId="0" applyNumberFormat="1" applyFont="1" applyAlignment="1">
      <alignment horizontal="center" vertical="center"/>
    </xf>
    <xf numFmtId="0" fontId="9" fillId="0" borderId="50" xfId="0" applyFont="1" applyBorder="1" applyAlignment="1">
      <alignment horizontal="right" vertical="center" wrapText="1"/>
    </xf>
    <xf numFmtId="0" fontId="9" fillId="0" borderId="5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1" fontId="3" fillId="0" borderId="51" xfId="0" applyNumberFormat="1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2" fillId="0" borderId="43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" fontId="4" fillId="2" borderId="53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4" fillId="0" borderId="42" xfId="0" applyNumberFormat="1" applyFont="1" applyBorder="1" applyAlignment="1">
      <alignment vertical="center" wrapText="1"/>
    </xf>
    <xf numFmtId="0" fontId="9" fillId="0" borderId="54" xfId="0" applyFont="1" applyBorder="1" applyAlignment="1">
      <alignment horizontal="right" vertical="center" wrapText="1"/>
    </xf>
    <xf numFmtId="0" fontId="9" fillId="0" borderId="55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1" fontId="3" fillId="0" borderId="55" xfId="0" applyNumberFormat="1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2" fillId="3" borderId="43" xfId="0" applyFont="1" applyFill="1" applyBorder="1" applyAlignment="1">
      <alignment vertical="center"/>
    </xf>
    <xf numFmtId="0" fontId="2" fillId="3" borderId="43" xfId="0" applyFont="1" applyFill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1" fontId="2" fillId="3" borderId="45" xfId="0" applyNumberFormat="1" applyFont="1" applyFill="1" applyBorder="1" applyAlignment="1">
      <alignment horizontal="center" vertical="center"/>
    </xf>
    <xf numFmtId="1" fontId="2" fillId="3" borderId="44" xfId="0" applyNumberFormat="1" applyFont="1" applyFill="1" applyBorder="1" applyAlignment="1">
      <alignment horizontal="center" vertical="center"/>
    </xf>
    <xf numFmtId="1" fontId="2" fillId="3" borderId="43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42" xfId="0" applyFont="1" applyBorder="1" applyAlignment="1">
      <alignment vertical="center" wrapText="1"/>
    </xf>
    <xf numFmtId="0" fontId="9" fillId="0" borderId="57" xfId="0" applyFont="1" applyBorder="1" applyAlignment="1">
      <alignment horizontal="left" vertical="center" wrapText="1"/>
    </xf>
    <xf numFmtId="0" fontId="9" fillId="0" borderId="58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1" fontId="3" fillId="0" borderId="58" xfId="0" applyNumberFormat="1" applyFont="1" applyBorder="1" applyAlignment="1">
      <alignment horizontal="center" vertical="center" wrapText="1"/>
    </xf>
    <xf numFmtId="3" fontId="9" fillId="0" borderId="59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1" fontId="2" fillId="3" borderId="60" xfId="0" applyNumberFormat="1" applyFont="1" applyFill="1" applyBorder="1" applyAlignment="1">
      <alignment horizontal="center" vertical="center"/>
    </xf>
    <xf numFmtId="1" fontId="2" fillId="3" borderId="61" xfId="0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1" fontId="1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" fontId="2" fillId="0" borderId="26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1" fontId="4" fillId="2" borderId="16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" fontId="2" fillId="0" borderId="64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" fontId="4" fillId="0" borderId="68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68" xfId="0" applyFont="1" applyBorder="1" applyAlignment="1">
      <alignment horizontal="center" vertical="center"/>
    </xf>
    <xf numFmtId="17" fontId="2" fillId="0" borderId="25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69" xfId="0" applyNumberFormat="1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4" fillId="0" borderId="69" xfId="0" applyNumberFormat="1" applyFon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6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2" fontId="2" fillId="0" borderId="69" xfId="0" applyNumberFormat="1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2" fontId="2" fillId="0" borderId="70" xfId="0" applyNumberFormat="1" applyFont="1" applyBorder="1" applyAlignment="1">
      <alignment horizontal="center" vertical="center"/>
    </xf>
    <xf numFmtId="0" fontId="3" fillId="0" borderId="71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62" xfId="0" applyFont="1" applyBorder="1" applyAlignment="1">
      <alignment horizontal="center" vertical="center"/>
    </xf>
    <xf numFmtId="2" fontId="9" fillId="0" borderId="46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2" fillId="0" borderId="72" xfId="0" applyFont="1" applyBorder="1" applyAlignment="1">
      <alignment horizontal="left" vertical="center"/>
    </xf>
    <xf numFmtId="2" fontId="2" fillId="0" borderId="44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2" fontId="9" fillId="0" borderId="47" xfId="0" applyNumberFormat="1" applyFont="1" applyBorder="1" applyAlignment="1">
      <alignment horizontal="center" vertical="center" wrapText="1"/>
    </xf>
    <xf numFmtId="20" fontId="3" fillId="0" borderId="0" xfId="0" applyNumberFormat="1" applyFont="1" applyAlignment="1">
      <alignment vertical="center"/>
    </xf>
    <xf numFmtId="1" fontId="2" fillId="0" borderId="61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vertical="center"/>
    </xf>
    <xf numFmtId="1" fontId="2" fillId="0" borderId="29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165" fontId="2" fillId="0" borderId="25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49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3" fontId="9" fillId="0" borderId="51" xfId="0" applyNumberFormat="1" applyFont="1" applyBorder="1" applyAlignment="1">
      <alignment horizontal="center" vertical="center" wrapText="1"/>
    </xf>
    <xf numFmtId="3" fontId="9" fillId="0" borderId="52" xfId="0" applyNumberFormat="1" applyFont="1" applyBorder="1" applyAlignment="1">
      <alignment horizontal="center" vertical="center" wrapText="1"/>
    </xf>
    <xf numFmtId="2" fontId="2" fillId="0" borderId="49" xfId="0" applyNumberFormat="1" applyFont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3" fontId="9" fillId="0" borderId="55" xfId="0" applyNumberFormat="1" applyFont="1" applyBorder="1" applyAlignment="1">
      <alignment horizontal="center" vertical="center" wrapText="1"/>
    </xf>
    <xf numFmtId="3" fontId="9" fillId="0" borderId="56" xfId="0" applyNumberFormat="1" applyFont="1" applyBorder="1" applyAlignment="1">
      <alignment horizontal="center" vertical="center" wrapText="1"/>
    </xf>
    <xf numFmtId="0" fontId="2" fillId="0" borderId="45" xfId="0" applyFont="1" applyBorder="1" applyAlignment="1">
      <alignment vertical="center"/>
    </xf>
    <xf numFmtId="0" fontId="2" fillId="0" borderId="3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3" fontId="9" fillId="0" borderId="58" xfId="0" applyNumberFormat="1" applyFont="1" applyBorder="1" applyAlignment="1">
      <alignment horizontal="center" vertical="center" wrapText="1"/>
    </xf>
    <xf numFmtId="0" fontId="2" fillId="0" borderId="68" xfId="0" applyFont="1" applyBorder="1" applyAlignment="1">
      <alignment vertical="center"/>
    </xf>
    <xf numFmtId="165" fontId="2" fillId="0" borderId="16" xfId="0" applyNumberFormat="1" applyFont="1" applyBorder="1" applyAlignment="1">
      <alignment horizontal="center" vertical="center"/>
    </xf>
    <xf numFmtId="165" fontId="2" fillId="0" borderId="70" xfId="0" applyNumberFormat="1" applyFont="1" applyBorder="1" applyAlignment="1">
      <alignment horizontal="center" vertical="center"/>
    </xf>
    <xf numFmtId="1" fontId="2" fillId="0" borderId="73" xfId="0" applyNumberFormat="1" applyFont="1" applyBorder="1" applyAlignment="1">
      <alignment vertical="center"/>
    </xf>
    <xf numFmtId="1" fontId="2" fillId="0" borderId="34" xfId="0" applyNumberFormat="1" applyFont="1" applyBorder="1" applyAlignment="1">
      <alignment horizontal="center" vertical="center"/>
    </xf>
    <xf numFmtId="1" fontId="2" fillId="0" borderId="73" xfId="0" applyNumberFormat="1" applyFont="1" applyBorder="1" applyAlignment="1">
      <alignment horizontal="center" vertical="center"/>
    </xf>
    <xf numFmtId="1" fontId="4" fillId="0" borderId="74" xfId="0" applyNumberFormat="1" applyFont="1" applyBorder="1" applyAlignment="1">
      <alignment horizontal="center" vertical="center"/>
    </xf>
    <xf numFmtId="1" fontId="2" fillId="0" borderId="74" xfId="0" applyNumberFormat="1" applyFont="1" applyBorder="1" applyAlignment="1">
      <alignment horizontal="center" vertical="center"/>
    </xf>
    <xf numFmtId="1" fontId="2" fillId="0" borderId="75" xfId="0" applyNumberFormat="1" applyFont="1" applyBorder="1" applyAlignment="1">
      <alignment horizontal="center" vertical="center"/>
    </xf>
    <xf numFmtId="0" fontId="9" fillId="0" borderId="76" xfId="0" applyFont="1" applyBorder="1" applyAlignment="1">
      <alignment horizontal="left" vertical="center" wrapText="1"/>
    </xf>
    <xf numFmtId="3" fontId="9" fillId="0" borderId="77" xfId="0" applyNumberFormat="1" applyFont="1" applyBorder="1" applyAlignment="1">
      <alignment horizontal="center" vertical="center" wrapText="1"/>
    </xf>
    <xf numFmtId="3" fontId="9" fillId="0" borderId="78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2" fontId="2" fillId="0" borderId="26" xfId="0" applyNumberFormat="1" applyFont="1" applyBorder="1" applyAlignment="1">
      <alignment horizontal="center" vertical="center"/>
    </xf>
    <xf numFmtId="2" fontId="2" fillId="0" borderId="70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vertical="center"/>
    </xf>
    <xf numFmtId="1" fontId="2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left" vertical="center"/>
    </xf>
    <xf numFmtId="2" fontId="2" fillId="0" borderId="6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65" fontId="2" fillId="0" borderId="45" xfId="0" applyNumberFormat="1" applyFont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1" fontId="2" fillId="0" borderId="70" xfId="0" applyNumberFormat="1" applyFont="1" applyBorder="1" applyAlignment="1">
      <alignment vertical="center"/>
    </xf>
    <xf numFmtId="2" fontId="2" fillId="0" borderId="25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2" fillId="0" borderId="64" xfId="0" applyNumberFormat="1" applyFont="1" applyBorder="1" applyAlignment="1">
      <alignment horizontal="center" vertical="center"/>
    </xf>
    <xf numFmtId="1" fontId="2" fillId="0" borderId="79" xfId="0" applyNumberFormat="1" applyFont="1" applyBorder="1" applyAlignment="1">
      <alignment vertical="center"/>
    </xf>
    <xf numFmtId="1" fontId="2" fillId="0" borderId="79" xfId="0" applyNumberFormat="1" applyFont="1" applyBorder="1" applyAlignment="1">
      <alignment horizontal="center" vertical="center"/>
    </xf>
    <xf numFmtId="1" fontId="2" fillId="0" borderId="49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37" xfId="0" applyFont="1" applyBorder="1" applyAlignment="1">
      <alignment horizontal="center" vertical="center"/>
    </xf>
    <xf numFmtId="166" fontId="2" fillId="0" borderId="6" xfId="0" quotePrefix="1" applyNumberFormat="1" applyFont="1" applyBorder="1" applyAlignment="1">
      <alignment horizontal="center" vertical="center"/>
    </xf>
    <xf numFmtId="14" fontId="2" fillId="0" borderId="16" xfId="0" quotePrefix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3" fontId="9" fillId="0" borderId="80" xfId="0" applyNumberFormat="1" applyFont="1" applyBorder="1" applyAlignment="1">
      <alignment horizontal="center" vertical="center" wrapText="1"/>
    </xf>
    <xf numFmtId="1" fontId="9" fillId="0" borderId="80" xfId="0" applyNumberFormat="1" applyFont="1" applyBorder="1" applyAlignment="1">
      <alignment horizontal="center" vertical="center" wrapText="1"/>
    </xf>
    <xf numFmtId="1" fontId="16" fillId="0" borderId="45" xfId="0" applyNumberFormat="1" applyFont="1" applyBorder="1" applyAlignment="1">
      <alignment horizontal="center" vertical="center"/>
    </xf>
    <xf numFmtId="1" fontId="2" fillId="0" borderId="72" xfId="0" applyNumberFormat="1" applyFont="1" applyBorder="1" applyAlignment="1">
      <alignment horizontal="center" vertical="center"/>
    </xf>
    <xf numFmtId="0" fontId="2" fillId="0" borderId="73" xfId="0" applyFont="1" applyBorder="1" applyAlignment="1">
      <alignment horizontal="left" vertical="center"/>
    </xf>
    <xf numFmtId="1" fontId="16" fillId="0" borderId="64" xfId="0" applyNumberFormat="1" applyFont="1" applyBorder="1" applyAlignment="1">
      <alignment horizontal="center" vertical="center" wrapText="1"/>
    </xf>
    <xf numFmtId="1" fontId="2" fillId="0" borderId="81" xfId="0" applyNumberFormat="1" applyFont="1" applyBorder="1" applyAlignment="1">
      <alignment horizontal="center" vertical="center" wrapText="1"/>
    </xf>
    <xf numFmtId="1" fontId="2" fillId="0" borderId="67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0" borderId="1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71" xfId="0" applyFont="1" applyBorder="1" applyAlignment="1">
      <alignment horizontal="center" vertical="center"/>
    </xf>
    <xf numFmtId="2" fontId="2" fillId="0" borderId="42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1" fontId="17" fillId="0" borderId="16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60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0" xfId="0" applyFont="1"/>
    <xf numFmtId="3" fontId="9" fillId="0" borderId="84" xfId="0" applyNumberFormat="1" applyFont="1" applyBorder="1" applyAlignment="1">
      <alignment vertical="center" wrapText="1" readingOrder="1"/>
    </xf>
    <xf numFmtId="3" fontId="2" fillId="0" borderId="2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2" fillId="0" borderId="18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3" fontId="9" fillId="0" borderId="48" xfId="0" applyNumberFormat="1" applyFont="1" applyBorder="1" applyAlignment="1">
      <alignment vertical="center" wrapText="1" readingOrder="1"/>
    </xf>
    <xf numFmtId="1" fontId="3" fillId="0" borderId="51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vertical="center"/>
    </xf>
    <xf numFmtId="1" fontId="2" fillId="0" borderId="13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9" fillId="0" borderId="55" xfId="0" applyFont="1" applyBorder="1" applyAlignment="1">
      <alignment vertical="center" wrapText="1" readingOrder="1"/>
    </xf>
    <xf numFmtId="0" fontId="3" fillId="0" borderId="55" xfId="0" applyFont="1" applyBorder="1" applyAlignment="1">
      <alignment vertical="center" wrapText="1"/>
    </xf>
    <xf numFmtId="1" fontId="9" fillId="0" borderId="58" xfId="0" applyNumberFormat="1" applyFont="1" applyBorder="1" applyAlignment="1">
      <alignment vertical="center" wrapText="1" readingOrder="1"/>
    </xf>
    <xf numFmtId="1" fontId="3" fillId="0" borderId="58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1" fontId="14" fillId="0" borderId="0" xfId="0" applyNumberFormat="1" applyFont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2" fillId="0" borderId="85" xfId="0" applyFont="1" applyBorder="1" applyAlignment="1">
      <alignment vertical="center"/>
    </xf>
    <xf numFmtId="1" fontId="9" fillId="0" borderId="48" xfId="0" applyNumberFormat="1" applyFont="1" applyBorder="1" applyAlignment="1">
      <alignment vertical="center" wrapText="1" readingOrder="1"/>
    </xf>
    <xf numFmtId="3" fontId="9" fillId="0" borderId="86" xfId="0" applyNumberFormat="1" applyFont="1" applyBorder="1" applyAlignment="1">
      <alignment vertical="center" wrapText="1" readingOrder="1"/>
    </xf>
    <xf numFmtId="3" fontId="2" fillId="0" borderId="25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/>
    <xf numFmtId="0" fontId="3" fillId="0" borderId="23" xfId="0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9" fillId="0" borderId="87" xfId="0" applyFont="1" applyBorder="1" applyAlignment="1">
      <alignment horizontal="left" vertical="top" wrapText="1" readingOrder="1"/>
    </xf>
    <xf numFmtId="3" fontId="2" fillId="0" borderId="0" xfId="0" applyNumberFormat="1" applyFont="1" applyAlignment="1">
      <alignment horizontal="center" vertical="center"/>
    </xf>
    <xf numFmtId="0" fontId="9" fillId="0" borderId="87" xfId="0" applyFont="1" applyBorder="1" applyAlignment="1">
      <alignment horizontal="center" vertical="top" wrapText="1" readingOrder="1"/>
    </xf>
    <xf numFmtId="0" fontId="9" fillId="0" borderId="87" xfId="0" applyFont="1" applyBorder="1" applyAlignment="1">
      <alignment horizontal="left" vertical="center" wrapText="1" readingOrder="1"/>
    </xf>
    <xf numFmtId="0" fontId="3" fillId="0" borderId="24" xfId="0" applyFont="1" applyBorder="1" applyAlignment="1">
      <alignment vertical="center"/>
    </xf>
    <xf numFmtId="16" fontId="3" fillId="0" borderId="0" xfId="0" applyNumberFormat="1" applyFont="1" applyAlignment="1">
      <alignment vertical="center"/>
    </xf>
  </cellXfs>
  <cellStyles count="602">
    <cellStyle name="20% - Accent1 2" xfId="1"/>
    <cellStyle name="20% - Accent1 2 2" xfId="2"/>
    <cellStyle name="20% - Accent1 2 2 2" xfId="3"/>
    <cellStyle name="20% - Accent1 2 2 2 2" xfId="4"/>
    <cellStyle name="20% - Accent1 2 2 2 2 2" xfId="5"/>
    <cellStyle name="20% - Accent1 2 2 2 3" xfId="6"/>
    <cellStyle name="20% - Accent1 2 2 3" xfId="7"/>
    <cellStyle name="20% - Accent1 2 2 3 2" xfId="8"/>
    <cellStyle name="20% - Accent1 2 2 4" xfId="9"/>
    <cellStyle name="20% - Accent1 2 3" xfId="10"/>
    <cellStyle name="20% - Accent1 2 3 2" xfId="11"/>
    <cellStyle name="20% - Accent1 2 3 2 2" xfId="12"/>
    <cellStyle name="20% - Accent1 2 3 3" xfId="13"/>
    <cellStyle name="20% - Accent1 2 4" xfId="14"/>
    <cellStyle name="20% - Accent1 2 4 2" xfId="15"/>
    <cellStyle name="20% - Accent1 2 5" xfId="16"/>
    <cellStyle name="20% - Accent1 3" xfId="17"/>
    <cellStyle name="20% - Accent1 3 2" xfId="18"/>
    <cellStyle name="20% - Accent1 3 2 2" xfId="19"/>
    <cellStyle name="20% - Accent1 3 2 2 2" xfId="20"/>
    <cellStyle name="20% - Accent1 3 2 2 2 2" xfId="21"/>
    <cellStyle name="20% - Accent1 3 2 2 3" xfId="22"/>
    <cellStyle name="20% - Accent1 3 2 3" xfId="23"/>
    <cellStyle name="20% - Accent1 3 2 3 2" xfId="24"/>
    <cellStyle name="20% - Accent1 3 2 4" xfId="25"/>
    <cellStyle name="20% - Accent1 3 3" xfId="26"/>
    <cellStyle name="20% - Accent1 3 3 2" xfId="27"/>
    <cellStyle name="20% - Accent1 3 3 2 2" xfId="28"/>
    <cellStyle name="20% - Accent1 3 3 3" xfId="29"/>
    <cellStyle name="20% - Accent1 3 4" xfId="30"/>
    <cellStyle name="20% - Accent1 3 4 2" xfId="31"/>
    <cellStyle name="20% - Accent1 3 5" xfId="32"/>
    <cellStyle name="20% - Accent1 4" xfId="33"/>
    <cellStyle name="20% - Accent1 4 2" xfId="34"/>
    <cellStyle name="20% - Accent1 4 2 2" xfId="35"/>
    <cellStyle name="20% - Accent1 4 2 2 2" xfId="36"/>
    <cellStyle name="20% - Accent1 4 2 3" xfId="37"/>
    <cellStyle name="20% - Accent1 4 3" xfId="38"/>
    <cellStyle name="20% - Accent1 4 3 2" xfId="39"/>
    <cellStyle name="20% - Accent1 4 4" xfId="40"/>
    <cellStyle name="20% - Accent1 5" xfId="41"/>
    <cellStyle name="20% - Accent1 5 2" xfId="42"/>
    <cellStyle name="20% - Accent1 5 2 2" xfId="43"/>
    <cellStyle name="20% - Accent1 5 3" xfId="44"/>
    <cellStyle name="20% - Accent1 6" xfId="45"/>
    <cellStyle name="20% - Accent1 6 2" xfId="46"/>
    <cellStyle name="20% - Accent1 7" xfId="47"/>
    <cellStyle name="20% - Accent2 2" xfId="48"/>
    <cellStyle name="20% - Accent2 2 2" xfId="49"/>
    <cellStyle name="20% - Accent2 2 2 2" xfId="50"/>
    <cellStyle name="20% - Accent2 2 2 2 2" xfId="51"/>
    <cellStyle name="20% - Accent2 2 2 2 2 2" xfId="52"/>
    <cellStyle name="20% - Accent2 2 2 2 3" xfId="53"/>
    <cellStyle name="20% - Accent2 2 2 3" xfId="54"/>
    <cellStyle name="20% - Accent2 2 2 3 2" xfId="55"/>
    <cellStyle name="20% - Accent2 2 2 4" xfId="56"/>
    <cellStyle name="20% - Accent2 2 3" xfId="57"/>
    <cellStyle name="20% - Accent2 2 3 2" xfId="58"/>
    <cellStyle name="20% - Accent2 2 3 2 2" xfId="59"/>
    <cellStyle name="20% - Accent2 2 3 3" xfId="60"/>
    <cellStyle name="20% - Accent2 2 4" xfId="61"/>
    <cellStyle name="20% - Accent2 2 4 2" xfId="62"/>
    <cellStyle name="20% - Accent2 2 5" xfId="63"/>
    <cellStyle name="20% - Accent2 3" xfId="64"/>
    <cellStyle name="20% - Accent2 3 2" xfId="65"/>
    <cellStyle name="20% - Accent2 3 2 2" xfId="66"/>
    <cellStyle name="20% - Accent2 3 2 2 2" xfId="67"/>
    <cellStyle name="20% - Accent2 3 2 2 2 2" xfId="68"/>
    <cellStyle name="20% - Accent2 3 2 2 3" xfId="69"/>
    <cellStyle name="20% - Accent2 3 2 3" xfId="70"/>
    <cellStyle name="20% - Accent2 3 2 3 2" xfId="71"/>
    <cellStyle name="20% - Accent2 3 2 4" xfId="72"/>
    <cellStyle name="20% - Accent2 3 3" xfId="73"/>
    <cellStyle name="20% - Accent2 3 3 2" xfId="74"/>
    <cellStyle name="20% - Accent2 3 3 2 2" xfId="75"/>
    <cellStyle name="20% - Accent2 3 3 3" xfId="76"/>
    <cellStyle name="20% - Accent2 3 4" xfId="77"/>
    <cellStyle name="20% - Accent2 3 4 2" xfId="78"/>
    <cellStyle name="20% - Accent2 3 5" xfId="79"/>
    <cellStyle name="20% - Accent2 4" xfId="80"/>
    <cellStyle name="20% - Accent2 4 2" xfId="81"/>
    <cellStyle name="20% - Accent2 4 2 2" xfId="82"/>
    <cellStyle name="20% - Accent2 4 2 2 2" xfId="83"/>
    <cellStyle name="20% - Accent2 4 2 3" xfId="84"/>
    <cellStyle name="20% - Accent2 4 3" xfId="85"/>
    <cellStyle name="20% - Accent2 4 3 2" xfId="86"/>
    <cellStyle name="20% - Accent2 4 4" xfId="87"/>
    <cellStyle name="20% - Accent2 5" xfId="88"/>
    <cellStyle name="20% - Accent2 5 2" xfId="89"/>
    <cellStyle name="20% - Accent2 5 2 2" xfId="90"/>
    <cellStyle name="20% - Accent2 5 3" xfId="91"/>
    <cellStyle name="20% - Accent2 6" xfId="92"/>
    <cellStyle name="20% - Accent2 6 2" xfId="93"/>
    <cellStyle name="20% - Accent2 7" xfId="94"/>
    <cellStyle name="20% - Accent3 2" xfId="95"/>
    <cellStyle name="20% - Accent3 2 2" xfId="96"/>
    <cellStyle name="20% - Accent3 2 2 2" xfId="97"/>
    <cellStyle name="20% - Accent3 2 2 2 2" xfId="98"/>
    <cellStyle name="20% - Accent3 2 2 2 2 2" xfId="99"/>
    <cellStyle name="20% - Accent3 2 2 2 3" xfId="100"/>
    <cellStyle name="20% - Accent3 2 2 3" xfId="101"/>
    <cellStyle name="20% - Accent3 2 2 3 2" xfId="102"/>
    <cellStyle name="20% - Accent3 2 2 4" xfId="103"/>
    <cellStyle name="20% - Accent3 2 3" xfId="104"/>
    <cellStyle name="20% - Accent3 2 3 2" xfId="105"/>
    <cellStyle name="20% - Accent3 2 3 2 2" xfId="106"/>
    <cellStyle name="20% - Accent3 2 3 3" xfId="107"/>
    <cellStyle name="20% - Accent3 2 4" xfId="108"/>
    <cellStyle name="20% - Accent3 2 4 2" xfId="109"/>
    <cellStyle name="20% - Accent3 2 5" xfId="110"/>
    <cellStyle name="20% - Accent3 3" xfId="111"/>
    <cellStyle name="20% - Accent3 3 2" xfId="112"/>
    <cellStyle name="20% - Accent3 3 2 2" xfId="113"/>
    <cellStyle name="20% - Accent3 3 2 2 2" xfId="114"/>
    <cellStyle name="20% - Accent3 3 2 2 2 2" xfId="115"/>
    <cellStyle name="20% - Accent3 3 2 2 3" xfId="116"/>
    <cellStyle name="20% - Accent3 3 2 3" xfId="117"/>
    <cellStyle name="20% - Accent3 3 2 3 2" xfId="118"/>
    <cellStyle name="20% - Accent3 3 2 4" xfId="119"/>
    <cellStyle name="20% - Accent3 3 3" xfId="120"/>
    <cellStyle name="20% - Accent3 3 3 2" xfId="121"/>
    <cellStyle name="20% - Accent3 3 3 2 2" xfId="122"/>
    <cellStyle name="20% - Accent3 3 3 3" xfId="123"/>
    <cellStyle name="20% - Accent3 3 4" xfId="124"/>
    <cellStyle name="20% - Accent3 3 4 2" xfId="125"/>
    <cellStyle name="20% - Accent3 3 5" xfId="126"/>
    <cellStyle name="20% - Accent3 4" xfId="127"/>
    <cellStyle name="20% - Accent3 4 2" xfId="128"/>
    <cellStyle name="20% - Accent3 4 2 2" xfId="129"/>
    <cellStyle name="20% - Accent3 4 2 2 2" xfId="130"/>
    <cellStyle name="20% - Accent3 4 2 3" xfId="131"/>
    <cellStyle name="20% - Accent3 4 3" xfId="132"/>
    <cellStyle name="20% - Accent3 4 3 2" xfId="133"/>
    <cellStyle name="20% - Accent3 4 4" xfId="134"/>
    <cellStyle name="20% - Accent3 5" xfId="135"/>
    <cellStyle name="20% - Accent3 5 2" xfId="136"/>
    <cellStyle name="20% - Accent3 5 2 2" xfId="137"/>
    <cellStyle name="20% - Accent3 5 3" xfId="138"/>
    <cellStyle name="20% - Accent3 6" xfId="139"/>
    <cellStyle name="20% - Accent3 6 2" xfId="140"/>
    <cellStyle name="20% - Accent3 7" xfId="141"/>
    <cellStyle name="20% - Accent4 2" xfId="142"/>
    <cellStyle name="20% - Accent4 2 2" xfId="143"/>
    <cellStyle name="20% - Accent4 2 2 2" xfId="144"/>
    <cellStyle name="20% - Accent4 2 2 2 2" xfId="145"/>
    <cellStyle name="20% - Accent4 2 2 2 2 2" xfId="146"/>
    <cellStyle name="20% - Accent4 2 2 2 3" xfId="147"/>
    <cellStyle name="20% - Accent4 2 2 3" xfId="148"/>
    <cellStyle name="20% - Accent4 2 2 3 2" xfId="149"/>
    <cellStyle name="20% - Accent4 2 2 4" xfId="150"/>
    <cellStyle name="20% - Accent4 2 3" xfId="151"/>
    <cellStyle name="20% - Accent4 2 3 2" xfId="152"/>
    <cellStyle name="20% - Accent4 2 3 2 2" xfId="153"/>
    <cellStyle name="20% - Accent4 2 3 3" xfId="154"/>
    <cellStyle name="20% - Accent4 2 4" xfId="155"/>
    <cellStyle name="20% - Accent4 2 4 2" xfId="156"/>
    <cellStyle name="20% - Accent4 2 5" xfId="157"/>
    <cellStyle name="20% - Accent4 3" xfId="158"/>
    <cellStyle name="20% - Accent4 3 2" xfId="159"/>
    <cellStyle name="20% - Accent4 3 2 2" xfId="160"/>
    <cellStyle name="20% - Accent4 3 2 2 2" xfId="161"/>
    <cellStyle name="20% - Accent4 3 2 2 2 2" xfId="162"/>
    <cellStyle name="20% - Accent4 3 2 2 3" xfId="163"/>
    <cellStyle name="20% - Accent4 3 2 3" xfId="164"/>
    <cellStyle name="20% - Accent4 3 2 3 2" xfId="165"/>
    <cellStyle name="20% - Accent4 3 2 4" xfId="166"/>
    <cellStyle name="20% - Accent4 3 3" xfId="167"/>
    <cellStyle name="20% - Accent4 3 3 2" xfId="168"/>
    <cellStyle name="20% - Accent4 3 3 2 2" xfId="169"/>
    <cellStyle name="20% - Accent4 3 3 3" xfId="170"/>
    <cellStyle name="20% - Accent4 3 4" xfId="171"/>
    <cellStyle name="20% - Accent4 3 4 2" xfId="172"/>
    <cellStyle name="20% - Accent4 3 5" xfId="173"/>
    <cellStyle name="20% - Accent4 4" xfId="174"/>
    <cellStyle name="20% - Accent4 4 2" xfId="175"/>
    <cellStyle name="20% - Accent4 4 2 2" xfId="176"/>
    <cellStyle name="20% - Accent4 4 2 2 2" xfId="177"/>
    <cellStyle name="20% - Accent4 4 2 3" xfId="178"/>
    <cellStyle name="20% - Accent4 4 3" xfId="179"/>
    <cellStyle name="20% - Accent4 4 3 2" xfId="180"/>
    <cellStyle name="20% - Accent4 4 4" xfId="181"/>
    <cellStyle name="20% - Accent4 5" xfId="182"/>
    <cellStyle name="20% - Accent4 5 2" xfId="183"/>
    <cellStyle name="20% - Accent4 5 2 2" xfId="184"/>
    <cellStyle name="20% - Accent4 5 3" xfId="185"/>
    <cellStyle name="20% - Accent4 6" xfId="186"/>
    <cellStyle name="20% - Accent4 6 2" xfId="187"/>
    <cellStyle name="20% - Accent4 7" xfId="188"/>
    <cellStyle name="20% - Accent5 2" xfId="189"/>
    <cellStyle name="20% - Accent5 2 2" xfId="190"/>
    <cellStyle name="20% - Accent5 2 2 2" xfId="191"/>
    <cellStyle name="20% - Accent5 2 2 2 2" xfId="192"/>
    <cellStyle name="20% - Accent5 2 2 2 2 2" xfId="193"/>
    <cellStyle name="20% - Accent5 2 2 2 3" xfId="194"/>
    <cellStyle name="20% - Accent5 2 2 3" xfId="195"/>
    <cellStyle name="20% - Accent5 2 2 3 2" xfId="196"/>
    <cellStyle name="20% - Accent5 2 2 4" xfId="197"/>
    <cellStyle name="20% - Accent5 2 3" xfId="198"/>
    <cellStyle name="20% - Accent5 2 3 2" xfId="199"/>
    <cellStyle name="20% - Accent5 2 3 2 2" xfId="200"/>
    <cellStyle name="20% - Accent5 2 3 3" xfId="201"/>
    <cellStyle name="20% - Accent5 2 4" xfId="202"/>
    <cellStyle name="20% - Accent5 2 4 2" xfId="203"/>
    <cellStyle name="20% - Accent5 2 5" xfId="204"/>
    <cellStyle name="20% - Accent5 3" xfId="205"/>
    <cellStyle name="20% - Accent5 3 2" xfId="206"/>
    <cellStyle name="20% - Accent5 3 2 2" xfId="207"/>
    <cellStyle name="20% - Accent5 3 2 2 2" xfId="208"/>
    <cellStyle name="20% - Accent5 3 2 2 2 2" xfId="209"/>
    <cellStyle name="20% - Accent5 3 2 2 3" xfId="210"/>
    <cellStyle name="20% - Accent5 3 2 3" xfId="211"/>
    <cellStyle name="20% - Accent5 3 2 3 2" xfId="212"/>
    <cellStyle name="20% - Accent5 3 2 4" xfId="213"/>
    <cellStyle name="20% - Accent5 3 3" xfId="214"/>
    <cellStyle name="20% - Accent5 3 3 2" xfId="215"/>
    <cellStyle name="20% - Accent5 3 3 2 2" xfId="216"/>
    <cellStyle name="20% - Accent5 3 3 3" xfId="217"/>
    <cellStyle name="20% - Accent5 3 4" xfId="218"/>
    <cellStyle name="20% - Accent5 3 4 2" xfId="219"/>
    <cellStyle name="20% - Accent5 3 5" xfId="220"/>
    <cellStyle name="20% - Accent5 4" xfId="221"/>
    <cellStyle name="20% - Accent5 4 2" xfId="222"/>
    <cellStyle name="20% - Accent5 4 2 2" xfId="223"/>
    <cellStyle name="20% - Accent5 4 2 2 2" xfId="224"/>
    <cellStyle name="20% - Accent5 4 2 3" xfId="225"/>
    <cellStyle name="20% - Accent5 4 3" xfId="226"/>
    <cellStyle name="20% - Accent5 4 3 2" xfId="227"/>
    <cellStyle name="20% - Accent5 4 4" xfId="228"/>
    <cellStyle name="20% - Accent5 5" xfId="229"/>
    <cellStyle name="20% - Accent5 5 2" xfId="230"/>
    <cellStyle name="20% - Accent5 5 2 2" xfId="231"/>
    <cellStyle name="20% - Accent5 5 3" xfId="232"/>
    <cellStyle name="20% - Accent5 6" xfId="233"/>
    <cellStyle name="20% - Accent5 6 2" xfId="234"/>
    <cellStyle name="20% - Accent5 7" xfId="235"/>
    <cellStyle name="20% - Accent6 2" xfId="236"/>
    <cellStyle name="20% - Accent6 2 2" xfId="237"/>
    <cellStyle name="20% - Accent6 2 2 2" xfId="238"/>
    <cellStyle name="20% - Accent6 2 2 2 2" xfId="239"/>
    <cellStyle name="20% - Accent6 2 2 2 2 2" xfId="240"/>
    <cellStyle name="20% - Accent6 2 2 2 3" xfId="241"/>
    <cellStyle name="20% - Accent6 2 2 3" xfId="242"/>
    <cellStyle name="20% - Accent6 2 2 3 2" xfId="243"/>
    <cellStyle name="20% - Accent6 2 2 4" xfId="244"/>
    <cellStyle name="20% - Accent6 2 3" xfId="245"/>
    <cellStyle name="20% - Accent6 2 3 2" xfId="246"/>
    <cellStyle name="20% - Accent6 2 3 2 2" xfId="247"/>
    <cellStyle name="20% - Accent6 2 3 3" xfId="248"/>
    <cellStyle name="20% - Accent6 2 4" xfId="249"/>
    <cellStyle name="20% - Accent6 2 4 2" xfId="250"/>
    <cellStyle name="20% - Accent6 2 5" xfId="251"/>
    <cellStyle name="20% - Accent6 3" xfId="252"/>
    <cellStyle name="20% - Accent6 3 2" xfId="253"/>
    <cellStyle name="20% - Accent6 3 2 2" xfId="254"/>
    <cellStyle name="20% - Accent6 3 2 2 2" xfId="255"/>
    <cellStyle name="20% - Accent6 3 2 2 2 2" xfId="256"/>
    <cellStyle name="20% - Accent6 3 2 2 3" xfId="257"/>
    <cellStyle name="20% - Accent6 3 2 3" xfId="258"/>
    <cellStyle name="20% - Accent6 3 2 3 2" xfId="259"/>
    <cellStyle name="20% - Accent6 3 2 4" xfId="260"/>
    <cellStyle name="20% - Accent6 3 3" xfId="261"/>
    <cellStyle name="20% - Accent6 3 3 2" xfId="262"/>
    <cellStyle name="20% - Accent6 3 3 2 2" xfId="263"/>
    <cellStyle name="20% - Accent6 3 3 3" xfId="264"/>
    <cellStyle name="20% - Accent6 3 4" xfId="265"/>
    <cellStyle name="20% - Accent6 3 4 2" xfId="266"/>
    <cellStyle name="20% - Accent6 3 5" xfId="267"/>
    <cellStyle name="20% - Accent6 4" xfId="268"/>
    <cellStyle name="20% - Accent6 4 2" xfId="269"/>
    <cellStyle name="20% - Accent6 4 2 2" xfId="270"/>
    <cellStyle name="20% - Accent6 4 2 2 2" xfId="271"/>
    <cellStyle name="20% - Accent6 4 2 3" xfId="272"/>
    <cellStyle name="20% - Accent6 4 3" xfId="273"/>
    <cellStyle name="20% - Accent6 4 3 2" xfId="274"/>
    <cellStyle name="20% - Accent6 4 4" xfId="275"/>
    <cellStyle name="20% - Accent6 5" xfId="276"/>
    <cellStyle name="20% - Accent6 5 2" xfId="277"/>
    <cellStyle name="20% - Accent6 5 2 2" xfId="278"/>
    <cellStyle name="20% - Accent6 5 3" xfId="279"/>
    <cellStyle name="20% - Accent6 6" xfId="280"/>
    <cellStyle name="20% - Accent6 6 2" xfId="281"/>
    <cellStyle name="20% - Accent6 7" xfId="282"/>
    <cellStyle name="40% - Accent1 2" xfId="283"/>
    <cellStyle name="40% - Accent1 2 2" xfId="284"/>
    <cellStyle name="40% - Accent1 2 2 2" xfId="285"/>
    <cellStyle name="40% - Accent1 2 2 2 2" xfId="286"/>
    <cellStyle name="40% - Accent1 2 2 2 2 2" xfId="287"/>
    <cellStyle name="40% - Accent1 2 2 2 3" xfId="288"/>
    <cellStyle name="40% - Accent1 2 2 3" xfId="289"/>
    <cellStyle name="40% - Accent1 2 2 3 2" xfId="290"/>
    <cellStyle name="40% - Accent1 2 2 4" xfId="291"/>
    <cellStyle name="40% - Accent1 2 3" xfId="292"/>
    <cellStyle name="40% - Accent1 2 3 2" xfId="293"/>
    <cellStyle name="40% - Accent1 2 3 2 2" xfId="294"/>
    <cellStyle name="40% - Accent1 2 3 3" xfId="295"/>
    <cellStyle name="40% - Accent1 2 4" xfId="296"/>
    <cellStyle name="40% - Accent1 2 4 2" xfId="297"/>
    <cellStyle name="40% - Accent1 2 5" xfId="298"/>
    <cellStyle name="40% - Accent1 3" xfId="299"/>
    <cellStyle name="40% - Accent1 3 2" xfId="300"/>
    <cellStyle name="40% - Accent1 3 2 2" xfId="301"/>
    <cellStyle name="40% - Accent1 3 2 2 2" xfId="302"/>
    <cellStyle name="40% - Accent1 3 2 2 2 2" xfId="303"/>
    <cellStyle name="40% - Accent1 3 2 2 3" xfId="304"/>
    <cellStyle name="40% - Accent1 3 2 3" xfId="305"/>
    <cellStyle name="40% - Accent1 3 2 3 2" xfId="306"/>
    <cellStyle name="40% - Accent1 3 2 4" xfId="307"/>
    <cellStyle name="40% - Accent1 3 3" xfId="308"/>
    <cellStyle name="40% - Accent1 3 3 2" xfId="309"/>
    <cellStyle name="40% - Accent1 3 3 2 2" xfId="310"/>
    <cellStyle name="40% - Accent1 3 3 3" xfId="311"/>
    <cellStyle name="40% - Accent1 3 4" xfId="312"/>
    <cellStyle name="40% - Accent1 3 4 2" xfId="313"/>
    <cellStyle name="40% - Accent1 3 5" xfId="314"/>
    <cellStyle name="40% - Accent1 4" xfId="315"/>
    <cellStyle name="40% - Accent1 4 2" xfId="316"/>
    <cellStyle name="40% - Accent1 4 2 2" xfId="317"/>
    <cellStyle name="40% - Accent1 4 2 2 2" xfId="318"/>
    <cellStyle name="40% - Accent1 4 2 3" xfId="319"/>
    <cellStyle name="40% - Accent1 4 3" xfId="320"/>
    <cellStyle name="40% - Accent1 4 3 2" xfId="321"/>
    <cellStyle name="40% - Accent1 4 4" xfId="322"/>
    <cellStyle name="40% - Accent1 5" xfId="323"/>
    <cellStyle name="40% - Accent1 5 2" xfId="324"/>
    <cellStyle name="40% - Accent1 5 2 2" xfId="325"/>
    <cellStyle name="40% - Accent1 5 3" xfId="326"/>
    <cellStyle name="40% - Accent1 6" xfId="327"/>
    <cellStyle name="40% - Accent1 6 2" xfId="328"/>
    <cellStyle name="40% - Accent1 7" xfId="329"/>
    <cellStyle name="40% - Accent2 2" xfId="330"/>
    <cellStyle name="40% - Accent2 2 2" xfId="331"/>
    <cellStyle name="40% - Accent2 2 2 2" xfId="332"/>
    <cellStyle name="40% - Accent2 2 2 2 2" xfId="333"/>
    <cellStyle name="40% - Accent2 2 2 2 2 2" xfId="334"/>
    <cellStyle name="40% - Accent2 2 2 2 3" xfId="335"/>
    <cellStyle name="40% - Accent2 2 2 3" xfId="336"/>
    <cellStyle name="40% - Accent2 2 2 3 2" xfId="337"/>
    <cellStyle name="40% - Accent2 2 2 4" xfId="338"/>
    <cellStyle name="40% - Accent2 2 3" xfId="339"/>
    <cellStyle name="40% - Accent2 2 3 2" xfId="340"/>
    <cellStyle name="40% - Accent2 2 3 2 2" xfId="341"/>
    <cellStyle name="40% - Accent2 2 3 3" xfId="342"/>
    <cellStyle name="40% - Accent2 2 4" xfId="343"/>
    <cellStyle name="40% - Accent2 2 4 2" xfId="344"/>
    <cellStyle name="40% - Accent2 2 5" xfId="345"/>
    <cellStyle name="40% - Accent2 3" xfId="346"/>
    <cellStyle name="40% - Accent2 3 2" xfId="347"/>
    <cellStyle name="40% - Accent2 3 2 2" xfId="348"/>
    <cellStyle name="40% - Accent2 3 2 2 2" xfId="349"/>
    <cellStyle name="40% - Accent2 3 2 2 2 2" xfId="350"/>
    <cellStyle name="40% - Accent2 3 2 2 3" xfId="351"/>
    <cellStyle name="40% - Accent2 3 2 3" xfId="352"/>
    <cellStyle name="40% - Accent2 3 2 3 2" xfId="353"/>
    <cellStyle name="40% - Accent2 3 2 4" xfId="354"/>
    <cellStyle name="40% - Accent2 3 3" xfId="355"/>
    <cellStyle name="40% - Accent2 3 3 2" xfId="356"/>
    <cellStyle name="40% - Accent2 3 3 2 2" xfId="357"/>
    <cellStyle name="40% - Accent2 3 3 3" xfId="358"/>
    <cellStyle name="40% - Accent2 3 4" xfId="359"/>
    <cellStyle name="40% - Accent2 3 4 2" xfId="360"/>
    <cellStyle name="40% - Accent2 3 5" xfId="361"/>
    <cellStyle name="40% - Accent2 4" xfId="362"/>
    <cellStyle name="40% - Accent2 4 2" xfId="363"/>
    <cellStyle name="40% - Accent2 4 2 2" xfId="364"/>
    <cellStyle name="40% - Accent2 4 2 2 2" xfId="365"/>
    <cellStyle name="40% - Accent2 4 2 3" xfId="366"/>
    <cellStyle name="40% - Accent2 4 3" xfId="367"/>
    <cellStyle name="40% - Accent2 4 3 2" xfId="368"/>
    <cellStyle name="40% - Accent2 4 4" xfId="369"/>
    <cellStyle name="40% - Accent2 5" xfId="370"/>
    <cellStyle name="40% - Accent2 5 2" xfId="371"/>
    <cellStyle name="40% - Accent2 5 2 2" xfId="372"/>
    <cellStyle name="40% - Accent2 5 3" xfId="373"/>
    <cellStyle name="40% - Accent2 6" xfId="374"/>
    <cellStyle name="40% - Accent2 6 2" xfId="375"/>
    <cellStyle name="40% - Accent2 7" xfId="376"/>
    <cellStyle name="40% - Accent3 2" xfId="377"/>
    <cellStyle name="40% - Accent3 2 2" xfId="378"/>
    <cellStyle name="40% - Accent3 2 2 2" xfId="379"/>
    <cellStyle name="40% - Accent3 2 2 2 2" xfId="380"/>
    <cellStyle name="40% - Accent3 2 2 2 2 2" xfId="381"/>
    <cellStyle name="40% - Accent3 2 2 2 3" xfId="382"/>
    <cellStyle name="40% - Accent3 2 2 3" xfId="383"/>
    <cellStyle name="40% - Accent3 2 2 3 2" xfId="384"/>
    <cellStyle name="40% - Accent3 2 2 4" xfId="385"/>
    <cellStyle name="40% - Accent3 2 3" xfId="386"/>
    <cellStyle name="40% - Accent3 2 3 2" xfId="387"/>
    <cellStyle name="40% - Accent3 2 3 2 2" xfId="388"/>
    <cellStyle name="40% - Accent3 2 3 3" xfId="389"/>
    <cellStyle name="40% - Accent3 2 4" xfId="390"/>
    <cellStyle name="40% - Accent3 2 4 2" xfId="391"/>
    <cellStyle name="40% - Accent3 2 5" xfId="392"/>
    <cellStyle name="40% - Accent3 3" xfId="393"/>
    <cellStyle name="40% - Accent3 3 2" xfId="394"/>
    <cellStyle name="40% - Accent3 3 2 2" xfId="395"/>
    <cellStyle name="40% - Accent3 3 2 2 2" xfId="396"/>
    <cellStyle name="40% - Accent3 3 2 2 2 2" xfId="397"/>
    <cellStyle name="40% - Accent3 3 2 2 3" xfId="398"/>
    <cellStyle name="40% - Accent3 3 2 3" xfId="399"/>
    <cellStyle name="40% - Accent3 3 2 3 2" xfId="400"/>
    <cellStyle name="40% - Accent3 3 2 4" xfId="401"/>
    <cellStyle name="40% - Accent3 3 3" xfId="402"/>
    <cellStyle name="40% - Accent3 3 3 2" xfId="403"/>
    <cellStyle name="40% - Accent3 3 3 2 2" xfId="404"/>
    <cellStyle name="40% - Accent3 3 3 3" xfId="405"/>
    <cellStyle name="40% - Accent3 3 4" xfId="406"/>
    <cellStyle name="40% - Accent3 3 4 2" xfId="407"/>
    <cellStyle name="40% - Accent3 3 5" xfId="408"/>
    <cellStyle name="40% - Accent3 4" xfId="409"/>
    <cellStyle name="40% - Accent3 4 2" xfId="410"/>
    <cellStyle name="40% - Accent3 4 2 2" xfId="411"/>
    <cellStyle name="40% - Accent3 4 2 2 2" xfId="412"/>
    <cellStyle name="40% - Accent3 4 2 3" xfId="413"/>
    <cellStyle name="40% - Accent3 4 3" xfId="414"/>
    <cellStyle name="40% - Accent3 4 3 2" xfId="415"/>
    <cellStyle name="40% - Accent3 4 4" xfId="416"/>
    <cellStyle name="40% - Accent3 5" xfId="417"/>
    <cellStyle name="40% - Accent3 5 2" xfId="418"/>
    <cellStyle name="40% - Accent3 5 2 2" xfId="419"/>
    <cellStyle name="40% - Accent3 5 3" xfId="420"/>
    <cellStyle name="40% - Accent3 6" xfId="421"/>
    <cellStyle name="40% - Accent3 6 2" xfId="422"/>
    <cellStyle name="40% - Accent3 7" xfId="423"/>
    <cellStyle name="40% - Accent4 2" xfId="424"/>
    <cellStyle name="40% - Accent4 2 2" xfId="425"/>
    <cellStyle name="40% - Accent4 2 2 2" xfId="426"/>
    <cellStyle name="40% - Accent4 2 2 2 2" xfId="427"/>
    <cellStyle name="40% - Accent4 2 2 2 2 2" xfId="428"/>
    <cellStyle name="40% - Accent4 2 2 2 3" xfId="429"/>
    <cellStyle name="40% - Accent4 2 2 3" xfId="430"/>
    <cellStyle name="40% - Accent4 2 2 3 2" xfId="431"/>
    <cellStyle name="40% - Accent4 2 2 4" xfId="432"/>
    <cellStyle name="40% - Accent4 2 3" xfId="433"/>
    <cellStyle name="40% - Accent4 2 3 2" xfId="434"/>
    <cellStyle name="40% - Accent4 2 3 2 2" xfId="435"/>
    <cellStyle name="40% - Accent4 2 3 3" xfId="436"/>
    <cellStyle name="40% - Accent4 2 4" xfId="437"/>
    <cellStyle name="40% - Accent4 2 4 2" xfId="438"/>
    <cellStyle name="40% - Accent4 2 5" xfId="439"/>
    <cellStyle name="40% - Accent4 3" xfId="440"/>
    <cellStyle name="40% - Accent4 3 2" xfId="441"/>
    <cellStyle name="40% - Accent4 3 2 2" xfId="442"/>
    <cellStyle name="40% - Accent4 3 2 2 2" xfId="443"/>
    <cellStyle name="40% - Accent4 3 2 2 2 2" xfId="444"/>
    <cellStyle name="40% - Accent4 3 2 2 3" xfId="445"/>
    <cellStyle name="40% - Accent4 3 2 3" xfId="446"/>
    <cellStyle name="40% - Accent4 3 2 3 2" xfId="447"/>
    <cellStyle name="40% - Accent4 3 2 4" xfId="448"/>
    <cellStyle name="40% - Accent4 3 3" xfId="449"/>
    <cellStyle name="40% - Accent4 3 3 2" xfId="450"/>
    <cellStyle name="40% - Accent4 3 3 2 2" xfId="451"/>
    <cellStyle name="40% - Accent4 3 3 3" xfId="452"/>
    <cellStyle name="40% - Accent4 3 4" xfId="453"/>
    <cellStyle name="40% - Accent4 3 4 2" xfId="454"/>
    <cellStyle name="40% - Accent4 3 5" xfId="455"/>
    <cellStyle name="40% - Accent4 4" xfId="456"/>
    <cellStyle name="40% - Accent4 4 2" xfId="457"/>
    <cellStyle name="40% - Accent4 4 2 2" xfId="458"/>
    <cellStyle name="40% - Accent4 4 2 2 2" xfId="459"/>
    <cellStyle name="40% - Accent4 4 2 3" xfId="460"/>
    <cellStyle name="40% - Accent4 4 3" xfId="461"/>
    <cellStyle name="40% - Accent4 4 3 2" xfId="462"/>
    <cellStyle name="40% - Accent4 4 4" xfId="463"/>
    <cellStyle name="40% - Accent4 5" xfId="464"/>
    <cellStyle name="40% - Accent4 5 2" xfId="465"/>
    <cellStyle name="40% - Accent4 5 2 2" xfId="466"/>
    <cellStyle name="40% - Accent4 5 3" xfId="467"/>
    <cellStyle name="40% - Accent4 6" xfId="468"/>
    <cellStyle name="40% - Accent4 6 2" xfId="469"/>
    <cellStyle name="40% - Accent4 7" xfId="470"/>
    <cellStyle name="40% - Accent5 2" xfId="471"/>
    <cellStyle name="40% - Accent5 2 2" xfId="472"/>
    <cellStyle name="40% - Accent5 2 2 2" xfId="473"/>
    <cellStyle name="40% - Accent5 2 2 2 2" xfId="474"/>
    <cellStyle name="40% - Accent5 2 2 2 2 2" xfId="475"/>
    <cellStyle name="40% - Accent5 2 2 2 3" xfId="476"/>
    <cellStyle name="40% - Accent5 2 2 3" xfId="477"/>
    <cellStyle name="40% - Accent5 2 2 3 2" xfId="478"/>
    <cellStyle name="40% - Accent5 2 2 4" xfId="479"/>
    <cellStyle name="40% - Accent5 2 3" xfId="480"/>
    <cellStyle name="40% - Accent5 2 3 2" xfId="481"/>
    <cellStyle name="40% - Accent5 2 3 2 2" xfId="482"/>
    <cellStyle name="40% - Accent5 2 3 3" xfId="483"/>
    <cellStyle name="40% - Accent5 2 4" xfId="484"/>
    <cellStyle name="40% - Accent5 2 4 2" xfId="485"/>
    <cellStyle name="40% - Accent5 2 5" xfId="486"/>
    <cellStyle name="40% - Accent5 3" xfId="487"/>
    <cellStyle name="40% - Accent5 3 2" xfId="488"/>
    <cellStyle name="40% - Accent5 3 2 2" xfId="489"/>
    <cellStyle name="40% - Accent5 3 2 2 2" xfId="490"/>
    <cellStyle name="40% - Accent5 3 2 2 2 2" xfId="491"/>
    <cellStyle name="40% - Accent5 3 2 2 3" xfId="492"/>
    <cellStyle name="40% - Accent5 3 2 3" xfId="493"/>
    <cellStyle name="40% - Accent5 3 2 3 2" xfId="494"/>
    <cellStyle name="40% - Accent5 3 2 4" xfId="495"/>
    <cellStyle name="40% - Accent5 3 3" xfId="496"/>
    <cellStyle name="40% - Accent5 3 3 2" xfId="497"/>
    <cellStyle name="40% - Accent5 3 3 2 2" xfId="498"/>
    <cellStyle name="40% - Accent5 3 3 3" xfId="499"/>
    <cellStyle name="40% - Accent5 3 4" xfId="500"/>
    <cellStyle name="40% - Accent5 3 4 2" xfId="501"/>
    <cellStyle name="40% - Accent5 3 5" xfId="502"/>
    <cellStyle name="40% - Accent5 4" xfId="503"/>
    <cellStyle name="40% - Accent5 4 2" xfId="504"/>
    <cellStyle name="40% - Accent5 4 2 2" xfId="505"/>
    <cellStyle name="40% - Accent5 4 2 2 2" xfId="506"/>
    <cellStyle name="40% - Accent5 4 2 3" xfId="507"/>
    <cellStyle name="40% - Accent5 4 3" xfId="508"/>
    <cellStyle name="40% - Accent5 4 3 2" xfId="509"/>
    <cellStyle name="40% - Accent5 4 4" xfId="510"/>
    <cellStyle name="40% - Accent5 5" xfId="511"/>
    <cellStyle name="40% - Accent5 5 2" xfId="512"/>
    <cellStyle name="40% - Accent5 5 2 2" xfId="513"/>
    <cellStyle name="40% - Accent5 5 3" xfId="514"/>
    <cellStyle name="40% - Accent5 6" xfId="515"/>
    <cellStyle name="40% - Accent5 6 2" xfId="516"/>
    <cellStyle name="40% - Accent5 7" xfId="517"/>
    <cellStyle name="40% - Accent6 2" xfId="518"/>
    <cellStyle name="40% - Accent6 2 2" xfId="519"/>
    <cellStyle name="40% - Accent6 2 2 2" xfId="520"/>
    <cellStyle name="40% - Accent6 2 2 2 2" xfId="521"/>
    <cellStyle name="40% - Accent6 2 2 2 2 2" xfId="522"/>
    <cellStyle name="40% - Accent6 2 2 2 3" xfId="523"/>
    <cellStyle name="40% - Accent6 2 2 3" xfId="524"/>
    <cellStyle name="40% - Accent6 2 2 3 2" xfId="525"/>
    <cellStyle name="40% - Accent6 2 2 4" xfId="526"/>
    <cellStyle name="40% - Accent6 2 3" xfId="527"/>
    <cellStyle name="40% - Accent6 2 3 2" xfId="528"/>
    <cellStyle name="40% - Accent6 2 3 2 2" xfId="529"/>
    <cellStyle name="40% - Accent6 2 3 3" xfId="530"/>
    <cellStyle name="40% - Accent6 2 4" xfId="531"/>
    <cellStyle name="40% - Accent6 2 4 2" xfId="532"/>
    <cellStyle name="40% - Accent6 2 5" xfId="533"/>
    <cellStyle name="40% - Accent6 3" xfId="534"/>
    <cellStyle name="40% - Accent6 3 2" xfId="535"/>
    <cellStyle name="40% - Accent6 3 2 2" xfId="536"/>
    <cellStyle name="40% - Accent6 3 2 2 2" xfId="537"/>
    <cellStyle name="40% - Accent6 3 2 2 2 2" xfId="538"/>
    <cellStyle name="40% - Accent6 3 2 2 3" xfId="539"/>
    <cellStyle name="40% - Accent6 3 2 3" xfId="540"/>
    <cellStyle name="40% - Accent6 3 2 3 2" xfId="541"/>
    <cellStyle name="40% - Accent6 3 2 4" xfId="542"/>
    <cellStyle name="40% - Accent6 3 3" xfId="543"/>
    <cellStyle name="40% - Accent6 3 3 2" xfId="544"/>
    <cellStyle name="40% - Accent6 3 3 2 2" xfId="545"/>
    <cellStyle name="40% - Accent6 3 3 3" xfId="546"/>
    <cellStyle name="40% - Accent6 3 4" xfId="547"/>
    <cellStyle name="40% - Accent6 3 4 2" xfId="548"/>
    <cellStyle name="40% - Accent6 3 5" xfId="549"/>
    <cellStyle name="40% - Accent6 4" xfId="550"/>
    <cellStyle name="40% - Accent6 4 2" xfId="551"/>
    <cellStyle name="40% - Accent6 4 2 2" xfId="552"/>
    <cellStyle name="40% - Accent6 4 2 2 2" xfId="553"/>
    <cellStyle name="40% - Accent6 4 2 3" xfId="554"/>
    <cellStyle name="40% - Accent6 4 3" xfId="555"/>
    <cellStyle name="40% - Accent6 4 3 2" xfId="556"/>
    <cellStyle name="40% - Accent6 4 4" xfId="557"/>
    <cellStyle name="40% - Accent6 5" xfId="558"/>
    <cellStyle name="40% - Accent6 5 2" xfId="559"/>
    <cellStyle name="40% - Accent6 5 2 2" xfId="560"/>
    <cellStyle name="40% - Accent6 5 3" xfId="561"/>
    <cellStyle name="40% - Accent6 6" xfId="562"/>
    <cellStyle name="40% - Accent6 6 2" xfId="563"/>
    <cellStyle name="40% - Accent6 7" xfId="564"/>
    <cellStyle name="Comma 2" xfId="565"/>
    <cellStyle name="Comma 2 2" xfId="566"/>
    <cellStyle name="Comma 2 2 2" xfId="567"/>
    <cellStyle name="Comma 2 2 2 2" xfId="568"/>
    <cellStyle name="Comma 2 2 2 2 2" xfId="569"/>
    <cellStyle name="Comma 2 2 2 3" xfId="570"/>
    <cellStyle name="Comma 2 2 3" xfId="571"/>
    <cellStyle name="Comma 2 2 3 2" xfId="572"/>
    <cellStyle name="Comma 2 2 4" xfId="573"/>
    <cellStyle name="Comma 2 3" xfId="574"/>
    <cellStyle name="Comma 2 3 2" xfId="575"/>
    <cellStyle name="Comma 2 3 2 2" xfId="576"/>
    <cellStyle name="Comma 2 3 3" xfId="577"/>
    <cellStyle name="Comma 2 4" xfId="578"/>
    <cellStyle name="Comma 2 4 2" xfId="579"/>
    <cellStyle name="Comma 2 5" xfId="580"/>
    <cellStyle name="Comma 3" xfId="581"/>
    <cellStyle name="Comma 3 2" xfId="582"/>
    <cellStyle name="Comma 3 2 2" xfId="583"/>
    <cellStyle name="Comma 3 2 2 2" xfId="584"/>
    <cellStyle name="Comma 3 2 3" xfId="585"/>
    <cellStyle name="Comma 3 3" xfId="586"/>
    <cellStyle name="Comma 3 3 2" xfId="587"/>
    <cellStyle name="Comma 3 4" xfId="588"/>
    <cellStyle name="Comma 4" xfId="589"/>
    <cellStyle name="Comma 4 2" xfId="590"/>
    <cellStyle name="Comma 4 2 2" xfId="591"/>
    <cellStyle name="Comma 4 2 2 2" xfId="592"/>
    <cellStyle name="Comma 4 2 3" xfId="593"/>
    <cellStyle name="Comma 4 3" xfId="594"/>
    <cellStyle name="Comma 4 3 2" xfId="595"/>
    <cellStyle name="Comma 4 4" xfId="596"/>
    <cellStyle name="Comma 5" xfId="597"/>
    <cellStyle name="Comma 5 2" xfId="598"/>
    <cellStyle name="Comma 6" xfId="599"/>
    <cellStyle name="Currency 2" xfId="600"/>
    <cellStyle name="Normal" xfId="0" builtinId="0"/>
    <cellStyle name="Normal 2" xfId="6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423394</xdr:rowOff>
    </xdr:from>
    <xdr:to>
      <xdr:col>0</xdr:col>
      <xdr:colOff>742950</xdr:colOff>
      <xdr:row>2</xdr:row>
      <xdr:rowOff>30991</xdr:rowOff>
    </xdr:to>
    <xdr:pic>
      <xdr:nvPicPr>
        <xdr:cNvPr id="2" name="Picture 26" descr="new_logo__acronym_">
          <a:extLst>
            <a:ext uri="{FF2B5EF4-FFF2-40B4-BE49-F238E27FC236}">
              <a16:creationId xmlns:a16="http://schemas.microsoft.com/office/drawing/2014/main" xmlns="" id="{00000000-0008-0000-02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423394"/>
          <a:ext cx="742950" cy="6648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010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 REPORT"/>
      <sheetName val="DAILY FLASH"/>
      <sheetName val="md cell"/>
      <sheetName val="Seg wise Saleable &amp; desp 24-25"/>
      <sheetName val="SAL STOCK"/>
      <sheetName val="DMR GRADE DESPATCHED"/>
      <sheetName val="MESSAGE"/>
      <sheetName val="GRD GROUP SAL"/>
      <sheetName val="STOCK 4 YRS"/>
      <sheetName val="MIS MONTH WISE FUEL NMGCAL "/>
      <sheetName val=" QTR WISE CRUDE SAL &amp; DS"/>
      <sheetName val="dsp hot metal"/>
      <sheetName val="YEAR WISE IPT DESP  FROM15-16"/>
      <sheetName val="TE DASTUR"/>
      <sheetName val="STOCK AS ON  011025"/>
      <sheetName val="PERF DASTUR  POW. GREEN ST"/>
      <sheetName val="DESP &amp; SALABLE MORE THAN 10000T"/>
      <sheetName val="size wise ingot prodn"/>
      <sheetName val="WAP195 R 16 CUTTING DETAILS"/>
      <sheetName val="comparative statement for Tech "/>
      <sheetName val="Heats &amp; BBM Ch Wt"/>
      <sheetName val="SIZE WISE SAL ROUND"/>
      <sheetName val="int stock 010725"/>
      <sheetName val="WAP9260 SAL DESP"/>
      <sheetName val="ISP BRC"/>
      <sheetName val="YR ABP PIONT-SAL"/>
      <sheetName val="SECTOR-WISE DESPATCH"/>
      <sheetName val="SECTOR-WISE SALEABLE"/>
      <sheetName val="BUDGET22-23"/>
      <sheetName val="HOT MET AND FCE HEATS IN OCT'24"/>
      <sheetName val="Min of Steel"/>
      <sheetName val="yr wise prodn from 2012 (2)"/>
      <sheetName val="QTR-WISE PRODN"/>
      <sheetName val="RSP DESP"/>
      <sheetName val="DESP TO DEF"/>
      <sheetName val="ABP VS ACTUAL"/>
      <sheetName val="segment wise sal &amp; desp 25-26"/>
      <sheetName val="segwise saleable &amp; Desp 23-24"/>
    </sheetNames>
    <sheetDataSet>
      <sheetData sheetId="0"/>
      <sheetData sheetId="1">
        <row r="2">
          <cell r="AZ2">
            <v>150797</v>
          </cell>
          <cell r="BA2">
            <v>10484.15</v>
          </cell>
          <cell r="BB2">
            <v>127557.15833333333</v>
          </cell>
          <cell r="BC2">
            <v>84.58865782033682</v>
          </cell>
        </row>
        <row r="3">
          <cell r="AZ3">
            <v>146285</v>
          </cell>
          <cell r="BA3">
            <v>11217.901000000002</v>
          </cell>
          <cell r="BB3">
            <v>134614.81200000001</v>
          </cell>
          <cell r="BC3">
            <v>92.022293468229833</v>
          </cell>
        </row>
        <row r="4">
          <cell r="BA4">
            <v>12805.689999999997</v>
          </cell>
        </row>
        <row r="5">
          <cell r="AZ5">
            <v>148285</v>
          </cell>
          <cell r="BA5">
            <v>12026.429999999998</v>
          </cell>
          <cell r="BB5">
            <v>144317.15999999997</v>
          </cell>
          <cell r="BC5">
            <v>97.324179788919977</v>
          </cell>
        </row>
        <row r="12">
          <cell r="AK12">
            <v>398.66666666666669</v>
          </cell>
          <cell r="AL12">
            <v>526</v>
          </cell>
          <cell r="AN12">
            <v>10885.645</v>
          </cell>
          <cell r="AQ12">
            <v>11960</v>
          </cell>
          <cell r="AR12">
            <v>10885.645</v>
          </cell>
          <cell r="AS12">
            <v>91.01709866220736</v>
          </cell>
          <cell r="AU12">
            <v>9611.09</v>
          </cell>
        </row>
        <row r="13">
          <cell r="AU13">
            <v>53.8</v>
          </cell>
        </row>
        <row r="14">
          <cell r="AK14">
            <v>366.83333333333331</v>
          </cell>
          <cell r="AL14">
            <v>508.1</v>
          </cell>
          <cell r="AN14">
            <v>9977.0699999999979</v>
          </cell>
          <cell r="AQ14">
            <v>11005</v>
          </cell>
          <cell r="AR14">
            <v>9977.0699999999979</v>
          </cell>
          <cell r="AU14">
            <v>8671.9499999999989</v>
          </cell>
          <cell r="AW14">
            <v>15089</v>
          </cell>
          <cell r="AX14" t="str">
            <v>MAR'89</v>
          </cell>
          <cell r="AY14">
            <v>151556</v>
          </cell>
          <cell r="AZ14" t="str">
            <v>88-89</v>
          </cell>
        </row>
        <row r="15">
          <cell r="AL15">
            <v>0</v>
          </cell>
        </row>
        <row r="16">
          <cell r="AL16">
            <v>0</v>
          </cell>
          <cell r="AN16">
            <v>507.08</v>
          </cell>
          <cell r="AQ16">
            <v>506</v>
          </cell>
          <cell r="AR16">
            <v>507.08</v>
          </cell>
          <cell r="AU16">
            <v>563.51099999999997</v>
          </cell>
          <cell r="AY16">
            <v>112288</v>
          </cell>
          <cell r="AZ16" t="str">
            <v>10-11</v>
          </cell>
        </row>
        <row r="19">
          <cell r="AN19">
            <v>507.08</v>
          </cell>
          <cell r="AQ19">
            <v>506</v>
          </cell>
          <cell r="AR19">
            <v>507.08</v>
          </cell>
          <cell r="AU19">
            <v>563.51099999999997</v>
          </cell>
          <cell r="AW19">
            <v>8488</v>
          </cell>
          <cell r="AX19" t="str">
            <v>NOV'09</v>
          </cell>
        </row>
        <row r="20">
          <cell r="AN20">
            <v>10484.15</v>
          </cell>
          <cell r="AR20">
            <v>10484.15</v>
          </cell>
          <cell r="AS20">
            <v>91.079402310833117</v>
          </cell>
          <cell r="AW20">
            <v>24735</v>
          </cell>
          <cell r="AX20" t="str">
            <v>MAR'97</v>
          </cell>
          <cell r="AY20">
            <v>248175</v>
          </cell>
          <cell r="AZ20" t="str">
            <v>96-97</v>
          </cell>
        </row>
        <row r="21">
          <cell r="AK21">
            <v>8</v>
          </cell>
          <cell r="AL21">
            <v>6</v>
          </cell>
          <cell r="AN21">
            <v>209</v>
          </cell>
          <cell r="AQ21">
            <v>230</v>
          </cell>
          <cell r="AR21">
            <v>209</v>
          </cell>
          <cell r="AU21">
            <v>187</v>
          </cell>
        </row>
        <row r="22">
          <cell r="AL22">
            <v>1</v>
          </cell>
          <cell r="AN22">
            <v>39</v>
          </cell>
          <cell r="AU22">
            <v>32</v>
          </cell>
        </row>
        <row r="23">
          <cell r="AL23">
            <v>10</v>
          </cell>
          <cell r="AN23">
            <v>209</v>
          </cell>
        </row>
        <row r="29">
          <cell r="AL29">
            <v>1</v>
          </cell>
          <cell r="AN29">
            <v>39</v>
          </cell>
          <cell r="AU29">
            <v>33</v>
          </cell>
        </row>
        <row r="30">
          <cell r="AL30">
            <v>0</v>
          </cell>
          <cell r="AN30">
            <v>0</v>
          </cell>
          <cell r="AU30">
            <v>1</v>
          </cell>
        </row>
        <row r="31">
          <cell r="AK31">
            <v>499.0980392156863</v>
          </cell>
          <cell r="AL31">
            <v>337.00599999999997</v>
          </cell>
          <cell r="AN31">
            <v>12805.689999999997</v>
          </cell>
          <cell r="AQ31">
            <v>12727</v>
          </cell>
          <cell r="AR31">
            <v>12805.689999999997</v>
          </cell>
          <cell r="AU31">
            <v>9214.857</v>
          </cell>
          <cell r="AY31">
            <v>154538</v>
          </cell>
        </row>
        <row r="34">
          <cell r="AK34">
            <v>427.96078431372547</v>
          </cell>
          <cell r="AL34">
            <v>277.59500000000003</v>
          </cell>
          <cell r="AN34">
            <v>11198.83</v>
          </cell>
          <cell r="AQ34">
            <v>10913</v>
          </cell>
          <cell r="AR34">
            <v>11198.83</v>
          </cell>
          <cell r="AU34">
            <v>7858.7939999999999</v>
          </cell>
        </row>
        <row r="35">
          <cell r="AK35">
            <v>15.384615384615385</v>
          </cell>
          <cell r="AL35">
            <v>19.2</v>
          </cell>
          <cell r="AN35">
            <v>296.79000000000002</v>
          </cell>
          <cell r="AQ35">
            <v>400</v>
          </cell>
          <cell r="AR35">
            <v>296.79000000000002</v>
          </cell>
          <cell r="AU35">
            <v>192.06000000000003</v>
          </cell>
        </row>
        <row r="36">
          <cell r="AK36">
            <v>8.7307692307692299</v>
          </cell>
          <cell r="AL36">
            <v>8.75</v>
          </cell>
          <cell r="AN36">
            <v>34.719999999999992</v>
          </cell>
          <cell r="AQ36">
            <v>227</v>
          </cell>
          <cell r="AR36">
            <v>34.719999999999992</v>
          </cell>
          <cell r="AU36">
            <v>53.933</v>
          </cell>
        </row>
        <row r="37">
          <cell r="AL37">
            <v>0</v>
          </cell>
          <cell r="AN37">
            <v>0</v>
          </cell>
          <cell r="AR37">
            <v>0</v>
          </cell>
        </row>
        <row r="53">
          <cell r="AG53">
            <v>652.74</v>
          </cell>
        </row>
        <row r="56">
          <cell r="AK56">
            <v>445.76923076923077</v>
          </cell>
          <cell r="AL56">
            <v>571.279</v>
          </cell>
          <cell r="AN56">
            <v>11217.901000000002</v>
          </cell>
          <cell r="AQ56">
            <v>11590</v>
          </cell>
          <cell r="AR56">
            <v>11217.901000000002</v>
          </cell>
          <cell r="AU56">
            <v>8365.9950000000008</v>
          </cell>
        </row>
        <row r="58">
          <cell r="AK58">
            <v>451.53846153846155</v>
          </cell>
          <cell r="AL58">
            <v>817.87</v>
          </cell>
          <cell r="AN58">
            <v>12026.429999999998</v>
          </cell>
          <cell r="AQ58">
            <v>11740</v>
          </cell>
          <cell r="AR58">
            <v>12026.429999999998</v>
          </cell>
          <cell r="AU58">
            <v>8118.8230000000003</v>
          </cell>
          <cell r="AW58">
            <v>20107</v>
          </cell>
          <cell r="AX58" t="str">
            <v>AUG'09</v>
          </cell>
        </row>
        <row r="72">
          <cell r="AK72">
            <v>13.333333333333334</v>
          </cell>
          <cell r="AL72">
            <v>97.5</v>
          </cell>
          <cell r="AN72">
            <v>397.79999999999995</v>
          </cell>
          <cell r="AQ72">
            <v>400</v>
          </cell>
          <cell r="AR72">
            <v>397.79999999999995</v>
          </cell>
          <cell r="AU72">
            <v>581.09999999999991</v>
          </cell>
        </row>
        <row r="73">
          <cell r="AK73">
            <v>66.666666666666671</v>
          </cell>
          <cell r="AN73">
            <v>2500.1999999999998</v>
          </cell>
          <cell r="AR73">
            <v>2500.1999999999998</v>
          </cell>
          <cell r="AU73">
            <v>2132.0700000000002</v>
          </cell>
        </row>
        <row r="77">
          <cell r="BC77">
            <v>650.35</v>
          </cell>
        </row>
        <row r="82">
          <cell r="AL82">
            <v>5</v>
          </cell>
        </row>
        <row r="83">
          <cell r="AL83">
            <v>0</v>
          </cell>
        </row>
        <row r="99">
          <cell r="AF99">
            <v>4.1274509803921564</v>
          </cell>
        </row>
        <row r="101">
          <cell r="AL101">
            <v>4.82</v>
          </cell>
        </row>
        <row r="111">
          <cell r="M111">
            <v>0.41585961538461536</v>
          </cell>
          <cell r="P111">
            <v>2090</v>
          </cell>
          <cell r="V111">
            <v>1963</v>
          </cell>
        </row>
        <row r="112">
          <cell r="P112">
            <v>2076</v>
          </cell>
          <cell r="V112">
            <v>1735</v>
          </cell>
        </row>
      </sheetData>
      <sheetData sheetId="2"/>
      <sheetData sheetId="3"/>
      <sheetData sheetId="4">
        <row r="6">
          <cell r="G6">
            <v>14634.421999999999</v>
          </cell>
        </row>
        <row r="7">
          <cell r="G7">
            <v>330.10699999999974</v>
          </cell>
        </row>
        <row r="8">
          <cell r="H8">
            <v>1832.8460000000021</v>
          </cell>
        </row>
        <row r="9">
          <cell r="G9">
            <v>1262.5564999999997</v>
          </cell>
        </row>
        <row r="10">
          <cell r="G10">
            <v>576.77899999999954</v>
          </cell>
        </row>
        <row r="11">
          <cell r="G11">
            <v>125.23</v>
          </cell>
        </row>
        <row r="12">
          <cell r="G12">
            <v>235.54700000000017</v>
          </cell>
        </row>
        <row r="15">
          <cell r="G15">
            <v>0</v>
          </cell>
        </row>
        <row r="16">
          <cell r="G16">
            <v>184.14099999999999</v>
          </cell>
        </row>
        <row r="17">
          <cell r="G17">
            <v>601.29899999999907</v>
          </cell>
        </row>
      </sheetData>
      <sheetData sheetId="5"/>
      <sheetData sheetId="6"/>
      <sheetData sheetId="7"/>
      <sheetData sheetId="8"/>
      <sheetData sheetId="9">
        <row r="14">
          <cell r="I14" t="str">
            <v>CPLY</v>
          </cell>
        </row>
        <row r="18">
          <cell r="C18">
            <v>366.83333333333331</v>
          </cell>
          <cell r="D18">
            <v>508.1</v>
          </cell>
        </row>
        <row r="27">
          <cell r="C27">
            <v>1.0256410256410258</v>
          </cell>
        </row>
        <row r="28">
          <cell r="C28">
            <v>1.0256410256410258</v>
          </cell>
        </row>
        <row r="42">
          <cell r="D42">
            <v>67.5</v>
          </cell>
          <cell r="F42">
            <v>2000</v>
          </cell>
        </row>
        <row r="50">
          <cell r="M50" t="str">
            <v>STN SLAB</v>
          </cell>
        </row>
        <row r="55">
          <cell r="J55" t="str">
            <v>10-11</v>
          </cell>
        </row>
        <row r="56">
          <cell r="J56" t="str">
            <v>10-11</v>
          </cell>
        </row>
        <row r="59">
          <cell r="E59">
            <v>3.5</v>
          </cell>
        </row>
        <row r="64">
          <cell r="F64" t="str">
            <v>GCAL/TON</v>
          </cell>
        </row>
        <row r="70">
          <cell r="B70" t="str">
            <v>FUEL CONS</v>
          </cell>
          <cell r="E70">
            <v>0.44</v>
          </cell>
          <cell r="F70" t="str">
            <v>GCAL/TON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23"/>
  <sheetViews>
    <sheetView tabSelected="1" topLeftCell="H21" zoomScale="77" zoomScaleNormal="77" zoomScaleSheetLayoutView="100" zoomScalePageLayoutView="75" workbookViewId="0">
      <selection activeCell="L26" sqref="L26"/>
    </sheetView>
  </sheetViews>
  <sheetFormatPr defaultColWidth="9.140625" defaultRowHeight="25.5" x14ac:dyDescent="0.2"/>
  <cols>
    <col min="1" max="1" width="58.42578125" style="5" customWidth="1"/>
    <col min="2" max="2" width="25" style="5" customWidth="1"/>
    <col min="3" max="3" width="19.7109375" style="5" customWidth="1"/>
    <col min="4" max="4" width="19.140625" style="5" customWidth="1"/>
    <col min="5" max="5" width="21" style="5" customWidth="1"/>
    <col min="6" max="6" width="19.140625" style="5" customWidth="1"/>
    <col min="7" max="7" width="17.5703125" style="291" customWidth="1"/>
    <col min="8" max="8" width="23.85546875" style="291" customWidth="1"/>
    <col min="9" max="9" width="23.140625" style="5" customWidth="1"/>
    <col min="10" max="10" width="23.85546875" style="5" customWidth="1"/>
    <col min="11" max="11" width="42.42578125" style="5" customWidth="1"/>
    <col min="12" max="12" width="36.140625" style="5" customWidth="1"/>
    <col min="13" max="13" width="34" style="291" customWidth="1"/>
    <col min="14" max="14" width="30.5703125" style="292" customWidth="1"/>
    <col min="15" max="15" width="19.5703125" style="5" customWidth="1"/>
    <col min="16" max="16" width="49.42578125" style="5" customWidth="1"/>
    <col min="17" max="17" width="15.85546875" style="5" customWidth="1"/>
    <col min="18" max="18" width="11.5703125" style="5" customWidth="1"/>
    <col min="19" max="19" width="13.28515625" style="5" customWidth="1"/>
    <col min="20" max="20" width="17.85546875" style="5" customWidth="1"/>
    <col min="21" max="21" width="25.85546875" style="5" customWidth="1"/>
    <col min="22" max="22" width="11.7109375" style="5" customWidth="1"/>
    <col min="23" max="23" width="16.7109375" style="5" customWidth="1"/>
    <col min="24" max="24" width="26.42578125" style="5" customWidth="1"/>
    <col min="25" max="25" width="15" style="5" customWidth="1"/>
    <col min="26" max="26" width="18.5703125" style="5" customWidth="1"/>
    <col min="27" max="27" width="14.28515625" style="5" customWidth="1"/>
    <col min="28" max="28" width="17.28515625" style="5" customWidth="1"/>
    <col min="29" max="29" width="18.42578125" style="5" customWidth="1"/>
    <col min="30" max="30" width="16.28515625" style="5" customWidth="1"/>
    <col min="31" max="32" width="17.5703125" style="5" customWidth="1"/>
    <col min="33" max="33" width="13.5703125" style="5" customWidth="1"/>
    <col min="34" max="34" width="15.85546875" style="5" customWidth="1"/>
    <col min="35" max="35" width="15" style="5" customWidth="1"/>
    <col min="36" max="36" width="9.140625" style="5"/>
    <col min="37" max="37" width="11.5703125" style="5" bestFit="1" customWidth="1"/>
    <col min="38" max="38" width="17.140625" style="5" customWidth="1"/>
    <col min="39" max="39" width="21.28515625" style="5" customWidth="1"/>
    <col min="40" max="49" width="9.140625" style="5"/>
    <col min="50" max="50" width="12.85546875" style="5" customWidth="1"/>
    <col min="51" max="53" width="9.140625" style="5"/>
    <col min="54" max="54" width="9.28515625" style="5" customWidth="1"/>
    <col min="55" max="60" width="9.140625" style="5"/>
    <col min="61" max="61" width="9.28515625" style="5" customWidth="1"/>
    <col min="62" max="16384" width="9.140625" style="5"/>
  </cols>
  <sheetData>
    <row r="1" spans="1:61" ht="33.950000000000003" customHeight="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1" t="s">
        <v>1</v>
      </c>
      <c r="K1" s="3"/>
      <c r="L1" s="3"/>
      <c r="M1" s="3"/>
      <c r="N1" s="3"/>
      <c r="O1" s="3"/>
      <c r="P1" s="4"/>
    </row>
    <row r="2" spans="1:61" ht="49.5" customHeight="1" x14ac:dyDescent="0.2">
      <c r="A2" s="6" t="s">
        <v>2</v>
      </c>
      <c r="B2" s="7"/>
      <c r="C2" s="7"/>
      <c r="D2" s="7"/>
      <c r="E2" s="7"/>
      <c r="F2" s="7"/>
      <c r="G2" s="7"/>
      <c r="H2" s="7"/>
      <c r="I2" s="7"/>
      <c r="J2" s="8" t="s">
        <v>3</v>
      </c>
      <c r="K2" s="9" t="s">
        <v>4</v>
      </c>
      <c r="L2" s="10" t="s">
        <v>5</v>
      </c>
      <c r="M2" s="9" t="s">
        <v>6</v>
      </c>
      <c r="N2" s="11" t="s">
        <v>7</v>
      </c>
      <c r="O2" s="12"/>
      <c r="P2" s="13"/>
    </row>
    <row r="3" spans="1:61" ht="27" thickBot="1" x14ac:dyDescent="0.25">
      <c r="A3" s="14" t="str">
        <f>CONCATENATE("DAILY PERFORMANCE SUMMARY REPORT FOR")</f>
        <v>DAILY PERFORMANCE SUMMARY REPORT FOR</v>
      </c>
      <c r="B3" s="15"/>
      <c r="C3" s="15"/>
      <c r="D3" s="15"/>
      <c r="E3" s="16" t="s">
        <v>8</v>
      </c>
      <c r="F3" s="17"/>
      <c r="G3" s="17"/>
      <c r="H3" s="17"/>
      <c r="I3" s="17"/>
      <c r="J3" s="18" t="s">
        <v>9</v>
      </c>
      <c r="K3" s="19">
        <f>'[1]DAILY FLASH'!AZ2</f>
        <v>150797</v>
      </c>
      <c r="L3" s="20">
        <f>'[1]DAILY FLASH'!BA2</f>
        <v>10484.15</v>
      </c>
      <c r="M3" s="21">
        <f>'[1]DAILY FLASH'!BB2</f>
        <v>127557.15833333333</v>
      </c>
      <c r="N3" s="22">
        <f>'[1]DAILY FLASH'!BC2</f>
        <v>84.58865782033682</v>
      </c>
      <c r="O3" s="23"/>
      <c r="P3" s="24"/>
    </row>
    <row r="4" spans="1:61" ht="24" customHeight="1" thickBot="1" x14ac:dyDescent="0.25">
      <c r="A4" s="25"/>
      <c r="B4" s="26" t="s">
        <v>10</v>
      </c>
      <c r="C4" s="27"/>
      <c r="D4" s="28"/>
      <c r="E4" s="29"/>
      <c r="F4" s="29"/>
      <c r="G4" s="27"/>
      <c r="H4" s="27"/>
      <c r="I4" s="29"/>
      <c r="J4" s="30" t="s">
        <v>11</v>
      </c>
      <c r="K4" s="31">
        <f>'[1]DAILY FLASH'!AZ3</f>
        <v>146285</v>
      </c>
      <c r="L4" s="32">
        <f>'[1]DAILY FLASH'!BA3</f>
        <v>11217.901000000002</v>
      </c>
      <c r="M4" s="33">
        <f>'[1]DAILY FLASH'!BB3</f>
        <v>134614.81200000001</v>
      </c>
      <c r="N4" s="34">
        <f>'[1]DAILY FLASH'!BC3</f>
        <v>92.022293468229833</v>
      </c>
      <c r="O4" s="23"/>
      <c r="P4" s="35"/>
      <c r="AL4" s="5" t="s">
        <v>12</v>
      </c>
      <c r="BI4" s="5">
        <v>0</v>
      </c>
    </row>
    <row r="5" spans="1:61" ht="25.5" customHeight="1" thickBot="1" x14ac:dyDescent="0.25">
      <c r="A5" s="36" t="s">
        <v>13</v>
      </c>
      <c r="B5" s="36" t="s">
        <v>14</v>
      </c>
      <c r="C5" s="37" t="s">
        <v>15</v>
      </c>
      <c r="D5" s="37"/>
      <c r="E5" s="38" t="s">
        <v>16</v>
      </c>
      <c r="F5" s="38"/>
      <c r="G5" s="38"/>
      <c r="H5" s="38"/>
      <c r="I5" s="39"/>
      <c r="J5" s="40" t="s">
        <v>17</v>
      </c>
      <c r="K5" s="41">
        <f>'[1]DAILY FLASH'!AZ5</f>
        <v>148285</v>
      </c>
      <c r="L5" s="42">
        <f>'[1]DAILY FLASH'!BA5</f>
        <v>12026.429999999998</v>
      </c>
      <c r="M5" s="43">
        <f>'[1]DAILY FLASH'!BB5</f>
        <v>144317.15999999997</v>
      </c>
      <c r="N5" s="44">
        <f>'[1]DAILY FLASH'!BC5</f>
        <v>97.324179788919977</v>
      </c>
      <c r="O5" s="45"/>
      <c r="P5" s="46"/>
      <c r="Q5" s="17"/>
      <c r="R5" s="17"/>
      <c r="S5" s="17"/>
    </row>
    <row r="6" spans="1:61" ht="3" customHeight="1" thickBot="1" x14ac:dyDescent="0.25">
      <c r="A6" s="47"/>
      <c r="B6" s="47"/>
      <c r="C6" s="48"/>
      <c r="D6" s="48"/>
      <c r="E6" s="49"/>
      <c r="F6" s="50"/>
      <c r="G6" s="50"/>
      <c r="H6" s="49"/>
      <c r="I6" s="51"/>
      <c r="J6" s="52"/>
      <c r="K6" s="17"/>
      <c r="L6" s="53"/>
      <c r="M6" s="53"/>
      <c r="N6" s="54"/>
      <c r="P6" s="55"/>
      <c r="Q6" s="17"/>
      <c r="R6" s="17"/>
      <c r="S6" s="17"/>
    </row>
    <row r="7" spans="1:61" ht="29.25" customHeight="1" thickBot="1" x14ac:dyDescent="0.25">
      <c r="A7" s="47"/>
      <c r="B7" s="47"/>
      <c r="C7" s="56" t="s">
        <v>4</v>
      </c>
      <c r="D7" s="56" t="s">
        <v>18</v>
      </c>
      <c r="E7" s="17" t="s">
        <v>4</v>
      </c>
      <c r="F7" s="39" t="s">
        <v>19</v>
      </c>
      <c r="G7" s="39" t="s">
        <v>6</v>
      </c>
      <c r="H7" s="17" t="s">
        <v>20</v>
      </c>
      <c r="I7" s="57" t="str">
        <f>'[1]MIS MONTH WISE FUEL NMGCAL '!I14</f>
        <v>CPLY</v>
      </c>
      <c r="J7" s="58" t="s">
        <v>21</v>
      </c>
      <c r="K7" s="59"/>
      <c r="L7" s="59"/>
      <c r="M7" s="59"/>
      <c r="N7" s="59"/>
      <c r="O7" s="59"/>
      <c r="P7" s="60"/>
      <c r="R7" s="61"/>
    </row>
    <row r="8" spans="1:61" ht="48" customHeight="1" thickBot="1" x14ac:dyDescent="0.25">
      <c r="A8" s="62" t="s">
        <v>22</v>
      </c>
      <c r="B8" s="48" t="s">
        <v>23</v>
      </c>
      <c r="C8" s="63">
        <f>'[1]DAILY FLASH'!AK21</f>
        <v>8</v>
      </c>
      <c r="D8" s="63">
        <f>'[1]DAILY FLASH'!AL21</f>
        <v>6</v>
      </c>
      <c r="E8" s="63">
        <f>'[1]DAILY FLASH'!AQ21</f>
        <v>230</v>
      </c>
      <c r="F8" s="48">
        <f>'[1]DAILY FLASH'!AN21</f>
        <v>209</v>
      </c>
      <c r="G8" s="63">
        <f>'[1]DAILY FLASH'!AR21</f>
        <v>209</v>
      </c>
      <c r="H8" s="63">
        <f>G8/E8%</f>
        <v>90.869565217391312</v>
      </c>
      <c r="I8" s="63">
        <f>'[1]DAILY FLASH'!AU21</f>
        <v>187</v>
      </c>
      <c r="J8" s="64" t="s">
        <v>24</v>
      </c>
      <c r="K8" s="33" t="s">
        <v>25</v>
      </c>
      <c r="L8" s="33" t="s">
        <v>26</v>
      </c>
      <c r="M8" s="33" t="s">
        <v>27</v>
      </c>
      <c r="N8" s="65" t="s">
        <v>28</v>
      </c>
      <c r="O8" s="66" t="s">
        <v>29</v>
      </c>
      <c r="P8" s="60"/>
      <c r="Q8" s="61"/>
      <c r="R8" s="61"/>
      <c r="S8" s="67"/>
    </row>
    <row r="9" spans="1:61" s="77" customFormat="1" ht="78" customHeight="1" thickBot="1" x14ac:dyDescent="0.25">
      <c r="A9" s="68" t="s">
        <v>30</v>
      </c>
      <c r="B9" s="48" t="s">
        <v>31</v>
      </c>
      <c r="C9" s="21">
        <f>'[1]DAILY FLASH'!AK12</f>
        <v>398.66666666666669</v>
      </c>
      <c r="D9" s="21">
        <f>'[1]DAILY FLASH'!AL12</f>
        <v>526</v>
      </c>
      <c r="E9" s="53">
        <f>'[1]DAILY FLASH'!AQ12</f>
        <v>11960</v>
      </c>
      <c r="F9" s="69">
        <f>'[1]DAILY FLASH'!AN12</f>
        <v>10885.645</v>
      </c>
      <c r="G9" s="21">
        <f>'[1]DAILY FLASH'!AR12</f>
        <v>10885.645</v>
      </c>
      <c r="H9" s="20">
        <f>'[1]DAILY FLASH'!AS12</f>
        <v>91.01709866220736</v>
      </c>
      <c r="I9" s="70">
        <f>'[1]DAILY FLASH'!AU12</f>
        <v>9611.09</v>
      </c>
      <c r="J9" s="71" t="s">
        <v>32</v>
      </c>
      <c r="K9" s="72" t="s">
        <v>33</v>
      </c>
      <c r="L9" s="72" t="s">
        <v>34</v>
      </c>
      <c r="M9" s="71" t="s">
        <v>35</v>
      </c>
      <c r="N9" s="71" t="s">
        <v>36</v>
      </c>
      <c r="O9" s="73" t="s">
        <v>37</v>
      </c>
      <c r="P9" s="74"/>
      <c r="Q9" s="75"/>
      <c r="R9" s="76"/>
      <c r="S9" s="76"/>
    </row>
    <row r="10" spans="1:61" s="77" customFormat="1" ht="78" customHeight="1" x14ac:dyDescent="0.2">
      <c r="A10" s="68" t="s">
        <v>38</v>
      </c>
      <c r="B10" s="48" t="s">
        <v>31</v>
      </c>
      <c r="C10" s="21">
        <f>'[1]DAILY FLASH'!AK14</f>
        <v>366.83333333333331</v>
      </c>
      <c r="D10" s="21">
        <f>'[1]DAILY FLASH'!AL14</f>
        <v>508.1</v>
      </c>
      <c r="E10" s="53">
        <f>'[1]DAILY FLASH'!AQ14</f>
        <v>11005</v>
      </c>
      <c r="F10" s="53">
        <f>'[1]DAILY FLASH'!AN20</f>
        <v>10484.15</v>
      </c>
      <c r="G10" s="53">
        <f>'[1]DAILY FLASH'!AR20</f>
        <v>10484.15</v>
      </c>
      <c r="H10" s="20">
        <f>'[1]DAILY FLASH'!AS20</f>
        <v>91.079402310833117</v>
      </c>
      <c r="I10" s="70">
        <f>'[1]DAILY FLASH'!AU13</f>
        <v>53.8</v>
      </c>
      <c r="J10" s="71" t="s">
        <v>39</v>
      </c>
      <c r="K10" s="72" t="s">
        <v>40</v>
      </c>
      <c r="L10" s="72" t="s">
        <v>41</v>
      </c>
      <c r="M10" s="71" t="s">
        <v>42</v>
      </c>
      <c r="N10" s="71" t="s">
        <v>43</v>
      </c>
      <c r="O10" s="73" t="s">
        <v>44</v>
      </c>
      <c r="P10" s="74"/>
      <c r="Q10" s="75"/>
      <c r="R10" s="76"/>
      <c r="S10" s="76"/>
    </row>
    <row r="11" spans="1:61" s="77" customFormat="1" ht="87" customHeight="1" x14ac:dyDescent="0.2">
      <c r="A11" s="78" t="s">
        <v>45</v>
      </c>
      <c r="B11" s="48" t="s">
        <v>31</v>
      </c>
      <c r="C11" s="63">
        <f>C9</f>
        <v>398.66666666666669</v>
      </c>
      <c r="D11" s="63">
        <f>'[1]DAILY FLASH'!AL15</f>
        <v>0</v>
      </c>
      <c r="E11" s="63">
        <f>'[1]DAILY FLASH'!AQ16</f>
        <v>506</v>
      </c>
      <c r="F11" s="63">
        <f>'[1]DAILY FLASH'!AN16</f>
        <v>507.08</v>
      </c>
      <c r="G11" s="63">
        <f>'[1]DAILY FLASH'!AR16</f>
        <v>507.08</v>
      </c>
      <c r="H11" s="63">
        <f t="shared" ref="H11:H12" si="0">G11/E11%</f>
        <v>100.21343873517787</v>
      </c>
      <c r="I11" s="63">
        <f>'[1]DAILY FLASH'!AU16</f>
        <v>563.51099999999997</v>
      </c>
      <c r="J11" s="48" t="s">
        <v>46</v>
      </c>
      <c r="K11" s="48" t="s">
        <v>47</v>
      </c>
      <c r="L11" s="48" t="s">
        <v>48</v>
      </c>
      <c r="M11" s="48" t="s">
        <v>49</v>
      </c>
      <c r="N11" s="48" t="s">
        <v>50</v>
      </c>
      <c r="O11" s="79" t="s">
        <v>51</v>
      </c>
      <c r="P11" s="80"/>
      <c r="Q11" s="81"/>
      <c r="R11" s="76"/>
      <c r="S11" s="76"/>
      <c r="AM11" s="82"/>
    </row>
    <row r="12" spans="1:61" s="77" customFormat="1" ht="59.25" customHeight="1" x14ac:dyDescent="0.2">
      <c r="A12" s="78" t="s">
        <v>45</v>
      </c>
      <c r="B12" s="48" t="s">
        <v>31</v>
      </c>
      <c r="C12" s="63">
        <f>'[1]DAILY FLASH'!AQ19</f>
        <v>506</v>
      </c>
      <c r="D12" s="63">
        <f>'[1]DAILY FLASH'!AL16</f>
        <v>0</v>
      </c>
      <c r="E12" s="63">
        <f>'[1]DAILY FLASH'!AQ19</f>
        <v>506</v>
      </c>
      <c r="F12" s="63">
        <f>'[1]DAILY FLASH'!AN19</f>
        <v>507.08</v>
      </c>
      <c r="G12" s="63">
        <f>'[1]DAILY FLASH'!AR19</f>
        <v>507.08</v>
      </c>
      <c r="H12" s="63">
        <f t="shared" si="0"/>
        <v>100.21343873517787</v>
      </c>
      <c r="I12" s="83">
        <f>'[1]DAILY FLASH'!AU19</f>
        <v>563.51099999999997</v>
      </c>
      <c r="J12" s="48"/>
      <c r="K12" s="72"/>
      <c r="L12" s="84"/>
      <c r="M12" s="71"/>
      <c r="N12" s="71"/>
      <c r="O12" s="73"/>
      <c r="P12" s="74"/>
      <c r="Q12" s="85"/>
      <c r="R12" s="76"/>
      <c r="S12" s="76"/>
      <c r="AM12" s="82"/>
    </row>
    <row r="13" spans="1:61" s="77" customFormat="1" ht="66" customHeight="1" thickBot="1" x14ac:dyDescent="0.25">
      <c r="A13" s="62" t="s">
        <v>52</v>
      </c>
      <c r="B13" s="48" t="s">
        <v>31</v>
      </c>
      <c r="C13" s="63">
        <f>'[1]MIS MONTH WISE FUEL NMGCAL '!C18</f>
        <v>366.83333333333331</v>
      </c>
      <c r="D13" s="63">
        <f>'[1]MIS MONTH WISE FUEL NMGCAL '!D18</f>
        <v>508.1</v>
      </c>
      <c r="E13" s="48">
        <f>'[1]DAILY FLASH'!AQ14</f>
        <v>11005</v>
      </c>
      <c r="F13" s="63">
        <f>'[1]DAILY FLASH'!AN14</f>
        <v>9977.0699999999979</v>
      </c>
      <c r="G13" s="63">
        <f>'[1]DAILY FLASH'!AR14</f>
        <v>9977.0699999999979</v>
      </c>
      <c r="H13" s="63">
        <f>G13/E13%</f>
        <v>90.65942753293956</v>
      </c>
      <c r="I13" s="86">
        <f>'[1]DAILY FLASH'!AU14</f>
        <v>8671.9499999999989</v>
      </c>
      <c r="J13" s="87"/>
      <c r="K13" s="88"/>
      <c r="L13" s="88"/>
      <c r="M13" s="88"/>
      <c r="N13" s="88"/>
      <c r="O13" s="88"/>
      <c r="P13" s="89"/>
      <c r="Q13" s="5"/>
      <c r="R13" s="90"/>
      <c r="S13" s="91"/>
      <c r="AM13" s="82"/>
    </row>
    <row r="14" spans="1:61" ht="36" customHeight="1" x14ac:dyDescent="0.2">
      <c r="A14" s="62" t="s">
        <v>53</v>
      </c>
      <c r="B14" s="48" t="s">
        <v>23</v>
      </c>
      <c r="C14" s="63">
        <f>'[1]MIS MONTH WISE FUEL NMGCAL '!C27</f>
        <v>1.0256410256410258</v>
      </c>
      <c r="D14" s="63">
        <f>'[1]DAILY FLASH'!AL22</f>
        <v>1</v>
      </c>
      <c r="E14" s="48"/>
      <c r="F14" s="48">
        <f>'[1]DAILY FLASH'!AN22</f>
        <v>39</v>
      </c>
      <c r="G14" s="48"/>
      <c r="H14" s="63"/>
      <c r="I14" s="63">
        <f>'[1]DAILY FLASH'!AU22</f>
        <v>32</v>
      </c>
      <c r="J14" s="92" t="s">
        <v>54</v>
      </c>
      <c r="K14" s="93"/>
      <c r="L14" s="93"/>
      <c r="M14" s="94"/>
      <c r="N14" s="94"/>
      <c r="O14" s="94"/>
      <c r="P14" s="95"/>
      <c r="Q14" s="61"/>
    </row>
    <row r="15" spans="1:61" ht="39.75" customHeight="1" thickBot="1" x14ac:dyDescent="0.25">
      <c r="A15" s="96" t="s">
        <v>55</v>
      </c>
      <c r="B15" s="48" t="s">
        <v>23</v>
      </c>
      <c r="C15" s="63">
        <f>'[1]MIS MONTH WISE FUEL NMGCAL '!C28</f>
        <v>1.0256410256410258</v>
      </c>
      <c r="D15" s="63">
        <f>'[1]DAILY FLASH'!AL29</f>
        <v>1</v>
      </c>
      <c r="E15" s="48" t="s">
        <v>56</v>
      </c>
      <c r="F15" s="48">
        <f>'[1]DAILY FLASH'!AN29</f>
        <v>39</v>
      </c>
      <c r="G15" s="48"/>
      <c r="H15" s="63"/>
      <c r="I15" s="86">
        <f>'[1]DAILY FLASH'!AU29</f>
        <v>33</v>
      </c>
      <c r="J15" s="97" t="s">
        <v>57</v>
      </c>
      <c r="K15" s="98"/>
      <c r="L15" s="99">
        <f>'[1]SAL STOCK'!G6</f>
        <v>14634.421999999999</v>
      </c>
      <c r="M15" s="100"/>
      <c r="N15" s="101" t="s">
        <v>4</v>
      </c>
      <c r="O15" s="101" t="s">
        <v>58</v>
      </c>
      <c r="P15" s="102" t="s">
        <v>19</v>
      </c>
      <c r="S15" s="67"/>
      <c r="BB15" s="5">
        <v>1</v>
      </c>
    </row>
    <row r="16" spans="1:61" ht="39.950000000000003" customHeight="1" x14ac:dyDescent="0.4">
      <c r="A16" s="96" t="s">
        <v>59</v>
      </c>
      <c r="B16" s="48" t="s">
        <v>23</v>
      </c>
      <c r="C16" s="48">
        <v>0</v>
      </c>
      <c r="D16" s="63">
        <f>'[1]DAILY FLASH'!AL30</f>
        <v>0</v>
      </c>
      <c r="E16" s="48"/>
      <c r="F16" s="48">
        <f>'[1]DAILY FLASH'!AN30</f>
        <v>0</v>
      </c>
      <c r="G16" s="48"/>
      <c r="H16" s="63"/>
      <c r="I16" s="86">
        <f>'[1]DAILY FLASH'!AU30</f>
        <v>1</v>
      </c>
      <c r="J16" s="103"/>
      <c r="K16" s="104"/>
      <c r="L16" s="105">
        <f>'[1]SAL STOCK'!G7</f>
        <v>330.10699999999974</v>
      </c>
      <c r="M16" s="106" t="s">
        <v>60</v>
      </c>
      <c r="N16" s="107">
        <v>2500</v>
      </c>
      <c r="O16" s="108">
        <f>'[1]DAILY FLASH'!P111</f>
        <v>2090</v>
      </c>
      <c r="P16" s="109">
        <f>'[1]DAILY FLASH'!V111</f>
        <v>1963</v>
      </c>
      <c r="AD16" s="110" t="s">
        <v>61</v>
      </c>
      <c r="AE16" s="111" t="s">
        <v>62</v>
      </c>
      <c r="AF16" s="111" t="s">
        <v>63</v>
      </c>
      <c r="AG16" s="111" t="s">
        <v>64</v>
      </c>
      <c r="AH16" s="111" t="s">
        <v>65</v>
      </c>
      <c r="AY16" s="5">
        <f>708-809</f>
        <v>-101</v>
      </c>
    </row>
    <row r="17" spans="1:54" ht="39.950000000000003" customHeight="1" thickBot="1" x14ac:dyDescent="0.45">
      <c r="A17" s="96" t="s">
        <v>66</v>
      </c>
      <c r="B17" s="48" t="s">
        <v>23</v>
      </c>
      <c r="C17" s="63">
        <f>C8-C16</f>
        <v>8</v>
      </c>
      <c r="D17" s="63">
        <f>D8-D16</f>
        <v>6</v>
      </c>
      <c r="E17" s="48"/>
      <c r="F17" s="63">
        <f>F8-F16</f>
        <v>209</v>
      </c>
      <c r="G17" s="48"/>
      <c r="H17" s="63"/>
      <c r="I17" s="86">
        <f>I8-I16</f>
        <v>186</v>
      </c>
      <c r="J17" s="103" t="s">
        <v>67</v>
      </c>
      <c r="K17" s="104"/>
      <c r="L17" s="99">
        <f>'[1]SAL STOCK'!H8</f>
        <v>1832.8460000000021</v>
      </c>
      <c r="M17" s="106"/>
      <c r="N17" s="112">
        <v>2068</v>
      </c>
      <c r="O17" s="113">
        <f>'[1]DAILY FLASH'!P112</f>
        <v>2076</v>
      </c>
      <c r="P17" s="109">
        <f>'[1]DAILY FLASH'!V112</f>
        <v>1735</v>
      </c>
      <c r="Q17" s="52"/>
      <c r="AD17" s="114"/>
      <c r="AE17" s="115" t="s">
        <v>68</v>
      </c>
      <c r="AF17" s="115" t="s">
        <v>68</v>
      </c>
      <c r="AG17" s="115" t="s">
        <v>69</v>
      </c>
      <c r="AH17" s="115" t="s">
        <v>68</v>
      </c>
    </row>
    <row r="18" spans="1:54" ht="61.5" customHeight="1" thickBot="1" x14ac:dyDescent="0.45">
      <c r="A18" s="62" t="s">
        <v>70</v>
      </c>
      <c r="B18" s="48" t="s">
        <v>31</v>
      </c>
      <c r="C18" s="63">
        <f>'[1]DAILY FLASH'!AK31</f>
        <v>499.0980392156863</v>
      </c>
      <c r="D18" s="63">
        <f>'[1]DAILY FLASH'!AL31</f>
        <v>337.00599999999997</v>
      </c>
      <c r="E18" s="48">
        <f>'[1]DAILY FLASH'!AQ31</f>
        <v>12727</v>
      </c>
      <c r="F18" s="63">
        <f>'[1]DAILY FLASH'!AN31</f>
        <v>12805.689999999997</v>
      </c>
      <c r="G18" s="63">
        <f>'[1]DAILY FLASH'!AR31</f>
        <v>12805.689999999997</v>
      </c>
      <c r="H18" s="63">
        <f>G18/E18%</f>
        <v>100.61829182053899</v>
      </c>
      <c r="I18" s="86">
        <f>'[1]DAILY FLASH'!AU31</f>
        <v>9214.857</v>
      </c>
      <c r="J18" s="103" t="s">
        <v>71</v>
      </c>
      <c r="K18" s="104"/>
      <c r="L18" s="99">
        <f>'[1]SAL STOCK'!G9</f>
        <v>1262.5564999999997</v>
      </c>
      <c r="M18" s="106"/>
      <c r="N18" s="112"/>
      <c r="O18" s="113"/>
      <c r="P18" s="109"/>
      <c r="Q18" s="52"/>
      <c r="R18" s="52"/>
      <c r="AD18" s="116" t="s">
        <v>72</v>
      </c>
      <c r="AE18" s="117">
        <v>6247</v>
      </c>
      <c r="AF18" s="117">
        <v>8284</v>
      </c>
      <c r="AG18" s="118">
        <f>+AF18/AE18*100</f>
        <v>132.60765167280294</v>
      </c>
      <c r="AH18" s="117">
        <v>7122</v>
      </c>
    </row>
    <row r="19" spans="1:54" ht="51" customHeight="1" thickBot="1" x14ac:dyDescent="0.25">
      <c r="A19" s="62" t="s">
        <v>73</v>
      </c>
      <c r="B19" s="48" t="s">
        <v>31</v>
      </c>
      <c r="C19" s="63">
        <f>'[1]DAILY FLASH'!AK34</f>
        <v>427.96078431372547</v>
      </c>
      <c r="D19" s="63">
        <f>'[1]DAILY FLASH'!AL34</f>
        <v>277.59500000000003</v>
      </c>
      <c r="E19" s="63">
        <f>'[1]DAILY FLASH'!AQ34</f>
        <v>10913</v>
      </c>
      <c r="F19" s="63">
        <f>'[1]DAILY FLASH'!AN34</f>
        <v>11198.83</v>
      </c>
      <c r="G19" s="63">
        <f>'[1]DAILY FLASH'!AR34</f>
        <v>11198.83</v>
      </c>
      <c r="H19" s="63">
        <f t="shared" ref="H19:H24" si="1">G19/E19%</f>
        <v>102.61916979748923</v>
      </c>
      <c r="I19" s="86">
        <f>'[1]DAILY FLASH'!AU34</f>
        <v>7858.7939999999999</v>
      </c>
      <c r="J19" s="103" t="s">
        <v>74</v>
      </c>
      <c r="K19" s="104"/>
      <c r="L19" s="99">
        <f>'[1]SAL STOCK'!G10</f>
        <v>576.77899999999954</v>
      </c>
      <c r="M19" s="17" t="s">
        <v>75</v>
      </c>
      <c r="N19" s="119" t="s">
        <v>76</v>
      </c>
      <c r="O19" s="120" t="s">
        <v>77</v>
      </c>
      <c r="P19" s="46"/>
      <c r="Q19" s="61"/>
      <c r="R19" s="52"/>
      <c r="S19" s="121"/>
      <c r="AD19" s="122" t="s">
        <v>78</v>
      </c>
      <c r="AE19" s="123">
        <v>460</v>
      </c>
      <c r="AF19" s="124"/>
      <c r="AG19" s="125"/>
      <c r="AH19" s="126">
        <v>524</v>
      </c>
    </row>
    <row r="20" spans="1:54" ht="57" customHeight="1" x14ac:dyDescent="0.2">
      <c r="A20" s="127" t="s">
        <v>79</v>
      </c>
      <c r="B20" s="128" t="s">
        <v>31</v>
      </c>
      <c r="C20" s="63">
        <f>'[1]DAILY FLASH'!AK35+'[1]DAILY FLASH'!AK36</f>
        <v>24.115384615384613</v>
      </c>
      <c r="D20" s="63">
        <f>'[1]DAILY FLASH'!AL35+'[1]DAILY FLASH'!AL36+'[1]DAILY FLASH'!AL37</f>
        <v>27.95</v>
      </c>
      <c r="E20" s="129">
        <f>SUM('[1]DAILY FLASH'!AQ35:AQ36)</f>
        <v>627</v>
      </c>
      <c r="F20" s="105">
        <f>'[1]DAILY FLASH'!AN35+'[1]DAILY FLASH'!AN36+'[1]DAILY FLASH'!AN37</f>
        <v>331.51</v>
      </c>
      <c r="G20" s="130">
        <f>'[1]DAILY FLASH'!AR35+'[1]DAILY FLASH'!AR36+'[1]DAILY FLASH'!AR37</f>
        <v>331.51</v>
      </c>
      <c r="H20" s="131">
        <f t="shared" si="1"/>
        <v>52.872408293460929</v>
      </c>
      <c r="I20" s="131">
        <f>'[1]DAILY FLASH'!AU35+'[1]DAILY FLASH'!AU36</f>
        <v>245.99300000000002</v>
      </c>
      <c r="J20" s="103" t="s">
        <v>80</v>
      </c>
      <c r="K20" s="104"/>
      <c r="L20" s="99">
        <f>'[1]SAL STOCK'!G11</f>
        <v>125.23</v>
      </c>
      <c r="M20" s="132" t="s">
        <v>81</v>
      </c>
      <c r="N20" s="133">
        <f>'[1]DAILY FLASH'!AL82</f>
        <v>5</v>
      </c>
      <c r="O20" s="134" t="s">
        <v>82</v>
      </c>
      <c r="P20" s="135"/>
      <c r="Q20" s="61"/>
      <c r="R20" s="61"/>
      <c r="S20" s="52"/>
      <c r="AD20" s="136" t="s">
        <v>83</v>
      </c>
      <c r="AE20" s="137">
        <v>237</v>
      </c>
      <c r="AF20" s="138"/>
      <c r="AG20" s="139"/>
      <c r="AH20" s="140">
        <v>617</v>
      </c>
    </row>
    <row r="21" spans="1:54" ht="58.5" customHeight="1" thickBot="1" x14ac:dyDescent="0.25">
      <c r="A21" s="141" t="s">
        <v>84</v>
      </c>
      <c r="B21" s="142" t="s">
        <v>31</v>
      </c>
      <c r="C21" s="143">
        <f>'[1]DAILY FLASH'!AK56</f>
        <v>445.76923076923077</v>
      </c>
      <c r="D21" s="143">
        <f>'[1]DAILY FLASH'!AL56</f>
        <v>571.279</v>
      </c>
      <c r="E21" s="144">
        <f>'[1]DAILY FLASH'!AQ56</f>
        <v>11590</v>
      </c>
      <c r="F21" s="145">
        <f>'[1]DAILY FLASH'!AN56</f>
        <v>11217.901000000002</v>
      </c>
      <c r="G21" s="146">
        <f>'[1]DAILY FLASH'!AR56</f>
        <v>11217.901000000002</v>
      </c>
      <c r="H21" s="131">
        <f t="shared" si="1"/>
        <v>96.789482312338237</v>
      </c>
      <c r="I21" s="147">
        <f>'[1]DAILY FLASH'!AU56</f>
        <v>8365.9950000000008</v>
      </c>
      <c r="J21" s="148" t="s">
        <v>85</v>
      </c>
      <c r="K21" s="149"/>
      <c r="L21" s="99">
        <f>'[1]SAL STOCK'!G10</f>
        <v>576.77899999999954</v>
      </c>
      <c r="M21" s="132" t="s">
        <v>86</v>
      </c>
      <c r="N21" s="133">
        <f>'[1]DAILY FLASH'!AL83</f>
        <v>0</v>
      </c>
      <c r="O21" s="134" t="s">
        <v>87</v>
      </c>
      <c r="P21" s="150" t="s">
        <v>88</v>
      </c>
      <c r="Q21" s="61"/>
      <c r="R21" s="61"/>
      <c r="S21" s="52"/>
      <c r="AD21" s="151" t="s">
        <v>89</v>
      </c>
      <c r="AE21" s="152">
        <v>697</v>
      </c>
      <c r="AF21" s="153"/>
      <c r="AG21" s="154"/>
      <c r="AH21" s="155">
        <v>1141</v>
      </c>
    </row>
    <row r="22" spans="1:54" ht="48" customHeight="1" thickBot="1" x14ac:dyDescent="0.25">
      <c r="A22" s="156" t="s">
        <v>90</v>
      </c>
      <c r="B22" s="157" t="s">
        <v>31</v>
      </c>
      <c r="C22" s="143">
        <f>'[1]DAILY FLASH'!AK58</f>
        <v>451.53846153846155</v>
      </c>
      <c r="D22" s="143">
        <f>'[1]DAILY FLASH'!AL58</f>
        <v>817.87</v>
      </c>
      <c r="E22" s="158">
        <f>+'[1]DAILY FLASH'!AQ58</f>
        <v>11740</v>
      </c>
      <c r="F22" s="159">
        <f>'[1]DAILY FLASH'!AN58</f>
        <v>12026.429999999998</v>
      </c>
      <c r="G22" s="158">
        <f>'[1]DAILY FLASH'!AR58</f>
        <v>12026.429999999998</v>
      </c>
      <c r="H22" s="131">
        <f t="shared" si="1"/>
        <v>102.43977853492332</v>
      </c>
      <c r="I22" s="160">
        <f>'[1]DAILY FLASH'!AU58</f>
        <v>8118.8230000000003</v>
      </c>
      <c r="J22" s="148" t="s">
        <v>91</v>
      </c>
      <c r="K22" s="149"/>
      <c r="L22" s="99">
        <f>'[1]SAL STOCK'!G12</f>
        <v>235.54700000000017</v>
      </c>
      <c r="M22" s="132" t="s">
        <v>92</v>
      </c>
      <c r="N22" s="161"/>
      <c r="O22" s="134" t="s">
        <v>82</v>
      </c>
      <c r="P22" s="162"/>
      <c r="Q22" s="61"/>
      <c r="R22" s="61"/>
      <c r="S22" s="52"/>
      <c r="AD22" s="116" t="s">
        <v>93</v>
      </c>
      <c r="AE22" s="117">
        <v>5550</v>
      </c>
      <c r="AF22" s="117">
        <v>8284</v>
      </c>
      <c r="AG22" s="118">
        <f t="shared" ref="AG22:AG27" si="2">+AF22/AE22*100</f>
        <v>149.26126126126127</v>
      </c>
      <c r="AH22" s="117">
        <v>5981</v>
      </c>
    </row>
    <row r="23" spans="1:54" ht="46.5" customHeight="1" thickBot="1" x14ac:dyDescent="0.25">
      <c r="A23" s="127" t="s">
        <v>94</v>
      </c>
      <c r="B23" s="128" t="s">
        <v>31</v>
      </c>
      <c r="C23" s="63">
        <f>'[1]DAILY FLASH'!AK72</f>
        <v>13.333333333333334</v>
      </c>
      <c r="D23" s="63">
        <f>'[1]DAILY FLASH'!AL72</f>
        <v>97.5</v>
      </c>
      <c r="E23" s="129">
        <f>'[1]DAILY FLASH'!AQ72</f>
        <v>400</v>
      </c>
      <c r="F23" s="105">
        <f>'[1]DAILY FLASH'!AN72</f>
        <v>397.79999999999995</v>
      </c>
      <c r="G23" s="130">
        <f>'[1]DAILY FLASH'!AR72</f>
        <v>397.79999999999995</v>
      </c>
      <c r="H23" s="131">
        <f t="shared" si="1"/>
        <v>99.449999999999989</v>
      </c>
      <c r="I23" s="131">
        <f>'[1]DAILY FLASH'!AU72</f>
        <v>581.09999999999991</v>
      </c>
      <c r="J23" s="163" t="s">
        <v>95</v>
      </c>
      <c r="K23" s="164"/>
      <c r="L23" s="99">
        <f>'[1]SAL STOCK'!G17+'[1]SAL STOCK'!G16</f>
        <v>785.43999999999903</v>
      </c>
      <c r="M23" s="132" t="s">
        <v>96</v>
      </c>
      <c r="N23" s="161"/>
      <c r="O23" s="134" t="s">
        <v>82</v>
      </c>
      <c r="P23" s="135"/>
      <c r="Q23" s="165"/>
      <c r="R23" s="166"/>
      <c r="S23" s="52"/>
      <c r="AD23" s="116" t="s">
        <v>97</v>
      </c>
      <c r="AE23" s="117">
        <v>9700</v>
      </c>
      <c r="AF23" s="117">
        <v>10919</v>
      </c>
      <c r="AG23" s="118">
        <f t="shared" si="2"/>
        <v>112.56701030927836</v>
      </c>
      <c r="AH23" s="117">
        <v>8671</v>
      </c>
      <c r="BB23" s="5">
        <v>1</v>
      </c>
    </row>
    <row r="24" spans="1:54" ht="50.1" customHeight="1" thickBot="1" x14ac:dyDescent="0.25">
      <c r="A24" s="167" t="s">
        <v>98</v>
      </c>
      <c r="B24" s="47" t="s">
        <v>31</v>
      </c>
      <c r="C24" s="21">
        <f>'[1]DAILY FLASH'!AK73</f>
        <v>66.666666666666671</v>
      </c>
      <c r="D24" s="21">
        <f>'[1]MIS MONTH WISE FUEL NMGCAL '!D42</f>
        <v>67.5</v>
      </c>
      <c r="E24" s="17">
        <f>'[1]MIS MONTH WISE FUEL NMGCAL '!F42</f>
        <v>2000</v>
      </c>
      <c r="F24" s="168">
        <f>'[1]DAILY FLASH'!AN73</f>
        <v>2500.1999999999998</v>
      </c>
      <c r="G24" s="53">
        <f>'[1]DAILY FLASH'!AR73</f>
        <v>2500.1999999999998</v>
      </c>
      <c r="H24" s="70">
        <f t="shared" si="1"/>
        <v>125.00999999999999</v>
      </c>
      <c r="I24" s="70">
        <f>'[1]DAILY FLASH'!AU73</f>
        <v>2132.0700000000002</v>
      </c>
      <c r="J24" s="18" t="str">
        <f>'[1]MIS MONTH WISE FUEL NMGCAL '!M50</f>
        <v>STN SLAB</v>
      </c>
      <c r="K24" s="169"/>
      <c r="L24" s="105">
        <v>0</v>
      </c>
      <c r="M24" s="132" t="s">
        <v>99</v>
      </c>
      <c r="N24" s="161"/>
      <c r="O24" s="134" t="s">
        <v>82</v>
      </c>
      <c r="P24" s="170"/>
      <c r="Q24" s="17"/>
      <c r="R24" s="61"/>
      <c r="S24" s="52"/>
      <c r="AD24" s="116" t="s">
        <v>100</v>
      </c>
      <c r="AE24" s="117">
        <v>9245</v>
      </c>
      <c r="AF24" s="117">
        <v>9426</v>
      </c>
      <c r="AG24" s="118">
        <f t="shared" si="2"/>
        <v>101.95781503515413</v>
      </c>
      <c r="AH24" s="117">
        <v>8110</v>
      </c>
    </row>
    <row r="25" spans="1:54" ht="54" customHeight="1" thickBot="1" x14ac:dyDescent="0.25">
      <c r="A25" s="171"/>
      <c r="B25" s="77"/>
      <c r="C25" s="77"/>
      <c r="D25" s="77"/>
      <c r="E25" s="77"/>
      <c r="F25" s="77"/>
      <c r="G25" s="172"/>
      <c r="H25" s="172"/>
      <c r="I25" s="173"/>
      <c r="J25" s="18" t="s">
        <v>101</v>
      </c>
      <c r="K25" s="169"/>
      <c r="L25" s="105">
        <f>'[1]SAL STOCK'!G15</f>
        <v>0</v>
      </c>
      <c r="M25" s="132" t="s">
        <v>102</v>
      </c>
      <c r="N25" s="174">
        <f>D14</f>
        <v>1</v>
      </c>
      <c r="O25" s="134" t="s">
        <v>82</v>
      </c>
      <c r="P25" s="150"/>
      <c r="R25" s="17"/>
      <c r="S25" s="17"/>
      <c r="AD25" s="116" t="s">
        <v>103</v>
      </c>
      <c r="AE25" s="117">
        <v>9395</v>
      </c>
      <c r="AF25" s="117">
        <v>9226</v>
      </c>
      <c r="AG25" s="118">
        <f t="shared" si="2"/>
        <v>98.201170835550826</v>
      </c>
      <c r="AH25" s="117">
        <v>7653</v>
      </c>
    </row>
    <row r="26" spans="1:54" ht="52.5" customHeight="1" thickBot="1" x14ac:dyDescent="0.25">
      <c r="A26" s="171"/>
      <c r="B26" s="77"/>
      <c r="C26" s="77"/>
      <c r="D26" s="77"/>
      <c r="E26" s="77"/>
      <c r="F26" s="77"/>
      <c r="G26" s="172"/>
      <c r="H26" s="172"/>
      <c r="I26" s="173"/>
      <c r="J26" s="96" t="s">
        <v>104</v>
      </c>
      <c r="K26" s="134"/>
      <c r="L26" s="105">
        <f>SUM(L15:L25)</f>
        <v>20359.706499999993</v>
      </c>
      <c r="M26" s="132" t="s">
        <v>105</v>
      </c>
      <c r="N26" s="161"/>
      <c r="O26" s="134" t="s">
        <v>82</v>
      </c>
      <c r="P26" s="150"/>
      <c r="Q26" s="61"/>
      <c r="S26" s="53"/>
      <c r="AA26" s="5">
        <f>3221+80</f>
        <v>3301</v>
      </c>
      <c r="AD26" s="175" t="s">
        <v>106</v>
      </c>
      <c r="AE26" s="117">
        <v>2000</v>
      </c>
      <c r="AF26" s="117">
        <v>1544</v>
      </c>
      <c r="AG26" s="118">
        <f t="shared" si="2"/>
        <v>77.2</v>
      </c>
      <c r="AH26" s="175">
        <v>917</v>
      </c>
      <c r="AX26" s="5">
        <f>11385-304</f>
        <v>11081</v>
      </c>
    </row>
    <row r="27" spans="1:54" ht="39.950000000000003" customHeight="1" thickBot="1" x14ac:dyDescent="0.25">
      <c r="A27" s="176" t="s">
        <v>107</v>
      </c>
      <c r="B27" s="37"/>
      <c r="C27" s="37"/>
      <c r="D27" s="37"/>
      <c r="E27" s="37"/>
      <c r="F27" s="37"/>
      <c r="G27" s="37"/>
      <c r="H27" s="37"/>
      <c r="I27" s="177"/>
      <c r="J27" s="178" t="s">
        <v>108</v>
      </c>
      <c r="K27" s="179"/>
      <c r="L27" s="180">
        <v>200</v>
      </c>
      <c r="M27" s="181" t="s">
        <v>109</v>
      </c>
      <c r="N27" s="182"/>
      <c r="O27" s="183" t="s">
        <v>82</v>
      </c>
      <c r="P27" s="184"/>
      <c r="Q27" s="185"/>
      <c r="R27" s="61"/>
      <c r="AD27" s="116" t="s">
        <v>110</v>
      </c>
      <c r="AE27" s="117">
        <v>2500</v>
      </c>
      <c r="AF27" s="117">
        <v>2652</v>
      </c>
      <c r="AG27" s="118">
        <f t="shared" si="2"/>
        <v>106.08</v>
      </c>
      <c r="AH27" s="117">
        <v>1230</v>
      </c>
      <c r="BB27" s="5">
        <v>0</v>
      </c>
    </row>
    <row r="28" spans="1:54" ht="49.5" customHeight="1" thickBot="1" x14ac:dyDescent="0.25">
      <c r="A28" s="186" t="s">
        <v>111</v>
      </c>
      <c r="B28" s="187" t="s">
        <v>112</v>
      </c>
      <c r="C28" s="188"/>
      <c r="D28" s="189"/>
      <c r="E28" s="49" t="s">
        <v>113</v>
      </c>
      <c r="F28" s="190" t="s">
        <v>14</v>
      </c>
      <c r="G28" s="49" t="s">
        <v>18</v>
      </c>
      <c r="H28" s="190" t="s">
        <v>114</v>
      </c>
      <c r="I28" s="191" t="str">
        <f>I7</f>
        <v>CPLY</v>
      </c>
      <c r="J28" s="192" t="s">
        <v>115</v>
      </c>
      <c r="K28" s="193"/>
      <c r="L28" s="194"/>
      <c r="M28" s="195" t="s">
        <v>116</v>
      </c>
      <c r="N28" s="196"/>
      <c r="O28" s="196"/>
      <c r="P28" s="197"/>
      <c r="Q28" s="52"/>
      <c r="R28" s="61"/>
      <c r="S28" s="61"/>
      <c r="AG28" s="198"/>
    </row>
    <row r="29" spans="1:54" ht="39.950000000000003" customHeight="1" thickBot="1" x14ac:dyDescent="0.25">
      <c r="A29" s="199" t="s">
        <v>117</v>
      </c>
      <c r="B29" s="200" t="s">
        <v>118</v>
      </c>
      <c r="C29" s="200"/>
      <c r="D29" s="201"/>
      <c r="E29" s="202">
        <f>'[1]MIS MONTH WISE FUEL NMGCAL '!E59</f>
        <v>3.5</v>
      </c>
      <c r="F29" s="203" t="s">
        <v>119</v>
      </c>
      <c r="G29" s="204">
        <f>'[1]DAILY FLASH'!AL101</f>
        <v>4.82</v>
      </c>
      <c r="H29" s="204">
        <f>'[1]DAILY FLASH'!AF99</f>
        <v>4.1274509803921564</v>
      </c>
      <c r="I29" s="204">
        <v>3.7896774193548395</v>
      </c>
      <c r="J29" s="205"/>
      <c r="K29" s="56" t="s">
        <v>120</v>
      </c>
      <c r="L29" s="19" t="s">
        <v>5</v>
      </c>
      <c r="M29" s="206" t="s">
        <v>121</v>
      </c>
      <c r="N29" s="207" t="s">
        <v>122</v>
      </c>
      <c r="O29" s="208" t="s">
        <v>123</v>
      </c>
      <c r="P29" s="209" t="s">
        <v>124</v>
      </c>
      <c r="Q29" s="52"/>
      <c r="R29" s="52"/>
      <c r="S29" s="53"/>
      <c r="AD29" s="110" t="s">
        <v>125</v>
      </c>
      <c r="AE29" s="111" t="s">
        <v>62</v>
      </c>
      <c r="AF29" s="111" t="s">
        <v>63</v>
      </c>
      <c r="AG29" s="210" t="s">
        <v>64</v>
      </c>
      <c r="AH29" s="111" t="s">
        <v>65</v>
      </c>
    </row>
    <row r="30" spans="1:54" ht="33.950000000000003" customHeight="1" thickBot="1" x14ac:dyDescent="0.25">
      <c r="A30" s="211"/>
      <c r="B30" s="212" t="s">
        <v>126</v>
      </c>
      <c r="C30" s="212"/>
      <c r="D30" s="213"/>
      <c r="E30" s="214">
        <v>52</v>
      </c>
      <c r="F30" s="215" t="s">
        <v>31</v>
      </c>
      <c r="G30" s="216">
        <f>'[1]DAILY FLASH'!AL12/'[1]DAILY FLASH'!AL23</f>
        <v>52.6</v>
      </c>
      <c r="H30" s="216">
        <f>'[1]DAILY FLASH'!AN12/'[1]DAILY FLASH'!AN23</f>
        <v>52.084425837320573</v>
      </c>
      <c r="I30" s="204">
        <v>51.396203208556152</v>
      </c>
      <c r="J30" s="217" t="s">
        <v>127</v>
      </c>
      <c r="K30" s="218">
        <v>137676</v>
      </c>
      <c r="L30" s="218">
        <v>125911.31</v>
      </c>
      <c r="M30" s="219">
        <f>'[1]DAILY FLASH'!AW20</f>
        <v>24735</v>
      </c>
      <c r="N30" s="219" t="str">
        <f>'[1]DAILY FLASH'!AX20</f>
        <v>MAR'97</v>
      </c>
      <c r="O30" s="220">
        <f>'[1]DAILY FLASH'!AY20</f>
        <v>248175</v>
      </c>
      <c r="P30" s="220" t="str">
        <f>'[1]DAILY FLASH'!AZ20</f>
        <v>96-97</v>
      </c>
      <c r="Q30" s="17"/>
      <c r="R30" s="52"/>
      <c r="S30" s="53"/>
      <c r="AD30" s="114"/>
      <c r="AE30" s="115" t="s">
        <v>68</v>
      </c>
      <c r="AF30" s="115" t="s">
        <v>68</v>
      </c>
      <c r="AG30" s="221" t="s">
        <v>69</v>
      </c>
      <c r="AH30" s="115" t="s">
        <v>68</v>
      </c>
      <c r="AK30" s="222">
        <v>0.40972222222222227</v>
      </c>
      <c r="AL30" s="222">
        <v>2.4305555555555556E-2</v>
      </c>
      <c r="AM30" s="222">
        <f>+AL30-AK30+24</f>
        <v>23.614583333333332</v>
      </c>
    </row>
    <row r="31" spans="1:54" ht="39.950000000000003" customHeight="1" thickBot="1" x14ac:dyDescent="0.25">
      <c r="A31" s="211"/>
      <c r="B31" s="212" t="s">
        <v>128</v>
      </c>
      <c r="C31" s="212"/>
      <c r="D31" s="213"/>
      <c r="E31" s="129">
        <v>650</v>
      </c>
      <c r="F31" s="215" t="s">
        <v>129</v>
      </c>
      <c r="G31" s="223">
        <v>764</v>
      </c>
      <c r="H31" s="223">
        <v>776</v>
      </c>
      <c r="I31" s="204">
        <v>774</v>
      </c>
      <c r="J31" s="224" t="s">
        <v>74</v>
      </c>
      <c r="K31" s="86">
        <v>133424</v>
      </c>
      <c r="L31" s="86">
        <v>119330</v>
      </c>
      <c r="M31" s="225">
        <f>'[1]DAILY FLASH'!AW14</f>
        <v>15089</v>
      </c>
      <c r="N31" s="225" t="str">
        <f>'[1]DAILY FLASH'!AX14</f>
        <v>MAR'89</v>
      </c>
      <c r="O31" s="63">
        <f>'[1]DAILY FLASH'!AY14</f>
        <v>151556</v>
      </c>
      <c r="P31" s="63" t="str">
        <f>'[1]DAILY FLASH'!AZ14</f>
        <v>88-89</v>
      </c>
      <c r="Q31" s="17"/>
      <c r="R31" s="17"/>
      <c r="S31" s="53"/>
      <c r="AD31" s="116" t="s">
        <v>72</v>
      </c>
      <c r="AE31" s="117">
        <v>61374</v>
      </c>
      <c r="AF31" s="117">
        <v>77413</v>
      </c>
      <c r="AG31" s="118">
        <f>+AF31/AE31*100</f>
        <v>126.13321601981295</v>
      </c>
      <c r="AH31" s="117">
        <v>43743</v>
      </c>
    </row>
    <row r="32" spans="1:54" ht="39.950000000000003" customHeight="1" thickBot="1" x14ac:dyDescent="0.25">
      <c r="A32" s="211"/>
      <c r="B32" s="179" t="s">
        <v>130</v>
      </c>
      <c r="C32" s="179"/>
      <c r="D32" s="226"/>
      <c r="E32" s="227">
        <v>0.35499999999999998</v>
      </c>
      <c r="F32" s="228" t="str">
        <f>'[1]MIS MONTH WISE FUEL NMGCAL '!F64</f>
        <v>GCAL/TON</v>
      </c>
      <c r="G32" s="229">
        <v>0.29799999999999999</v>
      </c>
      <c r="H32" s="229">
        <v>0.39</v>
      </c>
      <c r="I32" s="204">
        <v>0.57199999999999995</v>
      </c>
      <c r="J32" s="224" t="s">
        <v>131</v>
      </c>
      <c r="K32" s="86">
        <f>+K30-K31</f>
        <v>4252</v>
      </c>
      <c r="L32" s="86">
        <f>+L30-L31</f>
        <v>6581.3099999999977</v>
      </c>
      <c r="M32" s="225">
        <f>'[1]DAILY FLASH'!AW19</f>
        <v>8488</v>
      </c>
      <c r="N32" s="225" t="str">
        <f>'[1]DAILY FLASH'!AX19</f>
        <v>NOV'09</v>
      </c>
      <c r="O32" s="63">
        <f>'[1]DAILY FLASH'!AY16</f>
        <v>112288</v>
      </c>
      <c r="P32" s="63" t="str">
        <f>'[1]DAILY FLASH'!AZ16</f>
        <v>10-11</v>
      </c>
      <c r="Q32" s="17"/>
      <c r="R32" s="230"/>
      <c r="S32" s="53"/>
      <c r="AD32" s="122" t="s">
        <v>78</v>
      </c>
      <c r="AE32" s="231">
        <v>4190</v>
      </c>
      <c r="AF32" s="231">
        <v>1343</v>
      </c>
      <c r="AG32" s="118">
        <f t="shared" ref="AG32:AG42" si="3">+AF32/AE32*100</f>
        <v>32.052505966587113</v>
      </c>
      <c r="AH32" s="232">
        <v>2438</v>
      </c>
      <c r="AS32" s="5">
        <f>8.33*8.04</f>
        <v>66.973199999999991</v>
      </c>
    </row>
    <row r="33" spans="1:45" ht="39.950000000000003" customHeight="1" thickBot="1" x14ac:dyDescent="0.25">
      <c r="A33" s="211"/>
      <c r="B33" s="212" t="s">
        <v>132</v>
      </c>
      <c r="C33" s="212"/>
      <c r="D33" s="213"/>
      <c r="E33" s="214">
        <v>5.52</v>
      </c>
      <c r="F33" s="215" t="s">
        <v>133</v>
      </c>
      <c r="G33" s="233">
        <v>5.99</v>
      </c>
      <c r="H33" s="233">
        <v>5.99</v>
      </c>
      <c r="I33" s="204">
        <v>5.65</v>
      </c>
      <c r="J33" s="224" t="s">
        <v>134</v>
      </c>
      <c r="K33" s="86">
        <v>139825</v>
      </c>
      <c r="L33" s="86">
        <v>119127.06200000001</v>
      </c>
      <c r="M33" s="225">
        <v>19652</v>
      </c>
      <c r="N33" s="161" t="s">
        <v>135</v>
      </c>
      <c r="O33" s="63">
        <v>202913</v>
      </c>
      <c r="P33" s="234" t="str">
        <f>'[1]MIS MONTH WISE FUEL NMGCAL '!J55</f>
        <v>10-11</v>
      </c>
      <c r="Q33" s="17"/>
      <c r="R33" s="17"/>
      <c r="S33" s="53"/>
      <c r="AD33" s="136" t="s">
        <v>83</v>
      </c>
      <c r="AE33" s="235">
        <v>2010</v>
      </c>
      <c r="AF33" s="235">
        <v>6043</v>
      </c>
      <c r="AG33" s="118">
        <f t="shared" si="3"/>
        <v>300.6467661691542</v>
      </c>
      <c r="AH33" s="236">
        <v>5466</v>
      </c>
      <c r="AS33" s="5">
        <f>+AS32/104.2</f>
        <v>0.64273704414587318</v>
      </c>
    </row>
    <row r="34" spans="1:45" ht="39.950000000000003" customHeight="1" thickBot="1" x14ac:dyDescent="0.25">
      <c r="A34" s="237"/>
      <c r="B34" s="238" t="s">
        <v>136</v>
      </c>
      <c r="C34" s="239"/>
      <c r="D34" s="239"/>
      <c r="E34" s="91">
        <v>96.64</v>
      </c>
      <c r="F34" s="48" t="s">
        <v>64</v>
      </c>
      <c r="G34" s="233">
        <v>96.62</v>
      </c>
      <c r="H34" s="233">
        <v>96.24</v>
      </c>
      <c r="I34" s="204">
        <v>96.03</v>
      </c>
      <c r="J34" s="224" t="s">
        <v>137</v>
      </c>
      <c r="K34" s="86">
        <v>141825</v>
      </c>
      <c r="L34" s="86">
        <v>112369</v>
      </c>
      <c r="M34" s="225">
        <f>'[1]DAILY FLASH'!AW58</f>
        <v>20107</v>
      </c>
      <c r="N34" s="225" t="str">
        <f>'[1]DAILY FLASH'!AX58</f>
        <v>AUG'09</v>
      </c>
      <c r="O34" s="63">
        <v>200528</v>
      </c>
      <c r="P34" s="234" t="str">
        <f>'[1]MIS MONTH WISE FUEL NMGCAL '!J56</f>
        <v>10-11</v>
      </c>
      <c r="Q34" s="17"/>
      <c r="R34" s="17"/>
      <c r="S34" s="53"/>
      <c r="AD34" s="151" t="s">
        <v>89</v>
      </c>
      <c r="AE34" s="240">
        <v>6200</v>
      </c>
      <c r="AF34" s="240">
        <v>7386</v>
      </c>
      <c r="AG34" s="118">
        <f t="shared" si="3"/>
        <v>119.12903225806453</v>
      </c>
      <c r="AH34" s="155">
        <v>7904</v>
      </c>
    </row>
    <row r="35" spans="1:45" ht="39.950000000000003" customHeight="1" thickBot="1" x14ac:dyDescent="0.25">
      <c r="A35" s="241"/>
      <c r="B35" s="238" t="s">
        <v>138</v>
      </c>
      <c r="C35" s="239"/>
      <c r="D35" s="239"/>
      <c r="E35" s="242">
        <v>0.32</v>
      </c>
      <c r="F35" s="228" t="s">
        <v>139</v>
      </c>
      <c r="G35" s="229">
        <f>'[1]DAILY FLASH'!M111</f>
        <v>0.41585961538461536</v>
      </c>
      <c r="H35" s="229">
        <v>0.34200000000000003</v>
      </c>
      <c r="I35" s="243">
        <v>0.89</v>
      </c>
      <c r="J35" s="244" t="s">
        <v>140</v>
      </c>
      <c r="K35" s="245">
        <v>155974</v>
      </c>
      <c r="L35" s="245">
        <v>143751.71299999999</v>
      </c>
      <c r="M35" s="246">
        <v>15338</v>
      </c>
      <c r="N35" s="247" t="s">
        <v>141</v>
      </c>
      <c r="O35" s="248">
        <f>'[1]DAILY FLASH'!AY31</f>
        <v>154538</v>
      </c>
      <c r="P35" s="249" t="s">
        <v>142</v>
      </c>
      <c r="Q35" s="17"/>
      <c r="R35" s="17"/>
      <c r="S35" s="53"/>
      <c r="AD35" s="250"/>
      <c r="AE35" s="251"/>
      <c r="AF35" s="251"/>
      <c r="AG35" s="118"/>
      <c r="AH35" s="252"/>
    </row>
    <row r="36" spans="1:45" ht="39.950000000000003" customHeight="1" thickBot="1" x14ac:dyDescent="0.25">
      <c r="A36" s="253" t="s">
        <v>92</v>
      </c>
      <c r="B36" s="254" t="s">
        <v>143</v>
      </c>
      <c r="C36" s="255"/>
      <c r="D36" s="256"/>
      <c r="E36" s="257">
        <v>97.2</v>
      </c>
      <c r="F36" s="6" t="s">
        <v>64</v>
      </c>
      <c r="G36" s="258" t="s">
        <v>144</v>
      </c>
      <c r="H36" s="259">
        <v>97.67</v>
      </c>
      <c r="I36" s="204">
        <v>96.88</v>
      </c>
      <c r="J36" s="260" t="s">
        <v>145</v>
      </c>
      <c r="K36" s="260" t="s">
        <v>146</v>
      </c>
      <c r="L36" s="260" t="s">
        <v>147</v>
      </c>
      <c r="M36" s="261" t="s">
        <v>148</v>
      </c>
      <c r="N36" s="262" t="s">
        <v>149</v>
      </c>
      <c r="O36" s="263" t="s">
        <v>150</v>
      </c>
      <c r="P36" s="264"/>
      <c r="Q36" s="17"/>
      <c r="R36" s="17"/>
      <c r="S36" s="53"/>
      <c r="AD36" s="116" t="s">
        <v>93</v>
      </c>
      <c r="AE36" s="117">
        <v>55174</v>
      </c>
      <c r="AF36" s="117">
        <v>70027</v>
      </c>
      <c r="AG36" s="118">
        <f t="shared" si="3"/>
        <v>126.92028854170442</v>
      </c>
      <c r="AH36" s="117">
        <v>35839</v>
      </c>
    </row>
    <row r="37" spans="1:45" ht="0.75" customHeight="1" thickBot="1" x14ac:dyDescent="0.25">
      <c r="A37" s="265"/>
      <c r="B37" s="187"/>
      <c r="C37" s="188"/>
      <c r="D37" s="189"/>
      <c r="E37" s="266"/>
      <c r="F37" s="267"/>
      <c r="G37" s="268"/>
      <c r="H37" s="259"/>
      <c r="I37" s="204"/>
      <c r="J37" s="269" t="s">
        <v>151</v>
      </c>
      <c r="K37" s="270"/>
      <c r="L37" s="270"/>
      <c r="M37" s="270"/>
      <c r="N37" s="270"/>
      <c r="O37" s="270"/>
      <c r="P37" s="271"/>
      <c r="Q37" s="61"/>
      <c r="R37" s="17"/>
      <c r="S37" s="17"/>
      <c r="AD37" s="116" t="s">
        <v>152</v>
      </c>
      <c r="AE37" s="117">
        <v>94500</v>
      </c>
      <c r="AF37" s="117">
        <v>92934</v>
      </c>
      <c r="AG37" s="118">
        <f t="shared" si="3"/>
        <v>98.342857142857142</v>
      </c>
      <c r="AH37" s="117">
        <v>53335</v>
      </c>
    </row>
    <row r="38" spans="1:45" ht="39.950000000000003" customHeight="1" thickBot="1" x14ac:dyDescent="0.25">
      <c r="A38" s="272" t="s">
        <v>153</v>
      </c>
      <c r="B38" s="273" t="s">
        <v>128</v>
      </c>
      <c r="C38" s="274"/>
      <c r="D38" s="275"/>
      <c r="E38" s="276">
        <v>93</v>
      </c>
      <c r="F38" s="277" t="s">
        <v>129</v>
      </c>
      <c r="G38" s="216">
        <f>L80</f>
        <v>95.131837415357595</v>
      </c>
      <c r="H38" s="216">
        <f>M80</f>
        <v>96.296880527328099</v>
      </c>
      <c r="I38" s="278">
        <v>94.763489004766981</v>
      </c>
      <c r="J38" s="279" t="s">
        <v>154</v>
      </c>
      <c r="K38" s="220">
        <v>0</v>
      </c>
      <c r="L38" s="220">
        <f>596.484</f>
        <v>596.48400000000004</v>
      </c>
      <c r="M38" s="220">
        <f>'[1]DAILY FLASH'!AG53</f>
        <v>652.74</v>
      </c>
      <c r="N38" s="280">
        <f>'[1]DAILY FLASH'!BC77</f>
        <v>650.35</v>
      </c>
      <c r="O38" s="281">
        <f>203.15+M38-N38</f>
        <v>205.53999999999996</v>
      </c>
      <c r="P38" s="264"/>
      <c r="Q38" s="61"/>
      <c r="R38" s="61"/>
      <c r="S38" s="230"/>
      <c r="AD38" s="116" t="s">
        <v>100</v>
      </c>
      <c r="AE38" s="117">
        <v>90479</v>
      </c>
      <c r="AF38" s="117">
        <v>90133</v>
      </c>
      <c r="AG38" s="118">
        <f t="shared" si="3"/>
        <v>99.617590822179736</v>
      </c>
      <c r="AH38" s="117">
        <v>52700</v>
      </c>
    </row>
    <row r="39" spans="1:45" ht="39.950000000000003" customHeight="1" thickBot="1" x14ac:dyDescent="0.25">
      <c r="A39" s="186"/>
      <c r="B39" s="178" t="str">
        <f>'[1]MIS MONTH WISE FUEL NMGCAL '!B70</f>
        <v>FUEL CONS</v>
      </c>
      <c r="C39" s="179"/>
      <c r="D39" s="226"/>
      <c r="E39" s="227">
        <f>'[1]MIS MONTH WISE FUEL NMGCAL '!E70</f>
        <v>0.44</v>
      </c>
      <c r="F39" s="228" t="str">
        <f>'[1]MIS MONTH WISE FUEL NMGCAL '!F70</f>
        <v>GCAL/TON</v>
      </c>
      <c r="G39" s="282">
        <v>0.72</v>
      </c>
      <c r="H39" s="283">
        <v>0.498</v>
      </c>
      <c r="I39" s="278">
        <v>0.47199999999999998</v>
      </c>
      <c r="J39" s="279" t="s">
        <v>155</v>
      </c>
      <c r="K39" s="219">
        <f>24*8+32*8</f>
        <v>448</v>
      </c>
      <c r="L39" s="219">
        <f>346.29</f>
        <v>346.29</v>
      </c>
      <c r="M39" s="219">
        <f>314.26</f>
        <v>314.26</v>
      </c>
      <c r="N39" s="219">
        <f>138.18</f>
        <v>138.18</v>
      </c>
      <c r="O39" s="279"/>
      <c r="P39" s="284"/>
      <c r="Q39" s="166"/>
      <c r="R39" s="61"/>
      <c r="S39" s="230"/>
      <c r="U39" s="5">
        <f>28*7.1</f>
        <v>198.79999999999998</v>
      </c>
      <c r="AD39" s="116" t="s">
        <v>103</v>
      </c>
      <c r="AE39" s="117">
        <v>92129</v>
      </c>
      <c r="AF39" s="117">
        <v>90091</v>
      </c>
      <c r="AG39" s="118">
        <f t="shared" si="3"/>
        <v>97.78788437951134</v>
      </c>
      <c r="AH39" s="117">
        <v>56130</v>
      </c>
    </row>
    <row r="40" spans="1:45" ht="39.950000000000003" customHeight="1" thickBot="1" x14ac:dyDescent="0.25">
      <c r="A40" s="186"/>
      <c r="B40" s="187" t="s">
        <v>143</v>
      </c>
      <c r="C40" s="188"/>
      <c r="D40" s="189"/>
      <c r="E40" s="285">
        <v>88.5</v>
      </c>
      <c r="F40" s="286" t="s">
        <v>64</v>
      </c>
      <c r="G40" s="287">
        <f>L77</f>
        <v>88.716224636950088</v>
      </c>
      <c r="H40" s="287">
        <f>M77</f>
        <v>88.559140507071461</v>
      </c>
      <c r="I40" s="278">
        <v>88.409293817581755</v>
      </c>
      <c r="J40" s="288" t="s">
        <v>156</v>
      </c>
      <c r="K40" s="289">
        <v>0</v>
      </c>
      <c r="L40" s="289">
        <v>0</v>
      </c>
      <c r="M40" s="289">
        <v>0</v>
      </c>
      <c r="N40" s="289">
        <v>25.4</v>
      </c>
      <c r="O40" s="288"/>
      <c r="P40" s="290"/>
      <c r="Q40" s="61"/>
      <c r="R40" s="61"/>
      <c r="S40" s="230"/>
      <c r="AD40" s="175" t="s">
        <v>106</v>
      </c>
      <c r="AE40" s="117">
        <v>20000</v>
      </c>
      <c r="AF40" s="117">
        <v>8618</v>
      </c>
      <c r="AG40" s="118">
        <f t="shared" si="3"/>
        <v>43.09</v>
      </c>
      <c r="AH40" s="117">
        <v>7640</v>
      </c>
    </row>
    <row r="41" spans="1:45" ht="39.950000000000003" customHeight="1" thickBot="1" x14ac:dyDescent="0.25">
      <c r="A41" s="1"/>
      <c r="B41" s="3"/>
      <c r="C41" s="3"/>
      <c r="D41" s="3"/>
      <c r="E41" s="3"/>
      <c r="F41" s="3"/>
      <c r="G41" s="7"/>
      <c r="H41" s="7"/>
      <c r="I41" s="7"/>
      <c r="R41" s="61"/>
      <c r="T41" s="5">
        <f>621.51-615.65</f>
        <v>5.8600000000000136</v>
      </c>
      <c r="V41" s="5">
        <f>409.99-414.13</f>
        <v>-4.1399999999999864</v>
      </c>
      <c r="AD41" s="116" t="s">
        <v>110</v>
      </c>
      <c r="AE41" s="117">
        <v>25000</v>
      </c>
      <c r="AF41" s="117">
        <v>23701</v>
      </c>
      <c r="AG41" s="118">
        <f t="shared" si="3"/>
        <v>94.804000000000002</v>
      </c>
      <c r="AH41" s="117">
        <v>19654</v>
      </c>
    </row>
    <row r="42" spans="1:45" ht="33.950000000000003" customHeight="1" x14ac:dyDescent="0.2">
      <c r="A42" s="293" t="s">
        <v>157</v>
      </c>
      <c r="B42" s="294" t="s">
        <v>158</v>
      </c>
      <c r="C42" s="295" t="s">
        <v>159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203" t="s">
        <v>160</v>
      </c>
      <c r="P42" s="296"/>
      <c r="W42" s="297" t="e">
        <f>307+M36-N36</f>
        <v>#VALUE!</v>
      </c>
      <c r="AE42" s="298">
        <v>94500</v>
      </c>
      <c r="AF42" s="298">
        <v>92753</v>
      </c>
      <c r="AG42" s="299">
        <f t="shared" si="3"/>
        <v>98.151322751322752</v>
      </c>
    </row>
    <row r="43" spans="1:45" ht="39.950000000000003" customHeight="1" x14ac:dyDescent="0.2">
      <c r="A43" s="96" t="s">
        <v>161</v>
      </c>
      <c r="B43" s="63">
        <f>21402-340</f>
        <v>21062</v>
      </c>
      <c r="C43" s="63">
        <v>20360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300">
        <f>L26</f>
        <v>20359.706499999993</v>
      </c>
      <c r="P43" s="301"/>
    </row>
    <row r="44" spans="1:45" ht="39.950000000000003" customHeight="1" x14ac:dyDescent="0.2">
      <c r="A44" s="96" t="s">
        <v>162</v>
      </c>
      <c r="B44" s="63">
        <v>917.50899999999979</v>
      </c>
      <c r="C44" s="63">
        <v>812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300">
        <f>L22+L21+0</f>
        <v>812.32599999999968</v>
      </c>
      <c r="P44" s="301"/>
      <c r="Q44" s="5">
        <f>22679-22044</f>
        <v>635</v>
      </c>
      <c r="AA44" s="5">
        <f>116957-119011</f>
        <v>-2054</v>
      </c>
    </row>
    <row r="45" spans="1:45" ht="39.950000000000003" customHeight="1" x14ac:dyDescent="0.2">
      <c r="A45" s="96" t="s">
        <v>163</v>
      </c>
      <c r="B45" s="63">
        <f>SUM(B43:B44)</f>
        <v>21979.508999999998</v>
      </c>
      <c r="C45" s="63">
        <v>21172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300">
        <f>+O44+O43</f>
        <v>21172.032499999994</v>
      </c>
      <c r="P45" s="301"/>
      <c r="Q45" s="5">
        <f>21572+472</f>
        <v>22044</v>
      </c>
      <c r="S45" s="5">
        <f>16638-2829</f>
        <v>13809</v>
      </c>
      <c r="AA45" s="5">
        <f>9666+2054</f>
        <v>11720</v>
      </c>
    </row>
    <row r="46" spans="1:45" ht="45.6" customHeight="1" thickBot="1" x14ac:dyDescent="0.25">
      <c r="A46" s="302" t="s">
        <v>164</v>
      </c>
      <c r="B46" s="248">
        <v>200</v>
      </c>
      <c r="C46" s="63">
        <v>200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303">
        <f>L27</f>
        <v>200</v>
      </c>
      <c r="P46" s="304"/>
      <c r="S46" s="5" t="s">
        <v>165</v>
      </c>
    </row>
    <row r="47" spans="1:45" ht="45" customHeight="1" thickBot="1" x14ac:dyDescent="0.25">
      <c r="A47" s="178" t="s">
        <v>166</v>
      </c>
      <c r="B47" s="17"/>
      <c r="C47" s="17"/>
      <c r="D47" s="17"/>
      <c r="E47" s="17"/>
      <c r="F47" s="17"/>
      <c r="G47" s="17"/>
      <c r="H47" s="17"/>
      <c r="I47" s="17"/>
      <c r="J47" s="305"/>
      <c r="K47" s="306"/>
      <c r="L47" s="306"/>
      <c r="M47" s="306"/>
      <c r="N47" s="307"/>
      <c r="O47" s="306"/>
      <c r="P47" s="308"/>
      <c r="R47" s="297">
        <f>+P55-P58</f>
        <v>-808.52899999999681</v>
      </c>
      <c r="S47" s="5">
        <f>18778-15860</f>
        <v>2918</v>
      </c>
    </row>
    <row r="48" spans="1:45" ht="39.950000000000003" customHeight="1" thickBot="1" x14ac:dyDescent="0.25">
      <c r="A48" s="309" t="s">
        <v>167</v>
      </c>
      <c r="B48" s="56" t="s">
        <v>168</v>
      </c>
      <c r="C48" s="56" t="s">
        <v>169</v>
      </c>
      <c r="D48" s="56" t="s">
        <v>170</v>
      </c>
      <c r="E48" s="56" t="s">
        <v>171</v>
      </c>
      <c r="F48" s="56" t="s">
        <v>172</v>
      </c>
      <c r="G48" s="56" t="s">
        <v>173</v>
      </c>
      <c r="H48" s="48" t="s">
        <v>174</v>
      </c>
      <c r="I48" s="56" t="s">
        <v>175</v>
      </c>
      <c r="J48" s="56" t="s">
        <v>176</v>
      </c>
      <c r="K48" s="56" t="s">
        <v>177</v>
      </c>
      <c r="L48" s="56" t="s">
        <v>178</v>
      </c>
      <c r="M48" s="56" t="s">
        <v>179</v>
      </c>
      <c r="N48" s="310" t="s">
        <v>180</v>
      </c>
      <c r="O48" s="39" t="s">
        <v>181</v>
      </c>
      <c r="P48" s="311" t="s">
        <v>160</v>
      </c>
    </row>
    <row r="49" spans="1:19" ht="39.950000000000003" customHeight="1" x14ac:dyDescent="0.2">
      <c r="A49" s="309"/>
      <c r="B49" s="312" t="s">
        <v>182</v>
      </c>
      <c r="C49" s="63">
        <v>11511</v>
      </c>
      <c r="D49" s="63">
        <v>11612</v>
      </c>
      <c r="E49" s="63">
        <v>13823</v>
      </c>
      <c r="F49" s="63">
        <v>13069</v>
      </c>
      <c r="G49" s="63">
        <v>13822</v>
      </c>
      <c r="H49" s="63">
        <v>12818</v>
      </c>
      <c r="I49" s="63">
        <f>SUBTOTAL(9,C49:H49)</f>
        <v>76655</v>
      </c>
      <c r="J49" s="63">
        <v>13068</v>
      </c>
      <c r="K49" s="63">
        <v>12818</v>
      </c>
      <c r="L49" s="63">
        <v>12064</v>
      </c>
      <c r="M49" s="63">
        <v>12064</v>
      </c>
      <c r="N49" s="63">
        <v>12064</v>
      </c>
      <c r="O49" s="63">
        <v>12064</v>
      </c>
      <c r="P49" s="234">
        <f>SUBTOTAL(9,C49:O49)</f>
        <v>150797</v>
      </c>
    </row>
    <row r="50" spans="1:19" ht="26.25" x14ac:dyDescent="0.2">
      <c r="A50" s="313" t="s">
        <v>183</v>
      </c>
      <c r="B50" s="312" t="s">
        <v>184</v>
      </c>
      <c r="C50" s="63">
        <f>F11</f>
        <v>507.08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4">
        <f>SUBTOTAL(9,C50:O50)</f>
        <v>507.08</v>
      </c>
      <c r="Q50" s="5">
        <f>97003-2001</f>
        <v>95002</v>
      </c>
      <c r="S50" s="297"/>
    </row>
    <row r="51" spans="1:19" ht="39.950000000000003" customHeight="1" thickBot="1" x14ac:dyDescent="0.25">
      <c r="A51" s="314"/>
      <c r="B51" s="312" t="s">
        <v>185</v>
      </c>
      <c r="C51" s="63">
        <f>C50/C49*100</f>
        <v>4.405177656154982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34">
        <f>P50/P49*100</f>
        <v>0.33626663660417644</v>
      </c>
    </row>
    <row r="52" spans="1:19" ht="39.950000000000003" customHeight="1" x14ac:dyDescent="0.2">
      <c r="A52" s="62" t="s">
        <v>186</v>
      </c>
      <c r="B52" s="315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234">
        <f>SUBTOTAL(9,C52:O52)</f>
        <v>0</v>
      </c>
    </row>
    <row r="53" spans="1:19" ht="39.950000000000003" customHeight="1" thickBot="1" x14ac:dyDescent="0.25">
      <c r="A53" s="313" t="s">
        <v>187</v>
      </c>
      <c r="B53" s="315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34">
        <f>SUBTOTAL(9,C53:O53)</f>
        <v>0</v>
      </c>
      <c r="S53" s="5">
        <f>15551-24260</f>
        <v>-8709</v>
      </c>
    </row>
    <row r="54" spans="1:19" ht="39.950000000000003" customHeight="1" x14ac:dyDescent="0.2">
      <c r="A54" s="309"/>
      <c r="B54" s="312" t="s">
        <v>182</v>
      </c>
      <c r="C54" s="63">
        <v>11590</v>
      </c>
      <c r="D54" s="63">
        <v>11340</v>
      </c>
      <c r="E54" s="63">
        <v>11770</v>
      </c>
      <c r="F54" s="63">
        <v>12515</v>
      </c>
      <c r="G54" s="63">
        <v>12515</v>
      </c>
      <c r="H54" s="63">
        <v>12100</v>
      </c>
      <c r="I54" s="63">
        <f>SUBTOTAL(9,C54:H54)</f>
        <v>71830</v>
      </c>
      <c r="J54" s="63">
        <v>13165</v>
      </c>
      <c r="K54" s="63">
        <v>13090</v>
      </c>
      <c r="L54" s="63">
        <v>12720</v>
      </c>
      <c r="M54" s="63">
        <v>11815</v>
      </c>
      <c r="N54" s="63">
        <v>11795</v>
      </c>
      <c r="O54" s="63">
        <v>11870</v>
      </c>
      <c r="P54" s="234">
        <f>SUBTOTAL(9,C54:O54)</f>
        <v>146285</v>
      </c>
      <c r="S54" s="5">
        <f>8709-6769</f>
        <v>1940</v>
      </c>
    </row>
    <row r="55" spans="1:19" ht="39.950000000000003" customHeight="1" x14ac:dyDescent="0.2">
      <c r="A55" s="313" t="s">
        <v>188</v>
      </c>
      <c r="B55" s="312" t="s">
        <v>184</v>
      </c>
      <c r="C55" s="316">
        <f>F21</f>
        <v>11217.901000000002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34">
        <f>SUBTOTAL(9,C55:O55)</f>
        <v>11217.901000000002</v>
      </c>
      <c r="S55" s="297"/>
    </row>
    <row r="56" spans="1:19" ht="39.950000000000003" customHeight="1" thickBot="1" x14ac:dyDescent="0.25">
      <c r="A56" s="314"/>
      <c r="B56" s="312" t="s">
        <v>185</v>
      </c>
      <c r="C56" s="63">
        <f>+C55/C54*100</f>
        <v>96.789482312338237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34">
        <f>+P55/P54*100</f>
        <v>7.6685244556858194</v>
      </c>
    </row>
    <row r="57" spans="1:19" ht="39.950000000000003" customHeight="1" x14ac:dyDescent="0.2">
      <c r="A57" s="313"/>
      <c r="B57" s="312" t="s">
        <v>182</v>
      </c>
      <c r="C57" s="63">
        <v>11740</v>
      </c>
      <c r="D57" s="63">
        <v>11490</v>
      </c>
      <c r="E57" s="63">
        <v>11970</v>
      </c>
      <c r="F57" s="63">
        <v>12665</v>
      </c>
      <c r="G57" s="63">
        <v>12665</v>
      </c>
      <c r="H57" s="63">
        <v>12300</v>
      </c>
      <c r="I57" s="63">
        <f>SUBTOTAL(9,C57:H57)</f>
        <v>72830</v>
      </c>
      <c r="J57" s="63">
        <v>13315</v>
      </c>
      <c r="K57" s="63">
        <v>13240</v>
      </c>
      <c r="L57" s="63">
        <v>12920</v>
      </c>
      <c r="M57" s="63">
        <v>11965</v>
      </c>
      <c r="N57" s="63">
        <v>11945</v>
      </c>
      <c r="O57" s="63">
        <v>12070</v>
      </c>
      <c r="P57" s="234">
        <f>SUBTOTAL(9,C57:O57)</f>
        <v>148285</v>
      </c>
    </row>
    <row r="58" spans="1:19" ht="39.950000000000003" customHeight="1" x14ac:dyDescent="0.2">
      <c r="A58" s="313" t="s">
        <v>90</v>
      </c>
      <c r="B58" s="312" t="s">
        <v>184</v>
      </c>
      <c r="C58" s="316">
        <f>F22</f>
        <v>12026.429999999998</v>
      </c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234">
        <f>L5</f>
        <v>12026.429999999998</v>
      </c>
      <c r="S58" s="297"/>
    </row>
    <row r="59" spans="1:19" ht="39.950000000000003" customHeight="1" thickBot="1" x14ac:dyDescent="0.25">
      <c r="A59" s="314"/>
      <c r="B59" s="312" t="s">
        <v>185</v>
      </c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234">
        <f>+P58/P57*100</f>
        <v>8.1103483157433303</v>
      </c>
      <c r="R59" s="5">
        <f>108719-108819</f>
        <v>-100</v>
      </c>
    </row>
    <row r="60" spans="1:19" ht="39.950000000000003" customHeight="1" x14ac:dyDescent="0.2">
      <c r="A60" s="317"/>
      <c r="B60" s="312" t="s">
        <v>182</v>
      </c>
      <c r="C60" s="63">
        <v>12727</v>
      </c>
      <c r="D60" s="63">
        <v>12227</v>
      </c>
      <c r="E60" s="63">
        <v>14088</v>
      </c>
      <c r="F60" s="63">
        <v>13934</v>
      </c>
      <c r="G60" s="63">
        <v>14738</v>
      </c>
      <c r="H60" s="63">
        <v>10633</v>
      </c>
      <c r="I60" s="63">
        <f>SUBTOTAL(9,C60:H60)</f>
        <v>78347</v>
      </c>
      <c r="J60" s="63">
        <v>14785</v>
      </c>
      <c r="K60" s="63">
        <v>14633</v>
      </c>
      <c r="L60" s="63">
        <v>14029</v>
      </c>
      <c r="M60" s="63">
        <v>12829</v>
      </c>
      <c r="N60" s="63">
        <v>12929</v>
      </c>
      <c r="O60" s="63">
        <v>12927</v>
      </c>
      <c r="P60" s="234">
        <f>+J60+K60+L60+M60+N60+O60+I60</f>
        <v>160479</v>
      </c>
    </row>
    <row r="61" spans="1:19" ht="39.950000000000003" customHeight="1" x14ac:dyDescent="0.2">
      <c r="A61" s="313" t="s">
        <v>140</v>
      </c>
      <c r="B61" s="312" t="s">
        <v>184</v>
      </c>
      <c r="C61" s="63">
        <f>F18</f>
        <v>12805.689999999997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234">
        <f>'[1]DAILY FLASH'!BA4</f>
        <v>12805.689999999997</v>
      </c>
    </row>
    <row r="62" spans="1:19" ht="39.950000000000003" customHeight="1" x14ac:dyDescent="0.2">
      <c r="A62" s="317"/>
      <c r="B62" s="312" t="s">
        <v>185</v>
      </c>
      <c r="C62" s="63">
        <f t="shared" ref="C62:G62" si="4">C61/C60*100</f>
        <v>100.61829182053899</v>
      </c>
      <c r="D62" s="63">
        <f t="shared" si="4"/>
        <v>0</v>
      </c>
      <c r="E62" s="63">
        <f t="shared" si="4"/>
        <v>0</v>
      </c>
      <c r="F62" s="63">
        <f t="shared" si="4"/>
        <v>0</v>
      </c>
      <c r="G62" s="63">
        <f t="shared" si="4"/>
        <v>0</v>
      </c>
      <c r="H62" s="63">
        <f>H61/H60*100</f>
        <v>0</v>
      </c>
      <c r="I62" s="63">
        <f t="shared" ref="I62:K62" si="5">I61/I60*100</f>
        <v>0</v>
      </c>
      <c r="J62" s="63">
        <f t="shared" si="5"/>
        <v>0</v>
      </c>
      <c r="K62" s="63">
        <f t="shared" si="5"/>
        <v>0</v>
      </c>
      <c r="L62" s="63">
        <f>+L61/L60*100</f>
        <v>0</v>
      </c>
      <c r="M62" s="63">
        <f t="shared" ref="M62:O62" si="6">+M61/M60*100</f>
        <v>0</v>
      </c>
      <c r="N62" s="63">
        <f t="shared" si="6"/>
        <v>0</v>
      </c>
      <c r="O62" s="63">
        <f t="shared" si="6"/>
        <v>0</v>
      </c>
      <c r="P62" s="234">
        <f>+P61/P60*100</f>
        <v>7.9796671215548427</v>
      </c>
      <c r="Q62" s="230"/>
    </row>
    <row r="63" spans="1:19" ht="39.950000000000003" customHeight="1" x14ac:dyDescent="0.2">
      <c r="A63" s="318" t="s">
        <v>168</v>
      </c>
      <c r="B63" s="48" t="s">
        <v>182</v>
      </c>
      <c r="C63" s="48" t="s">
        <v>169</v>
      </c>
      <c r="D63" s="48" t="s">
        <v>170</v>
      </c>
      <c r="E63" s="48" t="s">
        <v>171</v>
      </c>
      <c r="F63" s="48" t="s">
        <v>172</v>
      </c>
      <c r="G63" s="48" t="s">
        <v>173</v>
      </c>
      <c r="H63" s="48" t="s">
        <v>174</v>
      </c>
      <c r="I63" s="315" t="str">
        <f>I48</f>
        <v>H1 26-27</v>
      </c>
      <c r="J63" s="48" t="s">
        <v>176</v>
      </c>
      <c r="K63" s="48" t="s">
        <v>177</v>
      </c>
      <c r="L63" s="48" t="s">
        <v>178</v>
      </c>
      <c r="M63" s="63" t="s">
        <v>179</v>
      </c>
      <c r="N63" s="63" t="s">
        <v>180</v>
      </c>
      <c r="O63" s="48" t="s">
        <v>181</v>
      </c>
      <c r="P63" s="319" t="str">
        <f>+P48</f>
        <v>26-27</v>
      </c>
      <c r="Q63" s="230"/>
    </row>
    <row r="64" spans="1:19" ht="39.950000000000003" customHeight="1" x14ac:dyDescent="0.2">
      <c r="A64" s="96" t="s">
        <v>189</v>
      </c>
      <c r="B64" s="48">
        <v>6000</v>
      </c>
      <c r="C64" s="320">
        <f>K39</f>
        <v>448</v>
      </c>
      <c r="D64" s="63"/>
      <c r="E64" s="63"/>
      <c r="F64" s="63"/>
      <c r="G64" s="63"/>
      <c r="H64" s="63"/>
      <c r="I64" s="63">
        <f>SUBTOTAL(9,C64:H64)</f>
        <v>448</v>
      </c>
      <c r="J64" s="63"/>
      <c r="K64" s="63"/>
      <c r="L64" s="63"/>
      <c r="M64" s="63"/>
      <c r="N64" s="63"/>
      <c r="O64" s="63"/>
      <c r="P64" s="321">
        <v>0</v>
      </c>
      <c r="Q64" s="230"/>
    </row>
    <row r="65" spans="1:35" ht="39.950000000000003" customHeight="1" x14ac:dyDescent="0.2">
      <c r="A65" s="96" t="s">
        <v>190</v>
      </c>
      <c r="B65" s="48"/>
      <c r="C65" s="320">
        <f>K38</f>
        <v>0</v>
      </c>
      <c r="D65" s="63"/>
      <c r="E65" s="63"/>
      <c r="F65" s="63"/>
      <c r="G65" s="63"/>
      <c r="H65" s="63"/>
      <c r="I65" s="63">
        <f>SUBTOTAL(9,C65:H65)</f>
        <v>0</v>
      </c>
      <c r="J65" s="63"/>
      <c r="K65" s="63"/>
      <c r="L65" s="63"/>
      <c r="M65" s="63"/>
      <c r="N65" s="63"/>
      <c r="O65" s="63"/>
      <c r="P65" s="321">
        <f t="shared" ref="P65:P72" si="7">SUBTOTAL(9,C65:O65)</f>
        <v>0</v>
      </c>
      <c r="Q65" s="230"/>
    </row>
    <row r="66" spans="1:35" ht="39.950000000000003" customHeight="1" x14ac:dyDescent="0.2">
      <c r="A66" s="96" t="s">
        <v>191</v>
      </c>
      <c r="B66" s="48"/>
      <c r="C66" s="320">
        <f>K40</f>
        <v>0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321">
        <f t="shared" si="7"/>
        <v>0</v>
      </c>
      <c r="Q66" s="230"/>
    </row>
    <row r="67" spans="1:35" ht="39.950000000000003" customHeight="1" x14ac:dyDescent="0.2">
      <c r="A67" s="96" t="s">
        <v>192</v>
      </c>
      <c r="B67" s="48">
        <v>6000</v>
      </c>
      <c r="C67" s="320">
        <v>0</v>
      </c>
      <c r="D67" s="63"/>
      <c r="E67" s="63"/>
      <c r="F67" s="63"/>
      <c r="G67" s="63"/>
      <c r="H67" s="63"/>
      <c r="I67" s="63">
        <f t="shared" ref="I67:I72" si="8">SUBTOTAL(9,C67:H67)</f>
        <v>0</v>
      </c>
      <c r="J67" s="63"/>
      <c r="K67" s="63"/>
      <c r="L67" s="63"/>
      <c r="M67" s="63"/>
      <c r="N67" s="63"/>
      <c r="O67" s="63"/>
      <c r="P67" s="321">
        <f t="shared" si="7"/>
        <v>0</v>
      </c>
      <c r="Q67" s="230"/>
      <c r="Z67" s="5">
        <f>101*4</f>
        <v>404</v>
      </c>
    </row>
    <row r="68" spans="1:35" ht="39.950000000000003" customHeight="1" x14ac:dyDescent="0.2">
      <c r="A68" s="96" t="s">
        <v>193</v>
      </c>
      <c r="B68" s="48">
        <v>6000</v>
      </c>
      <c r="C68" s="320">
        <v>0</v>
      </c>
      <c r="D68" s="63"/>
      <c r="E68" s="63"/>
      <c r="F68" s="63"/>
      <c r="G68" s="63"/>
      <c r="H68" s="63"/>
      <c r="I68" s="63">
        <f t="shared" si="8"/>
        <v>0</v>
      </c>
      <c r="J68" s="63"/>
      <c r="K68" s="63"/>
      <c r="L68" s="63"/>
      <c r="M68" s="63"/>
      <c r="N68" s="63"/>
      <c r="O68" s="63"/>
      <c r="P68" s="321">
        <f t="shared" si="7"/>
        <v>0</v>
      </c>
      <c r="Q68" s="230"/>
    </row>
    <row r="69" spans="1:35" ht="52.5" customHeight="1" x14ac:dyDescent="0.2">
      <c r="A69" s="322" t="s">
        <v>194</v>
      </c>
      <c r="B69" s="320" t="s">
        <v>195</v>
      </c>
      <c r="C69" s="320" t="s">
        <v>195</v>
      </c>
      <c r="D69" s="63"/>
      <c r="E69" s="63"/>
      <c r="F69" s="63"/>
      <c r="G69" s="63"/>
      <c r="H69" s="63"/>
      <c r="I69" s="63">
        <f t="shared" si="8"/>
        <v>0</v>
      </c>
      <c r="J69" s="63"/>
      <c r="K69" s="63"/>
      <c r="L69" s="63"/>
      <c r="M69" s="63"/>
      <c r="N69" s="63"/>
      <c r="O69" s="63"/>
      <c r="P69" s="321">
        <f t="shared" si="7"/>
        <v>0</v>
      </c>
      <c r="Q69" s="230"/>
    </row>
    <row r="70" spans="1:35" ht="39.950000000000003" customHeight="1" x14ac:dyDescent="0.2">
      <c r="A70" s="96" t="s">
        <v>196</v>
      </c>
      <c r="B70" s="48">
        <v>9000</v>
      </c>
      <c r="C70" s="320">
        <f>F23</f>
        <v>397.79999999999995</v>
      </c>
      <c r="D70" s="63"/>
      <c r="E70" s="63"/>
      <c r="F70" s="63"/>
      <c r="G70" s="63"/>
      <c r="H70" s="63"/>
      <c r="I70" s="63">
        <f t="shared" si="8"/>
        <v>397.79999999999995</v>
      </c>
      <c r="J70" s="63"/>
      <c r="K70" s="63"/>
      <c r="L70" s="63"/>
      <c r="M70" s="63"/>
      <c r="N70" s="63"/>
      <c r="O70" s="63"/>
      <c r="P70" s="321">
        <f t="shared" si="7"/>
        <v>397.79999999999995</v>
      </c>
    </row>
    <row r="71" spans="1:35" ht="39.950000000000003" customHeight="1" x14ac:dyDescent="0.2">
      <c r="A71" s="62" t="s">
        <v>197</v>
      </c>
      <c r="B71" s="48">
        <v>48000</v>
      </c>
      <c r="C71" s="63">
        <f>F24</f>
        <v>2500.1999999999998</v>
      </c>
      <c r="D71" s="63"/>
      <c r="E71" s="63"/>
      <c r="F71" s="63"/>
      <c r="G71" s="63"/>
      <c r="H71" s="63"/>
      <c r="I71" s="63">
        <f t="shared" si="8"/>
        <v>2500.1999999999998</v>
      </c>
      <c r="J71" s="63"/>
      <c r="K71" s="63"/>
      <c r="L71" s="63"/>
      <c r="M71" s="63"/>
      <c r="N71" s="63"/>
      <c r="O71" s="63"/>
      <c r="P71" s="321">
        <f t="shared" si="7"/>
        <v>2500.1999999999998</v>
      </c>
    </row>
    <row r="72" spans="1:35" ht="39.950000000000003" customHeight="1" x14ac:dyDescent="0.2">
      <c r="A72" s="62" t="s">
        <v>198</v>
      </c>
      <c r="B72" s="320">
        <v>86003</v>
      </c>
      <c r="C72" s="320">
        <f>'[1]MIS MONTH WISE FUEL NMGCAL '!E96</f>
        <v>0</v>
      </c>
      <c r="D72" s="320">
        <f>'[1]MIS MONTH WISE FUEL NMGCAL '!F96</f>
        <v>0</v>
      </c>
      <c r="E72" s="320">
        <f>'[1]MIS MONTH WISE FUEL NMGCAL '!G96</f>
        <v>0</v>
      </c>
      <c r="F72" s="320">
        <f>'[1]MIS MONTH WISE FUEL NMGCAL '!H96</f>
        <v>0</v>
      </c>
      <c r="G72" s="320">
        <f>'[1]MIS MONTH WISE FUEL NMGCAL '!I96</f>
        <v>0</v>
      </c>
      <c r="H72" s="320">
        <f>'[1]MIS MONTH WISE FUEL NMGCAL '!J96</f>
        <v>0</v>
      </c>
      <c r="I72" s="63">
        <f t="shared" si="8"/>
        <v>0</v>
      </c>
      <c r="J72" s="320">
        <f>'[1]MIS MONTH WISE FUEL NMGCAL '!L96</f>
        <v>0</v>
      </c>
      <c r="K72" s="320">
        <f>'[1]MIS MONTH WISE FUEL NMGCAL '!M96</f>
        <v>0</v>
      </c>
      <c r="L72" s="320">
        <f>'[1]MIS MONTH WISE FUEL NMGCAL '!N96</f>
        <v>0</v>
      </c>
      <c r="M72" s="320">
        <f>'[1]MIS MONTH WISE FUEL NMGCAL '!O96</f>
        <v>0</v>
      </c>
      <c r="N72" s="323">
        <f>'[1]MIS MONTH WISE FUEL NMGCAL '!P96</f>
        <v>0</v>
      </c>
      <c r="O72" s="320">
        <v>0</v>
      </c>
      <c r="P72" s="321">
        <f t="shared" si="7"/>
        <v>0</v>
      </c>
    </row>
    <row r="73" spans="1:35" ht="39.950000000000003" customHeight="1" x14ac:dyDescent="0.2">
      <c r="A73" s="167"/>
      <c r="B73" s="17"/>
      <c r="C73" s="53"/>
      <c r="D73" s="324"/>
      <c r="E73" s="324"/>
      <c r="F73" s="324"/>
      <c r="G73" s="324"/>
      <c r="H73" s="324"/>
      <c r="I73" s="324"/>
      <c r="J73" s="324"/>
      <c r="K73" s="61"/>
      <c r="L73" s="17" t="str">
        <f>IF($E$81=1,E83,(IF($E$81=2,E87,(IF($E$81=3,E90)))))</f>
        <v>RAJESH KUMAR</v>
      </c>
      <c r="M73" s="325"/>
      <c r="N73" s="326"/>
      <c r="O73" s="324"/>
      <c r="P73" s="327"/>
    </row>
    <row r="74" spans="1:35" ht="39.950000000000003" customHeight="1" thickBot="1" x14ac:dyDescent="0.25">
      <c r="A74" s="328"/>
      <c r="B74" s="329"/>
      <c r="C74" s="329"/>
      <c r="D74" s="329"/>
      <c r="E74" s="61"/>
      <c r="F74" s="61"/>
      <c r="G74" s="17"/>
      <c r="H74" s="17"/>
      <c r="I74" s="61"/>
      <c r="J74" s="61"/>
      <c r="K74" s="61"/>
      <c r="L74" s="17" t="str">
        <f>IF($E$81=1,E84,(IF($E$81=2,E88,(IF($E$81=3,E91)))))</f>
        <v>DGM(PPCD, PC &amp; SHIP),ASP</v>
      </c>
      <c r="M74" s="17"/>
      <c r="N74" s="330"/>
      <c r="O74" s="17"/>
      <c r="P74" s="331"/>
      <c r="AB74" s="332" t="s">
        <v>199</v>
      </c>
      <c r="AC74" s="332"/>
      <c r="AE74" s="332" t="s">
        <v>199</v>
      </c>
      <c r="AF74" s="332"/>
    </row>
    <row r="75" spans="1:35" ht="27" thickBot="1" x14ac:dyDescent="0.25">
      <c r="A75" s="186"/>
      <c r="B75" s="333"/>
      <c r="C75" s="333"/>
      <c r="D75" s="333"/>
      <c r="E75" s="333"/>
      <c r="F75" s="333"/>
      <c r="G75" s="49"/>
      <c r="H75" s="49"/>
      <c r="I75" s="333"/>
      <c r="J75" s="49"/>
      <c r="K75" s="49"/>
      <c r="L75" s="334"/>
      <c r="M75" s="335"/>
      <c r="N75" s="336"/>
      <c r="O75" s="306"/>
      <c r="P75" s="308"/>
      <c r="T75" s="25" t="s">
        <v>200</v>
      </c>
      <c r="Y75" s="5" t="s">
        <v>4</v>
      </c>
      <c r="Z75" s="5" t="s">
        <v>5</v>
      </c>
      <c r="AB75" s="5" t="s">
        <v>4</v>
      </c>
      <c r="AC75" s="5" t="s">
        <v>5</v>
      </c>
      <c r="AE75" s="5" t="s">
        <v>201</v>
      </c>
      <c r="AH75" s="5" t="s">
        <v>202</v>
      </c>
    </row>
    <row r="76" spans="1:35" ht="34.5" customHeight="1" thickBot="1" x14ac:dyDescent="0.4">
      <c r="I76" s="337" t="s">
        <v>203</v>
      </c>
      <c r="X76" s="61" t="s">
        <v>72</v>
      </c>
      <c r="Y76" s="338">
        <f>'md cell'!E10</f>
        <v>11005</v>
      </c>
      <c r="Z76" s="338">
        <f>F10</f>
        <v>10484.15</v>
      </c>
      <c r="AA76" s="53">
        <f t="shared" ref="AA76:AA85" si="9">+Z76/Y76*100</f>
        <v>95.267151294865968</v>
      </c>
      <c r="AB76" s="339">
        <f>+Y76+T76</f>
        <v>11005</v>
      </c>
      <c r="AC76" s="339">
        <f>+Z76+U76</f>
        <v>10484.15</v>
      </c>
      <c r="AD76" s="340">
        <f>+AC76/AB76*100</f>
        <v>95.267151294865968</v>
      </c>
      <c r="AE76" s="339">
        <v>0</v>
      </c>
      <c r="AF76" s="341" t="e">
        <f t="shared" ref="AF76:AF85" si="10">SUM(AC76-AE76)/AE76*100</f>
        <v>#DIV/0!</v>
      </c>
      <c r="AH76" s="297">
        <f>I10</f>
        <v>53.8</v>
      </c>
      <c r="AI76" s="342">
        <f>SUM(Z76-AH76)/AH76*100</f>
        <v>19387.267657992568</v>
      </c>
    </row>
    <row r="77" spans="1:35" ht="33" customHeight="1" thickBot="1" x14ac:dyDescent="0.45">
      <c r="H77" s="343" t="s">
        <v>204</v>
      </c>
      <c r="I77" s="344">
        <v>12468.683999999999</v>
      </c>
      <c r="J77" s="166">
        <f>D18</f>
        <v>337.00599999999997</v>
      </c>
      <c r="K77" s="345">
        <f>+J77+I77</f>
        <v>12805.689999999999</v>
      </c>
      <c r="L77" s="230">
        <f>+J78/J77*100</f>
        <v>88.716224636950088</v>
      </c>
      <c r="M77" s="230">
        <f>+K78/K77*100</f>
        <v>88.559140507071461</v>
      </c>
      <c r="X77" s="61" t="s">
        <v>85</v>
      </c>
      <c r="Y77" s="346">
        <f>E11</f>
        <v>506</v>
      </c>
      <c r="Z77" s="347">
        <f>'md cell'!F11</f>
        <v>507.08</v>
      </c>
      <c r="AA77" s="53">
        <f t="shared" si="9"/>
        <v>100.21343873517787</v>
      </c>
      <c r="AB77" s="348">
        <f t="shared" ref="AB77:AC85" si="11">+Y77+T77</f>
        <v>506</v>
      </c>
      <c r="AC77" s="348">
        <f t="shared" si="11"/>
        <v>507.08</v>
      </c>
      <c r="AD77" s="53">
        <f t="shared" ref="AD77:AD85" si="12">+AC77/AB77*100</f>
        <v>100.21343873517787</v>
      </c>
      <c r="AE77" s="348">
        <v>0</v>
      </c>
      <c r="AF77" s="349" t="e">
        <f t="shared" si="10"/>
        <v>#DIV/0!</v>
      </c>
      <c r="AH77" s="297">
        <f>I11</f>
        <v>563.51099999999997</v>
      </c>
      <c r="AI77" s="342">
        <f>SUM(Z77-AH77)/AH77*100</f>
        <v>-10.014178960126774</v>
      </c>
    </row>
    <row r="78" spans="1:35" ht="28.5" customHeight="1" thickBot="1" x14ac:dyDescent="0.45">
      <c r="F78" s="5" t="s">
        <v>205</v>
      </c>
      <c r="H78" s="350" t="s">
        <v>206</v>
      </c>
      <c r="I78" s="344">
        <v>11041.63</v>
      </c>
      <c r="J78" s="166">
        <v>298.97899999999998</v>
      </c>
      <c r="K78" s="345">
        <f>+J78+I78</f>
        <v>11340.608999999999</v>
      </c>
      <c r="L78" s="230"/>
      <c r="M78" s="230"/>
      <c r="X78" s="61" t="s">
        <v>80</v>
      </c>
      <c r="Y78" s="351">
        <v>0</v>
      </c>
      <c r="Z78" s="352">
        <v>0</v>
      </c>
      <c r="AA78" s="53"/>
      <c r="AB78" s="348">
        <f t="shared" si="11"/>
        <v>0</v>
      </c>
      <c r="AC78" s="348">
        <f t="shared" si="11"/>
        <v>0</v>
      </c>
      <c r="AD78" s="53"/>
      <c r="AE78" s="348"/>
      <c r="AF78" s="349"/>
      <c r="AH78" s="5">
        <v>0</v>
      </c>
    </row>
    <row r="79" spans="1:35" ht="21.75" customHeight="1" thickBot="1" x14ac:dyDescent="0.45">
      <c r="H79" s="343" t="s">
        <v>207</v>
      </c>
      <c r="I79" s="344">
        <v>10924.04</v>
      </c>
      <c r="J79" s="166">
        <f>D19</f>
        <v>277.59500000000003</v>
      </c>
      <c r="K79" s="345">
        <f>+J79+I79</f>
        <v>11201.635</v>
      </c>
      <c r="X79" s="61" t="s">
        <v>89</v>
      </c>
      <c r="Y79" s="353">
        <f>E12</f>
        <v>506</v>
      </c>
      <c r="Z79" s="354">
        <f>'md cell'!F12</f>
        <v>507.08</v>
      </c>
      <c r="AA79" s="53">
        <f t="shared" si="9"/>
        <v>100.21343873517787</v>
      </c>
      <c r="AB79" s="348">
        <f t="shared" si="11"/>
        <v>506</v>
      </c>
      <c r="AC79" s="348">
        <f t="shared" si="11"/>
        <v>507.08</v>
      </c>
      <c r="AD79" s="53">
        <f t="shared" si="12"/>
        <v>100.21343873517787</v>
      </c>
      <c r="AE79" s="348">
        <v>0</v>
      </c>
      <c r="AF79" s="349" t="e">
        <f t="shared" si="10"/>
        <v>#DIV/0!</v>
      </c>
      <c r="AH79" s="297">
        <f>+AH77</f>
        <v>563.51099999999997</v>
      </c>
      <c r="AI79" s="342">
        <f>SUM(Z79-AH79)/AH79*100</f>
        <v>-10.014178960126774</v>
      </c>
    </row>
    <row r="80" spans="1:35" ht="25.5" customHeight="1" thickBot="1" x14ac:dyDescent="0.45">
      <c r="C80" s="12"/>
      <c r="D80" s="29"/>
      <c r="E80" s="29"/>
      <c r="F80" s="29"/>
      <c r="G80" s="355"/>
      <c r="H80" s="343" t="s">
        <v>208</v>
      </c>
      <c r="I80" s="261">
        <v>1201088</v>
      </c>
      <c r="J80" s="166">
        <v>32060</v>
      </c>
      <c r="K80" s="356">
        <f>+J80+I80</f>
        <v>1233148</v>
      </c>
      <c r="L80" s="230">
        <f>+J80/J77</f>
        <v>95.131837415357595</v>
      </c>
      <c r="M80" s="230">
        <f>K80/K77</f>
        <v>96.296880527328099</v>
      </c>
      <c r="X80" s="61" t="s">
        <v>93</v>
      </c>
      <c r="Y80" s="346">
        <f>E13</f>
        <v>11005</v>
      </c>
      <c r="Z80" s="346">
        <f>F13</f>
        <v>9977.0699999999979</v>
      </c>
      <c r="AA80" s="53">
        <f t="shared" si="9"/>
        <v>90.659427532939546</v>
      </c>
      <c r="AB80" s="348">
        <f t="shared" si="11"/>
        <v>11005</v>
      </c>
      <c r="AC80" s="348">
        <f t="shared" si="11"/>
        <v>9977.0699999999979</v>
      </c>
      <c r="AD80" s="53">
        <f t="shared" si="12"/>
        <v>90.659427532939546</v>
      </c>
      <c r="AE80" s="348">
        <f>+AE76-AE79</f>
        <v>0</v>
      </c>
      <c r="AF80" s="349" t="e">
        <f t="shared" si="10"/>
        <v>#DIV/0!</v>
      </c>
      <c r="AH80" s="297">
        <f>I13</f>
        <v>8671.9499999999989</v>
      </c>
      <c r="AI80" s="342">
        <f t="shared" ref="AI80:AI85" si="13">SUM(Z80-AH80)/AH80*100</f>
        <v>15.049902271115483</v>
      </c>
    </row>
    <row r="81" spans="1:39" ht="29.25" customHeight="1" thickBot="1" x14ac:dyDescent="0.25">
      <c r="C81" s="357" t="s">
        <v>209</v>
      </c>
      <c r="D81" s="358"/>
      <c r="E81" s="359">
        <v>1</v>
      </c>
      <c r="F81" s="360"/>
      <c r="G81" s="361"/>
      <c r="I81" s="5">
        <v>0</v>
      </c>
      <c r="X81" s="61" t="s">
        <v>97</v>
      </c>
      <c r="Y81" s="346">
        <f>E18</f>
        <v>12727</v>
      </c>
      <c r="Z81" s="346">
        <f>F18</f>
        <v>12805.689999999997</v>
      </c>
      <c r="AA81" s="53">
        <f t="shared" si="9"/>
        <v>100.61829182053899</v>
      </c>
      <c r="AB81" s="348">
        <f t="shared" si="11"/>
        <v>12727</v>
      </c>
      <c r="AC81" s="348">
        <f t="shared" si="11"/>
        <v>12805.689999999997</v>
      </c>
      <c r="AD81" s="53">
        <f t="shared" si="12"/>
        <v>100.61829182053899</v>
      </c>
      <c r="AE81" s="348">
        <v>0</v>
      </c>
      <c r="AF81" s="349" t="e">
        <f t="shared" si="10"/>
        <v>#DIV/0!</v>
      </c>
      <c r="AH81" s="297">
        <f>I18</f>
        <v>9214.857</v>
      </c>
      <c r="AI81" s="342">
        <f t="shared" si="13"/>
        <v>38.967864612549022</v>
      </c>
    </row>
    <row r="82" spans="1:39" ht="27" thickBot="1" x14ac:dyDescent="0.25">
      <c r="C82" s="362"/>
      <c r="D82" s="81"/>
      <c r="F82" s="363"/>
      <c r="G82" s="364"/>
      <c r="X82" s="61" t="s">
        <v>210</v>
      </c>
      <c r="Y82" s="346">
        <f t="shared" ref="Y82:Z85" si="14">E21</f>
        <v>11590</v>
      </c>
      <c r="Z82" s="346">
        <f t="shared" si="14"/>
        <v>11217.901000000002</v>
      </c>
      <c r="AA82" s="53">
        <f t="shared" si="9"/>
        <v>96.789482312338237</v>
      </c>
      <c r="AB82" s="348">
        <f t="shared" si="11"/>
        <v>11590</v>
      </c>
      <c r="AC82" s="348">
        <f t="shared" si="11"/>
        <v>11217.901000000002</v>
      </c>
      <c r="AD82" s="53">
        <f t="shared" si="12"/>
        <v>96.789482312338237</v>
      </c>
      <c r="AE82" s="348">
        <v>0</v>
      </c>
      <c r="AF82" s="349" t="e">
        <f t="shared" si="10"/>
        <v>#DIV/0!</v>
      </c>
      <c r="AH82" s="297">
        <f>I21</f>
        <v>8365.9950000000008</v>
      </c>
      <c r="AI82" s="342">
        <f t="shared" si="13"/>
        <v>34.089262544383551</v>
      </c>
    </row>
    <row r="83" spans="1:39" ht="33" customHeight="1" thickBot="1" x14ac:dyDescent="0.25">
      <c r="C83" s="317"/>
      <c r="D83" s="365">
        <v>1</v>
      </c>
      <c r="E83" s="61" t="s">
        <v>211</v>
      </c>
      <c r="F83" s="366"/>
      <c r="G83" s="364"/>
      <c r="X83" s="61" t="s">
        <v>103</v>
      </c>
      <c r="Y83" s="346">
        <f t="shared" si="14"/>
        <v>11740</v>
      </c>
      <c r="Z83" s="346">
        <f t="shared" si="14"/>
        <v>12026.429999999998</v>
      </c>
      <c r="AA83" s="53">
        <f t="shared" si="9"/>
        <v>102.43977853492332</v>
      </c>
      <c r="AB83" s="348">
        <f t="shared" si="11"/>
        <v>11740</v>
      </c>
      <c r="AC83" s="348">
        <f t="shared" si="11"/>
        <v>12026.429999999998</v>
      </c>
      <c r="AD83" s="53">
        <f t="shared" si="12"/>
        <v>102.43977853492332</v>
      </c>
      <c r="AE83" s="348">
        <v>0</v>
      </c>
      <c r="AF83" s="349" t="e">
        <f t="shared" si="10"/>
        <v>#DIV/0!</v>
      </c>
      <c r="AH83" s="297">
        <f>I22</f>
        <v>8118.8230000000003</v>
      </c>
      <c r="AI83" s="342">
        <f t="shared" si="13"/>
        <v>48.130215426546407</v>
      </c>
      <c r="AJ83" s="342">
        <f>SUM(AA83-AI83)/AI83*100</f>
        <v>112.83881160112628</v>
      </c>
    </row>
    <row r="84" spans="1:39" ht="27" thickBot="1" x14ac:dyDescent="0.25">
      <c r="C84" s="317"/>
      <c r="D84" s="365"/>
      <c r="E84" s="61" t="s">
        <v>212</v>
      </c>
      <c r="F84" s="366"/>
      <c r="G84" s="364"/>
      <c r="X84" s="61" t="s">
        <v>213</v>
      </c>
      <c r="Y84" s="346">
        <f t="shared" si="14"/>
        <v>400</v>
      </c>
      <c r="Z84" s="367">
        <f t="shared" si="14"/>
        <v>397.79999999999995</v>
      </c>
      <c r="AA84" s="53">
        <f t="shared" si="9"/>
        <v>99.449999999999989</v>
      </c>
      <c r="AB84" s="348">
        <f t="shared" si="11"/>
        <v>400</v>
      </c>
      <c r="AC84" s="348">
        <f t="shared" si="11"/>
        <v>397.79999999999995</v>
      </c>
      <c r="AD84" s="53">
        <f t="shared" si="12"/>
        <v>99.449999999999989</v>
      </c>
      <c r="AE84" s="348">
        <v>0</v>
      </c>
      <c r="AF84" s="349" t="e">
        <f t="shared" si="10"/>
        <v>#DIV/0!</v>
      </c>
      <c r="AH84" s="297">
        <f t="shared" ref="AH84:AH85" si="15">I23</f>
        <v>581.09999999999991</v>
      </c>
      <c r="AI84" s="342">
        <f t="shared" si="13"/>
        <v>-31.543624161073826</v>
      </c>
    </row>
    <row r="85" spans="1:39" ht="27" thickBot="1" x14ac:dyDescent="0.25">
      <c r="C85" s="317"/>
      <c r="D85" s="365"/>
      <c r="E85" s="61"/>
      <c r="F85" s="366"/>
      <c r="G85" s="364"/>
      <c r="X85" s="61" t="s">
        <v>214</v>
      </c>
      <c r="Y85" s="346">
        <f t="shared" si="14"/>
        <v>2000</v>
      </c>
      <c r="Z85" s="368">
        <f t="shared" si="14"/>
        <v>2500.1999999999998</v>
      </c>
      <c r="AA85" s="53">
        <f t="shared" si="9"/>
        <v>125.01</v>
      </c>
      <c r="AB85" s="369">
        <f t="shared" si="11"/>
        <v>2000</v>
      </c>
      <c r="AC85" s="369">
        <f t="shared" si="11"/>
        <v>2500.1999999999998</v>
      </c>
      <c r="AD85" s="306">
        <f t="shared" si="12"/>
        <v>125.01</v>
      </c>
      <c r="AE85" s="369">
        <v>0</v>
      </c>
      <c r="AF85" s="308" t="e">
        <f t="shared" si="10"/>
        <v>#DIV/0!</v>
      </c>
      <c r="AH85" s="297">
        <f t="shared" si="15"/>
        <v>2132.0700000000002</v>
      </c>
      <c r="AI85" s="342">
        <f t="shared" si="13"/>
        <v>17.266318648074389</v>
      </c>
    </row>
    <row r="86" spans="1:39" ht="26.25" x14ac:dyDescent="0.2">
      <c r="C86" s="317"/>
      <c r="D86" s="365"/>
      <c r="E86" s="61"/>
      <c r="F86" s="366"/>
      <c r="G86" s="364"/>
      <c r="X86" s="5" t="s">
        <v>215</v>
      </c>
    </row>
    <row r="87" spans="1:39" ht="27" thickBot="1" x14ac:dyDescent="0.25">
      <c r="C87" s="317"/>
      <c r="D87" s="365">
        <v>2</v>
      </c>
      <c r="E87" s="61" t="s">
        <v>216</v>
      </c>
      <c r="F87" s="366"/>
      <c r="G87" s="364"/>
      <c r="Z87" s="5">
        <f>53*8*2</f>
        <v>848</v>
      </c>
    </row>
    <row r="88" spans="1:39" ht="26.25" x14ac:dyDescent="0.2">
      <c r="C88" s="317"/>
      <c r="D88" s="365"/>
      <c r="E88" s="61" t="s">
        <v>217</v>
      </c>
      <c r="F88" s="366"/>
      <c r="G88" s="364"/>
      <c r="T88" s="25" t="s">
        <v>218</v>
      </c>
      <c r="U88" s="370"/>
      <c r="V88" s="370"/>
      <c r="W88" s="370"/>
      <c r="X88" s="370"/>
      <c r="Y88" s="370">
        <f>68*16</f>
        <v>1088</v>
      </c>
      <c r="Z88" s="370">
        <f>63*12</f>
        <v>756</v>
      </c>
      <c r="AA88" s="370">
        <f>52.65*18</f>
        <v>947.69999999999993</v>
      </c>
      <c r="AB88" s="370"/>
      <c r="AC88" s="370"/>
      <c r="AD88" s="370"/>
      <c r="AE88" s="370"/>
      <c r="AF88" s="13"/>
    </row>
    <row r="89" spans="1:39" ht="27" thickBot="1" x14ac:dyDescent="0.25">
      <c r="C89" s="317"/>
      <c r="D89" s="365"/>
      <c r="E89" s="61"/>
      <c r="F89" s="366"/>
      <c r="G89" s="364"/>
      <c r="M89" s="291">
        <f>45.61-12.81-0.58</f>
        <v>32.22</v>
      </c>
      <c r="T89" s="167"/>
      <c r="U89" s="61"/>
      <c r="V89" s="61"/>
      <c r="W89" s="61"/>
      <c r="X89" s="61"/>
      <c r="Y89" s="61"/>
      <c r="Z89" s="61">
        <f>225*51</f>
        <v>11475</v>
      </c>
      <c r="AA89" s="61"/>
      <c r="AB89" s="61"/>
      <c r="AC89" s="61"/>
      <c r="AD89" s="61"/>
      <c r="AE89" s="61"/>
      <c r="AF89" s="24"/>
      <c r="AH89" s="5" t="str">
        <f>AH75</f>
        <v>APRIL'26</v>
      </c>
      <c r="AK89" s="5">
        <f>114124/125862*100</f>
        <v>90.673912698034357</v>
      </c>
    </row>
    <row r="90" spans="1:39" ht="27" thickBot="1" x14ac:dyDescent="0.45">
      <c r="C90" s="317"/>
      <c r="D90" s="365">
        <v>3</v>
      </c>
      <c r="E90" s="371" t="s">
        <v>219</v>
      </c>
      <c r="F90" s="366"/>
      <c r="G90" s="364"/>
      <c r="L90" s="5">
        <f>11218-12026</f>
        <v>-808</v>
      </c>
      <c r="T90" s="25"/>
      <c r="U90" s="370"/>
      <c r="V90" s="370"/>
      <c r="W90" s="370">
        <f>125*4</f>
        <v>500</v>
      </c>
      <c r="X90" s="370"/>
      <c r="Y90" s="370"/>
      <c r="Z90" s="370"/>
      <c r="AA90" s="370"/>
      <c r="AB90" s="370"/>
      <c r="AC90" s="370"/>
      <c r="AD90" s="13"/>
      <c r="AE90" s="61"/>
      <c r="AF90" s="24"/>
      <c r="AH90" s="5" t="s">
        <v>201</v>
      </c>
    </row>
    <row r="91" spans="1:39" ht="27" thickBot="1" x14ac:dyDescent="0.25">
      <c r="C91" s="372"/>
      <c r="D91" s="373"/>
      <c r="E91" s="333" t="s">
        <v>220</v>
      </c>
      <c r="F91" s="374"/>
      <c r="G91" s="375"/>
      <c r="T91" s="376">
        <f>T76</f>
        <v>0</v>
      </c>
      <c r="U91" s="348">
        <f>U76</f>
        <v>0</v>
      </c>
      <c r="V91" s="61">
        <v>91.520390756719223</v>
      </c>
      <c r="W91" s="61"/>
      <c r="X91" s="61" t="s">
        <v>72</v>
      </c>
      <c r="Y91" s="348">
        <f>Y76</f>
        <v>11005</v>
      </c>
      <c r="Z91" s="348">
        <f>210*50</f>
        <v>10500</v>
      </c>
      <c r="AA91" s="53">
        <f>+Z91/Y91*100</f>
        <v>95.411176737846432</v>
      </c>
      <c r="AB91" s="348">
        <f>+Y91+T91</f>
        <v>11005</v>
      </c>
      <c r="AC91" s="348">
        <f>+Z91+U91</f>
        <v>10500</v>
      </c>
      <c r="AD91" s="349">
        <f>+AC91/AB91*100</f>
        <v>95.411176737846432</v>
      </c>
      <c r="AE91" s="339">
        <f t="shared" ref="AE91:AE100" si="16">AE76</f>
        <v>0</v>
      </c>
      <c r="AF91" s="53" t="e">
        <f>SUM(AC91-AE91)/AE91*100</f>
        <v>#DIV/0!</v>
      </c>
      <c r="AH91" s="17">
        <f>AH76</f>
        <v>53.8</v>
      </c>
      <c r="AI91" s="342">
        <f>SUM(Z91-AH91)/AH91*100</f>
        <v>19416.728624535317</v>
      </c>
      <c r="AL91" s="5">
        <v>137676</v>
      </c>
      <c r="AM91" s="5">
        <f>AL91*AD91</f>
        <v>13135829.168559745</v>
      </c>
    </row>
    <row r="92" spans="1:39" ht="27" thickBot="1" x14ac:dyDescent="0.25">
      <c r="T92" s="376">
        <f t="shared" ref="T92:U100" si="17">T77</f>
        <v>0</v>
      </c>
      <c r="U92" s="348">
        <f t="shared" si="17"/>
        <v>0</v>
      </c>
      <c r="V92" s="61">
        <v>112.70219999999999</v>
      </c>
      <c r="W92" s="61"/>
      <c r="X92" s="61" t="s">
        <v>85</v>
      </c>
      <c r="Y92" s="348">
        <f>Y77</f>
        <v>506</v>
      </c>
      <c r="Z92" s="348">
        <f>Z77</f>
        <v>507.08</v>
      </c>
      <c r="AA92" s="53">
        <f>+Z92/Y92*100</f>
        <v>100.21343873517787</v>
      </c>
      <c r="AB92" s="348">
        <f>+Y92+T92</f>
        <v>506</v>
      </c>
      <c r="AC92" s="348">
        <f>+Z92+U92</f>
        <v>507.08</v>
      </c>
      <c r="AD92" s="349">
        <f>+AC92/AB92*100</f>
        <v>100.21343873517787</v>
      </c>
      <c r="AE92" s="339">
        <f t="shared" si="16"/>
        <v>0</v>
      </c>
      <c r="AF92" s="53" t="e">
        <f t="shared" ref="AF92:AF100" si="18">SUM(AC92-AE92)/AE92*100</f>
        <v>#DIV/0!</v>
      </c>
      <c r="AH92" s="53">
        <f t="shared" ref="AH92:AH100" si="19">AH77</f>
        <v>563.51099999999997</v>
      </c>
      <c r="AI92" s="342">
        <f>SUM(Z92-AH92)/AH92*100</f>
        <v>-10.014178960126774</v>
      </c>
      <c r="AL92" s="5">
        <v>4252</v>
      </c>
      <c r="AM92" s="5">
        <f>AL92*AD92/100</f>
        <v>4261.0754150197636</v>
      </c>
    </row>
    <row r="93" spans="1:39" ht="27" thickBot="1" x14ac:dyDescent="0.25">
      <c r="J93" s="377" t="e">
        <f t="shared" ref="J93:O93" si="20">+#REF!-#REF!</f>
        <v>#REF!</v>
      </c>
      <c r="K93" s="377" t="e">
        <f t="shared" si="20"/>
        <v>#REF!</v>
      </c>
      <c r="L93" s="377" t="e">
        <f t="shared" si="20"/>
        <v>#REF!</v>
      </c>
      <c r="M93" s="377" t="e">
        <f t="shared" si="20"/>
        <v>#REF!</v>
      </c>
      <c r="N93" s="378" t="e">
        <f t="shared" si="20"/>
        <v>#REF!</v>
      </c>
      <c r="O93" s="377" t="e">
        <f t="shared" si="20"/>
        <v>#REF!</v>
      </c>
      <c r="T93" s="376">
        <f t="shared" si="17"/>
        <v>0</v>
      </c>
      <c r="U93" s="348">
        <f t="shared" si="17"/>
        <v>0</v>
      </c>
      <c r="V93" s="61"/>
      <c r="W93" s="61"/>
      <c r="X93" s="61" t="s">
        <v>80</v>
      </c>
      <c r="Y93" s="348"/>
      <c r="Z93" s="348">
        <f>Z78</f>
        <v>0</v>
      </c>
      <c r="AA93" s="53"/>
      <c r="AB93" s="348"/>
      <c r="AC93" s="348"/>
      <c r="AD93" s="349"/>
      <c r="AE93" s="339"/>
      <c r="AF93" s="53"/>
      <c r="AH93" s="53">
        <f>AH78</f>
        <v>0</v>
      </c>
    </row>
    <row r="94" spans="1:39" ht="27" thickBot="1" x14ac:dyDescent="0.25">
      <c r="J94" s="297">
        <f>+I45-J46</f>
        <v>0</v>
      </c>
      <c r="K94" s="297">
        <f>+J46-K46</f>
        <v>0</v>
      </c>
      <c r="L94" s="297">
        <f>+K46-L46</f>
        <v>0</v>
      </c>
      <c r="M94" s="297">
        <f>+L46-M46</f>
        <v>0</v>
      </c>
      <c r="N94" s="379">
        <f>+M46-N46</f>
        <v>0</v>
      </c>
      <c r="O94" s="297">
        <f>+N46-O45</f>
        <v>-21172.032499999994</v>
      </c>
      <c r="T94" s="376">
        <f t="shared" si="17"/>
        <v>0</v>
      </c>
      <c r="U94" s="348">
        <f t="shared" si="17"/>
        <v>0</v>
      </c>
      <c r="V94" s="61">
        <v>112.70219999999999</v>
      </c>
      <c r="W94" s="61"/>
      <c r="X94" s="61" t="s">
        <v>89</v>
      </c>
      <c r="Y94" s="348">
        <f>Y79</f>
        <v>506</v>
      </c>
      <c r="Z94" s="348">
        <f>Z92</f>
        <v>507.08</v>
      </c>
      <c r="AA94" s="53">
        <f t="shared" ref="AA94:AA100" si="21">+Z94/Y94*100</f>
        <v>100.21343873517787</v>
      </c>
      <c r="AB94" s="348">
        <f t="shared" ref="AB94:AC100" si="22">+Y94+T94</f>
        <v>506</v>
      </c>
      <c r="AC94" s="348">
        <f>AC92</f>
        <v>507.08</v>
      </c>
      <c r="AD94" s="349">
        <f t="shared" ref="AD94:AD100" si="23">+AC94/AB94*100</f>
        <v>100.21343873517787</v>
      </c>
      <c r="AE94" s="339">
        <f t="shared" si="16"/>
        <v>0</v>
      </c>
      <c r="AF94" s="53" t="e">
        <f t="shared" si="18"/>
        <v>#DIV/0!</v>
      </c>
      <c r="AH94" s="53">
        <f t="shared" si="19"/>
        <v>563.51099999999997</v>
      </c>
      <c r="AI94" s="342">
        <f>SUM(Z94-AH94)/AH94*100</f>
        <v>-10.014178960126774</v>
      </c>
      <c r="AL94" s="5">
        <v>4252</v>
      </c>
      <c r="AM94" s="5">
        <f>AL94*AD94/100</f>
        <v>4261.0754150197636</v>
      </c>
    </row>
    <row r="95" spans="1:39" ht="27" thickBot="1" x14ac:dyDescent="0.25">
      <c r="A95" s="5" t="s">
        <v>221</v>
      </c>
      <c r="C95" s="377">
        <f t="shared" ref="C95:I95" si="24">+C58-C55</f>
        <v>808.52899999999681</v>
      </c>
      <c r="D95" s="377">
        <f t="shared" si="24"/>
        <v>0</v>
      </c>
      <c r="E95" s="377">
        <f t="shared" si="24"/>
        <v>0</v>
      </c>
      <c r="F95" s="377">
        <f t="shared" si="24"/>
        <v>0</v>
      </c>
      <c r="G95" s="377">
        <f t="shared" si="24"/>
        <v>0</v>
      </c>
      <c r="H95" s="380">
        <f t="shared" si="24"/>
        <v>0</v>
      </c>
      <c r="I95" s="377">
        <f t="shared" si="24"/>
        <v>0</v>
      </c>
      <c r="K95" s="5">
        <f>32*7.253</f>
        <v>232.096</v>
      </c>
      <c r="T95" s="376">
        <f t="shared" si="17"/>
        <v>0</v>
      </c>
      <c r="U95" s="348">
        <f t="shared" si="17"/>
        <v>0</v>
      </c>
      <c r="V95" s="61">
        <v>90.40853594907648</v>
      </c>
      <c r="W95" s="61"/>
      <c r="X95" s="61" t="s">
        <v>93</v>
      </c>
      <c r="Y95" s="348">
        <f t="shared" ref="Y95:Y100" si="25">Y80</f>
        <v>11005</v>
      </c>
      <c r="Z95" s="348">
        <f>Z91-Z94</f>
        <v>9992.92</v>
      </c>
      <c r="AA95" s="53">
        <f t="shared" si="21"/>
        <v>90.803452975920038</v>
      </c>
      <c r="AB95" s="348">
        <f t="shared" si="22"/>
        <v>11005</v>
      </c>
      <c r="AC95" s="348">
        <f t="shared" si="22"/>
        <v>9992.92</v>
      </c>
      <c r="AD95" s="349">
        <f t="shared" si="23"/>
        <v>90.803452975920038</v>
      </c>
      <c r="AE95" s="339">
        <f t="shared" si="16"/>
        <v>0</v>
      </c>
      <c r="AF95" s="53" t="e">
        <f t="shared" si="18"/>
        <v>#DIV/0!</v>
      </c>
      <c r="AH95" s="17">
        <f t="shared" si="19"/>
        <v>8671.9499999999989</v>
      </c>
      <c r="AI95" s="342">
        <f t="shared" ref="AI95:AI100" si="26">SUM(Z95-AH95)/AH95*100</f>
        <v>15.232675465149145</v>
      </c>
      <c r="AL95" s="5">
        <v>133424</v>
      </c>
      <c r="AM95" s="5">
        <f>AL95*AD95/100</f>
        <v>121153.59909859154</v>
      </c>
    </row>
    <row r="96" spans="1:39" ht="27" thickBot="1" x14ac:dyDescent="0.25">
      <c r="C96" s="297">
        <f t="shared" ref="C96:I96" si="27">+B45-C45</f>
        <v>807.5089999999982</v>
      </c>
      <c r="D96" s="297">
        <f t="shared" si="27"/>
        <v>21172</v>
      </c>
      <c r="E96" s="297">
        <f t="shared" si="27"/>
        <v>0</v>
      </c>
      <c r="F96" s="297">
        <f t="shared" si="27"/>
        <v>0</v>
      </c>
      <c r="G96" s="297">
        <f t="shared" si="27"/>
        <v>0</v>
      </c>
      <c r="H96" s="342">
        <f t="shared" si="27"/>
        <v>0</v>
      </c>
      <c r="I96" s="297">
        <f t="shared" si="27"/>
        <v>0</v>
      </c>
      <c r="T96" s="376">
        <f t="shared" si="17"/>
        <v>0</v>
      </c>
      <c r="U96" s="348">
        <f t="shared" si="17"/>
        <v>0</v>
      </c>
      <c r="V96" s="61">
        <v>81.975420336269011</v>
      </c>
      <c r="W96" s="61"/>
      <c r="X96" s="61" t="s">
        <v>97</v>
      </c>
      <c r="Y96" s="348">
        <f t="shared" si="25"/>
        <v>12727</v>
      </c>
      <c r="Z96" s="348">
        <v>12800</v>
      </c>
      <c r="AA96" s="53">
        <f t="shared" si="21"/>
        <v>100.57358371965113</v>
      </c>
      <c r="AB96" s="348">
        <f t="shared" si="22"/>
        <v>12727</v>
      </c>
      <c r="AC96" s="348">
        <f t="shared" si="22"/>
        <v>12800</v>
      </c>
      <c r="AD96" s="349">
        <f t="shared" si="23"/>
        <v>100.57358371965113</v>
      </c>
      <c r="AE96" s="339">
        <f t="shared" si="16"/>
        <v>0</v>
      </c>
      <c r="AF96" s="53" t="e">
        <f t="shared" si="18"/>
        <v>#DIV/0!</v>
      </c>
      <c r="AH96" s="17">
        <f t="shared" si="19"/>
        <v>9214.857</v>
      </c>
      <c r="AI96" s="342">
        <f t="shared" si="26"/>
        <v>38.906116502947356</v>
      </c>
      <c r="AL96" s="5">
        <v>155974</v>
      </c>
      <c r="AM96" s="5">
        <f t="shared" ref="AM96:AM97" si="28">AL96*AD96/100</f>
        <v>156868.64147088866</v>
      </c>
    </row>
    <row r="97" spans="1:39" ht="27" thickBot="1" x14ac:dyDescent="0.25">
      <c r="J97" s="5">
        <f>-957+1016</f>
        <v>59</v>
      </c>
      <c r="K97" s="5">
        <f>920-523</f>
        <v>397</v>
      </c>
      <c r="T97" s="376">
        <f t="shared" si="17"/>
        <v>0</v>
      </c>
      <c r="U97" s="348">
        <f t="shared" si="17"/>
        <v>0</v>
      </c>
      <c r="V97" s="5">
        <v>78.166414424514201</v>
      </c>
      <c r="W97" s="61"/>
      <c r="X97" s="61" t="s">
        <v>210</v>
      </c>
      <c r="Y97" s="348">
        <f t="shared" si="25"/>
        <v>11590</v>
      </c>
      <c r="Z97" s="348">
        <v>11200</v>
      </c>
      <c r="AA97" s="53">
        <f t="shared" si="21"/>
        <v>96.635030198446941</v>
      </c>
      <c r="AB97" s="348">
        <f t="shared" si="22"/>
        <v>11590</v>
      </c>
      <c r="AC97" s="348">
        <f t="shared" si="22"/>
        <v>11200</v>
      </c>
      <c r="AD97" s="349">
        <f t="shared" si="23"/>
        <v>96.635030198446941</v>
      </c>
      <c r="AE97" s="339">
        <f t="shared" si="16"/>
        <v>0</v>
      </c>
      <c r="AF97" s="53" t="e">
        <f t="shared" si="18"/>
        <v>#DIV/0!</v>
      </c>
      <c r="AH97" s="17">
        <f t="shared" si="19"/>
        <v>8365.9950000000008</v>
      </c>
      <c r="AI97" s="342">
        <f t="shared" si="26"/>
        <v>33.875289191542656</v>
      </c>
      <c r="AL97" s="5">
        <v>139825</v>
      </c>
      <c r="AM97" s="5">
        <f t="shared" si="28"/>
        <v>135119.93097497843</v>
      </c>
    </row>
    <row r="98" spans="1:39" ht="27" thickBot="1" x14ac:dyDescent="0.25">
      <c r="F98" s="5">
        <f>1041-67</f>
        <v>974</v>
      </c>
      <c r="G98" s="291">
        <f>168-814</f>
        <v>-646</v>
      </c>
      <c r="T98" s="376">
        <f t="shared" si="17"/>
        <v>0</v>
      </c>
      <c r="U98" s="348">
        <f t="shared" si="17"/>
        <v>0</v>
      </c>
      <c r="V98" s="5">
        <v>74.800285608992084</v>
      </c>
      <c r="W98" s="61"/>
      <c r="X98" s="61" t="s">
        <v>103</v>
      </c>
      <c r="Y98" s="348">
        <f t="shared" si="25"/>
        <v>11740</v>
      </c>
      <c r="Z98" s="348">
        <v>11750</v>
      </c>
      <c r="AA98" s="53">
        <f t="shared" si="21"/>
        <v>100.08517887563883</v>
      </c>
      <c r="AB98" s="348">
        <f t="shared" si="22"/>
        <v>11740</v>
      </c>
      <c r="AC98" s="348">
        <f t="shared" si="22"/>
        <v>11750</v>
      </c>
      <c r="AD98" s="349">
        <f t="shared" si="23"/>
        <v>100.08517887563883</v>
      </c>
      <c r="AE98" s="339">
        <f t="shared" si="16"/>
        <v>0</v>
      </c>
      <c r="AF98" s="53" t="e">
        <f t="shared" si="18"/>
        <v>#DIV/0!</v>
      </c>
      <c r="AH98" s="17">
        <f t="shared" si="19"/>
        <v>8118.8230000000003</v>
      </c>
      <c r="AI98" s="342">
        <f t="shared" si="26"/>
        <v>44.725411552881489</v>
      </c>
      <c r="AL98" s="5">
        <v>141825</v>
      </c>
    </row>
    <row r="99" spans="1:39" ht="27" thickBot="1" x14ac:dyDescent="0.25">
      <c r="G99" s="381">
        <f>+G95-G96</f>
        <v>0</v>
      </c>
      <c r="K99" s="5">
        <f>200.77/32</f>
        <v>6.2740625000000003</v>
      </c>
      <c r="T99" s="376">
        <f t="shared" si="17"/>
        <v>0</v>
      </c>
      <c r="U99" s="348">
        <f t="shared" si="17"/>
        <v>0</v>
      </c>
      <c r="V99" s="5">
        <v>77.47999999999999</v>
      </c>
      <c r="W99" s="61"/>
      <c r="X99" s="61" t="s">
        <v>213</v>
      </c>
      <c r="Y99" s="348">
        <f t="shared" si="25"/>
        <v>400</v>
      </c>
      <c r="Z99" s="348">
        <f>Z84</f>
        <v>397.79999999999995</v>
      </c>
      <c r="AA99" s="53">
        <f t="shared" si="21"/>
        <v>99.449999999999989</v>
      </c>
      <c r="AB99" s="348">
        <f t="shared" si="22"/>
        <v>400</v>
      </c>
      <c r="AC99" s="348">
        <f t="shared" si="22"/>
        <v>397.79999999999995</v>
      </c>
      <c r="AD99" s="349">
        <f t="shared" si="23"/>
        <v>99.449999999999989</v>
      </c>
      <c r="AE99" s="339">
        <f t="shared" si="16"/>
        <v>0</v>
      </c>
      <c r="AF99" s="53" t="e">
        <f t="shared" si="18"/>
        <v>#DIV/0!</v>
      </c>
      <c r="AH99" s="53">
        <f t="shared" si="19"/>
        <v>581.09999999999991</v>
      </c>
      <c r="AI99" s="342">
        <f t="shared" si="26"/>
        <v>-31.543624161073826</v>
      </c>
    </row>
    <row r="100" spans="1:39" ht="26.25" x14ac:dyDescent="0.2">
      <c r="L100" s="5">
        <f>22320-21172</f>
        <v>1148</v>
      </c>
      <c r="T100" s="376">
        <f t="shared" si="17"/>
        <v>0</v>
      </c>
      <c r="U100" s="348">
        <f t="shared" si="17"/>
        <v>0</v>
      </c>
      <c r="V100" s="5">
        <v>53.301750000000006</v>
      </c>
      <c r="W100" s="61"/>
      <c r="X100" s="61" t="s">
        <v>214</v>
      </c>
      <c r="Y100" s="348">
        <f t="shared" si="25"/>
        <v>2000</v>
      </c>
      <c r="Z100" s="348">
        <f>2364+67+63</f>
        <v>2494</v>
      </c>
      <c r="AA100" s="53">
        <f t="shared" si="21"/>
        <v>124.70000000000002</v>
      </c>
      <c r="AB100" s="348">
        <f t="shared" si="22"/>
        <v>2000</v>
      </c>
      <c r="AC100" s="348">
        <f t="shared" si="22"/>
        <v>2494</v>
      </c>
      <c r="AD100" s="349">
        <f t="shared" si="23"/>
        <v>124.70000000000002</v>
      </c>
      <c r="AE100" s="339">
        <f t="shared" si="16"/>
        <v>0</v>
      </c>
      <c r="AF100" s="53" t="e">
        <f t="shared" si="18"/>
        <v>#DIV/0!</v>
      </c>
      <c r="AH100" s="53">
        <f t="shared" si="19"/>
        <v>2132.0700000000002</v>
      </c>
      <c r="AI100" s="342">
        <f t="shared" si="26"/>
        <v>16.975521441603693</v>
      </c>
    </row>
    <row r="101" spans="1:39" ht="26.25" x14ac:dyDescent="0.2">
      <c r="L101" s="5">
        <v>808</v>
      </c>
      <c r="T101" s="376">
        <f>T86</f>
        <v>0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4"/>
      <c r="AE101" s="61"/>
      <c r="AF101" s="24"/>
    </row>
    <row r="102" spans="1:39" ht="26.25" x14ac:dyDescent="0.2">
      <c r="L102" s="5">
        <f>+L100-L101</f>
        <v>340</v>
      </c>
      <c r="T102" s="376">
        <f>T87</f>
        <v>0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4"/>
      <c r="AE102" s="61"/>
      <c r="AF102" s="24"/>
    </row>
    <row r="103" spans="1:39" ht="27" thickBot="1" x14ac:dyDescent="0.25">
      <c r="T103" s="376" t="str">
        <f>T88</f>
        <v>RMT LIKELY</v>
      </c>
      <c r="U103" s="333"/>
      <c r="V103" s="333"/>
      <c r="W103" s="333"/>
      <c r="X103" s="333"/>
      <c r="Y103" s="333"/>
      <c r="Z103" s="333"/>
      <c r="AA103" s="333"/>
      <c r="AB103" s="333"/>
      <c r="AC103" s="333"/>
      <c r="AD103" s="46"/>
      <c r="AE103" s="333"/>
      <c r="AF103" s="46"/>
    </row>
    <row r="104" spans="1:39" ht="26.25" thickBot="1" x14ac:dyDescent="0.25">
      <c r="C104" s="297">
        <f>+C67+C68</f>
        <v>0</v>
      </c>
      <c r="D104" s="297">
        <f>+D67+D68</f>
        <v>0</v>
      </c>
      <c r="E104" s="297">
        <f>+E67+E68</f>
        <v>0</v>
      </c>
      <c r="F104" s="297">
        <v>0</v>
      </c>
      <c r="G104" s="297">
        <f>+G67+G68</f>
        <v>0</v>
      </c>
      <c r="H104" s="297">
        <f>+H67+H68</f>
        <v>0</v>
      </c>
    </row>
    <row r="105" spans="1:39" ht="26.25" x14ac:dyDescent="0.2">
      <c r="X105" s="12"/>
      <c r="Y105" s="3"/>
      <c r="Z105" s="3"/>
      <c r="AA105" s="29"/>
      <c r="AB105" s="3"/>
      <c r="AC105" s="3"/>
      <c r="AD105" s="29"/>
      <c r="AE105" s="3"/>
      <c r="AF105" s="3"/>
      <c r="AG105" s="382"/>
    </row>
    <row r="106" spans="1:39" ht="27" thickBot="1" x14ac:dyDescent="0.25">
      <c r="X106" s="317"/>
      <c r="Y106" s="17" t="s">
        <v>4</v>
      </c>
      <c r="Z106" s="17" t="s">
        <v>5</v>
      </c>
      <c r="AA106" s="17" t="s">
        <v>64</v>
      </c>
      <c r="AB106" s="17" t="s">
        <v>222</v>
      </c>
      <c r="AC106" s="17"/>
      <c r="AD106" s="17"/>
      <c r="AE106" s="17"/>
      <c r="AF106" s="17"/>
      <c r="AG106" s="331"/>
    </row>
    <row r="107" spans="1:39" ht="27" thickBot="1" x14ac:dyDescent="0.25">
      <c r="X107" s="383" t="str">
        <f>+X91</f>
        <v>Crude Steel</v>
      </c>
      <c r="Y107" s="384">
        <f>Y76</f>
        <v>11005</v>
      </c>
      <c r="Z107" s="384">
        <f>Z76</f>
        <v>10484.15</v>
      </c>
      <c r="AA107" s="384">
        <f>AA76</f>
        <v>95.267151294865968</v>
      </c>
      <c r="AB107" s="17"/>
      <c r="AC107" s="17"/>
      <c r="AD107" s="53"/>
      <c r="AE107" s="17"/>
      <c r="AF107" s="17"/>
      <c r="AG107" s="349"/>
    </row>
    <row r="108" spans="1:39" ht="27" thickBot="1" x14ac:dyDescent="0.25">
      <c r="C108" s="56" t="s">
        <v>169</v>
      </c>
      <c r="D108" s="56" t="s">
        <v>170</v>
      </c>
      <c r="E108" s="56" t="s">
        <v>171</v>
      </c>
      <c r="F108" s="56" t="s">
        <v>172</v>
      </c>
      <c r="G108" s="56" t="s">
        <v>173</v>
      </c>
      <c r="H108" s="48" t="s">
        <v>174</v>
      </c>
      <c r="I108" s="56" t="s">
        <v>223</v>
      </c>
      <c r="J108" s="56" t="s">
        <v>176</v>
      </c>
      <c r="K108" s="56" t="s">
        <v>177</v>
      </c>
      <c r="L108" s="56" t="s">
        <v>178</v>
      </c>
      <c r="M108" s="56" t="s">
        <v>179</v>
      </c>
      <c r="N108" s="310" t="s">
        <v>180</v>
      </c>
      <c r="O108" s="39" t="s">
        <v>181</v>
      </c>
      <c r="X108" s="383" t="str">
        <f t="shared" ref="X108:X114" si="29">+X92</f>
        <v>CC SLAB</v>
      </c>
      <c r="Y108" s="384">
        <f t="shared" ref="Y108:AA116" si="30">Y77</f>
        <v>506</v>
      </c>
      <c r="Z108" s="384">
        <f t="shared" si="30"/>
        <v>507.08</v>
      </c>
      <c r="AA108" s="384">
        <f t="shared" si="30"/>
        <v>100.21343873517787</v>
      </c>
      <c r="AB108" s="17"/>
      <c r="AC108" s="17"/>
      <c r="AD108" s="53"/>
      <c r="AE108" s="17"/>
      <c r="AF108" s="17"/>
      <c r="AG108" s="349"/>
    </row>
    <row r="109" spans="1:39" ht="27" thickBot="1" x14ac:dyDescent="0.25">
      <c r="A109" s="96" t="s">
        <v>196</v>
      </c>
      <c r="B109" s="48">
        <v>9000</v>
      </c>
      <c r="C109" s="320">
        <v>581.09999999999991</v>
      </c>
      <c r="D109" s="320">
        <v>904.8</v>
      </c>
      <c r="E109" s="320">
        <v>1251.8999999999999</v>
      </c>
      <c r="F109" s="320">
        <v>1521</v>
      </c>
      <c r="G109" s="320">
        <v>675</v>
      </c>
      <c r="H109" s="320">
        <v>425</v>
      </c>
      <c r="I109" s="63">
        <v>5358.7999999999993</v>
      </c>
      <c r="J109" s="320">
        <v>308.10000000000002</v>
      </c>
      <c r="K109" s="320">
        <v>323.7</v>
      </c>
      <c r="X109" s="383" t="str">
        <f t="shared" si="29"/>
        <v>CC BLOOM</v>
      </c>
      <c r="Y109" s="384">
        <f t="shared" si="30"/>
        <v>0</v>
      </c>
      <c r="Z109" s="384">
        <f t="shared" si="30"/>
        <v>0</v>
      </c>
      <c r="AA109" s="384">
        <f t="shared" si="30"/>
        <v>0</v>
      </c>
      <c r="AB109" s="17"/>
      <c r="AC109" s="17"/>
      <c r="AD109" s="53"/>
      <c r="AE109" s="17"/>
      <c r="AF109" s="17"/>
      <c r="AG109" s="349"/>
    </row>
    <row r="110" spans="1:39" ht="27" thickBot="1" x14ac:dyDescent="0.25">
      <c r="A110" s="62" t="s">
        <v>197</v>
      </c>
      <c r="B110" s="48">
        <v>48000</v>
      </c>
      <c r="C110" s="63">
        <v>2132.0700000000002</v>
      </c>
      <c r="D110" s="320">
        <v>4309.9900000000007</v>
      </c>
      <c r="E110" s="320">
        <v>3194.9100000000003</v>
      </c>
      <c r="F110" s="320">
        <v>3801</v>
      </c>
      <c r="G110" s="320">
        <v>2421</v>
      </c>
      <c r="H110" s="320">
        <v>2858</v>
      </c>
      <c r="I110" s="63">
        <v>18716.97</v>
      </c>
      <c r="J110" s="320">
        <v>2712.2599999999998</v>
      </c>
      <c r="K110" s="320">
        <v>634.4</v>
      </c>
      <c r="X110" s="383" t="str">
        <f t="shared" si="29"/>
        <v>Total CC</v>
      </c>
      <c r="Y110" s="384">
        <f t="shared" si="30"/>
        <v>506</v>
      </c>
      <c r="Z110" s="384">
        <f t="shared" si="30"/>
        <v>507.08</v>
      </c>
      <c r="AA110" s="384">
        <f t="shared" si="30"/>
        <v>100.21343873517787</v>
      </c>
      <c r="AB110" s="17"/>
      <c r="AC110" s="17"/>
      <c r="AD110" s="53"/>
      <c r="AE110" s="17"/>
      <c r="AF110" s="17"/>
      <c r="AG110" s="349"/>
    </row>
    <row r="111" spans="1:39" ht="27" thickBot="1" x14ac:dyDescent="0.25">
      <c r="A111" s="62" t="s">
        <v>198</v>
      </c>
      <c r="B111" s="320">
        <v>86003</v>
      </c>
      <c r="C111" s="320">
        <v>5120.84</v>
      </c>
      <c r="D111" s="320">
        <v>5583.64</v>
      </c>
      <c r="E111" s="320">
        <v>7491.18</v>
      </c>
      <c r="F111" s="320">
        <v>9029.41</v>
      </c>
      <c r="G111" s="320">
        <v>8172</v>
      </c>
      <c r="H111" s="320">
        <v>8334</v>
      </c>
      <c r="I111" s="63">
        <v>43731.07</v>
      </c>
      <c r="J111" s="320">
        <v>10005</v>
      </c>
      <c r="K111" s="320" t="s">
        <v>195</v>
      </c>
      <c r="X111" s="383" t="str">
        <f t="shared" si="29"/>
        <v>Ingot Steel</v>
      </c>
      <c r="Y111" s="384">
        <f t="shared" si="30"/>
        <v>11005</v>
      </c>
      <c r="Z111" s="384">
        <f t="shared" si="30"/>
        <v>9977.0699999999979</v>
      </c>
      <c r="AA111" s="384">
        <f t="shared" si="30"/>
        <v>90.659427532939546</v>
      </c>
      <c r="AB111" s="17"/>
      <c r="AC111" s="17"/>
      <c r="AD111" s="53"/>
      <c r="AE111" s="17"/>
      <c r="AF111" s="17"/>
      <c r="AG111" s="349"/>
    </row>
    <row r="112" spans="1:39" ht="31.5" customHeight="1" thickBot="1" x14ac:dyDescent="0.25">
      <c r="E112" s="5" t="s">
        <v>224</v>
      </c>
      <c r="I112" s="5" t="s">
        <v>225</v>
      </c>
      <c r="X112" s="383" t="str">
        <f t="shared" si="29"/>
        <v xml:space="preserve">BBM Charge Weight </v>
      </c>
      <c r="Y112" s="384">
        <f t="shared" si="30"/>
        <v>12727</v>
      </c>
      <c r="Z112" s="384">
        <f t="shared" si="30"/>
        <v>12805.689999999997</v>
      </c>
      <c r="AA112" s="384">
        <f t="shared" si="30"/>
        <v>100.61829182053899</v>
      </c>
      <c r="AB112" s="17"/>
      <c r="AC112" s="17"/>
      <c r="AD112" s="53"/>
      <c r="AE112" s="17"/>
      <c r="AF112" s="17"/>
      <c r="AG112" s="349"/>
    </row>
    <row r="113" spans="1:33" ht="27" thickBot="1" x14ac:dyDescent="0.25">
      <c r="A113" s="96" t="s">
        <v>196</v>
      </c>
      <c r="E113" s="297">
        <f>+E109+D109+C109</f>
        <v>2737.7999999999997</v>
      </c>
      <c r="X113" s="383" t="str">
        <f t="shared" si="29"/>
        <v>TOTAL SAL</v>
      </c>
      <c r="Y113" s="384">
        <f t="shared" si="30"/>
        <v>11590</v>
      </c>
      <c r="Z113" s="384">
        <f t="shared" si="30"/>
        <v>11217.901000000002</v>
      </c>
      <c r="AA113" s="384">
        <f t="shared" si="30"/>
        <v>96.789482312338237</v>
      </c>
      <c r="AB113" s="17"/>
      <c r="AC113" s="17"/>
      <c r="AD113" s="53"/>
      <c r="AE113" s="17"/>
      <c r="AF113" s="17"/>
      <c r="AG113" s="349"/>
    </row>
    <row r="114" spans="1:33" ht="27" thickBot="1" x14ac:dyDescent="0.25">
      <c r="A114" s="62" t="s">
        <v>197</v>
      </c>
      <c r="E114" s="297">
        <f t="shared" ref="E114:E115" si="31">+E110+D110+C110</f>
        <v>9636.9700000000012</v>
      </c>
      <c r="X114" s="383" t="str">
        <f t="shared" si="29"/>
        <v xml:space="preserve">Dispatch </v>
      </c>
      <c r="Y114" s="384">
        <f t="shared" si="30"/>
        <v>11740</v>
      </c>
      <c r="Z114" s="384">
        <f t="shared" si="30"/>
        <v>12026.429999999998</v>
      </c>
      <c r="AA114" s="384">
        <f t="shared" si="30"/>
        <v>102.43977853492332</v>
      </c>
      <c r="AB114" s="17"/>
      <c r="AC114" s="17"/>
      <c r="AD114" s="53"/>
      <c r="AE114" s="17"/>
      <c r="AF114" s="17"/>
      <c r="AG114" s="349"/>
    </row>
    <row r="115" spans="1:33" ht="27" thickBot="1" x14ac:dyDescent="0.25">
      <c r="A115" s="62" t="s">
        <v>198</v>
      </c>
      <c r="E115" s="297">
        <f t="shared" si="31"/>
        <v>18195.66</v>
      </c>
      <c r="X115" s="385" t="s">
        <v>213</v>
      </c>
      <c r="Y115" s="384">
        <f t="shared" si="30"/>
        <v>400</v>
      </c>
      <c r="Z115" s="384">
        <f t="shared" si="30"/>
        <v>397.79999999999995</v>
      </c>
      <c r="AA115" s="384">
        <f t="shared" si="30"/>
        <v>99.449999999999989</v>
      </c>
      <c r="AB115" s="17"/>
      <c r="AC115" s="53"/>
      <c r="AD115" s="53"/>
      <c r="AE115" s="17"/>
      <c r="AF115" s="53"/>
      <c r="AG115" s="349"/>
    </row>
    <row r="116" spans="1:33" ht="27" thickBot="1" x14ac:dyDescent="0.25">
      <c r="X116" s="386" t="s">
        <v>214</v>
      </c>
      <c r="Y116" s="384">
        <f t="shared" si="30"/>
        <v>2000</v>
      </c>
      <c r="Z116" s="384">
        <f t="shared" si="30"/>
        <v>2500.1999999999998</v>
      </c>
      <c r="AA116" s="384">
        <f t="shared" si="30"/>
        <v>125.01</v>
      </c>
      <c r="AB116" s="17"/>
      <c r="AC116" s="53"/>
      <c r="AD116" s="53"/>
      <c r="AE116" s="17"/>
      <c r="AF116" s="53"/>
      <c r="AG116" s="349"/>
    </row>
    <row r="117" spans="1:33" ht="26.25" thickBot="1" x14ac:dyDescent="0.25">
      <c r="X117" s="372"/>
      <c r="Y117" s="334"/>
      <c r="Z117" s="334"/>
      <c r="AA117" s="334"/>
      <c r="AB117" s="334"/>
      <c r="AC117" s="334"/>
      <c r="AD117" s="334"/>
      <c r="AE117" s="334"/>
      <c r="AF117" s="334"/>
      <c r="AG117" s="387"/>
    </row>
    <row r="123" spans="1:33" x14ac:dyDescent="0.2">
      <c r="Y123" s="388"/>
    </row>
  </sheetData>
  <mergeCells count="41">
    <mergeCell ref="C81:D81"/>
    <mergeCell ref="E81:F81"/>
    <mergeCell ref="Y105:Z105"/>
    <mergeCell ref="AB105:AC105"/>
    <mergeCell ref="AE105:AF105"/>
    <mergeCell ref="B38:D38"/>
    <mergeCell ref="O38:P38"/>
    <mergeCell ref="B40:D40"/>
    <mergeCell ref="A41:I41"/>
    <mergeCell ref="AB74:AC74"/>
    <mergeCell ref="AE74:AF74"/>
    <mergeCell ref="E36:E37"/>
    <mergeCell ref="F36:F37"/>
    <mergeCell ref="G36:G37"/>
    <mergeCell ref="H36:H37"/>
    <mergeCell ref="O36:P36"/>
    <mergeCell ref="J37:P37"/>
    <mergeCell ref="B31:D31"/>
    <mergeCell ref="B33:D33"/>
    <mergeCell ref="B34:D34"/>
    <mergeCell ref="B35:D35"/>
    <mergeCell ref="A36:A37"/>
    <mergeCell ref="B36:D37"/>
    <mergeCell ref="J13:P13"/>
    <mergeCell ref="A27:I27"/>
    <mergeCell ref="B28:D28"/>
    <mergeCell ref="J28:L28"/>
    <mergeCell ref="B29:D29"/>
    <mergeCell ref="B30:D30"/>
    <mergeCell ref="J7:P7"/>
    <mergeCell ref="O8:P8"/>
    <mergeCell ref="O9:P9"/>
    <mergeCell ref="O10:P10"/>
    <mergeCell ref="O11:P11"/>
    <mergeCell ref="O12:P12"/>
    <mergeCell ref="A1:I1"/>
    <mergeCell ref="J1:P1"/>
    <mergeCell ref="A2:I2"/>
    <mergeCell ref="A3:D3"/>
    <mergeCell ref="C5:D5"/>
    <mergeCell ref="E5:H5"/>
  </mergeCells>
  <pageMargins left="0.25" right="0.25" top="0.59055118110236204" bottom="0" header="0.35433070866141703" footer="0.27559055118110198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 cell</vt:lpstr>
      <vt:lpstr>'md cell'!Print_Area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</dc:creator>
  <cp:lastModifiedBy>SAIL</cp:lastModifiedBy>
  <dcterms:created xsi:type="dcterms:W3CDTF">2026-06-17T06:54:01Z</dcterms:created>
  <dcterms:modified xsi:type="dcterms:W3CDTF">2026-06-17T06:56:11Z</dcterms:modified>
</cp:coreProperties>
</file>