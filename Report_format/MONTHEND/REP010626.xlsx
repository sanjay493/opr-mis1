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Mr. Rajesh Kumar\Desktop\"/>
    </mc:Choice>
  </mc:AlternateContent>
  <bookViews>
    <workbookView xWindow="0" yWindow="0" windowWidth="20640" windowHeight="11580" tabRatio="872" firstSheet="1" activeTab="2"/>
  </bookViews>
  <sheets>
    <sheet name="CM REPORT" sheetId="52" r:id="rId1"/>
    <sheet name="DAILY FLASH" sheetId="3" r:id="rId2"/>
    <sheet name="md cell" sheetId="49" r:id="rId3"/>
    <sheet name="Seg wise Saleable &amp; desp 24-25" sheetId="86" r:id="rId4"/>
    <sheet name="SEGMMENT WISE SAL &amp; DESP 26-27" sheetId="88" r:id="rId5"/>
    <sheet name="SAL STOCK" sheetId="6" r:id="rId6"/>
    <sheet name="DMR GRADE DESPATCHED" sheetId="82" r:id="rId7"/>
    <sheet name="MESSAGE" sheetId="4" r:id="rId8"/>
    <sheet name="GRD GROUP SAL" sheetId="39" r:id="rId9"/>
    <sheet name="STOCK 4 YRS" sheetId="53" r:id="rId10"/>
    <sheet name="MIS MONTH WISE FUEL NMGCAL " sheetId="1" r:id="rId11"/>
    <sheet name=" QTR WISE CRUDE SAL &amp; DS" sheetId="54" r:id="rId12"/>
    <sheet name="dsp hot metal" sheetId="30" r:id="rId13"/>
    <sheet name="YEAR WISE IPT DESP  FROM15-16" sheetId="65" r:id="rId14"/>
    <sheet name="TE DASTUR" sheetId="55" r:id="rId15"/>
    <sheet name="STOCK AS ON  011025" sheetId="81" r:id="rId16"/>
    <sheet name="PERF DASTUR  POW. GREEN ST" sheetId="56" r:id="rId17"/>
    <sheet name="DESP &amp; SALABLE MORE THAN 10000T" sheetId="80" r:id="rId18"/>
    <sheet name="size wise ingot prodn" sheetId="74" r:id="rId19"/>
    <sheet name="WAP195 R 16 CUTTING DETAILS" sheetId="73" r:id="rId20"/>
    <sheet name="comparative statement for Tech " sheetId="72" r:id="rId21"/>
    <sheet name="Heats &amp; BBM Ch Wt" sheetId="71" r:id="rId22"/>
    <sheet name="SIZE WISE SAL ROUND" sheetId="70" r:id="rId23"/>
    <sheet name="int stock 010725" sheetId="68" r:id="rId24"/>
    <sheet name="WAP9260 SAL DESP" sheetId="58" r:id="rId25"/>
    <sheet name="ISP BRC" sheetId="59" r:id="rId26"/>
    <sheet name="YR ABP PIONT-SAL" sheetId="60" r:id="rId27"/>
    <sheet name="SECTOR-WISE DESPATCH" sheetId="61" r:id="rId28"/>
    <sheet name="SECTOR-WISE SALEABLE" sheetId="62" r:id="rId29"/>
    <sheet name="BUDGET22-23" sheetId="63" r:id="rId30"/>
    <sheet name="Min of Steel" sheetId="64" r:id="rId31"/>
    <sheet name="QTR-WISE PRODN" sheetId="66" r:id="rId32"/>
    <sheet name="RSP DESP" sheetId="78" r:id="rId33"/>
    <sheet name="DESP TO DEF" sheetId="79" r:id="rId34"/>
    <sheet name="ABP VS ACTUAL" sheetId="83" r:id="rId35"/>
    <sheet name="segment wise sal &amp; desp 25-26" sheetId="85" r:id="rId36"/>
    <sheet name="segwise saleable &amp; Desp 23-24" sheetId="87" r:id="rId37"/>
  </sheets>
  <definedNames>
    <definedName name="_xlnm._FilterDatabase" localSheetId="1" hidden="1">'DAILY FLASH'!$Y$148:$Z$180</definedName>
    <definedName name="_xlnm._FilterDatabase" localSheetId="2" hidden="1">'md cell'!$A$1:$P$5</definedName>
    <definedName name="_xlnm._FilterDatabase" localSheetId="7" hidden="1">MESSAGE!$A$48:$B$65</definedName>
    <definedName name="_xlnm._FilterDatabase" localSheetId="10" hidden="1">'MIS MONTH WISE FUEL NMGCAL '!$C$209:$E$222</definedName>
    <definedName name="_xlnm._FilterDatabase" localSheetId="16" hidden="1">'PERF DASTUR  POW. GREEN ST'!$Y$496:$AE$496</definedName>
    <definedName name="_GoBack" localSheetId="16">'PERF DASTUR  POW. GREEN ST'!#REF!</definedName>
    <definedName name="_Hlk158901410" localSheetId="10">'MIS MONTH WISE FUEL NMGCAL '!$J$212</definedName>
    <definedName name="AA">'DAILY FLASH'!$X$12</definedName>
    <definedName name="_xlnm.Print_Area" localSheetId="11">' QTR WISE CRUDE SAL &amp; DS'!$D$77:$N$100</definedName>
    <definedName name="_xlnm.Print_Area" localSheetId="29">'BUDGET22-23'!$A$3:$H$36</definedName>
    <definedName name="_xlnm.Print_Area" localSheetId="0">'CM REPORT'!$A$390:$O$396</definedName>
    <definedName name="_xlnm.Print_Area" localSheetId="1">'DAILY FLASH'!$AJ$1:$BC$115</definedName>
    <definedName name="_xlnm.Print_Area" localSheetId="17">'DESP &amp; SALABLE MORE THAN 10000T'!$L$3:$T$65</definedName>
    <definedName name="_xlnm.Print_Area" localSheetId="33">'DESP TO DEF'!$B$1:$M$46</definedName>
    <definedName name="_xlnm.Print_Area" localSheetId="12">'dsp hot metal'!$J$424:$Y$456</definedName>
    <definedName name="_xlnm.Print_Area" localSheetId="8">'GRD GROUP SAL'!$L$10:$V$14</definedName>
    <definedName name="_xlnm.Print_Area" localSheetId="25">'ISP BRC'!$B$5:$F$34</definedName>
    <definedName name="_xlnm.Print_Area" localSheetId="2">'md cell'!$A$1:$P$74</definedName>
    <definedName name="_xlnm.Print_Area" localSheetId="7">MESSAGE!$A$113:$K$270</definedName>
    <definedName name="_xlnm.Print_Area" localSheetId="10">'MIS MONTH WISE FUEL NMGCAL '!$F$262:$AB$291</definedName>
    <definedName name="_xlnm.Print_Area" localSheetId="16">'PERF DASTUR  POW. GREEN ST'!$A$1145:$E$1160</definedName>
    <definedName name="_xlnm.Print_Area" localSheetId="32">'RSP DESP'!$A$3:$L$13</definedName>
    <definedName name="_xlnm.Print_Area" localSheetId="5">'SAL STOCK'!$O$74:$V$105</definedName>
    <definedName name="_xlnm.Print_Area" localSheetId="9">'STOCK 4 YRS'!$C$1:$K$32</definedName>
    <definedName name="_xlnm.Print_Area" localSheetId="14">'TE DASTUR'!$A$1:$V$48</definedName>
    <definedName name="_xlnm.Print_Area" localSheetId="24">'WAP9260 SAL DESP'!$B$10:$O$22</definedName>
    <definedName name="_xlnm.Print_Area" localSheetId="26">'YR ABP PIONT-SAL'!$A$18:$F$25</definedName>
  </definedNames>
  <calcPr calcId="162913"/>
</workbook>
</file>

<file path=xl/calcChain.xml><?xml version="1.0" encoding="utf-8"?>
<calcChain xmlns="http://schemas.openxmlformats.org/spreadsheetml/2006/main">
  <c r="AE14" i="3" l="1"/>
  <c r="AE12" i="3"/>
  <c r="AU105" i="3" l="1"/>
  <c r="AO89" i="3"/>
  <c r="AW103" i="3"/>
  <c r="BC55" i="3"/>
  <c r="BC54" i="3"/>
  <c r="BC49" i="3"/>
  <c r="M38" i="49"/>
  <c r="AE74" i="3"/>
  <c r="AE73" i="3"/>
  <c r="AE93" i="3"/>
  <c r="AE94" i="3" s="1"/>
  <c r="AE95" i="3" s="1"/>
  <c r="BB30" i="3"/>
  <c r="BC59" i="3"/>
  <c r="BC57" i="3"/>
  <c r="BC52" i="3"/>
  <c r="BC50" i="3"/>
  <c r="AE90" i="3"/>
  <c r="AE91" i="3" s="1"/>
  <c r="AE87" i="3"/>
  <c r="AE86" i="3"/>
  <c r="AE83" i="3"/>
  <c r="AE82" i="3"/>
  <c r="AE80" i="3"/>
  <c r="AE70" i="3"/>
  <c r="AE62" i="3"/>
  <c r="AE61" i="3"/>
  <c r="AE56" i="3"/>
  <c r="AE42" i="3"/>
  <c r="AE39" i="3"/>
  <c r="AE29" i="3"/>
  <c r="AE20" i="3"/>
  <c r="AE19" i="3"/>
  <c r="AV13" i="3" l="1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1" i="3"/>
  <c r="AV82" i="3"/>
  <c r="AV83" i="3"/>
  <c r="AV84" i="3"/>
  <c r="AV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2" i="3"/>
  <c r="AL83" i="3"/>
  <c r="AL12" i="3"/>
  <c r="AD14" i="3"/>
  <c r="AC12" i="3"/>
  <c r="L37" i="49" l="1"/>
  <c r="AO88" i="3"/>
  <c r="AW104" i="3"/>
  <c r="N38" i="49"/>
  <c r="AW102" i="3"/>
  <c r="AO87" i="3"/>
  <c r="AO90" i="3"/>
  <c r="AD93" i="3"/>
  <c r="AD74" i="3"/>
  <c r="AD73" i="3"/>
  <c r="AD62" i="3"/>
  <c r="L38" i="49"/>
  <c r="BD43" i="3"/>
  <c r="AC44" i="3"/>
  <c r="AB47" i="3"/>
  <c r="AC100" i="3"/>
  <c r="AC93" i="3"/>
  <c r="AC89" i="3"/>
  <c r="AC74" i="3"/>
  <c r="AC73" i="3"/>
  <c r="AC62" i="3"/>
  <c r="X33" i="3"/>
  <c r="AH44" i="3"/>
  <c r="AB14" i="3" l="1"/>
  <c r="AB12" i="3"/>
  <c r="AR88" i="3"/>
  <c r="AB100" i="3"/>
  <c r="AB62" i="3"/>
  <c r="AB60" i="3"/>
  <c r="AB89" i="3"/>
  <c r="AB74" i="3"/>
  <c r="AB73" i="3"/>
  <c r="V78" i="3"/>
  <c r="U77" i="3"/>
  <c r="M41" i="88"/>
  <c r="C14" i="88"/>
  <c r="C30" i="88"/>
  <c r="C35" i="88" s="1"/>
  <c r="C8" i="88" l="1"/>
  <c r="C19" i="88" s="1"/>
  <c r="AA14" i="3" l="1"/>
  <c r="Z12" i="3"/>
  <c r="AA12" i="3"/>
  <c r="Z74" i="3"/>
  <c r="AO85" i="3" l="1"/>
  <c r="AA93" i="3"/>
  <c r="AA89" i="3"/>
  <c r="AA74" i="3"/>
  <c r="AA73" i="3"/>
  <c r="AA62" i="3"/>
  <c r="X100" i="3"/>
  <c r="W100" i="3"/>
  <c r="W65" i="3"/>
  <c r="Z14" i="3"/>
  <c r="X74" i="3"/>
  <c r="Z93" i="3"/>
  <c r="Z73" i="3"/>
  <c r="Z62" i="3"/>
  <c r="W16" i="3"/>
  <c r="V14" i="3"/>
  <c r="V12" i="3"/>
  <c r="Y12" i="3"/>
  <c r="Y93" i="3"/>
  <c r="Y101" i="3"/>
  <c r="Y62" i="3"/>
  <c r="X79" i="3"/>
  <c r="X14" i="3" l="1"/>
  <c r="X12" i="3"/>
  <c r="X93" i="3" l="1"/>
  <c r="X89" i="3"/>
  <c r="X73" i="3"/>
  <c r="N39" i="49"/>
  <c r="W14" i="3"/>
  <c r="W12" i="3"/>
  <c r="AK88" i="3"/>
  <c r="W101" i="3"/>
  <c r="W73" i="3"/>
  <c r="W62" i="3"/>
  <c r="D1179" i="56"/>
  <c r="B1179" i="56"/>
  <c r="F1179" i="56" l="1"/>
  <c r="G1179" i="56" s="1"/>
  <c r="U12" i="3" l="1"/>
  <c r="K38" i="49"/>
  <c r="C64" i="49"/>
  <c r="U14" i="3"/>
  <c r="T12" i="3"/>
  <c r="U101" i="3"/>
  <c r="U62" i="3"/>
  <c r="T14" i="3"/>
  <c r="O79" i="3"/>
  <c r="S65" i="3"/>
  <c r="T89" i="3"/>
  <c r="T101" i="3"/>
  <c r="T62" i="3"/>
  <c r="S89" i="3"/>
  <c r="S62" i="3"/>
  <c r="P44" i="3"/>
  <c r="R16" i="3"/>
  <c r="R89" i="3"/>
  <c r="R65" i="3"/>
  <c r="R62" i="3"/>
  <c r="R60" i="3"/>
  <c r="P53" i="3"/>
  <c r="O74" i="3"/>
  <c r="Q12" i="3"/>
  <c r="Q89" i="3"/>
  <c r="Q72" i="3"/>
  <c r="P14" i="3"/>
  <c r="P12" i="3"/>
  <c r="BE73" i="3"/>
  <c r="P89" i="3"/>
  <c r="P62" i="3"/>
  <c r="P60" i="3"/>
  <c r="N14" i="3" l="1"/>
  <c r="M14" i="3"/>
  <c r="N12" i="3"/>
  <c r="O89" i="3"/>
  <c r="O73" i="3"/>
  <c r="O62" i="3"/>
  <c r="N44" i="3" l="1"/>
  <c r="K101" i="3" l="1"/>
  <c r="N89" i="3" l="1"/>
  <c r="K33" i="3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J340" i="1"/>
  <c r="I340" i="1"/>
  <c r="AA325" i="1"/>
  <c r="Z325" i="1"/>
  <c r="AB325" i="1" s="1"/>
  <c r="Y318" i="1"/>
  <c r="X318" i="1"/>
  <c r="W318" i="1"/>
  <c r="U318" i="1"/>
  <c r="V318" i="1"/>
  <c r="S318" i="1"/>
  <c r="R318" i="1"/>
  <c r="Q318" i="1"/>
  <c r="P318" i="1"/>
  <c r="O318" i="1"/>
  <c r="N318" i="1"/>
  <c r="M318" i="1"/>
  <c r="L318" i="1"/>
  <c r="I318" i="1"/>
  <c r="J318" i="1"/>
  <c r="AA305" i="1"/>
  <c r="Z305" i="1"/>
  <c r="AA318" i="1" l="1"/>
  <c r="AB305" i="1"/>
  <c r="Z318" i="1"/>
  <c r="AB318" i="1" s="1"/>
  <c r="Z340" i="1"/>
  <c r="AA340" i="1"/>
  <c r="O45" i="49"/>
  <c r="M12" i="3"/>
  <c r="M89" i="3"/>
  <c r="L83" i="3"/>
  <c r="L82" i="3"/>
  <c r="M62" i="3"/>
  <c r="GX23" i="73"/>
  <c r="N590" i="65"/>
  <c r="N593" i="65" s="1"/>
  <c r="M590" i="65"/>
  <c r="M593" i="65" s="1"/>
  <c r="L590" i="65"/>
  <c r="L593" i="65" s="1"/>
  <c r="K590" i="65"/>
  <c r="K593" i="65" s="1"/>
  <c r="J590" i="65"/>
  <c r="J593" i="65" s="1"/>
  <c r="I590" i="65"/>
  <c r="I593" i="65" s="1"/>
  <c r="H590" i="65"/>
  <c r="H593" i="65" s="1"/>
  <c r="G590" i="65"/>
  <c r="G593" i="65" s="1"/>
  <c r="F590" i="65"/>
  <c r="F593" i="65" s="1"/>
  <c r="E590" i="65"/>
  <c r="E593" i="65" s="1"/>
  <c r="D590" i="65"/>
  <c r="D593" i="65" s="1"/>
  <c r="C590" i="65"/>
  <c r="C593" i="65" s="1"/>
  <c r="AB340" i="1" l="1"/>
  <c r="N537" i="65"/>
  <c r="M537" i="65"/>
  <c r="L537" i="65"/>
  <c r="K537" i="65"/>
  <c r="J537" i="65"/>
  <c r="H537" i="65"/>
  <c r="G537" i="65"/>
  <c r="F537" i="65"/>
  <c r="E537" i="65"/>
  <c r="D537" i="65"/>
  <c r="C537" i="65"/>
  <c r="O536" i="65"/>
  <c r="O535" i="65"/>
  <c r="O534" i="65"/>
  <c r="O533" i="65"/>
  <c r="O532" i="65"/>
  <c r="O531" i="65"/>
  <c r="O530" i="65"/>
  <c r="O528" i="65"/>
  <c r="O527" i="65"/>
  <c r="N524" i="65"/>
  <c r="M524" i="65"/>
  <c r="L524" i="65"/>
  <c r="K524" i="65"/>
  <c r="J524" i="65"/>
  <c r="I524" i="65"/>
  <c r="H524" i="65"/>
  <c r="G524" i="65"/>
  <c r="F524" i="65"/>
  <c r="E524" i="65"/>
  <c r="D524" i="65"/>
  <c r="C524" i="65"/>
  <c r="O523" i="65"/>
  <c r="O522" i="65"/>
  <c r="O521" i="65"/>
  <c r="O520" i="65"/>
  <c r="O519" i="65"/>
  <c r="N517" i="65"/>
  <c r="M517" i="65"/>
  <c r="L517" i="65"/>
  <c r="K517" i="65"/>
  <c r="J517" i="65"/>
  <c r="I517" i="65"/>
  <c r="H517" i="65"/>
  <c r="G517" i="65"/>
  <c r="F517" i="65"/>
  <c r="E517" i="65"/>
  <c r="D517" i="65"/>
  <c r="C517" i="65"/>
  <c r="O516" i="65"/>
  <c r="O515" i="65"/>
  <c r="O514" i="65"/>
  <c r="O512" i="65"/>
  <c r="O510" i="65"/>
  <c r="O509" i="65"/>
  <c r="O508" i="65"/>
  <c r="O507" i="65"/>
  <c r="O506" i="65"/>
  <c r="O505" i="65"/>
  <c r="N503" i="65"/>
  <c r="M503" i="65"/>
  <c r="L503" i="65"/>
  <c r="K503" i="65"/>
  <c r="J503" i="65"/>
  <c r="I503" i="65"/>
  <c r="H503" i="65"/>
  <c r="G503" i="65"/>
  <c r="F503" i="65"/>
  <c r="E503" i="65"/>
  <c r="D503" i="65"/>
  <c r="C503" i="65"/>
  <c r="O502" i="65"/>
  <c r="O501" i="65"/>
  <c r="O500" i="65"/>
  <c r="O499" i="65"/>
  <c r="O498" i="65"/>
  <c r="O497" i="65"/>
  <c r="N495" i="65"/>
  <c r="M495" i="65"/>
  <c r="L495" i="65"/>
  <c r="K495" i="65"/>
  <c r="J495" i="65"/>
  <c r="I495" i="65"/>
  <c r="H495" i="65"/>
  <c r="G495" i="65"/>
  <c r="F495" i="65"/>
  <c r="E495" i="65"/>
  <c r="D495" i="65"/>
  <c r="C495" i="65"/>
  <c r="O494" i="65"/>
  <c r="O493" i="65"/>
  <c r="O492" i="65"/>
  <c r="O524" i="65" l="1"/>
  <c r="C525" i="65"/>
  <c r="E525" i="65"/>
  <c r="F525" i="65"/>
  <c r="H525" i="65"/>
  <c r="J525" i="65"/>
  <c r="O517" i="65"/>
  <c r="L525" i="65"/>
  <c r="M525" i="65"/>
  <c r="N525" i="65"/>
  <c r="I525" i="65"/>
  <c r="D525" i="65"/>
  <c r="O503" i="65"/>
  <c r="G525" i="65"/>
  <c r="K525" i="65"/>
  <c r="O495" i="65"/>
  <c r="I537" i="65"/>
  <c r="O537" i="65" s="1"/>
  <c r="M192" i="65"/>
  <c r="O525" i="65" l="1"/>
  <c r="L14" i="3"/>
  <c r="L12" i="3"/>
  <c r="L89" i="3"/>
  <c r="L73" i="3"/>
  <c r="L62" i="3"/>
  <c r="I12" i="3" l="1"/>
  <c r="K12" i="3"/>
  <c r="K89" i="3"/>
  <c r="K72" i="3"/>
  <c r="K62" i="3"/>
  <c r="K61" i="3"/>
  <c r="D12" i="49" l="1"/>
  <c r="J14" i="3" l="1"/>
  <c r="J12" i="3"/>
  <c r="J89" i="3"/>
  <c r="D11" i="49"/>
  <c r="I14" i="3"/>
  <c r="I89" i="3"/>
  <c r="I73" i="3"/>
  <c r="I62" i="3"/>
  <c r="H33" i="3"/>
  <c r="H12" i="3"/>
  <c r="H62" i="3"/>
  <c r="H44" i="3"/>
  <c r="H101" i="3"/>
  <c r="H89" i="3"/>
  <c r="F15" i="3"/>
  <c r="F13" i="3"/>
  <c r="E101" i="3" l="1"/>
  <c r="F12" i="3"/>
  <c r="BC62" i="3"/>
  <c r="G89" i="3"/>
  <c r="G62" i="3"/>
  <c r="AI344" i="30"/>
  <c r="EA57" i="73"/>
  <c r="EA58" i="73"/>
  <c r="EA59" i="73"/>
  <c r="EA60" i="73"/>
  <c r="EA61" i="73"/>
  <c r="EA62" i="73"/>
  <c r="EA63" i="73"/>
  <c r="EA64" i="73"/>
  <c r="EA65" i="73"/>
  <c r="EA66" i="73"/>
  <c r="EA67" i="73"/>
  <c r="EA68" i="73"/>
  <c r="EA69" i="73"/>
  <c r="EA70" i="73"/>
  <c r="EA71" i="73"/>
  <c r="EA72" i="73"/>
  <c r="EA73" i="73"/>
  <c r="EA74" i="73"/>
  <c r="EA75" i="73"/>
  <c r="EA76" i="73"/>
  <c r="EA77" i="73"/>
  <c r="EA78" i="73"/>
  <c r="EA79" i="73"/>
  <c r="EA80" i="73"/>
  <c r="EA81" i="73"/>
  <c r="EA82" i="73"/>
  <c r="EA83" i="73"/>
  <c r="EA84" i="73"/>
  <c r="EA85" i="73"/>
  <c r="EA86" i="73"/>
  <c r="EA56" i="73"/>
  <c r="HA45" i="73"/>
  <c r="GZ45" i="73"/>
  <c r="GY45" i="73"/>
  <c r="GW45" i="73"/>
  <c r="GV45" i="73"/>
  <c r="GU45" i="73"/>
  <c r="HA44" i="73"/>
  <c r="GZ44" i="73"/>
  <c r="GW44" i="73"/>
  <c r="GV44" i="73"/>
  <c r="GU44" i="73"/>
  <c r="HB43" i="73"/>
  <c r="GX43" i="73"/>
  <c r="HB42" i="73"/>
  <c r="GX42" i="73"/>
  <c r="HB41" i="73"/>
  <c r="GX41" i="73"/>
  <c r="HB40" i="73"/>
  <c r="GX40" i="73"/>
  <c r="HB39" i="73"/>
  <c r="GX39" i="73"/>
  <c r="HB38" i="73"/>
  <c r="GX38" i="73"/>
  <c r="HB37" i="73"/>
  <c r="GX37" i="73"/>
  <c r="HB36" i="73"/>
  <c r="GX36" i="73"/>
  <c r="HB35" i="73"/>
  <c r="GX35" i="73"/>
  <c r="HB34" i="73"/>
  <c r="GX34" i="73"/>
  <c r="HB33" i="73"/>
  <c r="GX33" i="73"/>
  <c r="HB32" i="73"/>
  <c r="GX32" i="73"/>
  <c r="HB31" i="73"/>
  <c r="GX31" i="73"/>
  <c r="HB30" i="73"/>
  <c r="GX30" i="73"/>
  <c r="HB29" i="73"/>
  <c r="GX29" i="73"/>
  <c r="HB28" i="73"/>
  <c r="GX28" i="73"/>
  <c r="HB27" i="73"/>
  <c r="GX27" i="73"/>
  <c r="HB26" i="73"/>
  <c r="GX26" i="73"/>
  <c r="HB25" i="73"/>
  <c r="GX25" i="73"/>
  <c r="HB24" i="73"/>
  <c r="GX24" i="73"/>
  <c r="HB23" i="73"/>
  <c r="HB22" i="73"/>
  <c r="GX22" i="73"/>
  <c r="HB21" i="73"/>
  <c r="GX21" i="73"/>
  <c r="HB20" i="73"/>
  <c r="GX20" i="73"/>
  <c r="HB19" i="73"/>
  <c r="GX19" i="73"/>
  <c r="HB18" i="73"/>
  <c r="GX18" i="73"/>
  <c r="HB17" i="73"/>
  <c r="GX17" i="73"/>
  <c r="HB16" i="73"/>
  <c r="GX16" i="73"/>
  <c r="HB15" i="73"/>
  <c r="GX15" i="73"/>
  <c r="HB14" i="73"/>
  <c r="GX14" i="73"/>
  <c r="HB13" i="73"/>
  <c r="GX13" i="73"/>
  <c r="HB45" i="73" l="1"/>
  <c r="GX44" i="73"/>
  <c r="GY44" i="73"/>
  <c r="GX45" i="73"/>
  <c r="HB44" i="73"/>
  <c r="F14" i="3" l="1"/>
  <c r="F101" i="3"/>
  <c r="E65" i="3"/>
  <c r="F89" i="3"/>
  <c r="F62" i="3"/>
  <c r="D12" i="3"/>
  <c r="E89" i="3"/>
  <c r="E62" i="3"/>
  <c r="E82" i="1"/>
  <c r="D82" i="1"/>
  <c r="C101" i="3" l="1"/>
  <c r="D14" i="3" l="1"/>
  <c r="D89" i="3" l="1"/>
  <c r="D101" i="3"/>
  <c r="D62" i="3"/>
  <c r="U52" i="30" l="1"/>
  <c r="T42" i="30"/>
  <c r="C14" i="3" l="1"/>
  <c r="C12" i="3"/>
  <c r="C89" i="3"/>
  <c r="B14" i="3" l="1"/>
  <c r="B89" i="3"/>
  <c r="B62" i="3"/>
  <c r="C67" i="49"/>
  <c r="A89" i="3"/>
  <c r="AQ21" i="3"/>
  <c r="E713" i="56" l="1"/>
  <c r="G713" i="56" s="1"/>
  <c r="E712" i="56"/>
  <c r="G712" i="56" s="1"/>
  <c r="E708" i="56"/>
  <c r="G708" i="56" s="1"/>
  <c r="E705" i="56"/>
  <c r="G705" i="56" s="1"/>
  <c r="G706" i="56"/>
  <c r="G707" i="56"/>
  <c r="K713" i="56"/>
  <c r="K712" i="56"/>
  <c r="K711" i="56"/>
  <c r="K710" i="56"/>
  <c r="K709" i="56"/>
  <c r="K708" i="56"/>
  <c r="K707" i="56"/>
  <c r="K706" i="56"/>
  <c r="K705" i="56"/>
  <c r="K704" i="56"/>
  <c r="K703" i="56"/>
  <c r="P712" i="56"/>
  <c r="P711" i="56"/>
  <c r="P710" i="56"/>
  <c r="P709" i="56"/>
  <c r="P708" i="56"/>
  <c r="P707" i="56"/>
  <c r="P706" i="56"/>
  <c r="P705" i="56"/>
  <c r="P704" i="56"/>
  <c r="P703" i="56"/>
  <c r="U54" i="30"/>
  <c r="T54" i="30"/>
  <c r="S54" i="30"/>
  <c r="M54" i="30"/>
  <c r="L54" i="30"/>
  <c r="X53" i="30"/>
  <c r="W53" i="30"/>
  <c r="R53" i="30"/>
  <c r="J53" i="30"/>
  <c r="X52" i="30"/>
  <c r="W52" i="30"/>
  <c r="V52" i="30"/>
  <c r="R52" i="30"/>
  <c r="J52" i="30"/>
  <c r="X51" i="30"/>
  <c r="W51" i="30"/>
  <c r="V51" i="30"/>
  <c r="R51" i="30"/>
  <c r="J51" i="30"/>
  <c r="X50" i="30"/>
  <c r="W50" i="30"/>
  <c r="V50" i="30"/>
  <c r="R50" i="30"/>
  <c r="J50" i="30"/>
  <c r="X49" i="30"/>
  <c r="W49" i="30"/>
  <c r="V49" i="30"/>
  <c r="R49" i="30"/>
  <c r="J49" i="30"/>
  <c r="X48" i="30"/>
  <c r="W48" i="30"/>
  <c r="V48" i="30"/>
  <c r="R48" i="30"/>
  <c r="J48" i="30"/>
  <c r="X47" i="30"/>
  <c r="W47" i="30"/>
  <c r="V47" i="30"/>
  <c r="R47" i="30"/>
  <c r="J47" i="30"/>
  <c r="X46" i="30"/>
  <c r="W46" i="30"/>
  <c r="V46" i="30"/>
  <c r="R46" i="30"/>
  <c r="J46" i="30"/>
  <c r="X45" i="30"/>
  <c r="W45" i="30"/>
  <c r="V45" i="30"/>
  <c r="R45" i="30"/>
  <c r="J45" i="30"/>
  <c r="X44" i="30"/>
  <c r="W44" i="30"/>
  <c r="V44" i="30"/>
  <c r="R44" i="30"/>
  <c r="J44" i="30"/>
  <c r="X43" i="30"/>
  <c r="W43" i="30"/>
  <c r="V43" i="30"/>
  <c r="R43" i="30"/>
  <c r="J43" i="30"/>
  <c r="X42" i="30"/>
  <c r="W42" i="30"/>
  <c r="Y42" i="30" s="1"/>
  <c r="V42" i="30"/>
  <c r="R42" i="30"/>
  <c r="J42" i="30"/>
  <c r="X41" i="30"/>
  <c r="W41" i="30"/>
  <c r="V41" i="30"/>
  <c r="R41" i="30"/>
  <c r="J41" i="30"/>
  <c r="X40" i="30"/>
  <c r="W40" i="30"/>
  <c r="V40" i="30"/>
  <c r="R40" i="30"/>
  <c r="J40" i="30"/>
  <c r="X39" i="30"/>
  <c r="W39" i="30"/>
  <c r="V39" i="30"/>
  <c r="R39" i="30"/>
  <c r="J39" i="30"/>
  <c r="X38" i="30"/>
  <c r="W38" i="30"/>
  <c r="V38" i="30"/>
  <c r="R38" i="30"/>
  <c r="J38" i="30"/>
  <c r="X37" i="30"/>
  <c r="W37" i="30"/>
  <c r="V37" i="30"/>
  <c r="R37" i="30"/>
  <c r="J37" i="30"/>
  <c r="X36" i="30"/>
  <c r="W36" i="30"/>
  <c r="V36" i="30"/>
  <c r="R36" i="30"/>
  <c r="J36" i="30"/>
  <c r="X35" i="30"/>
  <c r="W35" i="30"/>
  <c r="V35" i="30"/>
  <c r="R35" i="30"/>
  <c r="J35" i="30"/>
  <c r="X34" i="30"/>
  <c r="W34" i="30"/>
  <c r="V34" i="30"/>
  <c r="R34" i="30"/>
  <c r="J34" i="30"/>
  <c r="X33" i="30"/>
  <c r="W33" i="30"/>
  <c r="V33" i="30"/>
  <c r="R33" i="30"/>
  <c r="J33" i="30"/>
  <c r="X32" i="30"/>
  <c r="W32" i="30"/>
  <c r="V32" i="30"/>
  <c r="R32" i="30"/>
  <c r="J32" i="30"/>
  <c r="X31" i="30"/>
  <c r="W31" i="30"/>
  <c r="V31" i="30"/>
  <c r="R31" i="30"/>
  <c r="J31" i="30"/>
  <c r="X30" i="30"/>
  <c r="W30" i="30"/>
  <c r="Y30" i="30" s="1"/>
  <c r="V30" i="30"/>
  <c r="R30" i="30"/>
  <c r="J30" i="30"/>
  <c r="X29" i="30"/>
  <c r="W29" i="30"/>
  <c r="V29" i="30"/>
  <c r="R29" i="30"/>
  <c r="J29" i="30"/>
  <c r="X28" i="30"/>
  <c r="W28" i="30"/>
  <c r="V28" i="30"/>
  <c r="R28" i="30"/>
  <c r="J28" i="30"/>
  <c r="X27" i="30"/>
  <c r="W27" i="30"/>
  <c r="V27" i="30"/>
  <c r="R27" i="30"/>
  <c r="J27" i="30"/>
  <c r="X26" i="30"/>
  <c r="W26" i="30"/>
  <c r="V26" i="30"/>
  <c r="R26" i="30"/>
  <c r="J26" i="30"/>
  <c r="X25" i="30"/>
  <c r="W25" i="30"/>
  <c r="V25" i="30"/>
  <c r="R25" i="30"/>
  <c r="J25" i="30"/>
  <c r="X24" i="30"/>
  <c r="W24" i="30"/>
  <c r="V24" i="30"/>
  <c r="R24" i="30"/>
  <c r="J24" i="30"/>
  <c r="X23" i="30"/>
  <c r="W23" i="30"/>
  <c r="V23" i="30"/>
  <c r="R23" i="30"/>
  <c r="J23" i="30"/>
  <c r="Y51" i="30" l="1"/>
  <c r="Y34" i="30"/>
  <c r="Y46" i="30"/>
  <c r="Y28" i="30"/>
  <c r="Y32" i="30"/>
  <c r="Y24" i="30"/>
  <c r="Y36" i="30"/>
  <c r="Y48" i="30"/>
  <c r="Y53" i="30"/>
  <c r="Y27" i="30"/>
  <c r="Y44" i="30"/>
  <c r="X54" i="30"/>
  <c r="Y52" i="30"/>
  <c r="R54" i="30"/>
  <c r="Y25" i="30"/>
  <c r="Y49" i="30"/>
  <c r="Y40" i="30"/>
  <c r="Y33" i="30"/>
  <c r="Y45" i="30"/>
  <c r="Y38" i="30"/>
  <c r="Y50" i="30"/>
  <c r="Y39" i="30"/>
  <c r="Y37" i="30"/>
  <c r="W54" i="30"/>
  <c r="Y23" i="30"/>
  <c r="Y35" i="30"/>
  <c r="Y47" i="30"/>
  <c r="Y26" i="30"/>
  <c r="Y31" i="30"/>
  <c r="Y43" i="30"/>
  <c r="Y29" i="30"/>
  <c r="Y41" i="30"/>
  <c r="J54" i="30"/>
  <c r="V54" i="30"/>
  <c r="AD94" i="3"/>
  <c r="AD95" i="3" s="1"/>
  <c r="AC94" i="3"/>
  <c r="AC95" i="3" s="1"/>
  <c r="AB94" i="3"/>
  <c r="AB95" i="3" s="1"/>
  <c r="AA94" i="3"/>
  <c r="AA95" i="3" s="1"/>
  <c r="Z94" i="3"/>
  <c r="Z95" i="3" s="1"/>
  <c r="Y94" i="3"/>
  <c r="Y95" i="3" s="1"/>
  <c r="X94" i="3"/>
  <c r="X95" i="3" s="1"/>
  <c r="W94" i="3"/>
  <c r="W95" i="3" s="1"/>
  <c r="V94" i="3"/>
  <c r="V95" i="3" s="1"/>
  <c r="AT111" i="3" s="1"/>
  <c r="U94" i="3"/>
  <c r="U95" i="3" s="1"/>
  <c r="T94" i="3"/>
  <c r="T95" i="3" s="1"/>
  <c r="S94" i="3"/>
  <c r="S95" i="3" s="1"/>
  <c r="R94" i="3"/>
  <c r="R95" i="3" s="1"/>
  <c r="Q94" i="3"/>
  <c r="Q95" i="3" s="1"/>
  <c r="P94" i="3"/>
  <c r="P95" i="3" s="1"/>
  <c r="O94" i="3"/>
  <c r="O95" i="3" s="1"/>
  <c r="N94" i="3"/>
  <c r="N95" i="3" s="1"/>
  <c r="M94" i="3"/>
  <c r="M95" i="3" s="1"/>
  <c r="L94" i="3"/>
  <c r="L95" i="3" s="1"/>
  <c r="K94" i="3"/>
  <c r="K95" i="3" s="1"/>
  <c r="J94" i="3"/>
  <c r="J95" i="3" s="1"/>
  <c r="I94" i="3"/>
  <c r="I95" i="3" s="1"/>
  <c r="H94" i="3"/>
  <c r="H95" i="3" s="1"/>
  <c r="G94" i="3"/>
  <c r="G95" i="3" s="1"/>
  <c r="F94" i="3"/>
  <c r="F95" i="3" s="1"/>
  <c r="E94" i="3"/>
  <c r="E95" i="3" s="1"/>
  <c r="D94" i="3"/>
  <c r="D95" i="3" s="1"/>
  <c r="C94" i="3"/>
  <c r="C95" i="3" s="1"/>
  <c r="B94" i="3"/>
  <c r="B95" i="3" s="1"/>
  <c r="AD90" i="3"/>
  <c r="AD91" i="3" s="1"/>
  <c r="AC90" i="3"/>
  <c r="AC91" i="3" s="1"/>
  <c r="AB90" i="3"/>
  <c r="AB91" i="3" s="1"/>
  <c r="AA90" i="3"/>
  <c r="AA91" i="3" s="1"/>
  <c r="Z90" i="3"/>
  <c r="Z91" i="3" s="1"/>
  <c r="Y90" i="3"/>
  <c r="Y91" i="3" s="1"/>
  <c r="X90" i="3"/>
  <c r="X91" i="3" s="1"/>
  <c r="W90" i="3"/>
  <c r="W91" i="3" s="1"/>
  <c r="V90" i="3"/>
  <c r="V91" i="3" s="1"/>
  <c r="AT110" i="3" s="1"/>
  <c r="U90" i="3"/>
  <c r="U91" i="3" s="1"/>
  <c r="T90" i="3"/>
  <c r="T91" i="3" s="1"/>
  <c r="S90" i="3"/>
  <c r="S91" i="3" s="1"/>
  <c r="R90" i="3"/>
  <c r="R91" i="3" s="1"/>
  <c r="Q90" i="3"/>
  <c r="Q91" i="3" s="1"/>
  <c r="P90" i="3"/>
  <c r="P91" i="3" s="1"/>
  <c r="O90" i="3"/>
  <c r="O91" i="3" s="1"/>
  <c r="N90" i="3"/>
  <c r="N91" i="3" s="1"/>
  <c r="M90" i="3"/>
  <c r="M91" i="3" s="1"/>
  <c r="L90" i="3"/>
  <c r="L91" i="3" s="1"/>
  <c r="K90" i="3"/>
  <c r="K91" i="3" s="1"/>
  <c r="J90" i="3"/>
  <c r="J91" i="3" s="1"/>
  <c r="I90" i="3"/>
  <c r="I91" i="3" s="1"/>
  <c r="H90" i="3"/>
  <c r="H91" i="3" s="1"/>
  <c r="G90" i="3"/>
  <c r="G91" i="3" s="1"/>
  <c r="F90" i="3"/>
  <c r="F91" i="3" s="1"/>
  <c r="E90" i="3"/>
  <c r="E91" i="3" s="1"/>
  <c r="D90" i="3"/>
  <c r="D91" i="3" s="1"/>
  <c r="C90" i="3"/>
  <c r="C91" i="3" s="1"/>
  <c r="B90" i="3"/>
  <c r="B91" i="3" s="1"/>
  <c r="C87" i="3"/>
  <c r="B87" i="3"/>
  <c r="AD86" i="3"/>
  <c r="AD87" i="3" s="1"/>
  <c r="AC86" i="3"/>
  <c r="AC87" i="3" s="1"/>
  <c r="AB86" i="3"/>
  <c r="AB87" i="3" s="1"/>
  <c r="AA86" i="3"/>
  <c r="AA87" i="3" s="1"/>
  <c r="Z86" i="3"/>
  <c r="Z87" i="3" s="1"/>
  <c r="Y86" i="3"/>
  <c r="Y87" i="3" s="1"/>
  <c r="X86" i="3"/>
  <c r="X87" i="3" s="1"/>
  <c r="W86" i="3"/>
  <c r="W87" i="3" s="1"/>
  <c r="V86" i="3"/>
  <c r="V87" i="3" s="1"/>
  <c r="U86" i="3"/>
  <c r="U87" i="3" s="1"/>
  <c r="T86" i="3"/>
  <c r="T87" i="3" s="1"/>
  <c r="S86" i="3"/>
  <c r="S87" i="3" s="1"/>
  <c r="R86" i="3"/>
  <c r="R87" i="3" s="1"/>
  <c r="Q86" i="3"/>
  <c r="Q87" i="3" s="1"/>
  <c r="P86" i="3"/>
  <c r="P87" i="3" s="1"/>
  <c r="O86" i="3"/>
  <c r="O87" i="3" s="1"/>
  <c r="N86" i="3"/>
  <c r="N87" i="3" s="1"/>
  <c r="M86" i="3"/>
  <c r="M87" i="3" s="1"/>
  <c r="L86" i="3"/>
  <c r="L87" i="3" s="1"/>
  <c r="K86" i="3"/>
  <c r="K87" i="3" s="1"/>
  <c r="J86" i="3"/>
  <c r="J87" i="3" s="1"/>
  <c r="I86" i="3"/>
  <c r="I87" i="3" s="1"/>
  <c r="H86" i="3"/>
  <c r="H87" i="3" s="1"/>
  <c r="G86" i="3"/>
  <c r="G87" i="3" s="1"/>
  <c r="F86" i="3"/>
  <c r="F87" i="3" s="1"/>
  <c r="E86" i="3"/>
  <c r="E87" i="3" s="1"/>
  <c r="D86" i="3"/>
  <c r="D87" i="3" s="1"/>
  <c r="C86" i="3"/>
  <c r="B86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K83" i="3"/>
  <c r="J83" i="3"/>
  <c r="I83" i="3"/>
  <c r="H83" i="3"/>
  <c r="G83" i="3"/>
  <c r="F83" i="3"/>
  <c r="E83" i="3"/>
  <c r="D83" i="3"/>
  <c r="C83" i="3"/>
  <c r="B83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K82" i="3"/>
  <c r="J82" i="3"/>
  <c r="I82" i="3"/>
  <c r="H82" i="3"/>
  <c r="G82" i="3"/>
  <c r="F82" i="3"/>
  <c r="E82" i="3"/>
  <c r="D82" i="3"/>
  <c r="C82" i="3"/>
  <c r="B82" i="3"/>
  <c r="AD80" i="3"/>
  <c r="AV80" i="3" s="1"/>
  <c r="AC80" i="3"/>
  <c r="AB80" i="3"/>
  <c r="AA80" i="3"/>
  <c r="Z80" i="3"/>
  <c r="Y80" i="3"/>
  <c r="X80" i="3"/>
  <c r="W80" i="3"/>
  <c r="V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R42" i="3" s="1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E29" i="3"/>
  <c r="D29" i="3"/>
  <c r="C29" i="3"/>
  <c r="B2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E20" i="3" s="1"/>
  <c r="D19" i="3"/>
  <c r="C19" i="3"/>
  <c r="B19" i="3"/>
  <c r="AY97" i="3"/>
  <c r="AY96" i="3"/>
  <c r="AY94" i="3"/>
  <c r="AY93" i="3"/>
  <c r="AD42" i="3" l="1"/>
  <c r="AD20" i="3"/>
  <c r="AC42" i="3"/>
  <c r="AC20" i="3"/>
  <c r="AB42" i="3"/>
  <c r="AB20" i="3"/>
  <c r="AA42" i="3"/>
  <c r="AA20" i="3"/>
  <c r="Z42" i="3"/>
  <c r="Y42" i="3"/>
  <c r="Y20" i="3"/>
  <c r="Z20" i="3"/>
  <c r="X42" i="3"/>
  <c r="W20" i="3"/>
  <c r="X20" i="3"/>
  <c r="W42" i="3"/>
  <c r="V20" i="3"/>
  <c r="V42" i="3"/>
  <c r="U20" i="3"/>
  <c r="U42" i="3"/>
  <c r="T20" i="3"/>
  <c r="S42" i="3"/>
  <c r="T42" i="3"/>
  <c r="S20" i="3"/>
  <c r="R20" i="3"/>
  <c r="Q42" i="3"/>
  <c r="Q20" i="3"/>
  <c r="P42" i="3"/>
  <c r="P20" i="3"/>
  <c r="Y54" i="30"/>
  <c r="O42" i="3"/>
  <c r="O20" i="3"/>
  <c r="N42" i="3"/>
  <c r="N20" i="3"/>
  <c r="M42" i="3"/>
  <c r="M20" i="3"/>
  <c r="K42" i="3"/>
  <c r="L42" i="3"/>
  <c r="L20" i="3"/>
  <c r="K20" i="3"/>
  <c r="J20" i="3"/>
  <c r="J42" i="3"/>
  <c r="H20" i="3"/>
  <c r="I42" i="3"/>
  <c r="I20" i="3"/>
  <c r="H42" i="3"/>
  <c r="G42" i="3"/>
  <c r="G20" i="3"/>
  <c r="F42" i="3"/>
  <c r="F20" i="3"/>
  <c r="E42" i="3"/>
  <c r="D42" i="3"/>
  <c r="D20" i="3"/>
  <c r="C20" i="3"/>
  <c r="C42" i="3"/>
  <c r="B42" i="3"/>
  <c r="B20" i="3"/>
  <c r="C44" i="49"/>
  <c r="BH2" i="3"/>
  <c r="BH6" i="3"/>
  <c r="D10" i="49" l="1"/>
  <c r="N125" i="70"/>
  <c r="M125" i="70"/>
  <c r="L125" i="70"/>
  <c r="K125" i="70"/>
  <c r="J125" i="70"/>
  <c r="I125" i="70"/>
  <c r="H125" i="70"/>
  <c r="G125" i="70"/>
  <c r="F125" i="70"/>
  <c r="E125" i="70"/>
  <c r="D125" i="70"/>
  <c r="C125" i="70"/>
  <c r="O124" i="70"/>
  <c r="O123" i="70"/>
  <c r="O122" i="70"/>
  <c r="O121" i="70"/>
  <c r="O120" i="70"/>
  <c r="O119" i="70"/>
  <c r="O118" i="70"/>
  <c r="O117" i="70"/>
  <c r="O116" i="70"/>
  <c r="O115" i="70"/>
  <c r="O114" i="70"/>
  <c r="O113" i="70"/>
  <c r="O112" i="70"/>
  <c r="O111" i="70"/>
  <c r="O110" i="70"/>
  <c r="O109" i="70"/>
  <c r="O108" i="70"/>
  <c r="O107" i="70"/>
  <c r="O106" i="70"/>
  <c r="O105" i="70"/>
  <c r="O125" i="70" l="1"/>
  <c r="I10" i="49"/>
  <c r="B42" i="49" l="1"/>
  <c r="B44" i="49" s="1"/>
  <c r="L101" i="49"/>
  <c r="L103" i="49" s="1"/>
  <c r="L91" i="49"/>
  <c r="A39" i="3"/>
  <c r="I11" i="49" l="1"/>
  <c r="AH76" i="49" s="1"/>
  <c r="E11" i="49" l="1"/>
  <c r="Y76" i="49" s="1"/>
  <c r="AH75" i="49"/>
  <c r="I478" i="65" l="1"/>
  <c r="GN31" i="73" l="1"/>
  <c r="X38" i="55" l="1"/>
  <c r="X34" i="55"/>
  <c r="X31" i="55"/>
  <c r="X26" i="55"/>
  <c r="X26" i="56"/>
  <c r="X22" i="56"/>
  <c r="X19" i="56"/>
  <c r="O688" i="56" l="1"/>
  <c r="O689" i="56"/>
  <c r="N689" i="56"/>
  <c r="M689" i="56"/>
  <c r="Z689" i="56"/>
  <c r="T690" i="56"/>
  <c r="T691" i="56"/>
  <c r="T692" i="56"/>
  <c r="E37" i="87" l="1"/>
  <c r="E38" i="87" s="1"/>
  <c r="N38" i="87"/>
  <c r="M38" i="87"/>
  <c r="L38" i="87"/>
  <c r="K38" i="87"/>
  <c r="J38" i="87"/>
  <c r="I38" i="87"/>
  <c r="H38" i="87"/>
  <c r="G38" i="87"/>
  <c r="F38" i="87"/>
  <c r="D38" i="87"/>
  <c r="C38" i="87"/>
  <c r="O36" i="87"/>
  <c r="O35" i="87"/>
  <c r="O34" i="87"/>
  <c r="O33" i="87"/>
  <c r="O32" i="87"/>
  <c r="O31" i="87"/>
  <c r="O30" i="87"/>
  <c r="O29" i="87"/>
  <c r="O28" i="87"/>
  <c r="O27" i="87"/>
  <c r="O26" i="87"/>
  <c r="O25" i="87"/>
  <c r="O24" i="87"/>
  <c r="N17" i="87"/>
  <c r="M17" i="87"/>
  <c r="L17" i="87"/>
  <c r="K17" i="87"/>
  <c r="J17" i="87"/>
  <c r="I17" i="87"/>
  <c r="H17" i="87"/>
  <c r="G17" i="87"/>
  <c r="F17" i="87"/>
  <c r="E17" i="87"/>
  <c r="D17" i="87"/>
  <c r="C17" i="87"/>
  <c r="O16" i="87"/>
  <c r="O15" i="87"/>
  <c r="O14" i="87"/>
  <c r="O13" i="87"/>
  <c r="O12" i="87"/>
  <c r="O11" i="87"/>
  <c r="O10" i="87"/>
  <c r="O9" i="87"/>
  <c r="O8" i="87"/>
  <c r="O7" i="87"/>
  <c r="O6" i="87"/>
  <c r="O5" i="87"/>
  <c r="O4" i="87"/>
  <c r="O3" i="87"/>
  <c r="O37" i="87" l="1"/>
  <c r="O38" i="87"/>
  <c r="O17" i="87"/>
  <c r="N39" i="86"/>
  <c r="M39" i="86"/>
  <c r="L39" i="86"/>
  <c r="K39" i="86"/>
  <c r="J39" i="86"/>
  <c r="I39" i="86"/>
  <c r="H39" i="86"/>
  <c r="G39" i="86"/>
  <c r="F39" i="86"/>
  <c r="E39" i="86"/>
  <c r="D39" i="86"/>
  <c r="C39" i="86"/>
  <c r="O38" i="86"/>
  <c r="O37" i="86"/>
  <c r="O36" i="86"/>
  <c r="O35" i="86"/>
  <c r="O34" i="86"/>
  <c r="O33" i="86"/>
  <c r="O32" i="86"/>
  <c r="O31" i="86"/>
  <c r="O30" i="86"/>
  <c r="O29" i="86"/>
  <c r="O28" i="86"/>
  <c r="O27" i="86"/>
  <c r="O26" i="86"/>
  <c r="O25" i="86"/>
  <c r="N18" i="86"/>
  <c r="M18" i="86"/>
  <c r="L18" i="86"/>
  <c r="K18" i="86"/>
  <c r="J18" i="86"/>
  <c r="I18" i="86"/>
  <c r="H18" i="86"/>
  <c r="G18" i="86"/>
  <c r="F18" i="86"/>
  <c r="E18" i="86"/>
  <c r="D18" i="86"/>
  <c r="C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O39" i="86" l="1"/>
  <c r="O18" i="86"/>
  <c r="O28" i="85"/>
  <c r="O29" i="85"/>
  <c r="O30" i="85"/>
  <c r="O31" i="85"/>
  <c r="O32" i="85"/>
  <c r="O33" i="85"/>
  <c r="O34" i="85"/>
  <c r="O35" i="85"/>
  <c r="O36" i="85"/>
  <c r="O37" i="85"/>
  <c r="O38" i="85"/>
  <c r="O39" i="85"/>
  <c r="O40" i="85"/>
  <c r="O27" i="85"/>
  <c r="D41" i="85"/>
  <c r="E41" i="85"/>
  <c r="F41" i="85"/>
  <c r="G41" i="85"/>
  <c r="H41" i="85"/>
  <c r="I41" i="85"/>
  <c r="J41" i="85"/>
  <c r="K41" i="85"/>
  <c r="L41" i="85"/>
  <c r="M41" i="85"/>
  <c r="N41" i="85"/>
  <c r="C41" i="85"/>
  <c r="D20" i="85"/>
  <c r="E20" i="85"/>
  <c r="F20" i="85"/>
  <c r="G20" i="85"/>
  <c r="H20" i="85"/>
  <c r="I20" i="85"/>
  <c r="J20" i="85"/>
  <c r="K20" i="85"/>
  <c r="L20" i="85"/>
  <c r="M20" i="85"/>
  <c r="N20" i="85"/>
  <c r="C20" i="85"/>
  <c r="O7" i="85"/>
  <c r="O8" i="85"/>
  <c r="O9" i="85"/>
  <c r="O10" i="85"/>
  <c r="O11" i="85"/>
  <c r="O12" i="85"/>
  <c r="O13" i="85"/>
  <c r="O14" i="85"/>
  <c r="O15" i="85"/>
  <c r="O16" i="85"/>
  <c r="O17" i="85"/>
  <c r="O18" i="85"/>
  <c r="O19" i="85"/>
  <c r="O6" i="85"/>
  <c r="O41" i="85" l="1"/>
  <c r="O20" i="85"/>
  <c r="Q58" i="71" l="1"/>
  <c r="V16" i="66"/>
  <c r="U16" i="66"/>
  <c r="T16" i="66"/>
  <c r="Q16" i="66"/>
  <c r="P16" i="66"/>
  <c r="O16" i="66"/>
  <c r="L16" i="66"/>
  <c r="K16" i="66"/>
  <c r="J16" i="66"/>
  <c r="H16" i="66"/>
  <c r="G16" i="66"/>
  <c r="F16" i="66"/>
  <c r="O611" i="65" l="1"/>
  <c r="O604" i="65" l="1"/>
  <c r="O605" i="65"/>
  <c r="O606" i="65"/>
  <c r="O607" i="65"/>
  <c r="O608" i="65"/>
  <c r="O609" i="65"/>
  <c r="O603" i="65"/>
  <c r="N610" i="65"/>
  <c r="M610" i="65"/>
  <c r="L610" i="65"/>
  <c r="K610" i="65"/>
  <c r="J610" i="65"/>
  <c r="I610" i="65"/>
  <c r="H610" i="65"/>
  <c r="G610" i="65"/>
  <c r="F610" i="65"/>
  <c r="E610" i="65"/>
  <c r="D610" i="65"/>
  <c r="C610" i="65"/>
  <c r="O610" i="65" l="1"/>
  <c r="P735" i="56"/>
  <c r="Q735" i="56"/>
  <c r="O735" i="56"/>
  <c r="AK86" i="3"/>
  <c r="P12" i="82" l="1"/>
  <c r="GN19" i="73" l="1"/>
  <c r="GN20" i="73"/>
  <c r="GN21" i="73"/>
  <c r="AI341" i="30" l="1"/>
  <c r="E8" i="49" l="1"/>
  <c r="E9" i="49"/>
  <c r="J209" i="30"/>
  <c r="I209" i="30" s="1"/>
  <c r="J210" i="30"/>
  <c r="I210" i="30" s="1"/>
  <c r="J211" i="30"/>
  <c r="I211" i="30" s="1"/>
  <c r="J212" i="30"/>
  <c r="I212" i="30" s="1"/>
  <c r="J213" i="30"/>
  <c r="I213" i="30" s="1"/>
  <c r="J214" i="30"/>
  <c r="I214" i="30" s="1"/>
  <c r="J215" i="30"/>
  <c r="I215" i="30" s="1"/>
  <c r="J216" i="30"/>
  <c r="I216" i="30" s="1"/>
  <c r="J217" i="30"/>
  <c r="I217" i="30" s="1"/>
  <c r="J218" i="30"/>
  <c r="I218" i="30" s="1"/>
  <c r="J219" i="30"/>
  <c r="I219" i="30" s="1"/>
  <c r="J220" i="30"/>
  <c r="I220" i="30" s="1"/>
  <c r="J221" i="30"/>
  <c r="I221" i="30" s="1"/>
  <c r="J222" i="30"/>
  <c r="I222" i="30" s="1"/>
  <c r="J223" i="30"/>
  <c r="I223" i="30" s="1"/>
  <c r="J224" i="30"/>
  <c r="I224" i="30" s="1"/>
  <c r="J225" i="30"/>
  <c r="I225" i="30" s="1"/>
  <c r="J226" i="30"/>
  <c r="I226" i="30" s="1"/>
  <c r="J227" i="30"/>
  <c r="I227" i="30" s="1"/>
  <c r="J228" i="30"/>
  <c r="I228" i="30" s="1"/>
  <c r="J229" i="30"/>
  <c r="I229" i="30" s="1"/>
  <c r="J230" i="30"/>
  <c r="I230" i="30" s="1"/>
  <c r="J231" i="30"/>
  <c r="I231" i="30" s="1"/>
  <c r="J232" i="30"/>
  <c r="I232" i="30" s="1"/>
  <c r="J233" i="30"/>
  <c r="I233" i="30" s="1"/>
  <c r="J234" i="30"/>
  <c r="I234" i="30" s="1"/>
  <c r="J235" i="30"/>
  <c r="I235" i="30" s="1"/>
  <c r="J236" i="30"/>
  <c r="I236" i="30" s="1"/>
  <c r="J237" i="30"/>
  <c r="I237" i="30" s="1"/>
  <c r="J238" i="30"/>
  <c r="I238" i="30" s="1"/>
  <c r="F206" i="1"/>
  <c r="K118" i="3" l="1"/>
  <c r="K116" i="3"/>
  <c r="K114" i="3"/>
  <c r="K131" i="3"/>
  <c r="K129" i="3"/>
  <c r="K127" i="3"/>
  <c r="K125" i="3"/>
  <c r="K123" i="3"/>
  <c r="K121" i="3"/>
  <c r="K113" i="3"/>
  <c r="K117" i="3" l="1"/>
  <c r="K119" i="3" s="1"/>
  <c r="E133" i="3"/>
  <c r="E131" i="3"/>
  <c r="E125" i="3"/>
  <c r="E143" i="3"/>
  <c r="E141" i="3"/>
  <c r="E139" i="3"/>
  <c r="E137" i="3"/>
  <c r="E135" i="3"/>
  <c r="K115" i="3"/>
  <c r="M181" i="65"/>
  <c r="L9" i="78"/>
  <c r="M22" i="79"/>
  <c r="P30" i="79"/>
  <c r="O79" i="70"/>
  <c r="GQ45" i="73"/>
  <c r="GP45" i="73"/>
  <c r="GO45" i="73"/>
  <c r="GM45" i="73"/>
  <c r="GL45" i="73"/>
  <c r="GK45" i="73"/>
  <c r="GQ44" i="73"/>
  <c r="GP44" i="73"/>
  <c r="GM44" i="73"/>
  <c r="GL44" i="73"/>
  <c r="GK44" i="73"/>
  <c r="GR43" i="73"/>
  <c r="GN43" i="73"/>
  <c r="GR42" i="73"/>
  <c r="GN42" i="73"/>
  <c r="GR41" i="73"/>
  <c r="GN41" i="73"/>
  <c r="GR40" i="73"/>
  <c r="GN40" i="73"/>
  <c r="GR39" i="73"/>
  <c r="GN39" i="73"/>
  <c r="GR38" i="73"/>
  <c r="GN38" i="73"/>
  <c r="GR37" i="73"/>
  <c r="GN37" i="73"/>
  <c r="GR36" i="73"/>
  <c r="GN36" i="73"/>
  <c r="GR35" i="73"/>
  <c r="GN35" i="73"/>
  <c r="GR34" i="73"/>
  <c r="GN34" i="73"/>
  <c r="GR33" i="73"/>
  <c r="GN33" i="73"/>
  <c r="GR32" i="73"/>
  <c r="GN32" i="73"/>
  <c r="GR31" i="73"/>
  <c r="GR30" i="73"/>
  <c r="GN30" i="73"/>
  <c r="GR29" i="73"/>
  <c r="GN29" i="73"/>
  <c r="GR28" i="73"/>
  <c r="GN28" i="73"/>
  <c r="GR27" i="73"/>
  <c r="GN27" i="73"/>
  <c r="GR26" i="73"/>
  <c r="GN26" i="73"/>
  <c r="GR25" i="73"/>
  <c r="GN25" i="73"/>
  <c r="GR24" i="73"/>
  <c r="GN24" i="73"/>
  <c r="GR23" i="73"/>
  <c r="GN23" i="73"/>
  <c r="GR22" i="73"/>
  <c r="GN22" i="73"/>
  <c r="GR21" i="73"/>
  <c r="GR20" i="73"/>
  <c r="GR19" i="73"/>
  <c r="GR18" i="73"/>
  <c r="GN18" i="73"/>
  <c r="GR17" i="73"/>
  <c r="GN17" i="73"/>
  <c r="GR16" i="73"/>
  <c r="GN16" i="73"/>
  <c r="GR15" i="73"/>
  <c r="GN15" i="73"/>
  <c r="GR14" i="73"/>
  <c r="GN14" i="73"/>
  <c r="GR13" i="73"/>
  <c r="GN13" i="73"/>
  <c r="GH43" i="73"/>
  <c r="GH42" i="73"/>
  <c r="GH41" i="73"/>
  <c r="GD41" i="73"/>
  <c r="GD42" i="73"/>
  <c r="GD43" i="73"/>
  <c r="A80" i="3"/>
  <c r="P62" i="49"/>
  <c r="A94" i="3"/>
  <c r="A95" i="3" s="1"/>
  <c r="A90" i="3"/>
  <c r="A91" i="3" s="1"/>
  <c r="A86" i="3"/>
  <c r="A87" i="3" s="1"/>
  <c r="A83" i="3"/>
  <c r="A82" i="3"/>
  <c r="A70" i="3"/>
  <c r="A56" i="3"/>
  <c r="A42" i="3"/>
  <c r="A29" i="3"/>
  <c r="A19" i="3"/>
  <c r="E129" i="3" l="1"/>
  <c r="E127" i="3"/>
  <c r="A20" i="3"/>
  <c r="GR45" i="73"/>
  <c r="GR44" i="73"/>
  <c r="GN44" i="73"/>
  <c r="GO44" i="73"/>
  <c r="GN45" i="73"/>
  <c r="N18" i="49" l="1"/>
  <c r="N19" i="49"/>
  <c r="Q96" i="1"/>
  <c r="P96" i="1"/>
  <c r="O96" i="1"/>
  <c r="N96" i="1"/>
  <c r="M96" i="1"/>
  <c r="L96" i="1"/>
  <c r="K96" i="1"/>
  <c r="J96" i="1"/>
  <c r="I96" i="1"/>
  <c r="H96" i="1"/>
  <c r="G96" i="1"/>
  <c r="F96" i="1"/>
  <c r="L31" i="49"/>
  <c r="O63" i="71" l="1"/>
  <c r="S53" i="49" l="1"/>
  <c r="S52" i="49"/>
  <c r="D698" i="56"/>
  <c r="D697" i="56"/>
  <c r="D693" i="56"/>
  <c r="AO86" i="3" l="1"/>
  <c r="N78" i="71"/>
  <c r="L78" i="71"/>
  <c r="J78" i="71"/>
  <c r="H78" i="71"/>
  <c r="O34" i="49"/>
  <c r="P31" i="49"/>
  <c r="O31" i="49"/>
  <c r="P30" i="49"/>
  <c r="O30" i="49"/>
  <c r="P29" i="49"/>
  <c r="O29" i="49"/>
  <c r="X14" i="56" l="1"/>
  <c r="O62" i="71" l="1"/>
  <c r="O61" i="71"/>
  <c r="O60" i="71"/>
  <c r="O59" i="71"/>
  <c r="O58" i="71"/>
  <c r="O57" i="71"/>
  <c r="F67" i="71" l="1"/>
  <c r="F68" i="71"/>
  <c r="F69" i="71"/>
  <c r="F70" i="71"/>
  <c r="F71" i="71"/>
  <c r="F72" i="71"/>
  <c r="F73" i="71"/>
  <c r="F74" i="71"/>
  <c r="F75" i="71"/>
  <c r="F66" i="71"/>
  <c r="O56" i="71"/>
  <c r="N33" i="49"/>
  <c r="M33" i="49"/>
  <c r="N30" i="49"/>
  <c r="M30" i="49"/>
  <c r="N29" i="49"/>
  <c r="M29" i="49"/>
  <c r="N31" i="49"/>
  <c r="M31" i="49"/>
  <c r="AS13" i="3"/>
  <c r="C65" i="49" l="1"/>
  <c r="D690" i="56" s="1"/>
  <c r="AH92" i="49" l="1"/>
  <c r="AK81" i="3" l="1"/>
  <c r="BC13" i="3" l="1"/>
  <c r="BC14" i="3"/>
  <c r="BC15" i="3"/>
  <c r="BC16" i="3"/>
  <c r="BC18" i="3"/>
  <c r="BC19" i="3"/>
  <c r="BC20" i="3"/>
  <c r="BC21" i="3"/>
  <c r="BC22" i="3"/>
  <c r="BC23" i="3"/>
  <c r="BC24" i="3"/>
  <c r="BC25" i="3"/>
  <c r="BC26" i="3"/>
  <c r="BC27" i="3"/>
  <c r="BC28" i="3"/>
  <c r="BC12" i="3"/>
  <c r="AI340" i="30"/>
  <c r="G119" i="3" l="1"/>
  <c r="GD22" i="73" l="1"/>
  <c r="GH22" i="73"/>
  <c r="BB17" i="3"/>
  <c r="BC17" i="3" s="1"/>
  <c r="I59" i="49"/>
  <c r="I56" i="49"/>
  <c r="P56" i="49" s="1"/>
  <c r="I53" i="49"/>
  <c r="P53" i="49" s="1"/>
  <c r="AH110" i="3"/>
  <c r="AF36" i="3"/>
  <c r="N61" i="49"/>
  <c r="D1178" i="56" l="1"/>
  <c r="B1178" i="56"/>
  <c r="GG45" i="73" l="1"/>
  <c r="GF45" i="73"/>
  <c r="GE45" i="73"/>
  <c r="GC45" i="73"/>
  <c r="GB45" i="73"/>
  <c r="GA45" i="73"/>
  <c r="GG44" i="73"/>
  <c r="GF44" i="73"/>
  <c r="GC44" i="73"/>
  <c r="GB44" i="73"/>
  <c r="GA44" i="73"/>
  <c r="GH40" i="73"/>
  <c r="GD40" i="73"/>
  <c r="GH39" i="73"/>
  <c r="GD39" i="73"/>
  <c r="GH38" i="73"/>
  <c r="GD38" i="73"/>
  <c r="GH37" i="73"/>
  <c r="GD37" i="73"/>
  <c r="GH36" i="73"/>
  <c r="GD36" i="73"/>
  <c r="GH35" i="73"/>
  <c r="GD35" i="73"/>
  <c r="GH34" i="73"/>
  <c r="GD34" i="73"/>
  <c r="GH33" i="73"/>
  <c r="GD33" i="73"/>
  <c r="GH32" i="73"/>
  <c r="GD32" i="73"/>
  <c r="GH31" i="73"/>
  <c r="GD31" i="73"/>
  <c r="GH30" i="73"/>
  <c r="GD30" i="73"/>
  <c r="GH29" i="73"/>
  <c r="GD29" i="73"/>
  <c r="GH28" i="73"/>
  <c r="GD28" i="73"/>
  <c r="GH27" i="73"/>
  <c r="GD27" i="73"/>
  <c r="GH26" i="73"/>
  <c r="GD26" i="73"/>
  <c r="GH25" i="73"/>
  <c r="GD25" i="73"/>
  <c r="GH24" i="73"/>
  <c r="GD24" i="73"/>
  <c r="GH23" i="73"/>
  <c r="GD23" i="73"/>
  <c r="GH21" i="73"/>
  <c r="GD21" i="73"/>
  <c r="GH20" i="73"/>
  <c r="GD20" i="73"/>
  <c r="GH19" i="73"/>
  <c r="GD19" i="73"/>
  <c r="GH18" i="73"/>
  <c r="GD18" i="73"/>
  <c r="GH17" i="73"/>
  <c r="GD17" i="73"/>
  <c r="GH16" i="73"/>
  <c r="GD16" i="73"/>
  <c r="GH15" i="73"/>
  <c r="GD15" i="73"/>
  <c r="GH14" i="73"/>
  <c r="GD14" i="73"/>
  <c r="GH13" i="73"/>
  <c r="GD13" i="73"/>
  <c r="GH45" i="73" l="1"/>
  <c r="GD44" i="73"/>
  <c r="GD45" i="73"/>
  <c r="GH44" i="73"/>
  <c r="GE44" i="73"/>
  <c r="B203" i="1" l="1"/>
  <c r="B205" i="1" l="1"/>
  <c r="S419" i="30"/>
  <c r="X418" i="30"/>
  <c r="W418" i="30"/>
  <c r="V418" i="30"/>
  <c r="R418" i="30"/>
  <c r="X417" i="30"/>
  <c r="W417" i="30"/>
  <c r="V417" i="30"/>
  <c r="R417" i="30"/>
  <c r="J417" i="30"/>
  <c r="X416" i="30"/>
  <c r="W416" i="30"/>
  <c r="V416" i="30"/>
  <c r="R416" i="30"/>
  <c r="J416" i="30"/>
  <c r="X415" i="30"/>
  <c r="W415" i="30"/>
  <c r="V415" i="30"/>
  <c r="R415" i="30"/>
  <c r="J415" i="30"/>
  <c r="X414" i="30"/>
  <c r="W414" i="30"/>
  <c r="V414" i="30"/>
  <c r="R414" i="30"/>
  <c r="J414" i="30"/>
  <c r="X413" i="30"/>
  <c r="W413" i="30"/>
  <c r="V413" i="30"/>
  <c r="R413" i="30"/>
  <c r="J413" i="30"/>
  <c r="X412" i="30"/>
  <c r="W412" i="30"/>
  <c r="V412" i="30"/>
  <c r="R412" i="30"/>
  <c r="J412" i="30"/>
  <c r="X411" i="30"/>
  <c r="T419" i="30"/>
  <c r="R15" i="30" s="1"/>
  <c r="R411" i="30"/>
  <c r="X410" i="30"/>
  <c r="W410" i="30"/>
  <c r="V410" i="30"/>
  <c r="R410" i="30"/>
  <c r="J410" i="30"/>
  <c r="X409" i="30"/>
  <c r="W409" i="30"/>
  <c r="V409" i="30"/>
  <c r="R409" i="30"/>
  <c r="J409" i="30"/>
  <c r="X408" i="30"/>
  <c r="W408" i="30"/>
  <c r="V408" i="30"/>
  <c r="R408" i="30"/>
  <c r="J408" i="30"/>
  <c r="X407" i="30"/>
  <c r="W407" i="30"/>
  <c r="V407" i="30"/>
  <c r="R407" i="30"/>
  <c r="J407" i="30"/>
  <c r="X406" i="30"/>
  <c r="W406" i="30"/>
  <c r="V406" i="30"/>
  <c r="R406" i="30"/>
  <c r="J406" i="30"/>
  <c r="X405" i="30"/>
  <c r="W405" i="30"/>
  <c r="V405" i="30"/>
  <c r="R405" i="30"/>
  <c r="J405" i="30"/>
  <c r="X404" i="30"/>
  <c r="W404" i="30"/>
  <c r="V404" i="30"/>
  <c r="R404" i="30"/>
  <c r="J404" i="30"/>
  <c r="X403" i="30"/>
  <c r="W403" i="30"/>
  <c r="V403" i="30"/>
  <c r="R403" i="30"/>
  <c r="J403" i="30"/>
  <c r="V402" i="30"/>
  <c r="X402" i="30"/>
  <c r="L419" i="30"/>
  <c r="J15" i="30" s="1"/>
  <c r="J402" i="30"/>
  <c r="X401" i="30"/>
  <c r="W401" i="30"/>
  <c r="V401" i="30"/>
  <c r="R401" i="30"/>
  <c r="J401" i="30"/>
  <c r="X400" i="30"/>
  <c r="W400" i="30"/>
  <c r="V400" i="30"/>
  <c r="R400" i="30"/>
  <c r="J400" i="30"/>
  <c r="X399" i="30"/>
  <c r="W399" i="30"/>
  <c r="V399" i="30"/>
  <c r="R399" i="30"/>
  <c r="J399" i="30"/>
  <c r="X398" i="30"/>
  <c r="W398" i="30"/>
  <c r="V398" i="30"/>
  <c r="R398" i="30"/>
  <c r="J398" i="30"/>
  <c r="X397" i="30"/>
  <c r="W397" i="30"/>
  <c r="V397" i="30"/>
  <c r="R397" i="30"/>
  <c r="J397" i="30"/>
  <c r="X396" i="30"/>
  <c r="W396" i="30"/>
  <c r="V396" i="30"/>
  <c r="R396" i="30"/>
  <c r="J396" i="30"/>
  <c r="X395" i="30"/>
  <c r="W395" i="30"/>
  <c r="V395" i="30"/>
  <c r="R395" i="30"/>
  <c r="J395" i="30"/>
  <c r="X394" i="30"/>
  <c r="W394" i="30"/>
  <c r="V394" i="30"/>
  <c r="R394" i="30"/>
  <c r="J394" i="30"/>
  <c r="X393" i="30"/>
  <c r="W393" i="30"/>
  <c r="V393" i="30"/>
  <c r="R393" i="30"/>
  <c r="J393" i="30"/>
  <c r="X392" i="30"/>
  <c r="W392" i="30"/>
  <c r="V392" i="30"/>
  <c r="R392" i="30"/>
  <c r="J392" i="30"/>
  <c r="X391" i="30"/>
  <c r="W391" i="30"/>
  <c r="V391" i="30"/>
  <c r="R391" i="30"/>
  <c r="J391" i="30"/>
  <c r="X390" i="30"/>
  <c r="W390" i="30"/>
  <c r="V390" i="30"/>
  <c r="R390" i="30"/>
  <c r="J390" i="30"/>
  <c r="X389" i="30"/>
  <c r="W389" i="30"/>
  <c r="V389" i="30"/>
  <c r="R389" i="30"/>
  <c r="J389" i="30"/>
  <c r="X388" i="30"/>
  <c r="W388" i="30"/>
  <c r="V388" i="30"/>
  <c r="R388" i="30"/>
  <c r="J388" i="30"/>
  <c r="Y403" i="30" l="1"/>
  <c r="Y418" i="30"/>
  <c r="Y396" i="30"/>
  <c r="Y395" i="30"/>
  <c r="Y406" i="30"/>
  <c r="Y392" i="30"/>
  <c r="Y409" i="30"/>
  <c r="Y407" i="30"/>
  <c r="Y391" i="30"/>
  <c r="Y408" i="30"/>
  <c r="Y394" i="30"/>
  <c r="Y416" i="30"/>
  <c r="Y404" i="30"/>
  <c r="Y397" i="30"/>
  <c r="W402" i="30"/>
  <c r="Y402" i="30" s="1"/>
  <c r="Y388" i="30"/>
  <c r="Y400" i="30"/>
  <c r="Y393" i="30"/>
  <c r="Y405" i="30"/>
  <c r="Y398" i="30"/>
  <c r="Y410" i="30"/>
  <c r="J411" i="30"/>
  <c r="Y389" i="30"/>
  <c r="Y401" i="30"/>
  <c r="Y399" i="30"/>
  <c r="U419" i="30"/>
  <c r="S15" i="30" s="1"/>
  <c r="X419" i="30"/>
  <c r="Y413" i="30"/>
  <c r="V411" i="30"/>
  <c r="Y414" i="30"/>
  <c r="Y412" i="30"/>
  <c r="Y417" i="30"/>
  <c r="Y415" i="30"/>
  <c r="Y390" i="30"/>
  <c r="M419" i="30"/>
  <c r="W411" i="30"/>
  <c r="Y411" i="30" s="1"/>
  <c r="R402" i="30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J317" i="1"/>
  <c r="I317" i="1"/>
  <c r="AA304" i="1"/>
  <c r="P125" i="1"/>
  <c r="P123" i="1"/>
  <c r="V419" i="30" l="1"/>
  <c r="AA317" i="1"/>
  <c r="R419" i="30"/>
  <c r="K15" i="30"/>
  <c r="Z317" i="1"/>
  <c r="AB317" i="1" s="1"/>
  <c r="W419" i="30"/>
  <c r="Y419" i="30" s="1"/>
  <c r="M44" i="79"/>
  <c r="L44" i="79"/>
  <c r="M21" i="79"/>
  <c r="S698" i="56" l="1"/>
  <c r="T698" i="56" s="1"/>
  <c r="S697" i="56"/>
  <c r="T697" i="56" s="1"/>
  <c r="S693" i="56"/>
  <c r="T693" i="56" s="1"/>
  <c r="P368" i="56" l="1"/>
  <c r="O446" i="65" l="1"/>
  <c r="O447" i="65"/>
  <c r="O448" i="65"/>
  <c r="O444" i="65"/>
  <c r="O445" i="65"/>
  <c r="N470" i="65"/>
  <c r="M470" i="65"/>
  <c r="L470" i="65"/>
  <c r="K470" i="65"/>
  <c r="J470" i="65"/>
  <c r="I470" i="65"/>
  <c r="H470" i="65"/>
  <c r="G470" i="65"/>
  <c r="F470" i="65"/>
  <c r="E470" i="65"/>
  <c r="D470" i="65"/>
  <c r="C470" i="65"/>
  <c r="O397" i="65"/>
  <c r="N483" i="65"/>
  <c r="M483" i="65"/>
  <c r="L483" i="65"/>
  <c r="K483" i="65"/>
  <c r="J483" i="65"/>
  <c r="I483" i="65"/>
  <c r="H483" i="65"/>
  <c r="G483" i="65"/>
  <c r="F483" i="65"/>
  <c r="E483" i="65"/>
  <c r="D483" i="65"/>
  <c r="C483" i="65"/>
  <c r="O482" i="65"/>
  <c r="O481" i="65"/>
  <c r="O480" i="65"/>
  <c r="O479" i="65"/>
  <c r="O478" i="65"/>
  <c r="O477" i="65"/>
  <c r="O476" i="65"/>
  <c r="O474" i="65"/>
  <c r="O473" i="65"/>
  <c r="O469" i="65"/>
  <c r="O468" i="65"/>
  <c r="O467" i="65"/>
  <c r="O466" i="65"/>
  <c r="O465" i="65"/>
  <c r="N463" i="65"/>
  <c r="M463" i="65"/>
  <c r="L463" i="65"/>
  <c r="K463" i="65"/>
  <c r="J463" i="65"/>
  <c r="I463" i="65"/>
  <c r="H463" i="65"/>
  <c r="G463" i="65"/>
  <c r="F463" i="65"/>
  <c r="E463" i="65"/>
  <c r="D463" i="65"/>
  <c r="C463" i="65"/>
  <c r="O462" i="65"/>
  <c r="O461" i="65"/>
  <c r="O460" i="65"/>
  <c r="O458" i="65"/>
  <c r="O456" i="65"/>
  <c r="O455" i="65"/>
  <c r="O454" i="65"/>
  <c r="O453" i="65"/>
  <c r="O452" i="65"/>
  <c r="O451" i="65"/>
  <c r="N449" i="65"/>
  <c r="M449" i="65"/>
  <c r="L449" i="65"/>
  <c r="K449" i="65"/>
  <c r="J449" i="65"/>
  <c r="I449" i="65"/>
  <c r="H449" i="65"/>
  <c r="G449" i="65"/>
  <c r="F449" i="65"/>
  <c r="E449" i="65"/>
  <c r="D449" i="65"/>
  <c r="C449" i="65"/>
  <c r="O443" i="65"/>
  <c r="N441" i="65"/>
  <c r="M441" i="65"/>
  <c r="L441" i="65"/>
  <c r="K441" i="65"/>
  <c r="J441" i="65"/>
  <c r="I441" i="65"/>
  <c r="H441" i="65"/>
  <c r="G441" i="65"/>
  <c r="F441" i="65"/>
  <c r="E441" i="65"/>
  <c r="D441" i="65"/>
  <c r="C441" i="65"/>
  <c r="O440" i="65"/>
  <c r="O439" i="65"/>
  <c r="O438" i="65"/>
  <c r="G471" i="65" l="1"/>
  <c r="C471" i="65"/>
  <c r="O470" i="65"/>
  <c r="F471" i="65"/>
  <c r="E471" i="65"/>
  <c r="O449" i="65"/>
  <c r="D471" i="65"/>
  <c r="H471" i="65"/>
  <c r="I471" i="65"/>
  <c r="O483" i="65"/>
  <c r="O463" i="65"/>
  <c r="J471" i="65"/>
  <c r="L471" i="65"/>
  <c r="M471" i="65"/>
  <c r="N471" i="65"/>
  <c r="K471" i="65"/>
  <c r="O441" i="65"/>
  <c r="O422" i="65"/>
  <c r="N431" i="65"/>
  <c r="M431" i="65"/>
  <c r="L431" i="65"/>
  <c r="K431" i="65"/>
  <c r="J431" i="65"/>
  <c r="I431" i="65"/>
  <c r="H431" i="65"/>
  <c r="G431" i="65"/>
  <c r="F431" i="65"/>
  <c r="E431" i="65"/>
  <c r="D431" i="65"/>
  <c r="C431" i="65"/>
  <c r="O430" i="65"/>
  <c r="O429" i="65"/>
  <c r="O428" i="65"/>
  <c r="O427" i="65"/>
  <c r="O426" i="65"/>
  <c r="O425" i="65"/>
  <c r="O424" i="65"/>
  <c r="O421" i="65"/>
  <c r="N418" i="65"/>
  <c r="M418" i="65"/>
  <c r="L418" i="65"/>
  <c r="K418" i="65"/>
  <c r="J418" i="65"/>
  <c r="I418" i="65"/>
  <c r="H418" i="65"/>
  <c r="G418" i="65"/>
  <c r="F418" i="65"/>
  <c r="E418" i="65"/>
  <c r="D418" i="65"/>
  <c r="C418" i="65"/>
  <c r="O417" i="65"/>
  <c r="O416" i="65"/>
  <c r="O415" i="65"/>
  <c r="O414" i="65"/>
  <c r="O413" i="65"/>
  <c r="N411" i="65"/>
  <c r="M411" i="65"/>
  <c r="L411" i="65"/>
  <c r="K411" i="65"/>
  <c r="J411" i="65"/>
  <c r="I411" i="65"/>
  <c r="H411" i="65"/>
  <c r="G411" i="65"/>
  <c r="F411" i="65"/>
  <c r="E411" i="65"/>
  <c r="D411" i="65"/>
  <c r="C411" i="65"/>
  <c r="O410" i="65"/>
  <c r="O409" i="65"/>
  <c r="O408" i="65"/>
  <c r="O407" i="65"/>
  <c r="O405" i="65"/>
  <c r="O404" i="65"/>
  <c r="O403" i="65"/>
  <c r="O402" i="65"/>
  <c r="O401" i="65"/>
  <c r="O400" i="65"/>
  <c r="N398" i="65"/>
  <c r="M398" i="65"/>
  <c r="L398" i="65"/>
  <c r="K398" i="65"/>
  <c r="J398" i="65"/>
  <c r="I398" i="65"/>
  <c r="H398" i="65"/>
  <c r="G398" i="65"/>
  <c r="F398" i="65"/>
  <c r="E398" i="65"/>
  <c r="D398" i="65"/>
  <c r="C398" i="65"/>
  <c r="O396" i="65"/>
  <c r="O395" i="65"/>
  <c r="O394" i="65"/>
  <c r="O393" i="65"/>
  <c r="N391" i="65"/>
  <c r="M391" i="65"/>
  <c r="L391" i="65"/>
  <c r="K391" i="65"/>
  <c r="J391" i="65"/>
  <c r="I391" i="65"/>
  <c r="H391" i="65"/>
  <c r="G391" i="65"/>
  <c r="F391" i="65"/>
  <c r="E391" i="65"/>
  <c r="D391" i="65"/>
  <c r="C391" i="65"/>
  <c r="O390" i="65"/>
  <c r="O389" i="65"/>
  <c r="O388" i="65"/>
  <c r="O471" i="65" l="1"/>
  <c r="E419" i="65"/>
  <c r="O398" i="65"/>
  <c r="O431" i="65"/>
  <c r="L419" i="65"/>
  <c r="N419" i="65"/>
  <c r="D419" i="65"/>
  <c r="M419" i="65"/>
  <c r="C419" i="65"/>
  <c r="G419" i="65"/>
  <c r="O411" i="65"/>
  <c r="J419" i="65"/>
  <c r="F419" i="65"/>
  <c r="O391" i="65"/>
  <c r="H419" i="65"/>
  <c r="I419" i="65"/>
  <c r="K419" i="65"/>
  <c r="O418" i="65"/>
  <c r="O352" i="65"/>
  <c r="O353" i="65"/>
  <c r="O354" i="65"/>
  <c r="O359" i="65"/>
  <c r="O358" i="65"/>
  <c r="O357" i="65"/>
  <c r="O356" i="65"/>
  <c r="O355" i="65"/>
  <c r="N380" i="65"/>
  <c r="M380" i="65"/>
  <c r="L380" i="65"/>
  <c r="K380" i="65"/>
  <c r="J380" i="65"/>
  <c r="O345" i="65"/>
  <c r="D348" i="65"/>
  <c r="E348" i="65"/>
  <c r="F348" i="65"/>
  <c r="G348" i="65"/>
  <c r="H348" i="65"/>
  <c r="I348" i="65"/>
  <c r="J348" i="65"/>
  <c r="K348" i="65"/>
  <c r="L348" i="65"/>
  <c r="M348" i="65"/>
  <c r="N348" i="65"/>
  <c r="C348" i="65"/>
  <c r="F364" i="65"/>
  <c r="F367" i="65" s="1"/>
  <c r="O351" i="65"/>
  <c r="O350" i="65"/>
  <c r="O346" i="65"/>
  <c r="O344" i="65"/>
  <c r="O343" i="65"/>
  <c r="N360" i="65"/>
  <c r="M360" i="65"/>
  <c r="L360" i="65"/>
  <c r="K360" i="65"/>
  <c r="J360" i="65"/>
  <c r="I360" i="65"/>
  <c r="H360" i="65"/>
  <c r="G360" i="65"/>
  <c r="F360" i="65"/>
  <c r="E360" i="65"/>
  <c r="D360" i="65"/>
  <c r="C360" i="65"/>
  <c r="N341" i="65"/>
  <c r="M341" i="65"/>
  <c r="L341" i="65"/>
  <c r="K341" i="65"/>
  <c r="J341" i="65"/>
  <c r="I341" i="65"/>
  <c r="H341" i="65"/>
  <c r="G341" i="65"/>
  <c r="F341" i="65"/>
  <c r="E341" i="65"/>
  <c r="D341" i="65"/>
  <c r="I380" i="65"/>
  <c r="H380" i="65"/>
  <c r="G380" i="65"/>
  <c r="F380" i="65"/>
  <c r="E380" i="65"/>
  <c r="D380" i="65"/>
  <c r="C380" i="65"/>
  <c r="O379" i="65"/>
  <c r="O378" i="65"/>
  <c r="O377" i="65"/>
  <c r="O376" i="65"/>
  <c r="O375" i="65"/>
  <c r="O374" i="65"/>
  <c r="O373" i="65"/>
  <c r="O370" i="65"/>
  <c r="N367" i="65"/>
  <c r="L367" i="65"/>
  <c r="K367" i="65"/>
  <c r="J367" i="65"/>
  <c r="I367" i="65"/>
  <c r="H367" i="65"/>
  <c r="G367" i="65"/>
  <c r="E367" i="65"/>
  <c r="D367" i="65"/>
  <c r="C367" i="65"/>
  <c r="O366" i="65"/>
  <c r="O365" i="65"/>
  <c r="O363" i="65"/>
  <c r="M367" i="65"/>
  <c r="C341" i="65"/>
  <c r="O340" i="65"/>
  <c r="O339" i="65"/>
  <c r="O338" i="65"/>
  <c r="I368" i="65" l="1"/>
  <c r="F368" i="65"/>
  <c r="C368" i="65"/>
  <c r="D368" i="65"/>
  <c r="E368" i="65"/>
  <c r="K368" i="65"/>
  <c r="O364" i="65"/>
  <c r="G368" i="65"/>
  <c r="O419" i="65"/>
  <c r="N368" i="65"/>
  <c r="M368" i="65"/>
  <c r="L368" i="65"/>
  <c r="O360" i="65"/>
  <c r="J368" i="65"/>
  <c r="O348" i="65"/>
  <c r="H368" i="65"/>
  <c r="O380" i="65"/>
  <c r="O341" i="65"/>
  <c r="O362" i="65"/>
  <c r="O367" i="65" l="1"/>
  <c r="O368" i="65" s="1"/>
  <c r="D312" i="65" l="1"/>
  <c r="E312" i="65"/>
  <c r="F312" i="65"/>
  <c r="G312" i="65"/>
  <c r="H312" i="65"/>
  <c r="I312" i="65"/>
  <c r="J312" i="65"/>
  <c r="K312" i="65"/>
  <c r="L312" i="65"/>
  <c r="M312" i="65"/>
  <c r="N312" i="65"/>
  <c r="C312" i="65"/>
  <c r="M314" i="65"/>
  <c r="O314" i="65" s="1"/>
  <c r="K316" i="65"/>
  <c r="K318" i="65" s="1"/>
  <c r="N318" i="65"/>
  <c r="L318" i="65"/>
  <c r="J318" i="65"/>
  <c r="I318" i="65"/>
  <c r="H318" i="65"/>
  <c r="G318" i="65"/>
  <c r="F318" i="65"/>
  <c r="E318" i="65"/>
  <c r="D318" i="65"/>
  <c r="C318" i="65"/>
  <c r="O324" i="65"/>
  <c r="N307" i="65"/>
  <c r="M307" i="65"/>
  <c r="L307" i="65"/>
  <c r="K307" i="65"/>
  <c r="J307" i="65"/>
  <c r="I307" i="65"/>
  <c r="H307" i="65"/>
  <c r="G307" i="65"/>
  <c r="F307" i="65"/>
  <c r="E307" i="65"/>
  <c r="D307" i="65"/>
  <c r="O306" i="65"/>
  <c r="C307" i="65"/>
  <c r="O274" i="65"/>
  <c r="N275" i="65"/>
  <c r="M275" i="65"/>
  <c r="L275" i="65"/>
  <c r="K275" i="65"/>
  <c r="J275" i="65"/>
  <c r="I275" i="65"/>
  <c r="H275" i="65"/>
  <c r="G275" i="65"/>
  <c r="F275" i="65"/>
  <c r="E275" i="65"/>
  <c r="D275" i="65"/>
  <c r="C275" i="65"/>
  <c r="N331" i="65"/>
  <c r="M331" i="65"/>
  <c r="L331" i="65"/>
  <c r="K331" i="65"/>
  <c r="J331" i="65"/>
  <c r="I331" i="65"/>
  <c r="H331" i="65"/>
  <c r="G331" i="65"/>
  <c r="F331" i="65"/>
  <c r="E331" i="65"/>
  <c r="D331" i="65"/>
  <c r="C331" i="65"/>
  <c r="O330" i="65"/>
  <c r="O329" i="65"/>
  <c r="O328" i="65"/>
  <c r="O327" i="65"/>
  <c r="O326" i="65"/>
  <c r="O325" i="65"/>
  <c r="O321" i="65"/>
  <c r="O317" i="65"/>
  <c r="O315" i="65"/>
  <c r="O311" i="65"/>
  <c r="O309" i="65"/>
  <c r="O308" i="65"/>
  <c r="O305" i="65"/>
  <c r="O304" i="65"/>
  <c r="O258" i="65"/>
  <c r="O287" i="65"/>
  <c r="O295" i="65"/>
  <c r="O294" i="65"/>
  <c r="O254" i="65"/>
  <c r="O253" i="65"/>
  <c r="N242" i="65"/>
  <c r="N297" i="65"/>
  <c r="M297" i="65"/>
  <c r="L297" i="65"/>
  <c r="K297" i="65"/>
  <c r="J297" i="65"/>
  <c r="I297" i="65"/>
  <c r="H297" i="65"/>
  <c r="G297" i="65"/>
  <c r="F297" i="65"/>
  <c r="E297" i="65"/>
  <c r="D297" i="65"/>
  <c r="C297" i="65"/>
  <c r="O296" i="65"/>
  <c r="O293" i="65"/>
  <c r="O292" i="65"/>
  <c r="O291" i="65"/>
  <c r="N284" i="65"/>
  <c r="M284" i="65"/>
  <c r="L284" i="65"/>
  <c r="K284" i="65"/>
  <c r="I284" i="65"/>
  <c r="H284" i="65"/>
  <c r="G284" i="65"/>
  <c r="F284" i="65"/>
  <c r="E284" i="65"/>
  <c r="D284" i="65"/>
  <c r="C284" i="65"/>
  <c r="O283" i="65"/>
  <c r="O282" i="65"/>
  <c r="O281" i="65"/>
  <c r="J284" i="65"/>
  <c r="N279" i="65"/>
  <c r="M279" i="65"/>
  <c r="L279" i="65"/>
  <c r="K279" i="65"/>
  <c r="J279" i="65"/>
  <c r="I279" i="65"/>
  <c r="H279" i="65"/>
  <c r="G279" i="65"/>
  <c r="F279" i="65"/>
  <c r="E279" i="65"/>
  <c r="D279" i="65"/>
  <c r="C279" i="65"/>
  <c r="O278" i="65"/>
  <c r="O277" i="65"/>
  <c r="O276" i="65"/>
  <c r="O273" i="65"/>
  <c r="O272" i="65"/>
  <c r="D264" i="65"/>
  <c r="E264" i="65"/>
  <c r="F264" i="65"/>
  <c r="G264" i="65"/>
  <c r="H264" i="65"/>
  <c r="I264" i="65"/>
  <c r="J264" i="65"/>
  <c r="K264" i="65"/>
  <c r="L264" i="65"/>
  <c r="M264" i="65"/>
  <c r="N264" i="65"/>
  <c r="C264" i="65"/>
  <c r="D251" i="65"/>
  <c r="E251" i="65"/>
  <c r="F251" i="65"/>
  <c r="G251" i="65"/>
  <c r="H251" i="65"/>
  <c r="K251" i="65"/>
  <c r="L251" i="65"/>
  <c r="M251" i="65"/>
  <c r="C251" i="65"/>
  <c r="D246" i="65"/>
  <c r="E246" i="65"/>
  <c r="F246" i="65"/>
  <c r="G246" i="65"/>
  <c r="H246" i="65"/>
  <c r="I246" i="65"/>
  <c r="J246" i="65"/>
  <c r="K246" i="65"/>
  <c r="L246" i="65"/>
  <c r="M246" i="65"/>
  <c r="N246" i="65"/>
  <c r="C246" i="65"/>
  <c r="D242" i="65"/>
  <c r="E242" i="65"/>
  <c r="F242" i="65"/>
  <c r="G242" i="65"/>
  <c r="H242" i="65"/>
  <c r="I242" i="65"/>
  <c r="J242" i="65"/>
  <c r="K242" i="65"/>
  <c r="L242" i="65"/>
  <c r="M242" i="65"/>
  <c r="C242" i="65"/>
  <c r="O263" i="65"/>
  <c r="O262" i="65"/>
  <c r="O261" i="65"/>
  <c r="O260" i="65"/>
  <c r="O259" i="65"/>
  <c r="O250" i="65"/>
  <c r="O249" i="65"/>
  <c r="O243" i="65"/>
  <c r="O244" i="65"/>
  <c r="O245" i="65"/>
  <c r="O241" i="65"/>
  <c r="O240" i="65"/>
  <c r="N248" i="65"/>
  <c r="N251" i="65" s="1"/>
  <c r="J248" i="65"/>
  <c r="J251" i="65" s="1"/>
  <c r="I248" i="65"/>
  <c r="O201" i="65"/>
  <c r="O202" i="65"/>
  <c r="C203" i="65"/>
  <c r="D203" i="65"/>
  <c r="E203" i="65"/>
  <c r="F203" i="65"/>
  <c r="G203" i="65"/>
  <c r="H203" i="65"/>
  <c r="I203" i="65"/>
  <c r="J203" i="65"/>
  <c r="K203" i="65"/>
  <c r="L203" i="65"/>
  <c r="M203" i="65"/>
  <c r="N203" i="65"/>
  <c r="P130" i="54"/>
  <c r="R130" i="54"/>
  <c r="P134" i="54"/>
  <c r="R134" i="54"/>
  <c r="P138" i="54"/>
  <c r="R138" i="54"/>
  <c r="P142" i="54"/>
  <c r="R142" i="54"/>
  <c r="O146" i="54"/>
  <c r="Q146" i="54"/>
  <c r="Z130" i="54"/>
  <c r="AB130" i="54"/>
  <c r="AJ130" i="54"/>
  <c r="AK130" i="54"/>
  <c r="AL130" i="54"/>
  <c r="AN130" i="54"/>
  <c r="AP130" i="54"/>
  <c r="AT130" i="54"/>
  <c r="AV130" i="54"/>
  <c r="Z134" i="54"/>
  <c r="AB134" i="54"/>
  <c r="AJ134" i="54"/>
  <c r="AK134" i="54"/>
  <c r="AL134" i="54"/>
  <c r="AN134" i="54"/>
  <c r="AP134" i="54"/>
  <c r="AT134" i="54"/>
  <c r="AV134" i="54"/>
  <c r="Z138" i="54"/>
  <c r="AB138" i="54"/>
  <c r="AJ138" i="54"/>
  <c r="AK138" i="54"/>
  <c r="AL138" i="54"/>
  <c r="AN138" i="54"/>
  <c r="AP138" i="54"/>
  <c r="AT138" i="54"/>
  <c r="AV138" i="54"/>
  <c r="Z142" i="54"/>
  <c r="AB142" i="54"/>
  <c r="AJ142" i="54"/>
  <c r="AK142" i="54"/>
  <c r="AL142" i="54"/>
  <c r="AN142" i="54"/>
  <c r="AO142" i="54"/>
  <c r="AO146" i="54" s="1"/>
  <c r="AP142" i="54"/>
  <c r="AQ142" i="54"/>
  <c r="AQ146" i="54" s="1"/>
  <c r="AT142" i="54"/>
  <c r="AV142" i="54"/>
  <c r="AY142" i="54"/>
  <c r="AY146" i="54" s="1"/>
  <c r="BA142" i="54"/>
  <c r="BA146" i="54" s="1"/>
  <c r="T146" i="54"/>
  <c r="U146" i="54"/>
  <c r="V146" i="54"/>
  <c r="W146" i="54"/>
  <c r="Y146" i="54"/>
  <c r="AA146" i="54"/>
  <c r="AD146" i="54"/>
  <c r="AE146" i="54"/>
  <c r="AF146" i="54"/>
  <c r="AG146" i="54"/>
  <c r="AI146" i="54"/>
  <c r="AS146" i="54"/>
  <c r="AU146" i="54"/>
  <c r="AX146" i="54"/>
  <c r="AZ146" i="54"/>
  <c r="D319" i="65" l="1"/>
  <c r="M252" i="65"/>
  <c r="O316" i="65"/>
  <c r="O318" i="65" s="1"/>
  <c r="L319" i="65"/>
  <c r="O248" i="65"/>
  <c r="O251" i="65" s="1"/>
  <c r="M318" i="65"/>
  <c r="M319" i="65" s="1"/>
  <c r="D252" i="65"/>
  <c r="N319" i="65"/>
  <c r="N252" i="65"/>
  <c r="O264" i="65"/>
  <c r="P146" i="54"/>
  <c r="R146" i="54"/>
  <c r="H252" i="65"/>
  <c r="N285" i="65"/>
  <c r="AK146" i="54"/>
  <c r="Z146" i="54"/>
  <c r="E319" i="65"/>
  <c r="O312" i="65"/>
  <c r="G319" i="65"/>
  <c r="C319" i="65"/>
  <c r="K319" i="65"/>
  <c r="G252" i="65"/>
  <c r="F252" i="65"/>
  <c r="C285" i="65"/>
  <c r="E252" i="65"/>
  <c r="H319" i="65"/>
  <c r="O275" i="65"/>
  <c r="J319" i="65"/>
  <c r="F319" i="65"/>
  <c r="O331" i="65"/>
  <c r="I319" i="65"/>
  <c r="O307" i="65"/>
  <c r="O297" i="65"/>
  <c r="J252" i="65"/>
  <c r="C252" i="65"/>
  <c r="L252" i="65"/>
  <c r="K252" i="65"/>
  <c r="F285" i="65"/>
  <c r="G285" i="65"/>
  <c r="I285" i="65"/>
  <c r="J285" i="65"/>
  <c r="M285" i="65"/>
  <c r="E285" i="65"/>
  <c r="O284" i="65"/>
  <c r="K285" i="65"/>
  <c r="O279" i="65"/>
  <c r="L285" i="65"/>
  <c r="D285" i="65"/>
  <c r="H285" i="65"/>
  <c r="I251" i="65"/>
  <c r="I252" i="65" s="1"/>
  <c r="O246" i="65"/>
  <c r="O242" i="65"/>
  <c r="O203" i="65"/>
  <c r="AN146" i="54"/>
  <c r="AV146" i="54"/>
  <c r="AT146" i="54"/>
  <c r="AP146" i="54"/>
  <c r="AL146" i="54"/>
  <c r="AJ146" i="54"/>
  <c r="AB146" i="54"/>
  <c r="O319" i="65" l="1"/>
  <c r="O285" i="65"/>
  <c r="O252" i="65"/>
  <c r="P65" i="49" l="1"/>
  <c r="N210" i="65" l="1"/>
  <c r="M210" i="65"/>
  <c r="L210" i="65"/>
  <c r="K210" i="65"/>
  <c r="J210" i="65"/>
  <c r="I210" i="65"/>
  <c r="H210" i="65"/>
  <c r="G210" i="65"/>
  <c r="F210" i="65"/>
  <c r="E210" i="65"/>
  <c r="D210" i="65"/>
  <c r="C210" i="65"/>
  <c r="O209" i="65"/>
  <c r="O208" i="65"/>
  <c r="N217" i="65"/>
  <c r="M217" i="65"/>
  <c r="L217" i="65"/>
  <c r="K217" i="65"/>
  <c r="J217" i="65"/>
  <c r="I217" i="65"/>
  <c r="H217" i="65"/>
  <c r="G217" i="65"/>
  <c r="F217" i="65"/>
  <c r="E217" i="65"/>
  <c r="D217" i="65"/>
  <c r="C217" i="65"/>
  <c r="O216" i="65"/>
  <c r="O215" i="65"/>
  <c r="N223" i="65"/>
  <c r="M223" i="65"/>
  <c r="L223" i="65"/>
  <c r="K223" i="65"/>
  <c r="J223" i="65"/>
  <c r="I223" i="65"/>
  <c r="H223" i="65"/>
  <c r="G223" i="65"/>
  <c r="F223" i="65"/>
  <c r="E223" i="65"/>
  <c r="D223" i="65"/>
  <c r="C223" i="65"/>
  <c r="O222" i="65"/>
  <c r="O221" i="65"/>
  <c r="O210" i="65" l="1"/>
  <c r="O217" i="65"/>
  <c r="O223" i="65"/>
  <c r="D234" i="65"/>
  <c r="E234" i="65"/>
  <c r="F234" i="65"/>
  <c r="G234" i="65"/>
  <c r="H234" i="65"/>
  <c r="I234" i="65"/>
  <c r="J234" i="65"/>
  <c r="K234" i="65"/>
  <c r="L234" i="65"/>
  <c r="M234" i="65"/>
  <c r="N234" i="65"/>
  <c r="C234" i="65"/>
  <c r="O233" i="65"/>
  <c r="O232" i="65"/>
  <c r="O227" i="65"/>
  <c r="O226" i="65"/>
  <c r="N228" i="65"/>
  <c r="M228" i="65"/>
  <c r="L228" i="65"/>
  <c r="K228" i="65"/>
  <c r="J228" i="65"/>
  <c r="I228" i="65"/>
  <c r="H228" i="65"/>
  <c r="G228" i="65"/>
  <c r="F228" i="65"/>
  <c r="E228" i="65"/>
  <c r="D228" i="65"/>
  <c r="C228" i="65"/>
  <c r="O228" i="65" l="1"/>
  <c r="O234" i="65"/>
  <c r="E304" i="1" l="1"/>
  <c r="AK87" i="3" l="1"/>
  <c r="AK88" i="49"/>
  <c r="M212" i="54" l="1"/>
  <c r="M216" i="54" s="1"/>
  <c r="K212" i="54"/>
  <c r="K216" i="54" s="1"/>
  <c r="H212" i="54"/>
  <c r="H208" i="54"/>
  <c r="H204" i="54"/>
  <c r="H200" i="54"/>
  <c r="F212" i="54"/>
  <c r="F208" i="54"/>
  <c r="F204" i="54"/>
  <c r="F200" i="54"/>
  <c r="E216" i="54"/>
  <c r="L216" i="54"/>
  <c r="J216" i="54"/>
  <c r="G216" i="54"/>
  <c r="F189" i="54"/>
  <c r="F185" i="54"/>
  <c r="F181" i="54"/>
  <c r="F177" i="54"/>
  <c r="H189" i="54"/>
  <c r="H185" i="54"/>
  <c r="H181" i="54"/>
  <c r="H177" i="54"/>
  <c r="H166" i="54"/>
  <c r="H162" i="54"/>
  <c r="H158" i="54"/>
  <c r="H154" i="54"/>
  <c r="F166" i="54"/>
  <c r="F162" i="54"/>
  <c r="F158" i="54"/>
  <c r="F154" i="54"/>
  <c r="G189" i="54"/>
  <c r="G185" i="54"/>
  <c r="G181" i="54"/>
  <c r="G177" i="54"/>
  <c r="L189" i="54"/>
  <c r="L185" i="54"/>
  <c r="L181" i="54"/>
  <c r="L177" i="54"/>
  <c r="J189" i="54"/>
  <c r="J185" i="54"/>
  <c r="J181" i="54"/>
  <c r="J177" i="54"/>
  <c r="M189" i="54"/>
  <c r="M193" i="54" s="1"/>
  <c r="K189" i="54"/>
  <c r="K193" i="54" s="1"/>
  <c r="E193" i="54"/>
  <c r="L193" i="54" l="1"/>
  <c r="F193" i="54"/>
  <c r="J193" i="54"/>
  <c r="G193" i="54"/>
  <c r="H193" i="54"/>
  <c r="H216" i="54"/>
  <c r="F216" i="54"/>
  <c r="M170" i="54"/>
  <c r="L170" i="54"/>
  <c r="K170" i="54"/>
  <c r="J170" i="54"/>
  <c r="H170" i="54"/>
  <c r="G170" i="54"/>
  <c r="F170" i="54"/>
  <c r="E170" i="54"/>
  <c r="FS27" i="73" l="1"/>
  <c r="E18" i="6" l="1"/>
  <c r="E20" i="6" s="1"/>
  <c r="AF58" i="3"/>
  <c r="Y316" i="1" l="1"/>
  <c r="X316" i="1"/>
  <c r="W316" i="1"/>
  <c r="U316" i="1"/>
  <c r="S316" i="1"/>
  <c r="R316" i="1"/>
  <c r="Q316" i="1"/>
  <c r="P316" i="1"/>
  <c r="O316" i="1"/>
  <c r="N316" i="1"/>
  <c r="M316" i="1"/>
  <c r="L316" i="1"/>
  <c r="J316" i="1"/>
  <c r="I316" i="1"/>
  <c r="AA303" i="1"/>
  <c r="G316" i="1"/>
  <c r="F316" i="1"/>
  <c r="D1177" i="56"/>
  <c r="B1177" i="56"/>
  <c r="Z316" i="1" l="1"/>
  <c r="AA316" i="1"/>
  <c r="Z86" i="78"/>
  <c r="Z85" i="78"/>
  <c r="Z83" i="78"/>
  <c r="Z82" i="78"/>
  <c r="Z81" i="78"/>
  <c r="Z80" i="78"/>
  <c r="Z79" i="78"/>
  <c r="Z78" i="78"/>
  <c r="T85" i="78"/>
  <c r="T82" i="78"/>
  <c r="T80" i="78"/>
  <c r="T78" i="78"/>
  <c r="T76" i="78"/>
  <c r="T74" i="78"/>
  <c r="B30" i="78"/>
  <c r="H12" i="78"/>
  <c r="G12" i="78"/>
  <c r="F12" i="78"/>
  <c r="E12" i="78"/>
  <c r="D12" i="78"/>
  <c r="C12" i="78"/>
  <c r="B12" i="78"/>
  <c r="I12" i="78"/>
  <c r="T69" i="78"/>
  <c r="U64" i="78"/>
  <c r="U49" i="78"/>
  <c r="V45" i="78"/>
  <c r="T45" i="78"/>
  <c r="M39" i="79"/>
  <c r="L39" i="79"/>
  <c r="K39" i="79"/>
  <c r="J39" i="79"/>
  <c r="I39" i="79"/>
  <c r="H39" i="79"/>
  <c r="G39" i="79"/>
  <c r="F39" i="79"/>
  <c r="E39" i="79"/>
  <c r="C39" i="79"/>
  <c r="M35" i="79"/>
  <c r="L35" i="79"/>
  <c r="K35" i="79"/>
  <c r="J35" i="79"/>
  <c r="I35" i="79"/>
  <c r="H35" i="79"/>
  <c r="G35" i="79"/>
  <c r="C35" i="79"/>
  <c r="C20" i="79"/>
  <c r="C30" i="79" s="1"/>
  <c r="C7" i="79"/>
  <c r="C10" i="79"/>
  <c r="D39" i="79"/>
  <c r="D35" i="79"/>
  <c r="E30" i="79"/>
  <c r="D20" i="79"/>
  <c r="D30" i="79" s="1"/>
  <c r="D7" i="79"/>
  <c r="D11" i="79"/>
  <c r="D10" i="79"/>
  <c r="F35" i="79"/>
  <c r="E35" i="79"/>
  <c r="E7" i="79"/>
  <c r="E11" i="79"/>
  <c r="E9" i="79"/>
  <c r="F30" i="79"/>
  <c r="F11" i="79"/>
  <c r="F9" i="79"/>
  <c r="F7" i="79"/>
  <c r="G20" i="79"/>
  <c r="G30" i="79" s="1"/>
  <c r="G7" i="79"/>
  <c r="G8" i="79"/>
  <c r="C17" i="79" l="1"/>
  <c r="C46" i="79" s="1"/>
  <c r="C50" i="79" s="1"/>
  <c r="D17" i="79"/>
  <c r="D46" i="79" s="1"/>
  <c r="D50" i="79" s="1"/>
  <c r="F17" i="79"/>
  <c r="F46" i="79" s="1"/>
  <c r="F50" i="79" s="1"/>
  <c r="AB316" i="1"/>
  <c r="E17" i="79"/>
  <c r="E46" i="79" s="1"/>
  <c r="E50" i="79" s="1"/>
  <c r="G17" i="79"/>
  <c r="G46" i="79" s="1"/>
  <c r="G50" i="79" s="1"/>
  <c r="AI339" i="30"/>
  <c r="AI338" i="30" l="1"/>
  <c r="D182" i="65" l="1"/>
  <c r="E182" i="65"/>
  <c r="F182" i="65"/>
  <c r="G182" i="65"/>
  <c r="H182" i="65"/>
  <c r="I182" i="65"/>
  <c r="J182" i="65"/>
  <c r="K182" i="65"/>
  <c r="L182" i="65"/>
  <c r="M182" i="65"/>
  <c r="C182" i="65"/>
  <c r="F187" i="65"/>
  <c r="G187" i="65"/>
  <c r="H187" i="65"/>
  <c r="K187" i="65"/>
  <c r="L187" i="65"/>
  <c r="M187" i="65"/>
  <c r="E187" i="65"/>
  <c r="D193" i="65"/>
  <c r="E193" i="65"/>
  <c r="F193" i="65"/>
  <c r="G193" i="65"/>
  <c r="H193" i="65"/>
  <c r="I193" i="65"/>
  <c r="J193" i="65"/>
  <c r="K193" i="65"/>
  <c r="L193" i="65"/>
  <c r="M193" i="65"/>
  <c r="C193" i="65"/>
  <c r="M175" i="65"/>
  <c r="L175" i="65"/>
  <c r="K175" i="65"/>
  <c r="J186" i="65"/>
  <c r="J187" i="65" s="1"/>
  <c r="J175" i="65"/>
  <c r="I186" i="65"/>
  <c r="I187" i="65" s="1"/>
  <c r="I175" i="65"/>
  <c r="H175" i="65"/>
  <c r="F175" i="65"/>
  <c r="E175" i="65"/>
  <c r="D175" i="65"/>
  <c r="O14" i="49" l="1"/>
  <c r="O15" i="49"/>
  <c r="P15" i="49"/>
  <c r="P14" i="49"/>
  <c r="L112" i="3" l="1"/>
  <c r="L111" i="3"/>
  <c r="AH111" i="3" l="1"/>
  <c r="AH112" i="3"/>
  <c r="K31" i="49"/>
  <c r="J23" i="49"/>
  <c r="M111" i="3"/>
  <c r="G34" i="49" s="1"/>
  <c r="FV45" i="73"/>
  <c r="FU45" i="73"/>
  <c r="FT45" i="73"/>
  <c r="FR45" i="73"/>
  <c r="FQ45" i="73"/>
  <c r="FP45" i="73"/>
  <c r="FV44" i="73"/>
  <c r="FU44" i="73"/>
  <c r="FR44" i="73"/>
  <c r="FQ44" i="73"/>
  <c r="FP44" i="73"/>
  <c r="FW40" i="73"/>
  <c r="FS40" i="73"/>
  <c r="FW39" i="73"/>
  <c r="FS39" i="73"/>
  <c r="FW38" i="73"/>
  <c r="FS38" i="73"/>
  <c r="FW37" i="73"/>
  <c r="FS37" i="73"/>
  <c r="FW36" i="73"/>
  <c r="FS36" i="73"/>
  <c r="FW35" i="73"/>
  <c r="FS35" i="73"/>
  <c r="FW34" i="73"/>
  <c r="FS34" i="73"/>
  <c r="FW33" i="73"/>
  <c r="FS33" i="73"/>
  <c r="FW32" i="73"/>
  <c r="FS32" i="73"/>
  <c r="FW31" i="73"/>
  <c r="FS31" i="73"/>
  <c r="FW30" i="73"/>
  <c r="FS30" i="73"/>
  <c r="FW29" i="73"/>
  <c r="FS29" i="73"/>
  <c r="FW28" i="73"/>
  <c r="FS28" i="73"/>
  <c r="FW27" i="73"/>
  <c r="FW26" i="73"/>
  <c r="FS26" i="73"/>
  <c r="FW25" i="73"/>
  <c r="FS25" i="73"/>
  <c r="FW24" i="73"/>
  <c r="FS24" i="73"/>
  <c r="FW23" i="73"/>
  <c r="FS23" i="73"/>
  <c r="FW22" i="73"/>
  <c r="FS22" i="73"/>
  <c r="FW21" i="73"/>
  <c r="FS21" i="73"/>
  <c r="FW20" i="73"/>
  <c r="FS20" i="73"/>
  <c r="FW19" i="73"/>
  <c r="FS19" i="73"/>
  <c r="FW18" i="73"/>
  <c r="FS18" i="73"/>
  <c r="FW17" i="73"/>
  <c r="FS17" i="73"/>
  <c r="FW16" i="73"/>
  <c r="FS16" i="73"/>
  <c r="FW15" i="73"/>
  <c r="FS15" i="73"/>
  <c r="FW14" i="73"/>
  <c r="FS14" i="73"/>
  <c r="FW13" i="73"/>
  <c r="FS13" i="7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3" i="3"/>
  <c r="B204" i="1"/>
  <c r="O125" i="1"/>
  <c r="O123" i="1"/>
  <c r="FW45" i="73" l="1"/>
  <c r="FS44" i="73"/>
  <c r="FT44" i="73"/>
  <c r="FW44" i="73"/>
  <c r="FS45" i="73"/>
  <c r="BL4" i="3" l="1"/>
  <c r="AS97" i="3" l="1"/>
  <c r="AH78" i="49"/>
  <c r="O368" i="56"/>
  <c r="M61" i="49"/>
  <c r="AU4" i="3" l="1"/>
  <c r="M409" i="56"/>
  <c r="M405" i="56"/>
  <c r="N405" i="56" s="1"/>
  <c r="L409" i="56"/>
  <c r="L407" i="56"/>
  <c r="K409" i="56"/>
  <c r="K410" i="56" s="1"/>
  <c r="H409" i="56"/>
  <c r="H407" i="56"/>
  <c r="H405" i="56"/>
  <c r="G409" i="56"/>
  <c r="G407" i="56"/>
  <c r="G405" i="56"/>
  <c r="F409" i="56"/>
  <c r="F407" i="56"/>
  <c r="F405" i="56"/>
  <c r="D409" i="56"/>
  <c r="D407" i="56"/>
  <c r="E407" i="56" s="1"/>
  <c r="D405" i="56"/>
  <c r="C409" i="56"/>
  <c r="C405" i="56"/>
  <c r="B409" i="56"/>
  <c r="B410" i="56" s="1"/>
  <c r="O409" i="56"/>
  <c r="O405" i="56"/>
  <c r="P409" i="56"/>
  <c r="P405" i="56"/>
  <c r="Q409" i="56"/>
  <c r="Q405" i="56"/>
  <c r="V410" i="56"/>
  <c r="U410" i="56"/>
  <c r="R408" i="56"/>
  <c r="N408" i="56"/>
  <c r="I408" i="56"/>
  <c r="E408" i="56"/>
  <c r="R407" i="56"/>
  <c r="R406" i="56"/>
  <c r="N406" i="56"/>
  <c r="I406" i="56"/>
  <c r="E406" i="56"/>
  <c r="R404" i="56"/>
  <c r="N404" i="56"/>
  <c r="I404" i="56"/>
  <c r="E404" i="56"/>
  <c r="L396" i="56"/>
  <c r="L394" i="56"/>
  <c r="O396" i="56"/>
  <c r="O394" i="56"/>
  <c r="Q396" i="56"/>
  <c r="Q392" i="56"/>
  <c r="Q394" i="56"/>
  <c r="Q391" i="56"/>
  <c r="R391" i="56" s="1"/>
  <c r="P396" i="56"/>
  <c r="P394" i="56"/>
  <c r="P392" i="56"/>
  <c r="O392" i="56"/>
  <c r="M396" i="56"/>
  <c r="M392" i="56"/>
  <c r="L392" i="56"/>
  <c r="K396" i="56"/>
  <c r="K392" i="56"/>
  <c r="K394" i="56"/>
  <c r="H396" i="56"/>
  <c r="H392" i="56"/>
  <c r="G396" i="56"/>
  <c r="G392" i="56"/>
  <c r="F396" i="56"/>
  <c r="F392" i="56"/>
  <c r="D396" i="56"/>
  <c r="D392" i="56"/>
  <c r="C396" i="56"/>
  <c r="C392" i="56"/>
  <c r="B396" i="56"/>
  <c r="B392" i="56"/>
  <c r="V397" i="56"/>
  <c r="U397" i="56"/>
  <c r="R395" i="56"/>
  <c r="N395" i="56"/>
  <c r="I395" i="56"/>
  <c r="E395" i="56"/>
  <c r="E394" i="56"/>
  <c r="R393" i="56"/>
  <c r="N393" i="56"/>
  <c r="I393" i="56"/>
  <c r="E393" i="56"/>
  <c r="N391" i="56"/>
  <c r="E391" i="56"/>
  <c r="L410" i="56" l="1"/>
  <c r="H410" i="56"/>
  <c r="D410" i="56"/>
  <c r="C410" i="56"/>
  <c r="H397" i="56"/>
  <c r="P410" i="56"/>
  <c r="Q410" i="56"/>
  <c r="R394" i="56"/>
  <c r="P397" i="56"/>
  <c r="G410" i="56"/>
  <c r="R396" i="56"/>
  <c r="S408" i="56"/>
  <c r="D397" i="56"/>
  <c r="M397" i="56"/>
  <c r="O410" i="56"/>
  <c r="N396" i="56"/>
  <c r="F397" i="56"/>
  <c r="I396" i="56"/>
  <c r="B397" i="56"/>
  <c r="Q397" i="56"/>
  <c r="N407" i="56"/>
  <c r="S407" i="56" s="1"/>
  <c r="N409" i="56"/>
  <c r="I409" i="56"/>
  <c r="F410" i="56"/>
  <c r="I407" i="56"/>
  <c r="J407" i="56" s="1"/>
  <c r="E409" i="56"/>
  <c r="E405" i="56"/>
  <c r="S406" i="56"/>
  <c r="R409" i="56"/>
  <c r="S404" i="56"/>
  <c r="J408" i="56"/>
  <c r="J406" i="56"/>
  <c r="J404" i="56"/>
  <c r="M410" i="56"/>
  <c r="N410" i="56" s="1"/>
  <c r="R405" i="56"/>
  <c r="S405" i="56" s="1"/>
  <c r="I405" i="56"/>
  <c r="L397" i="56"/>
  <c r="R392" i="56"/>
  <c r="O397" i="56"/>
  <c r="N392" i="56"/>
  <c r="K397" i="56"/>
  <c r="N394" i="56"/>
  <c r="G397" i="56"/>
  <c r="E396" i="56"/>
  <c r="C397" i="56"/>
  <c r="E392" i="56"/>
  <c r="S395" i="56"/>
  <c r="S393" i="56"/>
  <c r="J395" i="56"/>
  <c r="J393" i="56"/>
  <c r="S391" i="56"/>
  <c r="I391" i="56"/>
  <c r="J391" i="56" s="1"/>
  <c r="I392" i="56"/>
  <c r="I394" i="56"/>
  <c r="J394" i="56" s="1"/>
  <c r="Q381" i="56"/>
  <c r="Q376" i="56"/>
  <c r="P381" i="56"/>
  <c r="P377" i="56"/>
  <c r="R378" i="56"/>
  <c r="R379" i="56"/>
  <c r="R380" i="56"/>
  <c r="O381" i="56"/>
  <c r="O377" i="56"/>
  <c r="O376" i="56"/>
  <c r="M381" i="56"/>
  <c r="M377" i="56"/>
  <c r="M376" i="56"/>
  <c r="L381" i="56"/>
  <c r="L379" i="56"/>
  <c r="L377" i="56"/>
  <c r="N378" i="56"/>
  <c r="K381" i="56"/>
  <c r="K379" i="56"/>
  <c r="K377" i="56"/>
  <c r="H381" i="56"/>
  <c r="H379" i="56"/>
  <c r="H377" i="56"/>
  <c r="H376" i="56"/>
  <c r="I376" i="56" s="1"/>
  <c r="G381" i="56"/>
  <c r="G379" i="56"/>
  <c r="G377" i="56"/>
  <c r="F381" i="56"/>
  <c r="F379" i="56"/>
  <c r="D381" i="56"/>
  <c r="D379" i="56"/>
  <c r="D376" i="56"/>
  <c r="C381" i="56"/>
  <c r="C379" i="56"/>
  <c r="C376" i="56"/>
  <c r="B381" i="56"/>
  <c r="B379" i="56"/>
  <c r="B377" i="56"/>
  <c r="E377" i="56" s="1"/>
  <c r="BE59" i="3"/>
  <c r="V382" i="56"/>
  <c r="U382" i="56"/>
  <c r="N380" i="56"/>
  <c r="I380" i="56"/>
  <c r="E380" i="56"/>
  <c r="I378" i="56"/>
  <c r="E378" i="56"/>
  <c r="S380" i="56" l="1"/>
  <c r="I410" i="56"/>
  <c r="S394" i="56"/>
  <c r="T394" i="56" s="1"/>
  <c r="N379" i="56"/>
  <c r="S379" i="56" s="1"/>
  <c r="E410" i="56"/>
  <c r="P382" i="56"/>
  <c r="R377" i="56"/>
  <c r="S396" i="56"/>
  <c r="R410" i="56"/>
  <c r="S410" i="56" s="1"/>
  <c r="T408" i="56"/>
  <c r="G382" i="56"/>
  <c r="N397" i="56"/>
  <c r="S378" i="56"/>
  <c r="R397" i="56"/>
  <c r="E397" i="56"/>
  <c r="R376" i="56"/>
  <c r="R381" i="56"/>
  <c r="J396" i="56"/>
  <c r="I397" i="56"/>
  <c r="I377" i="56"/>
  <c r="J377" i="56" s="1"/>
  <c r="E376" i="56"/>
  <c r="J376" i="56" s="1"/>
  <c r="K382" i="56"/>
  <c r="S392" i="56"/>
  <c r="J409" i="56"/>
  <c r="B382" i="56"/>
  <c r="S409" i="56"/>
  <c r="J405" i="56"/>
  <c r="T405" i="56" s="1"/>
  <c r="T406" i="56"/>
  <c r="T404" i="56"/>
  <c r="T407" i="56"/>
  <c r="J392" i="56"/>
  <c r="T393" i="56"/>
  <c r="T395" i="56"/>
  <c r="T391" i="56"/>
  <c r="Q382" i="56"/>
  <c r="O382" i="56"/>
  <c r="M382" i="56"/>
  <c r="N376" i="56"/>
  <c r="N381" i="56"/>
  <c r="H382" i="56"/>
  <c r="I381" i="56"/>
  <c r="I379" i="56"/>
  <c r="F382" i="56"/>
  <c r="E381" i="56"/>
  <c r="C382" i="56"/>
  <c r="E379" i="56"/>
  <c r="J380" i="56"/>
  <c r="T380" i="56" s="1"/>
  <c r="J378" i="56"/>
  <c r="N377" i="56"/>
  <c r="L382" i="56"/>
  <c r="D382" i="56"/>
  <c r="J410" i="56" l="1"/>
  <c r="T410" i="56" s="1"/>
  <c r="S377" i="56"/>
  <c r="T378" i="56"/>
  <c r="S397" i="56"/>
  <c r="S381" i="56"/>
  <c r="J397" i="56"/>
  <c r="T392" i="56"/>
  <c r="S376" i="56"/>
  <c r="T376" i="56" s="1"/>
  <c r="T396" i="56"/>
  <c r="N382" i="56"/>
  <c r="T377" i="56"/>
  <c r="T409" i="56"/>
  <c r="I382" i="56"/>
  <c r="R382" i="56"/>
  <c r="J381" i="56"/>
  <c r="J379" i="56"/>
  <c r="T379" i="56" s="1"/>
  <c r="E382" i="56"/>
  <c r="T381" i="56" l="1"/>
  <c r="T397" i="56"/>
  <c r="J382" i="56"/>
  <c r="S382" i="56"/>
  <c r="T382" i="56" s="1"/>
  <c r="N365" i="56" l="1"/>
  <c r="N367" i="56"/>
  <c r="K368" i="56"/>
  <c r="K366" i="56"/>
  <c r="H366" i="56"/>
  <c r="H368" i="56"/>
  <c r="G368" i="56"/>
  <c r="G366" i="56"/>
  <c r="F368" i="56"/>
  <c r="F366" i="56"/>
  <c r="D368" i="56"/>
  <c r="D366" i="56"/>
  <c r="C368" i="56"/>
  <c r="C366" i="56"/>
  <c r="M368" i="56"/>
  <c r="M366" i="56"/>
  <c r="M364" i="56"/>
  <c r="L368" i="56"/>
  <c r="L366" i="56"/>
  <c r="L363" i="56"/>
  <c r="N363" i="56" s="1"/>
  <c r="L364" i="56"/>
  <c r="K364" i="56"/>
  <c r="H364" i="56"/>
  <c r="G364" i="56"/>
  <c r="J372" i="56"/>
  <c r="I367" i="56"/>
  <c r="I365" i="56"/>
  <c r="I363" i="56"/>
  <c r="E367" i="56"/>
  <c r="E365" i="56"/>
  <c r="F364" i="56"/>
  <c r="D364" i="56"/>
  <c r="C364" i="56"/>
  <c r="C363" i="56"/>
  <c r="E363" i="56" s="1"/>
  <c r="B368" i="56"/>
  <c r="V369" i="56"/>
  <c r="U369" i="56"/>
  <c r="G369" i="56" l="1"/>
  <c r="E364" i="56"/>
  <c r="N364" i="56"/>
  <c r="I366" i="56"/>
  <c r="N366" i="56"/>
  <c r="N368" i="56"/>
  <c r="J367" i="56"/>
  <c r="J363" i="56"/>
  <c r="J365" i="56"/>
  <c r="K369" i="56"/>
  <c r="H369" i="56"/>
  <c r="I368" i="56"/>
  <c r="E368" i="56"/>
  <c r="E366" i="56"/>
  <c r="C369" i="56"/>
  <c r="M369" i="56"/>
  <c r="L369" i="56"/>
  <c r="I364" i="56"/>
  <c r="D369" i="56"/>
  <c r="J364" i="56" l="1"/>
  <c r="J366" i="56"/>
  <c r="N369" i="56"/>
  <c r="J368" i="56"/>
  <c r="AH88" i="49" l="1"/>
  <c r="S382" i="30" l="1"/>
  <c r="D1176" i="56" l="1"/>
  <c r="B1176" i="56"/>
  <c r="D1175" i="56"/>
  <c r="B1175" i="56"/>
  <c r="D1173" i="56"/>
  <c r="B1173" i="56"/>
  <c r="D1174" i="56"/>
  <c r="B1174" i="56"/>
  <c r="F1173" i="56"/>
  <c r="D1172" i="56"/>
  <c r="B1172" i="56"/>
  <c r="D1171" i="56"/>
  <c r="B1171" i="56"/>
  <c r="D1170" i="56"/>
  <c r="D1169" i="56"/>
  <c r="D1168" i="56"/>
  <c r="B1168" i="56"/>
  <c r="E1180" i="56"/>
  <c r="C1180" i="56"/>
  <c r="D1180" i="56" l="1"/>
  <c r="B1180" i="56"/>
  <c r="AI123" i="3" l="1"/>
  <c r="AI122" i="3"/>
  <c r="BE114" i="3"/>
  <c r="AU45" i="73" l="1"/>
  <c r="AT45" i="73"/>
  <c r="AS45" i="73"/>
  <c r="AQ45" i="73"/>
  <c r="AP45" i="73"/>
  <c r="AO45" i="73"/>
  <c r="AM45" i="73"/>
  <c r="AL45" i="73"/>
  <c r="AK45" i="73"/>
  <c r="AJ45" i="73"/>
  <c r="AC44" i="73"/>
  <c r="X45" i="73"/>
  <c r="W45" i="73"/>
  <c r="T45" i="73"/>
  <c r="P45" i="73"/>
  <c r="M45" i="73"/>
  <c r="J45" i="73"/>
  <c r="G45" i="73"/>
  <c r="C45" i="73"/>
  <c r="FK45" i="73"/>
  <c r="FJ45" i="73"/>
  <c r="FI45" i="73"/>
  <c r="FG45" i="73"/>
  <c r="FF45" i="73"/>
  <c r="FE45" i="73"/>
  <c r="EY45" i="73"/>
  <c r="EX45" i="73"/>
  <c r="EW45" i="73"/>
  <c r="EU45" i="73"/>
  <c r="ET45" i="73"/>
  <c r="ES45" i="73"/>
  <c r="EO45" i="73"/>
  <c r="EN45" i="73"/>
  <c r="EM45" i="73"/>
  <c r="EK45" i="73"/>
  <c r="EJ45" i="73"/>
  <c r="EI45" i="73"/>
  <c r="EE45" i="73"/>
  <c r="ED45" i="73"/>
  <c r="EC45" i="73"/>
  <c r="EA45" i="73"/>
  <c r="DZ45" i="73"/>
  <c r="DY45" i="73"/>
  <c r="DT45" i="73"/>
  <c r="DS45" i="73"/>
  <c r="DR45" i="73"/>
  <c r="DP45" i="73"/>
  <c r="DO45" i="73"/>
  <c r="DN45" i="73"/>
  <c r="DJ45" i="73"/>
  <c r="DI45" i="73"/>
  <c r="DH45" i="73"/>
  <c r="DF45" i="73"/>
  <c r="DE45" i="73"/>
  <c r="DD45" i="73"/>
  <c r="CX45" i="73"/>
  <c r="CW45" i="73"/>
  <c r="CV45" i="73"/>
  <c r="CT45" i="73"/>
  <c r="CS45" i="73"/>
  <c r="CR45" i="73"/>
  <c r="BT45" i="73"/>
  <c r="BS45" i="73"/>
  <c r="BR45" i="73"/>
  <c r="BP45" i="73"/>
  <c r="BO45" i="73"/>
  <c r="BN45" i="73"/>
  <c r="BJ45" i="73"/>
  <c r="BI45" i="73"/>
  <c r="BH45" i="73"/>
  <c r="BF45" i="73"/>
  <c r="BE45" i="73"/>
  <c r="BD45" i="73"/>
  <c r="CD45" i="73"/>
  <c r="CC45" i="73"/>
  <c r="CB45" i="73"/>
  <c r="BZ45" i="73"/>
  <c r="BY45" i="73"/>
  <c r="CN45" i="73"/>
  <c r="CM45" i="73"/>
  <c r="CL45" i="73"/>
  <c r="CJ45" i="73"/>
  <c r="CI45" i="73"/>
  <c r="CH45" i="73"/>
  <c r="BX45" i="73"/>
  <c r="AB44" i="73"/>
  <c r="S45" i="73"/>
  <c r="O45" i="73"/>
  <c r="L45" i="73"/>
  <c r="F45" i="73"/>
  <c r="B45" i="73"/>
  <c r="BE43" i="3" l="1"/>
  <c r="BL3" i="3" l="1"/>
  <c r="BL2" i="3"/>
  <c r="Y315" i="1" l="1"/>
  <c r="X315" i="1"/>
  <c r="Y314" i="1"/>
  <c r="X314" i="1"/>
  <c r="Y313" i="1"/>
  <c r="X313" i="1"/>
  <c r="Y312" i="1"/>
  <c r="X312" i="1"/>
  <c r="Y311" i="1"/>
  <c r="X311" i="1"/>
  <c r="Y310" i="1"/>
  <c r="X310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I315" i="1"/>
  <c r="J315" i="1"/>
  <c r="J314" i="1"/>
  <c r="I314" i="1"/>
  <c r="J313" i="1"/>
  <c r="I313" i="1"/>
  <c r="I312" i="1"/>
  <c r="J312" i="1"/>
  <c r="I311" i="1"/>
  <c r="J311" i="1"/>
  <c r="J310" i="1"/>
  <c r="I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J309" i="1"/>
  <c r="I309" i="1"/>
  <c r="AA315" i="1" l="1"/>
  <c r="AA314" i="1"/>
  <c r="AA312" i="1"/>
  <c r="AA311" i="1"/>
  <c r="AA313" i="1"/>
  <c r="Z313" i="1"/>
  <c r="Z314" i="1"/>
  <c r="AB314" i="1" s="1"/>
  <c r="AA310" i="1"/>
  <c r="Z310" i="1"/>
  <c r="Z315" i="1"/>
  <c r="AB315" i="1" s="1"/>
  <c r="Z311" i="1"/>
  <c r="AA309" i="1"/>
  <c r="Z312" i="1"/>
  <c r="Z309" i="1"/>
  <c r="AA302" i="1"/>
  <c r="AA301" i="1"/>
  <c r="AA300" i="1"/>
  <c r="AA299" i="1"/>
  <c r="AA298" i="1"/>
  <c r="AA297" i="1"/>
  <c r="AA296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G308" i="1"/>
  <c r="F308" i="1"/>
  <c r="Y308" i="1"/>
  <c r="X308" i="1"/>
  <c r="W308" i="1"/>
  <c r="U308" i="1"/>
  <c r="S308" i="1"/>
  <c r="R308" i="1"/>
  <c r="Q308" i="1"/>
  <c r="P308" i="1"/>
  <c r="O308" i="1"/>
  <c r="N308" i="1"/>
  <c r="M308" i="1"/>
  <c r="L308" i="1"/>
  <c r="J308" i="1"/>
  <c r="I308" i="1"/>
  <c r="AA295" i="1"/>
  <c r="AA294" i="1"/>
  <c r="Z295" i="1"/>
  <c r="Z296" i="1"/>
  <c r="Z297" i="1"/>
  <c r="Z298" i="1"/>
  <c r="Z299" i="1"/>
  <c r="Z300" i="1"/>
  <c r="Z301" i="1"/>
  <c r="Z302" i="1"/>
  <c r="Z303" i="1"/>
  <c r="AB303" i="1" s="1"/>
  <c r="Z304" i="1"/>
  <c r="AB304" i="1" s="1"/>
  <c r="Z294" i="1"/>
  <c r="Y307" i="1"/>
  <c r="X307" i="1"/>
  <c r="W307" i="1"/>
  <c r="U307" i="1"/>
  <c r="S307" i="1"/>
  <c r="R307" i="1"/>
  <c r="Q307" i="1"/>
  <c r="P307" i="1"/>
  <c r="O307" i="1"/>
  <c r="N307" i="1"/>
  <c r="M307" i="1"/>
  <c r="L307" i="1"/>
  <c r="V307" i="1"/>
  <c r="T307" i="1"/>
  <c r="J307" i="1"/>
  <c r="I307" i="1"/>
  <c r="AB311" i="1" l="1"/>
  <c r="AB313" i="1"/>
  <c r="AB309" i="1"/>
  <c r="AB312" i="1"/>
  <c r="AB310" i="1"/>
  <c r="AB295" i="1"/>
  <c r="AB298" i="1"/>
  <c r="AB297" i="1"/>
  <c r="AA307" i="1"/>
  <c r="AA308" i="1"/>
  <c r="AB301" i="1"/>
  <c r="AB296" i="1"/>
  <c r="AB302" i="1"/>
  <c r="AB300" i="1"/>
  <c r="AB294" i="1"/>
  <c r="AB299" i="1"/>
  <c r="Z307" i="1"/>
  <c r="Z308" i="1"/>
  <c r="AB307" i="1" l="1"/>
  <c r="AB308" i="1"/>
  <c r="M403" i="52"/>
  <c r="M404" i="52" s="1"/>
  <c r="L403" i="52"/>
  <c r="L404" i="52" s="1"/>
  <c r="K403" i="52"/>
  <c r="K404" i="52" s="1"/>
  <c r="J403" i="52"/>
  <c r="J404" i="52" s="1"/>
  <c r="I403" i="52"/>
  <c r="I404" i="52" s="1"/>
  <c r="H403" i="52"/>
  <c r="H404" i="52" s="1"/>
  <c r="G403" i="52"/>
  <c r="G404" i="52" s="1"/>
  <c r="F403" i="52"/>
  <c r="F404" i="52" s="1"/>
  <c r="E403" i="52"/>
  <c r="E404" i="52" s="1"/>
  <c r="C403" i="52"/>
  <c r="C404" i="52" s="1"/>
  <c r="B403" i="52"/>
  <c r="D404" i="52"/>
  <c r="J411" i="52"/>
  <c r="H411" i="52"/>
  <c r="F411" i="52"/>
  <c r="B411" i="52"/>
  <c r="C411" i="52"/>
  <c r="D411" i="52"/>
  <c r="E411" i="52"/>
  <c r="G411" i="52"/>
  <c r="I411" i="52"/>
  <c r="K411" i="52"/>
  <c r="L411" i="52"/>
  <c r="M411" i="52"/>
  <c r="K177" i="53" l="1"/>
  <c r="K179" i="53" s="1"/>
  <c r="J177" i="53"/>
  <c r="J179" i="53" s="1"/>
  <c r="I177" i="53"/>
  <c r="I179" i="53" s="1"/>
  <c r="H177" i="53"/>
  <c r="H179" i="53" s="1"/>
  <c r="G177" i="53"/>
  <c r="G179" i="53" s="1"/>
  <c r="Q49" i="49" l="1"/>
  <c r="M412" i="52" l="1"/>
  <c r="K412" i="52"/>
  <c r="J412" i="52"/>
  <c r="I412" i="52"/>
  <c r="H412" i="52"/>
  <c r="G412" i="52"/>
  <c r="F412" i="52"/>
  <c r="E412" i="52"/>
  <c r="D412" i="52"/>
  <c r="C412" i="52"/>
  <c r="B404" i="52"/>
  <c r="L412" i="52"/>
  <c r="N410" i="52"/>
  <c r="N409" i="52"/>
  <c r="N408" i="52"/>
  <c r="N402" i="52"/>
  <c r="N401" i="52"/>
  <c r="N400" i="52"/>
  <c r="M395" i="52"/>
  <c r="M396" i="52" s="1"/>
  <c r="L395" i="52"/>
  <c r="L396" i="52" s="1"/>
  <c r="K395" i="52"/>
  <c r="K396" i="52" s="1"/>
  <c r="J395" i="52"/>
  <c r="J396" i="52" s="1"/>
  <c r="I395" i="52"/>
  <c r="I396" i="52" s="1"/>
  <c r="H395" i="52"/>
  <c r="H396" i="52" s="1"/>
  <c r="G395" i="52"/>
  <c r="G396" i="52" s="1"/>
  <c r="F395" i="52"/>
  <c r="F396" i="52" s="1"/>
  <c r="E395" i="52"/>
  <c r="E396" i="52" s="1"/>
  <c r="D395" i="52"/>
  <c r="D396" i="52" s="1"/>
  <c r="C395" i="52"/>
  <c r="C396" i="52" s="1"/>
  <c r="B395" i="52"/>
  <c r="N394" i="52"/>
  <c r="N393" i="52"/>
  <c r="N392" i="52"/>
  <c r="N411" i="52" l="1"/>
  <c r="N412" i="52" s="1"/>
  <c r="B412" i="52"/>
  <c r="N403" i="52"/>
  <c r="N404" i="52" s="1"/>
  <c r="N395" i="52"/>
  <c r="N396" i="52" s="1"/>
  <c r="B396" i="52"/>
  <c r="BC30" i="3" l="1"/>
  <c r="BC31" i="3" s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J276" i="1"/>
  <c r="I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X288" i="1"/>
  <c r="R288" i="1"/>
  <c r="P288" i="1"/>
  <c r="N288" i="1"/>
  <c r="L288" i="1"/>
  <c r="I288" i="1"/>
  <c r="Y288" i="1"/>
  <c r="W288" i="1"/>
  <c r="U288" i="1"/>
  <c r="S288" i="1"/>
  <c r="Q288" i="1"/>
  <c r="O288" i="1"/>
  <c r="M288" i="1"/>
  <c r="J288" i="1"/>
  <c r="Y287" i="1"/>
  <c r="X287" i="1"/>
  <c r="W287" i="1"/>
  <c r="U287" i="1"/>
  <c r="T287" i="1"/>
  <c r="S287" i="1"/>
  <c r="R287" i="1"/>
  <c r="Q287" i="1"/>
  <c r="P287" i="1"/>
  <c r="O287" i="1"/>
  <c r="N287" i="1"/>
  <c r="M287" i="1"/>
  <c r="L287" i="1"/>
  <c r="J287" i="1"/>
  <c r="I287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J286" i="1"/>
  <c r="I286" i="1"/>
  <c r="Y285" i="1"/>
  <c r="X285" i="1"/>
  <c r="W285" i="1"/>
  <c r="U285" i="1"/>
  <c r="S285" i="1"/>
  <c r="R285" i="1"/>
  <c r="Q285" i="1"/>
  <c r="P285" i="1"/>
  <c r="O285" i="1"/>
  <c r="N285" i="1"/>
  <c r="M285" i="1"/>
  <c r="L285" i="1"/>
  <c r="J285" i="1"/>
  <c r="I285" i="1"/>
  <c r="Y284" i="1"/>
  <c r="X284" i="1"/>
  <c r="W284" i="1"/>
  <c r="U284" i="1"/>
  <c r="S284" i="1"/>
  <c r="R284" i="1"/>
  <c r="Q284" i="1"/>
  <c r="P284" i="1"/>
  <c r="O284" i="1"/>
  <c r="N284" i="1"/>
  <c r="M284" i="1"/>
  <c r="L284" i="1"/>
  <c r="J284" i="1"/>
  <c r="I284" i="1"/>
  <c r="Y283" i="1"/>
  <c r="X283" i="1"/>
  <c r="W283" i="1"/>
  <c r="U283" i="1"/>
  <c r="T283" i="1"/>
  <c r="S283" i="1"/>
  <c r="R283" i="1"/>
  <c r="Q283" i="1"/>
  <c r="P283" i="1"/>
  <c r="O283" i="1"/>
  <c r="N283" i="1"/>
  <c r="M283" i="1"/>
  <c r="L283" i="1"/>
  <c r="J283" i="1"/>
  <c r="I283" i="1"/>
  <c r="Y282" i="1"/>
  <c r="X282" i="1"/>
  <c r="W282" i="1"/>
  <c r="U282" i="1"/>
  <c r="S282" i="1"/>
  <c r="R282" i="1"/>
  <c r="Q282" i="1"/>
  <c r="P282" i="1"/>
  <c r="O282" i="1"/>
  <c r="N282" i="1"/>
  <c r="M282" i="1"/>
  <c r="L282" i="1"/>
  <c r="J282" i="1"/>
  <c r="I282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AA268" i="1"/>
  <c r="Z268" i="1"/>
  <c r="Y281" i="1"/>
  <c r="X281" i="1"/>
  <c r="W281" i="1"/>
  <c r="U281" i="1"/>
  <c r="S281" i="1"/>
  <c r="R281" i="1"/>
  <c r="Q281" i="1"/>
  <c r="P281" i="1"/>
  <c r="O281" i="1"/>
  <c r="N281" i="1"/>
  <c r="M281" i="1"/>
  <c r="L281" i="1"/>
  <c r="J281" i="1"/>
  <c r="I281" i="1"/>
  <c r="Z267" i="1"/>
  <c r="AA267" i="1"/>
  <c r="AA266" i="1"/>
  <c r="Z266" i="1"/>
  <c r="Y280" i="1"/>
  <c r="X280" i="1"/>
  <c r="W280" i="1"/>
  <c r="U280" i="1"/>
  <c r="S280" i="1"/>
  <c r="R280" i="1"/>
  <c r="Q280" i="1"/>
  <c r="P280" i="1"/>
  <c r="O280" i="1"/>
  <c r="N280" i="1"/>
  <c r="M280" i="1"/>
  <c r="L280" i="1"/>
  <c r="J280" i="1"/>
  <c r="I280" i="1"/>
  <c r="X279" i="1"/>
  <c r="Y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J279" i="1"/>
  <c r="I279" i="1"/>
  <c r="AA265" i="1"/>
  <c r="Z265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J278" i="1"/>
  <c r="I278" i="1"/>
  <c r="AA264" i="1"/>
  <c r="Z264" i="1"/>
  <c r="R289" i="1"/>
  <c r="P289" i="1"/>
  <c r="N289" i="1"/>
  <c r="L289" i="1"/>
  <c r="I289" i="1"/>
  <c r="Y289" i="1"/>
  <c r="X289" i="1"/>
  <c r="W289" i="1"/>
  <c r="V289" i="1"/>
  <c r="U289" i="1"/>
  <c r="T289" i="1"/>
  <c r="S289" i="1"/>
  <c r="Q289" i="1"/>
  <c r="O289" i="1"/>
  <c r="M289" i="1"/>
  <c r="J289" i="1"/>
  <c r="FK44" i="73"/>
  <c r="FJ44" i="73"/>
  <c r="FG44" i="73"/>
  <c r="FF44" i="73"/>
  <c r="FE44" i="73"/>
  <c r="FL43" i="73"/>
  <c r="FH43" i="73"/>
  <c r="FL42" i="73"/>
  <c r="FH42" i="73"/>
  <c r="FL41" i="73"/>
  <c r="FH41" i="73"/>
  <c r="FL40" i="73"/>
  <c r="FH40" i="73"/>
  <c r="FL39" i="73"/>
  <c r="FH39" i="73"/>
  <c r="FL38" i="73"/>
  <c r="FH38" i="73"/>
  <c r="FL37" i="73"/>
  <c r="FH37" i="73"/>
  <c r="FL36" i="73"/>
  <c r="FH36" i="73"/>
  <c r="FL35" i="73"/>
  <c r="FH35" i="73"/>
  <c r="FL34" i="73"/>
  <c r="FH34" i="73"/>
  <c r="FL33" i="73"/>
  <c r="FH33" i="73"/>
  <c r="FL32" i="73"/>
  <c r="FH32" i="73"/>
  <c r="FL31" i="73"/>
  <c r="FH31" i="73"/>
  <c r="FL30" i="73"/>
  <c r="FH30" i="73"/>
  <c r="FL29" i="73"/>
  <c r="FH29" i="73"/>
  <c r="FL28" i="73"/>
  <c r="FH28" i="73"/>
  <c r="FL27" i="73"/>
  <c r="FH27" i="73"/>
  <c r="FL26" i="73"/>
  <c r="FH26" i="73"/>
  <c r="FL25" i="73"/>
  <c r="FH25" i="73"/>
  <c r="FL24" i="73"/>
  <c r="FH24" i="73"/>
  <c r="FL23" i="73"/>
  <c r="FH23" i="73"/>
  <c r="FL22" i="73"/>
  <c r="FH22" i="73"/>
  <c r="FL21" i="73"/>
  <c r="FH21" i="73"/>
  <c r="FL20" i="73"/>
  <c r="FH20" i="73"/>
  <c r="FL19" i="73"/>
  <c r="FH19" i="73"/>
  <c r="FL18" i="73"/>
  <c r="FH18" i="73"/>
  <c r="FL17" i="73"/>
  <c r="FH17" i="73"/>
  <c r="FL16" i="73"/>
  <c r="FH16" i="73"/>
  <c r="FL15" i="73"/>
  <c r="FH15" i="73"/>
  <c r="FL14" i="73"/>
  <c r="FH14" i="73"/>
  <c r="FL13" i="73"/>
  <c r="FH13" i="73"/>
  <c r="FH45" i="73" l="1"/>
  <c r="FL45" i="73"/>
  <c r="K284" i="1"/>
  <c r="AB267" i="1"/>
  <c r="K289" i="1"/>
  <c r="K285" i="1"/>
  <c r="M290" i="1"/>
  <c r="AB275" i="1"/>
  <c r="AB269" i="1"/>
  <c r="AA282" i="1"/>
  <c r="K280" i="1"/>
  <c r="AB274" i="1"/>
  <c r="K282" i="1"/>
  <c r="K278" i="1"/>
  <c r="AB266" i="1"/>
  <c r="K283" i="1"/>
  <c r="K286" i="1"/>
  <c r="Z279" i="1"/>
  <c r="AB268" i="1"/>
  <c r="W290" i="1"/>
  <c r="I290" i="1"/>
  <c r="Z282" i="1"/>
  <c r="Z289" i="1"/>
  <c r="Q290" i="1"/>
  <c r="S290" i="1"/>
  <c r="Z276" i="1"/>
  <c r="O290" i="1"/>
  <c r="P290" i="1"/>
  <c r="R290" i="1"/>
  <c r="AA279" i="1"/>
  <c r="AA276" i="1"/>
  <c r="Z278" i="1"/>
  <c r="K288" i="1"/>
  <c r="AA278" i="1"/>
  <c r="K287" i="1"/>
  <c r="V290" i="1"/>
  <c r="L290" i="1"/>
  <c r="X290" i="1"/>
  <c r="K276" i="1"/>
  <c r="AA289" i="1"/>
  <c r="N290" i="1"/>
  <c r="AB265" i="1"/>
  <c r="T290" i="1"/>
  <c r="Z280" i="1"/>
  <c r="K281" i="1"/>
  <c r="Z281" i="1"/>
  <c r="U290" i="1"/>
  <c r="AA280" i="1"/>
  <c r="J290" i="1"/>
  <c r="AA281" i="1"/>
  <c r="BB31" i="3"/>
  <c r="AA286" i="1"/>
  <c r="K279" i="1"/>
  <c r="AA285" i="1"/>
  <c r="AB264" i="1"/>
  <c r="Z285" i="1"/>
  <c r="Z286" i="1"/>
  <c r="Y290" i="1"/>
  <c r="Z288" i="1"/>
  <c r="AA288" i="1"/>
  <c r="Z287" i="1"/>
  <c r="AA287" i="1"/>
  <c r="AB273" i="1"/>
  <c r="AB272" i="1"/>
  <c r="AB271" i="1"/>
  <c r="Z284" i="1"/>
  <c r="AA284" i="1"/>
  <c r="AB270" i="1"/>
  <c r="AA283" i="1"/>
  <c r="Z283" i="1"/>
  <c r="FL44" i="73"/>
  <c r="FI44" i="73"/>
  <c r="FH44" i="73"/>
  <c r="AB282" i="1" l="1"/>
  <c r="AB289" i="1"/>
  <c r="AB279" i="1"/>
  <c r="AB280" i="1"/>
  <c r="AB278" i="1"/>
  <c r="K290" i="1"/>
  <c r="AB287" i="1"/>
  <c r="AB288" i="1"/>
  <c r="AA290" i="1"/>
  <c r="AB286" i="1"/>
  <c r="AB285" i="1"/>
  <c r="AB281" i="1"/>
  <c r="AB283" i="1"/>
  <c r="AB276" i="1"/>
  <c r="AB284" i="1"/>
  <c r="Z290" i="1"/>
  <c r="O699" i="56"/>
  <c r="AB290" i="1" l="1"/>
  <c r="E1159" i="56"/>
  <c r="D1159" i="56"/>
  <c r="C1159" i="56"/>
  <c r="B1153" i="56"/>
  <c r="B1159" i="56" s="1"/>
  <c r="AN71" i="3" l="1"/>
  <c r="AN64" i="3"/>
  <c r="AN63" i="3"/>
  <c r="AN57" i="3"/>
  <c r="AN43" i="3"/>
  <c r="AN18" i="3"/>
  <c r="AI337" i="30" l="1"/>
  <c r="AI336" i="30"/>
  <c r="AI335" i="30"/>
  <c r="AI334" i="30"/>
  <c r="AI333" i="30"/>
  <c r="AI332" i="30"/>
  <c r="AI331" i="30"/>
  <c r="AI330" i="30"/>
  <c r="AH327" i="30"/>
  <c r="AG327" i="30"/>
  <c r="AF327" i="30"/>
  <c r="AD327" i="30"/>
  <c r="AC327" i="30"/>
  <c r="AB327" i="30"/>
  <c r="AA327" i="30"/>
  <c r="AI326" i="30"/>
  <c r="AE326" i="30"/>
  <c r="AI325" i="30"/>
  <c r="AE325" i="30"/>
  <c r="AI324" i="30"/>
  <c r="AE324" i="30"/>
  <c r="AI323" i="30"/>
  <c r="AE323" i="30"/>
  <c r="AI322" i="30"/>
  <c r="AE322" i="30"/>
  <c r="AI321" i="30"/>
  <c r="AE321" i="30"/>
  <c r="AI320" i="30"/>
  <c r="AE320" i="30"/>
  <c r="AI319" i="30"/>
  <c r="AE319" i="30"/>
  <c r="AI318" i="30"/>
  <c r="AE318" i="30"/>
  <c r="AI317" i="30"/>
  <c r="AE317" i="30"/>
  <c r="AI316" i="30"/>
  <c r="AE316" i="30"/>
  <c r="AI315" i="30"/>
  <c r="AI327" i="30" l="1"/>
  <c r="AE327" i="30"/>
  <c r="BK2" i="3" l="1"/>
  <c r="N125" i="1" l="1"/>
  <c r="N123" i="1"/>
  <c r="AG82" i="3" l="1"/>
  <c r="AN82" i="3" s="1"/>
  <c r="O691" i="56"/>
  <c r="EV41" i="73" l="1"/>
  <c r="J35" i="66" l="1"/>
  <c r="AE79" i="49"/>
  <c r="BI37" i="3"/>
  <c r="S36" i="55" l="1"/>
  <c r="M36" i="55"/>
  <c r="L36" i="55"/>
  <c r="K36" i="55"/>
  <c r="J36" i="55"/>
  <c r="I36" i="55"/>
  <c r="H36" i="55"/>
  <c r="W35" i="55"/>
  <c r="Q35" i="55"/>
  <c r="Q36" i="55" s="1"/>
  <c r="P35" i="55"/>
  <c r="P36" i="55" s="1"/>
  <c r="G35" i="55"/>
  <c r="G36" i="55" s="1"/>
  <c r="F35" i="55"/>
  <c r="F36" i="55" s="1"/>
  <c r="E35" i="55"/>
  <c r="E36" i="55" s="1"/>
  <c r="D35" i="55"/>
  <c r="D36" i="55" s="1"/>
  <c r="C35" i="55"/>
  <c r="C36" i="55" s="1"/>
  <c r="V34" i="55"/>
  <c r="U34" i="55"/>
  <c r="T34" i="55"/>
  <c r="T36" i="55" s="1"/>
  <c r="R34" i="55"/>
  <c r="R36" i="55" s="1"/>
  <c r="N34" i="55"/>
  <c r="N36" i="55" s="1"/>
  <c r="W31" i="55"/>
  <c r="V31" i="55"/>
  <c r="U31" i="55"/>
  <c r="T31" i="55"/>
  <c r="S31" i="55"/>
  <c r="R31" i="55"/>
  <c r="Q31" i="55"/>
  <c r="P31" i="55"/>
  <c r="N31" i="55"/>
  <c r="M31" i="55"/>
  <c r="L31" i="55"/>
  <c r="K31" i="55"/>
  <c r="J31" i="55"/>
  <c r="I31" i="55"/>
  <c r="H31" i="55"/>
  <c r="G31" i="55"/>
  <c r="F31" i="55"/>
  <c r="E31" i="55"/>
  <c r="D31" i="55"/>
  <c r="C31" i="55"/>
  <c r="L29" i="55"/>
  <c r="K29" i="55"/>
  <c r="I29" i="55"/>
  <c r="G29" i="55"/>
  <c r="F29" i="55"/>
  <c r="R28" i="55"/>
  <c r="W25" i="55"/>
  <c r="N24" i="55"/>
  <c r="M24" i="55"/>
  <c r="L24" i="55"/>
  <c r="K24" i="55"/>
  <c r="J24" i="55"/>
  <c r="I24" i="55"/>
  <c r="H24" i="55"/>
  <c r="G24" i="55"/>
  <c r="F24" i="55"/>
  <c r="E24" i="55"/>
  <c r="D24" i="55"/>
  <c r="C24" i="55"/>
  <c r="R140" i="1" l="1"/>
  <c r="R128" i="1" l="1"/>
  <c r="R127" i="1"/>
  <c r="R139" i="1"/>
  <c r="S139" i="1" s="1"/>
  <c r="T139" i="1" s="1"/>
  <c r="F733" i="56"/>
  <c r="F724" i="56"/>
  <c r="G724" i="56"/>
  <c r="BC47" i="3" l="1"/>
  <c r="T308" i="30" l="1"/>
  <c r="F11" i="6"/>
  <c r="F13" i="6"/>
  <c r="F14" i="6"/>
  <c r="F15" i="6"/>
  <c r="F16" i="6"/>
  <c r="B202" i="1" l="1"/>
  <c r="U308" i="30"/>
  <c r="M125" i="1" l="1"/>
  <c r="M123" i="1"/>
  <c r="K61" i="49" l="1"/>
  <c r="J61" i="49"/>
  <c r="G61" i="49"/>
  <c r="F61" i="49"/>
  <c r="E61" i="49"/>
  <c r="H61" i="49"/>
  <c r="F125" i="3"/>
  <c r="EY44" i="73" l="1"/>
  <c r="EX44" i="73"/>
  <c r="EU44" i="73"/>
  <c r="ET44" i="73"/>
  <c r="ES44" i="73"/>
  <c r="EZ43" i="73"/>
  <c r="EV43" i="73"/>
  <c r="EZ42" i="73"/>
  <c r="EV42" i="73"/>
  <c r="EZ41" i="73"/>
  <c r="EZ40" i="73"/>
  <c r="EV40" i="73"/>
  <c r="EZ39" i="73"/>
  <c r="EV39" i="73"/>
  <c r="EZ38" i="73"/>
  <c r="EV38" i="73"/>
  <c r="EZ37" i="73"/>
  <c r="EV37" i="73"/>
  <c r="EZ36" i="73"/>
  <c r="EV36" i="73"/>
  <c r="EZ35" i="73"/>
  <c r="EV35" i="73"/>
  <c r="EZ34" i="73"/>
  <c r="EV34" i="73"/>
  <c r="EZ33" i="73"/>
  <c r="EV33" i="73"/>
  <c r="EZ32" i="73"/>
  <c r="EV32" i="73"/>
  <c r="EZ31" i="73"/>
  <c r="EV31" i="73"/>
  <c r="EZ30" i="73"/>
  <c r="EV30" i="73"/>
  <c r="EZ29" i="73"/>
  <c r="EV29" i="73"/>
  <c r="EZ28" i="73"/>
  <c r="EV28" i="73"/>
  <c r="EZ27" i="73"/>
  <c r="EV27" i="73"/>
  <c r="EZ26" i="73"/>
  <c r="EV26" i="73"/>
  <c r="EZ25" i="73"/>
  <c r="EV25" i="73"/>
  <c r="EZ24" i="73"/>
  <c r="EV24" i="73"/>
  <c r="EZ23" i="73"/>
  <c r="EV23" i="73"/>
  <c r="EZ22" i="73"/>
  <c r="EV22" i="73"/>
  <c r="EZ21" i="73"/>
  <c r="EV21" i="73"/>
  <c r="EZ20" i="73"/>
  <c r="EV20" i="73"/>
  <c r="EZ19" i="73"/>
  <c r="EV19" i="73"/>
  <c r="EZ18" i="73"/>
  <c r="EV18" i="73"/>
  <c r="EZ17" i="73"/>
  <c r="EV17" i="73"/>
  <c r="EZ16" i="73"/>
  <c r="EV16" i="73"/>
  <c r="EZ15" i="73"/>
  <c r="EV15" i="73"/>
  <c r="EZ14" i="73"/>
  <c r="EV14" i="73"/>
  <c r="EZ13" i="73"/>
  <c r="EV13" i="73"/>
  <c r="EV45" i="73" l="1"/>
  <c r="EZ45" i="73"/>
  <c r="EZ44" i="73"/>
  <c r="EW44" i="73"/>
  <c r="EV44" i="73"/>
  <c r="BH38" i="3" l="1"/>
  <c r="N699" i="56"/>
  <c r="J42" i="66" l="1"/>
  <c r="I42" i="66"/>
  <c r="H42" i="66"/>
  <c r="G42" i="66"/>
  <c r="M27" i="66"/>
  <c r="K27" i="66"/>
  <c r="I27" i="66"/>
  <c r="G27" i="66"/>
  <c r="BK35" i="3" l="1"/>
  <c r="BM35" i="3" s="1"/>
  <c r="J132" i="1" l="1"/>
  <c r="L132" i="1" s="1"/>
  <c r="J123" i="1"/>
  <c r="K688" i="56" l="1"/>
  <c r="G692" i="56"/>
  <c r="J699" i="56"/>
  <c r="I699" i="56"/>
  <c r="H699" i="56"/>
  <c r="F699" i="56"/>
  <c r="E699" i="56"/>
  <c r="D699" i="56"/>
  <c r="M691" i="56"/>
  <c r="J691" i="56"/>
  <c r="I691" i="56"/>
  <c r="H691" i="56"/>
  <c r="F691" i="56"/>
  <c r="E691" i="56"/>
  <c r="D691" i="56"/>
  <c r="P690" i="56"/>
  <c r="P692" i="56"/>
  <c r="E113" i="49"/>
  <c r="E114" i="49"/>
  <c r="E112" i="49"/>
  <c r="K699" i="56" l="1"/>
  <c r="G699" i="56"/>
  <c r="L699" i="56" l="1"/>
  <c r="AH122" i="3"/>
  <c r="AH121" i="3"/>
  <c r="AH93" i="49" l="1"/>
  <c r="AH91" i="49"/>
  <c r="AH82" i="3" l="1"/>
  <c r="I9" i="49" l="1"/>
  <c r="AH90" i="49"/>
  <c r="L125" i="1" l="1"/>
  <c r="L123" i="1"/>
  <c r="B201" i="1"/>
  <c r="D13" i="49" l="1"/>
  <c r="N23" i="49" s="1"/>
  <c r="Q43" i="49"/>
  <c r="Q44" i="49"/>
  <c r="AM29" i="49" l="1"/>
  <c r="AA25" i="49" l="1"/>
  <c r="EO44" i="73"/>
  <c r="EN44" i="73"/>
  <c r="EK44" i="73"/>
  <c r="EJ44" i="73"/>
  <c r="EI44" i="73"/>
  <c r="EP43" i="73"/>
  <c r="EL43" i="73"/>
  <c r="EP42" i="73"/>
  <c r="EL42" i="73"/>
  <c r="EP41" i="73"/>
  <c r="EL41" i="73"/>
  <c r="EP40" i="73"/>
  <c r="EL40" i="73"/>
  <c r="EP39" i="73"/>
  <c r="EL39" i="73"/>
  <c r="EP38" i="73"/>
  <c r="EL38" i="73"/>
  <c r="EP37" i="73"/>
  <c r="EL37" i="73"/>
  <c r="EP36" i="73"/>
  <c r="EL36" i="73"/>
  <c r="EP35" i="73"/>
  <c r="EL35" i="73"/>
  <c r="EP34" i="73"/>
  <c r="EL34" i="73"/>
  <c r="EP33" i="73"/>
  <c r="EL33" i="73"/>
  <c r="EP32" i="73"/>
  <c r="EL32" i="73"/>
  <c r="EP31" i="73"/>
  <c r="EL31" i="73"/>
  <c r="EP30" i="73"/>
  <c r="EL30" i="73"/>
  <c r="EP29" i="73"/>
  <c r="EL29" i="73"/>
  <c r="EP28" i="73"/>
  <c r="EL28" i="73"/>
  <c r="EP27" i="73"/>
  <c r="EL27" i="73"/>
  <c r="EP26" i="73"/>
  <c r="EL26" i="73"/>
  <c r="EP25" i="73"/>
  <c r="EL25" i="73"/>
  <c r="EP24" i="73"/>
  <c r="EL24" i="73"/>
  <c r="EP23" i="73"/>
  <c r="EL23" i="73"/>
  <c r="EP22" i="73"/>
  <c r="EL22" i="73"/>
  <c r="EP21" i="73"/>
  <c r="EL21" i="73"/>
  <c r="EP20" i="73"/>
  <c r="EL20" i="73"/>
  <c r="EP19" i="73"/>
  <c r="EL19" i="73"/>
  <c r="EP18" i="73"/>
  <c r="EL18" i="73"/>
  <c r="EP17" i="73"/>
  <c r="EL17" i="73"/>
  <c r="EP16" i="73"/>
  <c r="EL16" i="73"/>
  <c r="EP15" i="73"/>
  <c r="EL15" i="73"/>
  <c r="EP14" i="73"/>
  <c r="EL14" i="73"/>
  <c r="EP13" i="73"/>
  <c r="EL13" i="73"/>
  <c r="EP45" i="73" l="1"/>
  <c r="EL45" i="73"/>
  <c r="EP44" i="73"/>
  <c r="EM44" i="73"/>
  <c r="EL44" i="73"/>
  <c r="L12" i="78"/>
  <c r="K12" i="78"/>
  <c r="J11" i="78"/>
  <c r="J12" i="78" s="1"/>
  <c r="U275" i="30" l="1"/>
  <c r="R280" i="30"/>
  <c r="BH45" i="3" l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N691" i="56" l="1"/>
  <c r="P691" i="56" s="1"/>
  <c r="P693" i="56" l="1"/>
  <c r="P697" i="56"/>
  <c r="F179" i="3"/>
  <c r="L116" i="3" l="1"/>
  <c r="L115" i="3"/>
  <c r="L114" i="3"/>
  <c r="M113" i="3" s="1"/>
  <c r="M174" i="3" l="1"/>
  <c r="D8" i="49"/>
  <c r="D42" i="1" l="1"/>
  <c r="D23" i="49" s="1"/>
  <c r="O4" i="52"/>
  <c r="O5" i="52"/>
  <c r="O6" i="52"/>
  <c r="B7" i="52"/>
  <c r="B8" i="52" s="1"/>
  <c r="D7" i="52"/>
  <c r="E7" i="52"/>
  <c r="E8" i="52" s="1"/>
  <c r="F7" i="52"/>
  <c r="F8" i="52" s="1"/>
  <c r="G7" i="52"/>
  <c r="G8" i="52" s="1"/>
  <c r="H7" i="52"/>
  <c r="H8" i="52" s="1"/>
  <c r="I7" i="52"/>
  <c r="I8" i="52" s="1"/>
  <c r="J7" i="52"/>
  <c r="J8" i="52" s="1"/>
  <c r="K7" i="52"/>
  <c r="K8" i="52" s="1"/>
  <c r="L7" i="52"/>
  <c r="L8" i="52" s="1"/>
  <c r="M7" i="52"/>
  <c r="M8" i="52" s="1"/>
  <c r="N7" i="52"/>
  <c r="N8" i="52" s="1"/>
  <c r="T10" i="52"/>
  <c r="B14" i="52"/>
  <c r="B15" i="52" s="1"/>
  <c r="O20" i="52"/>
  <c r="B27" i="52" s="1"/>
  <c r="O21" i="52"/>
  <c r="B28" i="52" s="1"/>
  <c r="B22" i="52"/>
  <c r="B23" i="52" s="1"/>
  <c r="D22" i="52"/>
  <c r="D23" i="52" s="1"/>
  <c r="E22" i="52"/>
  <c r="E23" i="52" s="1"/>
  <c r="F22" i="52"/>
  <c r="F23" i="52" s="1"/>
  <c r="G22" i="52"/>
  <c r="G23" i="52" s="1"/>
  <c r="H22" i="52"/>
  <c r="H23" i="52" s="1"/>
  <c r="I22" i="52"/>
  <c r="I23" i="52" s="1"/>
  <c r="J22" i="52"/>
  <c r="J23" i="52" s="1"/>
  <c r="K22" i="52"/>
  <c r="K23" i="52" s="1"/>
  <c r="L22" i="52"/>
  <c r="L23" i="52" s="1"/>
  <c r="M22" i="52"/>
  <c r="M23" i="52" s="1"/>
  <c r="N22" i="52"/>
  <c r="N23" i="52" s="1"/>
  <c r="O50" i="52"/>
  <c r="B57" i="52" s="1"/>
  <c r="O51" i="52"/>
  <c r="B58" i="52" s="1"/>
  <c r="B52" i="52"/>
  <c r="D52" i="52"/>
  <c r="D53" i="52" s="1"/>
  <c r="E52" i="52"/>
  <c r="E53" i="52" s="1"/>
  <c r="F52" i="52"/>
  <c r="F53" i="52" s="1"/>
  <c r="G52" i="52"/>
  <c r="G53" i="52" s="1"/>
  <c r="H52" i="52"/>
  <c r="H53" i="52" s="1"/>
  <c r="I52" i="52"/>
  <c r="I53" i="52" s="1"/>
  <c r="J52" i="52"/>
  <c r="J53" i="52" s="1"/>
  <c r="K52" i="52"/>
  <c r="K53" i="52" s="1"/>
  <c r="L52" i="52"/>
  <c r="L53" i="52" s="1"/>
  <c r="M52" i="52"/>
  <c r="M53" i="52" s="1"/>
  <c r="N52" i="52"/>
  <c r="N53" i="52" s="1"/>
  <c r="O80" i="52"/>
  <c r="B87" i="52" s="1"/>
  <c r="O81" i="52"/>
  <c r="B88" i="52" s="1"/>
  <c r="B82" i="52"/>
  <c r="B83" i="52" s="1"/>
  <c r="D82" i="52"/>
  <c r="D83" i="52" s="1"/>
  <c r="E82" i="52"/>
  <c r="E83" i="52" s="1"/>
  <c r="F82" i="52"/>
  <c r="F83" i="52" s="1"/>
  <c r="G82" i="52"/>
  <c r="G83" i="52" s="1"/>
  <c r="H82" i="52"/>
  <c r="I82" i="52"/>
  <c r="I83" i="52" s="1"/>
  <c r="J82" i="52"/>
  <c r="J83" i="52" s="1"/>
  <c r="K82" i="52"/>
  <c r="K83" i="52" s="1"/>
  <c r="L82" i="52"/>
  <c r="L83" i="52" s="1"/>
  <c r="M82" i="52"/>
  <c r="M83" i="52" s="1"/>
  <c r="N82" i="52"/>
  <c r="N83" i="52" s="1"/>
  <c r="O96" i="52"/>
  <c r="B97" i="52"/>
  <c r="B98" i="52" s="1"/>
  <c r="D97" i="52"/>
  <c r="E97" i="52"/>
  <c r="E98" i="52" s="1"/>
  <c r="F97" i="52"/>
  <c r="F98" i="52" s="1"/>
  <c r="G97" i="52"/>
  <c r="G98" i="52" s="1"/>
  <c r="H97" i="52"/>
  <c r="H98" i="52" s="1"/>
  <c r="I97" i="52"/>
  <c r="I98" i="52" s="1"/>
  <c r="J97" i="52"/>
  <c r="J98" i="52" s="1"/>
  <c r="K97" i="52"/>
  <c r="K98" i="52" s="1"/>
  <c r="L97" i="52"/>
  <c r="L98" i="52" s="1"/>
  <c r="N97" i="52"/>
  <c r="N98" i="52" s="1"/>
  <c r="M98" i="52"/>
  <c r="I103" i="52"/>
  <c r="B104" i="52"/>
  <c r="B105" i="52" s="1"/>
  <c r="D104" i="52"/>
  <c r="D105" i="52" s="1"/>
  <c r="E104" i="52"/>
  <c r="E105" i="52" s="1"/>
  <c r="F104" i="52"/>
  <c r="F105" i="52" s="1"/>
  <c r="G105" i="52"/>
  <c r="H105" i="52"/>
  <c r="O110" i="52"/>
  <c r="B122" i="52" s="1"/>
  <c r="B111" i="52"/>
  <c r="B113" i="52" s="1"/>
  <c r="D111" i="52"/>
  <c r="D113" i="52" s="1"/>
  <c r="E111" i="52"/>
  <c r="E113" i="52" s="1"/>
  <c r="F111" i="52"/>
  <c r="F113" i="52" s="1"/>
  <c r="G111" i="52"/>
  <c r="G113" i="52" s="1"/>
  <c r="H111" i="52"/>
  <c r="H113" i="52" s="1"/>
  <c r="I111" i="52"/>
  <c r="I113" i="52" s="1"/>
  <c r="J111" i="52"/>
  <c r="J113" i="52" s="1"/>
  <c r="K111" i="52"/>
  <c r="K113" i="52" s="1"/>
  <c r="L111" i="52"/>
  <c r="L113" i="52" s="1"/>
  <c r="M111" i="52"/>
  <c r="M113" i="52" s="1"/>
  <c r="N111" i="52"/>
  <c r="N113" i="52" s="1"/>
  <c r="O112" i="52"/>
  <c r="B124" i="52" s="1"/>
  <c r="D169" i="52"/>
  <c r="E169" i="52"/>
  <c r="E170" i="52"/>
  <c r="O176" i="52"/>
  <c r="O177" i="52"/>
  <c r="B178" i="52"/>
  <c r="B179" i="52" s="1"/>
  <c r="D178" i="52"/>
  <c r="D179" i="52" s="1"/>
  <c r="E178" i="52"/>
  <c r="E179" i="52" s="1"/>
  <c r="F178" i="52"/>
  <c r="F179" i="52" s="1"/>
  <c r="G178" i="52"/>
  <c r="G179" i="52" s="1"/>
  <c r="H178" i="52"/>
  <c r="H179" i="52" s="1"/>
  <c r="I178" i="52"/>
  <c r="I179" i="52" s="1"/>
  <c r="J178" i="52"/>
  <c r="K178" i="52"/>
  <c r="K179" i="52" s="1"/>
  <c r="L178" i="52"/>
  <c r="L179" i="52" s="1"/>
  <c r="M178" i="52"/>
  <c r="M179" i="52" s="1"/>
  <c r="N178" i="52"/>
  <c r="N179" i="52" s="1"/>
  <c r="O185" i="52"/>
  <c r="O186" i="52"/>
  <c r="O187" i="52"/>
  <c r="O188" i="52"/>
  <c r="B189" i="52"/>
  <c r="D189" i="52"/>
  <c r="E189" i="52"/>
  <c r="F189" i="52"/>
  <c r="G189" i="52"/>
  <c r="H189" i="52"/>
  <c r="I189" i="52"/>
  <c r="J189" i="52"/>
  <c r="K189" i="52"/>
  <c r="L189" i="52"/>
  <c r="M189" i="52"/>
  <c r="N189" i="52"/>
  <c r="O195" i="52"/>
  <c r="O196" i="52"/>
  <c r="O197" i="52"/>
  <c r="B198" i="52"/>
  <c r="B199" i="52" s="1"/>
  <c r="D198" i="52"/>
  <c r="D199" i="52" s="1"/>
  <c r="E198" i="52"/>
  <c r="E199" i="52" s="1"/>
  <c r="F198" i="52"/>
  <c r="F199" i="52" s="1"/>
  <c r="G198" i="52"/>
  <c r="G199" i="52" s="1"/>
  <c r="H198" i="52"/>
  <c r="H199" i="52" s="1"/>
  <c r="I198" i="52"/>
  <c r="I199" i="52" s="1"/>
  <c r="J198" i="52"/>
  <c r="J199" i="52" s="1"/>
  <c r="K198" i="52"/>
  <c r="K199" i="52" s="1"/>
  <c r="L198" i="52"/>
  <c r="L199" i="52" s="1"/>
  <c r="M198" i="52"/>
  <c r="M199" i="52" s="1"/>
  <c r="N198" i="52"/>
  <c r="N199" i="52" s="1"/>
  <c r="Y200" i="52"/>
  <c r="Y201" i="52"/>
  <c r="Y202" i="52"/>
  <c r="Y203" i="52"/>
  <c r="Y204" i="52"/>
  <c r="O205" i="52"/>
  <c r="Y205" i="52"/>
  <c r="O206" i="52"/>
  <c r="Y206" i="52"/>
  <c r="O207" i="52"/>
  <c r="Y207" i="52"/>
  <c r="B208" i="52"/>
  <c r="B209" i="52" s="1"/>
  <c r="D208" i="52"/>
  <c r="D209" i="52" s="1"/>
  <c r="E208" i="52"/>
  <c r="E209" i="52" s="1"/>
  <c r="F208" i="52"/>
  <c r="F209" i="52" s="1"/>
  <c r="G208" i="52"/>
  <c r="G209" i="52" s="1"/>
  <c r="H208" i="52"/>
  <c r="H209" i="52" s="1"/>
  <c r="I208" i="52"/>
  <c r="I209" i="52" s="1"/>
  <c r="J208" i="52"/>
  <c r="J209" i="52" s="1"/>
  <c r="K208" i="52"/>
  <c r="K209" i="52" s="1"/>
  <c r="L208" i="52"/>
  <c r="L209" i="52" s="1"/>
  <c r="M208" i="52"/>
  <c r="M209" i="52" s="1"/>
  <c r="N208" i="52"/>
  <c r="N209" i="52" s="1"/>
  <c r="Y208" i="52"/>
  <c r="Y211" i="52"/>
  <c r="Y212" i="52"/>
  <c r="O214" i="52"/>
  <c r="B215" i="52"/>
  <c r="B217" i="52" s="1"/>
  <c r="D215" i="52"/>
  <c r="D217" i="52" s="1"/>
  <c r="E215" i="52"/>
  <c r="E217" i="52" s="1"/>
  <c r="F215" i="52"/>
  <c r="F217" i="52" s="1"/>
  <c r="G215" i="52"/>
  <c r="G217" i="52" s="1"/>
  <c r="H215" i="52"/>
  <c r="H217" i="52" s="1"/>
  <c r="I215" i="52"/>
  <c r="I217" i="52" s="1"/>
  <c r="J215" i="52"/>
  <c r="J217" i="52" s="1"/>
  <c r="K215" i="52"/>
  <c r="K217" i="52" s="1"/>
  <c r="L215" i="52"/>
  <c r="L217" i="52" s="1"/>
  <c r="M215" i="52"/>
  <c r="M217" i="52" s="1"/>
  <c r="N215" i="52"/>
  <c r="N217" i="52" s="1"/>
  <c r="O216" i="52"/>
  <c r="B252" i="52"/>
  <c r="C252" i="52"/>
  <c r="D252" i="52"/>
  <c r="E252" i="52"/>
  <c r="F252" i="52"/>
  <c r="N261" i="52"/>
  <c r="N262" i="52"/>
  <c r="N263" i="52"/>
  <c r="B264" i="52"/>
  <c r="B265" i="52" s="1"/>
  <c r="B266" i="52" s="1"/>
  <c r="B267" i="52" s="1"/>
  <c r="C264" i="52"/>
  <c r="C265" i="52" s="1"/>
  <c r="C266" i="52" s="1"/>
  <c r="C267" i="52" s="1"/>
  <c r="D264" i="52"/>
  <c r="F264" i="52"/>
  <c r="F265" i="52" s="1"/>
  <c r="F266" i="52" s="1"/>
  <c r="F267" i="52" s="1"/>
  <c r="G264" i="52"/>
  <c r="G265" i="52" s="1"/>
  <c r="G266" i="52" s="1"/>
  <c r="G267" i="52" s="1"/>
  <c r="H264" i="52"/>
  <c r="H265" i="52" s="1"/>
  <c r="H266" i="52" s="1"/>
  <c r="H267" i="52" s="1"/>
  <c r="I264" i="52"/>
  <c r="I265" i="52" s="1"/>
  <c r="I266" i="52" s="1"/>
  <c r="I267" i="52" s="1"/>
  <c r="J264" i="52"/>
  <c r="J265" i="52" s="1"/>
  <c r="J266" i="52" s="1"/>
  <c r="J267" i="52" s="1"/>
  <c r="K264" i="52"/>
  <c r="K265" i="52" s="1"/>
  <c r="K266" i="52" s="1"/>
  <c r="K267" i="52" s="1"/>
  <c r="L264" i="52"/>
  <c r="L265" i="52" s="1"/>
  <c r="L266" i="52" s="1"/>
  <c r="L267" i="52" s="1"/>
  <c r="M264" i="52"/>
  <c r="M265" i="52" s="1"/>
  <c r="M266" i="52" s="1"/>
  <c r="M267" i="52" s="1"/>
  <c r="E265" i="52"/>
  <c r="E266" i="52" s="1"/>
  <c r="E267" i="52" s="1"/>
  <c r="N271" i="52"/>
  <c r="N272" i="52"/>
  <c r="N273" i="52"/>
  <c r="B274" i="52"/>
  <c r="B275" i="52" s="1"/>
  <c r="C274" i="52"/>
  <c r="D274" i="52"/>
  <c r="D275" i="52" s="1"/>
  <c r="E274" i="52"/>
  <c r="E275" i="52" s="1"/>
  <c r="F274" i="52"/>
  <c r="F275" i="52" s="1"/>
  <c r="G274" i="52"/>
  <c r="G275" i="52" s="1"/>
  <c r="H274" i="52"/>
  <c r="H275" i="52" s="1"/>
  <c r="I274" i="52"/>
  <c r="I275" i="52" s="1"/>
  <c r="J274" i="52"/>
  <c r="J275" i="52" s="1"/>
  <c r="K274" i="52"/>
  <c r="K275" i="52" s="1"/>
  <c r="L274" i="52"/>
  <c r="L275" i="52" s="1"/>
  <c r="M274" i="52"/>
  <c r="M275" i="52" s="1"/>
  <c r="N281" i="52"/>
  <c r="N282" i="52"/>
  <c r="N283" i="52"/>
  <c r="B284" i="52"/>
  <c r="C284" i="52"/>
  <c r="C285" i="52" s="1"/>
  <c r="D284" i="52"/>
  <c r="D285" i="52" s="1"/>
  <c r="E284" i="52"/>
  <c r="E285" i="52" s="1"/>
  <c r="F284" i="52"/>
  <c r="F285" i="52" s="1"/>
  <c r="G284" i="52"/>
  <c r="G285" i="52" s="1"/>
  <c r="H284" i="52"/>
  <c r="H285" i="52" s="1"/>
  <c r="I284" i="52"/>
  <c r="I285" i="52" s="1"/>
  <c r="J284" i="52"/>
  <c r="J285" i="52" s="1"/>
  <c r="K284" i="52"/>
  <c r="K285" i="52" s="1"/>
  <c r="L284" i="52"/>
  <c r="L285" i="52" s="1"/>
  <c r="M284" i="52"/>
  <c r="M285" i="52" s="1"/>
  <c r="N288" i="52"/>
  <c r="N289" i="52"/>
  <c r="N290" i="52"/>
  <c r="B291" i="52"/>
  <c r="B292" i="52" s="1"/>
  <c r="C291" i="52"/>
  <c r="C292" i="52" s="1"/>
  <c r="D291" i="52"/>
  <c r="D292" i="52" s="1"/>
  <c r="E291" i="52"/>
  <c r="E292" i="52" s="1"/>
  <c r="F291" i="52"/>
  <c r="F292" i="52" s="1"/>
  <c r="G291" i="52"/>
  <c r="G292" i="52" s="1"/>
  <c r="H291" i="52"/>
  <c r="H292" i="52" s="1"/>
  <c r="I291" i="52"/>
  <c r="I292" i="52" s="1"/>
  <c r="J291" i="52"/>
  <c r="J292" i="52" s="1"/>
  <c r="K291" i="52"/>
  <c r="K292" i="52" s="1"/>
  <c r="L291" i="52"/>
  <c r="L292" i="52" s="1"/>
  <c r="M291" i="52"/>
  <c r="M292" i="52" s="1"/>
  <c r="N297" i="52"/>
  <c r="N298" i="52"/>
  <c r="N299" i="52"/>
  <c r="B300" i="52"/>
  <c r="B301" i="52" s="1"/>
  <c r="C300" i="52"/>
  <c r="C301" i="52" s="1"/>
  <c r="D300" i="52"/>
  <c r="E300" i="52"/>
  <c r="E301" i="52" s="1"/>
  <c r="F300" i="52"/>
  <c r="F301" i="52" s="1"/>
  <c r="G300" i="52"/>
  <c r="G301" i="52" s="1"/>
  <c r="H300" i="52"/>
  <c r="H301" i="52" s="1"/>
  <c r="I300" i="52"/>
  <c r="I301" i="52" s="1"/>
  <c r="J300" i="52"/>
  <c r="J301" i="52" s="1"/>
  <c r="K300" i="52"/>
  <c r="K301" i="52" s="1"/>
  <c r="L300" i="52"/>
  <c r="L301" i="52" s="1"/>
  <c r="M300" i="52"/>
  <c r="M301" i="52" s="1"/>
  <c r="N306" i="52"/>
  <c r="N307" i="52"/>
  <c r="N308" i="52"/>
  <c r="B309" i="52"/>
  <c r="B310" i="52" s="1"/>
  <c r="C309" i="52"/>
  <c r="C310" i="52" s="1"/>
  <c r="D309" i="52"/>
  <c r="D310" i="52" s="1"/>
  <c r="E309" i="52"/>
  <c r="E310" i="52" s="1"/>
  <c r="F309" i="52"/>
  <c r="F310" i="52" s="1"/>
  <c r="G309" i="52"/>
  <c r="G310" i="52" s="1"/>
  <c r="H309" i="52"/>
  <c r="H310" i="52" s="1"/>
  <c r="I309" i="52"/>
  <c r="I310" i="52" s="1"/>
  <c r="J309" i="52"/>
  <c r="J310" i="52" s="1"/>
  <c r="K309" i="52"/>
  <c r="K310" i="52" s="1"/>
  <c r="L309" i="52"/>
  <c r="L310" i="52" s="1"/>
  <c r="M309" i="52"/>
  <c r="M310" i="52" s="1"/>
  <c r="N315" i="52"/>
  <c r="N316" i="52"/>
  <c r="N317" i="52"/>
  <c r="B318" i="52"/>
  <c r="C318" i="52"/>
  <c r="C319" i="52" s="1"/>
  <c r="D318" i="52"/>
  <c r="D319" i="52" s="1"/>
  <c r="E318" i="52"/>
  <c r="E319" i="52" s="1"/>
  <c r="F318" i="52"/>
  <c r="F319" i="52" s="1"/>
  <c r="G318" i="52"/>
  <c r="G319" i="52" s="1"/>
  <c r="H318" i="52"/>
  <c r="H319" i="52" s="1"/>
  <c r="I318" i="52"/>
  <c r="I319" i="52" s="1"/>
  <c r="J318" i="52"/>
  <c r="J319" i="52" s="1"/>
  <c r="K318" i="52"/>
  <c r="K319" i="52" s="1"/>
  <c r="L318" i="52"/>
  <c r="L319" i="52" s="1"/>
  <c r="M318" i="52"/>
  <c r="M319" i="52" s="1"/>
  <c r="N323" i="52"/>
  <c r="N324" i="52"/>
  <c r="N325" i="52"/>
  <c r="B326" i="52"/>
  <c r="B327" i="52" s="1"/>
  <c r="C326" i="52"/>
  <c r="C327" i="52" s="1"/>
  <c r="D326" i="52"/>
  <c r="D327" i="52" s="1"/>
  <c r="E326" i="52"/>
  <c r="E327" i="52" s="1"/>
  <c r="F326" i="52"/>
  <c r="F327" i="52" s="1"/>
  <c r="G326" i="52"/>
  <c r="G327" i="52" s="1"/>
  <c r="H326" i="52"/>
  <c r="H327" i="52" s="1"/>
  <c r="I326" i="52"/>
  <c r="I327" i="52" s="1"/>
  <c r="J326" i="52"/>
  <c r="J327" i="52" s="1"/>
  <c r="K326" i="52"/>
  <c r="K327" i="52" s="1"/>
  <c r="L326" i="52"/>
  <c r="L327" i="52" s="1"/>
  <c r="M326" i="52"/>
  <c r="M327" i="52" s="1"/>
  <c r="N331" i="52"/>
  <c r="N332" i="52"/>
  <c r="N333" i="52"/>
  <c r="B334" i="52"/>
  <c r="B335" i="52" s="1"/>
  <c r="C334" i="52"/>
  <c r="C335" i="52" s="1"/>
  <c r="D334" i="52"/>
  <c r="D335" i="52" s="1"/>
  <c r="E334" i="52"/>
  <c r="E335" i="52" s="1"/>
  <c r="F334" i="52"/>
  <c r="F335" i="52" s="1"/>
  <c r="G334" i="52"/>
  <c r="G335" i="52" s="1"/>
  <c r="H334" i="52"/>
  <c r="H335" i="52" s="1"/>
  <c r="I334" i="52"/>
  <c r="I335" i="52" s="1"/>
  <c r="J334" i="52"/>
  <c r="J335" i="52" s="1"/>
  <c r="K334" i="52"/>
  <c r="K335" i="52" s="1"/>
  <c r="L334" i="52"/>
  <c r="L335" i="52" s="1"/>
  <c r="M334" i="52"/>
  <c r="M335" i="52" s="1"/>
  <c r="N339" i="52"/>
  <c r="N340" i="52"/>
  <c r="N341" i="52"/>
  <c r="B342" i="52"/>
  <c r="B343" i="52" s="1"/>
  <c r="C342" i="52"/>
  <c r="C343" i="52" s="1"/>
  <c r="D342" i="52"/>
  <c r="D343" i="52" s="1"/>
  <c r="E342" i="52"/>
  <c r="E343" i="52" s="1"/>
  <c r="F342" i="52"/>
  <c r="F343" i="52" s="1"/>
  <c r="G342" i="52"/>
  <c r="G343" i="52" s="1"/>
  <c r="H342" i="52"/>
  <c r="H343" i="52" s="1"/>
  <c r="I342" i="52"/>
  <c r="I343" i="52" s="1"/>
  <c r="J342" i="52"/>
  <c r="J343" i="52" s="1"/>
  <c r="K342" i="52"/>
  <c r="K343" i="52" s="1"/>
  <c r="L342" i="52"/>
  <c r="L343" i="52" s="1"/>
  <c r="M342" i="52"/>
  <c r="M343" i="52" s="1"/>
  <c r="B344" i="52"/>
  <c r="C344" i="52"/>
  <c r="D344" i="52"/>
  <c r="E344" i="52"/>
  <c r="F344" i="52"/>
  <c r="G344" i="52"/>
  <c r="H344" i="52"/>
  <c r="I344" i="52"/>
  <c r="J344" i="52"/>
  <c r="K344" i="52"/>
  <c r="L344" i="52"/>
  <c r="M344" i="52"/>
  <c r="N348" i="52"/>
  <c r="N349" i="52"/>
  <c r="N350" i="52"/>
  <c r="B351" i="52"/>
  <c r="B352" i="52" s="1"/>
  <c r="C351" i="52"/>
  <c r="D351" i="52"/>
  <c r="D352" i="52" s="1"/>
  <c r="E351" i="52"/>
  <c r="E352" i="52" s="1"/>
  <c r="F351" i="52"/>
  <c r="F352" i="52" s="1"/>
  <c r="G351" i="52"/>
  <c r="G352" i="52" s="1"/>
  <c r="H351" i="52"/>
  <c r="H352" i="52" s="1"/>
  <c r="I351" i="52"/>
  <c r="I352" i="52" s="1"/>
  <c r="J351" i="52"/>
  <c r="J352" i="52" s="1"/>
  <c r="K351" i="52"/>
  <c r="K352" i="52" s="1"/>
  <c r="L351" i="52"/>
  <c r="L352" i="52" s="1"/>
  <c r="M351" i="52"/>
  <c r="M352" i="52" s="1"/>
  <c r="N356" i="52"/>
  <c r="N357" i="52"/>
  <c r="N358" i="52"/>
  <c r="B359" i="52"/>
  <c r="B360" i="52" s="1"/>
  <c r="C359" i="52"/>
  <c r="C360" i="52" s="1"/>
  <c r="D359" i="52"/>
  <c r="D360" i="52" s="1"/>
  <c r="E359" i="52"/>
  <c r="E360" i="52" s="1"/>
  <c r="F359" i="52"/>
  <c r="F360" i="52" s="1"/>
  <c r="G359" i="52"/>
  <c r="G360" i="52" s="1"/>
  <c r="H359" i="52"/>
  <c r="H360" i="52" s="1"/>
  <c r="I359" i="52"/>
  <c r="I360" i="52" s="1"/>
  <c r="J359" i="52"/>
  <c r="J360" i="52" s="1"/>
  <c r="K359" i="52"/>
  <c r="K360" i="52" s="1"/>
  <c r="L359" i="52"/>
  <c r="L360" i="52" s="1"/>
  <c r="M359" i="52"/>
  <c r="M360" i="52" s="1"/>
  <c r="N364" i="52"/>
  <c r="N365" i="52"/>
  <c r="N366" i="52"/>
  <c r="B367" i="52"/>
  <c r="B368" i="52" s="1"/>
  <c r="C367" i="52"/>
  <c r="C368" i="52" s="1"/>
  <c r="D367" i="52"/>
  <c r="D368" i="52" s="1"/>
  <c r="E367" i="52"/>
  <c r="E368" i="52" s="1"/>
  <c r="F367" i="52"/>
  <c r="F368" i="52" s="1"/>
  <c r="G367" i="52"/>
  <c r="G368" i="52" s="1"/>
  <c r="H367" i="52"/>
  <c r="H368" i="52" s="1"/>
  <c r="I367" i="52"/>
  <c r="I368" i="52" s="1"/>
  <c r="J367" i="52"/>
  <c r="J368" i="52" s="1"/>
  <c r="K367" i="52"/>
  <c r="K368" i="52" s="1"/>
  <c r="L367" i="52"/>
  <c r="L368" i="52" s="1"/>
  <c r="M367" i="52"/>
  <c r="M368" i="52" s="1"/>
  <c r="N373" i="52"/>
  <c r="N374" i="52"/>
  <c r="N375" i="52"/>
  <c r="B376" i="52"/>
  <c r="C376" i="52"/>
  <c r="C377" i="52" s="1"/>
  <c r="D376" i="52"/>
  <c r="D377" i="52" s="1"/>
  <c r="E376" i="52"/>
  <c r="E377" i="52" s="1"/>
  <c r="F376" i="52"/>
  <c r="F377" i="52" s="1"/>
  <c r="G376" i="52"/>
  <c r="G377" i="52" s="1"/>
  <c r="H376" i="52"/>
  <c r="H377" i="52" s="1"/>
  <c r="I376" i="52"/>
  <c r="I377" i="52" s="1"/>
  <c r="J376" i="52"/>
  <c r="J377" i="52" s="1"/>
  <c r="K376" i="52"/>
  <c r="K377" i="52" s="1"/>
  <c r="L376" i="52"/>
  <c r="L377" i="52" s="1"/>
  <c r="M376" i="52"/>
  <c r="M377" i="52" s="1"/>
  <c r="N382" i="52"/>
  <c r="N383" i="52"/>
  <c r="N384" i="52"/>
  <c r="B385" i="52"/>
  <c r="B386" i="52" s="1"/>
  <c r="C385" i="52"/>
  <c r="C386" i="52" s="1"/>
  <c r="D385" i="52"/>
  <c r="D386" i="52" s="1"/>
  <c r="E385" i="52"/>
  <c r="E386" i="52" s="1"/>
  <c r="F385" i="52"/>
  <c r="F386" i="52" s="1"/>
  <c r="G385" i="52"/>
  <c r="G386" i="52" s="1"/>
  <c r="H385" i="52"/>
  <c r="H386" i="52" s="1"/>
  <c r="I385" i="52"/>
  <c r="I386" i="52" s="1"/>
  <c r="J385" i="52"/>
  <c r="J386" i="52" s="1"/>
  <c r="K385" i="52"/>
  <c r="K386" i="52" s="1"/>
  <c r="L385" i="52"/>
  <c r="L386" i="52" s="1"/>
  <c r="M385" i="52"/>
  <c r="M386" i="52" s="1"/>
  <c r="H419" i="52"/>
  <c r="H423" i="52"/>
  <c r="I423" i="52"/>
  <c r="J423" i="52"/>
  <c r="K423" i="52"/>
  <c r="AI1" i="3"/>
  <c r="BF2" i="3"/>
  <c r="BF3" i="3"/>
  <c r="BK3" i="3"/>
  <c r="BR3" i="3"/>
  <c r="BK4" i="3"/>
  <c r="P5" i="3"/>
  <c r="P6" i="3" s="1"/>
  <c r="BK5" i="3"/>
  <c r="BK6" i="3"/>
  <c r="AG7" i="3"/>
  <c r="AI7" i="3"/>
  <c r="BN7" i="3"/>
  <c r="BQ7" i="3"/>
  <c r="BM8" i="3"/>
  <c r="B9" i="3"/>
  <c r="AJ126" i="3" s="1"/>
  <c r="BQ9" i="3"/>
  <c r="K10" i="3"/>
  <c r="BI12" i="3"/>
  <c r="BK12" i="3" s="1"/>
  <c r="BG12" i="3" s="1"/>
  <c r="BH13" i="3"/>
  <c r="BH14" i="3" s="1"/>
  <c r="BH15" i="3" s="1"/>
  <c r="BH16" i="3" s="1"/>
  <c r="BS13" i="3"/>
  <c r="AG15" i="3"/>
  <c r="AN15" i="3" s="1"/>
  <c r="E19" i="1" s="1"/>
  <c r="BP15" i="3"/>
  <c r="AH16" i="3"/>
  <c r="AG17" i="3"/>
  <c r="AH17" i="3"/>
  <c r="AH18" i="3"/>
  <c r="BE18" i="3"/>
  <c r="AQ19" i="3"/>
  <c r="Y78" i="49" s="1"/>
  <c r="AF21" i="3"/>
  <c r="AG21" i="3"/>
  <c r="AN21" i="3" s="1"/>
  <c r="AF22" i="3"/>
  <c r="AG22" i="3"/>
  <c r="AN22" i="3" s="1"/>
  <c r="AG23" i="3"/>
  <c r="AN23" i="3" s="1"/>
  <c r="AF24" i="3"/>
  <c r="AG24" i="3"/>
  <c r="AH24" i="3"/>
  <c r="BN24" i="3"/>
  <c r="AF25" i="3"/>
  <c r="AG25" i="3"/>
  <c r="AG26" i="3"/>
  <c r="AF27" i="3"/>
  <c r="AG27" i="3"/>
  <c r="AN27" i="3" s="1"/>
  <c r="AF28" i="3"/>
  <c r="AG28" i="3"/>
  <c r="AH28" i="3"/>
  <c r="AF29" i="3"/>
  <c r="AG29" i="3"/>
  <c r="AH29" i="3"/>
  <c r="AF30" i="3"/>
  <c r="AG30" i="3"/>
  <c r="AN30" i="3" s="1"/>
  <c r="E29" i="1" s="1"/>
  <c r="N12" i="4" s="1"/>
  <c r="AH31" i="3"/>
  <c r="BE31" i="3"/>
  <c r="BI31" i="3"/>
  <c r="AF32" i="3"/>
  <c r="AG32" i="3"/>
  <c r="BN33" i="3"/>
  <c r="AF34" i="3"/>
  <c r="BH34" i="3"/>
  <c r="AK37" i="3" s="1"/>
  <c r="AF35" i="3"/>
  <c r="AG35" i="3"/>
  <c r="AN35" i="3" s="1"/>
  <c r="AH35" i="3"/>
  <c r="AK35" i="3"/>
  <c r="AG36" i="3"/>
  <c r="AF37" i="3"/>
  <c r="AG37" i="3"/>
  <c r="AG38" i="3"/>
  <c r="AK38" i="3"/>
  <c r="BK38" i="3"/>
  <c r="AG39" i="3"/>
  <c r="AN39" i="3" s="1"/>
  <c r="BK39" i="3"/>
  <c r="BK40" i="3"/>
  <c r="AQ41" i="3"/>
  <c r="AQ42" i="3" s="1"/>
  <c r="BI42" i="3"/>
  <c r="BK42" i="3" s="1"/>
  <c r="AF43" i="3"/>
  <c r="BI44" i="3"/>
  <c r="BI45" i="3" s="1"/>
  <c r="BI46" i="3" s="1"/>
  <c r="BI47" i="3" s="1"/>
  <c r="AF45" i="3"/>
  <c r="AG45" i="3"/>
  <c r="AF46" i="3"/>
  <c r="AG46" i="3"/>
  <c r="AF47" i="3"/>
  <c r="AG47" i="3"/>
  <c r="BE47" i="3"/>
  <c r="AF48" i="3"/>
  <c r="AG48" i="3"/>
  <c r="BB48" i="3"/>
  <c r="AF49" i="3"/>
  <c r="AG49" i="3"/>
  <c r="AG50" i="3"/>
  <c r="AN50" i="3" s="1"/>
  <c r="AF51" i="3"/>
  <c r="AG51" i="3"/>
  <c r="AF52" i="3"/>
  <c r="AG52" i="3"/>
  <c r="AF53" i="3"/>
  <c r="AG53" i="3"/>
  <c r="AF54" i="3"/>
  <c r="AG54" i="3"/>
  <c r="AN54" i="3" s="1"/>
  <c r="CI54" i="3"/>
  <c r="CI56" i="3" s="1"/>
  <c r="CI57" i="3" s="1"/>
  <c r="AF55" i="3"/>
  <c r="AG55" i="3"/>
  <c r="AH55" i="3"/>
  <c r="AF56" i="3"/>
  <c r="AH56" i="3"/>
  <c r="AQ56" i="3"/>
  <c r="F38" i="1" s="1"/>
  <c r="AF57" i="3"/>
  <c r="R50" i="4"/>
  <c r="AG58" i="3"/>
  <c r="AH58" i="3"/>
  <c r="AZ58" i="3"/>
  <c r="BG58" i="3"/>
  <c r="BI58" i="3"/>
  <c r="BK58" i="3" s="1"/>
  <c r="AF59" i="3"/>
  <c r="AF61" i="3"/>
  <c r="AG61" i="3"/>
  <c r="BE62" i="3"/>
  <c r="AF64" i="3"/>
  <c r="AF66" i="3"/>
  <c r="AG66" i="3"/>
  <c r="AF67" i="3"/>
  <c r="AG67" i="3"/>
  <c r="AF68" i="3"/>
  <c r="AG68" i="3"/>
  <c r="AH68" i="3"/>
  <c r="AF69" i="3"/>
  <c r="AG69" i="3"/>
  <c r="AH70" i="3"/>
  <c r="AF71" i="3"/>
  <c r="AH71" i="3"/>
  <c r="AF72" i="3"/>
  <c r="AH72" i="3"/>
  <c r="BK72" i="3"/>
  <c r="AF73" i="3"/>
  <c r="AH73" i="3"/>
  <c r="BK73" i="3"/>
  <c r="AG74" i="3"/>
  <c r="AH74" i="3"/>
  <c r="AF75" i="3"/>
  <c r="AG75" i="3"/>
  <c r="AN75" i="3" s="1"/>
  <c r="BK75" i="3"/>
  <c r="AF76" i="3"/>
  <c r="BF76" i="3"/>
  <c r="BK76" i="3"/>
  <c r="AF77" i="3"/>
  <c r="AG77" i="3"/>
  <c r="AO77" i="3"/>
  <c r="AF78" i="3"/>
  <c r="AG78" i="3"/>
  <c r="AO78" i="3"/>
  <c r="AF79" i="3"/>
  <c r="AP82" i="3"/>
  <c r="AG84" i="3"/>
  <c r="AF85" i="3"/>
  <c r="AN85" i="3"/>
  <c r="AF87" i="3"/>
  <c r="AG86" i="3"/>
  <c r="AG87" i="3"/>
  <c r="AU109" i="3" s="1"/>
  <c r="AF88" i="3"/>
  <c r="BR88" i="3"/>
  <c r="AR90" i="3"/>
  <c r="BM90" i="3"/>
  <c r="AO91" i="3"/>
  <c r="BP91" i="3"/>
  <c r="AF92" i="3"/>
  <c r="L103" i="3"/>
  <c r="L98" i="3" s="1"/>
  <c r="L99" i="3" s="1"/>
  <c r="L81" i="3" s="1"/>
  <c r="AG93" i="3"/>
  <c r="BK93" i="3"/>
  <c r="BF93" i="3" s="1"/>
  <c r="AQ94" i="3"/>
  <c r="BK94" i="3"/>
  <c r="BF94" i="3" s="1"/>
  <c r="AQ95" i="3"/>
  <c r="AS95" i="3"/>
  <c r="BK95" i="3"/>
  <c r="BF95" i="3" s="1"/>
  <c r="BP95" i="3"/>
  <c r="BR95" i="3"/>
  <c r="AF96" i="3"/>
  <c r="AQ96" i="3"/>
  <c r="BI96" i="3"/>
  <c r="BK96" i="3" s="1"/>
  <c r="BF96" i="3" s="1"/>
  <c r="AP97" i="3"/>
  <c r="BI97" i="3"/>
  <c r="BK97" i="3" s="1"/>
  <c r="BF97" i="3" s="1"/>
  <c r="AL98" i="3"/>
  <c r="BQ99" i="3"/>
  <c r="AG102" i="3"/>
  <c r="AU104" i="3" s="1"/>
  <c r="BE102" i="3"/>
  <c r="B103" i="3"/>
  <c r="B98" i="3" s="1"/>
  <c r="B99" i="3" s="1"/>
  <c r="B81" i="3" s="1"/>
  <c r="E103" i="3"/>
  <c r="E98" i="3" s="1"/>
  <c r="E99" i="3" s="1"/>
  <c r="E81" i="3" s="1"/>
  <c r="F103" i="3"/>
  <c r="F98" i="3" s="1"/>
  <c r="F99" i="3" s="1"/>
  <c r="F81" i="3" s="1"/>
  <c r="G103" i="3"/>
  <c r="G98" i="3" s="1"/>
  <c r="G99" i="3" s="1"/>
  <c r="G81" i="3" s="1"/>
  <c r="I103" i="3"/>
  <c r="I98" i="3" s="1"/>
  <c r="I99" i="3" s="1"/>
  <c r="I81" i="3" s="1"/>
  <c r="J103" i="3"/>
  <c r="J98" i="3" s="1"/>
  <c r="J99" i="3" s="1"/>
  <c r="J81" i="3" s="1"/>
  <c r="R103" i="3"/>
  <c r="R98" i="3" s="1"/>
  <c r="R99" i="3" s="1"/>
  <c r="R81" i="3" s="1"/>
  <c r="S103" i="3"/>
  <c r="S98" i="3" s="1"/>
  <c r="S99" i="3" s="1"/>
  <c r="S81" i="3" s="1"/>
  <c r="T103" i="3"/>
  <c r="T98" i="3" s="1"/>
  <c r="T99" i="3" s="1"/>
  <c r="T81" i="3" s="1"/>
  <c r="U103" i="3"/>
  <c r="U98" i="3" s="1"/>
  <c r="U99" i="3" s="1"/>
  <c r="U81" i="3" s="1"/>
  <c r="V103" i="3"/>
  <c r="V98" i="3" s="1"/>
  <c r="V99" i="3" s="1"/>
  <c r="V81" i="3" s="1"/>
  <c r="W103" i="3"/>
  <c r="W98" i="3" s="1"/>
  <c r="W99" i="3" s="1"/>
  <c r="W81" i="3" s="1"/>
  <c r="X103" i="3"/>
  <c r="X98" i="3" s="1"/>
  <c r="X99" i="3" s="1"/>
  <c r="X81" i="3" s="1"/>
  <c r="Y103" i="3"/>
  <c r="Y98" i="3" s="1"/>
  <c r="Y99" i="3" s="1"/>
  <c r="Y81" i="3" s="1"/>
  <c r="Z103" i="3"/>
  <c r="Z98" i="3" s="1"/>
  <c r="Z99" i="3" s="1"/>
  <c r="Z81" i="3" s="1"/>
  <c r="AA103" i="3"/>
  <c r="AA98" i="3" s="1"/>
  <c r="AA99" i="3" s="1"/>
  <c r="AA81" i="3" s="1"/>
  <c r="AB103" i="3"/>
  <c r="AB98" i="3" s="1"/>
  <c r="AB99" i="3" s="1"/>
  <c r="AB81" i="3" s="1"/>
  <c r="AC103" i="3"/>
  <c r="AC98" i="3" s="1"/>
  <c r="AC99" i="3" s="1"/>
  <c r="AC81" i="3" s="1"/>
  <c r="AD103" i="3"/>
  <c r="AD98" i="3" s="1"/>
  <c r="AD99" i="3" s="1"/>
  <c r="AD81" i="3" s="1"/>
  <c r="AE103" i="3"/>
  <c r="AH103" i="3"/>
  <c r="AG104" i="3"/>
  <c r="N107" i="3"/>
  <c r="V107" i="3"/>
  <c r="AJ108" i="3"/>
  <c r="AB109" i="3"/>
  <c r="AM109" i="3"/>
  <c r="AM110" i="3"/>
  <c r="AN110" i="3"/>
  <c r="BK110" i="3"/>
  <c r="BF110" i="3" s="1"/>
  <c r="AB111" i="3"/>
  <c r="AM111" i="3"/>
  <c r="AN111" i="3"/>
  <c r="BH111" i="3"/>
  <c r="BH112" i="3" s="1"/>
  <c r="BK111" i="3"/>
  <c r="AM112" i="3"/>
  <c r="AN112" i="3"/>
  <c r="BK112" i="3"/>
  <c r="Z115" i="3"/>
  <c r="AD115" i="3"/>
  <c r="Z116" i="3"/>
  <c r="AG116" i="3"/>
  <c r="Z117" i="3"/>
  <c r="AB117" i="3"/>
  <c r="AF117" i="3"/>
  <c r="AJ117" i="3"/>
  <c r="Z118" i="3"/>
  <c r="AG118" i="3"/>
  <c r="AJ118" i="3"/>
  <c r="AJ119" i="3"/>
  <c r="AK119" i="3"/>
  <c r="AN119" i="3"/>
  <c r="AO119" i="3"/>
  <c r="AJ120" i="3"/>
  <c r="AO120" i="3"/>
  <c r="BC121" i="3"/>
  <c r="AW122" i="3"/>
  <c r="Y123" i="3"/>
  <c r="Z123" i="3"/>
  <c r="AA123" i="3"/>
  <c r="AB123" i="3"/>
  <c r="AC123" i="3"/>
  <c r="AD123" i="3"/>
  <c r="AE123" i="3"/>
  <c r="AF123" i="3"/>
  <c r="AG124" i="3"/>
  <c r="AS125" i="3"/>
  <c r="F126" i="3"/>
  <c r="AI126" i="3"/>
  <c r="F127" i="3"/>
  <c r="F128" i="3"/>
  <c r="F129" i="3"/>
  <c r="F130" i="3"/>
  <c r="H130" i="3"/>
  <c r="M130" i="3"/>
  <c r="Y130" i="3"/>
  <c r="Z130" i="3"/>
  <c r="AA130" i="3"/>
  <c r="AB130" i="3"/>
  <c r="AC130" i="3"/>
  <c r="AD130" i="3"/>
  <c r="AE130" i="3"/>
  <c r="AF130" i="3"/>
  <c r="AI130" i="3"/>
  <c r="AG147" i="3" s="1"/>
  <c r="F131" i="3"/>
  <c r="F132" i="3"/>
  <c r="H132" i="3"/>
  <c r="M132" i="3"/>
  <c r="Y132" i="3"/>
  <c r="Z132" i="3"/>
  <c r="AA132" i="3"/>
  <c r="AB132" i="3"/>
  <c r="AC132" i="3"/>
  <c r="AD132" i="3"/>
  <c r="AE132" i="3"/>
  <c r="AF132" i="3"/>
  <c r="F133" i="3"/>
  <c r="Y133" i="3"/>
  <c r="Z133" i="3"/>
  <c r="AA133" i="3"/>
  <c r="AB133" i="3"/>
  <c r="AC133" i="3"/>
  <c r="AD133" i="3"/>
  <c r="AE133" i="3"/>
  <c r="AF133" i="3"/>
  <c r="F134" i="3"/>
  <c r="M134" i="3"/>
  <c r="Y134" i="3"/>
  <c r="Z134" i="3"/>
  <c r="AA134" i="3"/>
  <c r="AB134" i="3"/>
  <c r="AC134" i="3"/>
  <c r="AD134" i="3"/>
  <c r="AE134" i="3"/>
  <c r="AF134" i="3"/>
  <c r="F135" i="3"/>
  <c r="Y135" i="3"/>
  <c r="Z135" i="3"/>
  <c r="AA135" i="3"/>
  <c r="AB135" i="3"/>
  <c r="AC135" i="3"/>
  <c r="AD135" i="3"/>
  <c r="AE135" i="3"/>
  <c r="AF135" i="3"/>
  <c r="F136" i="3"/>
  <c r="AZ136" i="3"/>
  <c r="F137" i="3"/>
  <c r="Y137" i="3"/>
  <c r="Z137" i="3"/>
  <c r="AA137" i="3"/>
  <c r="AB137" i="3"/>
  <c r="AC137" i="3"/>
  <c r="AD137" i="3"/>
  <c r="AE137" i="3"/>
  <c r="AF137" i="3"/>
  <c r="F138" i="3"/>
  <c r="F139" i="3"/>
  <c r="Y139" i="3"/>
  <c r="Z139" i="3"/>
  <c r="AA139" i="3"/>
  <c r="AB139" i="3"/>
  <c r="AC139" i="3"/>
  <c r="AD139" i="3"/>
  <c r="AE139" i="3"/>
  <c r="AF139" i="3"/>
  <c r="F140" i="3"/>
  <c r="F141" i="3"/>
  <c r="F142" i="3"/>
  <c r="H142" i="3"/>
  <c r="M142" i="3"/>
  <c r="Y142" i="3"/>
  <c r="Z142" i="3"/>
  <c r="AA142" i="3"/>
  <c r="AB142" i="3"/>
  <c r="AC142" i="3"/>
  <c r="AD142" i="3"/>
  <c r="AE142" i="3"/>
  <c r="AF142" i="3"/>
  <c r="F143" i="3"/>
  <c r="AJ143" i="3"/>
  <c r="AJ142" i="3" s="1"/>
  <c r="AK143" i="3"/>
  <c r="AK142" i="3" s="1"/>
  <c r="AM143" i="3"/>
  <c r="AM142" i="3" s="1"/>
  <c r="AO143" i="3"/>
  <c r="AO142" i="3" s="1"/>
  <c r="AP143" i="3"/>
  <c r="AP142" i="3" s="1"/>
  <c r="AQ143" i="3"/>
  <c r="AQ142" i="3" s="1"/>
  <c r="AR143" i="3"/>
  <c r="AR142" i="3" s="1"/>
  <c r="AS143" i="3"/>
  <c r="AS142" i="3" s="1"/>
  <c r="AT143" i="3"/>
  <c r="AT142" i="3" s="1"/>
  <c r="AU143" i="3"/>
  <c r="AU142" i="3" s="1"/>
  <c r="AV143" i="3"/>
  <c r="AV142" i="3" s="1"/>
  <c r="AW143" i="3"/>
  <c r="AW142" i="3" s="1"/>
  <c r="AX143" i="3"/>
  <c r="AX142" i="3" s="1"/>
  <c r="AY143" i="3"/>
  <c r="AY142" i="3" s="1"/>
  <c r="AZ143" i="3"/>
  <c r="AZ142" i="3" s="1"/>
  <c r="BA143" i="3"/>
  <c r="BA142" i="3" s="1"/>
  <c r="BB143" i="3"/>
  <c r="BB142" i="3" s="1"/>
  <c r="BC143" i="3"/>
  <c r="BC142" i="3" s="1"/>
  <c r="BD143" i="3"/>
  <c r="BD142" i="3" s="1"/>
  <c r="BE143" i="3"/>
  <c r="BE142" i="3" s="1"/>
  <c r="BF143" i="3"/>
  <c r="BF142" i="3" s="1"/>
  <c r="BG143" i="3"/>
  <c r="BG142" i="3" s="1"/>
  <c r="BH143" i="3"/>
  <c r="BH142" i="3" s="1"/>
  <c r="BK143" i="3"/>
  <c r="BK142" i="3" s="1"/>
  <c r="BL143" i="3"/>
  <c r="BL142" i="3" s="1"/>
  <c r="F144" i="3"/>
  <c r="M144" i="3"/>
  <c r="AL144" i="3"/>
  <c r="AL143" i="3" s="1"/>
  <c r="AN144" i="3"/>
  <c r="AN143" i="3" s="1"/>
  <c r="F145" i="3"/>
  <c r="AE145" i="3"/>
  <c r="AG145" i="3"/>
  <c r="F146" i="3"/>
  <c r="M145" i="3"/>
  <c r="EB72" i="73" s="1"/>
  <c r="M146" i="3"/>
  <c r="AG146" i="3"/>
  <c r="F147" i="3"/>
  <c r="AX147" i="3"/>
  <c r="F148" i="3"/>
  <c r="M148" i="3"/>
  <c r="AX148" i="3"/>
  <c r="F149" i="3"/>
  <c r="N149" i="3"/>
  <c r="O149" i="3"/>
  <c r="Y149" i="3"/>
  <c r="Z149" i="3"/>
  <c r="AG149" i="3"/>
  <c r="F150" i="3"/>
  <c r="M150" i="3"/>
  <c r="N150" i="3"/>
  <c r="Z150" i="3"/>
  <c r="AG150" i="3"/>
  <c r="AX150" i="3"/>
  <c r="F151" i="3"/>
  <c r="O151" i="3"/>
  <c r="O150" i="3" s="1"/>
  <c r="Z151" i="3"/>
  <c r="AG151" i="3"/>
  <c r="BA151" i="3"/>
  <c r="F152" i="3"/>
  <c r="M151" i="3"/>
  <c r="EB75" i="73" s="1"/>
  <c r="Z152" i="3"/>
  <c r="F153" i="3"/>
  <c r="Z153" i="3"/>
  <c r="F154" i="3"/>
  <c r="Z154" i="3"/>
  <c r="F155" i="3"/>
  <c r="Z155" i="3"/>
  <c r="F156" i="3"/>
  <c r="Z156" i="3"/>
  <c r="F157" i="3"/>
  <c r="M156" i="3"/>
  <c r="EB77" i="73" s="1"/>
  <c r="Z157" i="3"/>
  <c r="F158" i="3"/>
  <c r="Z158" i="3"/>
  <c r="AK158" i="3"/>
  <c r="AL158" i="3"/>
  <c r="AM158" i="3"/>
  <c r="AN158" i="3"/>
  <c r="F159" i="3"/>
  <c r="Z159" i="3"/>
  <c r="AK159" i="3"/>
  <c r="AL159" i="3"/>
  <c r="AM159" i="3"/>
  <c r="AN159" i="3"/>
  <c r="F160" i="3"/>
  <c r="M159" i="3"/>
  <c r="Z160" i="3"/>
  <c r="AK160" i="3"/>
  <c r="AL160" i="3"/>
  <c r="AM160" i="3"/>
  <c r="AN160" i="3"/>
  <c r="F161" i="3"/>
  <c r="Z161" i="3"/>
  <c r="AE161" i="3"/>
  <c r="F162" i="3"/>
  <c r="M160" i="3"/>
  <c r="EB79" i="73" s="1"/>
  <c r="Z162" i="3"/>
  <c r="F163" i="3"/>
  <c r="M162" i="3"/>
  <c r="EB80" i="73" s="1"/>
  <c r="M163" i="3"/>
  <c r="Z163" i="3"/>
  <c r="AK163" i="3"/>
  <c r="AL163" i="3"/>
  <c r="AM163" i="3"/>
  <c r="F164" i="3"/>
  <c r="Z164" i="3"/>
  <c r="F165" i="3"/>
  <c r="M165" i="3"/>
  <c r="Z165" i="3"/>
  <c r="F166" i="3"/>
  <c r="Z166" i="3"/>
  <c r="AP166" i="3"/>
  <c r="F167" i="3"/>
  <c r="M167" i="3"/>
  <c r="Z167" i="3"/>
  <c r="F168" i="3"/>
  <c r="M166" i="3"/>
  <c r="EB82" i="73" s="1"/>
  <c r="Z168" i="3"/>
  <c r="F169" i="3"/>
  <c r="Z169" i="3"/>
  <c r="F170" i="3"/>
  <c r="Z170" i="3"/>
  <c r="F171" i="3"/>
  <c r="Z171" i="3"/>
  <c r="F172" i="3"/>
  <c r="M170" i="3"/>
  <c r="EB84" i="73" s="1"/>
  <c r="Z172" i="3"/>
  <c r="F173" i="3"/>
  <c r="Z173" i="3"/>
  <c r="F174" i="3"/>
  <c r="Z174" i="3"/>
  <c r="F175" i="3"/>
  <c r="Z175" i="3"/>
  <c r="F176" i="3"/>
  <c r="Z176" i="3"/>
  <c r="AW176" i="3"/>
  <c r="AX176" i="3"/>
  <c r="AY176" i="3"/>
  <c r="F177" i="3"/>
  <c r="Z177" i="3"/>
  <c r="F178" i="3"/>
  <c r="Z178" i="3"/>
  <c r="G179" i="3"/>
  <c r="EC83" i="73" s="1"/>
  <c r="Z179" i="3"/>
  <c r="F181" i="3"/>
  <c r="F182" i="3"/>
  <c r="F183" i="3"/>
  <c r="F184" i="3"/>
  <c r="F185" i="3"/>
  <c r="F186" i="3"/>
  <c r="AE218" i="3"/>
  <c r="B220" i="3"/>
  <c r="B227" i="3" s="1"/>
  <c r="A3" i="49"/>
  <c r="K3" i="49"/>
  <c r="K4" i="49"/>
  <c r="K5" i="49"/>
  <c r="I8" i="49"/>
  <c r="T44" i="4"/>
  <c r="T46" i="4"/>
  <c r="E12" i="49"/>
  <c r="Q48" i="4" s="1"/>
  <c r="I12" i="49"/>
  <c r="I13" i="49"/>
  <c r="AY15" i="49"/>
  <c r="D14" i="49"/>
  <c r="I14" i="49"/>
  <c r="D15" i="49"/>
  <c r="I15" i="49"/>
  <c r="AG17" i="49"/>
  <c r="D17" i="49"/>
  <c r="J76" i="49" s="1"/>
  <c r="L76" i="49" s="1"/>
  <c r="E17" i="49"/>
  <c r="Y80" i="49" s="1"/>
  <c r="I17" i="49"/>
  <c r="D18" i="49"/>
  <c r="J78" i="49" s="1"/>
  <c r="E18" i="49"/>
  <c r="I18" i="49"/>
  <c r="D19" i="49"/>
  <c r="E19" i="49"/>
  <c r="I19" i="49"/>
  <c r="I36" i="1" s="1"/>
  <c r="AG21" i="49"/>
  <c r="I20" i="49"/>
  <c r="AG22" i="49"/>
  <c r="D21" i="49"/>
  <c r="E21" i="49"/>
  <c r="Y82" i="49" s="1"/>
  <c r="I21" i="49"/>
  <c r="AG23" i="49"/>
  <c r="D22" i="49"/>
  <c r="E22" i="49"/>
  <c r="I22" i="49"/>
  <c r="AG24" i="49"/>
  <c r="I23" i="49"/>
  <c r="AH84" i="49" s="1"/>
  <c r="AH99" i="49" s="1"/>
  <c r="AG25" i="49"/>
  <c r="AX25" i="49"/>
  <c r="AG26" i="49"/>
  <c r="E28" i="49"/>
  <c r="AG30" i="49"/>
  <c r="F31" i="49"/>
  <c r="AG31" i="49"/>
  <c r="AS31" i="49"/>
  <c r="AS32" i="49" s="1"/>
  <c r="AG32" i="49"/>
  <c r="AG33" i="49"/>
  <c r="AG35" i="49"/>
  <c r="AG36" i="49"/>
  <c r="AG37" i="49"/>
  <c r="B38" i="49"/>
  <c r="E38" i="49"/>
  <c r="F38" i="49"/>
  <c r="U38" i="49"/>
  <c r="AG38" i="49"/>
  <c r="AG39" i="49"/>
  <c r="T40" i="49"/>
  <c r="V40" i="49"/>
  <c r="AG40" i="49"/>
  <c r="W41" i="49"/>
  <c r="AG41" i="49"/>
  <c r="AA43" i="49"/>
  <c r="S44" i="49"/>
  <c r="AA44" i="49"/>
  <c r="S46" i="49"/>
  <c r="I48" i="49"/>
  <c r="P48" i="49" s="1"/>
  <c r="R58" i="49"/>
  <c r="P59" i="49"/>
  <c r="I62" i="49"/>
  <c r="I63" i="49"/>
  <c r="Z66" i="49"/>
  <c r="I68" i="49"/>
  <c r="L72" i="49"/>
  <c r="L73" i="49"/>
  <c r="K77" i="49"/>
  <c r="AB77" i="49"/>
  <c r="AC77" i="49"/>
  <c r="K79" i="49"/>
  <c r="Z86" i="49"/>
  <c r="M90" i="49"/>
  <c r="Y87" i="49"/>
  <c r="Z87" i="49"/>
  <c r="AA87" i="49"/>
  <c r="Z88" i="49"/>
  <c r="W89" i="49"/>
  <c r="T90" i="49"/>
  <c r="U90" i="49"/>
  <c r="AE90" i="49"/>
  <c r="J94" i="49"/>
  <c r="K94" i="49"/>
  <c r="L94" i="49"/>
  <c r="M94" i="49"/>
  <c r="N94" i="49"/>
  <c r="O94" i="49"/>
  <c r="T91" i="49"/>
  <c r="U91" i="49"/>
  <c r="AE91" i="49"/>
  <c r="J95" i="49"/>
  <c r="K95" i="49"/>
  <c r="L95" i="49"/>
  <c r="M95" i="49"/>
  <c r="N95" i="49"/>
  <c r="T92" i="49"/>
  <c r="U92" i="49"/>
  <c r="Z92" i="49"/>
  <c r="K96" i="49"/>
  <c r="T93" i="49"/>
  <c r="U93" i="49"/>
  <c r="AE93" i="49"/>
  <c r="E94" i="49"/>
  <c r="F94" i="49"/>
  <c r="G94" i="49"/>
  <c r="H94" i="49"/>
  <c r="T94" i="49"/>
  <c r="U94" i="49"/>
  <c r="AE94" i="49"/>
  <c r="C95" i="49"/>
  <c r="D95" i="49"/>
  <c r="E95" i="49"/>
  <c r="F95" i="49"/>
  <c r="G95" i="49"/>
  <c r="H95" i="49"/>
  <c r="I95" i="49"/>
  <c r="J98" i="49"/>
  <c r="K98" i="49"/>
  <c r="T95" i="49"/>
  <c r="U95" i="49"/>
  <c r="AC95" i="49" s="1"/>
  <c r="AE95" i="49"/>
  <c r="T96" i="49"/>
  <c r="U96" i="49"/>
  <c r="AC96" i="49" s="1"/>
  <c r="AE96" i="49"/>
  <c r="F97" i="49"/>
  <c r="G97" i="49"/>
  <c r="K100" i="49"/>
  <c r="T97" i="49"/>
  <c r="U97" i="49"/>
  <c r="AC97" i="49" s="1"/>
  <c r="AE97" i="49"/>
  <c r="T98" i="49"/>
  <c r="U98" i="49"/>
  <c r="AE98" i="49"/>
  <c r="T99" i="49"/>
  <c r="U99" i="49"/>
  <c r="AE99" i="49"/>
  <c r="T100" i="49"/>
  <c r="T101" i="49"/>
  <c r="T102" i="49"/>
  <c r="E103" i="49"/>
  <c r="X106" i="49"/>
  <c r="X107" i="49"/>
  <c r="X108" i="49"/>
  <c r="Y108" i="49"/>
  <c r="Z108" i="49"/>
  <c r="AA108" i="49"/>
  <c r="X109" i="49"/>
  <c r="X110" i="49"/>
  <c r="X111" i="49"/>
  <c r="X112" i="49"/>
  <c r="X113" i="49"/>
  <c r="P4" i="6"/>
  <c r="C6" i="6"/>
  <c r="C18" i="6" s="1"/>
  <c r="C7" i="6"/>
  <c r="C8" i="6"/>
  <c r="C9" i="6"/>
  <c r="C10" i="6"/>
  <c r="J11" i="6"/>
  <c r="BB56" i="3"/>
  <c r="L13" i="6"/>
  <c r="J14" i="6"/>
  <c r="J15" i="6"/>
  <c r="G15" i="6" s="1"/>
  <c r="J16" i="6"/>
  <c r="R17" i="6"/>
  <c r="S17" i="6"/>
  <c r="U17" i="6"/>
  <c r="B18" i="6"/>
  <c r="H18" i="6"/>
  <c r="S19" i="6"/>
  <c r="V19" i="6" s="1"/>
  <c r="V21" i="6"/>
  <c r="V23" i="6"/>
  <c r="V25" i="6"/>
  <c r="C27" i="6"/>
  <c r="C34" i="6" s="1"/>
  <c r="J27" i="6"/>
  <c r="N27" i="6"/>
  <c r="Q27" i="6" s="1"/>
  <c r="Q28" i="6"/>
  <c r="I29" i="6"/>
  <c r="Q29" i="6"/>
  <c r="Q30" i="6"/>
  <c r="D31" i="6"/>
  <c r="D34" i="6" s="1"/>
  <c r="E31" i="6"/>
  <c r="E34" i="6" s="1"/>
  <c r="F31" i="6"/>
  <c r="F34" i="6" s="1"/>
  <c r="I31" i="6"/>
  <c r="Q31" i="6"/>
  <c r="I32" i="6"/>
  <c r="J32" i="6"/>
  <c r="Q32" i="6"/>
  <c r="J33" i="6"/>
  <c r="O33" i="6"/>
  <c r="P33" i="6"/>
  <c r="B34" i="6"/>
  <c r="G34" i="6"/>
  <c r="H34" i="6"/>
  <c r="N42" i="6"/>
  <c r="Q42" i="6" s="1"/>
  <c r="T42" i="6" s="1"/>
  <c r="Q43" i="6"/>
  <c r="T43" i="6" s="1"/>
  <c r="Q44" i="6"/>
  <c r="T44" i="6" s="1"/>
  <c r="Q45" i="6"/>
  <c r="T45" i="6" s="1"/>
  <c r="I46" i="6"/>
  <c r="I49" i="6" s="1"/>
  <c r="Q46" i="6"/>
  <c r="T46" i="6" s="1"/>
  <c r="Q47" i="6"/>
  <c r="T47" i="6" s="1"/>
  <c r="D48" i="6"/>
  <c r="D49" i="6" s="1"/>
  <c r="B49" i="6"/>
  <c r="C49" i="6"/>
  <c r="E49" i="6"/>
  <c r="F49" i="6"/>
  <c r="G49" i="6"/>
  <c r="H49" i="6"/>
  <c r="J49" i="6"/>
  <c r="O49" i="6"/>
  <c r="P49" i="6"/>
  <c r="R49" i="6"/>
  <c r="S49" i="6"/>
  <c r="J50" i="6"/>
  <c r="M52" i="6"/>
  <c r="P52" i="6" s="1"/>
  <c r="S52" i="6" s="1"/>
  <c r="V52" i="6" s="1"/>
  <c r="P53" i="6"/>
  <c r="S53" i="6" s="1"/>
  <c r="V53" i="6" s="1"/>
  <c r="P54" i="6"/>
  <c r="P55" i="6"/>
  <c r="S55" i="6" s="1"/>
  <c r="V55" i="6" s="1"/>
  <c r="C56" i="6"/>
  <c r="M56" i="6"/>
  <c r="P56" i="6" s="1"/>
  <c r="S56" i="6" s="1"/>
  <c r="V56" i="6" s="1"/>
  <c r="B57" i="6"/>
  <c r="C57" i="6" s="1"/>
  <c r="M57" i="6"/>
  <c r="P57" i="6" s="1"/>
  <c r="S57" i="6" s="1"/>
  <c r="V57" i="6" s="1"/>
  <c r="C59" i="6"/>
  <c r="E59" i="6" s="1"/>
  <c r="N59" i="6"/>
  <c r="O59" i="6"/>
  <c r="Q59" i="6"/>
  <c r="R59" i="6"/>
  <c r="T59" i="6"/>
  <c r="U59" i="6"/>
  <c r="C60" i="6"/>
  <c r="E60" i="6" s="1"/>
  <c r="C61" i="6"/>
  <c r="E61" i="6" s="1"/>
  <c r="D62" i="6"/>
  <c r="C69" i="6"/>
  <c r="C74" i="6" s="1"/>
  <c r="F69" i="6"/>
  <c r="B71" i="6"/>
  <c r="B74" i="6" s="1"/>
  <c r="E72" i="6"/>
  <c r="E74" i="6" s="1"/>
  <c r="F72" i="6"/>
  <c r="D74" i="6"/>
  <c r="L75" i="6"/>
  <c r="L76" i="6"/>
  <c r="E77" i="6"/>
  <c r="G77" i="6" s="1"/>
  <c r="K77" i="6"/>
  <c r="U77" i="6"/>
  <c r="V77" i="6"/>
  <c r="T78" i="6"/>
  <c r="D79" i="6"/>
  <c r="H79" i="6"/>
  <c r="I79" i="6"/>
  <c r="R79" i="6"/>
  <c r="T79" i="6"/>
  <c r="D80" i="6"/>
  <c r="H80" i="6"/>
  <c r="I80" i="6"/>
  <c r="L80" i="6"/>
  <c r="R80" i="6"/>
  <c r="V80" i="6"/>
  <c r="D81" i="6"/>
  <c r="H81" i="6"/>
  <c r="I81" i="6"/>
  <c r="C82" i="6"/>
  <c r="C83" i="6" s="1"/>
  <c r="H82" i="6"/>
  <c r="R82" i="6"/>
  <c r="B83" i="6"/>
  <c r="T83" i="6"/>
  <c r="C84" i="6"/>
  <c r="D84" i="6" s="1"/>
  <c r="H84" i="6"/>
  <c r="D85" i="6"/>
  <c r="H85" i="6"/>
  <c r="I85" i="6"/>
  <c r="D86" i="6"/>
  <c r="H86" i="6"/>
  <c r="I86" i="6"/>
  <c r="D87" i="6"/>
  <c r="H87" i="6"/>
  <c r="I87" i="6"/>
  <c r="S87" i="6"/>
  <c r="D88" i="6"/>
  <c r="H88" i="6"/>
  <c r="I88" i="6"/>
  <c r="S89" i="6"/>
  <c r="S91" i="6"/>
  <c r="S93" i="6"/>
  <c r="S95" i="6"/>
  <c r="B97" i="6"/>
  <c r="C97" i="6"/>
  <c r="D115" i="6"/>
  <c r="F144" i="6"/>
  <c r="D145" i="6"/>
  <c r="D147" i="6"/>
  <c r="D148" i="6"/>
  <c r="D149" i="6"/>
  <c r="D150" i="6"/>
  <c r="D151" i="6"/>
  <c r="D152" i="6"/>
  <c r="D153" i="6"/>
  <c r="D154" i="6"/>
  <c r="D155" i="6"/>
  <c r="F155" i="6"/>
  <c r="B156" i="6"/>
  <c r="G158" i="6"/>
  <c r="B161" i="6"/>
  <c r="K165" i="6"/>
  <c r="B4" i="4"/>
  <c r="B33" i="4" s="1"/>
  <c r="O5" i="4"/>
  <c r="T12" i="4"/>
  <c r="V19" i="4" s="1"/>
  <c r="K14" i="4"/>
  <c r="K15" i="4"/>
  <c r="R15" i="4"/>
  <c r="V15" i="4"/>
  <c r="W15" i="4"/>
  <c r="K16" i="4"/>
  <c r="V16" i="4"/>
  <c r="W16" i="4"/>
  <c r="V17" i="4"/>
  <c r="W17" i="4"/>
  <c r="V18" i="4"/>
  <c r="AA18" i="4"/>
  <c r="W19" i="4"/>
  <c r="AA19" i="4"/>
  <c r="AA21" i="4" s="1"/>
  <c r="R21" i="4"/>
  <c r="V21" i="4"/>
  <c r="W21" i="4"/>
  <c r="V24" i="4"/>
  <c r="N33" i="4"/>
  <c r="H41" i="4"/>
  <c r="Q45" i="4"/>
  <c r="R45" i="4"/>
  <c r="S45" i="4"/>
  <c r="T45" i="4"/>
  <c r="AF45" i="4"/>
  <c r="AF46" i="4"/>
  <c r="AF47" i="4"/>
  <c r="AF48" i="4"/>
  <c r="AF49" i="4"/>
  <c r="AF50" i="4"/>
  <c r="AF51" i="4"/>
  <c r="AF52" i="4"/>
  <c r="V53" i="4"/>
  <c r="AF53" i="4"/>
  <c r="V54" i="4"/>
  <c r="V55" i="4"/>
  <c r="V56" i="4"/>
  <c r="V60" i="4"/>
  <c r="V62" i="4"/>
  <c r="V63" i="4"/>
  <c r="V64" i="4"/>
  <c r="V65" i="4"/>
  <c r="V66" i="4"/>
  <c r="V67" i="4"/>
  <c r="V68" i="4"/>
  <c r="V69" i="4"/>
  <c r="Q75" i="4"/>
  <c r="P3" i="39"/>
  <c r="W3" i="39"/>
  <c r="AZ3" i="39"/>
  <c r="AL3" i="39" s="1"/>
  <c r="AZ4" i="39"/>
  <c r="AL4" i="39" s="1"/>
  <c r="P5" i="39"/>
  <c r="AZ5" i="39"/>
  <c r="AL5" i="39" s="1"/>
  <c r="P6" i="39"/>
  <c r="AZ6" i="39"/>
  <c r="AL6" i="39" s="1"/>
  <c r="X12" i="39"/>
  <c r="X13" i="39"/>
  <c r="W14" i="39"/>
  <c r="X14" i="39"/>
  <c r="AN15" i="39"/>
  <c r="AN18" i="39" s="1"/>
  <c r="AQ17" i="39"/>
  <c r="AQ18" i="39" s="1"/>
  <c r="AM18" i="39"/>
  <c r="AO18" i="39"/>
  <c r="AP18" i="39"/>
  <c r="H19" i="39"/>
  <c r="AN22" i="39"/>
  <c r="AP22" i="39"/>
  <c r="H23" i="39"/>
  <c r="X23" i="39"/>
  <c r="AC23" i="39"/>
  <c r="AE24" i="39"/>
  <c r="E25" i="39"/>
  <c r="J25" i="39"/>
  <c r="AB25" i="39"/>
  <c r="AB23" i="39" s="1"/>
  <c r="AY26" i="39"/>
  <c r="AY27" i="39"/>
  <c r="AY28" i="39"/>
  <c r="F30" i="39"/>
  <c r="F32" i="39" s="1"/>
  <c r="AB31" i="39"/>
  <c r="AB30" i="39" s="1"/>
  <c r="G32" i="39"/>
  <c r="H32" i="39"/>
  <c r="I32" i="39"/>
  <c r="J32" i="39"/>
  <c r="X32" i="39"/>
  <c r="AC32" i="39"/>
  <c r="AC30" i="39" s="1"/>
  <c r="AY33" i="39"/>
  <c r="F34" i="39"/>
  <c r="F40" i="39" s="1"/>
  <c r="G34" i="39"/>
  <c r="I34" i="39"/>
  <c r="AY34" i="39"/>
  <c r="AY35" i="39"/>
  <c r="I37" i="39"/>
  <c r="AB37" i="39"/>
  <c r="X38" i="39"/>
  <c r="AC38" i="39"/>
  <c r="AC37" i="39" s="1"/>
  <c r="AD38" i="39"/>
  <c r="AD37" i="39" s="1"/>
  <c r="G39" i="39"/>
  <c r="H39" i="39"/>
  <c r="H40" i="39" s="1"/>
  <c r="I39" i="39"/>
  <c r="AE39" i="39"/>
  <c r="J40" i="39"/>
  <c r="E42" i="39"/>
  <c r="G42" i="39"/>
  <c r="E43" i="39"/>
  <c r="F43" i="39"/>
  <c r="F48" i="39" s="1"/>
  <c r="G43" i="39"/>
  <c r="I43" i="39"/>
  <c r="G44" i="39"/>
  <c r="K44" i="39" s="1"/>
  <c r="G45" i="39"/>
  <c r="H45" i="39"/>
  <c r="AB45" i="39"/>
  <c r="AI45" i="39" s="1"/>
  <c r="E46" i="39"/>
  <c r="G46" i="39"/>
  <c r="H46" i="39"/>
  <c r="E47" i="39"/>
  <c r="H47" i="39"/>
  <c r="I47" i="39"/>
  <c r="J47" i="39"/>
  <c r="J48" i="39" s="1"/>
  <c r="AB49" i="39"/>
  <c r="K55" i="39"/>
  <c r="E56" i="39"/>
  <c r="J57" i="39"/>
  <c r="K57" i="39" s="1"/>
  <c r="K58" i="39"/>
  <c r="K59" i="39"/>
  <c r="K60" i="39"/>
  <c r="K61" i="39"/>
  <c r="N61" i="39"/>
  <c r="N64" i="39" s="1"/>
  <c r="E62" i="39"/>
  <c r="H62" i="39"/>
  <c r="H63" i="39" s="1"/>
  <c r="I62" i="39"/>
  <c r="I63" i="39" s="1"/>
  <c r="J62" i="39"/>
  <c r="F63" i="39"/>
  <c r="G63" i="39"/>
  <c r="G69" i="39"/>
  <c r="H70" i="39"/>
  <c r="K70" i="39" s="1"/>
  <c r="K71" i="39"/>
  <c r="K72" i="39"/>
  <c r="K73" i="39"/>
  <c r="K74" i="39"/>
  <c r="K75" i="39"/>
  <c r="E76" i="39"/>
  <c r="E77" i="39" s="1"/>
  <c r="H76" i="39"/>
  <c r="I76" i="39"/>
  <c r="I77" i="39" s="1"/>
  <c r="J76" i="39"/>
  <c r="F77" i="39"/>
  <c r="E83" i="39"/>
  <c r="G83" i="39"/>
  <c r="H83" i="39"/>
  <c r="I83" i="39"/>
  <c r="G84" i="39"/>
  <c r="H84" i="39"/>
  <c r="I84" i="39"/>
  <c r="K85" i="39"/>
  <c r="G86" i="39"/>
  <c r="K86" i="39" s="1"/>
  <c r="G87" i="39"/>
  <c r="K87" i="39" s="1"/>
  <c r="K88" i="39"/>
  <c r="K89" i="39"/>
  <c r="E90" i="39"/>
  <c r="H90" i="39"/>
  <c r="I90" i="39"/>
  <c r="J90" i="39"/>
  <c r="F91" i="39"/>
  <c r="E98" i="39"/>
  <c r="F98" i="39"/>
  <c r="G98" i="39"/>
  <c r="H98" i="39"/>
  <c r="I98" i="39"/>
  <c r="J98" i="39"/>
  <c r="E99" i="39"/>
  <c r="F99" i="39"/>
  <c r="G99" i="39"/>
  <c r="H99" i="39"/>
  <c r="I99" i="39"/>
  <c r="J99" i="39"/>
  <c r="E100" i="39"/>
  <c r="F100" i="39"/>
  <c r="G100" i="39"/>
  <c r="H100" i="39"/>
  <c r="I100" i="39"/>
  <c r="J100" i="39"/>
  <c r="E101" i="39"/>
  <c r="F101" i="39"/>
  <c r="G101" i="39"/>
  <c r="H101" i="39"/>
  <c r="I101" i="39"/>
  <c r="J101" i="39"/>
  <c r="F102" i="39"/>
  <c r="H102" i="39"/>
  <c r="I102" i="39"/>
  <c r="J102" i="39"/>
  <c r="E103" i="39"/>
  <c r="F103" i="39"/>
  <c r="G103" i="39"/>
  <c r="H103" i="39"/>
  <c r="K104" i="39"/>
  <c r="E105" i="39"/>
  <c r="F105" i="39"/>
  <c r="G105" i="39"/>
  <c r="H105" i="39"/>
  <c r="I105" i="39"/>
  <c r="J105" i="39"/>
  <c r="G112" i="39"/>
  <c r="K113" i="39"/>
  <c r="K114" i="39"/>
  <c r="K115" i="39"/>
  <c r="K116" i="39"/>
  <c r="K117" i="39"/>
  <c r="I118" i="39"/>
  <c r="I120" i="39" s="1"/>
  <c r="K119" i="39"/>
  <c r="E120" i="39"/>
  <c r="F120" i="39"/>
  <c r="H120" i="39"/>
  <c r="J120" i="39"/>
  <c r="K126" i="39"/>
  <c r="K127" i="39"/>
  <c r="E128" i="39"/>
  <c r="E139" i="39" s="1"/>
  <c r="J128" i="39"/>
  <c r="K129" i="39"/>
  <c r="K130" i="39"/>
  <c r="K131" i="39"/>
  <c r="K132" i="39"/>
  <c r="K133" i="39"/>
  <c r="K138" i="39"/>
  <c r="F139" i="39"/>
  <c r="G139" i="39"/>
  <c r="H139" i="39"/>
  <c r="I139" i="39"/>
  <c r="B146" i="39"/>
  <c r="B149" i="39" s="1"/>
  <c r="E146" i="39"/>
  <c r="E149" i="39" s="1"/>
  <c r="F146" i="39"/>
  <c r="F149" i="39" s="1"/>
  <c r="H146" i="39"/>
  <c r="H147" i="39"/>
  <c r="G149" i="39"/>
  <c r="E156" i="39"/>
  <c r="F156" i="39"/>
  <c r="G156" i="39"/>
  <c r="H156" i="39"/>
  <c r="I156" i="39"/>
  <c r="J156" i="39"/>
  <c r="K156" i="39"/>
  <c r="M156" i="39"/>
  <c r="N156" i="39"/>
  <c r="P156" i="39"/>
  <c r="Q158" i="39"/>
  <c r="E159" i="39"/>
  <c r="E161" i="39" s="1"/>
  <c r="G159" i="39"/>
  <c r="G161" i="39" s="1"/>
  <c r="I159" i="39"/>
  <c r="I161" i="39" s="1"/>
  <c r="K159" i="39"/>
  <c r="O159" i="39"/>
  <c r="O161" i="39" s="1"/>
  <c r="Q159" i="39"/>
  <c r="Q161" i="39" s="1"/>
  <c r="S159" i="39"/>
  <c r="S161" i="39" s="1"/>
  <c r="T159" i="39"/>
  <c r="T161" i="39" s="1"/>
  <c r="U159" i="39"/>
  <c r="U161" i="39" s="1"/>
  <c r="V159" i="39"/>
  <c r="V161" i="39" s="1"/>
  <c r="W159" i="39"/>
  <c r="W161" i="39" s="1"/>
  <c r="X159" i="39"/>
  <c r="X161" i="39" s="1"/>
  <c r="K160" i="39"/>
  <c r="F161" i="39"/>
  <c r="H161" i="39"/>
  <c r="J161" i="39"/>
  <c r="M161" i="39"/>
  <c r="N161" i="39"/>
  <c r="P161" i="39"/>
  <c r="F167" i="39"/>
  <c r="F174" i="39" s="1"/>
  <c r="G173" i="39"/>
  <c r="G174" i="39" s="1"/>
  <c r="H173" i="39"/>
  <c r="H174" i="39" s="1"/>
  <c r="E174" i="39"/>
  <c r="I174" i="39"/>
  <c r="J174" i="39"/>
  <c r="K174" i="39" s="1"/>
  <c r="G226" i="39"/>
  <c r="F222" i="39" s="1"/>
  <c r="E233" i="39"/>
  <c r="F233" i="39"/>
  <c r="G233" i="39"/>
  <c r="H233" i="39"/>
  <c r="I233" i="39"/>
  <c r="J233" i="39"/>
  <c r="E234" i="39"/>
  <c r="F234" i="39"/>
  <c r="G234" i="39"/>
  <c r="H234" i="39"/>
  <c r="I234" i="39"/>
  <c r="J234" i="39"/>
  <c r="E235" i="39"/>
  <c r="F235" i="39"/>
  <c r="G235" i="39"/>
  <c r="H235" i="39"/>
  <c r="I235" i="39"/>
  <c r="E236" i="39"/>
  <c r="F236" i="39"/>
  <c r="G236" i="39"/>
  <c r="H236" i="39"/>
  <c r="I236" i="39"/>
  <c r="J236" i="39"/>
  <c r="E245" i="39"/>
  <c r="F245" i="39"/>
  <c r="G245" i="39"/>
  <c r="E249" i="39"/>
  <c r="E250" i="39"/>
  <c r="F250" i="39"/>
  <c r="E251" i="39"/>
  <c r="F251" i="39"/>
  <c r="E252" i="39"/>
  <c r="F252" i="39"/>
  <c r="E253" i="39"/>
  <c r="F253" i="39"/>
  <c r="E259" i="39"/>
  <c r="F259" i="39"/>
  <c r="E261" i="39"/>
  <c r="F263" i="39"/>
  <c r="P273" i="39"/>
  <c r="P274" i="39"/>
  <c r="P275" i="39"/>
  <c r="P276" i="39"/>
  <c r="P277" i="39"/>
  <c r="P278" i="39"/>
  <c r="E279" i="39"/>
  <c r="F279" i="39"/>
  <c r="G279" i="39"/>
  <c r="H279" i="39"/>
  <c r="I279" i="39"/>
  <c r="J279" i="39"/>
  <c r="K279" i="39"/>
  <c r="M279" i="39"/>
  <c r="N279" i="39"/>
  <c r="O279" i="39"/>
  <c r="P280" i="39"/>
  <c r="P281" i="39"/>
  <c r="P282" i="39"/>
  <c r="P283" i="39"/>
  <c r="P284" i="39"/>
  <c r="E285" i="39"/>
  <c r="F285" i="39"/>
  <c r="G285" i="39"/>
  <c r="H285" i="39"/>
  <c r="I285" i="39"/>
  <c r="J285" i="39"/>
  <c r="K285" i="39"/>
  <c r="M285" i="39"/>
  <c r="O285" i="39"/>
  <c r="E297" i="39"/>
  <c r="F297" i="39"/>
  <c r="B300" i="39"/>
  <c r="E300" i="39"/>
  <c r="F300" i="39"/>
  <c r="G300" i="39"/>
  <c r="AH309" i="39"/>
  <c r="AH327" i="39" s="1"/>
  <c r="Q310" i="39"/>
  <c r="AL310" i="39" s="1"/>
  <c r="X310" i="39"/>
  <c r="AB310" i="39" s="1"/>
  <c r="AG310" i="39"/>
  <c r="AH310" i="39" s="1"/>
  <c r="Q311" i="39"/>
  <c r="AL311" i="39" s="1"/>
  <c r="X311" i="39"/>
  <c r="AB311" i="39" s="1"/>
  <c r="AG311" i="39"/>
  <c r="AH311" i="39" s="1"/>
  <c r="AL312" i="39"/>
  <c r="AG313" i="39"/>
  <c r="AL313" i="39" s="1"/>
  <c r="Q314" i="39"/>
  <c r="AL314" i="39" s="1"/>
  <c r="V314" i="39"/>
  <c r="X314" i="39"/>
  <c r="AG314" i="39"/>
  <c r="Q315" i="39"/>
  <c r="AL315" i="39" s="1"/>
  <c r="X315" i="39"/>
  <c r="AG315" i="39"/>
  <c r="Q316" i="39"/>
  <c r="AL316" i="39" s="1"/>
  <c r="X316" i="39"/>
  <c r="AG316" i="39"/>
  <c r="X317" i="39"/>
  <c r="AG317" i="39"/>
  <c r="X318" i="39"/>
  <c r="AG318" i="39"/>
  <c r="N319" i="39"/>
  <c r="O319" i="39"/>
  <c r="S319" i="39"/>
  <c r="T319" i="39"/>
  <c r="U319" i="39"/>
  <c r="AC319" i="39"/>
  <c r="AD319" i="39"/>
  <c r="AE319" i="39"/>
  <c r="AI319" i="39"/>
  <c r="AJ319" i="39"/>
  <c r="AK319" i="39"/>
  <c r="X320" i="39"/>
  <c r="AG320" i="39"/>
  <c r="X321" i="39"/>
  <c r="AG321" i="39"/>
  <c r="Q322" i="39"/>
  <c r="AL322" i="39" s="1"/>
  <c r="X322" i="39"/>
  <c r="AG322" i="39"/>
  <c r="N323" i="39"/>
  <c r="O323" i="39"/>
  <c r="S323" i="39"/>
  <c r="T323" i="39"/>
  <c r="U323" i="39"/>
  <c r="V323" i="39"/>
  <c r="AC323" i="39"/>
  <c r="AD323" i="39"/>
  <c r="AE323" i="39"/>
  <c r="AI323" i="39"/>
  <c r="AI325" i="39" s="1"/>
  <c r="AJ323" i="39"/>
  <c r="AK323" i="39"/>
  <c r="AK325" i="39" s="1"/>
  <c r="AF324" i="39"/>
  <c r="AF325" i="39" s="1"/>
  <c r="AN324" i="39"/>
  <c r="K325" i="39"/>
  <c r="K327" i="39" s="1"/>
  <c r="P325" i="39"/>
  <c r="V325" i="39"/>
  <c r="Q326" i="39"/>
  <c r="AL326" i="39" s="1"/>
  <c r="X326" i="39"/>
  <c r="AM326" i="39"/>
  <c r="AO326" i="39"/>
  <c r="AO327" i="39" s="1"/>
  <c r="E327" i="39"/>
  <c r="F327" i="39"/>
  <c r="G327" i="39"/>
  <c r="H327" i="39"/>
  <c r="I327" i="39"/>
  <c r="J327" i="39"/>
  <c r="L327" i="39"/>
  <c r="P327" i="39"/>
  <c r="P337" i="39" s="1"/>
  <c r="Q327" i="39"/>
  <c r="V327" i="39"/>
  <c r="X327" i="39"/>
  <c r="X337" i="39" s="1"/>
  <c r="AB327" i="39"/>
  <c r="AF327" i="39"/>
  <c r="AF337" i="39" s="1"/>
  <c r="AG327" i="39"/>
  <c r="AG337" i="39" s="1"/>
  <c r="P328" i="39"/>
  <c r="Q328" i="39"/>
  <c r="AO328" i="39" s="1"/>
  <c r="AP328" i="39" s="1"/>
  <c r="AP335" i="39" s="1"/>
  <c r="V328" i="39"/>
  <c r="X328" i="39"/>
  <c r="AF328" i="39"/>
  <c r="AG328" i="39"/>
  <c r="AL328" i="39"/>
  <c r="AM328" i="39"/>
  <c r="AQ328" i="39"/>
  <c r="AQ335" i="39" s="1"/>
  <c r="AR328" i="39"/>
  <c r="AR335" i="39" s="1"/>
  <c r="Q329" i="39"/>
  <c r="AO329" i="39" s="1"/>
  <c r="AP329" i="39" s="1"/>
  <c r="X329" i="39"/>
  <c r="AB329" i="39" s="1"/>
  <c r="AG329" i="39"/>
  <c r="AH329" i="39" s="1"/>
  <c r="AL329" i="39"/>
  <c r="AM329" i="39"/>
  <c r="AQ329" i="39"/>
  <c r="AR329" i="39"/>
  <c r="E330" i="39"/>
  <c r="F330" i="39"/>
  <c r="G330" i="39"/>
  <c r="H330" i="39"/>
  <c r="I330" i="39"/>
  <c r="J330" i="39"/>
  <c r="K330" i="39"/>
  <c r="L330" i="39"/>
  <c r="Q330" i="39"/>
  <c r="AO330" i="39" s="1"/>
  <c r="AP330" i="39" s="1"/>
  <c r="X330" i="39"/>
  <c r="AB330" i="39" s="1"/>
  <c r="AG330" i="39"/>
  <c r="AH330" i="39" s="1"/>
  <c r="AL330" i="39"/>
  <c r="AM330" i="39"/>
  <c r="AQ330" i="39"/>
  <c r="AR330" i="39"/>
  <c r="Q331" i="39"/>
  <c r="AO331" i="39" s="1"/>
  <c r="AP331" i="39" s="1"/>
  <c r="X331" i="39"/>
  <c r="AB331" i="39" s="1"/>
  <c r="AG331" i="39"/>
  <c r="AH331" i="39" s="1"/>
  <c r="AL331" i="39"/>
  <c r="AM331" i="39"/>
  <c r="AQ331" i="39"/>
  <c r="AR331" i="39"/>
  <c r="Q332" i="39"/>
  <c r="AO332" i="39" s="1"/>
  <c r="AP332" i="39" s="1"/>
  <c r="V332" i="39"/>
  <c r="X332" i="39"/>
  <c r="AG332" i="39"/>
  <c r="AH332" i="39" s="1"/>
  <c r="AL332" i="39"/>
  <c r="AM332" i="39"/>
  <c r="AQ332" i="39"/>
  <c r="AR332" i="39"/>
  <c r="Q333" i="39"/>
  <c r="AO333" i="39" s="1"/>
  <c r="AP333" i="39" s="1"/>
  <c r="X333" i="39"/>
  <c r="AB333" i="39" s="1"/>
  <c r="AE333" i="39"/>
  <c r="AG333" i="39" s="1"/>
  <c r="AH333" i="39" s="1"/>
  <c r="AM333" i="39"/>
  <c r="AQ333" i="39"/>
  <c r="Q334" i="39"/>
  <c r="AO334" i="39" s="1"/>
  <c r="AP334" i="39" s="1"/>
  <c r="X334" i="39"/>
  <c r="AB334" i="39" s="1"/>
  <c r="AG334" i="39"/>
  <c r="AH334" i="39" s="1"/>
  <c r="AL334" i="39"/>
  <c r="AM334" i="39"/>
  <c r="AQ334" i="39"/>
  <c r="AR334" i="39"/>
  <c r="N335" i="39"/>
  <c r="O335" i="39"/>
  <c r="S335" i="39"/>
  <c r="T335" i="39"/>
  <c r="U335" i="39"/>
  <c r="AC335" i="39"/>
  <c r="AD335" i="39"/>
  <c r="AI335" i="39"/>
  <c r="AJ335" i="39"/>
  <c r="AK335" i="39"/>
  <c r="V337" i="39"/>
  <c r="AB337" i="39"/>
  <c r="P338" i="39"/>
  <c r="P345" i="39" s="1"/>
  <c r="Q338" i="39"/>
  <c r="V338" i="39"/>
  <c r="X338" i="39"/>
  <c r="AF338" i="39"/>
  <c r="AF345" i="39" s="1"/>
  <c r="AG338" i="39"/>
  <c r="AO338" i="39"/>
  <c r="Q339" i="39"/>
  <c r="AL339" i="39" s="1"/>
  <c r="X339" i="39"/>
  <c r="AB339" i="39" s="1"/>
  <c r="AG339" i="39"/>
  <c r="AH339" i="39" s="1"/>
  <c r="AO339" i="39"/>
  <c r="Q340" i="39"/>
  <c r="AL340" i="39" s="1"/>
  <c r="X340" i="39"/>
  <c r="AB340" i="39" s="1"/>
  <c r="AG340" i="39"/>
  <c r="AH340" i="39" s="1"/>
  <c r="AO340" i="39"/>
  <c r="Q341" i="39"/>
  <c r="AL341" i="39" s="1"/>
  <c r="X341" i="39"/>
  <c r="AB341" i="39" s="1"/>
  <c r="AG341" i="39"/>
  <c r="AH341" i="39" s="1"/>
  <c r="AO341" i="39"/>
  <c r="Q342" i="39"/>
  <c r="AL342" i="39" s="1"/>
  <c r="X342" i="39"/>
  <c r="AB342" i="39" s="1"/>
  <c r="AG342" i="39"/>
  <c r="AH342" i="39" s="1"/>
  <c r="AO342" i="39"/>
  <c r="Q343" i="39"/>
  <c r="AL343" i="39" s="1"/>
  <c r="X343" i="39"/>
  <c r="AB343" i="39" s="1"/>
  <c r="AG343" i="39"/>
  <c r="AH343" i="39" s="1"/>
  <c r="AO343" i="39"/>
  <c r="X344" i="39"/>
  <c r="AB344" i="39" s="1"/>
  <c r="AG344" i="39"/>
  <c r="AH344" i="39" s="1"/>
  <c r="AO344" i="39"/>
  <c r="N345" i="39"/>
  <c r="O345" i="39"/>
  <c r="S345" i="39"/>
  <c r="T345" i="39"/>
  <c r="U345" i="39"/>
  <c r="AC345" i="39"/>
  <c r="AD345" i="39"/>
  <c r="AE345" i="39"/>
  <c r="AI345" i="39"/>
  <c r="AJ345" i="39"/>
  <c r="AD350" i="39"/>
  <c r="E352" i="39"/>
  <c r="E353" i="39" s="1"/>
  <c r="K352" i="39"/>
  <c r="K353" i="39" s="1"/>
  <c r="E356" i="39"/>
  <c r="K356" i="39"/>
  <c r="K362" i="39"/>
  <c r="E363" i="39"/>
  <c r="K363" i="39" s="1"/>
  <c r="J364" i="39"/>
  <c r="K365" i="39"/>
  <c r="K366" i="39"/>
  <c r="K367" i="39"/>
  <c r="K368" i="39"/>
  <c r="AD368" i="39"/>
  <c r="E369" i="39"/>
  <c r="H369" i="39"/>
  <c r="H370" i="39" s="1"/>
  <c r="I369" i="39"/>
  <c r="I370" i="39" s="1"/>
  <c r="J369" i="39"/>
  <c r="AD369" i="39"/>
  <c r="F370" i="39"/>
  <c r="G370" i="39"/>
  <c r="AD370" i="39"/>
  <c r="AD371" i="39"/>
  <c r="AD372" i="39"/>
  <c r="AD373" i="39"/>
  <c r="AD374" i="39"/>
  <c r="AD375" i="39"/>
  <c r="AD376" i="39"/>
  <c r="N377" i="39"/>
  <c r="O377" i="39"/>
  <c r="P377" i="39"/>
  <c r="S377" i="39"/>
  <c r="S382" i="39" s="1"/>
  <c r="S383" i="39" s="1"/>
  <c r="T377" i="39"/>
  <c r="T382" i="39" s="1"/>
  <c r="T383" i="39" s="1"/>
  <c r="U377" i="39"/>
  <c r="U382" i="39" s="1"/>
  <c r="U383" i="39" s="1"/>
  <c r="V377" i="39"/>
  <c r="V382" i="39" s="1"/>
  <c r="V383" i="39" s="1"/>
  <c r="X377" i="39"/>
  <c r="X382" i="39" s="1"/>
  <c r="X383" i="39" s="1"/>
  <c r="AD378" i="39"/>
  <c r="AD379" i="39"/>
  <c r="AD380" i="39"/>
  <c r="N381" i="39"/>
  <c r="O381" i="39"/>
  <c r="P381" i="39"/>
  <c r="Q383" i="39"/>
  <c r="AD384" i="39"/>
  <c r="X385" i="39"/>
  <c r="X395" i="39" s="1"/>
  <c r="X403" i="39" s="1"/>
  <c r="AB385" i="39"/>
  <c r="AB395" i="39" s="1"/>
  <c r="AB403" i="39" s="1"/>
  <c r="AC385" i="39"/>
  <c r="AC395" i="39" s="1"/>
  <c r="AC403" i="39" s="1"/>
  <c r="AD386" i="39"/>
  <c r="AF386" i="39"/>
  <c r="AD387" i="39"/>
  <c r="AF387" i="39"/>
  <c r="AD388" i="39"/>
  <c r="AF388" i="39"/>
  <c r="AD389" i="39"/>
  <c r="AF389" i="39"/>
  <c r="AD390" i="39"/>
  <c r="AF390" i="39"/>
  <c r="V391" i="39"/>
  <c r="V393" i="39" s="1"/>
  <c r="X391" i="39"/>
  <c r="AF391" i="39"/>
  <c r="AD392" i="39"/>
  <c r="AF392" i="39"/>
  <c r="N393" i="39"/>
  <c r="O393" i="39"/>
  <c r="P393" i="39"/>
  <c r="Q393" i="39"/>
  <c r="S393" i="39"/>
  <c r="T393" i="39"/>
  <c r="U393" i="39"/>
  <c r="AF394" i="39"/>
  <c r="AD396" i="39"/>
  <c r="AD397" i="39"/>
  <c r="AD398" i="39"/>
  <c r="AD399" i="39"/>
  <c r="AD400" i="39"/>
  <c r="AD401" i="39"/>
  <c r="AD402" i="39"/>
  <c r="N403" i="39"/>
  <c r="O403" i="39"/>
  <c r="P403" i="39"/>
  <c r="Q403" i="39"/>
  <c r="S403" i="39"/>
  <c r="T403" i="39"/>
  <c r="U403" i="39"/>
  <c r="V403" i="39"/>
  <c r="H412" i="39"/>
  <c r="I412" i="39"/>
  <c r="I417" i="39" s="1"/>
  <c r="H415" i="39"/>
  <c r="F417" i="39"/>
  <c r="G417" i="39"/>
  <c r="P432" i="39"/>
  <c r="P436" i="39" s="1"/>
  <c r="S432" i="39"/>
  <c r="S436" i="39" s="1"/>
  <c r="O436" i="39"/>
  <c r="Q436" i="39"/>
  <c r="S443" i="39"/>
  <c r="S446" i="39" s="1"/>
  <c r="S444" i="39"/>
  <c r="S445" i="39"/>
  <c r="M446" i="39"/>
  <c r="Q446" i="39"/>
  <c r="S450" i="39"/>
  <c r="S453" i="39" s="1"/>
  <c r="S451" i="39"/>
  <c r="S452" i="39"/>
  <c r="M453" i="39"/>
  <c r="N453" i="39"/>
  <c r="P453" i="39"/>
  <c r="Q453" i="39"/>
  <c r="S457" i="39"/>
  <c r="S460" i="39" s="1"/>
  <c r="S458" i="39"/>
  <c r="G463" i="39"/>
  <c r="H463" i="39"/>
  <c r="I463" i="39"/>
  <c r="J463" i="39"/>
  <c r="H470" i="39"/>
  <c r="J470" i="39"/>
  <c r="K470" i="39"/>
  <c r="G477" i="39"/>
  <c r="H477" i="39"/>
  <c r="I477" i="39"/>
  <c r="J477" i="39"/>
  <c r="K486" i="39"/>
  <c r="K489" i="39"/>
  <c r="H490" i="39"/>
  <c r="H503" i="39" s="1"/>
  <c r="E503" i="39"/>
  <c r="F503" i="39"/>
  <c r="G503" i="39"/>
  <c r="I503" i="39"/>
  <c r="J503" i="39"/>
  <c r="E515" i="39"/>
  <c r="F515" i="39"/>
  <c r="G515" i="39"/>
  <c r="H515" i="39"/>
  <c r="I515" i="39"/>
  <c r="J515" i="39"/>
  <c r="K515" i="39"/>
  <c r="K517" i="39"/>
  <c r="K521" i="39" s="1"/>
  <c r="E521" i="39"/>
  <c r="F521" i="39"/>
  <c r="G521" i="39"/>
  <c r="H521" i="39"/>
  <c r="I521" i="39"/>
  <c r="J521" i="39"/>
  <c r="E529" i="39"/>
  <c r="F529" i="39"/>
  <c r="G529" i="39"/>
  <c r="H529" i="39"/>
  <c r="J529" i="39"/>
  <c r="K529" i="39"/>
  <c r="AL1" i="1"/>
  <c r="AO1" i="1"/>
  <c r="AL2" i="1"/>
  <c r="AP2" i="1"/>
  <c r="AQ2" i="1"/>
  <c r="AL3" i="1"/>
  <c r="AG4" i="1"/>
  <c r="AL4" i="1"/>
  <c r="AL5" i="1"/>
  <c r="M6" i="1"/>
  <c r="O6" i="1"/>
  <c r="AL6" i="1"/>
  <c r="M7" i="1"/>
  <c r="O7" i="1"/>
  <c r="AL7" i="1"/>
  <c r="AS7" i="1"/>
  <c r="A8" i="1"/>
  <c r="N99" i="1" s="1"/>
  <c r="Z8" i="1"/>
  <c r="AL8" i="1"/>
  <c r="AL9" i="1"/>
  <c r="AL10" i="1"/>
  <c r="AP10" i="1"/>
  <c r="AL11" i="1"/>
  <c r="AL12" i="1"/>
  <c r="AL13" i="1"/>
  <c r="D14" i="1"/>
  <c r="E14" i="1"/>
  <c r="I14" i="1"/>
  <c r="I7" i="49" s="1"/>
  <c r="I27" i="49" s="1"/>
  <c r="J14" i="1"/>
  <c r="J58" i="1" s="1"/>
  <c r="AK14" i="1"/>
  <c r="D16" i="1"/>
  <c r="F16" i="1"/>
  <c r="I16" i="1"/>
  <c r="J16" i="1"/>
  <c r="D17" i="1"/>
  <c r="F17" i="1"/>
  <c r="G17" i="1"/>
  <c r="I17" i="1"/>
  <c r="J17" i="1"/>
  <c r="T17" i="1"/>
  <c r="AL17" i="1"/>
  <c r="F18" i="1"/>
  <c r="I18" i="1"/>
  <c r="J18" i="1"/>
  <c r="T18" i="1"/>
  <c r="D19" i="1"/>
  <c r="I19" i="1"/>
  <c r="J19" i="1"/>
  <c r="T19" i="1"/>
  <c r="AA19" i="1"/>
  <c r="D20" i="1"/>
  <c r="F20" i="1"/>
  <c r="I20" i="1"/>
  <c r="J20" i="1"/>
  <c r="AA20" i="1"/>
  <c r="F21" i="1"/>
  <c r="I21" i="1"/>
  <c r="S21" i="1"/>
  <c r="J22" i="1"/>
  <c r="AD22" i="1"/>
  <c r="C23" i="1"/>
  <c r="D23" i="1"/>
  <c r="F23" i="1"/>
  <c r="I23" i="1"/>
  <c r="J23" i="1"/>
  <c r="T23" i="1"/>
  <c r="I24" i="1"/>
  <c r="I25" i="1"/>
  <c r="T25" i="1"/>
  <c r="D26" i="1"/>
  <c r="D34" i="4" s="1"/>
  <c r="I26" i="1"/>
  <c r="I30" i="1" s="1"/>
  <c r="J26" i="1"/>
  <c r="D27" i="1"/>
  <c r="J27" i="1"/>
  <c r="D28" i="1"/>
  <c r="D35" i="4" s="1"/>
  <c r="I28" i="1"/>
  <c r="J28" i="1"/>
  <c r="M28" i="1"/>
  <c r="N28" i="1"/>
  <c r="O28" i="1"/>
  <c r="P28" i="1"/>
  <c r="Q28" i="1"/>
  <c r="D29" i="1"/>
  <c r="N36" i="4" s="1"/>
  <c r="J29" i="1"/>
  <c r="AA32" i="1"/>
  <c r="AB32" i="1"/>
  <c r="D33" i="1"/>
  <c r="J101" i="1" s="1"/>
  <c r="L101" i="1" s="1"/>
  <c r="F33" i="1"/>
  <c r="I33" i="1"/>
  <c r="J33" i="1"/>
  <c r="D34" i="1"/>
  <c r="F34" i="1"/>
  <c r="I34" i="1"/>
  <c r="J34" i="1"/>
  <c r="D36" i="1"/>
  <c r="F36" i="1"/>
  <c r="J36" i="1"/>
  <c r="I38" i="1"/>
  <c r="J38" i="1"/>
  <c r="AD38" i="1"/>
  <c r="AF38" i="1"/>
  <c r="AO38" i="1"/>
  <c r="D39" i="1"/>
  <c r="AF8" i="1" s="1"/>
  <c r="F39" i="1"/>
  <c r="I39" i="1"/>
  <c r="J39" i="1"/>
  <c r="D40" i="1"/>
  <c r="M9" i="4" s="1"/>
  <c r="F40" i="1"/>
  <c r="J40" i="1"/>
  <c r="F42" i="1"/>
  <c r="E23" i="49" s="1"/>
  <c r="Y84" i="49" s="1"/>
  <c r="Y99" i="49" s="1"/>
  <c r="J42" i="1"/>
  <c r="S51" i="1"/>
  <c r="G53" i="1"/>
  <c r="H53" i="1"/>
  <c r="I53" i="1"/>
  <c r="J53" i="1"/>
  <c r="D54" i="1"/>
  <c r="G54" i="1"/>
  <c r="H54" i="1"/>
  <c r="I54" i="1"/>
  <c r="J54" i="1"/>
  <c r="G55" i="1"/>
  <c r="H55" i="1"/>
  <c r="I55" i="1"/>
  <c r="J55" i="1"/>
  <c r="P32" i="49" s="1"/>
  <c r="G56" i="1"/>
  <c r="H56" i="1"/>
  <c r="I56" i="1"/>
  <c r="J56" i="1"/>
  <c r="P33" i="49" s="1"/>
  <c r="S58" i="1"/>
  <c r="BG58" i="1"/>
  <c r="G61" i="1"/>
  <c r="BG61" i="1"/>
  <c r="BG62" i="1"/>
  <c r="AF68" i="1"/>
  <c r="AI68" i="1"/>
  <c r="AF69" i="1"/>
  <c r="AI69" i="1"/>
  <c r="AF70" i="1"/>
  <c r="AI70" i="1"/>
  <c r="AF71" i="1"/>
  <c r="AI71" i="1"/>
  <c r="AF72" i="1"/>
  <c r="AI72" i="1"/>
  <c r="AF73" i="1"/>
  <c r="AI73" i="1"/>
  <c r="C74" i="1"/>
  <c r="AF74" i="1"/>
  <c r="AI74" i="1"/>
  <c r="C75" i="1"/>
  <c r="D75" i="1"/>
  <c r="AF75" i="1"/>
  <c r="AI75" i="1"/>
  <c r="C76" i="1"/>
  <c r="D76" i="1"/>
  <c r="AF76" i="1"/>
  <c r="AH76" i="1"/>
  <c r="AI76" i="1" s="1"/>
  <c r="AF77" i="1"/>
  <c r="AI77" i="1"/>
  <c r="H78" i="1"/>
  <c r="D79" i="1"/>
  <c r="R82" i="1"/>
  <c r="R83" i="1"/>
  <c r="R84" i="1"/>
  <c r="R85" i="1"/>
  <c r="R86" i="1"/>
  <c r="R87" i="1"/>
  <c r="R88" i="1"/>
  <c r="C89" i="1"/>
  <c r="C96" i="1" s="1"/>
  <c r="R89" i="1"/>
  <c r="R90" i="1"/>
  <c r="R91" i="1"/>
  <c r="R92" i="1"/>
  <c r="R93" i="1"/>
  <c r="R94" i="1"/>
  <c r="S94" i="1"/>
  <c r="R95" i="1"/>
  <c r="B96" i="1"/>
  <c r="D96" i="1"/>
  <c r="E96" i="1"/>
  <c r="C71" i="49" s="1"/>
  <c r="D71" i="49"/>
  <c r="E71" i="49"/>
  <c r="F71" i="49"/>
  <c r="G71" i="49"/>
  <c r="H71" i="49"/>
  <c r="J71" i="49"/>
  <c r="K71" i="49"/>
  <c r="L71" i="49"/>
  <c r="M71" i="49"/>
  <c r="N71" i="49"/>
  <c r="S97" i="1"/>
  <c r="J103" i="1"/>
  <c r="L103" i="1" s="1"/>
  <c r="E104" i="1"/>
  <c r="L104" i="1"/>
  <c r="E105" i="1"/>
  <c r="J105" i="1"/>
  <c r="L105" i="1" s="1"/>
  <c r="E106" i="1"/>
  <c r="L106" i="1"/>
  <c r="A107" i="1"/>
  <c r="A108" i="1" s="1"/>
  <c r="A109" i="1" s="1"/>
  <c r="G108" i="1"/>
  <c r="P109" i="1"/>
  <c r="A110" i="1"/>
  <c r="A111" i="1"/>
  <c r="J111" i="1"/>
  <c r="L111" i="1"/>
  <c r="Q112" i="1"/>
  <c r="R113" i="1" s="1"/>
  <c r="P113" i="1"/>
  <c r="J114" i="1"/>
  <c r="M114" i="1"/>
  <c r="N117" i="1"/>
  <c r="E123" i="1"/>
  <c r="F123" i="1"/>
  <c r="G123" i="1"/>
  <c r="H123" i="1"/>
  <c r="I123" i="1"/>
  <c r="E125" i="1"/>
  <c r="F125" i="1"/>
  <c r="G125" i="1"/>
  <c r="H125" i="1"/>
  <c r="I125" i="1"/>
  <c r="J125" i="1"/>
  <c r="R126" i="1"/>
  <c r="S126" i="1" s="1"/>
  <c r="T126" i="1" s="1"/>
  <c r="AI133" i="1"/>
  <c r="E135" i="1"/>
  <c r="F135" i="1"/>
  <c r="G135" i="1"/>
  <c r="H135" i="1"/>
  <c r="I135" i="1"/>
  <c r="J135" i="1"/>
  <c r="L135" i="1"/>
  <c r="M135" i="1"/>
  <c r="N135" i="1"/>
  <c r="O135" i="1"/>
  <c r="P135" i="1"/>
  <c r="Q135" i="1"/>
  <c r="E137" i="1"/>
  <c r="F137" i="1"/>
  <c r="G137" i="1"/>
  <c r="H137" i="1"/>
  <c r="I137" i="1"/>
  <c r="J137" i="1"/>
  <c r="L137" i="1"/>
  <c r="M137" i="1"/>
  <c r="N137" i="1"/>
  <c r="O137" i="1"/>
  <c r="P137" i="1"/>
  <c r="Q137" i="1"/>
  <c r="R138" i="1"/>
  <c r="S138" i="1" s="1"/>
  <c r="T138" i="1" s="1"/>
  <c r="AL138" i="1"/>
  <c r="AL141" i="1"/>
  <c r="E143" i="1"/>
  <c r="F143" i="1"/>
  <c r="G143" i="1"/>
  <c r="H143" i="1"/>
  <c r="I143" i="1"/>
  <c r="J143" i="1"/>
  <c r="L143" i="1"/>
  <c r="M143" i="1"/>
  <c r="N143" i="1"/>
  <c r="O143" i="1"/>
  <c r="P143" i="1"/>
  <c r="Q143" i="1"/>
  <c r="E145" i="1"/>
  <c r="F145" i="1"/>
  <c r="G145" i="1"/>
  <c r="H145" i="1"/>
  <c r="I145" i="1"/>
  <c r="J145" i="1"/>
  <c r="L145" i="1"/>
  <c r="M145" i="1"/>
  <c r="N145" i="1"/>
  <c r="O145" i="1"/>
  <c r="P145" i="1"/>
  <c r="Q145" i="1"/>
  <c r="R146" i="1"/>
  <c r="S146" i="1" s="1"/>
  <c r="T146" i="1" s="1"/>
  <c r="D152" i="1"/>
  <c r="E152" i="1"/>
  <c r="F152" i="1"/>
  <c r="G152" i="1"/>
  <c r="H152" i="1"/>
  <c r="I152" i="1"/>
  <c r="J152" i="1"/>
  <c r="L152" i="1"/>
  <c r="M152" i="1"/>
  <c r="N152" i="1"/>
  <c r="O152" i="1"/>
  <c r="P152" i="1"/>
  <c r="D154" i="1"/>
  <c r="E154" i="1"/>
  <c r="F154" i="1"/>
  <c r="G154" i="1"/>
  <c r="H154" i="1"/>
  <c r="I154" i="1"/>
  <c r="J154" i="1"/>
  <c r="L154" i="1"/>
  <c r="M154" i="1"/>
  <c r="N154" i="1"/>
  <c r="O154" i="1"/>
  <c r="P154" i="1"/>
  <c r="Q155" i="1"/>
  <c r="R155" i="1" s="1"/>
  <c r="S155" i="1" s="1"/>
  <c r="E156" i="1"/>
  <c r="F156" i="1"/>
  <c r="I157" i="1"/>
  <c r="G159" i="1"/>
  <c r="H159" i="1"/>
  <c r="I159" i="1"/>
  <c r="J159" i="1"/>
  <c r="L159" i="1"/>
  <c r="M159" i="1"/>
  <c r="N159" i="1"/>
  <c r="O159" i="1"/>
  <c r="P159" i="1"/>
  <c r="D161" i="1"/>
  <c r="E161" i="1"/>
  <c r="F161" i="1"/>
  <c r="G161" i="1"/>
  <c r="H161" i="1"/>
  <c r="I161" i="1"/>
  <c r="J161" i="1"/>
  <c r="L161" i="1"/>
  <c r="M161" i="1"/>
  <c r="N161" i="1"/>
  <c r="O161" i="1"/>
  <c r="P161" i="1"/>
  <c r="Q162" i="1"/>
  <c r="R162" i="1" s="1"/>
  <c r="S162" i="1" s="1"/>
  <c r="I167" i="1"/>
  <c r="J167" i="1" s="1"/>
  <c r="G169" i="1"/>
  <c r="G170" i="1"/>
  <c r="L171" i="1"/>
  <c r="L172" i="1"/>
  <c r="E176" i="1"/>
  <c r="F176" i="1"/>
  <c r="E178" i="1"/>
  <c r="F178" i="1"/>
  <c r="R179" i="1"/>
  <c r="S179" i="1" s="1"/>
  <c r="T179" i="1" s="1"/>
  <c r="AF185" i="1"/>
  <c r="AG185" i="1"/>
  <c r="B195" i="1"/>
  <c r="C195" i="1"/>
  <c r="C207" i="1" s="1"/>
  <c r="F195" i="1"/>
  <c r="B196" i="1"/>
  <c r="D196" i="1" s="1"/>
  <c r="B197" i="1"/>
  <c r="D197" i="1" s="1"/>
  <c r="B198" i="1"/>
  <c r="D198" i="1" s="1"/>
  <c r="B199" i="1"/>
  <c r="D199" i="1" s="1"/>
  <c r="B200" i="1"/>
  <c r="D200" i="1" s="1"/>
  <c r="D201" i="1"/>
  <c r="D202" i="1"/>
  <c r="D203" i="1"/>
  <c r="D204" i="1"/>
  <c r="D205" i="1"/>
  <c r="D206" i="1"/>
  <c r="AB212" i="1"/>
  <c r="AB213" i="1" s="1"/>
  <c r="AB214" i="1"/>
  <c r="AB215" i="1"/>
  <c r="D222" i="1"/>
  <c r="E222" i="1"/>
  <c r="I254" i="1"/>
  <c r="C255" i="1"/>
  <c r="E255" i="1"/>
  <c r="D16" i="53"/>
  <c r="V29" i="53"/>
  <c r="V38" i="53"/>
  <c r="B51" i="53"/>
  <c r="C51" i="53"/>
  <c r="D51" i="53"/>
  <c r="E51" i="53"/>
  <c r="F51" i="53"/>
  <c r="G51" i="53"/>
  <c r="H51" i="53"/>
  <c r="B69" i="53"/>
  <c r="C69" i="53"/>
  <c r="D69" i="53"/>
  <c r="E69" i="53"/>
  <c r="F69" i="53"/>
  <c r="G69" i="53"/>
  <c r="H69" i="53"/>
  <c r="I69" i="53"/>
  <c r="J69" i="53"/>
  <c r="K69" i="53"/>
  <c r="L69" i="53"/>
  <c r="M69" i="53"/>
  <c r="E83" i="53"/>
  <c r="G83" i="53" s="1"/>
  <c r="E111" i="53"/>
  <c r="E112" i="53"/>
  <c r="E113" i="53"/>
  <c r="E114" i="53"/>
  <c r="E122" i="53"/>
  <c r="E123" i="53"/>
  <c r="E124" i="53"/>
  <c r="E125" i="53"/>
  <c r="E126" i="53"/>
  <c r="E127" i="53"/>
  <c r="E128" i="53"/>
  <c r="E133" i="53"/>
  <c r="C154" i="53"/>
  <c r="B157" i="53"/>
  <c r="B9" i="54"/>
  <c r="C9" i="54" s="1"/>
  <c r="D9" i="54"/>
  <c r="E9" i="54" s="1"/>
  <c r="F9" i="54"/>
  <c r="G9" i="54" s="1"/>
  <c r="H9" i="54"/>
  <c r="I9" i="54" s="1"/>
  <c r="J9" i="54"/>
  <c r="K9" i="54" s="1"/>
  <c r="L9" i="54"/>
  <c r="M9" i="54" s="1"/>
  <c r="N9" i="54"/>
  <c r="O9" i="54" s="1"/>
  <c r="Y9" i="54"/>
  <c r="Z9" i="54" s="1"/>
  <c r="AA9" i="54"/>
  <c r="AB9" i="54" s="1"/>
  <c r="AC9" i="54"/>
  <c r="AD9" i="54" s="1"/>
  <c r="AE9" i="54"/>
  <c r="AF9" i="54" s="1"/>
  <c r="AH9" i="54"/>
  <c r="AI9" i="54"/>
  <c r="AJ9" i="54" s="1"/>
  <c r="AL9" i="54"/>
  <c r="AN9" i="54"/>
  <c r="AP9" i="54"/>
  <c r="AR9" i="54"/>
  <c r="AT9" i="54"/>
  <c r="AK11" i="54"/>
  <c r="AM11" i="54"/>
  <c r="AO11" i="54"/>
  <c r="C12" i="54"/>
  <c r="E12" i="54"/>
  <c r="G12" i="54"/>
  <c r="I12" i="54"/>
  <c r="K12" i="54"/>
  <c r="M12" i="54"/>
  <c r="O12" i="54"/>
  <c r="Z12" i="54"/>
  <c r="AB12" i="54"/>
  <c r="AD12" i="54"/>
  <c r="AF12" i="54"/>
  <c r="AH12" i="54"/>
  <c r="AJ12" i="54"/>
  <c r="AL12" i="54"/>
  <c r="AN12" i="54"/>
  <c r="AP12" i="54"/>
  <c r="AR12" i="54"/>
  <c r="AT12" i="54"/>
  <c r="AC13" i="54"/>
  <c r="AC15" i="54" s="1"/>
  <c r="AD15" i="54" s="1"/>
  <c r="AC26" i="54" s="1"/>
  <c r="AE13" i="54"/>
  <c r="AE15" i="54" s="1"/>
  <c r="AF15" i="54" s="1"/>
  <c r="AE26" i="54" s="1"/>
  <c r="AO13" i="54"/>
  <c r="AO15" i="54" s="1"/>
  <c r="AP15" i="54" s="1"/>
  <c r="AO26" i="54" s="1"/>
  <c r="AQ13" i="54"/>
  <c r="AS13" i="54"/>
  <c r="B14" i="54"/>
  <c r="B15" i="54" s="1"/>
  <c r="C15" i="54" s="1"/>
  <c r="D14" i="54"/>
  <c r="D15" i="54" s="1"/>
  <c r="E15" i="54" s="1"/>
  <c r="F14" i="54"/>
  <c r="F15" i="54" s="1"/>
  <c r="G15" i="54" s="1"/>
  <c r="AG14" i="54"/>
  <c r="AG15" i="54" s="1"/>
  <c r="AH15" i="54" s="1"/>
  <c r="AG26" i="54" s="1"/>
  <c r="H15" i="54"/>
  <c r="I15" i="54" s="1"/>
  <c r="J15" i="54"/>
  <c r="K15" i="54" s="1"/>
  <c r="L15" i="54"/>
  <c r="M15" i="54" s="1"/>
  <c r="N15" i="54"/>
  <c r="O15" i="54" s="1"/>
  <c r="Y15" i="54"/>
  <c r="Z15" i="54" s="1"/>
  <c r="AA15" i="54"/>
  <c r="AB15" i="54" s="1"/>
  <c r="AI15" i="54"/>
  <c r="AJ15" i="54" s="1"/>
  <c r="AI26" i="54" s="1"/>
  <c r="AK15" i="54"/>
  <c r="AL15" i="54" s="1"/>
  <c r="AK26" i="54" s="1"/>
  <c r="AM15" i="54"/>
  <c r="AN15" i="54" s="1"/>
  <c r="AM26" i="54" s="1"/>
  <c r="AR15" i="54"/>
  <c r="AT15" i="54"/>
  <c r="AM20" i="54"/>
  <c r="AO20" i="54"/>
  <c r="AK22" i="54"/>
  <c r="AM22" i="54"/>
  <c r="AO22" i="54"/>
  <c r="AG77" i="54"/>
  <c r="AI77" i="54"/>
  <c r="AB85" i="54"/>
  <c r="AB97" i="54" s="1"/>
  <c r="Y93" i="54"/>
  <c r="Y97" i="54" s="1"/>
  <c r="AA93" i="54"/>
  <c r="AA97" i="54" s="1"/>
  <c r="E97" i="54"/>
  <c r="F97" i="54"/>
  <c r="G97" i="54"/>
  <c r="H97" i="54"/>
  <c r="J97" i="54"/>
  <c r="K97" i="54"/>
  <c r="L97" i="54"/>
  <c r="M97" i="54"/>
  <c r="Z97" i="54"/>
  <c r="H106" i="54"/>
  <c r="H122" i="54" s="1"/>
  <c r="M110" i="54"/>
  <c r="M122" i="54" s="1"/>
  <c r="J118" i="54"/>
  <c r="J122" i="54" s="1"/>
  <c r="L118" i="54"/>
  <c r="L122" i="54" s="1"/>
  <c r="E122" i="54"/>
  <c r="F122" i="54"/>
  <c r="G122" i="54"/>
  <c r="K122" i="54"/>
  <c r="E146" i="54"/>
  <c r="F146" i="54"/>
  <c r="G146" i="54"/>
  <c r="H146" i="54"/>
  <c r="J146" i="54"/>
  <c r="K146" i="54"/>
  <c r="L146" i="54"/>
  <c r="M146" i="54"/>
  <c r="T11" i="30"/>
  <c r="AF14" i="30"/>
  <c r="AH14" i="30" s="1"/>
  <c r="AC16" i="30"/>
  <c r="AF16" i="30" s="1"/>
  <c r="R19" i="30"/>
  <c r="G22" i="30"/>
  <c r="J5" i="30"/>
  <c r="C33" i="30"/>
  <c r="D33" i="30"/>
  <c r="E49" i="30"/>
  <c r="E50" i="30"/>
  <c r="E51" i="30"/>
  <c r="E52" i="30"/>
  <c r="S5" i="30"/>
  <c r="E53" i="30"/>
  <c r="E54" i="30"/>
  <c r="C55" i="30"/>
  <c r="E55" i="30" s="1"/>
  <c r="E56" i="30"/>
  <c r="I56" i="30"/>
  <c r="R56" i="30"/>
  <c r="U56" i="30"/>
  <c r="X56" i="30" s="1"/>
  <c r="X60" i="30" s="1"/>
  <c r="E57" i="30"/>
  <c r="R57" i="30"/>
  <c r="E58" i="30"/>
  <c r="E59" i="30"/>
  <c r="E60" i="30"/>
  <c r="O60" i="30"/>
  <c r="P60" i="30"/>
  <c r="Q60" i="30"/>
  <c r="S60" i="30"/>
  <c r="E61" i="30"/>
  <c r="D62" i="30"/>
  <c r="H65" i="30"/>
  <c r="J65" i="30"/>
  <c r="R65" i="30"/>
  <c r="V65" i="30"/>
  <c r="W65" i="30"/>
  <c r="X65" i="30"/>
  <c r="D66" i="30"/>
  <c r="H66" i="30"/>
  <c r="J66" i="30"/>
  <c r="R66" i="30"/>
  <c r="V66" i="30"/>
  <c r="W66" i="30"/>
  <c r="X66" i="30"/>
  <c r="H67" i="30"/>
  <c r="J67" i="30"/>
  <c r="R67" i="30"/>
  <c r="V67" i="30"/>
  <c r="W67" i="30"/>
  <c r="X67" i="30"/>
  <c r="H68" i="30"/>
  <c r="J68" i="30"/>
  <c r="R68" i="30"/>
  <c r="V68" i="30"/>
  <c r="W68" i="30"/>
  <c r="X68" i="30"/>
  <c r="H69" i="30"/>
  <c r="J69" i="30"/>
  <c r="R69" i="30"/>
  <c r="V69" i="30"/>
  <c r="W69" i="30"/>
  <c r="X69" i="30"/>
  <c r="H70" i="30"/>
  <c r="J70" i="30"/>
  <c r="R70" i="30"/>
  <c r="V70" i="30"/>
  <c r="W70" i="30"/>
  <c r="X70" i="30"/>
  <c r="H71" i="30"/>
  <c r="J71" i="30"/>
  <c r="R71" i="30"/>
  <c r="V71" i="30"/>
  <c r="W71" i="30"/>
  <c r="X71" i="30"/>
  <c r="H72" i="30"/>
  <c r="J72" i="30"/>
  <c r="R72" i="30"/>
  <c r="V72" i="30"/>
  <c r="W72" i="30"/>
  <c r="X72" i="30"/>
  <c r="H73" i="30"/>
  <c r="J73" i="30"/>
  <c r="R73" i="30"/>
  <c r="V73" i="30"/>
  <c r="W73" i="30"/>
  <c r="X73" i="30"/>
  <c r="H74" i="30"/>
  <c r="J74" i="30"/>
  <c r="R74" i="30"/>
  <c r="V74" i="30"/>
  <c r="W74" i="30"/>
  <c r="X74" i="30"/>
  <c r="H75" i="30"/>
  <c r="J75" i="30"/>
  <c r="R75" i="30"/>
  <c r="V75" i="30"/>
  <c r="W75" i="30"/>
  <c r="X75" i="30"/>
  <c r="H76" i="30"/>
  <c r="J76" i="30"/>
  <c r="R76" i="30"/>
  <c r="V76" i="30"/>
  <c r="W76" i="30"/>
  <c r="X76" i="30"/>
  <c r="H77" i="30"/>
  <c r="J77" i="30"/>
  <c r="R77" i="30"/>
  <c r="V77" i="30"/>
  <c r="W77" i="30"/>
  <c r="X77" i="30"/>
  <c r="H78" i="30"/>
  <c r="J78" i="30"/>
  <c r="R78" i="30"/>
  <c r="V78" i="30"/>
  <c r="W78" i="30"/>
  <c r="X78" i="30"/>
  <c r="H79" i="30"/>
  <c r="J79" i="30"/>
  <c r="R79" i="30"/>
  <c r="V79" i="30"/>
  <c r="W79" i="30"/>
  <c r="X79" i="30"/>
  <c r="H80" i="30"/>
  <c r="J80" i="30"/>
  <c r="R80" i="30"/>
  <c r="V80" i="30"/>
  <c r="W80" i="30"/>
  <c r="H81" i="30"/>
  <c r="J81" i="30"/>
  <c r="R81" i="30"/>
  <c r="V81" i="30"/>
  <c r="W81" i="30"/>
  <c r="X81" i="30"/>
  <c r="H82" i="30"/>
  <c r="J82" i="30"/>
  <c r="R82" i="30"/>
  <c r="V82" i="30"/>
  <c r="W82" i="30"/>
  <c r="X82" i="30"/>
  <c r="H83" i="30"/>
  <c r="J83" i="30"/>
  <c r="R83" i="30"/>
  <c r="V83" i="30"/>
  <c r="W83" i="30"/>
  <c r="X83" i="30"/>
  <c r="H84" i="30"/>
  <c r="J84" i="30"/>
  <c r="R84" i="30"/>
  <c r="V84" i="30"/>
  <c r="W84" i="30"/>
  <c r="X84" i="30"/>
  <c r="H85" i="30"/>
  <c r="J85" i="30"/>
  <c r="R85" i="30"/>
  <c r="V85" i="30"/>
  <c r="W85" i="30"/>
  <c r="X85" i="30"/>
  <c r="H86" i="30"/>
  <c r="J86" i="30"/>
  <c r="R86" i="30"/>
  <c r="V86" i="30"/>
  <c r="W86" i="30"/>
  <c r="X86" i="30"/>
  <c r="J87" i="30"/>
  <c r="H87" i="30"/>
  <c r="X87" i="30"/>
  <c r="V87" i="30"/>
  <c r="H88" i="30"/>
  <c r="J88" i="30"/>
  <c r="R88" i="30"/>
  <c r="V88" i="30"/>
  <c r="W88" i="30"/>
  <c r="X88" i="30"/>
  <c r="H89" i="30"/>
  <c r="J89" i="30"/>
  <c r="R89" i="30"/>
  <c r="V89" i="30"/>
  <c r="W89" i="30"/>
  <c r="X89" i="30"/>
  <c r="H90" i="30"/>
  <c r="J90" i="30"/>
  <c r="R90" i="30"/>
  <c r="V90" i="30"/>
  <c r="W90" i="30"/>
  <c r="X90" i="30"/>
  <c r="H91" i="30"/>
  <c r="J91" i="30"/>
  <c r="R91" i="30"/>
  <c r="V91" i="30"/>
  <c r="W91" i="30"/>
  <c r="X91" i="30"/>
  <c r="H92" i="30"/>
  <c r="J92" i="30"/>
  <c r="R92" i="30"/>
  <c r="V92" i="30"/>
  <c r="W92" i="30"/>
  <c r="X92" i="30"/>
  <c r="H93" i="30"/>
  <c r="J93" i="30"/>
  <c r="R93" i="30"/>
  <c r="V93" i="30"/>
  <c r="W93" i="30"/>
  <c r="X93" i="30"/>
  <c r="H94" i="30"/>
  <c r="J94" i="30"/>
  <c r="R94" i="30"/>
  <c r="V94" i="30"/>
  <c r="W94" i="30"/>
  <c r="X94" i="30"/>
  <c r="R95" i="30"/>
  <c r="U96" i="30"/>
  <c r="S96" i="30"/>
  <c r="H97" i="30"/>
  <c r="H98" i="30"/>
  <c r="H99" i="30"/>
  <c r="H100" i="30"/>
  <c r="J100" i="30"/>
  <c r="R100" i="30"/>
  <c r="V100" i="30"/>
  <c r="W100" i="30"/>
  <c r="X100" i="30"/>
  <c r="H101" i="30"/>
  <c r="J101" i="30"/>
  <c r="R101" i="30"/>
  <c r="V101" i="30"/>
  <c r="W101" i="30"/>
  <c r="X101" i="30"/>
  <c r="H102" i="30"/>
  <c r="J102" i="30"/>
  <c r="R102" i="30"/>
  <c r="V102" i="30"/>
  <c r="W102" i="30"/>
  <c r="X102" i="30"/>
  <c r="H103" i="30"/>
  <c r="J103" i="30"/>
  <c r="R103" i="30"/>
  <c r="V103" i="30"/>
  <c r="W103" i="30"/>
  <c r="X103" i="30"/>
  <c r="H104" i="30"/>
  <c r="J104" i="30"/>
  <c r="R104" i="30"/>
  <c r="V104" i="30"/>
  <c r="W104" i="30"/>
  <c r="X104" i="30"/>
  <c r="H105" i="30"/>
  <c r="J105" i="30"/>
  <c r="R105" i="30"/>
  <c r="V105" i="30"/>
  <c r="W105" i="30"/>
  <c r="X105" i="30"/>
  <c r="H106" i="30"/>
  <c r="J106" i="30"/>
  <c r="R106" i="30"/>
  <c r="V106" i="30"/>
  <c r="W106" i="30"/>
  <c r="X106" i="30"/>
  <c r="H107" i="30"/>
  <c r="J107" i="30"/>
  <c r="R107" i="30"/>
  <c r="V107" i="30"/>
  <c r="W107" i="30"/>
  <c r="X107" i="30"/>
  <c r="H108" i="30"/>
  <c r="J108" i="30"/>
  <c r="R108" i="30"/>
  <c r="V108" i="30"/>
  <c r="W108" i="30"/>
  <c r="X108" i="30"/>
  <c r="H109" i="30"/>
  <c r="J109" i="30"/>
  <c r="R109" i="30"/>
  <c r="V109" i="30"/>
  <c r="W109" i="30"/>
  <c r="X109" i="30"/>
  <c r="H110" i="30"/>
  <c r="J110" i="30"/>
  <c r="R110" i="30"/>
  <c r="V110" i="30"/>
  <c r="W110" i="30"/>
  <c r="X110" i="30"/>
  <c r="H111" i="30"/>
  <c r="J111" i="30"/>
  <c r="R111" i="30"/>
  <c r="V111" i="30"/>
  <c r="W111" i="30"/>
  <c r="X111" i="30"/>
  <c r="H112" i="30"/>
  <c r="J112" i="30"/>
  <c r="R112" i="30"/>
  <c r="V112" i="30"/>
  <c r="W112" i="30"/>
  <c r="X112" i="30"/>
  <c r="H113" i="30"/>
  <c r="J113" i="30"/>
  <c r="R113" i="30"/>
  <c r="V113" i="30"/>
  <c r="W113" i="30"/>
  <c r="X113" i="30"/>
  <c r="H114" i="30"/>
  <c r="J114" i="30"/>
  <c r="R114" i="30"/>
  <c r="V114" i="30"/>
  <c r="W114" i="30"/>
  <c r="X114" i="30"/>
  <c r="H115" i="30"/>
  <c r="J115" i="30"/>
  <c r="R115" i="30"/>
  <c r="V115" i="30"/>
  <c r="W115" i="30"/>
  <c r="X115" i="30"/>
  <c r="H116" i="30"/>
  <c r="J116" i="30"/>
  <c r="R116" i="30"/>
  <c r="V116" i="30"/>
  <c r="W116" i="30"/>
  <c r="X116" i="30"/>
  <c r="H117" i="30"/>
  <c r="J117" i="30"/>
  <c r="R117" i="30"/>
  <c r="V117" i="30"/>
  <c r="W117" i="30"/>
  <c r="X117" i="30"/>
  <c r="H118" i="30"/>
  <c r="J118" i="30"/>
  <c r="R118" i="30"/>
  <c r="V118" i="30"/>
  <c r="W118" i="30"/>
  <c r="X118" i="30"/>
  <c r="D119" i="30"/>
  <c r="E119" i="30"/>
  <c r="H119" i="30"/>
  <c r="J119" i="30"/>
  <c r="R119" i="30"/>
  <c r="V119" i="30"/>
  <c r="W119" i="30"/>
  <c r="X119" i="30"/>
  <c r="H120" i="30"/>
  <c r="J120" i="30"/>
  <c r="R120" i="30"/>
  <c r="V120" i="30"/>
  <c r="W120" i="30"/>
  <c r="X120" i="30"/>
  <c r="H121" i="30"/>
  <c r="J121" i="30"/>
  <c r="R121" i="30"/>
  <c r="V121" i="30"/>
  <c r="W121" i="30"/>
  <c r="X121" i="30"/>
  <c r="H122" i="30"/>
  <c r="J122" i="30"/>
  <c r="R122" i="30"/>
  <c r="V122" i="30"/>
  <c r="W122" i="30"/>
  <c r="X122" i="30"/>
  <c r="H123" i="30"/>
  <c r="J123" i="30"/>
  <c r="R123" i="30"/>
  <c r="V123" i="30"/>
  <c r="W123" i="30"/>
  <c r="X123" i="30"/>
  <c r="J124" i="30"/>
  <c r="R124" i="30"/>
  <c r="V124" i="30"/>
  <c r="X124" i="30"/>
  <c r="H125" i="30"/>
  <c r="J125" i="30"/>
  <c r="R125" i="30"/>
  <c r="V125" i="30"/>
  <c r="W125" i="30"/>
  <c r="X125" i="30"/>
  <c r="H126" i="30"/>
  <c r="J126" i="30"/>
  <c r="R126" i="30"/>
  <c r="V126" i="30"/>
  <c r="W126" i="30"/>
  <c r="X126" i="30"/>
  <c r="H127" i="30"/>
  <c r="J127" i="30"/>
  <c r="R127" i="30"/>
  <c r="V127" i="30"/>
  <c r="W127" i="30"/>
  <c r="X127" i="30"/>
  <c r="H128" i="30"/>
  <c r="J128" i="30"/>
  <c r="R128" i="30"/>
  <c r="V128" i="30"/>
  <c r="W128" i="30"/>
  <c r="X128" i="30"/>
  <c r="M131" i="30"/>
  <c r="K7" i="30" s="1"/>
  <c r="T129" i="30"/>
  <c r="U129" i="30"/>
  <c r="U131" i="30" s="1"/>
  <c r="S7" i="30" s="1"/>
  <c r="H130" i="30"/>
  <c r="S131" i="30"/>
  <c r="M132" i="30"/>
  <c r="T132" i="30"/>
  <c r="H132" i="30" s="1"/>
  <c r="H133" i="30"/>
  <c r="AB133" i="30"/>
  <c r="H134" i="30"/>
  <c r="J134" i="30"/>
  <c r="R134" i="30"/>
  <c r="V134" i="30"/>
  <c r="W134" i="30"/>
  <c r="X134" i="30"/>
  <c r="H135" i="30"/>
  <c r="J135" i="30"/>
  <c r="R135" i="30"/>
  <c r="V135" i="30"/>
  <c r="W135" i="30"/>
  <c r="X135" i="30"/>
  <c r="H136" i="30"/>
  <c r="J136" i="30"/>
  <c r="R136" i="30"/>
  <c r="V136" i="30"/>
  <c r="W136" i="30"/>
  <c r="X136" i="30"/>
  <c r="H137" i="30"/>
  <c r="J137" i="30"/>
  <c r="R137" i="30"/>
  <c r="V137" i="30"/>
  <c r="W137" i="30"/>
  <c r="X137" i="30"/>
  <c r="H138" i="30"/>
  <c r="J138" i="30"/>
  <c r="R138" i="30"/>
  <c r="V138" i="30"/>
  <c r="W138" i="30"/>
  <c r="X138" i="30"/>
  <c r="H139" i="30"/>
  <c r="J139" i="30"/>
  <c r="R139" i="30"/>
  <c r="V139" i="30"/>
  <c r="W139" i="30"/>
  <c r="X139" i="30"/>
  <c r="H140" i="30"/>
  <c r="J140" i="30"/>
  <c r="R140" i="30"/>
  <c r="V140" i="30"/>
  <c r="W140" i="30"/>
  <c r="X140" i="30"/>
  <c r="H141" i="30"/>
  <c r="J141" i="30"/>
  <c r="R141" i="30"/>
  <c r="V141" i="30"/>
  <c r="W141" i="30"/>
  <c r="X141" i="30"/>
  <c r="H142" i="30"/>
  <c r="J142" i="30"/>
  <c r="R142" i="30"/>
  <c r="V142" i="30"/>
  <c r="W142" i="30"/>
  <c r="X142" i="30"/>
  <c r="H143" i="30"/>
  <c r="J143" i="30"/>
  <c r="R143" i="30"/>
  <c r="V143" i="30"/>
  <c r="W143" i="30"/>
  <c r="X143" i="30"/>
  <c r="H144" i="30"/>
  <c r="J144" i="30"/>
  <c r="R144" i="30"/>
  <c r="V144" i="30"/>
  <c r="W144" i="30"/>
  <c r="H145" i="30"/>
  <c r="J145" i="30"/>
  <c r="R145" i="30"/>
  <c r="V145" i="30"/>
  <c r="W145" i="30"/>
  <c r="X145" i="30"/>
  <c r="W146" i="30"/>
  <c r="X146" i="30"/>
  <c r="V146" i="30"/>
  <c r="H147" i="30"/>
  <c r="J147" i="30"/>
  <c r="R147" i="30"/>
  <c r="V147" i="30"/>
  <c r="W147" i="30"/>
  <c r="X147" i="30"/>
  <c r="H148" i="30"/>
  <c r="J148" i="30"/>
  <c r="R148" i="30"/>
  <c r="V148" i="30"/>
  <c r="W148" i="30"/>
  <c r="X148" i="30"/>
  <c r="H149" i="30"/>
  <c r="J149" i="30"/>
  <c r="R149" i="30"/>
  <c r="V149" i="30"/>
  <c r="W149" i="30"/>
  <c r="X149" i="30"/>
  <c r="H150" i="30"/>
  <c r="J150" i="30"/>
  <c r="R150" i="30"/>
  <c r="V150" i="30"/>
  <c r="W150" i="30"/>
  <c r="X150" i="30"/>
  <c r="H151" i="30"/>
  <c r="J151" i="30"/>
  <c r="R151" i="30"/>
  <c r="V151" i="30"/>
  <c r="W151" i="30"/>
  <c r="X151" i="30"/>
  <c r="H152" i="30"/>
  <c r="J152" i="30"/>
  <c r="R152" i="30"/>
  <c r="V152" i="30"/>
  <c r="W152" i="30"/>
  <c r="X152" i="30"/>
  <c r="H153" i="30"/>
  <c r="J153" i="30"/>
  <c r="R153" i="30"/>
  <c r="V153" i="30"/>
  <c r="W153" i="30"/>
  <c r="X153" i="30"/>
  <c r="H154" i="30"/>
  <c r="J154" i="30"/>
  <c r="R154" i="30"/>
  <c r="V154" i="30"/>
  <c r="W154" i="30"/>
  <c r="X154" i="30"/>
  <c r="H155" i="30"/>
  <c r="J155" i="30"/>
  <c r="R155" i="30"/>
  <c r="V155" i="30"/>
  <c r="W155" i="30"/>
  <c r="X155" i="30"/>
  <c r="H156" i="30"/>
  <c r="J156" i="30"/>
  <c r="R156" i="30"/>
  <c r="V156" i="30"/>
  <c r="W156" i="30"/>
  <c r="X156" i="30"/>
  <c r="H157" i="30"/>
  <c r="J157" i="30"/>
  <c r="R157" i="30"/>
  <c r="V157" i="30"/>
  <c r="W157" i="30"/>
  <c r="X157" i="30"/>
  <c r="H158" i="30"/>
  <c r="J158" i="30"/>
  <c r="R158" i="30"/>
  <c r="V158" i="30"/>
  <c r="W158" i="30"/>
  <c r="X158" i="30"/>
  <c r="H159" i="30"/>
  <c r="J159" i="30"/>
  <c r="R159" i="30"/>
  <c r="V159" i="30"/>
  <c r="W159" i="30"/>
  <c r="X159" i="30"/>
  <c r="H160" i="30"/>
  <c r="J160" i="30"/>
  <c r="R160" i="30"/>
  <c r="V160" i="30"/>
  <c r="W160" i="30"/>
  <c r="X160" i="30"/>
  <c r="H161" i="30"/>
  <c r="J161" i="30"/>
  <c r="R161" i="30"/>
  <c r="V161" i="30"/>
  <c r="W161" i="30"/>
  <c r="X161" i="30"/>
  <c r="J162" i="30"/>
  <c r="R162" i="30"/>
  <c r="V162" i="30"/>
  <c r="X162" i="30"/>
  <c r="X163" i="30"/>
  <c r="T165" i="30"/>
  <c r="R8" i="30" s="1"/>
  <c r="H164" i="30"/>
  <c r="J164" i="30"/>
  <c r="R164" i="30"/>
  <c r="X164" i="30"/>
  <c r="W164" i="30"/>
  <c r="S165" i="30"/>
  <c r="T166" i="30"/>
  <c r="H166" i="30" s="1"/>
  <c r="H167" i="30"/>
  <c r="M168" i="30"/>
  <c r="S168" i="30"/>
  <c r="H168" i="30" s="1"/>
  <c r="H170" i="30"/>
  <c r="H171" i="30"/>
  <c r="H172" i="30"/>
  <c r="H173" i="30"/>
  <c r="J173" i="30"/>
  <c r="I173" i="30" s="1"/>
  <c r="R173" i="30"/>
  <c r="V173" i="30"/>
  <c r="W173" i="30"/>
  <c r="X173" i="30"/>
  <c r="H174" i="30"/>
  <c r="J174" i="30"/>
  <c r="I174" i="30" s="1"/>
  <c r="R174" i="30"/>
  <c r="V174" i="30"/>
  <c r="W174" i="30"/>
  <c r="X174" i="30"/>
  <c r="H175" i="30"/>
  <c r="J175" i="30"/>
  <c r="I175" i="30" s="1"/>
  <c r="R175" i="30"/>
  <c r="V175" i="30"/>
  <c r="W175" i="30"/>
  <c r="X175" i="30"/>
  <c r="H176" i="30"/>
  <c r="J176" i="30"/>
  <c r="I176" i="30" s="1"/>
  <c r="R176" i="30"/>
  <c r="V176" i="30"/>
  <c r="W176" i="30"/>
  <c r="X176" i="30"/>
  <c r="H177" i="30"/>
  <c r="J177" i="30"/>
  <c r="I177" i="30" s="1"/>
  <c r="R177" i="30"/>
  <c r="V177" i="30"/>
  <c r="W177" i="30"/>
  <c r="X177" i="30"/>
  <c r="H178" i="30"/>
  <c r="J178" i="30"/>
  <c r="I178" i="30" s="1"/>
  <c r="R178" i="30"/>
  <c r="V178" i="30"/>
  <c r="W178" i="30"/>
  <c r="X178" i="30"/>
  <c r="H179" i="30"/>
  <c r="J179" i="30"/>
  <c r="I179" i="30" s="1"/>
  <c r="R179" i="30"/>
  <c r="V179" i="30"/>
  <c r="W179" i="30"/>
  <c r="X179" i="30"/>
  <c r="H180" i="30"/>
  <c r="J180" i="30"/>
  <c r="I180" i="30" s="1"/>
  <c r="R180" i="30"/>
  <c r="V180" i="30"/>
  <c r="W180" i="30"/>
  <c r="X180" i="30"/>
  <c r="H181" i="30"/>
  <c r="J181" i="30"/>
  <c r="I181" i="30" s="1"/>
  <c r="R181" i="30"/>
  <c r="V181" i="30"/>
  <c r="W181" i="30"/>
  <c r="X181" i="30"/>
  <c r="H182" i="30"/>
  <c r="J182" i="30"/>
  <c r="I182" i="30" s="1"/>
  <c r="R182" i="30"/>
  <c r="V182" i="30"/>
  <c r="W182" i="30"/>
  <c r="X182" i="30"/>
  <c r="H183" i="30"/>
  <c r="J183" i="30"/>
  <c r="I183" i="30" s="1"/>
  <c r="R183" i="30"/>
  <c r="V183" i="30"/>
  <c r="W183" i="30"/>
  <c r="X183" i="30"/>
  <c r="H184" i="30"/>
  <c r="J184" i="30"/>
  <c r="I184" i="30" s="1"/>
  <c r="R184" i="30"/>
  <c r="V184" i="30"/>
  <c r="W184" i="30"/>
  <c r="H185" i="30"/>
  <c r="J185" i="30"/>
  <c r="I185" i="30" s="1"/>
  <c r="R185" i="30"/>
  <c r="V185" i="30"/>
  <c r="W185" i="30"/>
  <c r="X185" i="30"/>
  <c r="H186" i="30"/>
  <c r="J186" i="30"/>
  <c r="I186" i="30" s="1"/>
  <c r="R186" i="30"/>
  <c r="V186" i="30"/>
  <c r="W186" i="30"/>
  <c r="X186" i="30"/>
  <c r="H187" i="30"/>
  <c r="J187" i="30"/>
  <c r="I187" i="30" s="1"/>
  <c r="R187" i="30"/>
  <c r="V187" i="30"/>
  <c r="W187" i="30"/>
  <c r="X187" i="30"/>
  <c r="J188" i="30"/>
  <c r="V188" i="30"/>
  <c r="X188" i="30"/>
  <c r="H189" i="30"/>
  <c r="J189" i="30"/>
  <c r="I189" i="30" s="1"/>
  <c r="R189" i="30"/>
  <c r="V189" i="30"/>
  <c r="W189" i="30"/>
  <c r="X189" i="30"/>
  <c r="H190" i="30"/>
  <c r="J190" i="30"/>
  <c r="I190" i="30" s="1"/>
  <c r="R190" i="30"/>
  <c r="V190" i="30"/>
  <c r="W190" i="30"/>
  <c r="X190" i="30"/>
  <c r="H191" i="30"/>
  <c r="J191" i="30"/>
  <c r="I191" i="30" s="1"/>
  <c r="R191" i="30"/>
  <c r="V191" i="30"/>
  <c r="W191" i="30"/>
  <c r="X191" i="30"/>
  <c r="H192" i="30"/>
  <c r="J192" i="30"/>
  <c r="I192" i="30" s="1"/>
  <c r="R192" i="30"/>
  <c r="V192" i="30"/>
  <c r="W192" i="30"/>
  <c r="X192" i="30"/>
  <c r="H193" i="30"/>
  <c r="J193" i="30"/>
  <c r="I193" i="30" s="1"/>
  <c r="R193" i="30"/>
  <c r="V193" i="30"/>
  <c r="W193" i="30"/>
  <c r="X193" i="30"/>
  <c r="AD193" i="30"/>
  <c r="H194" i="30"/>
  <c r="J194" i="30"/>
  <c r="I194" i="30" s="1"/>
  <c r="R194" i="30"/>
  <c r="V194" i="30"/>
  <c r="W194" i="30"/>
  <c r="X194" i="30"/>
  <c r="H195" i="30"/>
  <c r="J195" i="30"/>
  <c r="I195" i="30" s="1"/>
  <c r="R195" i="30"/>
  <c r="V195" i="30"/>
  <c r="W195" i="30"/>
  <c r="X195" i="30"/>
  <c r="H196" i="30"/>
  <c r="J196" i="30"/>
  <c r="I196" i="30" s="1"/>
  <c r="R196" i="30"/>
  <c r="V196" i="30"/>
  <c r="W196" i="30"/>
  <c r="X196" i="30"/>
  <c r="AC196" i="30"/>
  <c r="H197" i="30"/>
  <c r="J197" i="30"/>
  <c r="I197" i="30" s="1"/>
  <c r="R197" i="30"/>
  <c r="V197" i="30"/>
  <c r="W197" i="30"/>
  <c r="X197" i="30"/>
  <c r="H198" i="30"/>
  <c r="J198" i="30"/>
  <c r="I198" i="30" s="1"/>
  <c r="R198" i="30"/>
  <c r="V198" i="30"/>
  <c r="W198" i="30"/>
  <c r="X198" i="30"/>
  <c r="H199" i="30"/>
  <c r="J199" i="30"/>
  <c r="I199" i="30" s="1"/>
  <c r="R199" i="30"/>
  <c r="V199" i="30"/>
  <c r="W199" i="30"/>
  <c r="X199" i="30"/>
  <c r="H200" i="30"/>
  <c r="J200" i="30"/>
  <c r="I200" i="30" s="1"/>
  <c r="R200" i="30"/>
  <c r="V200" i="30"/>
  <c r="W200" i="30"/>
  <c r="X200" i="30"/>
  <c r="H201" i="30"/>
  <c r="J201" i="30"/>
  <c r="I201" i="30" s="1"/>
  <c r="R201" i="30"/>
  <c r="V201" i="30"/>
  <c r="W201" i="30"/>
  <c r="X201" i="30"/>
  <c r="H202" i="30"/>
  <c r="J202" i="30"/>
  <c r="I202" i="30" s="1"/>
  <c r="R202" i="30"/>
  <c r="V202" i="30"/>
  <c r="W202" i="30"/>
  <c r="X202" i="30"/>
  <c r="R203" i="30"/>
  <c r="H203" i="30"/>
  <c r="X203" i="30"/>
  <c r="S204" i="30"/>
  <c r="H205" i="30"/>
  <c r="H207" i="30"/>
  <c r="H208" i="30"/>
  <c r="H209" i="30"/>
  <c r="R209" i="30"/>
  <c r="V209" i="30"/>
  <c r="W209" i="30"/>
  <c r="X209" i="30"/>
  <c r="H210" i="30"/>
  <c r="R210" i="30"/>
  <c r="V210" i="30"/>
  <c r="W210" i="30"/>
  <c r="X210" i="30"/>
  <c r="H211" i="30"/>
  <c r="R211" i="30"/>
  <c r="V211" i="30"/>
  <c r="W211" i="30"/>
  <c r="X211" i="30"/>
  <c r="H212" i="30"/>
  <c r="R212" i="30"/>
  <c r="V212" i="30"/>
  <c r="W212" i="30"/>
  <c r="X212" i="30"/>
  <c r="H213" i="30"/>
  <c r="R213" i="30"/>
  <c r="V213" i="30"/>
  <c r="W213" i="30"/>
  <c r="X213" i="30"/>
  <c r="H214" i="30"/>
  <c r="R214" i="30"/>
  <c r="V214" i="30"/>
  <c r="W214" i="30"/>
  <c r="X214" i="30"/>
  <c r="H215" i="30"/>
  <c r="R215" i="30"/>
  <c r="V215" i="30"/>
  <c r="W215" i="30"/>
  <c r="X215" i="30"/>
  <c r="H216" i="30"/>
  <c r="R216" i="30"/>
  <c r="V216" i="30"/>
  <c r="W216" i="30"/>
  <c r="X216" i="30"/>
  <c r="H217" i="30"/>
  <c r="R217" i="30"/>
  <c r="V217" i="30"/>
  <c r="W217" i="30"/>
  <c r="X217" i="30"/>
  <c r="H218" i="30"/>
  <c r="R218" i="30"/>
  <c r="V218" i="30"/>
  <c r="W218" i="30"/>
  <c r="X218" i="30"/>
  <c r="H219" i="30"/>
  <c r="R219" i="30"/>
  <c r="V219" i="30"/>
  <c r="W219" i="30"/>
  <c r="X219" i="30"/>
  <c r="W220" i="30"/>
  <c r="V220" i="30"/>
  <c r="X220" i="30"/>
  <c r="H221" i="30"/>
  <c r="R221" i="30"/>
  <c r="V221" i="30"/>
  <c r="W221" i="30"/>
  <c r="X221" i="30"/>
  <c r="H222" i="30"/>
  <c r="R222" i="30"/>
  <c r="V222" i="30"/>
  <c r="W222" i="30"/>
  <c r="X222" i="30"/>
  <c r="H223" i="30"/>
  <c r="R223" i="30"/>
  <c r="V223" i="30"/>
  <c r="W223" i="30"/>
  <c r="X223" i="30"/>
  <c r="H224" i="30"/>
  <c r="R224" i="30"/>
  <c r="V224" i="30"/>
  <c r="W224" i="30"/>
  <c r="X224" i="30"/>
  <c r="H225" i="30"/>
  <c r="R225" i="30"/>
  <c r="V225" i="30"/>
  <c r="W225" i="30"/>
  <c r="X225" i="30"/>
  <c r="R226" i="30"/>
  <c r="V226" i="30"/>
  <c r="X226" i="30"/>
  <c r="H227" i="30"/>
  <c r="R227" i="30"/>
  <c r="V227" i="30"/>
  <c r="W227" i="30"/>
  <c r="X227" i="30"/>
  <c r="R228" i="30"/>
  <c r="H228" i="30"/>
  <c r="X228" i="30"/>
  <c r="H229" i="30"/>
  <c r="R229" i="30"/>
  <c r="V229" i="30"/>
  <c r="W229" i="30"/>
  <c r="X229" i="30"/>
  <c r="H230" i="30"/>
  <c r="R230" i="30"/>
  <c r="V230" i="30"/>
  <c r="W230" i="30"/>
  <c r="X230" i="30"/>
  <c r="H231" i="30"/>
  <c r="R231" i="30"/>
  <c r="V231" i="30"/>
  <c r="W231" i="30"/>
  <c r="X231" i="30"/>
  <c r="H232" i="30"/>
  <c r="R232" i="30"/>
  <c r="V232" i="30"/>
  <c r="W232" i="30"/>
  <c r="X232" i="30"/>
  <c r="H233" i="30"/>
  <c r="R233" i="30"/>
  <c r="V233" i="30"/>
  <c r="W233" i="30"/>
  <c r="X233" i="30"/>
  <c r="H234" i="30"/>
  <c r="R234" i="30"/>
  <c r="V234" i="30"/>
  <c r="W234" i="30"/>
  <c r="X234" i="30"/>
  <c r="H235" i="30"/>
  <c r="R235" i="30"/>
  <c r="V235" i="30"/>
  <c r="W235" i="30"/>
  <c r="X235" i="30"/>
  <c r="H236" i="30"/>
  <c r="R236" i="30"/>
  <c r="V236" i="30"/>
  <c r="W236" i="30"/>
  <c r="X236" i="30"/>
  <c r="H237" i="30"/>
  <c r="R237" i="30"/>
  <c r="V237" i="30"/>
  <c r="W237" i="30"/>
  <c r="X237" i="30"/>
  <c r="R238" i="30"/>
  <c r="V238" i="30"/>
  <c r="X238" i="30"/>
  <c r="M239" i="30"/>
  <c r="S239" i="30"/>
  <c r="U239" i="30"/>
  <c r="S10" i="30" s="1"/>
  <c r="H240" i="30"/>
  <c r="H241" i="30"/>
  <c r="H242" i="30"/>
  <c r="H243" i="30"/>
  <c r="H244" i="30"/>
  <c r="J244" i="30"/>
  <c r="R244" i="30"/>
  <c r="V244" i="30"/>
  <c r="W244" i="30"/>
  <c r="X244" i="30"/>
  <c r="H245" i="30"/>
  <c r="J245" i="30"/>
  <c r="R245" i="30"/>
  <c r="V245" i="30"/>
  <c r="W245" i="30"/>
  <c r="X245" i="30"/>
  <c r="H246" i="30"/>
  <c r="J246" i="30"/>
  <c r="R246" i="30"/>
  <c r="V246" i="30"/>
  <c r="W246" i="30"/>
  <c r="X246" i="30"/>
  <c r="H247" i="30"/>
  <c r="J247" i="30"/>
  <c r="R247" i="30"/>
  <c r="V247" i="30"/>
  <c r="W247" i="30"/>
  <c r="X247" i="30"/>
  <c r="H248" i="30"/>
  <c r="J248" i="30"/>
  <c r="R248" i="30"/>
  <c r="V248" i="30"/>
  <c r="W248" i="30"/>
  <c r="X248" i="30"/>
  <c r="H249" i="30"/>
  <c r="J249" i="30"/>
  <c r="R249" i="30"/>
  <c r="V249" i="30"/>
  <c r="W249" i="30"/>
  <c r="X249" i="30"/>
  <c r="H250" i="30"/>
  <c r="J250" i="30"/>
  <c r="R250" i="30"/>
  <c r="V250" i="30"/>
  <c r="W250" i="30"/>
  <c r="X250" i="30"/>
  <c r="H251" i="30"/>
  <c r="J251" i="30"/>
  <c r="R251" i="30"/>
  <c r="V251" i="30"/>
  <c r="W251" i="30"/>
  <c r="X251" i="30"/>
  <c r="H252" i="30"/>
  <c r="J252" i="30"/>
  <c r="R252" i="30"/>
  <c r="V252" i="30"/>
  <c r="W252" i="30"/>
  <c r="X252" i="30"/>
  <c r="H253" i="30"/>
  <c r="J253" i="30"/>
  <c r="R253" i="30"/>
  <c r="V253" i="30"/>
  <c r="W253" i="30"/>
  <c r="X253" i="30"/>
  <c r="H254" i="30"/>
  <c r="J254" i="30"/>
  <c r="R254" i="30"/>
  <c r="V254" i="30"/>
  <c r="W254" i="30"/>
  <c r="X254" i="30"/>
  <c r="H255" i="30"/>
  <c r="J255" i="30"/>
  <c r="R255" i="30"/>
  <c r="V255" i="30"/>
  <c r="W255" i="30"/>
  <c r="X255" i="30"/>
  <c r="H256" i="30"/>
  <c r="J256" i="30"/>
  <c r="R256" i="30"/>
  <c r="V256" i="30"/>
  <c r="W256" i="30"/>
  <c r="X256" i="30"/>
  <c r="H257" i="30"/>
  <c r="J257" i="30"/>
  <c r="R257" i="30"/>
  <c r="V257" i="30"/>
  <c r="W257" i="30"/>
  <c r="X257" i="30"/>
  <c r="H258" i="30"/>
  <c r="J258" i="30"/>
  <c r="R258" i="30"/>
  <c r="V258" i="30"/>
  <c r="W258" i="30"/>
  <c r="X258" i="30"/>
  <c r="H259" i="30"/>
  <c r="J259" i="30"/>
  <c r="R259" i="30"/>
  <c r="V259" i="30"/>
  <c r="W259" i="30"/>
  <c r="X259" i="30"/>
  <c r="H260" i="30"/>
  <c r="J260" i="30"/>
  <c r="R260" i="30"/>
  <c r="V260" i="30"/>
  <c r="W260" i="30"/>
  <c r="X260" i="30"/>
  <c r="H261" i="30"/>
  <c r="J261" i="30"/>
  <c r="R261" i="30"/>
  <c r="V261" i="30"/>
  <c r="W261" i="30"/>
  <c r="X261" i="30"/>
  <c r="H262" i="30"/>
  <c r="J262" i="30"/>
  <c r="R262" i="30"/>
  <c r="V262" i="30"/>
  <c r="W262" i="30"/>
  <c r="X262" i="30"/>
  <c r="H263" i="30"/>
  <c r="J263" i="30"/>
  <c r="R263" i="30"/>
  <c r="V263" i="30"/>
  <c r="W263" i="30"/>
  <c r="X263" i="30"/>
  <c r="H264" i="30"/>
  <c r="J264" i="30"/>
  <c r="R264" i="30"/>
  <c r="V264" i="30"/>
  <c r="W264" i="30"/>
  <c r="X264" i="30"/>
  <c r="H265" i="30"/>
  <c r="J265" i="30"/>
  <c r="R265" i="30"/>
  <c r="V265" i="30"/>
  <c r="W265" i="30"/>
  <c r="X265" i="30"/>
  <c r="H266" i="30"/>
  <c r="J266" i="30"/>
  <c r="R266" i="30"/>
  <c r="V266" i="30"/>
  <c r="W266" i="30"/>
  <c r="X266" i="30"/>
  <c r="H267" i="30"/>
  <c r="J267" i="30"/>
  <c r="R267" i="30"/>
  <c r="V267" i="30"/>
  <c r="W267" i="30"/>
  <c r="X267" i="30"/>
  <c r="H268" i="30"/>
  <c r="J268" i="30"/>
  <c r="R268" i="30"/>
  <c r="V268" i="30"/>
  <c r="W268" i="30"/>
  <c r="X268" i="30"/>
  <c r="H269" i="30"/>
  <c r="J269" i="30"/>
  <c r="R269" i="30"/>
  <c r="V269" i="30"/>
  <c r="W269" i="30"/>
  <c r="X269" i="30"/>
  <c r="H270" i="30"/>
  <c r="J270" i="30"/>
  <c r="R270" i="30"/>
  <c r="V270" i="30"/>
  <c r="W270" i="30"/>
  <c r="X270" i="30"/>
  <c r="H271" i="30"/>
  <c r="J271" i="30"/>
  <c r="R271" i="30"/>
  <c r="V271" i="30"/>
  <c r="W271" i="30"/>
  <c r="X271" i="30"/>
  <c r="H272" i="30"/>
  <c r="J272" i="30"/>
  <c r="R272" i="30"/>
  <c r="V272" i="30"/>
  <c r="W272" i="30"/>
  <c r="X272" i="30"/>
  <c r="H273" i="30"/>
  <c r="J273" i="30"/>
  <c r="R273" i="30"/>
  <c r="V273" i="30"/>
  <c r="W273" i="30"/>
  <c r="X273" i="30"/>
  <c r="H274" i="30"/>
  <c r="J274" i="30"/>
  <c r="R274" i="30"/>
  <c r="V274" i="30"/>
  <c r="W274" i="30"/>
  <c r="X274" i="30"/>
  <c r="L275" i="30"/>
  <c r="J11" i="30" s="1"/>
  <c r="W11" i="30" s="1"/>
  <c r="M275" i="30"/>
  <c r="K11" i="30" s="1"/>
  <c r="X11" i="30" s="1"/>
  <c r="S275" i="30"/>
  <c r="T275" i="30"/>
  <c r="T277" i="30" s="1"/>
  <c r="H277" i="30" s="1"/>
  <c r="H276" i="30"/>
  <c r="R276" i="30"/>
  <c r="V276" i="30"/>
  <c r="W276" i="30"/>
  <c r="X276" i="30"/>
  <c r="H278" i="30"/>
  <c r="H279" i="30"/>
  <c r="J279" i="30"/>
  <c r="I279" i="30" s="1"/>
  <c r="R279" i="30"/>
  <c r="V279" i="30"/>
  <c r="W279" i="30"/>
  <c r="X279" i="30"/>
  <c r="H280" i="30"/>
  <c r="J280" i="30"/>
  <c r="I280" i="30" s="1"/>
  <c r="V280" i="30"/>
  <c r="W280" i="30"/>
  <c r="X280" i="30"/>
  <c r="H281" i="30"/>
  <c r="J281" i="30"/>
  <c r="I281" i="30" s="1"/>
  <c r="R281" i="30"/>
  <c r="V281" i="30"/>
  <c r="W281" i="30"/>
  <c r="X281" i="30"/>
  <c r="H282" i="30"/>
  <c r="J282" i="30"/>
  <c r="I282" i="30" s="1"/>
  <c r="R282" i="30"/>
  <c r="V282" i="30"/>
  <c r="W282" i="30"/>
  <c r="X282" i="30"/>
  <c r="H283" i="30"/>
  <c r="J283" i="30"/>
  <c r="I283" i="30" s="1"/>
  <c r="R283" i="30"/>
  <c r="V283" i="30"/>
  <c r="W283" i="30"/>
  <c r="X283" i="30"/>
  <c r="H284" i="30"/>
  <c r="J284" i="30"/>
  <c r="I284" i="30" s="1"/>
  <c r="R284" i="30"/>
  <c r="V284" i="30"/>
  <c r="W284" i="30"/>
  <c r="X284" i="30"/>
  <c r="H285" i="30"/>
  <c r="J285" i="30"/>
  <c r="I285" i="30" s="1"/>
  <c r="R285" i="30"/>
  <c r="V285" i="30"/>
  <c r="W285" i="30"/>
  <c r="X285" i="30"/>
  <c r="H286" i="30"/>
  <c r="J286" i="30"/>
  <c r="I286" i="30" s="1"/>
  <c r="R286" i="30"/>
  <c r="V286" i="30"/>
  <c r="W286" i="30"/>
  <c r="X286" i="30"/>
  <c r="H287" i="30"/>
  <c r="J287" i="30"/>
  <c r="I287" i="30" s="1"/>
  <c r="R287" i="30"/>
  <c r="V287" i="30"/>
  <c r="W287" i="30"/>
  <c r="X287" i="30"/>
  <c r="H288" i="30"/>
  <c r="J288" i="30"/>
  <c r="I288" i="30" s="1"/>
  <c r="R288" i="30"/>
  <c r="V288" i="30"/>
  <c r="W288" i="30"/>
  <c r="X288" i="30"/>
  <c r="H289" i="30"/>
  <c r="J289" i="30"/>
  <c r="I289" i="30" s="1"/>
  <c r="R289" i="30"/>
  <c r="V289" i="30"/>
  <c r="W289" i="30"/>
  <c r="X289" i="30"/>
  <c r="H290" i="30"/>
  <c r="J290" i="30"/>
  <c r="I290" i="30" s="1"/>
  <c r="R290" i="30"/>
  <c r="V290" i="30"/>
  <c r="W290" i="30"/>
  <c r="X290" i="30"/>
  <c r="H291" i="30"/>
  <c r="J291" i="30"/>
  <c r="I291" i="30" s="1"/>
  <c r="R291" i="30"/>
  <c r="V291" i="30"/>
  <c r="W291" i="30"/>
  <c r="X291" i="30"/>
  <c r="H292" i="30"/>
  <c r="J292" i="30"/>
  <c r="I292" i="30" s="1"/>
  <c r="R292" i="30"/>
  <c r="V292" i="30"/>
  <c r="W292" i="30"/>
  <c r="X292" i="30"/>
  <c r="H293" i="30"/>
  <c r="J293" i="30"/>
  <c r="I293" i="30" s="1"/>
  <c r="R293" i="30"/>
  <c r="V293" i="30"/>
  <c r="W293" i="30"/>
  <c r="X293" i="30"/>
  <c r="H294" i="30"/>
  <c r="J294" i="30"/>
  <c r="I294" i="30" s="1"/>
  <c r="R294" i="30"/>
  <c r="V294" i="30"/>
  <c r="W294" i="30"/>
  <c r="X294" i="30"/>
  <c r="H295" i="30"/>
  <c r="J295" i="30"/>
  <c r="I295" i="30" s="1"/>
  <c r="R295" i="30"/>
  <c r="V295" i="30"/>
  <c r="W295" i="30"/>
  <c r="X295" i="30"/>
  <c r="H296" i="30"/>
  <c r="J296" i="30"/>
  <c r="I296" i="30" s="1"/>
  <c r="R296" i="30"/>
  <c r="V296" i="30"/>
  <c r="W296" i="30"/>
  <c r="X296" i="30"/>
  <c r="H297" i="30"/>
  <c r="J297" i="30"/>
  <c r="I297" i="30" s="1"/>
  <c r="R297" i="30"/>
  <c r="V297" i="30"/>
  <c r="W297" i="30"/>
  <c r="X297" i="30"/>
  <c r="H298" i="30"/>
  <c r="J298" i="30"/>
  <c r="I298" i="30" s="1"/>
  <c r="R298" i="30"/>
  <c r="V298" i="30"/>
  <c r="W298" i="30"/>
  <c r="X298" i="30"/>
  <c r="H299" i="30"/>
  <c r="J299" i="30"/>
  <c r="I299" i="30" s="1"/>
  <c r="R299" i="30"/>
  <c r="V299" i="30"/>
  <c r="W299" i="30"/>
  <c r="X299" i="30"/>
  <c r="H300" i="30"/>
  <c r="J300" i="30"/>
  <c r="I300" i="30" s="1"/>
  <c r="R300" i="30"/>
  <c r="V300" i="30"/>
  <c r="W300" i="30"/>
  <c r="X300" i="30"/>
  <c r="H301" i="30"/>
  <c r="J301" i="30"/>
  <c r="I301" i="30" s="1"/>
  <c r="R301" i="30"/>
  <c r="V301" i="30"/>
  <c r="W301" i="30"/>
  <c r="X301" i="30"/>
  <c r="H302" i="30"/>
  <c r="J302" i="30"/>
  <c r="I302" i="30" s="1"/>
  <c r="R302" i="30"/>
  <c r="V302" i="30"/>
  <c r="W302" i="30"/>
  <c r="X302" i="30"/>
  <c r="H303" i="30"/>
  <c r="J303" i="30"/>
  <c r="I303" i="30" s="1"/>
  <c r="R303" i="30"/>
  <c r="V303" i="30"/>
  <c r="W303" i="30"/>
  <c r="X303" i="30"/>
  <c r="H304" i="30"/>
  <c r="J304" i="30"/>
  <c r="I304" i="30" s="1"/>
  <c r="R304" i="30"/>
  <c r="V304" i="30"/>
  <c r="W304" i="30"/>
  <c r="X304" i="30"/>
  <c r="H305" i="30"/>
  <c r="J305" i="30"/>
  <c r="I305" i="30" s="1"/>
  <c r="R305" i="30"/>
  <c r="V305" i="30"/>
  <c r="W305" i="30"/>
  <c r="X305" i="30"/>
  <c r="H306" i="30"/>
  <c r="J306" i="30"/>
  <c r="I306" i="30" s="1"/>
  <c r="R306" i="30"/>
  <c r="V306" i="30"/>
  <c r="W306" i="30"/>
  <c r="X306" i="30"/>
  <c r="H307" i="30"/>
  <c r="J307" i="30"/>
  <c r="I307" i="30" s="1"/>
  <c r="R307" i="30"/>
  <c r="V307" i="30"/>
  <c r="W307" i="30"/>
  <c r="X307" i="30"/>
  <c r="H308" i="30"/>
  <c r="J308" i="30"/>
  <c r="I308" i="30" s="1"/>
  <c r="R308" i="30"/>
  <c r="V308" i="30"/>
  <c r="W308" i="30"/>
  <c r="X308" i="30"/>
  <c r="H309" i="30"/>
  <c r="I309" i="30"/>
  <c r="L310" i="30"/>
  <c r="J12" i="30" s="1"/>
  <c r="M310" i="30"/>
  <c r="K12" i="30" s="1"/>
  <c r="S310" i="30"/>
  <c r="T310" i="30"/>
  <c r="R12" i="30" s="1"/>
  <c r="U310" i="30"/>
  <c r="S12" i="30" s="1"/>
  <c r="H311" i="30"/>
  <c r="H312" i="30"/>
  <c r="H313" i="30"/>
  <c r="H314" i="30"/>
  <c r="H315" i="30"/>
  <c r="J315" i="30"/>
  <c r="R315" i="30"/>
  <c r="V315" i="30"/>
  <c r="W315" i="30"/>
  <c r="X315" i="30"/>
  <c r="H316" i="30"/>
  <c r="J316" i="30"/>
  <c r="R316" i="30"/>
  <c r="V316" i="30"/>
  <c r="W316" i="30"/>
  <c r="X316" i="30"/>
  <c r="H317" i="30"/>
  <c r="J317" i="30"/>
  <c r="R317" i="30"/>
  <c r="V317" i="30"/>
  <c r="W317" i="30"/>
  <c r="X317" i="30"/>
  <c r="H318" i="30"/>
  <c r="J318" i="30"/>
  <c r="R318" i="30"/>
  <c r="V318" i="30"/>
  <c r="W318" i="30"/>
  <c r="X318" i="30"/>
  <c r="H319" i="30"/>
  <c r="J319" i="30"/>
  <c r="R319" i="30"/>
  <c r="V319" i="30"/>
  <c r="W319" i="30"/>
  <c r="X319" i="30"/>
  <c r="H320" i="30"/>
  <c r="J320" i="30"/>
  <c r="R320" i="30"/>
  <c r="V320" i="30"/>
  <c r="W320" i="30"/>
  <c r="X320" i="30"/>
  <c r="H321" i="30"/>
  <c r="J321" i="30"/>
  <c r="R321" i="30"/>
  <c r="V321" i="30"/>
  <c r="W321" i="30"/>
  <c r="X321" i="30"/>
  <c r="H322" i="30"/>
  <c r="J322" i="30"/>
  <c r="R322" i="30"/>
  <c r="V322" i="30"/>
  <c r="W322" i="30"/>
  <c r="X322" i="30"/>
  <c r="H323" i="30"/>
  <c r="J323" i="30"/>
  <c r="R323" i="30"/>
  <c r="V323" i="30"/>
  <c r="W323" i="30"/>
  <c r="X323" i="30"/>
  <c r="H324" i="30"/>
  <c r="J324" i="30"/>
  <c r="R324" i="30"/>
  <c r="V324" i="30"/>
  <c r="W324" i="30"/>
  <c r="X324" i="30"/>
  <c r="H325" i="30"/>
  <c r="J325" i="30"/>
  <c r="R325" i="30"/>
  <c r="V325" i="30"/>
  <c r="W325" i="30"/>
  <c r="X325" i="30"/>
  <c r="H326" i="30"/>
  <c r="J326" i="30"/>
  <c r="R326" i="30"/>
  <c r="V326" i="30"/>
  <c r="W326" i="30"/>
  <c r="X326" i="30"/>
  <c r="H327" i="30"/>
  <c r="J327" i="30"/>
  <c r="R327" i="30"/>
  <c r="V327" i="30"/>
  <c r="W327" i="30"/>
  <c r="X327" i="30"/>
  <c r="H328" i="30"/>
  <c r="J328" i="30"/>
  <c r="R328" i="30"/>
  <c r="V328" i="30"/>
  <c r="W328" i="30"/>
  <c r="X328" i="30"/>
  <c r="H329" i="30"/>
  <c r="J329" i="30"/>
  <c r="R329" i="30"/>
  <c r="V329" i="30"/>
  <c r="W329" i="30"/>
  <c r="X329" i="30"/>
  <c r="H330" i="30"/>
  <c r="J330" i="30"/>
  <c r="R330" i="30"/>
  <c r="V330" i="30"/>
  <c r="W330" i="30"/>
  <c r="X330" i="30"/>
  <c r="H331" i="30"/>
  <c r="J331" i="30"/>
  <c r="R331" i="30"/>
  <c r="V331" i="30"/>
  <c r="W331" i="30"/>
  <c r="X331" i="30"/>
  <c r="H332" i="30"/>
  <c r="J332" i="30"/>
  <c r="R332" i="30"/>
  <c r="V332" i="30"/>
  <c r="W332" i="30"/>
  <c r="X332" i="30"/>
  <c r="H333" i="30"/>
  <c r="J333" i="30"/>
  <c r="R333" i="30"/>
  <c r="V333" i="30"/>
  <c r="W333" i="30"/>
  <c r="X333" i="30"/>
  <c r="H334" i="30"/>
  <c r="J334" i="30"/>
  <c r="R334" i="30"/>
  <c r="V334" i="30"/>
  <c r="W334" i="30"/>
  <c r="X334" i="30"/>
  <c r="H335" i="30"/>
  <c r="J335" i="30"/>
  <c r="R335" i="30"/>
  <c r="V335" i="30"/>
  <c r="W335" i="30"/>
  <c r="X335" i="30"/>
  <c r="H336" i="30"/>
  <c r="J336" i="30"/>
  <c r="R336" i="30"/>
  <c r="V336" i="30"/>
  <c r="W336" i="30"/>
  <c r="X336" i="30"/>
  <c r="H337" i="30"/>
  <c r="J337" i="30"/>
  <c r="R337" i="30"/>
  <c r="V337" i="30"/>
  <c r="W337" i="30"/>
  <c r="X337" i="30"/>
  <c r="H338" i="30"/>
  <c r="J338" i="30"/>
  <c r="R338" i="30"/>
  <c r="V338" i="30"/>
  <c r="W338" i="30"/>
  <c r="X338" i="30"/>
  <c r="H339" i="30"/>
  <c r="J339" i="30"/>
  <c r="R339" i="30"/>
  <c r="V339" i="30"/>
  <c r="W339" i="30"/>
  <c r="X339" i="30"/>
  <c r="H340" i="30"/>
  <c r="J340" i="30"/>
  <c r="R340" i="30"/>
  <c r="V340" i="30"/>
  <c r="W340" i="30"/>
  <c r="X340" i="30"/>
  <c r="H341" i="30"/>
  <c r="J341" i="30"/>
  <c r="R341" i="30"/>
  <c r="V341" i="30"/>
  <c r="W341" i="30"/>
  <c r="X341" i="30"/>
  <c r="H342" i="30"/>
  <c r="J342" i="30"/>
  <c r="R342" i="30"/>
  <c r="V342" i="30"/>
  <c r="W342" i="30"/>
  <c r="X342" i="30"/>
  <c r="H343" i="30"/>
  <c r="J343" i="30"/>
  <c r="R343" i="30"/>
  <c r="V343" i="30"/>
  <c r="W343" i="30"/>
  <c r="X343" i="30"/>
  <c r="H344" i="30"/>
  <c r="J344" i="30"/>
  <c r="R344" i="30"/>
  <c r="V344" i="30"/>
  <c r="W344" i="30"/>
  <c r="X344" i="30"/>
  <c r="H345" i="30"/>
  <c r="J345" i="30"/>
  <c r="R345" i="30"/>
  <c r="V345" i="30"/>
  <c r="W345" i="30"/>
  <c r="X345" i="30"/>
  <c r="L346" i="30"/>
  <c r="J13" i="30" s="1"/>
  <c r="M346" i="30"/>
  <c r="K13" i="30" s="1"/>
  <c r="S346" i="30"/>
  <c r="T346" i="30"/>
  <c r="R13" i="30" s="1"/>
  <c r="U346" i="30"/>
  <c r="S13" i="30" s="1"/>
  <c r="L347" i="30"/>
  <c r="H347" i="30" s="1"/>
  <c r="J351" i="30"/>
  <c r="R351" i="30"/>
  <c r="V351" i="30"/>
  <c r="W351" i="30"/>
  <c r="X351" i="30"/>
  <c r="J352" i="30"/>
  <c r="R352" i="30"/>
  <c r="V352" i="30"/>
  <c r="W352" i="30"/>
  <c r="X352" i="30"/>
  <c r="J353" i="30"/>
  <c r="R353" i="30"/>
  <c r="V353" i="30"/>
  <c r="W353" i="30"/>
  <c r="X353" i="30"/>
  <c r="J354" i="30"/>
  <c r="R354" i="30"/>
  <c r="V354" i="30"/>
  <c r="W354" i="30"/>
  <c r="X354" i="30"/>
  <c r="J355" i="30"/>
  <c r="R355" i="30"/>
  <c r="V355" i="30"/>
  <c r="W355" i="30"/>
  <c r="X355" i="30"/>
  <c r="J356" i="30"/>
  <c r="R356" i="30"/>
  <c r="V356" i="30"/>
  <c r="W356" i="30"/>
  <c r="X356" i="30"/>
  <c r="J357" i="30"/>
  <c r="R357" i="30"/>
  <c r="V357" i="30"/>
  <c r="W357" i="30"/>
  <c r="X357" i="30"/>
  <c r="J358" i="30"/>
  <c r="R358" i="30"/>
  <c r="V358" i="30"/>
  <c r="W358" i="30"/>
  <c r="X358" i="30"/>
  <c r="J359" i="30"/>
  <c r="R359" i="30"/>
  <c r="V359" i="30"/>
  <c r="W359" i="30"/>
  <c r="X359" i="30"/>
  <c r="J360" i="30"/>
  <c r="R360" i="30"/>
  <c r="V360" i="30"/>
  <c r="W360" i="30"/>
  <c r="X360" i="30"/>
  <c r="J361" i="30"/>
  <c r="R361" i="30"/>
  <c r="V361" i="30"/>
  <c r="W361" i="30"/>
  <c r="X361" i="30"/>
  <c r="J362" i="30"/>
  <c r="R362" i="30"/>
  <c r="V362" i="30"/>
  <c r="W362" i="30"/>
  <c r="X362" i="30"/>
  <c r="J363" i="30"/>
  <c r="R363" i="30"/>
  <c r="V363" i="30"/>
  <c r="W363" i="30"/>
  <c r="X363" i="30"/>
  <c r="J364" i="30"/>
  <c r="R364" i="30"/>
  <c r="V364" i="30"/>
  <c r="W364" i="30"/>
  <c r="X364" i="30"/>
  <c r="J365" i="30"/>
  <c r="R365" i="30"/>
  <c r="V365" i="30"/>
  <c r="W365" i="30"/>
  <c r="X365" i="30"/>
  <c r="J366" i="30"/>
  <c r="R366" i="30"/>
  <c r="V366" i="30"/>
  <c r="W366" i="30"/>
  <c r="X366" i="30"/>
  <c r="J367" i="30"/>
  <c r="R367" i="30"/>
  <c r="V367" i="30"/>
  <c r="W367" i="30"/>
  <c r="X367" i="30"/>
  <c r="J368" i="30"/>
  <c r="R368" i="30"/>
  <c r="V368" i="30"/>
  <c r="W368" i="30"/>
  <c r="X368" i="30"/>
  <c r="J369" i="30"/>
  <c r="R369" i="30"/>
  <c r="V369" i="30"/>
  <c r="W369" i="30"/>
  <c r="X369" i="30"/>
  <c r="J370" i="30"/>
  <c r="R370" i="30"/>
  <c r="V370" i="30"/>
  <c r="W370" i="30"/>
  <c r="X370" i="30"/>
  <c r="J371" i="30"/>
  <c r="R371" i="30"/>
  <c r="V371" i="30"/>
  <c r="W371" i="30"/>
  <c r="X371" i="30"/>
  <c r="J372" i="30"/>
  <c r="R372" i="30"/>
  <c r="V372" i="30"/>
  <c r="W372" i="30"/>
  <c r="X372" i="30"/>
  <c r="J373" i="30"/>
  <c r="R373" i="30"/>
  <c r="V373" i="30"/>
  <c r="W373" i="30"/>
  <c r="X373" i="30"/>
  <c r="J374" i="30"/>
  <c r="R374" i="30"/>
  <c r="V374" i="30"/>
  <c r="W374" i="30"/>
  <c r="X374" i="30"/>
  <c r="J375" i="30"/>
  <c r="R375" i="30"/>
  <c r="V375" i="30"/>
  <c r="W375" i="30"/>
  <c r="X375" i="30"/>
  <c r="J376" i="30"/>
  <c r="R376" i="30"/>
  <c r="V376" i="30"/>
  <c r="W376" i="30"/>
  <c r="X376" i="30"/>
  <c r="J377" i="30"/>
  <c r="R377" i="30"/>
  <c r="V377" i="30"/>
  <c r="W377" i="30"/>
  <c r="X377" i="30"/>
  <c r="J378" i="30"/>
  <c r="R378" i="30"/>
  <c r="V378" i="30"/>
  <c r="W378" i="30"/>
  <c r="X378" i="30"/>
  <c r="J379" i="30"/>
  <c r="R379" i="30"/>
  <c r="V379" i="30"/>
  <c r="W379" i="30"/>
  <c r="X379" i="30"/>
  <c r="J380" i="30"/>
  <c r="R380" i="30"/>
  <c r="V380" i="30"/>
  <c r="W380" i="30"/>
  <c r="X380" i="30"/>
  <c r="J381" i="30"/>
  <c r="R381" i="30"/>
  <c r="V381" i="30"/>
  <c r="W381" i="30"/>
  <c r="X381" i="30"/>
  <c r="L382" i="30"/>
  <c r="M382" i="30"/>
  <c r="K14" i="30" s="1"/>
  <c r="T382" i="30"/>
  <c r="R14" i="30" s="1"/>
  <c r="U382" i="30"/>
  <c r="S14" i="30" s="1"/>
  <c r="M60" i="30"/>
  <c r="S420" i="30"/>
  <c r="T421" i="30"/>
  <c r="U421" i="30"/>
  <c r="J425" i="30"/>
  <c r="R425" i="30"/>
  <c r="V425" i="30"/>
  <c r="W425" i="30"/>
  <c r="X425" i="30"/>
  <c r="J426" i="30"/>
  <c r="R426" i="30"/>
  <c r="V426" i="30"/>
  <c r="W426" i="30"/>
  <c r="X426" i="30"/>
  <c r="J427" i="30"/>
  <c r="R427" i="30"/>
  <c r="V427" i="30"/>
  <c r="W427" i="30"/>
  <c r="X427" i="30"/>
  <c r="J428" i="30"/>
  <c r="R428" i="30"/>
  <c r="V428" i="30"/>
  <c r="W428" i="30"/>
  <c r="X428" i="30"/>
  <c r="J429" i="30"/>
  <c r="R429" i="30"/>
  <c r="V429" i="30"/>
  <c r="W429" i="30"/>
  <c r="X429" i="30"/>
  <c r="J430" i="30"/>
  <c r="R430" i="30"/>
  <c r="V430" i="30"/>
  <c r="W430" i="30"/>
  <c r="X430" i="30"/>
  <c r="J431" i="30"/>
  <c r="R431" i="30"/>
  <c r="V431" i="30"/>
  <c r="W431" i="30"/>
  <c r="X431" i="30"/>
  <c r="J432" i="30"/>
  <c r="R432" i="30"/>
  <c r="V432" i="30"/>
  <c r="W432" i="30"/>
  <c r="X432" i="30"/>
  <c r="J433" i="30"/>
  <c r="R433" i="30"/>
  <c r="V433" i="30"/>
  <c r="W433" i="30"/>
  <c r="X433" i="30"/>
  <c r="J434" i="30"/>
  <c r="R434" i="30"/>
  <c r="V434" i="30"/>
  <c r="W434" i="30"/>
  <c r="X434" i="30"/>
  <c r="J435" i="30"/>
  <c r="R435" i="30"/>
  <c r="V435" i="30"/>
  <c r="W435" i="30"/>
  <c r="X435" i="30"/>
  <c r="J436" i="30"/>
  <c r="R436" i="30"/>
  <c r="V436" i="30"/>
  <c r="W436" i="30"/>
  <c r="X436" i="30"/>
  <c r="J437" i="30"/>
  <c r="R437" i="30"/>
  <c r="V437" i="30"/>
  <c r="W437" i="30"/>
  <c r="X437" i="30"/>
  <c r="J438" i="30"/>
  <c r="R438" i="30"/>
  <c r="V438" i="30"/>
  <c r="W438" i="30"/>
  <c r="X438" i="30"/>
  <c r="J439" i="30"/>
  <c r="R439" i="30"/>
  <c r="V439" i="30"/>
  <c r="W439" i="30"/>
  <c r="X439" i="30"/>
  <c r="J440" i="30"/>
  <c r="R440" i="30"/>
  <c r="V440" i="30"/>
  <c r="W440" i="30"/>
  <c r="X440" i="30"/>
  <c r="J441" i="30"/>
  <c r="R441" i="30"/>
  <c r="V441" i="30"/>
  <c r="W441" i="30"/>
  <c r="X441" i="30"/>
  <c r="J442" i="30"/>
  <c r="R442" i="30"/>
  <c r="V442" i="30"/>
  <c r="W442" i="30"/>
  <c r="X442" i="30"/>
  <c r="J443" i="30"/>
  <c r="R443" i="30"/>
  <c r="V443" i="30"/>
  <c r="W443" i="30"/>
  <c r="X443" i="30"/>
  <c r="J444" i="30"/>
  <c r="R444" i="30"/>
  <c r="V444" i="30"/>
  <c r="W444" i="30"/>
  <c r="X444" i="30"/>
  <c r="J445" i="30"/>
  <c r="R445" i="30"/>
  <c r="V445" i="30"/>
  <c r="W445" i="30"/>
  <c r="X445" i="30"/>
  <c r="J446" i="30"/>
  <c r="R446" i="30"/>
  <c r="V446" i="30"/>
  <c r="W446" i="30"/>
  <c r="X446" i="30"/>
  <c r="J447" i="30"/>
  <c r="R447" i="30"/>
  <c r="V447" i="30"/>
  <c r="W447" i="30"/>
  <c r="X447" i="30"/>
  <c r="J448" i="30"/>
  <c r="R448" i="30"/>
  <c r="V448" i="30"/>
  <c r="W448" i="30"/>
  <c r="X448" i="30"/>
  <c r="J449" i="30"/>
  <c r="R449" i="30"/>
  <c r="V449" i="30"/>
  <c r="W449" i="30"/>
  <c r="X449" i="30"/>
  <c r="J450" i="30"/>
  <c r="R450" i="30"/>
  <c r="V450" i="30"/>
  <c r="W450" i="30"/>
  <c r="X450" i="30"/>
  <c r="J451" i="30"/>
  <c r="R451" i="30"/>
  <c r="V451" i="30"/>
  <c r="W451" i="30"/>
  <c r="X451" i="30"/>
  <c r="J452" i="30"/>
  <c r="R452" i="30"/>
  <c r="V452" i="30"/>
  <c r="W452" i="30"/>
  <c r="X452" i="30"/>
  <c r="J453" i="30"/>
  <c r="R453" i="30"/>
  <c r="V453" i="30"/>
  <c r="W453" i="30"/>
  <c r="X453" i="30"/>
  <c r="J454" i="30"/>
  <c r="R454" i="30"/>
  <c r="V454" i="30"/>
  <c r="W454" i="30"/>
  <c r="X454" i="30"/>
  <c r="R455" i="30"/>
  <c r="V455" i="30"/>
  <c r="W455" i="30"/>
  <c r="X455" i="30"/>
  <c r="L456" i="30"/>
  <c r="J16" i="30" s="1"/>
  <c r="M456" i="30"/>
  <c r="K16" i="30" s="1"/>
  <c r="S456" i="30"/>
  <c r="T456" i="30"/>
  <c r="R16" i="30" s="1"/>
  <c r="S16" i="30"/>
  <c r="T462" i="30"/>
  <c r="U466" i="30"/>
  <c r="V466" i="30"/>
  <c r="S469" i="30"/>
  <c r="U469" i="30"/>
  <c r="V469" i="30"/>
  <c r="Y469" i="30"/>
  <c r="S470" i="30"/>
  <c r="S471" i="30"/>
  <c r="S472" i="30"/>
  <c r="S473" i="30"/>
  <c r="S474" i="30"/>
  <c r="S475" i="30"/>
  <c r="S476" i="30"/>
  <c r="R477" i="30"/>
  <c r="S478" i="30"/>
  <c r="I10" i="65"/>
  <c r="P10" i="65" s="1"/>
  <c r="I11" i="65"/>
  <c r="P11" i="65" s="1"/>
  <c r="I12" i="65"/>
  <c r="P12" i="65" s="1"/>
  <c r="I18" i="65"/>
  <c r="P18" i="65" s="1"/>
  <c r="I19" i="65"/>
  <c r="P19" i="65" s="1"/>
  <c r="I20" i="65"/>
  <c r="I30" i="65"/>
  <c r="P30" i="65" s="1"/>
  <c r="I31" i="65"/>
  <c r="P31" i="65" s="1"/>
  <c r="I32" i="65"/>
  <c r="I41" i="65"/>
  <c r="P41" i="65" s="1"/>
  <c r="I42" i="65"/>
  <c r="J42" i="65"/>
  <c r="K42" i="65"/>
  <c r="I43" i="65"/>
  <c r="P43" i="65" s="1"/>
  <c r="I49" i="65"/>
  <c r="P49" i="65" s="1"/>
  <c r="I50" i="65"/>
  <c r="P50" i="65" s="1"/>
  <c r="I51" i="65"/>
  <c r="I52" i="65"/>
  <c r="P52" i="65" s="1"/>
  <c r="I61" i="65"/>
  <c r="P61" i="65" s="1"/>
  <c r="I62" i="65"/>
  <c r="P62" i="65" s="1"/>
  <c r="I63" i="65"/>
  <c r="P63" i="65" s="1"/>
  <c r="I71" i="65"/>
  <c r="P71" i="65" s="1"/>
  <c r="I72" i="65"/>
  <c r="P72" i="65" s="1"/>
  <c r="I73" i="65"/>
  <c r="I74" i="65"/>
  <c r="P74" i="65" s="1"/>
  <c r="I81" i="65"/>
  <c r="P81" i="65" s="1"/>
  <c r="I82" i="65"/>
  <c r="P82" i="65" s="1"/>
  <c r="I83" i="65"/>
  <c r="P83" i="65" s="1"/>
  <c r="I89" i="65"/>
  <c r="P89" i="65" s="1"/>
  <c r="I90" i="65"/>
  <c r="P90" i="65" s="1"/>
  <c r="I91" i="65"/>
  <c r="P91" i="65" s="1"/>
  <c r="I98" i="65"/>
  <c r="O98" i="65"/>
  <c r="D99" i="65"/>
  <c r="I99" i="65" s="1"/>
  <c r="K99" i="65"/>
  <c r="L99" i="65"/>
  <c r="M99" i="65"/>
  <c r="I100" i="65"/>
  <c r="P100" i="65" s="1"/>
  <c r="I109" i="65"/>
  <c r="O109" i="65"/>
  <c r="I110" i="65"/>
  <c r="P110" i="65" s="1"/>
  <c r="I111" i="65"/>
  <c r="P111" i="65" s="1"/>
  <c r="I117" i="65"/>
  <c r="P117" i="65" s="1"/>
  <c r="I118" i="65"/>
  <c r="P118" i="65" s="1"/>
  <c r="I119" i="65"/>
  <c r="P119" i="65" s="1"/>
  <c r="I126" i="65"/>
  <c r="P126" i="65" s="1"/>
  <c r="C127" i="65"/>
  <c r="F127" i="65"/>
  <c r="G127" i="65"/>
  <c r="H127" i="65"/>
  <c r="J127" i="65"/>
  <c r="I128" i="65"/>
  <c r="P128" i="65" s="1"/>
  <c r="I138" i="65"/>
  <c r="P138" i="65" s="1"/>
  <c r="I139" i="65"/>
  <c r="P139" i="65" s="1"/>
  <c r="I140" i="65"/>
  <c r="P140" i="65" s="1"/>
  <c r="I146" i="65"/>
  <c r="P146" i="65" s="1"/>
  <c r="I147" i="65"/>
  <c r="P147" i="65" s="1"/>
  <c r="I148" i="65"/>
  <c r="P148" i="65" s="1"/>
  <c r="I154" i="65"/>
  <c r="P154" i="65" s="1"/>
  <c r="C155" i="65"/>
  <c r="I155" i="65" s="1"/>
  <c r="P155" i="65" s="1"/>
  <c r="I156" i="65"/>
  <c r="P156" i="65" s="1"/>
  <c r="D565" i="65"/>
  <c r="E565" i="65"/>
  <c r="F565" i="65"/>
  <c r="D566" i="65"/>
  <c r="E566" i="65"/>
  <c r="F566" i="65"/>
  <c r="D567" i="65"/>
  <c r="E567" i="65"/>
  <c r="F567" i="65"/>
  <c r="C55" i="55"/>
  <c r="C60" i="55" s="1"/>
  <c r="D55" i="55"/>
  <c r="D60" i="55" s="1"/>
  <c r="E57" i="55"/>
  <c r="E60" i="55" s="1"/>
  <c r="B60" i="55"/>
  <c r="F60" i="55"/>
  <c r="G60" i="55"/>
  <c r="E63" i="55"/>
  <c r="E64" i="55"/>
  <c r="E67" i="55"/>
  <c r="E69" i="55"/>
  <c r="B70" i="55"/>
  <c r="B72" i="55" s="1"/>
  <c r="C72" i="55"/>
  <c r="D72" i="55"/>
  <c r="F72" i="55"/>
  <c r="G72" i="55"/>
  <c r="B77" i="55"/>
  <c r="C77" i="55"/>
  <c r="D77" i="55"/>
  <c r="E77" i="55"/>
  <c r="F77" i="55"/>
  <c r="G77" i="55"/>
  <c r="C90" i="55"/>
  <c r="C91" i="55" s="1"/>
  <c r="B91" i="55"/>
  <c r="D91" i="55"/>
  <c r="E91" i="55"/>
  <c r="AB129" i="55"/>
  <c r="AB131" i="55" s="1"/>
  <c r="Y131" i="55"/>
  <c r="Z131" i="55"/>
  <c r="AA131" i="55"/>
  <c r="AC131" i="55"/>
  <c r="AD131" i="55"/>
  <c r="Y133" i="55"/>
  <c r="Z133" i="55"/>
  <c r="AA133" i="55"/>
  <c r="AB133" i="55"/>
  <c r="AD133" i="55"/>
  <c r="AC134" i="55"/>
  <c r="AC133" i="55" s="1"/>
  <c r="Z135" i="55"/>
  <c r="AB135" i="55"/>
  <c r="AB136" i="55"/>
  <c r="AB138" i="55" s="1"/>
  <c r="Y138" i="55"/>
  <c r="Z138" i="55"/>
  <c r="AA138" i="55"/>
  <c r="AC138" i="55"/>
  <c r="AD138" i="55"/>
  <c r="Y140" i="55"/>
  <c r="Z140" i="55"/>
  <c r="AA140" i="55"/>
  <c r="AB140" i="55"/>
  <c r="AD140" i="55"/>
  <c r="AC141" i="55"/>
  <c r="AC140" i="55" s="1"/>
  <c r="Z142" i="55"/>
  <c r="Y145" i="55"/>
  <c r="Z145" i="55"/>
  <c r="AA145" i="55"/>
  <c r="AB145" i="55"/>
  <c r="AC145" i="55"/>
  <c r="AD145" i="55"/>
  <c r="Y147" i="55"/>
  <c r="Z147" i="55"/>
  <c r="AA147" i="55"/>
  <c r="AB147" i="55"/>
  <c r="AC147" i="55"/>
  <c r="AD147" i="55"/>
  <c r="Z149" i="55"/>
  <c r="AB150" i="55"/>
  <c r="AB152" i="55" s="1"/>
  <c r="Y152" i="55"/>
  <c r="Z152" i="55"/>
  <c r="AA152" i="55"/>
  <c r="AC152" i="55"/>
  <c r="AD152" i="55"/>
  <c r="Y154" i="55"/>
  <c r="Z154" i="55"/>
  <c r="AA154" i="55"/>
  <c r="AB154" i="55"/>
  <c r="AD154" i="55"/>
  <c r="AC155" i="55"/>
  <c r="AC154" i="55" s="1"/>
  <c r="AP4" i="56"/>
  <c r="AP5" i="56"/>
  <c r="AP6" i="56"/>
  <c r="AP7" i="56"/>
  <c r="AP8" i="56"/>
  <c r="AP9" i="56"/>
  <c r="AP10" i="56"/>
  <c r="AP11" i="56"/>
  <c r="C12" i="56"/>
  <c r="D12" i="56"/>
  <c r="E12" i="56"/>
  <c r="F12" i="56"/>
  <c r="G12" i="56"/>
  <c r="H12" i="56"/>
  <c r="I12" i="56"/>
  <c r="J12" i="56"/>
  <c r="K12" i="56"/>
  <c r="L12" i="56"/>
  <c r="M12" i="56"/>
  <c r="N12" i="56"/>
  <c r="AP12" i="56"/>
  <c r="W13" i="56"/>
  <c r="AP13" i="56"/>
  <c r="AP14" i="56"/>
  <c r="AP15" i="56"/>
  <c r="AU15" i="56"/>
  <c r="AV15" i="56"/>
  <c r="AW15" i="56"/>
  <c r="AX15" i="56"/>
  <c r="AY15" i="56"/>
  <c r="AZ15" i="56"/>
  <c r="BA15" i="56"/>
  <c r="BB15" i="56"/>
  <c r="R16" i="56"/>
  <c r="AP16" i="56"/>
  <c r="F17" i="56"/>
  <c r="G17" i="56"/>
  <c r="I17" i="56"/>
  <c r="K17" i="56"/>
  <c r="L17" i="56"/>
  <c r="AP17" i="56"/>
  <c r="AP18" i="56"/>
  <c r="C19" i="56"/>
  <c r="D19" i="56"/>
  <c r="E19" i="56"/>
  <c r="F19" i="56"/>
  <c r="G19" i="56"/>
  <c r="H19" i="56"/>
  <c r="I19" i="56"/>
  <c r="J19" i="56"/>
  <c r="K19" i="56"/>
  <c r="L19" i="56"/>
  <c r="M19" i="56"/>
  <c r="N19" i="56"/>
  <c r="P19" i="56"/>
  <c r="Q19" i="56"/>
  <c r="R19" i="56"/>
  <c r="S19" i="56"/>
  <c r="T19" i="56"/>
  <c r="U19" i="56"/>
  <c r="V19" i="56"/>
  <c r="W19" i="56"/>
  <c r="AP19" i="56"/>
  <c r="AP20" i="56"/>
  <c r="AP21" i="56"/>
  <c r="N22" i="56"/>
  <c r="N24" i="56" s="1"/>
  <c r="R22" i="56"/>
  <c r="R24" i="56" s="1"/>
  <c r="T22" i="56"/>
  <c r="T24" i="56" s="1"/>
  <c r="U22" i="56"/>
  <c r="V22" i="56"/>
  <c r="AP22" i="56"/>
  <c r="C23" i="56"/>
  <c r="C24" i="56" s="1"/>
  <c r="D23" i="56"/>
  <c r="D24" i="56" s="1"/>
  <c r="E23" i="56"/>
  <c r="E24" i="56" s="1"/>
  <c r="F23" i="56"/>
  <c r="F24" i="56" s="1"/>
  <c r="G23" i="56"/>
  <c r="G24" i="56" s="1"/>
  <c r="P23" i="56"/>
  <c r="P24" i="56" s="1"/>
  <c r="Q23" i="56"/>
  <c r="Q24" i="56" s="1"/>
  <c r="W23" i="56"/>
  <c r="AD23" i="56"/>
  <c r="AE23" i="56"/>
  <c r="AF23" i="56"/>
  <c r="AG23" i="56"/>
  <c r="AH23" i="56"/>
  <c r="AI23" i="56"/>
  <c r="AJ23" i="56"/>
  <c r="AK23" i="56"/>
  <c r="AL23" i="56"/>
  <c r="AM23" i="56"/>
  <c r="AN23" i="56"/>
  <c r="AO23" i="56"/>
  <c r="H24" i="56"/>
  <c r="I24" i="56"/>
  <c r="J24" i="56"/>
  <c r="K24" i="56"/>
  <c r="L24" i="56"/>
  <c r="M24" i="56"/>
  <c r="S24" i="56"/>
  <c r="AP37" i="56"/>
  <c r="F38" i="56"/>
  <c r="J38" i="56"/>
  <c r="O38" i="56"/>
  <c r="T38" i="56" s="1"/>
  <c r="S38" i="56"/>
  <c r="AP38" i="56"/>
  <c r="F39" i="56"/>
  <c r="J39" i="56"/>
  <c r="O39" i="56"/>
  <c r="T39" i="56" s="1"/>
  <c r="S39" i="56"/>
  <c r="AP39" i="56"/>
  <c r="F40" i="56"/>
  <c r="J40" i="56"/>
  <c r="O40" i="56"/>
  <c r="T40" i="56" s="1"/>
  <c r="S40" i="56"/>
  <c r="AP40" i="56"/>
  <c r="F41" i="56"/>
  <c r="J41" i="56"/>
  <c r="O41" i="56"/>
  <c r="T41" i="56" s="1"/>
  <c r="S41" i="56"/>
  <c r="AP41" i="56"/>
  <c r="AP42" i="56"/>
  <c r="AP43" i="56"/>
  <c r="AP44" i="56"/>
  <c r="AP45" i="56"/>
  <c r="AP46" i="56"/>
  <c r="AP47" i="56"/>
  <c r="AP48" i="56"/>
  <c r="AP49" i="56"/>
  <c r="AP50" i="56"/>
  <c r="G51" i="56"/>
  <c r="K51" i="56"/>
  <c r="P51" i="56"/>
  <c r="U51" i="56" s="1"/>
  <c r="T51" i="56"/>
  <c r="AP51" i="56"/>
  <c r="G52" i="56"/>
  <c r="K52" i="56"/>
  <c r="P52" i="56"/>
  <c r="U52" i="56" s="1"/>
  <c r="T52" i="56"/>
  <c r="AP52" i="56"/>
  <c r="G53" i="56"/>
  <c r="K53" i="56"/>
  <c r="P53" i="56"/>
  <c r="U53" i="56" s="1"/>
  <c r="T53" i="56"/>
  <c r="AP53" i="56"/>
  <c r="G54" i="56"/>
  <c r="K54" i="56"/>
  <c r="P54" i="56"/>
  <c r="U54" i="56" s="1"/>
  <c r="T54" i="56"/>
  <c r="AP54" i="56"/>
  <c r="G55" i="56"/>
  <c r="K55" i="56"/>
  <c r="P55" i="56"/>
  <c r="U55" i="56" s="1"/>
  <c r="T55" i="56"/>
  <c r="AP55" i="56"/>
  <c r="W56" i="56"/>
  <c r="Y56" i="56"/>
  <c r="AD56" i="56"/>
  <c r="AE56" i="56"/>
  <c r="AF56" i="56"/>
  <c r="AG56" i="56"/>
  <c r="AH56" i="56"/>
  <c r="AI56" i="56"/>
  <c r="AJ56" i="56"/>
  <c r="AK56" i="56"/>
  <c r="AL56" i="56"/>
  <c r="AM56" i="56"/>
  <c r="AN56" i="56"/>
  <c r="AO56" i="56"/>
  <c r="AJ57" i="56"/>
  <c r="G61" i="56"/>
  <c r="K61" i="56"/>
  <c r="P61" i="56"/>
  <c r="U61" i="56" s="1"/>
  <c r="T61" i="56"/>
  <c r="AP61" i="56"/>
  <c r="G62" i="56"/>
  <c r="K62" i="56"/>
  <c r="P62" i="56"/>
  <c r="U62" i="56" s="1"/>
  <c r="T62" i="56"/>
  <c r="AP62" i="56"/>
  <c r="G63" i="56"/>
  <c r="K63" i="56"/>
  <c r="M63" i="56"/>
  <c r="N63" i="56"/>
  <c r="Q63" i="56"/>
  <c r="T63" i="56" s="1"/>
  <c r="AP63" i="56"/>
  <c r="G64" i="56"/>
  <c r="K64" i="56"/>
  <c r="P64" i="56"/>
  <c r="U64" i="56" s="1"/>
  <c r="T64" i="56"/>
  <c r="AP64" i="56"/>
  <c r="G65" i="56"/>
  <c r="K65" i="56"/>
  <c r="P65" i="56"/>
  <c r="U65" i="56" s="1"/>
  <c r="T65" i="56"/>
  <c r="AP65" i="56"/>
  <c r="AP66" i="56"/>
  <c r="AP67" i="56"/>
  <c r="AP68" i="56"/>
  <c r="G69" i="56"/>
  <c r="K69" i="56"/>
  <c r="P69" i="56"/>
  <c r="U69" i="56" s="1"/>
  <c r="T69" i="56"/>
  <c r="AP69" i="56"/>
  <c r="G70" i="56"/>
  <c r="K70" i="56"/>
  <c r="P70" i="56"/>
  <c r="U70" i="56" s="1"/>
  <c r="T70" i="56"/>
  <c r="AP70" i="56"/>
  <c r="G71" i="56"/>
  <c r="K71" i="56"/>
  <c r="P71" i="56"/>
  <c r="U71" i="56" s="1"/>
  <c r="T71" i="56"/>
  <c r="AP71" i="56"/>
  <c r="F72" i="56"/>
  <c r="G72" i="56" s="1"/>
  <c r="K72" i="56"/>
  <c r="P72" i="56"/>
  <c r="U72" i="56" s="1"/>
  <c r="T72" i="56"/>
  <c r="AP72" i="56"/>
  <c r="AP73" i="56"/>
  <c r="AP74" i="56"/>
  <c r="AP75" i="56"/>
  <c r="AP76" i="56"/>
  <c r="G77" i="56"/>
  <c r="K77" i="56"/>
  <c r="P77" i="56"/>
  <c r="U77" i="56" s="1"/>
  <c r="T77" i="56"/>
  <c r="AP77" i="56"/>
  <c r="G78" i="56"/>
  <c r="K78" i="56"/>
  <c r="P78" i="56"/>
  <c r="U78" i="56" s="1"/>
  <c r="T78" i="56"/>
  <c r="AP78" i="56"/>
  <c r="E79" i="56"/>
  <c r="G79" i="56" s="1"/>
  <c r="K79" i="56"/>
  <c r="P79" i="56"/>
  <c r="U79" i="56" s="1"/>
  <c r="T79" i="56"/>
  <c r="AP79" i="56"/>
  <c r="G80" i="56"/>
  <c r="K80" i="56"/>
  <c r="P80" i="56"/>
  <c r="U80" i="56" s="1"/>
  <c r="T80" i="56"/>
  <c r="AD80" i="56"/>
  <c r="AE80" i="56"/>
  <c r="AF80" i="56"/>
  <c r="AG80" i="56"/>
  <c r="AH80" i="56"/>
  <c r="AI80" i="56"/>
  <c r="AJ80" i="56"/>
  <c r="AK80" i="56"/>
  <c r="AL80" i="56"/>
  <c r="AM80" i="56"/>
  <c r="AN80" i="56"/>
  <c r="AO80" i="56"/>
  <c r="F81" i="56"/>
  <c r="G81" i="56" s="1"/>
  <c r="K81" i="56"/>
  <c r="P81" i="56"/>
  <c r="U81" i="56" s="1"/>
  <c r="T81" i="56"/>
  <c r="AP85" i="56"/>
  <c r="AP86" i="56"/>
  <c r="AP87" i="56"/>
  <c r="AP88" i="56"/>
  <c r="AP89" i="56"/>
  <c r="K90" i="56"/>
  <c r="AP90" i="56"/>
  <c r="AP91" i="56"/>
  <c r="K92" i="56"/>
  <c r="AP92" i="56"/>
  <c r="K93" i="56"/>
  <c r="L93" i="56"/>
  <c r="AP93" i="56"/>
  <c r="L94" i="56"/>
  <c r="AP94" i="56"/>
  <c r="AP95" i="56"/>
  <c r="AP96" i="56"/>
  <c r="AP97" i="56"/>
  <c r="AP98" i="56"/>
  <c r="AP99" i="56"/>
  <c r="AP100" i="56"/>
  <c r="AP101" i="56"/>
  <c r="AP102" i="56"/>
  <c r="AP103" i="56"/>
  <c r="F104" i="56"/>
  <c r="AD104" i="56"/>
  <c r="AE104" i="56"/>
  <c r="AF104" i="56"/>
  <c r="AG104" i="56"/>
  <c r="AH104" i="56"/>
  <c r="AI104" i="56"/>
  <c r="AJ104" i="56"/>
  <c r="AK104" i="56"/>
  <c r="AL104" i="56"/>
  <c r="AM104" i="56"/>
  <c r="AN104" i="56"/>
  <c r="AO104" i="56"/>
  <c r="E106" i="56"/>
  <c r="F106" i="56"/>
  <c r="U111" i="56"/>
  <c r="U112" i="56"/>
  <c r="AE129" i="56"/>
  <c r="AF129" i="56" s="1"/>
  <c r="AH129" i="56"/>
  <c r="AE130" i="56"/>
  <c r="AF130" i="56" s="1"/>
  <c r="AC131" i="56"/>
  <c r="AE131" i="56"/>
  <c r="AH131" i="56"/>
  <c r="AC132" i="56"/>
  <c r="AF132" i="56" s="1"/>
  <c r="AC139" i="56"/>
  <c r="AE139" i="56"/>
  <c r="AG139" i="56"/>
  <c r="AH139" i="56"/>
  <c r="AE140" i="56"/>
  <c r="AF140" i="56" s="1"/>
  <c r="AH140" i="56"/>
  <c r="AI140" i="56"/>
  <c r="AE141" i="56"/>
  <c r="AF141" i="56" s="1"/>
  <c r="AG141" i="56"/>
  <c r="AH141" i="56"/>
  <c r="AE142" i="56"/>
  <c r="AF142" i="56" s="1"/>
  <c r="B189" i="56"/>
  <c r="C189" i="56"/>
  <c r="D189" i="56"/>
  <c r="E189" i="56"/>
  <c r="G189" i="56"/>
  <c r="H189" i="56"/>
  <c r="I189" i="56"/>
  <c r="L189" i="56"/>
  <c r="B196" i="56"/>
  <c r="C196" i="56"/>
  <c r="D196" i="56"/>
  <c r="E196" i="56"/>
  <c r="G196" i="56"/>
  <c r="H196" i="56"/>
  <c r="I196" i="56"/>
  <c r="L196" i="56"/>
  <c r="N196" i="56"/>
  <c r="P196" i="56"/>
  <c r="Q196" i="56"/>
  <c r="R196" i="56"/>
  <c r="U196" i="56"/>
  <c r="V196" i="56"/>
  <c r="W196" i="56"/>
  <c r="Y196" i="56"/>
  <c r="Z196" i="56"/>
  <c r="AA196" i="56"/>
  <c r="AB196" i="56"/>
  <c r="AC196" i="56"/>
  <c r="AF196" i="56"/>
  <c r="V201" i="56"/>
  <c r="B202" i="56"/>
  <c r="B205" i="56" s="1"/>
  <c r="D202" i="56"/>
  <c r="D205" i="56" s="1"/>
  <c r="D210" i="56" s="1"/>
  <c r="E202" i="56"/>
  <c r="H202" i="56"/>
  <c r="H205" i="56" s="1"/>
  <c r="H210" i="56" s="1"/>
  <c r="I202" i="56"/>
  <c r="I205" i="56" s="1"/>
  <c r="I210" i="56" s="1"/>
  <c r="L202" i="56"/>
  <c r="L205" i="56" s="1"/>
  <c r="L210" i="56" s="1"/>
  <c r="U202" i="56"/>
  <c r="U205" i="56" s="1"/>
  <c r="E203" i="56"/>
  <c r="V204" i="56"/>
  <c r="G205" i="56"/>
  <c r="G210" i="56" s="1"/>
  <c r="N205" i="56"/>
  <c r="P205" i="56"/>
  <c r="P210" i="56" s="1"/>
  <c r="Q205" i="56"/>
  <c r="R205" i="56"/>
  <c r="R210" i="56" s="1"/>
  <c r="W205" i="56"/>
  <c r="V206" i="56"/>
  <c r="E207" i="56"/>
  <c r="V207" i="56" s="1"/>
  <c r="W207" i="56"/>
  <c r="V208" i="56"/>
  <c r="B209" i="56"/>
  <c r="N209" i="56"/>
  <c r="Q209" i="56"/>
  <c r="U209" i="56"/>
  <c r="W209" i="56"/>
  <c r="V213" i="56"/>
  <c r="U216" i="56"/>
  <c r="C217" i="56"/>
  <c r="C220" i="56" s="1"/>
  <c r="H217" i="56"/>
  <c r="H220" i="56" s="1"/>
  <c r="U218" i="56"/>
  <c r="U219" i="56"/>
  <c r="B220" i="56"/>
  <c r="D220" i="56"/>
  <c r="E220" i="56"/>
  <c r="G220" i="56"/>
  <c r="I220" i="56"/>
  <c r="L220" i="56"/>
  <c r="N220" i="56"/>
  <c r="P220" i="56"/>
  <c r="Q220" i="56"/>
  <c r="R220" i="56"/>
  <c r="U221" i="56"/>
  <c r="U222" i="56"/>
  <c r="U223" i="56"/>
  <c r="U224" i="56"/>
  <c r="B225" i="56"/>
  <c r="C225" i="56"/>
  <c r="D225" i="56"/>
  <c r="E225" i="56"/>
  <c r="G225" i="56"/>
  <c r="H225" i="56"/>
  <c r="I225" i="56"/>
  <c r="L225" i="56"/>
  <c r="N225" i="56"/>
  <c r="P225" i="56"/>
  <c r="Q225" i="56"/>
  <c r="R225" i="56"/>
  <c r="U232" i="56"/>
  <c r="E233" i="56"/>
  <c r="E236" i="56" s="1"/>
  <c r="R233" i="56"/>
  <c r="R236" i="56" s="1"/>
  <c r="D234" i="56"/>
  <c r="U234" i="56" s="1"/>
  <c r="U235" i="56"/>
  <c r="B236" i="56"/>
  <c r="C236" i="56"/>
  <c r="C242" i="56" s="1"/>
  <c r="G236" i="56"/>
  <c r="H236" i="56"/>
  <c r="I236" i="56"/>
  <c r="L236" i="56"/>
  <c r="N236" i="56"/>
  <c r="P236" i="56"/>
  <c r="Q236" i="56"/>
  <c r="U237" i="56"/>
  <c r="E238" i="56"/>
  <c r="L238" i="56"/>
  <c r="N238" i="56"/>
  <c r="P238" i="56"/>
  <c r="Q238" i="56"/>
  <c r="U239" i="56"/>
  <c r="U240" i="56"/>
  <c r="B241" i="56"/>
  <c r="D241" i="56"/>
  <c r="E241" i="56"/>
  <c r="G241" i="56"/>
  <c r="H241" i="56"/>
  <c r="I241" i="56"/>
  <c r="L241" i="56"/>
  <c r="N241" i="56"/>
  <c r="P241" i="56"/>
  <c r="Q241" i="56"/>
  <c r="R241" i="56"/>
  <c r="I247" i="56"/>
  <c r="J247" i="56" s="1"/>
  <c r="T247" i="56" s="1"/>
  <c r="B248" i="56"/>
  <c r="C248" i="56"/>
  <c r="D248" i="56"/>
  <c r="F248" i="56"/>
  <c r="G248" i="56"/>
  <c r="G252" i="56" s="1"/>
  <c r="H248" i="56"/>
  <c r="H252" i="56" s="1"/>
  <c r="H253" i="56" s="1"/>
  <c r="K248" i="56"/>
  <c r="L248" i="56"/>
  <c r="M248" i="56"/>
  <c r="O248" i="56"/>
  <c r="O252" i="56" s="1"/>
  <c r="P248" i="56"/>
  <c r="Q248" i="56"/>
  <c r="I249" i="56"/>
  <c r="J249" i="56" s="1"/>
  <c r="T249" i="56" s="1"/>
  <c r="B250" i="56"/>
  <c r="C250" i="56"/>
  <c r="D250" i="56"/>
  <c r="I250" i="56"/>
  <c r="J250" i="56" s="1"/>
  <c r="K250" i="56"/>
  <c r="L250" i="56"/>
  <c r="M250" i="56"/>
  <c r="Q250" i="56"/>
  <c r="I251" i="56"/>
  <c r="J251" i="56" s="1"/>
  <c r="P251" i="56"/>
  <c r="L254" i="56"/>
  <c r="I258" i="56"/>
  <c r="B259" i="56"/>
  <c r="B263" i="56" s="1"/>
  <c r="B264" i="56" s="1"/>
  <c r="C259" i="56"/>
  <c r="D259" i="56"/>
  <c r="D263" i="56" s="1"/>
  <c r="D264" i="56" s="1"/>
  <c r="F259" i="56"/>
  <c r="F263" i="56" s="1"/>
  <c r="G259" i="56"/>
  <c r="G263" i="56" s="1"/>
  <c r="H259" i="56"/>
  <c r="H263" i="56" s="1"/>
  <c r="H264" i="56" s="1"/>
  <c r="K259" i="56"/>
  <c r="L259" i="56"/>
  <c r="M259" i="56"/>
  <c r="O259" i="56"/>
  <c r="P259" i="56"/>
  <c r="P263" i="56" s="1"/>
  <c r="P264" i="56" s="1"/>
  <c r="Q259" i="56"/>
  <c r="Q263" i="56" s="1"/>
  <c r="Q264" i="56" s="1"/>
  <c r="I260" i="56"/>
  <c r="I261" i="56"/>
  <c r="J261" i="56" s="1"/>
  <c r="K261" i="56"/>
  <c r="L261" i="56"/>
  <c r="M261" i="56"/>
  <c r="O261" i="56"/>
  <c r="I262" i="56"/>
  <c r="J262" i="56" s="1"/>
  <c r="L262" i="56"/>
  <c r="E271" i="56"/>
  <c r="I271" i="56"/>
  <c r="N271" i="56"/>
  <c r="R271" i="56"/>
  <c r="Y271" i="56"/>
  <c r="E272" i="56"/>
  <c r="I272" i="56"/>
  <c r="N272" i="56"/>
  <c r="R272" i="56"/>
  <c r="W272" i="56"/>
  <c r="Y272" i="56" s="1"/>
  <c r="E273" i="56"/>
  <c r="I273" i="56"/>
  <c r="N273" i="56"/>
  <c r="R273" i="56"/>
  <c r="Y273" i="56"/>
  <c r="E274" i="56"/>
  <c r="I274" i="56"/>
  <c r="N274" i="56"/>
  <c r="R274" i="56"/>
  <c r="U274" i="56"/>
  <c r="Y274" i="56"/>
  <c r="E275" i="56"/>
  <c r="I275" i="56"/>
  <c r="N275" i="56"/>
  <c r="R275" i="56"/>
  <c r="Y275" i="56"/>
  <c r="B276" i="56"/>
  <c r="C276" i="56"/>
  <c r="C277" i="56" s="1"/>
  <c r="I276" i="56"/>
  <c r="N276" i="56"/>
  <c r="P276" i="56"/>
  <c r="R276" i="56" s="1"/>
  <c r="U276" i="56"/>
  <c r="V276" i="56"/>
  <c r="V277" i="56" s="1"/>
  <c r="W276" i="56"/>
  <c r="D277" i="56"/>
  <c r="F277" i="56"/>
  <c r="G277" i="56"/>
  <c r="H277" i="56"/>
  <c r="K277" i="56"/>
  <c r="L277" i="56"/>
  <c r="M277" i="56"/>
  <c r="O277" i="56"/>
  <c r="R277" i="56" s="1"/>
  <c r="E285" i="56"/>
  <c r="I285" i="56"/>
  <c r="N285" i="56"/>
  <c r="R285" i="56"/>
  <c r="Y285" i="56"/>
  <c r="E286" i="56"/>
  <c r="I286" i="56"/>
  <c r="N286" i="56"/>
  <c r="R286" i="56"/>
  <c r="U286" i="56"/>
  <c r="V286" i="56"/>
  <c r="Y286" i="56" s="1"/>
  <c r="E287" i="56"/>
  <c r="I287" i="56"/>
  <c r="N287" i="56"/>
  <c r="R287" i="56"/>
  <c r="Y287" i="56"/>
  <c r="C288" i="56"/>
  <c r="F288" i="56"/>
  <c r="I288" i="56" s="1"/>
  <c r="N288" i="56"/>
  <c r="R288" i="56"/>
  <c r="Y288" i="56"/>
  <c r="E289" i="56"/>
  <c r="I289" i="56"/>
  <c r="N289" i="56"/>
  <c r="R289" i="56"/>
  <c r="Y289" i="56"/>
  <c r="C290" i="56"/>
  <c r="E290" i="56" s="1"/>
  <c r="I290" i="56"/>
  <c r="N290" i="56"/>
  <c r="O290" i="56"/>
  <c r="R290" i="56" s="1"/>
  <c r="U290" i="56"/>
  <c r="V290" i="56"/>
  <c r="W290" i="56"/>
  <c r="W291" i="56" s="1"/>
  <c r="B291" i="56"/>
  <c r="D291" i="56"/>
  <c r="G291" i="56"/>
  <c r="H291" i="56"/>
  <c r="K291" i="56"/>
  <c r="L291" i="56"/>
  <c r="M291" i="56"/>
  <c r="E298" i="56"/>
  <c r="I298" i="56"/>
  <c r="N298" i="56"/>
  <c r="R298" i="56"/>
  <c r="E299" i="56"/>
  <c r="H299" i="56"/>
  <c r="I299" i="56" s="1"/>
  <c r="K299" i="56"/>
  <c r="Q299" i="56"/>
  <c r="R299" i="56" s="1"/>
  <c r="U299" i="56"/>
  <c r="E300" i="56"/>
  <c r="I300" i="56"/>
  <c r="N300" i="56"/>
  <c r="R300" i="56"/>
  <c r="E301" i="56"/>
  <c r="I301" i="56"/>
  <c r="L301" i="56"/>
  <c r="N301" i="56" s="1"/>
  <c r="R301" i="56"/>
  <c r="U301" i="56"/>
  <c r="E302" i="56"/>
  <c r="I302" i="56"/>
  <c r="N302" i="56"/>
  <c r="R302" i="56"/>
  <c r="E303" i="56"/>
  <c r="H303" i="56"/>
  <c r="I303" i="56" s="1"/>
  <c r="K303" i="56"/>
  <c r="L303" i="56"/>
  <c r="M303" i="56"/>
  <c r="M304" i="56" s="1"/>
  <c r="O303" i="56"/>
  <c r="O304" i="56" s="1"/>
  <c r="B304" i="56"/>
  <c r="C304" i="56"/>
  <c r="D304" i="56"/>
  <c r="F304" i="56"/>
  <c r="G304" i="56"/>
  <c r="Q306" i="56"/>
  <c r="P303" i="56" s="1"/>
  <c r="P304" i="56" s="1"/>
  <c r="E311" i="56"/>
  <c r="I311" i="56"/>
  <c r="N311" i="56"/>
  <c r="R311" i="56"/>
  <c r="U311" i="56"/>
  <c r="C312" i="56"/>
  <c r="E312" i="56" s="1"/>
  <c r="H312" i="56"/>
  <c r="K312" i="56"/>
  <c r="K316" i="56" s="1"/>
  <c r="M312" i="56"/>
  <c r="P312" i="56"/>
  <c r="R312" i="56" s="1"/>
  <c r="U312" i="56"/>
  <c r="E313" i="56"/>
  <c r="I313" i="56"/>
  <c r="N313" i="56"/>
  <c r="R313" i="56"/>
  <c r="U313" i="56"/>
  <c r="E314" i="56"/>
  <c r="F314" i="56"/>
  <c r="I314" i="56" s="1"/>
  <c r="N314" i="56"/>
  <c r="R314" i="56"/>
  <c r="U314" i="56"/>
  <c r="E315" i="56"/>
  <c r="I315" i="56"/>
  <c r="N315" i="56"/>
  <c r="R315" i="56"/>
  <c r="U315" i="56"/>
  <c r="B316" i="56"/>
  <c r="B317" i="56" s="1"/>
  <c r="C316" i="56"/>
  <c r="D316" i="56"/>
  <c r="D317" i="56" s="1"/>
  <c r="F316" i="56"/>
  <c r="L316" i="56"/>
  <c r="L317" i="56" s="1"/>
  <c r="O316" i="56"/>
  <c r="O317" i="56" s="1"/>
  <c r="P316" i="56"/>
  <c r="Q316" i="56"/>
  <c r="U316" i="56"/>
  <c r="E326" i="56"/>
  <c r="I326" i="56"/>
  <c r="N326" i="56"/>
  <c r="R326" i="56"/>
  <c r="U326" i="56"/>
  <c r="B327" i="56"/>
  <c r="C327" i="56"/>
  <c r="D327" i="56"/>
  <c r="F327" i="56"/>
  <c r="G327" i="56"/>
  <c r="N327" i="56"/>
  <c r="R327" i="56"/>
  <c r="U327" i="56"/>
  <c r="E328" i="56"/>
  <c r="I328" i="56"/>
  <c r="N328" i="56"/>
  <c r="R328" i="56"/>
  <c r="E329" i="56"/>
  <c r="F329" i="56"/>
  <c r="G329" i="56"/>
  <c r="L329" i="56"/>
  <c r="N329" i="56" s="1"/>
  <c r="R329" i="56"/>
  <c r="U329" i="56"/>
  <c r="E330" i="56"/>
  <c r="I330" i="56"/>
  <c r="K330" i="56"/>
  <c r="N330" i="56" s="1"/>
  <c r="P330" i="56"/>
  <c r="R330" i="56" s="1"/>
  <c r="B331" i="56"/>
  <c r="C331" i="56"/>
  <c r="D331" i="56"/>
  <c r="G331" i="56"/>
  <c r="H331" i="56"/>
  <c r="H332" i="56" s="1"/>
  <c r="K331" i="56"/>
  <c r="L331" i="56"/>
  <c r="M331" i="56"/>
  <c r="M332" i="56" s="1"/>
  <c r="O331" i="56"/>
  <c r="O332" i="56" s="1"/>
  <c r="P331" i="56"/>
  <c r="Q331" i="56"/>
  <c r="U331" i="56"/>
  <c r="E337" i="56"/>
  <c r="I337" i="56"/>
  <c r="N337" i="56"/>
  <c r="R337" i="56"/>
  <c r="U337" i="56"/>
  <c r="C338" i="56"/>
  <c r="E338" i="56" s="1"/>
  <c r="H338" i="56"/>
  <c r="I338" i="56" s="1"/>
  <c r="K338" i="56"/>
  <c r="L338" i="56"/>
  <c r="M338" i="56"/>
  <c r="P338" i="56"/>
  <c r="Q338" i="56"/>
  <c r="U338" i="56"/>
  <c r="E339" i="56"/>
  <c r="I339" i="56"/>
  <c r="N339" i="56"/>
  <c r="R339" i="56"/>
  <c r="U339" i="56"/>
  <c r="E340" i="56"/>
  <c r="H340" i="56"/>
  <c r="N340" i="56"/>
  <c r="P340" i="56"/>
  <c r="Q340" i="56"/>
  <c r="U340" i="56"/>
  <c r="E341" i="56"/>
  <c r="I341" i="56"/>
  <c r="N341" i="56"/>
  <c r="R341" i="56"/>
  <c r="U341" i="56"/>
  <c r="B342" i="56"/>
  <c r="C342" i="56"/>
  <c r="D342" i="56"/>
  <c r="D343" i="56" s="1"/>
  <c r="F342" i="56"/>
  <c r="F343" i="56" s="1"/>
  <c r="G342" i="56"/>
  <c r="H342" i="56"/>
  <c r="K342" i="56"/>
  <c r="L342" i="56"/>
  <c r="M342" i="56"/>
  <c r="P342" i="56"/>
  <c r="Q342" i="56"/>
  <c r="U342" i="56"/>
  <c r="O343" i="56"/>
  <c r="F345" i="56"/>
  <c r="D348" i="56"/>
  <c r="I348" i="56"/>
  <c r="N348" i="56"/>
  <c r="R348" i="56"/>
  <c r="U348" i="56"/>
  <c r="C349" i="56"/>
  <c r="E349" i="56" s="1"/>
  <c r="I349" i="56"/>
  <c r="N349" i="56"/>
  <c r="R349" i="56"/>
  <c r="U349" i="56"/>
  <c r="E350" i="56"/>
  <c r="I350" i="56"/>
  <c r="N350" i="56"/>
  <c r="R350" i="56"/>
  <c r="B351" i="56"/>
  <c r="C351" i="56"/>
  <c r="D351" i="56"/>
  <c r="I351" i="56"/>
  <c r="N351" i="56"/>
  <c r="R351" i="56"/>
  <c r="U351" i="56"/>
  <c r="E352" i="56"/>
  <c r="I352" i="56"/>
  <c r="N352" i="56"/>
  <c r="R352" i="56"/>
  <c r="B353" i="56"/>
  <c r="D353" i="56"/>
  <c r="F353" i="56"/>
  <c r="F354" i="56" s="1"/>
  <c r="G353" i="56"/>
  <c r="K353" i="56"/>
  <c r="K354" i="56" s="1"/>
  <c r="M353" i="56"/>
  <c r="M354" i="56" s="1"/>
  <c r="O353" i="56"/>
  <c r="U353" i="56"/>
  <c r="V353" i="56"/>
  <c r="H354" i="56"/>
  <c r="L354" i="56"/>
  <c r="P354" i="56"/>
  <c r="Q354" i="56"/>
  <c r="W354" i="56"/>
  <c r="O418" i="56"/>
  <c r="O419" i="56"/>
  <c r="F422" i="56"/>
  <c r="I422" i="56"/>
  <c r="O425" i="56"/>
  <c r="O426" i="56"/>
  <c r="U439" i="56"/>
  <c r="U441" i="56"/>
  <c r="U442" i="56"/>
  <c r="U443" i="56"/>
  <c r="U444" i="56"/>
  <c r="Z444" i="56"/>
  <c r="Z445" i="56"/>
  <c r="Z446" i="56"/>
  <c r="Z449" i="56"/>
  <c r="I453" i="56"/>
  <c r="B455" i="56"/>
  <c r="E455" i="56"/>
  <c r="B458" i="56"/>
  <c r="R465" i="56"/>
  <c r="R466" i="56"/>
  <c r="W466" i="56"/>
  <c r="R467" i="56"/>
  <c r="R468" i="56"/>
  <c r="R469" i="56"/>
  <c r="R470" i="56"/>
  <c r="U477" i="56"/>
  <c r="U478" i="56"/>
  <c r="U479" i="56"/>
  <c r="U480" i="56"/>
  <c r="U481" i="56"/>
  <c r="U482" i="56"/>
  <c r="U499" i="56"/>
  <c r="Z499" i="56"/>
  <c r="Z507" i="56" s="1"/>
  <c r="AD499" i="56"/>
  <c r="H500" i="56"/>
  <c r="K500" i="56"/>
  <c r="K504" i="56" s="1"/>
  <c r="K505" i="56" s="1"/>
  <c r="L500" i="56"/>
  <c r="R500" i="56"/>
  <c r="R504" i="56" s="1"/>
  <c r="U501" i="56"/>
  <c r="AD501" i="56"/>
  <c r="N502" i="56"/>
  <c r="N504" i="56" s="1"/>
  <c r="N505" i="56" s="1"/>
  <c r="P502" i="56"/>
  <c r="P504" i="56" s="1"/>
  <c r="P505" i="56" s="1"/>
  <c r="AA502" i="56"/>
  <c r="AA507" i="56" s="1"/>
  <c r="AD502" i="56"/>
  <c r="G503" i="56"/>
  <c r="L503" i="56"/>
  <c r="AD503" i="56"/>
  <c r="B504" i="56"/>
  <c r="B505" i="56" s="1"/>
  <c r="C504" i="56"/>
  <c r="C505" i="56" s="1"/>
  <c r="D504" i="56"/>
  <c r="D505" i="56" s="1"/>
  <c r="F504" i="56"/>
  <c r="F505" i="56" s="1"/>
  <c r="Q504" i="56"/>
  <c r="Q505" i="56" s="1"/>
  <c r="AD504" i="56"/>
  <c r="AD505" i="56"/>
  <c r="Y507" i="56"/>
  <c r="AB507" i="56"/>
  <c r="AC507" i="56"/>
  <c r="U515" i="56"/>
  <c r="B516" i="56"/>
  <c r="B520" i="56" s="1"/>
  <c r="C516" i="56"/>
  <c r="D516" i="56"/>
  <c r="L516" i="56"/>
  <c r="N516" i="56"/>
  <c r="N520" i="56" s="1"/>
  <c r="N521" i="56" s="1"/>
  <c r="P516" i="56"/>
  <c r="P520" i="56" s="1"/>
  <c r="P521" i="56" s="1"/>
  <c r="U517" i="56"/>
  <c r="U518" i="56"/>
  <c r="U519" i="56"/>
  <c r="F520" i="56"/>
  <c r="F521" i="56" s="1"/>
  <c r="G520" i="56"/>
  <c r="G521" i="56" s="1"/>
  <c r="H520" i="56"/>
  <c r="H521" i="56" s="1"/>
  <c r="J520" i="56"/>
  <c r="J521" i="56" s="1"/>
  <c r="Q520" i="56"/>
  <c r="Q521" i="56" s="1"/>
  <c r="R520" i="56"/>
  <c r="R521" i="56" s="1"/>
  <c r="P532" i="56"/>
  <c r="P534" i="56" s="1"/>
  <c r="M534" i="56"/>
  <c r="N534" i="56"/>
  <c r="O534" i="56"/>
  <c r="Q534" i="56"/>
  <c r="R534" i="56"/>
  <c r="N537" i="56"/>
  <c r="P537" i="56"/>
  <c r="P538" i="56"/>
  <c r="P540" i="56" s="1"/>
  <c r="M540" i="56"/>
  <c r="N540" i="56"/>
  <c r="O540" i="56"/>
  <c r="Q540" i="56"/>
  <c r="R540" i="56"/>
  <c r="N541" i="56"/>
  <c r="M544" i="56"/>
  <c r="N544" i="56"/>
  <c r="O544" i="56"/>
  <c r="P544" i="56"/>
  <c r="Q544" i="56"/>
  <c r="R544" i="56"/>
  <c r="N545" i="56"/>
  <c r="P546" i="56"/>
  <c r="P548" i="56" s="1"/>
  <c r="M548" i="56"/>
  <c r="N548" i="56"/>
  <c r="O548" i="56"/>
  <c r="Q548" i="56"/>
  <c r="R548" i="56"/>
  <c r="P563" i="56"/>
  <c r="P564" i="56"/>
  <c r="P566" i="56"/>
  <c r="P567" i="56"/>
  <c r="P568" i="56"/>
  <c r="P570" i="56"/>
  <c r="P571" i="56"/>
  <c r="P572" i="56"/>
  <c r="R586" i="56"/>
  <c r="R587" i="56"/>
  <c r="R589" i="56"/>
  <c r="R590" i="56"/>
  <c r="R591" i="56"/>
  <c r="R593" i="56"/>
  <c r="R594" i="56"/>
  <c r="R595" i="56"/>
  <c r="P603" i="56"/>
  <c r="P604" i="56"/>
  <c r="P606" i="56"/>
  <c r="P607" i="56"/>
  <c r="P608" i="56"/>
  <c r="P610" i="56"/>
  <c r="P611" i="56"/>
  <c r="P612" i="56"/>
  <c r="F617" i="56"/>
  <c r="J617" i="56"/>
  <c r="O617" i="56"/>
  <c r="T617" i="56" s="1"/>
  <c r="S617" i="56"/>
  <c r="F618" i="56"/>
  <c r="J618" i="56"/>
  <c r="O618" i="56"/>
  <c r="S618" i="56"/>
  <c r="F619" i="56"/>
  <c r="J619" i="56"/>
  <c r="O619" i="56"/>
  <c r="T619" i="56" s="1"/>
  <c r="S619" i="56"/>
  <c r="F620" i="56"/>
  <c r="J620" i="56"/>
  <c r="O620" i="56"/>
  <c r="S620" i="56"/>
  <c r="G629" i="56"/>
  <c r="K629" i="56"/>
  <c r="P629" i="56"/>
  <c r="T629" i="56"/>
  <c r="U629" i="56"/>
  <c r="G630" i="56"/>
  <c r="K630" i="56"/>
  <c r="P630" i="56"/>
  <c r="T630" i="56"/>
  <c r="U630" i="56"/>
  <c r="G631" i="56"/>
  <c r="K631" i="56"/>
  <c r="P631" i="56"/>
  <c r="T631" i="56"/>
  <c r="U631" i="56"/>
  <c r="G632" i="56"/>
  <c r="K632" i="56"/>
  <c r="P632" i="56"/>
  <c r="T632" i="56"/>
  <c r="U632" i="56"/>
  <c r="G638" i="56"/>
  <c r="K638" i="56"/>
  <c r="P638" i="56"/>
  <c r="T638" i="56"/>
  <c r="U638" i="56"/>
  <c r="G639" i="56"/>
  <c r="K639" i="56"/>
  <c r="P639" i="56"/>
  <c r="T639" i="56"/>
  <c r="U639" i="56"/>
  <c r="G640" i="56"/>
  <c r="K640" i="56"/>
  <c r="P640" i="56"/>
  <c r="T640" i="56"/>
  <c r="U640" i="56"/>
  <c r="G641" i="56"/>
  <c r="K641" i="56"/>
  <c r="P641" i="56"/>
  <c r="T641" i="56"/>
  <c r="U641" i="56"/>
  <c r="G646" i="56"/>
  <c r="K646" i="56"/>
  <c r="P646" i="56"/>
  <c r="T646" i="56"/>
  <c r="G647" i="56"/>
  <c r="K647" i="56"/>
  <c r="P647" i="56"/>
  <c r="T647" i="56"/>
  <c r="G648" i="56"/>
  <c r="K648" i="56"/>
  <c r="P648" i="56"/>
  <c r="T648" i="56"/>
  <c r="G649" i="56"/>
  <c r="K649" i="56"/>
  <c r="N649" i="56"/>
  <c r="P649" i="56" s="1"/>
  <c r="R649" i="56"/>
  <c r="T649" i="56" s="1"/>
  <c r="Z650" i="56"/>
  <c r="G651" i="56"/>
  <c r="K651" i="56"/>
  <c r="P651" i="56"/>
  <c r="T651" i="56"/>
  <c r="G652" i="56"/>
  <c r="J652" i="56"/>
  <c r="K652" i="56" s="1"/>
  <c r="P652" i="56"/>
  <c r="T652" i="56"/>
  <c r="G653" i="56"/>
  <c r="K653" i="56"/>
  <c r="O653" i="56"/>
  <c r="P653" i="56" s="1"/>
  <c r="T653" i="56"/>
  <c r="G654" i="56"/>
  <c r="K654" i="56"/>
  <c r="P654" i="56"/>
  <c r="T654" i="56"/>
  <c r="G655" i="56"/>
  <c r="K655" i="56"/>
  <c r="P655" i="56"/>
  <c r="T655" i="56"/>
  <c r="Z656" i="56"/>
  <c r="G659" i="56"/>
  <c r="K659" i="56"/>
  <c r="N659" i="56"/>
  <c r="P659" i="56" s="1"/>
  <c r="T659" i="56"/>
  <c r="G660" i="56"/>
  <c r="K660" i="56"/>
  <c r="P660" i="56"/>
  <c r="T660" i="56"/>
  <c r="G661" i="56"/>
  <c r="K661" i="56"/>
  <c r="P661" i="56"/>
  <c r="T661" i="56"/>
  <c r="G662" i="56"/>
  <c r="K662" i="56"/>
  <c r="P662" i="56"/>
  <c r="T662" i="56"/>
  <c r="L663" i="56"/>
  <c r="Z663" i="56" s="1"/>
  <c r="T663" i="56"/>
  <c r="U663" i="56" s="1"/>
  <c r="G664" i="56"/>
  <c r="K664" i="56"/>
  <c r="P664" i="56"/>
  <c r="T664" i="56"/>
  <c r="G665" i="56"/>
  <c r="K665" i="56"/>
  <c r="P665" i="56"/>
  <c r="T665" i="56"/>
  <c r="G666" i="56"/>
  <c r="K666" i="56"/>
  <c r="P666" i="56"/>
  <c r="T666" i="56"/>
  <c r="G667" i="56"/>
  <c r="K667" i="56"/>
  <c r="P667" i="56"/>
  <c r="T667" i="56"/>
  <c r="G668" i="56"/>
  <c r="J668" i="56"/>
  <c r="K668" i="56" s="1"/>
  <c r="M668" i="56"/>
  <c r="P668" i="56" s="1"/>
  <c r="T668" i="56"/>
  <c r="V668" i="56"/>
  <c r="W668" i="56"/>
  <c r="Y668" i="56"/>
  <c r="G669" i="56"/>
  <c r="K669" i="56"/>
  <c r="P669" i="56"/>
  <c r="T669" i="56"/>
  <c r="G673" i="56"/>
  <c r="K673" i="56"/>
  <c r="P673" i="56"/>
  <c r="T673" i="56"/>
  <c r="G674" i="56"/>
  <c r="K674" i="56"/>
  <c r="P674" i="56"/>
  <c r="T674" i="56"/>
  <c r="F675" i="56"/>
  <c r="G675" i="56" s="1"/>
  <c r="K675" i="56"/>
  <c r="P675" i="56"/>
  <c r="T675" i="56"/>
  <c r="D676" i="56"/>
  <c r="E676" i="56"/>
  <c r="F676" i="56"/>
  <c r="H676" i="56"/>
  <c r="J676" i="56"/>
  <c r="M676" i="56"/>
  <c r="P676" i="56" s="1"/>
  <c r="T676" i="56"/>
  <c r="L677" i="56"/>
  <c r="P677" i="56"/>
  <c r="T677" i="56"/>
  <c r="G678" i="56"/>
  <c r="K678" i="56"/>
  <c r="P678" i="56"/>
  <c r="T678" i="56"/>
  <c r="G679" i="56"/>
  <c r="K679" i="56"/>
  <c r="P679" i="56"/>
  <c r="T679" i="56"/>
  <c r="G680" i="56"/>
  <c r="K680" i="56"/>
  <c r="P680" i="56"/>
  <c r="T680" i="56"/>
  <c r="G681" i="56"/>
  <c r="K681" i="56"/>
  <c r="P681" i="56"/>
  <c r="T681" i="56"/>
  <c r="F682" i="56"/>
  <c r="G682" i="56" s="1"/>
  <c r="K682" i="56"/>
  <c r="P682" i="56"/>
  <c r="T682" i="56"/>
  <c r="F683" i="56"/>
  <c r="G683" i="56" s="1"/>
  <c r="K683" i="56"/>
  <c r="P683" i="56"/>
  <c r="T683" i="56"/>
  <c r="K689" i="56"/>
  <c r="G690" i="56"/>
  <c r="H690" i="56"/>
  <c r="K690" i="56" s="1"/>
  <c r="G691" i="56"/>
  <c r="K691" i="56"/>
  <c r="L692" i="56"/>
  <c r="U692" i="56" s="1"/>
  <c r="G693" i="56"/>
  <c r="K693" i="56"/>
  <c r="K694" i="56"/>
  <c r="K695" i="56"/>
  <c r="G696" i="56"/>
  <c r="K696" i="56"/>
  <c r="G697" i="56"/>
  <c r="K697" i="56"/>
  <c r="G698" i="56"/>
  <c r="K698" i="56"/>
  <c r="M747" i="56"/>
  <c r="M748" i="56"/>
  <c r="M749" i="56"/>
  <c r="O749" i="56"/>
  <c r="M750" i="56"/>
  <c r="M751" i="56"/>
  <c r="M752" i="56"/>
  <c r="M753" i="56"/>
  <c r="N753" i="56"/>
  <c r="M755" i="56"/>
  <c r="M756" i="56"/>
  <c r="Z760" i="56"/>
  <c r="N766" i="56"/>
  <c r="N768" i="56" s="1"/>
  <c r="D768" i="56"/>
  <c r="L768" i="56"/>
  <c r="M768" i="56"/>
  <c r="O768" i="56"/>
  <c r="AA769" i="56"/>
  <c r="AA782" i="56"/>
  <c r="AA784" i="56" s="1"/>
  <c r="N783" i="56"/>
  <c r="N784" i="56" s="1"/>
  <c r="L784" i="56"/>
  <c r="M784" i="56"/>
  <c r="O784" i="56"/>
  <c r="Y784" i="56"/>
  <c r="Z784" i="56"/>
  <c r="AB784" i="56"/>
  <c r="AD784" i="56"/>
  <c r="AD786" i="56" s="1"/>
  <c r="AE784" i="56"/>
  <c r="AE786" i="56" s="1"/>
  <c r="AF784" i="56"/>
  <c r="AG784" i="56"/>
  <c r="AG786" i="56" s="1"/>
  <c r="AH784" i="56"/>
  <c r="AH786" i="56" s="1"/>
  <c r="AF785" i="56"/>
  <c r="AA786" i="56"/>
  <c r="N788" i="56"/>
  <c r="AA794" i="56"/>
  <c r="AA796" i="56" s="1"/>
  <c r="Y796" i="56"/>
  <c r="Z796" i="56"/>
  <c r="AB796" i="56"/>
  <c r="G797" i="56"/>
  <c r="G801" i="56" s="1"/>
  <c r="H797" i="56"/>
  <c r="H801" i="56" s="1"/>
  <c r="I798" i="56"/>
  <c r="I801" i="56" s="1"/>
  <c r="J798" i="56"/>
  <c r="J801" i="56" s="1"/>
  <c r="K798" i="56"/>
  <c r="K801" i="56" s="1"/>
  <c r="L798" i="56"/>
  <c r="L801" i="56" s="1"/>
  <c r="C801" i="56"/>
  <c r="D801" i="56"/>
  <c r="E801" i="56"/>
  <c r="F801" i="56"/>
  <c r="AD806" i="56"/>
  <c r="AD808" i="56" s="1"/>
  <c r="AE806" i="56"/>
  <c r="AF806" i="56"/>
  <c r="AG806" i="56"/>
  <c r="AH806" i="56"/>
  <c r="AE807" i="56"/>
  <c r="AF807" i="56"/>
  <c r="AG807" i="56"/>
  <c r="AH807" i="56"/>
  <c r="AF810" i="56"/>
  <c r="AG810" i="56"/>
  <c r="AH810" i="56"/>
  <c r="O825" i="56"/>
  <c r="D826" i="56"/>
  <c r="D827" i="56" s="1"/>
  <c r="E826" i="56"/>
  <c r="E827" i="56" s="1"/>
  <c r="F826" i="56"/>
  <c r="F827" i="56" s="1"/>
  <c r="O826" i="56"/>
  <c r="C827" i="56"/>
  <c r="G827" i="56"/>
  <c r="O827" i="56"/>
  <c r="D828" i="56"/>
  <c r="O828" i="56"/>
  <c r="D841" i="56"/>
  <c r="D842" i="56" s="1"/>
  <c r="E841" i="56"/>
  <c r="E842" i="56" s="1"/>
  <c r="C842" i="56"/>
  <c r="F842" i="56"/>
  <c r="G842" i="56"/>
  <c r="D843" i="56"/>
  <c r="B845" i="56"/>
  <c r="E845" i="56"/>
  <c r="B846" i="56"/>
  <c r="D856" i="56"/>
  <c r="D857" i="56" s="1"/>
  <c r="E856" i="56"/>
  <c r="E857" i="56" s="1"/>
  <c r="F856" i="56"/>
  <c r="F857" i="56" s="1"/>
  <c r="C857" i="56"/>
  <c r="G857" i="56"/>
  <c r="V866" i="56"/>
  <c r="V868" i="56" s="1"/>
  <c r="W867" i="56"/>
  <c r="W868" i="56" s="1"/>
  <c r="T868" i="56"/>
  <c r="U868" i="56"/>
  <c r="Y868" i="56"/>
  <c r="U875" i="56"/>
  <c r="U876" i="56" s="1"/>
  <c r="T876" i="56"/>
  <c r="V876" i="56"/>
  <c r="W876" i="56"/>
  <c r="Y876" i="56"/>
  <c r="AA877" i="56"/>
  <c r="D888" i="56"/>
  <c r="D889" i="56" s="1"/>
  <c r="E888" i="56"/>
  <c r="E889" i="56" s="1"/>
  <c r="F888" i="56"/>
  <c r="F889" i="56" s="1"/>
  <c r="C889" i="56"/>
  <c r="D897" i="56"/>
  <c r="D899" i="56" s="1"/>
  <c r="F897" i="56"/>
  <c r="F899" i="56" s="1"/>
  <c r="E898" i="56"/>
  <c r="J898" i="56"/>
  <c r="C899" i="56"/>
  <c r="E906" i="56"/>
  <c r="E908" i="56" s="1"/>
  <c r="D908" i="56"/>
  <c r="F908" i="56"/>
  <c r="E915" i="56"/>
  <c r="E916" i="56"/>
  <c r="D917" i="56"/>
  <c r="F917" i="56"/>
  <c r="D926" i="56"/>
  <c r="E926" i="56"/>
  <c r="F926" i="56"/>
  <c r="BR933" i="56"/>
  <c r="BV933" i="56"/>
  <c r="CG933" i="56"/>
  <c r="CK933" i="56"/>
  <c r="CQ933" i="56"/>
  <c r="CU933" i="56"/>
  <c r="DA933" i="56"/>
  <c r="DE933" i="56"/>
  <c r="DK933" i="56"/>
  <c r="DO933" i="56"/>
  <c r="DU933" i="56"/>
  <c r="DY933" i="56"/>
  <c r="EG933" i="56"/>
  <c r="EK933" i="56"/>
  <c r="EQ933" i="56"/>
  <c r="EU933" i="56"/>
  <c r="BR934" i="56"/>
  <c r="BV934" i="56"/>
  <c r="CG934" i="56"/>
  <c r="CK934" i="56"/>
  <c r="CQ934" i="56"/>
  <c r="CU934" i="56"/>
  <c r="DA934" i="56"/>
  <c r="DE934" i="56"/>
  <c r="DK934" i="56"/>
  <c r="DO934" i="56"/>
  <c r="DU934" i="56"/>
  <c r="DY934" i="56"/>
  <c r="EG934" i="56"/>
  <c r="EK934" i="56"/>
  <c r="EQ934" i="56"/>
  <c r="EU934" i="56"/>
  <c r="D935" i="56"/>
  <c r="E935" i="56"/>
  <c r="F935" i="56"/>
  <c r="BR935" i="56"/>
  <c r="BV935" i="56"/>
  <c r="CG935" i="56"/>
  <c r="CK935" i="56"/>
  <c r="CQ935" i="56"/>
  <c r="CU935" i="56"/>
  <c r="DA935" i="56"/>
  <c r="DE935" i="56"/>
  <c r="DK935" i="56"/>
  <c r="DO935" i="56"/>
  <c r="DU935" i="56"/>
  <c r="DY935" i="56"/>
  <c r="EG935" i="56"/>
  <c r="EK935" i="56"/>
  <c r="EQ935" i="56"/>
  <c r="EU935" i="56"/>
  <c r="BR936" i="56"/>
  <c r="BV936" i="56"/>
  <c r="CG936" i="56"/>
  <c r="CK936" i="56"/>
  <c r="CQ936" i="56"/>
  <c r="CU936" i="56"/>
  <c r="DA936" i="56"/>
  <c r="DE936" i="56"/>
  <c r="DK936" i="56"/>
  <c r="DO936" i="56"/>
  <c r="DU936" i="56"/>
  <c r="DY936" i="56"/>
  <c r="EG936" i="56"/>
  <c r="EK936" i="56"/>
  <c r="EQ936" i="56"/>
  <c r="EU936" i="56"/>
  <c r="BR937" i="56"/>
  <c r="BV937" i="56"/>
  <c r="CG937" i="56"/>
  <c r="CK937" i="56"/>
  <c r="CQ937" i="56"/>
  <c r="CU937" i="56"/>
  <c r="DA937" i="56"/>
  <c r="DE937" i="56"/>
  <c r="DK937" i="56"/>
  <c r="DO937" i="56"/>
  <c r="DU937" i="56"/>
  <c r="DY937" i="56"/>
  <c r="EG937" i="56"/>
  <c r="EK937" i="56"/>
  <c r="EQ937" i="56"/>
  <c r="EU937" i="56"/>
  <c r="BR938" i="56"/>
  <c r="BV938" i="56"/>
  <c r="CG938" i="56"/>
  <c r="CK938" i="56"/>
  <c r="CQ938" i="56"/>
  <c r="CU938" i="56"/>
  <c r="DA938" i="56"/>
  <c r="DE938" i="56"/>
  <c r="DK938" i="56"/>
  <c r="DO938" i="56"/>
  <c r="DU938" i="56"/>
  <c r="DY938" i="56"/>
  <c r="EG938" i="56"/>
  <c r="EK938" i="56"/>
  <c r="EQ938" i="56"/>
  <c r="EU938" i="56"/>
  <c r="BR939" i="56"/>
  <c r="BV939" i="56"/>
  <c r="CG939" i="56"/>
  <c r="CK939" i="56"/>
  <c r="CQ939" i="56"/>
  <c r="CU939" i="56"/>
  <c r="DA939" i="56"/>
  <c r="DE939" i="56"/>
  <c r="DK939" i="56"/>
  <c r="DO939" i="56"/>
  <c r="DU939" i="56"/>
  <c r="DY939" i="56"/>
  <c r="EG939" i="56"/>
  <c r="EK939" i="56"/>
  <c r="EQ939" i="56"/>
  <c r="EU939" i="56"/>
  <c r="BR940" i="56"/>
  <c r="BV940" i="56"/>
  <c r="CG940" i="56"/>
  <c r="CK940" i="56"/>
  <c r="CQ940" i="56"/>
  <c r="CU940" i="56"/>
  <c r="DA940" i="56"/>
  <c r="DE940" i="56"/>
  <c r="DK940" i="56"/>
  <c r="DO940" i="56"/>
  <c r="DU940" i="56"/>
  <c r="DY940" i="56"/>
  <c r="EG940" i="56"/>
  <c r="EK940" i="56"/>
  <c r="EQ940" i="56"/>
  <c r="EU940" i="56"/>
  <c r="BR941" i="56"/>
  <c r="BV941" i="56"/>
  <c r="CG941" i="56"/>
  <c r="CK941" i="56"/>
  <c r="CQ941" i="56"/>
  <c r="CU941" i="56"/>
  <c r="DA941" i="56"/>
  <c r="DE941" i="56"/>
  <c r="DK941" i="56"/>
  <c r="DO941" i="56"/>
  <c r="DU941" i="56"/>
  <c r="DY941" i="56"/>
  <c r="EG941" i="56"/>
  <c r="EK941" i="56"/>
  <c r="EQ941" i="56"/>
  <c r="EU941" i="56"/>
  <c r="BR942" i="56"/>
  <c r="BV942" i="56"/>
  <c r="CG942" i="56"/>
  <c r="CK942" i="56"/>
  <c r="CQ942" i="56"/>
  <c r="CU942" i="56"/>
  <c r="DA942" i="56"/>
  <c r="DE942" i="56"/>
  <c r="DK942" i="56"/>
  <c r="DO942" i="56"/>
  <c r="DU942" i="56"/>
  <c r="DY942" i="56"/>
  <c r="EG942" i="56"/>
  <c r="EK942" i="56"/>
  <c r="EQ942" i="56"/>
  <c r="EU942" i="56"/>
  <c r="BR943" i="56"/>
  <c r="BV943" i="56"/>
  <c r="CG943" i="56"/>
  <c r="CK943" i="56"/>
  <c r="CQ943" i="56"/>
  <c r="CU943" i="56"/>
  <c r="DA943" i="56"/>
  <c r="DE943" i="56"/>
  <c r="DK943" i="56"/>
  <c r="DO943" i="56"/>
  <c r="DU943" i="56"/>
  <c r="DY943" i="56"/>
  <c r="EG943" i="56"/>
  <c r="EK943" i="56"/>
  <c r="EQ943" i="56"/>
  <c r="EU943" i="56"/>
  <c r="C944" i="56"/>
  <c r="D944" i="56"/>
  <c r="E944" i="56"/>
  <c r="F944" i="56"/>
  <c r="BR944" i="56"/>
  <c r="BV944" i="56"/>
  <c r="CG944" i="56"/>
  <c r="CK944" i="56"/>
  <c r="CQ944" i="56"/>
  <c r="CU944" i="56"/>
  <c r="DA944" i="56"/>
  <c r="DE944" i="56"/>
  <c r="DK944" i="56"/>
  <c r="DO944" i="56"/>
  <c r="DU944" i="56"/>
  <c r="DY944" i="56"/>
  <c r="EG944" i="56"/>
  <c r="EK944" i="56"/>
  <c r="EQ944" i="56"/>
  <c r="EU944" i="56"/>
  <c r="BR945" i="56"/>
  <c r="BV945" i="56"/>
  <c r="CG945" i="56"/>
  <c r="CK945" i="56"/>
  <c r="CQ945" i="56"/>
  <c r="CU945" i="56"/>
  <c r="DA945" i="56"/>
  <c r="DE945" i="56"/>
  <c r="DK945" i="56"/>
  <c r="DO945" i="56"/>
  <c r="DU945" i="56"/>
  <c r="DY945" i="56"/>
  <c r="EG945" i="56"/>
  <c r="EK945" i="56"/>
  <c r="EQ945" i="56"/>
  <c r="EU945" i="56"/>
  <c r="BR946" i="56"/>
  <c r="BV946" i="56"/>
  <c r="CG946" i="56"/>
  <c r="CK946" i="56"/>
  <c r="CQ946" i="56"/>
  <c r="CU946" i="56"/>
  <c r="DA946" i="56"/>
  <c r="DE946" i="56"/>
  <c r="DK946" i="56"/>
  <c r="DO946" i="56"/>
  <c r="DU946" i="56"/>
  <c r="DY946" i="56"/>
  <c r="EG946" i="56"/>
  <c r="EK946" i="56"/>
  <c r="EQ946" i="56"/>
  <c r="EU946" i="56"/>
  <c r="BR947" i="56"/>
  <c r="BV947" i="56"/>
  <c r="CG947" i="56"/>
  <c r="CK947" i="56"/>
  <c r="CQ947" i="56"/>
  <c r="CU947" i="56"/>
  <c r="DA947" i="56"/>
  <c r="DE947" i="56"/>
  <c r="DK947" i="56"/>
  <c r="DO947" i="56"/>
  <c r="DU947" i="56"/>
  <c r="DY947" i="56"/>
  <c r="EG947" i="56"/>
  <c r="EK947" i="56"/>
  <c r="EQ947" i="56"/>
  <c r="EU947" i="56"/>
  <c r="BR948" i="56"/>
  <c r="BV948" i="56"/>
  <c r="CG948" i="56"/>
  <c r="CK948" i="56"/>
  <c r="CQ948" i="56"/>
  <c r="CU948" i="56"/>
  <c r="DA948" i="56"/>
  <c r="DE948" i="56"/>
  <c r="DK948" i="56"/>
  <c r="DO948" i="56"/>
  <c r="DU948" i="56"/>
  <c r="DY948" i="56"/>
  <c r="EG948" i="56"/>
  <c r="EK948" i="56"/>
  <c r="EQ948" i="56"/>
  <c r="EU948" i="56"/>
  <c r="D949" i="56"/>
  <c r="E949" i="56"/>
  <c r="BR949" i="56"/>
  <c r="BV949" i="56"/>
  <c r="CG949" i="56"/>
  <c r="CK949" i="56"/>
  <c r="CQ949" i="56"/>
  <c r="CU949" i="56"/>
  <c r="DA949" i="56"/>
  <c r="DE949" i="56"/>
  <c r="DK949" i="56"/>
  <c r="DO949" i="56"/>
  <c r="DU949" i="56"/>
  <c r="DY949" i="56"/>
  <c r="EG949" i="56"/>
  <c r="EK949" i="56"/>
  <c r="EQ949" i="56"/>
  <c r="EU949" i="56"/>
  <c r="E950" i="56"/>
  <c r="BR950" i="56"/>
  <c r="BV950" i="56"/>
  <c r="CG950" i="56"/>
  <c r="CK950" i="56"/>
  <c r="CQ950" i="56"/>
  <c r="CU950" i="56"/>
  <c r="DA950" i="56"/>
  <c r="DE950" i="56"/>
  <c r="DK950" i="56"/>
  <c r="DO950" i="56"/>
  <c r="DU950" i="56"/>
  <c r="DY950" i="56"/>
  <c r="EG950" i="56"/>
  <c r="EK950" i="56"/>
  <c r="EQ950" i="56"/>
  <c r="EU950" i="56"/>
  <c r="D951" i="56"/>
  <c r="BE951" i="56"/>
  <c r="BR951" i="56"/>
  <c r="BV951" i="56"/>
  <c r="CG951" i="56"/>
  <c r="CK951" i="56"/>
  <c r="CQ951" i="56"/>
  <c r="CU951" i="56"/>
  <c r="DA951" i="56"/>
  <c r="DE951" i="56"/>
  <c r="DK951" i="56"/>
  <c r="DO951" i="56"/>
  <c r="DU951" i="56"/>
  <c r="DY951" i="56"/>
  <c r="EG951" i="56"/>
  <c r="EK951" i="56"/>
  <c r="EQ951" i="56"/>
  <c r="EU951" i="56"/>
  <c r="C952" i="56"/>
  <c r="F952" i="56"/>
  <c r="BR952" i="56"/>
  <c r="BV952" i="56"/>
  <c r="CG952" i="56"/>
  <c r="CK952" i="56"/>
  <c r="CQ952" i="56"/>
  <c r="CU952" i="56"/>
  <c r="DA952" i="56"/>
  <c r="DE952" i="56"/>
  <c r="DK952" i="56"/>
  <c r="DO952" i="56"/>
  <c r="DU952" i="56"/>
  <c r="DY952" i="56"/>
  <c r="EG952" i="56"/>
  <c r="EK952" i="56"/>
  <c r="EQ952" i="56"/>
  <c r="EU952" i="56"/>
  <c r="BR953" i="56"/>
  <c r="BV953" i="56"/>
  <c r="CG953" i="56"/>
  <c r="CK953" i="56"/>
  <c r="CQ953" i="56"/>
  <c r="CU953" i="56"/>
  <c r="DA953" i="56"/>
  <c r="DE953" i="56"/>
  <c r="DK953" i="56"/>
  <c r="DO953" i="56"/>
  <c r="DU953" i="56"/>
  <c r="DY953" i="56"/>
  <c r="EG953" i="56"/>
  <c r="EK953" i="56"/>
  <c r="EQ953" i="56"/>
  <c r="EU953" i="56"/>
  <c r="BE954" i="56"/>
  <c r="BR954" i="56"/>
  <c r="BV954" i="56"/>
  <c r="CG954" i="56"/>
  <c r="CK954" i="56"/>
  <c r="CQ954" i="56"/>
  <c r="CU954" i="56"/>
  <c r="DA954" i="56"/>
  <c r="DE954" i="56"/>
  <c r="DK954" i="56"/>
  <c r="DO954" i="56"/>
  <c r="DU954" i="56"/>
  <c r="DY954" i="56"/>
  <c r="EG954" i="56"/>
  <c r="EK954" i="56"/>
  <c r="EQ954" i="56"/>
  <c r="EU954" i="56"/>
  <c r="BE955" i="56"/>
  <c r="BR955" i="56"/>
  <c r="BV955" i="56"/>
  <c r="CG955" i="56"/>
  <c r="CK955" i="56"/>
  <c r="CQ955" i="56"/>
  <c r="CU955" i="56"/>
  <c r="DA955" i="56"/>
  <c r="DE955" i="56"/>
  <c r="DK955" i="56"/>
  <c r="DO955" i="56"/>
  <c r="DU955" i="56"/>
  <c r="DY955" i="56"/>
  <c r="EG955" i="56"/>
  <c r="EK955" i="56"/>
  <c r="EQ955" i="56"/>
  <c r="EU955" i="56"/>
  <c r="BR956" i="56"/>
  <c r="BV956" i="56"/>
  <c r="CG956" i="56"/>
  <c r="CK956" i="56"/>
  <c r="CQ956" i="56"/>
  <c r="CU956" i="56"/>
  <c r="DA956" i="56"/>
  <c r="DE956" i="56"/>
  <c r="DK956" i="56"/>
  <c r="DO956" i="56"/>
  <c r="DU956" i="56"/>
  <c r="DY956" i="56"/>
  <c r="EG956" i="56"/>
  <c r="EK956" i="56"/>
  <c r="EQ956" i="56"/>
  <c r="EU956" i="56"/>
  <c r="D957" i="56"/>
  <c r="D960" i="56" s="1"/>
  <c r="BR957" i="56"/>
  <c r="BV957" i="56"/>
  <c r="CG957" i="56"/>
  <c r="CK957" i="56"/>
  <c r="CQ957" i="56"/>
  <c r="CU957" i="56"/>
  <c r="DA957" i="56"/>
  <c r="DE957" i="56"/>
  <c r="DK957" i="56"/>
  <c r="DO957" i="56"/>
  <c r="DU957" i="56"/>
  <c r="DY957" i="56"/>
  <c r="EG957" i="56"/>
  <c r="EK957" i="56"/>
  <c r="EQ957" i="56"/>
  <c r="EU957" i="56"/>
  <c r="E958" i="56"/>
  <c r="E960" i="56" s="1"/>
  <c r="BR958" i="56"/>
  <c r="BV958" i="56"/>
  <c r="CG958" i="56"/>
  <c r="CK958" i="56"/>
  <c r="CQ958" i="56"/>
  <c r="CU958" i="56"/>
  <c r="DA958" i="56"/>
  <c r="DE958" i="56"/>
  <c r="DK958" i="56"/>
  <c r="DO958" i="56"/>
  <c r="DU958" i="56"/>
  <c r="DY958" i="56"/>
  <c r="EG958" i="56"/>
  <c r="EK958" i="56"/>
  <c r="EQ958" i="56"/>
  <c r="EU958" i="56"/>
  <c r="BR959" i="56"/>
  <c r="BV959" i="56"/>
  <c r="CG959" i="56"/>
  <c r="CK959" i="56"/>
  <c r="CQ959" i="56"/>
  <c r="CU959" i="56"/>
  <c r="DA959" i="56"/>
  <c r="DE959" i="56"/>
  <c r="DK959" i="56"/>
  <c r="DO959" i="56"/>
  <c r="DU959" i="56"/>
  <c r="DY959" i="56"/>
  <c r="EG959" i="56"/>
  <c r="EK959" i="56"/>
  <c r="EQ959" i="56"/>
  <c r="EU959" i="56"/>
  <c r="C960" i="56"/>
  <c r="F960" i="56"/>
  <c r="BR960" i="56"/>
  <c r="BV960" i="56"/>
  <c r="CG960" i="56"/>
  <c r="CK960" i="56"/>
  <c r="CQ960" i="56"/>
  <c r="CU960" i="56"/>
  <c r="DA960" i="56"/>
  <c r="DE960" i="56"/>
  <c r="DK960" i="56"/>
  <c r="DO960" i="56"/>
  <c r="DU960" i="56"/>
  <c r="DY960" i="56"/>
  <c r="EG960" i="56"/>
  <c r="EK960" i="56"/>
  <c r="EQ960" i="56"/>
  <c r="EU960" i="56"/>
  <c r="BR961" i="56"/>
  <c r="BV961" i="56"/>
  <c r="CG961" i="56"/>
  <c r="CK961" i="56"/>
  <c r="CQ961" i="56"/>
  <c r="CU961" i="56"/>
  <c r="DA961" i="56"/>
  <c r="DE961" i="56"/>
  <c r="DK961" i="56"/>
  <c r="DO961" i="56"/>
  <c r="DU961" i="56"/>
  <c r="DY961" i="56"/>
  <c r="EG961" i="56"/>
  <c r="EK961" i="56"/>
  <c r="EQ961" i="56"/>
  <c r="EU961" i="56"/>
  <c r="D962" i="56"/>
  <c r="BR962" i="56"/>
  <c r="BV962" i="56"/>
  <c r="CG962" i="56"/>
  <c r="CK962" i="56"/>
  <c r="CQ962" i="56"/>
  <c r="CU962" i="56"/>
  <c r="DA962" i="56"/>
  <c r="DE962" i="56"/>
  <c r="DK962" i="56"/>
  <c r="DO962" i="56"/>
  <c r="DU962" i="56"/>
  <c r="DY962" i="56"/>
  <c r="EG962" i="56"/>
  <c r="EK962" i="56"/>
  <c r="EQ962" i="56"/>
  <c r="EU962" i="56"/>
  <c r="BB963" i="56"/>
  <c r="BC963" i="56"/>
  <c r="BR963" i="56"/>
  <c r="BV963" i="56"/>
  <c r="CG963" i="56"/>
  <c r="CK963" i="56"/>
  <c r="CQ963" i="56"/>
  <c r="CU963" i="56"/>
  <c r="DA963" i="56"/>
  <c r="DE963" i="56"/>
  <c r="DK963" i="56"/>
  <c r="DO963" i="56"/>
  <c r="DU963" i="56"/>
  <c r="DY963" i="56"/>
  <c r="EG963" i="56"/>
  <c r="EK963" i="56"/>
  <c r="EQ963" i="56"/>
  <c r="EU963" i="56"/>
  <c r="AC964" i="56"/>
  <c r="AC986" i="56" s="1"/>
  <c r="AD964" i="56"/>
  <c r="AD986" i="56" s="1"/>
  <c r="AE964" i="56"/>
  <c r="AF964" i="56"/>
  <c r="AF986" i="56" s="1"/>
  <c r="AG964" i="56"/>
  <c r="AG986" i="56" s="1"/>
  <c r="AH964" i="56"/>
  <c r="AI964" i="56"/>
  <c r="AI986" i="56" s="1"/>
  <c r="AJ964" i="56"/>
  <c r="AJ986" i="56" s="1"/>
  <c r="AK964" i="56"/>
  <c r="AL964" i="56"/>
  <c r="AL986" i="56" s="1"/>
  <c r="AM964" i="56"/>
  <c r="AM986" i="56" s="1"/>
  <c r="AN964" i="56"/>
  <c r="AO964" i="56"/>
  <c r="AO986" i="56" s="1"/>
  <c r="AP964" i="56"/>
  <c r="AP986" i="56" s="1"/>
  <c r="AQ964" i="56"/>
  <c r="AQ986" i="56" s="1"/>
  <c r="AR964" i="56"/>
  <c r="AS964" i="56"/>
  <c r="AS986" i="56" s="1"/>
  <c r="AT964" i="56"/>
  <c r="AT986" i="56" s="1"/>
  <c r="AU964" i="56"/>
  <c r="AU986" i="56" s="1"/>
  <c r="AV964" i="56"/>
  <c r="AW964" i="56"/>
  <c r="AW986" i="56" s="1"/>
  <c r="AX964" i="56"/>
  <c r="AX986" i="56" s="1"/>
  <c r="BF964" i="56"/>
  <c r="BJ964" i="56"/>
  <c r="BK964" i="56"/>
  <c r="BL964" i="56"/>
  <c r="BM964" i="56"/>
  <c r="BO964" i="56"/>
  <c r="BP964" i="56"/>
  <c r="BQ964" i="56"/>
  <c r="BT964" i="56"/>
  <c r="BU964" i="56"/>
  <c r="CD964" i="56"/>
  <c r="CE964" i="56"/>
  <c r="CF964" i="56"/>
  <c r="CI964" i="56"/>
  <c r="CJ964" i="56"/>
  <c r="CN964" i="56"/>
  <c r="CO964" i="56"/>
  <c r="CP964" i="56"/>
  <c r="CS964" i="56"/>
  <c r="CT964" i="56"/>
  <c r="CX964" i="56"/>
  <c r="CY964" i="56"/>
  <c r="CZ964" i="56"/>
  <c r="DC964" i="56"/>
  <c r="DD964" i="56"/>
  <c r="DH964" i="56"/>
  <c r="DI964" i="56"/>
  <c r="DJ964" i="56"/>
  <c r="DM964" i="56"/>
  <c r="DN964" i="56"/>
  <c r="DR964" i="56"/>
  <c r="DS964" i="56"/>
  <c r="DT964" i="56"/>
  <c r="DW964" i="56"/>
  <c r="DX964" i="56"/>
  <c r="ED964" i="56"/>
  <c r="EE964" i="56"/>
  <c r="EF964" i="56"/>
  <c r="EI964" i="56"/>
  <c r="EJ964" i="56"/>
  <c r="EN964" i="56"/>
  <c r="EO964" i="56"/>
  <c r="EP964" i="56"/>
  <c r="ES964" i="56"/>
  <c r="ET964" i="56"/>
  <c r="J976" i="56"/>
  <c r="P976" i="56"/>
  <c r="J977" i="56"/>
  <c r="K977" i="56"/>
  <c r="L977" i="56"/>
  <c r="N977" i="56"/>
  <c r="J978" i="56"/>
  <c r="P978" i="56"/>
  <c r="J984" i="56"/>
  <c r="Q984" i="56" s="1"/>
  <c r="J985" i="56"/>
  <c r="Q985" i="56" s="1"/>
  <c r="J986" i="56"/>
  <c r="Q986" i="56" s="1"/>
  <c r="AY986" i="56"/>
  <c r="Q995" i="56"/>
  <c r="J996" i="56"/>
  <c r="Q996" i="56" s="1"/>
  <c r="J997" i="56"/>
  <c r="Q997" i="56" s="1"/>
  <c r="J998" i="56"/>
  <c r="Q998" i="56" s="1"/>
  <c r="CE999" i="56"/>
  <c r="CE1000" i="56" s="1"/>
  <c r="CD1000" i="56"/>
  <c r="CF1000" i="56"/>
  <c r="CG1000" i="56"/>
  <c r="J1012" i="56"/>
  <c r="Q1012" i="56" s="1"/>
  <c r="J1013" i="56"/>
  <c r="Q1013" i="56" s="1"/>
  <c r="U1013" i="56"/>
  <c r="J1014" i="56"/>
  <c r="Q1014" i="56" s="1"/>
  <c r="J1019" i="56"/>
  <c r="Q1019" i="56" s="1"/>
  <c r="J1020" i="56"/>
  <c r="Q1020" i="56" s="1"/>
  <c r="J1021" i="56"/>
  <c r="Q1021" i="56" s="1"/>
  <c r="J1027" i="56"/>
  <c r="J1028" i="56"/>
  <c r="L1028" i="56"/>
  <c r="O1028" i="56"/>
  <c r="P1028" i="56"/>
  <c r="J1029" i="56"/>
  <c r="Q1029" i="56" s="1"/>
  <c r="J1030" i="56"/>
  <c r="Q1030" i="56" s="1"/>
  <c r="J1036" i="56"/>
  <c r="Q1036" i="56" s="1"/>
  <c r="J1037" i="56"/>
  <c r="Q1037" i="56" s="1"/>
  <c r="J1039" i="56"/>
  <c r="Q1039" i="56" s="1"/>
  <c r="Q1048" i="56"/>
  <c r="J1049" i="56"/>
  <c r="Q1049" i="56" s="1"/>
  <c r="J1050" i="56"/>
  <c r="Q1050" i="56" s="1"/>
  <c r="J1051" i="56"/>
  <c r="Q1051" i="56" s="1"/>
  <c r="M1067" i="56"/>
  <c r="M1068" i="56"/>
  <c r="M1069" i="56"/>
  <c r="M1070" i="56"/>
  <c r="M1071" i="56"/>
  <c r="C1080" i="56"/>
  <c r="C1081" i="56"/>
  <c r="D1084" i="56"/>
  <c r="D1086" i="56" s="1"/>
  <c r="E1084" i="56"/>
  <c r="E1086" i="56" s="1"/>
  <c r="H1084" i="56"/>
  <c r="H1086" i="56" s="1"/>
  <c r="F1086" i="56"/>
  <c r="G1086" i="56"/>
  <c r="C1099" i="56"/>
  <c r="C1107" i="56" s="1"/>
  <c r="D1101" i="56"/>
  <c r="D1107" i="56" s="1"/>
  <c r="N1101" i="56"/>
  <c r="N1103" i="56"/>
  <c r="N1106" i="56"/>
  <c r="E1107" i="56"/>
  <c r="F1107" i="56"/>
  <c r="G1107" i="56"/>
  <c r="H1107" i="56"/>
  <c r="N1108" i="56"/>
  <c r="N1110" i="56"/>
  <c r="B1119" i="56"/>
  <c r="B1120" i="56"/>
  <c r="C1128" i="56"/>
  <c r="D1128" i="56"/>
  <c r="E1128" i="56"/>
  <c r="E1135" i="56"/>
  <c r="F1135" i="56"/>
  <c r="H1135" i="56" s="1"/>
  <c r="G1135" i="56"/>
  <c r="E1136" i="56"/>
  <c r="G1136" i="56" s="1"/>
  <c r="F1136" i="56"/>
  <c r="H1136" i="56" s="1"/>
  <c r="E1137" i="56"/>
  <c r="F1137" i="56"/>
  <c r="H1137" i="56" s="1"/>
  <c r="G1137" i="56"/>
  <c r="E1138" i="56"/>
  <c r="F1138" i="56"/>
  <c r="H1138" i="56" s="1"/>
  <c r="G1138" i="56"/>
  <c r="C9" i="81"/>
  <c r="C11" i="81" s="1"/>
  <c r="D9" i="81"/>
  <c r="E9" i="81"/>
  <c r="F9" i="81"/>
  <c r="G9" i="81"/>
  <c r="D10" i="81"/>
  <c r="E10" i="81"/>
  <c r="F10" i="81"/>
  <c r="G10" i="81"/>
  <c r="E13" i="81"/>
  <c r="F13" i="81"/>
  <c r="G13" i="81"/>
  <c r="O13" i="74"/>
  <c r="O14" i="74"/>
  <c r="O15" i="74"/>
  <c r="O16" i="74"/>
  <c r="O17" i="74"/>
  <c r="O18" i="74"/>
  <c r="O19" i="74"/>
  <c r="O21" i="74"/>
  <c r="O22" i="74"/>
  <c r="AR13" i="73"/>
  <c r="AV13" i="73"/>
  <c r="BG13" i="73"/>
  <c r="BK13" i="73"/>
  <c r="BQ13" i="73"/>
  <c r="BU13" i="73"/>
  <c r="CA13" i="73"/>
  <c r="CE13" i="73"/>
  <c r="CK13" i="73"/>
  <c r="CO13" i="73"/>
  <c r="CU13" i="73"/>
  <c r="CY13" i="73"/>
  <c r="DG13" i="73"/>
  <c r="DK13" i="73"/>
  <c r="DQ13" i="73"/>
  <c r="DU13" i="73"/>
  <c r="EB13" i="73"/>
  <c r="EF13" i="73"/>
  <c r="AR14" i="73"/>
  <c r="AV14" i="73"/>
  <c r="BG14" i="73"/>
  <c r="BK14" i="73"/>
  <c r="BQ14" i="73"/>
  <c r="BU14" i="73"/>
  <c r="CA14" i="73"/>
  <c r="CE14" i="73"/>
  <c r="CK14" i="73"/>
  <c r="CO14" i="73"/>
  <c r="CU14" i="73"/>
  <c r="CY14" i="73"/>
  <c r="DG14" i="73"/>
  <c r="DK14" i="73"/>
  <c r="DQ14" i="73"/>
  <c r="DU14" i="73"/>
  <c r="EB14" i="73"/>
  <c r="EF14" i="73"/>
  <c r="AR15" i="73"/>
  <c r="AV15" i="73"/>
  <c r="BG15" i="73"/>
  <c r="BK15" i="73"/>
  <c r="BQ15" i="73"/>
  <c r="BU15" i="73"/>
  <c r="CA15" i="73"/>
  <c r="CE15" i="73"/>
  <c r="CK15" i="73"/>
  <c r="CO15" i="73"/>
  <c r="CU15" i="73"/>
  <c r="CY15" i="73"/>
  <c r="DG15" i="73"/>
  <c r="DK15" i="73"/>
  <c r="DQ15" i="73"/>
  <c r="DU15" i="73"/>
  <c r="EB15" i="73"/>
  <c r="EF15" i="73"/>
  <c r="AR16" i="73"/>
  <c r="AV16" i="73"/>
  <c r="BG16" i="73"/>
  <c r="BK16" i="73"/>
  <c r="BQ16" i="73"/>
  <c r="BU16" i="73"/>
  <c r="CA16" i="73"/>
  <c r="CE16" i="73"/>
  <c r="CK16" i="73"/>
  <c r="CO16" i="73"/>
  <c r="CU16" i="73"/>
  <c r="CY16" i="73"/>
  <c r="DG16" i="73"/>
  <c r="DK16" i="73"/>
  <c r="DQ16" i="73"/>
  <c r="DU16" i="73"/>
  <c r="EB16" i="73"/>
  <c r="EF16" i="73"/>
  <c r="AR17" i="73"/>
  <c r="AV17" i="73"/>
  <c r="BG17" i="73"/>
  <c r="BK17" i="73"/>
  <c r="BQ17" i="73"/>
  <c r="BU17" i="73"/>
  <c r="CA17" i="73"/>
  <c r="CE17" i="73"/>
  <c r="CK17" i="73"/>
  <c r="CO17" i="73"/>
  <c r="CU17" i="73"/>
  <c r="CY17" i="73"/>
  <c r="DG17" i="73"/>
  <c r="DK17" i="73"/>
  <c r="DQ17" i="73"/>
  <c r="DU17" i="73"/>
  <c r="EB17" i="73"/>
  <c r="EF17" i="73"/>
  <c r="AR18" i="73"/>
  <c r="AV18" i="73"/>
  <c r="BG18" i="73"/>
  <c r="BK18" i="73"/>
  <c r="BQ18" i="73"/>
  <c r="BU18" i="73"/>
  <c r="CA18" i="73"/>
  <c r="CE18" i="73"/>
  <c r="CK18" i="73"/>
  <c r="CO18" i="73"/>
  <c r="CU18" i="73"/>
  <c r="CY18" i="73"/>
  <c r="DG18" i="73"/>
  <c r="DK18" i="73"/>
  <c r="DQ18" i="73"/>
  <c r="DU18" i="73"/>
  <c r="EB18" i="73"/>
  <c r="EF18" i="73"/>
  <c r="AR19" i="73"/>
  <c r="AV19" i="73"/>
  <c r="BG19" i="73"/>
  <c r="BK19" i="73"/>
  <c r="BQ19" i="73"/>
  <c r="BU19" i="73"/>
  <c r="CA19" i="73"/>
  <c r="CE19" i="73"/>
  <c r="CK19" i="73"/>
  <c r="CO19" i="73"/>
  <c r="CU19" i="73"/>
  <c r="CY19" i="73"/>
  <c r="DG19" i="73"/>
  <c r="DK19" i="73"/>
  <c r="DQ19" i="73"/>
  <c r="DU19" i="73"/>
  <c r="EB19" i="73"/>
  <c r="EF19" i="73"/>
  <c r="AR20" i="73"/>
  <c r="AV20" i="73"/>
  <c r="BG20" i="73"/>
  <c r="BK20" i="73"/>
  <c r="BQ20" i="73"/>
  <c r="BU20" i="73"/>
  <c r="CA20" i="73"/>
  <c r="CE20" i="73"/>
  <c r="CK20" i="73"/>
  <c r="CO20" i="73"/>
  <c r="CU20" i="73"/>
  <c r="CY20" i="73"/>
  <c r="DG20" i="73"/>
  <c r="DK20" i="73"/>
  <c r="DQ20" i="73"/>
  <c r="DU20" i="73"/>
  <c r="EB20" i="73"/>
  <c r="EF20" i="73"/>
  <c r="AR21" i="73"/>
  <c r="AV21" i="73"/>
  <c r="BG21" i="73"/>
  <c r="BK21" i="73"/>
  <c r="BQ21" i="73"/>
  <c r="BU21" i="73"/>
  <c r="CA21" i="73"/>
  <c r="CE21" i="73"/>
  <c r="CK21" i="73"/>
  <c r="CO21" i="73"/>
  <c r="CU21" i="73"/>
  <c r="CY21" i="73"/>
  <c r="DG21" i="73"/>
  <c r="DK21" i="73"/>
  <c r="DQ21" i="73"/>
  <c r="DU21" i="73"/>
  <c r="EB21" i="73"/>
  <c r="EF21" i="73"/>
  <c r="AR22" i="73"/>
  <c r="AV22" i="73"/>
  <c r="BG22" i="73"/>
  <c r="BK22" i="73"/>
  <c r="BQ22" i="73"/>
  <c r="BU22" i="73"/>
  <c r="CA22" i="73"/>
  <c r="CE22" i="73"/>
  <c r="CK22" i="73"/>
  <c r="CO22" i="73"/>
  <c r="CU22" i="73"/>
  <c r="CY22" i="73"/>
  <c r="DG22" i="73"/>
  <c r="DK22" i="73"/>
  <c r="DQ22" i="73"/>
  <c r="DU22" i="73"/>
  <c r="EB22" i="73"/>
  <c r="EF22" i="73"/>
  <c r="AR23" i="73"/>
  <c r="AV23" i="73"/>
  <c r="BG23" i="73"/>
  <c r="BK23" i="73"/>
  <c r="BQ23" i="73"/>
  <c r="BU23" i="73"/>
  <c r="CA23" i="73"/>
  <c r="CE23" i="73"/>
  <c r="CK23" i="73"/>
  <c r="CO23" i="73"/>
  <c r="CU23" i="73"/>
  <c r="CY23" i="73"/>
  <c r="DG23" i="73"/>
  <c r="DK23" i="73"/>
  <c r="DQ23" i="73"/>
  <c r="DU23" i="73"/>
  <c r="EB23" i="73"/>
  <c r="EF23" i="73"/>
  <c r="AR24" i="73"/>
  <c r="AV24" i="73"/>
  <c r="BG24" i="73"/>
  <c r="BK24" i="73"/>
  <c r="BQ24" i="73"/>
  <c r="BU24" i="73"/>
  <c r="CA24" i="73"/>
  <c r="CE24" i="73"/>
  <c r="CK24" i="73"/>
  <c r="CO24" i="73"/>
  <c r="CU24" i="73"/>
  <c r="CY24" i="73"/>
  <c r="DG24" i="73"/>
  <c r="DK24" i="73"/>
  <c r="DQ24" i="73"/>
  <c r="DU24" i="73"/>
  <c r="EB24" i="73"/>
  <c r="EF24" i="73"/>
  <c r="AR25" i="73"/>
  <c r="AV25" i="73"/>
  <c r="BG25" i="73"/>
  <c r="BK25" i="73"/>
  <c r="BQ25" i="73"/>
  <c r="BU25" i="73"/>
  <c r="CA25" i="73"/>
  <c r="CE25" i="73"/>
  <c r="CK25" i="73"/>
  <c r="CO25" i="73"/>
  <c r="CU25" i="73"/>
  <c r="CY25" i="73"/>
  <c r="DG25" i="73"/>
  <c r="DK25" i="73"/>
  <c r="DQ25" i="73"/>
  <c r="DU25" i="73"/>
  <c r="EB25" i="73"/>
  <c r="EF25" i="73"/>
  <c r="AR26" i="73"/>
  <c r="AV26" i="73"/>
  <c r="BG26" i="73"/>
  <c r="BK26" i="73"/>
  <c r="BQ26" i="73"/>
  <c r="BU26" i="73"/>
  <c r="CA26" i="73"/>
  <c r="CE26" i="73"/>
  <c r="CK26" i="73"/>
  <c r="CO26" i="73"/>
  <c r="CU26" i="73"/>
  <c r="CY26" i="73"/>
  <c r="DG26" i="73"/>
  <c r="DK26" i="73"/>
  <c r="DQ26" i="73"/>
  <c r="DU26" i="73"/>
  <c r="EB26" i="73"/>
  <c r="EF26" i="73"/>
  <c r="AR27" i="73"/>
  <c r="AV27" i="73"/>
  <c r="BG27" i="73"/>
  <c r="BK27" i="73"/>
  <c r="BQ27" i="73"/>
  <c r="BU27" i="73"/>
  <c r="CA27" i="73"/>
  <c r="CE27" i="73"/>
  <c r="CK27" i="73"/>
  <c r="CO27" i="73"/>
  <c r="CU27" i="73"/>
  <c r="CY27" i="73"/>
  <c r="DG27" i="73"/>
  <c r="DK27" i="73"/>
  <c r="DQ27" i="73"/>
  <c r="DU27" i="73"/>
  <c r="EB27" i="73"/>
  <c r="EF27" i="73"/>
  <c r="AR28" i="73"/>
  <c r="AV28" i="73"/>
  <c r="BG28" i="73"/>
  <c r="BK28" i="73"/>
  <c r="BQ28" i="73"/>
  <c r="BU28" i="73"/>
  <c r="CA28" i="73"/>
  <c r="CE28" i="73"/>
  <c r="CK28" i="73"/>
  <c r="CO28" i="73"/>
  <c r="CU28" i="73"/>
  <c r="CY28" i="73"/>
  <c r="DG28" i="73"/>
  <c r="DK28" i="73"/>
  <c r="DQ28" i="73"/>
  <c r="DU28" i="73"/>
  <c r="EB28" i="73"/>
  <c r="EF28" i="73"/>
  <c r="AR29" i="73"/>
  <c r="AV29" i="73"/>
  <c r="BG29" i="73"/>
  <c r="BK29" i="73"/>
  <c r="BQ29" i="73"/>
  <c r="BU29" i="73"/>
  <c r="CA29" i="73"/>
  <c r="CE29" i="73"/>
  <c r="CK29" i="73"/>
  <c r="CO29" i="73"/>
  <c r="CU29" i="73"/>
  <c r="CY29" i="73"/>
  <c r="DG29" i="73"/>
  <c r="DK29" i="73"/>
  <c r="DQ29" i="73"/>
  <c r="DU29" i="73"/>
  <c r="EB29" i="73"/>
  <c r="EF29" i="73"/>
  <c r="AR30" i="73"/>
  <c r="AV30" i="73"/>
  <c r="BG30" i="73"/>
  <c r="BK30" i="73"/>
  <c r="BQ30" i="73"/>
  <c r="BU30" i="73"/>
  <c r="CA30" i="73"/>
  <c r="CE30" i="73"/>
  <c r="CK30" i="73"/>
  <c r="CO30" i="73"/>
  <c r="CU30" i="73"/>
  <c r="CY30" i="73"/>
  <c r="DG30" i="73"/>
  <c r="DK30" i="73"/>
  <c r="DQ30" i="73"/>
  <c r="DU30" i="73"/>
  <c r="EB30" i="73"/>
  <c r="EF30" i="73"/>
  <c r="AE31" i="73"/>
  <c r="AR31" i="73"/>
  <c r="AV31" i="73"/>
  <c r="BG31" i="73"/>
  <c r="BK31" i="73"/>
  <c r="BQ31" i="73"/>
  <c r="BU31" i="73"/>
  <c r="CA31" i="73"/>
  <c r="CE31" i="73"/>
  <c r="CK31" i="73"/>
  <c r="CO31" i="73"/>
  <c r="CU31" i="73"/>
  <c r="CY31" i="73"/>
  <c r="DG31" i="73"/>
  <c r="DK31" i="73"/>
  <c r="DQ31" i="73"/>
  <c r="DU31" i="73"/>
  <c r="EB31" i="73"/>
  <c r="EF31" i="73"/>
  <c r="AR32" i="73"/>
  <c r="AV32" i="73"/>
  <c r="BG32" i="73"/>
  <c r="BK32" i="73"/>
  <c r="BQ32" i="73"/>
  <c r="BU32" i="73"/>
  <c r="CA32" i="73"/>
  <c r="CE32" i="73"/>
  <c r="CK32" i="73"/>
  <c r="CO32" i="73"/>
  <c r="CU32" i="73"/>
  <c r="CY32" i="73"/>
  <c r="DG32" i="73"/>
  <c r="DK32" i="73"/>
  <c r="DQ32" i="73"/>
  <c r="DU32" i="73"/>
  <c r="EB32" i="73"/>
  <c r="EF32" i="73"/>
  <c r="AR33" i="73"/>
  <c r="AV33" i="73"/>
  <c r="BG33" i="73"/>
  <c r="BK33" i="73"/>
  <c r="BQ33" i="73"/>
  <c r="BU33" i="73"/>
  <c r="CA33" i="73"/>
  <c r="CE33" i="73"/>
  <c r="CK33" i="73"/>
  <c r="CO33" i="73"/>
  <c r="CU33" i="73"/>
  <c r="CY33" i="73"/>
  <c r="DG33" i="73"/>
  <c r="DK33" i="73"/>
  <c r="DQ33" i="73"/>
  <c r="DU33" i="73"/>
  <c r="EB33" i="73"/>
  <c r="EF33" i="73"/>
  <c r="AE34" i="73"/>
  <c r="AR34" i="73"/>
  <c r="AV34" i="73"/>
  <c r="BG34" i="73"/>
  <c r="BK34" i="73"/>
  <c r="BQ34" i="73"/>
  <c r="BU34" i="73"/>
  <c r="CA34" i="73"/>
  <c r="CE34" i="73"/>
  <c r="CK34" i="73"/>
  <c r="CO34" i="73"/>
  <c r="CU34" i="73"/>
  <c r="CY34" i="73"/>
  <c r="DG34" i="73"/>
  <c r="DK34" i="73"/>
  <c r="DQ34" i="73"/>
  <c r="DU34" i="73"/>
  <c r="EB34" i="73"/>
  <c r="EF34" i="73"/>
  <c r="AE35" i="73"/>
  <c r="AR35" i="73"/>
  <c r="AV35" i="73"/>
  <c r="BG35" i="73"/>
  <c r="BK35" i="73"/>
  <c r="BQ35" i="73"/>
  <c r="BU35" i="73"/>
  <c r="CA35" i="73"/>
  <c r="CE35" i="73"/>
  <c r="CK35" i="73"/>
  <c r="CO35" i="73"/>
  <c r="CU35" i="73"/>
  <c r="CY35" i="73"/>
  <c r="DG35" i="73"/>
  <c r="DK35" i="73"/>
  <c r="DQ35" i="73"/>
  <c r="DU35" i="73"/>
  <c r="EB35" i="73"/>
  <c r="EF35" i="73"/>
  <c r="AR36" i="73"/>
  <c r="AV36" i="73"/>
  <c r="BG36" i="73"/>
  <c r="BK36" i="73"/>
  <c r="BQ36" i="73"/>
  <c r="BU36" i="73"/>
  <c r="CA36" i="73"/>
  <c r="CE36" i="73"/>
  <c r="CK36" i="73"/>
  <c r="CO36" i="73"/>
  <c r="CU36" i="73"/>
  <c r="CY36" i="73"/>
  <c r="DG36" i="73"/>
  <c r="DK36" i="73"/>
  <c r="DQ36" i="73"/>
  <c r="DU36" i="73"/>
  <c r="EB36" i="73"/>
  <c r="EF36" i="73"/>
  <c r="AR37" i="73"/>
  <c r="AV37" i="73"/>
  <c r="BG37" i="73"/>
  <c r="BK37" i="73"/>
  <c r="BQ37" i="73"/>
  <c r="BU37" i="73"/>
  <c r="CA37" i="73"/>
  <c r="CE37" i="73"/>
  <c r="CK37" i="73"/>
  <c r="CO37" i="73"/>
  <c r="CU37" i="73"/>
  <c r="CY37" i="73"/>
  <c r="DG37" i="73"/>
  <c r="DK37" i="73"/>
  <c r="DQ37" i="73"/>
  <c r="DU37" i="73"/>
  <c r="EB37" i="73"/>
  <c r="EF37" i="73"/>
  <c r="AR38" i="73"/>
  <c r="AV38" i="73"/>
  <c r="BG38" i="73"/>
  <c r="BK38" i="73"/>
  <c r="BQ38" i="73"/>
  <c r="BU38" i="73"/>
  <c r="CA38" i="73"/>
  <c r="CE38" i="73"/>
  <c r="CK38" i="73"/>
  <c r="CO38" i="73"/>
  <c r="CU38" i="73"/>
  <c r="CY38" i="73"/>
  <c r="DG38" i="73"/>
  <c r="DK38" i="73"/>
  <c r="DQ38" i="73"/>
  <c r="DU38" i="73"/>
  <c r="EB38" i="73"/>
  <c r="EF38" i="73"/>
  <c r="AR39" i="73"/>
  <c r="AV39" i="73"/>
  <c r="BG39" i="73"/>
  <c r="BK39" i="73"/>
  <c r="BQ39" i="73"/>
  <c r="BU39" i="73"/>
  <c r="CA39" i="73"/>
  <c r="CE39" i="73"/>
  <c r="CK39" i="73"/>
  <c r="CO39" i="73"/>
  <c r="CU39" i="73"/>
  <c r="CY39" i="73"/>
  <c r="DG39" i="73"/>
  <c r="DK39" i="73"/>
  <c r="DQ39" i="73"/>
  <c r="DU39" i="73"/>
  <c r="EB39" i="73"/>
  <c r="EF39" i="73"/>
  <c r="AR40" i="73"/>
  <c r="AV40" i="73"/>
  <c r="BG40" i="73"/>
  <c r="BK40" i="73"/>
  <c r="BQ40" i="73"/>
  <c r="BU40" i="73"/>
  <c r="CA40" i="73"/>
  <c r="CE40" i="73"/>
  <c r="CK40" i="73"/>
  <c r="CO40" i="73"/>
  <c r="CU40" i="73"/>
  <c r="CY40" i="73"/>
  <c r="DG40" i="73"/>
  <c r="DK40" i="73"/>
  <c r="DQ40" i="73"/>
  <c r="DU40" i="73"/>
  <c r="EB40" i="73"/>
  <c r="EF40" i="73"/>
  <c r="AR41" i="73"/>
  <c r="AV41" i="73"/>
  <c r="BG41" i="73"/>
  <c r="BK41" i="73"/>
  <c r="BQ41" i="73"/>
  <c r="BU41" i="73"/>
  <c r="CA41" i="73"/>
  <c r="CE41" i="73"/>
  <c r="CK41" i="73"/>
  <c r="CO41" i="73"/>
  <c r="CU41" i="73"/>
  <c r="CY41" i="73"/>
  <c r="DG41" i="73"/>
  <c r="DK41" i="73"/>
  <c r="DQ41" i="73"/>
  <c r="DU41" i="73"/>
  <c r="EB41" i="73"/>
  <c r="EF41" i="73"/>
  <c r="AR42" i="73"/>
  <c r="AV42" i="73"/>
  <c r="BG42" i="73"/>
  <c r="BK42" i="73"/>
  <c r="BQ42" i="73"/>
  <c r="BU42" i="73"/>
  <c r="CA42" i="73"/>
  <c r="CE42" i="73"/>
  <c r="CK42" i="73"/>
  <c r="CO42" i="73"/>
  <c r="CU42" i="73"/>
  <c r="CY42" i="73"/>
  <c r="DG42" i="73"/>
  <c r="DK42" i="73"/>
  <c r="DQ42" i="73"/>
  <c r="DU42" i="73"/>
  <c r="EB42" i="73"/>
  <c r="EF42" i="73"/>
  <c r="AB43" i="73"/>
  <c r="AC43" i="73"/>
  <c r="AR43" i="73"/>
  <c r="AV43" i="73"/>
  <c r="BG43" i="73"/>
  <c r="BK43" i="73"/>
  <c r="BQ43" i="73"/>
  <c r="BU43" i="73"/>
  <c r="CA43" i="73"/>
  <c r="CE43" i="73"/>
  <c r="CK43" i="73"/>
  <c r="CO43" i="73"/>
  <c r="CU43" i="73"/>
  <c r="CY43" i="73"/>
  <c r="DG43" i="73"/>
  <c r="DK43" i="73"/>
  <c r="DQ43" i="73"/>
  <c r="DU43" i="73"/>
  <c r="EB43" i="73"/>
  <c r="EF43" i="73"/>
  <c r="B44" i="73"/>
  <c r="C44" i="73"/>
  <c r="E44" i="73"/>
  <c r="F44" i="73"/>
  <c r="G44" i="73"/>
  <c r="H44" i="73"/>
  <c r="I44" i="73"/>
  <c r="J44" i="73"/>
  <c r="K44" i="73"/>
  <c r="L44" i="73"/>
  <c r="M44" i="73"/>
  <c r="N44" i="73"/>
  <c r="O44" i="73"/>
  <c r="P44" i="73"/>
  <c r="Q44" i="73"/>
  <c r="R44" i="73"/>
  <c r="S44" i="73"/>
  <c r="T44" i="73"/>
  <c r="U44" i="73"/>
  <c r="V44" i="73"/>
  <c r="W44" i="73"/>
  <c r="X44" i="73"/>
  <c r="AF44" i="73"/>
  <c r="AJ44" i="73"/>
  <c r="AK44" i="73"/>
  <c r="AL44" i="73"/>
  <c r="AM44" i="73"/>
  <c r="AO44" i="73"/>
  <c r="AP44" i="73"/>
  <c r="AQ44" i="73"/>
  <c r="AT44" i="73"/>
  <c r="AU44" i="73"/>
  <c r="BD44" i="73"/>
  <c r="BE44" i="73"/>
  <c r="BF44" i="73"/>
  <c r="BI44" i="73"/>
  <c r="BJ44" i="73"/>
  <c r="BN44" i="73"/>
  <c r="BO44" i="73"/>
  <c r="BP44" i="73"/>
  <c r="BS44" i="73"/>
  <c r="BT44" i="73"/>
  <c r="BX44" i="73"/>
  <c r="BY44" i="73"/>
  <c r="BZ44" i="73"/>
  <c r="CC44" i="73"/>
  <c r="CD44" i="73"/>
  <c r="CH44" i="73"/>
  <c r="CI44" i="73"/>
  <c r="CJ44" i="73"/>
  <c r="CM44" i="73"/>
  <c r="CN44" i="73"/>
  <c r="CR44" i="73"/>
  <c r="CS44" i="73"/>
  <c r="CT44" i="73"/>
  <c r="CW44" i="73"/>
  <c r="CX44" i="73"/>
  <c r="DD44" i="73"/>
  <c r="DE44" i="73"/>
  <c r="DF44" i="73"/>
  <c r="DI44" i="73"/>
  <c r="DJ44" i="73"/>
  <c r="DN44" i="73"/>
  <c r="DO44" i="73"/>
  <c r="DP44" i="73"/>
  <c r="DS44" i="73"/>
  <c r="DT44" i="73"/>
  <c r="DY44" i="73"/>
  <c r="DZ44" i="73"/>
  <c r="EA44" i="73"/>
  <c r="ED44" i="73"/>
  <c r="EE44" i="73"/>
  <c r="DY56" i="73"/>
  <c r="DZ56" i="73"/>
  <c r="DY57" i="73"/>
  <c r="DZ57" i="73"/>
  <c r="DY58" i="73"/>
  <c r="DZ58" i="73"/>
  <c r="DY59" i="73"/>
  <c r="DZ59" i="73"/>
  <c r="DY60" i="73"/>
  <c r="DZ60" i="73"/>
  <c r="DY61" i="73"/>
  <c r="DZ61" i="73"/>
  <c r="DY62" i="73"/>
  <c r="DZ62" i="73"/>
  <c r="DY63" i="73"/>
  <c r="DZ63" i="73"/>
  <c r="DY64" i="73"/>
  <c r="DZ64" i="73"/>
  <c r="DY65" i="73"/>
  <c r="DZ65" i="73"/>
  <c r="DY66" i="73"/>
  <c r="DZ66" i="73"/>
  <c r="DY67" i="73"/>
  <c r="DZ67" i="73"/>
  <c r="DY68" i="73"/>
  <c r="DZ68" i="73"/>
  <c r="DY69" i="73"/>
  <c r="DZ69" i="73"/>
  <c r="DY70" i="73"/>
  <c r="DZ70" i="73"/>
  <c r="DY71" i="73"/>
  <c r="DZ71" i="73"/>
  <c r="DY72" i="73"/>
  <c r="DZ72" i="73"/>
  <c r="DY73" i="73"/>
  <c r="DZ73" i="73"/>
  <c r="DY74" i="73"/>
  <c r="DZ74" i="73"/>
  <c r="DY75" i="73"/>
  <c r="DZ75" i="73"/>
  <c r="DY76" i="73"/>
  <c r="DZ76" i="73"/>
  <c r="DY77" i="73"/>
  <c r="DZ77" i="73"/>
  <c r="DY78" i="73"/>
  <c r="DZ78" i="73"/>
  <c r="EB78" i="73"/>
  <c r="DY79" i="73"/>
  <c r="DZ79" i="73"/>
  <c r="DY80" i="73"/>
  <c r="DZ80" i="73"/>
  <c r="DY81" i="73"/>
  <c r="DZ81" i="73"/>
  <c r="DY82" i="73"/>
  <c r="DZ82" i="73"/>
  <c r="DY83" i="73"/>
  <c r="DZ83" i="73"/>
  <c r="DY84" i="73"/>
  <c r="DZ84" i="73"/>
  <c r="DY85" i="73"/>
  <c r="DZ85" i="73"/>
  <c r="DN86" i="73"/>
  <c r="DO86" i="73"/>
  <c r="DY86" i="73"/>
  <c r="DZ86" i="73"/>
  <c r="EB86" i="73"/>
  <c r="O5" i="70"/>
  <c r="O6" i="70"/>
  <c r="O7" i="70"/>
  <c r="O8" i="70"/>
  <c r="O9" i="70"/>
  <c r="O10" i="70"/>
  <c r="O11" i="70"/>
  <c r="O12" i="70"/>
  <c r="O13" i="70"/>
  <c r="O14" i="70"/>
  <c r="O15" i="70"/>
  <c r="O16" i="70"/>
  <c r="O17" i="70"/>
  <c r="O18" i="70"/>
  <c r="O19" i="70"/>
  <c r="O20" i="70"/>
  <c r="O21" i="70"/>
  <c r="O22" i="70"/>
  <c r="O23" i="70"/>
  <c r="C24" i="70"/>
  <c r="D24" i="70"/>
  <c r="E24" i="70"/>
  <c r="F24" i="70"/>
  <c r="G24" i="70"/>
  <c r="H24" i="70"/>
  <c r="I24" i="70"/>
  <c r="J24" i="70"/>
  <c r="K24" i="70"/>
  <c r="L24" i="70"/>
  <c r="M24" i="70"/>
  <c r="N24" i="70"/>
  <c r="O32" i="70"/>
  <c r="O33" i="70"/>
  <c r="O34" i="70"/>
  <c r="O35" i="70"/>
  <c r="O36" i="70"/>
  <c r="O37" i="70"/>
  <c r="O38" i="70"/>
  <c r="O39" i="70"/>
  <c r="O40" i="70"/>
  <c r="O41" i="70"/>
  <c r="O42" i="70"/>
  <c r="O43" i="70"/>
  <c r="O44" i="70"/>
  <c r="O45" i="70"/>
  <c r="O46" i="70"/>
  <c r="O47" i="70"/>
  <c r="O48" i="70"/>
  <c r="O49" i="70"/>
  <c r="O50" i="70"/>
  <c r="C51" i="70"/>
  <c r="D51" i="70"/>
  <c r="E51" i="70"/>
  <c r="F51" i="70"/>
  <c r="G51" i="70"/>
  <c r="H51" i="70"/>
  <c r="I51" i="70"/>
  <c r="J51" i="70"/>
  <c r="K51" i="70"/>
  <c r="L51" i="70"/>
  <c r="M51" i="70"/>
  <c r="N51" i="70"/>
  <c r="I52" i="70"/>
  <c r="O56" i="70"/>
  <c r="O57" i="70"/>
  <c r="O58" i="70"/>
  <c r="O59" i="70"/>
  <c r="O60" i="70"/>
  <c r="O61" i="70"/>
  <c r="O62" i="70"/>
  <c r="O63" i="70"/>
  <c r="O64" i="70"/>
  <c r="O65" i="70"/>
  <c r="O66" i="70"/>
  <c r="O67" i="70"/>
  <c r="O68" i="70"/>
  <c r="O69" i="70"/>
  <c r="O70" i="70"/>
  <c r="O71" i="70"/>
  <c r="O72" i="70"/>
  <c r="O73" i="70"/>
  <c r="O74" i="70"/>
  <c r="C75" i="70"/>
  <c r="D75" i="70"/>
  <c r="E75" i="70"/>
  <c r="F75" i="70"/>
  <c r="G75" i="70"/>
  <c r="H75" i="70"/>
  <c r="I75" i="70"/>
  <c r="J75" i="70"/>
  <c r="K75" i="70"/>
  <c r="L75" i="70"/>
  <c r="M75" i="70"/>
  <c r="N75" i="70"/>
  <c r="O80" i="70"/>
  <c r="O81" i="70"/>
  <c r="O82" i="70"/>
  <c r="O83" i="70"/>
  <c r="O84" i="70"/>
  <c r="O85" i="70"/>
  <c r="O86" i="70"/>
  <c r="O87" i="70"/>
  <c r="O88" i="70"/>
  <c r="O89" i="70"/>
  <c r="O90" i="70"/>
  <c r="O91" i="70"/>
  <c r="O92" i="70"/>
  <c r="O93" i="70"/>
  <c r="O94" i="70"/>
  <c r="O95" i="70"/>
  <c r="O96" i="70"/>
  <c r="O97" i="70"/>
  <c r="O98" i="70"/>
  <c r="C99" i="70"/>
  <c r="D99" i="70"/>
  <c r="E99" i="70"/>
  <c r="F99" i="70"/>
  <c r="G99" i="70"/>
  <c r="H99" i="70"/>
  <c r="I99" i="70"/>
  <c r="J99" i="70"/>
  <c r="K99" i="70"/>
  <c r="L99" i="70"/>
  <c r="M99" i="70"/>
  <c r="N99" i="70"/>
  <c r="D34" i="68"/>
  <c r="D36" i="68" s="1"/>
  <c r="E34" i="68"/>
  <c r="E36" i="68" s="1"/>
  <c r="F34" i="68"/>
  <c r="G34" i="68"/>
  <c r="G36" i="68" s="1"/>
  <c r="H34" i="68"/>
  <c r="H36" i="68" s="1"/>
  <c r="F35" i="68"/>
  <c r="O12" i="58"/>
  <c r="O14" i="58"/>
  <c r="O16" i="58"/>
  <c r="M18" i="58"/>
  <c r="O18" i="58" s="1"/>
  <c r="O20" i="58"/>
  <c r="O22" i="58"/>
  <c r="W28" i="58"/>
  <c r="W29" i="58"/>
  <c r="W30" i="58"/>
  <c r="T31" i="58"/>
  <c r="U31" i="58"/>
  <c r="V31" i="58"/>
  <c r="X31" i="58"/>
  <c r="Y31" i="58"/>
  <c r="Z31" i="58"/>
  <c r="Y41" i="58"/>
  <c r="AC41" i="58"/>
  <c r="Y42" i="58"/>
  <c r="AC42" i="58"/>
  <c r="Y43" i="58"/>
  <c r="AC43" i="58"/>
  <c r="Y44" i="58"/>
  <c r="AC44" i="58"/>
  <c r="Y45" i="58"/>
  <c r="AC45" i="58"/>
  <c r="Y46" i="58"/>
  <c r="AC46" i="58"/>
  <c r="Y47" i="58"/>
  <c r="AC47" i="58"/>
  <c r="Y48" i="58"/>
  <c r="AC48" i="58"/>
  <c r="Y49" i="58"/>
  <c r="AC49" i="58"/>
  <c r="Y50" i="58"/>
  <c r="AC50" i="58"/>
  <c r="Y51" i="58"/>
  <c r="AC51" i="58"/>
  <c r="Y52" i="58"/>
  <c r="AC52" i="58"/>
  <c r="Y53" i="58"/>
  <c r="AC53" i="58"/>
  <c r="Y54" i="58"/>
  <c r="AC54" i="58"/>
  <c r="Y55" i="58"/>
  <c r="AB55" i="58"/>
  <c r="AB56" i="58" s="1"/>
  <c r="U56" i="58"/>
  <c r="W56" i="58"/>
  <c r="X56" i="58"/>
  <c r="AA56" i="58"/>
  <c r="AE56" i="58"/>
  <c r="F6" i="59"/>
  <c r="F9" i="59"/>
  <c r="F11" i="59"/>
  <c r="F13" i="59"/>
  <c r="F15" i="59"/>
  <c r="F17" i="59"/>
  <c r="F19" i="59"/>
  <c r="F21" i="59"/>
  <c r="F23" i="59"/>
  <c r="F24" i="59"/>
  <c r="F26" i="59"/>
  <c r="F28" i="59"/>
  <c r="F30" i="59"/>
  <c r="F32" i="59"/>
  <c r="F34" i="59"/>
  <c r="E4" i="60"/>
  <c r="E5" i="60"/>
  <c r="E6" i="60"/>
  <c r="E7" i="60"/>
  <c r="E8" i="60"/>
  <c r="E9" i="60"/>
  <c r="E10" i="60"/>
  <c r="E11" i="60"/>
  <c r="E12" i="60"/>
  <c r="E13" i="60"/>
  <c r="E14" i="60"/>
  <c r="E15" i="60"/>
  <c r="B16" i="60"/>
  <c r="C16" i="60"/>
  <c r="D16" i="60"/>
  <c r="J27" i="60"/>
  <c r="L27" i="60"/>
  <c r="N27" i="60"/>
  <c r="P27" i="60"/>
  <c r="R27" i="60"/>
  <c r="T27" i="60"/>
  <c r="V27" i="60"/>
  <c r="J28" i="60"/>
  <c r="L28" i="60"/>
  <c r="N28" i="60"/>
  <c r="R28" i="60"/>
  <c r="T28" i="60"/>
  <c r="V28" i="60"/>
  <c r="J3" i="61"/>
  <c r="P3" i="61" s="1"/>
  <c r="J4" i="61"/>
  <c r="K4" i="61"/>
  <c r="L4" i="61"/>
  <c r="M4" i="61"/>
  <c r="J5" i="61"/>
  <c r="K5" i="61"/>
  <c r="L5" i="61"/>
  <c r="M5" i="61"/>
  <c r="N5" i="61"/>
  <c r="O5" i="61"/>
  <c r="J6" i="61"/>
  <c r="K6" i="61"/>
  <c r="L6" i="61"/>
  <c r="M6" i="61"/>
  <c r="N6" i="61"/>
  <c r="O6" i="61"/>
  <c r="J7" i="61"/>
  <c r="L7" i="61"/>
  <c r="M7" i="61"/>
  <c r="N7" i="61"/>
  <c r="O7" i="61"/>
  <c r="J10" i="61"/>
  <c r="M10" i="61"/>
  <c r="J11" i="61"/>
  <c r="K11" i="61"/>
  <c r="L11" i="61"/>
  <c r="M11" i="61"/>
  <c r="J12" i="61"/>
  <c r="L12" i="61"/>
  <c r="M12" i="61"/>
  <c r="J13" i="61"/>
  <c r="K13" i="61"/>
  <c r="L13" i="61"/>
  <c r="M13" i="61"/>
  <c r="N13" i="61"/>
  <c r="O13" i="61"/>
  <c r="J14" i="61"/>
  <c r="K14" i="61"/>
  <c r="L14" i="61"/>
  <c r="M14" i="61"/>
  <c r="N14" i="61"/>
  <c r="O14" i="61"/>
  <c r="K64" i="61"/>
  <c r="L64" i="61"/>
  <c r="M64" i="61"/>
  <c r="N64" i="61"/>
  <c r="K65" i="61"/>
  <c r="N65" i="61"/>
  <c r="K66" i="61"/>
  <c r="N66" i="61"/>
  <c r="K67" i="61"/>
  <c r="L67" i="61"/>
  <c r="M67" i="61"/>
  <c r="N67" i="61"/>
  <c r="O67" i="61"/>
  <c r="P67" i="61"/>
  <c r="N68" i="61"/>
  <c r="Q68" i="61" s="1"/>
  <c r="K69" i="61"/>
  <c r="L69" i="61"/>
  <c r="M69" i="61"/>
  <c r="N69" i="61"/>
  <c r="O69" i="61"/>
  <c r="P69" i="61"/>
  <c r="K93" i="61"/>
  <c r="M93" i="61"/>
  <c r="N93" i="61"/>
  <c r="K94" i="61"/>
  <c r="Q94" i="61" s="1"/>
  <c r="K95" i="61"/>
  <c r="M95" i="61"/>
  <c r="N95" i="61"/>
  <c r="K96" i="61"/>
  <c r="L96" i="61"/>
  <c r="O96" i="61"/>
  <c r="P96" i="61"/>
  <c r="N97" i="61"/>
  <c r="Q97" i="61" s="1"/>
  <c r="M98" i="61"/>
  <c r="N98" i="61"/>
  <c r="P98" i="61"/>
  <c r="F106" i="61"/>
  <c r="M96" i="61" s="1"/>
  <c r="F109" i="61"/>
  <c r="N96" i="61" s="1"/>
  <c r="F111" i="61"/>
  <c r="K98" i="61" s="1"/>
  <c r="F114" i="61"/>
  <c r="O98" i="61" s="1"/>
  <c r="L4" i="62"/>
  <c r="M4" i="62"/>
  <c r="N4" i="62"/>
  <c r="O4" i="62"/>
  <c r="L5" i="62"/>
  <c r="N5" i="62"/>
  <c r="O5" i="62"/>
  <c r="P5" i="62"/>
  <c r="Q5" i="62"/>
  <c r="L6" i="62"/>
  <c r="M6" i="62"/>
  <c r="N6" i="62"/>
  <c r="O6" i="62"/>
  <c r="P6" i="62"/>
  <c r="Q6" i="62"/>
  <c r="L7" i="62"/>
  <c r="N7" i="62"/>
  <c r="O7" i="62"/>
  <c r="P7" i="62"/>
  <c r="Q7" i="62"/>
  <c r="L8" i="62"/>
  <c r="R8" i="62" s="1"/>
  <c r="L34" i="62"/>
  <c r="M34" i="62"/>
  <c r="N34" i="62"/>
  <c r="O34" i="62"/>
  <c r="L35" i="62"/>
  <c r="N35" i="62"/>
  <c r="O35" i="62"/>
  <c r="L36" i="62"/>
  <c r="M36" i="62"/>
  <c r="N36" i="62"/>
  <c r="O36" i="62"/>
  <c r="P36" i="62"/>
  <c r="Q36" i="62"/>
  <c r="L37" i="62"/>
  <c r="M37" i="62"/>
  <c r="N37" i="62"/>
  <c r="P37" i="62"/>
  <c r="Q37" i="62"/>
  <c r="L38" i="62"/>
  <c r="R38" i="62" s="1"/>
  <c r="F56" i="62"/>
  <c r="O37" i="62" s="1"/>
  <c r="L60" i="62"/>
  <c r="M60" i="62"/>
  <c r="N60" i="62"/>
  <c r="O60" i="62"/>
  <c r="L61" i="62"/>
  <c r="N61" i="62"/>
  <c r="O61" i="62"/>
  <c r="M62" i="62"/>
  <c r="N62" i="62"/>
  <c r="O62" i="62"/>
  <c r="P62" i="62"/>
  <c r="Q62" i="62"/>
  <c r="L63" i="62"/>
  <c r="M63" i="62"/>
  <c r="N63" i="62"/>
  <c r="O63" i="62"/>
  <c r="P63" i="62"/>
  <c r="Q63" i="62"/>
  <c r="L64" i="62"/>
  <c r="O64" i="62"/>
  <c r="O65" i="62"/>
  <c r="R65" i="62" s="1"/>
  <c r="F73" i="62"/>
  <c r="L62" i="62" s="1"/>
  <c r="L93" i="62"/>
  <c r="M93" i="62"/>
  <c r="N93" i="62"/>
  <c r="O93" i="62"/>
  <c r="L94" i="62"/>
  <c r="N94" i="62"/>
  <c r="O94" i="62"/>
  <c r="M95" i="62"/>
  <c r="O95" i="62"/>
  <c r="Q95" i="62"/>
  <c r="N96" i="62"/>
  <c r="O96" i="62"/>
  <c r="P96" i="62"/>
  <c r="Q96" i="62"/>
  <c r="O98" i="62"/>
  <c r="R98" i="62" s="1"/>
  <c r="O99" i="62"/>
  <c r="R99" i="62" s="1"/>
  <c r="F105" i="62"/>
  <c r="L95" i="62" s="1"/>
  <c r="F106" i="62"/>
  <c r="N95" i="62" s="1"/>
  <c r="F108" i="62"/>
  <c r="F113" i="62"/>
  <c r="L96" i="62" s="1"/>
  <c r="F118" i="62"/>
  <c r="L97" i="62" s="1"/>
  <c r="R97" i="62" s="1"/>
  <c r="C10" i="63"/>
  <c r="D10" i="63"/>
  <c r="E10" i="63"/>
  <c r="F10" i="63"/>
  <c r="G10" i="63"/>
  <c r="H10" i="63"/>
  <c r="E12" i="63"/>
  <c r="E14" i="63" s="1"/>
  <c r="G12" i="63"/>
  <c r="G14" i="63" s="1"/>
  <c r="C13" i="63"/>
  <c r="C14" i="63" s="1"/>
  <c r="D13" i="63"/>
  <c r="D14" i="63" s="1"/>
  <c r="H13" i="63"/>
  <c r="H14" i="63" s="1"/>
  <c r="F14" i="63"/>
  <c r="L10" i="64"/>
  <c r="M10" i="64"/>
  <c r="L12" i="64"/>
  <c r="M12" i="64"/>
  <c r="L14" i="64"/>
  <c r="M14" i="64"/>
  <c r="I8" i="66"/>
  <c r="J8" i="66"/>
  <c r="K8" i="66"/>
  <c r="L8" i="66"/>
  <c r="I9" i="66"/>
  <c r="J9" i="66"/>
  <c r="K9" i="66"/>
  <c r="L9" i="66"/>
  <c r="I10" i="66"/>
  <c r="J10" i="66"/>
  <c r="K10" i="66"/>
  <c r="L10" i="66"/>
  <c r="I11" i="66"/>
  <c r="J11" i="66"/>
  <c r="K11" i="66"/>
  <c r="L11" i="66"/>
  <c r="I6" i="79"/>
  <c r="I17" i="79" s="1"/>
  <c r="J6" i="79"/>
  <c r="J17" i="79" s="1"/>
  <c r="K8" i="79"/>
  <c r="K17" i="79" s="1"/>
  <c r="H17" i="79"/>
  <c r="L17" i="79"/>
  <c r="M17" i="79"/>
  <c r="K20" i="79"/>
  <c r="K21" i="79"/>
  <c r="K25" i="79"/>
  <c r="K27" i="79"/>
  <c r="H28" i="79"/>
  <c r="H30" i="79" s="1"/>
  <c r="I30" i="79"/>
  <c r="J30" i="79"/>
  <c r="L30" i="79"/>
  <c r="M30" i="79"/>
  <c r="H44" i="79"/>
  <c r="I44" i="79"/>
  <c r="J44" i="79"/>
  <c r="K44" i="79"/>
  <c r="B377" i="52"/>
  <c r="AF13" i="3"/>
  <c r="AG13" i="3"/>
  <c r="B319" i="52"/>
  <c r="AF93" i="3"/>
  <c r="AG89" i="3"/>
  <c r="M103" i="3"/>
  <c r="M98" i="3" s="1"/>
  <c r="M99" i="3" s="1"/>
  <c r="M81" i="3" s="1"/>
  <c r="AF65" i="3"/>
  <c r="AG65" i="3"/>
  <c r="AG44" i="3"/>
  <c r="AN44" i="3" s="1"/>
  <c r="AQ20" i="3"/>
  <c r="E10" i="49" s="1"/>
  <c r="Y75" i="49" s="1"/>
  <c r="AG34" i="3"/>
  <c r="AN34" i="3" s="1"/>
  <c r="D301" i="52"/>
  <c r="C352" i="52"/>
  <c r="I104" i="52"/>
  <c r="D265" i="52"/>
  <c r="D266" i="52" s="1"/>
  <c r="D267" i="52" s="1"/>
  <c r="AM38" i="3" l="1"/>
  <c r="BM38" i="3"/>
  <c r="W277" i="56"/>
  <c r="P68" i="49"/>
  <c r="S6" i="30"/>
  <c r="EA87" i="73"/>
  <c r="AN58" i="3"/>
  <c r="Y115" i="49"/>
  <c r="AB84" i="49"/>
  <c r="Q52" i="4"/>
  <c r="Y83" i="49"/>
  <c r="AN53" i="3"/>
  <c r="AP53" i="3" s="1"/>
  <c r="F26" i="1"/>
  <c r="T48" i="4"/>
  <c r="AH79" i="49"/>
  <c r="AH94" i="49" s="1"/>
  <c r="T51" i="4"/>
  <c r="AH82" i="49"/>
  <c r="AH97" i="49" s="1"/>
  <c r="AI97" i="49" s="1"/>
  <c r="T49" i="4"/>
  <c r="AH80" i="49"/>
  <c r="AH95" i="49" s="1"/>
  <c r="AI95" i="49" s="1"/>
  <c r="T50" i="4"/>
  <c r="V50" i="4" s="1"/>
  <c r="AH81" i="49"/>
  <c r="AH96" i="49" s="1"/>
  <c r="AI96" i="49" s="1"/>
  <c r="T52" i="4"/>
  <c r="AH83" i="49"/>
  <c r="AH98" i="49" s="1"/>
  <c r="R123" i="1"/>
  <c r="S123" i="1" s="1"/>
  <c r="M46" i="79"/>
  <c r="M50" i="79" s="1"/>
  <c r="R51" i="1"/>
  <c r="L24" i="49"/>
  <c r="I64" i="49"/>
  <c r="P64" i="49" s="1"/>
  <c r="AE98" i="3"/>
  <c r="AE99" i="3" s="1"/>
  <c r="AE81" i="3" s="1"/>
  <c r="AL81" i="3" s="1"/>
  <c r="AP35" i="3"/>
  <c r="CK45" i="73"/>
  <c r="CE45" i="73"/>
  <c r="CA45" i="73"/>
  <c r="DG45" i="73"/>
  <c r="EF45" i="73"/>
  <c r="BU45" i="73"/>
  <c r="BK45" i="73"/>
  <c r="AR45" i="73"/>
  <c r="EB45" i="73"/>
  <c r="BQ45" i="73"/>
  <c r="DQ45" i="73"/>
  <c r="BG45" i="73"/>
  <c r="DU45" i="73"/>
  <c r="DK45" i="73"/>
  <c r="AV45" i="73"/>
  <c r="CY45" i="73"/>
  <c r="CU45" i="73"/>
  <c r="CO45" i="73"/>
  <c r="G155" i="3"/>
  <c r="EC71" i="73" s="1"/>
  <c r="AH34" i="3"/>
  <c r="AN69" i="3"/>
  <c r="AP69" i="3" s="1"/>
  <c r="AN55" i="3"/>
  <c r="AP55" i="3" s="1"/>
  <c r="AN26" i="3"/>
  <c r="AP26" i="3" s="1"/>
  <c r="AN49" i="3"/>
  <c r="AP49" i="3" s="1"/>
  <c r="AN38" i="3"/>
  <c r="AP38" i="3" s="1"/>
  <c r="AN29" i="3"/>
  <c r="F14" i="49" s="1"/>
  <c r="AN37" i="3"/>
  <c r="AP37" i="3" s="1"/>
  <c r="AN68" i="3"/>
  <c r="AP68" i="3" s="1"/>
  <c r="AN17" i="3"/>
  <c r="E23" i="1" s="1"/>
  <c r="AN36" i="3"/>
  <c r="AP36" i="3" s="1"/>
  <c r="AN67" i="3"/>
  <c r="AP67" i="3" s="1"/>
  <c r="AN52" i="3"/>
  <c r="AP52" i="3" s="1"/>
  <c r="AN24" i="3"/>
  <c r="AP24" i="3" s="1"/>
  <c r="AN74" i="3"/>
  <c r="AP74" i="3" s="1"/>
  <c r="AN66" i="3"/>
  <c r="AP66" i="3" s="1"/>
  <c r="AN13" i="3"/>
  <c r="AN65" i="3"/>
  <c r="AP65" i="3" s="1"/>
  <c r="AN61" i="3"/>
  <c r="AP61" i="3" s="1"/>
  <c r="AN47" i="3"/>
  <c r="AP47" i="3" s="1"/>
  <c r="I10" i="6"/>
  <c r="AN48" i="3"/>
  <c r="AP48" i="3" s="1"/>
  <c r="AN46" i="3"/>
  <c r="AP46" i="3" s="1"/>
  <c r="AN45" i="3"/>
  <c r="AP45" i="3" s="1"/>
  <c r="AH30" i="3"/>
  <c r="AN32" i="3"/>
  <c r="AP32" i="3" s="1"/>
  <c r="AN28" i="3"/>
  <c r="AP28" i="3" s="1"/>
  <c r="AN25" i="3"/>
  <c r="AP25" i="3" s="1"/>
  <c r="AN51" i="3"/>
  <c r="AP51" i="3" s="1"/>
  <c r="AN77" i="3"/>
  <c r="AP77" i="3" s="1"/>
  <c r="AN78" i="3"/>
  <c r="AP78" i="3" s="1"/>
  <c r="AF97" i="49"/>
  <c r="BI54" i="3"/>
  <c r="BK54" i="3" s="1"/>
  <c r="AR54" i="3" s="1"/>
  <c r="AP39" i="3"/>
  <c r="T169" i="30"/>
  <c r="H169" i="30" s="1"/>
  <c r="AF96" i="49"/>
  <c r="AF95" i="49"/>
  <c r="AG88" i="3"/>
  <c r="BH17" i="3"/>
  <c r="BH18" i="3" s="1"/>
  <c r="BH19" i="3" s="1"/>
  <c r="BH21" i="3"/>
  <c r="BH20" i="3" s="1"/>
  <c r="I61" i="49"/>
  <c r="K78" i="49"/>
  <c r="L96" i="30"/>
  <c r="J6" i="30" s="1"/>
  <c r="X129" i="30"/>
  <c r="X131" i="30" s="1"/>
  <c r="T47" i="4"/>
  <c r="Q46" i="4"/>
  <c r="C62" i="30"/>
  <c r="E62" i="30" s="1"/>
  <c r="J146" i="30"/>
  <c r="T13" i="30"/>
  <c r="E36" i="1"/>
  <c r="V163" i="30"/>
  <c r="W163" i="30"/>
  <c r="Y163" i="30" s="1"/>
  <c r="J163" i="30"/>
  <c r="N264" i="52"/>
  <c r="N265" i="52" s="1"/>
  <c r="N266" i="52" s="1"/>
  <c r="N267" i="52" s="1"/>
  <c r="N376" i="52"/>
  <c r="I7" i="6"/>
  <c r="O215" i="52"/>
  <c r="I17" i="6"/>
  <c r="I11" i="6"/>
  <c r="G11" i="6" s="1"/>
  <c r="L19" i="49" s="1"/>
  <c r="AK36" i="3"/>
  <c r="C36" i="1" s="1"/>
  <c r="O208" i="52"/>
  <c r="BK36" i="3"/>
  <c r="N318" i="52"/>
  <c r="W238" i="30"/>
  <c r="Y238" i="30" s="1"/>
  <c r="H238" i="30"/>
  <c r="AD324" i="39"/>
  <c r="AD325" i="39" s="1"/>
  <c r="P226" i="56"/>
  <c r="M286" i="39"/>
  <c r="AP75" i="3"/>
  <c r="N226" i="56"/>
  <c r="X7" i="30"/>
  <c r="Q49" i="4"/>
  <c r="I226" i="56"/>
  <c r="F11" i="81"/>
  <c r="T16" i="30"/>
  <c r="Y161" i="30"/>
  <c r="AE324" i="39"/>
  <c r="AE325" i="39" s="1"/>
  <c r="K118" i="39"/>
  <c r="Y134" i="30"/>
  <c r="G531" i="39"/>
  <c r="I91" i="39"/>
  <c r="E917" i="56"/>
  <c r="Y109" i="30"/>
  <c r="E237" i="39"/>
  <c r="I84" i="6"/>
  <c r="J84" i="6" s="1"/>
  <c r="AE808" i="56"/>
  <c r="M119" i="3"/>
  <c r="EB59" i="73" s="1"/>
  <c r="M131" i="3"/>
  <c r="EB65" i="73" s="1"/>
  <c r="R87" i="30"/>
  <c r="H163" i="30"/>
  <c r="V456" i="30"/>
  <c r="X95" i="30"/>
  <c r="B207" i="1"/>
  <c r="D207" i="1" s="1"/>
  <c r="T273" i="56"/>
  <c r="R220" i="30"/>
  <c r="U503" i="56"/>
  <c r="L504" i="56"/>
  <c r="L505" i="56" s="1"/>
  <c r="Y452" i="30"/>
  <c r="Y444" i="30"/>
  <c r="T12" i="30"/>
  <c r="Y259" i="30"/>
  <c r="AG62" i="3"/>
  <c r="E897" i="56"/>
  <c r="E899" i="56" s="1"/>
  <c r="L654" i="56"/>
  <c r="Z654" i="56" s="1"/>
  <c r="S276" i="56"/>
  <c r="Q210" i="56"/>
  <c r="Y175" i="30"/>
  <c r="Y94" i="30"/>
  <c r="AG41" i="3"/>
  <c r="G135" i="3"/>
  <c r="O36" i="4"/>
  <c r="D252" i="56"/>
  <c r="D253" i="56" s="1"/>
  <c r="Y136" i="30"/>
  <c r="V129" i="30"/>
  <c r="Y75" i="30"/>
  <c r="Y67" i="30"/>
  <c r="AF393" i="39"/>
  <c r="H286" i="39"/>
  <c r="U502" i="56"/>
  <c r="Y81" i="30"/>
  <c r="AB99" i="49"/>
  <c r="AF41" i="3"/>
  <c r="AF14" i="3"/>
  <c r="V52" i="56"/>
  <c r="Y260" i="30"/>
  <c r="O217" i="52"/>
  <c r="I237" i="39"/>
  <c r="G91" i="39"/>
  <c r="Y79" i="49"/>
  <c r="Y110" i="49" s="1"/>
  <c r="O103" i="3"/>
  <c r="O98" i="3" s="1"/>
  <c r="O99" i="3" s="1"/>
  <c r="M117" i="3"/>
  <c r="EB58" i="73" s="1"/>
  <c r="AD403" i="39"/>
  <c r="AF44" i="3"/>
  <c r="H124" i="30"/>
  <c r="N210" i="56"/>
  <c r="D79" i="55"/>
  <c r="AG70" i="3"/>
  <c r="AL338" i="39"/>
  <c r="N334" i="52"/>
  <c r="W124" i="30"/>
  <c r="Y124" i="30" s="1"/>
  <c r="F264" i="56"/>
  <c r="N309" i="52"/>
  <c r="N385" i="52"/>
  <c r="M59" i="6"/>
  <c r="AD391" i="39"/>
  <c r="V382" i="30"/>
  <c r="Y146" i="30"/>
  <c r="N300" i="52"/>
  <c r="Y220" i="30"/>
  <c r="U40" i="56"/>
  <c r="O22" i="52"/>
  <c r="B29" i="52" s="1"/>
  <c r="B30" i="52" s="1"/>
  <c r="N291" i="52"/>
  <c r="N292" i="52" s="1"/>
  <c r="N367" i="52"/>
  <c r="N368" i="52" s="1"/>
  <c r="V203" i="30"/>
  <c r="B521" i="56"/>
  <c r="L665" i="56"/>
  <c r="Z665" i="56" s="1"/>
  <c r="K620" i="56"/>
  <c r="K618" i="56"/>
  <c r="I94" i="49"/>
  <c r="AB314" i="39"/>
  <c r="K102" i="39"/>
  <c r="F106" i="39"/>
  <c r="K83" i="39"/>
  <c r="H25" i="39"/>
  <c r="T350" i="56"/>
  <c r="AL318" i="39"/>
  <c r="AM314" i="39" s="1"/>
  <c r="R163" i="30"/>
  <c r="AC55" i="58"/>
  <c r="R304" i="56"/>
  <c r="L263" i="56"/>
  <c r="L264" i="56" s="1"/>
  <c r="P99" i="65"/>
  <c r="W13" i="30"/>
  <c r="W12" i="30"/>
  <c r="K99" i="39"/>
  <c r="K47" i="39"/>
  <c r="Y453" i="30"/>
  <c r="I48" i="39"/>
  <c r="N327" i="52"/>
  <c r="J301" i="56"/>
  <c r="AH328" i="39"/>
  <c r="H226" i="30"/>
  <c r="Y224" i="30"/>
  <c r="Y151" i="30"/>
  <c r="Y141" i="30"/>
  <c r="Y137" i="30"/>
  <c r="R129" i="30"/>
  <c r="Y127" i="30"/>
  <c r="Y111" i="30"/>
  <c r="Y72" i="30"/>
  <c r="I54" i="30"/>
  <c r="U225" i="56"/>
  <c r="H346" i="30"/>
  <c r="Y319" i="30"/>
  <c r="Y148" i="30"/>
  <c r="J106" i="39"/>
  <c r="K43" i="39"/>
  <c r="AH77" i="3"/>
  <c r="AH36" i="3"/>
  <c r="AH37" i="3" s="1"/>
  <c r="AH38" i="3" s="1"/>
  <c r="I9" i="6"/>
  <c r="V352" i="56"/>
  <c r="V354" i="56" s="1"/>
  <c r="X456" i="30"/>
  <c r="T239" i="30"/>
  <c r="C62" i="6"/>
  <c r="E62" i="6" s="1"/>
  <c r="X393" i="39"/>
  <c r="AD393" i="39" s="1"/>
  <c r="W87" i="30"/>
  <c r="Y87" i="30" s="1"/>
  <c r="Y438" i="30"/>
  <c r="I27" i="30"/>
  <c r="J63" i="39"/>
  <c r="Q51" i="4"/>
  <c r="V61" i="56"/>
  <c r="AP56" i="56"/>
  <c r="V55" i="56"/>
  <c r="P382" i="39"/>
  <c r="P383" i="39" s="1"/>
  <c r="F74" i="6"/>
  <c r="V51" i="56"/>
  <c r="W203" i="30"/>
  <c r="Y203" i="30" s="1"/>
  <c r="P98" i="65"/>
  <c r="X80" i="30"/>
  <c r="Y80" i="30" s="1"/>
  <c r="H310" i="30"/>
  <c r="L239" i="30"/>
  <c r="J10" i="30" s="1"/>
  <c r="D236" i="56"/>
  <c r="D242" i="56" s="1"/>
  <c r="G676" i="56"/>
  <c r="L668" i="56"/>
  <c r="Z668" i="56" s="1"/>
  <c r="L648" i="56"/>
  <c r="Z648" i="56" s="1"/>
  <c r="L629" i="56"/>
  <c r="W469" i="30"/>
  <c r="X469" i="30" s="1"/>
  <c r="Z469" i="30" s="1"/>
  <c r="X16" i="30"/>
  <c r="Y249" i="30"/>
  <c r="Y190" i="30"/>
  <c r="O382" i="39"/>
  <c r="O383" i="39" s="1"/>
  <c r="Q345" i="39"/>
  <c r="AL345" i="39" s="1"/>
  <c r="AE25" i="39"/>
  <c r="X382" i="30"/>
  <c r="W346" i="30"/>
  <c r="Y254" i="30"/>
  <c r="Y246" i="30"/>
  <c r="J88" i="6"/>
  <c r="Y84" i="30"/>
  <c r="P285" i="39"/>
  <c r="P279" i="39"/>
  <c r="K105" i="39"/>
  <c r="K100" i="39"/>
  <c r="AE31" i="39"/>
  <c r="AG14" i="3"/>
  <c r="N335" i="52"/>
  <c r="W466" i="30"/>
  <c r="O113" i="52"/>
  <c r="O23" i="52"/>
  <c r="D103" i="3"/>
  <c r="D98" i="3" s="1"/>
  <c r="D99" i="3" s="1"/>
  <c r="D81" i="3" s="1"/>
  <c r="C291" i="56"/>
  <c r="E291" i="56" s="1"/>
  <c r="V291" i="56"/>
  <c r="AG323" i="39"/>
  <c r="AH323" i="39" s="1"/>
  <c r="O324" i="39"/>
  <c r="O325" i="39" s="1"/>
  <c r="Q49" i="6"/>
  <c r="T49" i="6" s="1"/>
  <c r="AF335" i="39"/>
  <c r="J310" i="30"/>
  <c r="I310" i="30" s="1"/>
  <c r="T204" i="30"/>
  <c r="T206" i="30" s="1"/>
  <c r="H206" i="30" s="1"/>
  <c r="C354" i="56"/>
  <c r="T341" i="56"/>
  <c r="L332" i="56"/>
  <c r="Y440" i="30"/>
  <c r="W226" i="30"/>
  <c r="Y226" i="30" s="1"/>
  <c r="Y222" i="30"/>
  <c r="Y182" i="30"/>
  <c r="Y178" i="30"/>
  <c r="Y149" i="30"/>
  <c r="Y135" i="30"/>
  <c r="Y101" i="30"/>
  <c r="K331" i="39"/>
  <c r="AM12" i="3"/>
  <c r="AM21" i="3" s="1"/>
  <c r="I8" i="6"/>
  <c r="N319" i="52"/>
  <c r="Q319" i="39"/>
  <c r="AL319" i="39" s="1"/>
  <c r="M96" i="30"/>
  <c r="K6" i="30" s="1"/>
  <c r="H220" i="30"/>
  <c r="K8" i="30"/>
  <c r="U38" i="56"/>
  <c r="AF808" i="56"/>
  <c r="S285" i="56"/>
  <c r="AO335" i="39"/>
  <c r="H304" i="56"/>
  <c r="I304" i="56" s="1"/>
  <c r="E16" i="60"/>
  <c r="E288" i="56"/>
  <c r="J288" i="56" s="1"/>
  <c r="U291" i="56"/>
  <c r="L80" i="56"/>
  <c r="Y454" i="30"/>
  <c r="Y158" i="30"/>
  <c r="Y154" i="30"/>
  <c r="Y140" i="30"/>
  <c r="Y119" i="30"/>
  <c r="Y118" i="30"/>
  <c r="AL317" i="39"/>
  <c r="AF31" i="3"/>
  <c r="BI13" i="3"/>
  <c r="BI14" i="3" s="1"/>
  <c r="BK14" i="3" s="1"/>
  <c r="U165" i="30"/>
  <c r="V165" i="30" s="1"/>
  <c r="U41" i="56"/>
  <c r="S341" i="56"/>
  <c r="S286" i="56"/>
  <c r="AK324" i="39"/>
  <c r="N377" i="52"/>
  <c r="R456" i="30"/>
  <c r="P4" i="61"/>
  <c r="D332" i="56"/>
  <c r="Z288" i="56"/>
  <c r="T286" i="56"/>
  <c r="Y455" i="30"/>
  <c r="Y160" i="30"/>
  <c r="Y121" i="30"/>
  <c r="Y104" i="30"/>
  <c r="Y69" i="30"/>
  <c r="V319" i="39"/>
  <c r="U204" i="30"/>
  <c r="S9" i="30" s="1"/>
  <c r="X144" i="30"/>
  <c r="Y144" i="30" s="1"/>
  <c r="J328" i="56"/>
  <c r="C252" i="56"/>
  <c r="C253" i="56" s="1"/>
  <c r="L51" i="56"/>
  <c r="K39" i="56"/>
  <c r="P42" i="65"/>
  <c r="Y305" i="30"/>
  <c r="Y247" i="30"/>
  <c r="Y201" i="30"/>
  <c r="O286" i="39"/>
  <c r="BI113" i="3"/>
  <c r="BK113" i="3" s="1"/>
  <c r="BF113" i="3" s="1"/>
  <c r="O291" i="56"/>
  <c r="R291" i="56" s="1"/>
  <c r="I331" i="39"/>
  <c r="H83" i="6"/>
  <c r="BK37" i="3"/>
  <c r="L46" i="79"/>
  <c r="L50" i="79" s="1"/>
  <c r="T311" i="56"/>
  <c r="R306" i="56"/>
  <c r="Q303" i="56" s="1"/>
  <c r="R303" i="56" s="1"/>
  <c r="T298" i="56"/>
  <c r="T275" i="56"/>
  <c r="Z272" i="56"/>
  <c r="K252" i="56"/>
  <c r="K253" i="56" s="1"/>
  <c r="Y430" i="30"/>
  <c r="F225" i="39"/>
  <c r="F221" i="39"/>
  <c r="K676" i="56"/>
  <c r="L675" i="56"/>
  <c r="U675" i="56" s="1"/>
  <c r="U669" i="56"/>
  <c r="N338" i="56"/>
  <c r="T337" i="56"/>
  <c r="T330" i="56"/>
  <c r="F332" i="56"/>
  <c r="T326" i="56"/>
  <c r="T262" i="56"/>
  <c r="L70" i="56"/>
  <c r="K41" i="56"/>
  <c r="H162" i="30"/>
  <c r="AS93" i="3"/>
  <c r="W31" i="58"/>
  <c r="P252" i="56"/>
  <c r="P253" i="56" s="1"/>
  <c r="AF139" i="56"/>
  <c r="Y317" i="30"/>
  <c r="Y315" i="30"/>
  <c r="Y297" i="30"/>
  <c r="Y192" i="30"/>
  <c r="Y183" i="30"/>
  <c r="Y76" i="30"/>
  <c r="R178" i="1"/>
  <c r="S178" i="1" s="1"/>
  <c r="T178" i="1" s="1"/>
  <c r="K369" i="39"/>
  <c r="B1128" i="56"/>
  <c r="C1086" i="56"/>
  <c r="D952" i="56"/>
  <c r="L697" i="56"/>
  <c r="U697" i="56" s="1"/>
  <c r="U662" i="56"/>
  <c r="U660" i="56"/>
  <c r="L653" i="56"/>
  <c r="Z653" i="56" s="1"/>
  <c r="L652" i="56"/>
  <c r="Z652" i="56" s="1"/>
  <c r="L639" i="56"/>
  <c r="L630" i="56"/>
  <c r="U620" i="56"/>
  <c r="C343" i="56"/>
  <c r="E276" i="56"/>
  <c r="T276" i="56" s="1"/>
  <c r="M263" i="56"/>
  <c r="M264" i="56" s="1"/>
  <c r="E226" i="56"/>
  <c r="U210" i="56"/>
  <c r="L79" i="56"/>
  <c r="V77" i="56"/>
  <c r="Y437" i="30"/>
  <c r="Y436" i="30"/>
  <c r="Y272" i="30"/>
  <c r="Y270" i="30"/>
  <c r="Y266" i="30"/>
  <c r="G286" i="39"/>
  <c r="H91" i="39"/>
  <c r="K46" i="39"/>
  <c r="G48" i="39"/>
  <c r="G133" i="3"/>
  <c r="Q103" i="3"/>
  <c r="Q98" i="3" s="1"/>
  <c r="Q99" i="3" s="1"/>
  <c r="Q81" i="3" s="1"/>
  <c r="G169" i="3"/>
  <c r="EC78" i="73" s="1"/>
  <c r="G137" i="3"/>
  <c r="Y141" i="3"/>
  <c r="O199" i="52"/>
  <c r="N310" i="52"/>
  <c r="G129" i="3"/>
  <c r="EC58" i="73" s="1"/>
  <c r="AG56" i="3"/>
  <c r="AN56" i="3" s="1"/>
  <c r="I6" i="6"/>
  <c r="Q332" i="56"/>
  <c r="R331" i="56"/>
  <c r="J272" i="56"/>
  <c r="I277" i="56"/>
  <c r="AP80" i="56"/>
  <c r="D82" i="6"/>
  <c r="I82" i="6"/>
  <c r="J82" i="6" s="1"/>
  <c r="S54" i="6"/>
  <c r="V54" i="6" s="1"/>
  <c r="V59" i="6" s="1"/>
  <c r="V61" i="6" s="1"/>
  <c r="P59" i="6"/>
  <c r="P61" i="6" s="1"/>
  <c r="D8" i="52"/>
  <c r="O8" i="52" s="1"/>
  <c r="O7" i="52"/>
  <c r="AF19" i="3"/>
  <c r="AG16" i="3"/>
  <c r="AN16" i="3" s="1"/>
  <c r="F11" i="49" s="1"/>
  <c r="AG40" i="3"/>
  <c r="AK46" i="3"/>
  <c r="I259" i="56"/>
  <c r="J259" i="56" s="1"/>
  <c r="T259" i="56" s="1"/>
  <c r="T301" i="56"/>
  <c r="S301" i="56"/>
  <c r="U619" i="56"/>
  <c r="S290" i="56"/>
  <c r="U241" i="56"/>
  <c r="J77" i="39"/>
  <c r="K76" i="39"/>
  <c r="H48" i="39"/>
  <c r="O198" i="52"/>
  <c r="L667" i="56"/>
  <c r="Z667" i="56" s="1"/>
  <c r="U667" i="56"/>
  <c r="U664" i="56"/>
  <c r="L664" i="56"/>
  <c r="Z664" i="56" s="1"/>
  <c r="O10" i="1"/>
  <c r="V78" i="56"/>
  <c r="T272" i="56"/>
  <c r="DV964" i="56"/>
  <c r="CH964" i="56"/>
  <c r="DO964" i="56"/>
  <c r="BV964" i="56"/>
  <c r="H504" i="56"/>
  <c r="H505" i="56" s="1"/>
  <c r="U500" i="56"/>
  <c r="O354" i="56"/>
  <c r="R354" i="56" s="1"/>
  <c r="R353" i="56"/>
  <c r="E348" i="56"/>
  <c r="J348" i="56" s="1"/>
  <c r="D354" i="56"/>
  <c r="I340" i="56"/>
  <c r="J340" i="56" s="1"/>
  <c r="H343" i="56"/>
  <c r="S287" i="56"/>
  <c r="N291" i="56"/>
  <c r="J285" i="56"/>
  <c r="T285" i="56"/>
  <c r="F24" i="1"/>
  <c r="F25" i="1" s="1"/>
  <c r="AS94" i="3"/>
  <c r="N360" i="52"/>
  <c r="N351" i="52"/>
  <c r="P95" i="62"/>
  <c r="R95" i="62" s="1"/>
  <c r="F119" i="62"/>
  <c r="BK45" i="3"/>
  <c r="AK45" i="3"/>
  <c r="T618" i="56"/>
  <c r="U618" i="56"/>
  <c r="D520" i="56"/>
  <c r="D521" i="56" s="1"/>
  <c r="U516" i="56"/>
  <c r="Q317" i="56"/>
  <c r="R316" i="56"/>
  <c r="I312" i="56"/>
  <c r="J312" i="56" s="1"/>
  <c r="H316" i="56"/>
  <c r="I316" i="56" s="1"/>
  <c r="C263" i="56"/>
  <c r="C264" i="56" s="1"/>
  <c r="W16" i="30"/>
  <c r="L16" i="30"/>
  <c r="Y426" i="30"/>
  <c r="W456" i="30"/>
  <c r="X14" i="30"/>
  <c r="T14" i="30"/>
  <c r="J14" i="30"/>
  <c r="W14" i="30" s="1"/>
  <c r="L384" i="30"/>
  <c r="K10" i="30"/>
  <c r="J95" i="30"/>
  <c r="V95" i="30"/>
  <c r="AD377" i="39"/>
  <c r="AK44" i="3"/>
  <c r="BI56" i="3"/>
  <c r="BK44" i="3"/>
  <c r="AM44" i="3" s="1"/>
  <c r="Q65" i="61"/>
  <c r="P11" i="61"/>
  <c r="O51" i="70"/>
  <c r="AE44" i="73"/>
  <c r="DL964" i="56"/>
  <c r="BS964" i="56"/>
  <c r="E351" i="56"/>
  <c r="J351" i="56" s="1"/>
  <c r="J315" i="56"/>
  <c r="J300" i="56"/>
  <c r="Z274" i="56"/>
  <c r="S273" i="56"/>
  <c r="D226" i="56"/>
  <c r="Y93" i="30"/>
  <c r="AS96" i="3"/>
  <c r="O11" i="1"/>
  <c r="E20" i="49"/>
  <c r="I16" i="6"/>
  <c r="G16" i="6" s="1"/>
  <c r="I13" i="6"/>
  <c r="N352" i="52"/>
  <c r="R96" i="62"/>
  <c r="R60" i="62"/>
  <c r="ER964" i="56"/>
  <c r="EH964" i="56"/>
  <c r="DY964" i="56"/>
  <c r="EK964" i="56"/>
  <c r="CU964" i="56"/>
  <c r="DB964" i="56"/>
  <c r="EU964" i="56"/>
  <c r="DE964" i="56"/>
  <c r="CK964" i="56"/>
  <c r="CR964" i="56"/>
  <c r="L638" i="56"/>
  <c r="L632" i="56"/>
  <c r="J341" i="56"/>
  <c r="R340" i="56"/>
  <c r="J337" i="56"/>
  <c r="N331" i="56"/>
  <c r="C332" i="56"/>
  <c r="J330" i="56"/>
  <c r="S329" i="56"/>
  <c r="I327" i="56"/>
  <c r="J313" i="56"/>
  <c r="J311" i="56"/>
  <c r="Z271" i="56"/>
  <c r="P242" i="56"/>
  <c r="AF62" i="3"/>
  <c r="C9" i="3"/>
  <c r="Y150" i="3"/>
  <c r="O209" i="52"/>
  <c r="N301" i="52"/>
  <c r="AL344" i="39"/>
  <c r="E952" i="56"/>
  <c r="L696" i="56"/>
  <c r="L660" i="56"/>
  <c r="Z660" i="56" s="1"/>
  <c r="I353" i="56"/>
  <c r="S327" i="56"/>
  <c r="S326" i="56"/>
  <c r="S314" i="56"/>
  <c r="L304" i="56"/>
  <c r="Z289" i="56"/>
  <c r="T274" i="56"/>
  <c r="Q335" i="39"/>
  <c r="AM335" i="39"/>
  <c r="AR333" i="39"/>
  <c r="K69" i="39"/>
  <c r="G77" i="39"/>
  <c r="K62" i="39"/>
  <c r="G151" i="3"/>
  <c r="EC69" i="73" s="1"/>
  <c r="N103" i="3"/>
  <c r="N98" i="3" s="1"/>
  <c r="N99" i="3" s="1"/>
  <c r="N81" i="3" s="1"/>
  <c r="M121" i="3"/>
  <c r="EB60" i="73" s="1"/>
  <c r="L54" i="56"/>
  <c r="P109" i="65"/>
  <c r="Y446" i="30"/>
  <c r="Y442" i="30"/>
  <c r="Y433" i="30"/>
  <c r="Y429" i="30"/>
  <c r="Y378" i="30"/>
  <c r="Y374" i="30"/>
  <c r="Y370" i="30"/>
  <c r="Y366" i="30"/>
  <c r="Y362" i="30"/>
  <c r="Y358" i="30"/>
  <c r="Y354" i="30"/>
  <c r="X12" i="30"/>
  <c r="L12" i="30"/>
  <c r="Y289" i="30"/>
  <c r="Y252" i="30"/>
  <c r="Y250" i="30"/>
  <c r="Y233" i="30"/>
  <c r="Y231" i="30"/>
  <c r="Y229" i="30"/>
  <c r="Y173" i="30"/>
  <c r="W162" i="30"/>
  <c r="AO24" i="54"/>
  <c r="M111" i="1"/>
  <c r="AJ75" i="1"/>
  <c r="AO345" i="39"/>
  <c r="J331" i="39"/>
  <c r="F331" i="39"/>
  <c r="G331" i="39"/>
  <c r="F224" i="39"/>
  <c r="N49" i="6"/>
  <c r="M125" i="3"/>
  <c r="EB62" i="73" s="1"/>
  <c r="AG33" i="3"/>
  <c r="AN33" i="3" s="1"/>
  <c r="AH15" i="3"/>
  <c r="Y449" i="30"/>
  <c r="Y445" i="30"/>
  <c r="Y428" i="30"/>
  <c r="Y324" i="30"/>
  <c r="Y322" i="30"/>
  <c r="Y320" i="30"/>
  <c r="Y318" i="30"/>
  <c r="Y281" i="30"/>
  <c r="X310" i="30"/>
  <c r="Y273" i="30"/>
  <c r="Y267" i="30"/>
  <c r="Y145" i="30"/>
  <c r="AB210" i="1"/>
  <c r="K357" i="39"/>
  <c r="U324" i="39"/>
  <c r="U325" i="39" s="1"/>
  <c r="K84" i="39"/>
  <c r="G185" i="3"/>
  <c r="EC86" i="73" s="1"/>
  <c r="G181" i="3"/>
  <c r="EC84" i="73" s="1"/>
  <c r="G171" i="3"/>
  <c r="EC79" i="73" s="1"/>
  <c r="G149" i="3"/>
  <c r="EC68" i="73" s="1"/>
  <c r="G139" i="3"/>
  <c r="EC63" i="73" s="1"/>
  <c r="AF15" i="3"/>
  <c r="O52" i="52"/>
  <c r="B59" i="52" s="1"/>
  <c r="B60" i="52" s="1"/>
  <c r="V54" i="56"/>
  <c r="Y439" i="30"/>
  <c r="Y274" i="30"/>
  <c r="Y187" i="30"/>
  <c r="Y150" i="30"/>
  <c r="Y105" i="30"/>
  <c r="Y90" i="30"/>
  <c r="AJ72" i="1"/>
  <c r="AC324" i="39"/>
  <c r="F286" i="39"/>
  <c r="F223" i="39"/>
  <c r="AE23" i="39"/>
  <c r="D103" i="49"/>
  <c r="M168" i="3"/>
  <c r="EB83" i="73" s="1"/>
  <c r="AF60" i="3"/>
  <c r="I67" i="49"/>
  <c r="P67" i="49" s="1"/>
  <c r="I66" i="49"/>
  <c r="P66" i="49" s="1"/>
  <c r="G98" i="49"/>
  <c r="G163" i="3"/>
  <c r="EC75" i="73" s="1"/>
  <c r="AN116" i="3"/>
  <c r="BK46" i="3"/>
  <c r="BG46" i="3" s="1"/>
  <c r="I46" i="79"/>
  <c r="I50" i="79" s="1"/>
  <c r="R93" i="62"/>
  <c r="Q95" i="61"/>
  <c r="F36" i="68"/>
  <c r="D11" i="81"/>
  <c r="L681" i="56"/>
  <c r="U681" i="56" s="1"/>
  <c r="L680" i="56"/>
  <c r="U680" i="56" s="1"/>
  <c r="L669" i="56"/>
  <c r="Z669" i="56" s="1"/>
  <c r="L666" i="56"/>
  <c r="Z666" i="56" s="1"/>
  <c r="L661" i="56"/>
  <c r="Z661" i="56" s="1"/>
  <c r="L655" i="56"/>
  <c r="Z655" i="56" s="1"/>
  <c r="L641" i="56"/>
  <c r="U617" i="56"/>
  <c r="Z452" i="56"/>
  <c r="Z447" i="56" s="1"/>
  <c r="G354" i="56"/>
  <c r="I354" i="56" s="1"/>
  <c r="S351" i="56"/>
  <c r="K343" i="56"/>
  <c r="S328" i="56"/>
  <c r="U345" i="56"/>
  <c r="S315" i="56"/>
  <c r="S311" i="56"/>
  <c r="J303" i="56"/>
  <c r="S300" i="56"/>
  <c r="J286" i="56"/>
  <c r="J273" i="56"/>
  <c r="Q226" i="56"/>
  <c r="V80" i="56"/>
  <c r="L71" i="56"/>
  <c r="L63" i="56"/>
  <c r="U39" i="56"/>
  <c r="G11" i="81"/>
  <c r="L683" i="56"/>
  <c r="U683" i="56" s="1"/>
  <c r="AD507" i="56"/>
  <c r="P343" i="56"/>
  <c r="S330" i="56"/>
  <c r="K263" i="56"/>
  <c r="K264" i="56" s="1"/>
  <c r="P6" i="61"/>
  <c r="O24" i="70"/>
  <c r="L693" i="56"/>
  <c r="U693" i="56" s="1"/>
  <c r="L678" i="56"/>
  <c r="U677" i="56"/>
  <c r="L674" i="56"/>
  <c r="U661" i="56"/>
  <c r="U659" i="56"/>
  <c r="G504" i="56"/>
  <c r="G505" i="56" s="1"/>
  <c r="B354" i="56"/>
  <c r="R342" i="56"/>
  <c r="P332" i="56"/>
  <c r="P317" i="56"/>
  <c r="F317" i="56"/>
  <c r="I317" i="56" s="1"/>
  <c r="U304" i="56"/>
  <c r="Y290" i="56"/>
  <c r="Z290" i="56" s="1"/>
  <c r="Z287" i="56"/>
  <c r="Z285" i="56"/>
  <c r="N277" i="56"/>
  <c r="S277" i="56" s="1"/>
  <c r="Y277" i="56"/>
  <c r="I248" i="56"/>
  <c r="J248" i="56" s="1"/>
  <c r="F252" i="56"/>
  <c r="I252" i="56" s="1"/>
  <c r="Q242" i="56"/>
  <c r="I242" i="56"/>
  <c r="C226" i="56"/>
  <c r="U217" i="56"/>
  <c r="U220" i="56" s="1"/>
  <c r="W210" i="56"/>
  <c r="K94" i="56"/>
  <c r="L64" i="56"/>
  <c r="L62" i="56"/>
  <c r="L61" i="56"/>
  <c r="R62" i="62"/>
  <c r="R64" i="62"/>
  <c r="R35" i="62"/>
  <c r="Q67" i="61"/>
  <c r="P5" i="61"/>
  <c r="Y56" i="58"/>
  <c r="AF786" i="56"/>
  <c r="L649" i="56"/>
  <c r="Z649" i="56" s="1"/>
  <c r="L647" i="56"/>
  <c r="Z647" i="56" s="1"/>
  <c r="L646" i="56"/>
  <c r="U646" i="56" s="1"/>
  <c r="T620" i="56"/>
  <c r="M343" i="56"/>
  <c r="I342" i="56"/>
  <c r="E342" i="56"/>
  <c r="T339" i="56"/>
  <c r="L343" i="56"/>
  <c r="I331" i="56"/>
  <c r="B332" i="56"/>
  <c r="T315" i="56"/>
  <c r="T300" i="56"/>
  <c r="K304" i="56"/>
  <c r="S298" i="56"/>
  <c r="J289" i="56"/>
  <c r="S275" i="56"/>
  <c r="S272" i="56"/>
  <c r="T251" i="56"/>
  <c r="H242" i="56"/>
  <c r="B242" i="56"/>
  <c r="J287" i="56"/>
  <c r="B252" i="56"/>
  <c r="B253" i="56" s="1"/>
  <c r="N242" i="56"/>
  <c r="U233" i="56"/>
  <c r="U236" i="56" s="1"/>
  <c r="G226" i="56"/>
  <c r="B226" i="56"/>
  <c r="AF131" i="56"/>
  <c r="L77" i="56"/>
  <c r="L72" i="56"/>
  <c r="L65" i="56"/>
  <c r="V64" i="56"/>
  <c r="P63" i="56"/>
  <c r="U63" i="56" s="1"/>
  <c r="V62" i="56"/>
  <c r="Y57" i="56"/>
  <c r="Y58" i="56" s="1"/>
  <c r="L53" i="56"/>
  <c r="K40" i="56"/>
  <c r="K38" i="56"/>
  <c r="G79" i="55"/>
  <c r="Y448" i="30"/>
  <c r="Y447" i="30"/>
  <c r="Y434" i="30"/>
  <c r="Y425" i="30"/>
  <c r="R382" i="30"/>
  <c r="Y344" i="30"/>
  <c r="Y342" i="30"/>
  <c r="Y334" i="30"/>
  <c r="Y332" i="30"/>
  <c r="Y316" i="30"/>
  <c r="Y301" i="30"/>
  <c r="Y296" i="30"/>
  <c r="Y285" i="30"/>
  <c r="Y280" i="30"/>
  <c r="Y265" i="30"/>
  <c r="Y257" i="30"/>
  <c r="Y255" i="30"/>
  <c r="Y253" i="30"/>
  <c r="Y235" i="30"/>
  <c r="Y219" i="30"/>
  <c r="Y217" i="30"/>
  <c r="Y215" i="30"/>
  <c r="Y213" i="30"/>
  <c r="Y211" i="30"/>
  <c r="Y209" i="30"/>
  <c r="Y191" i="30"/>
  <c r="Y185" i="30"/>
  <c r="Y147" i="30"/>
  <c r="H146" i="30"/>
  <c r="R146" i="30"/>
  <c r="Y138" i="30"/>
  <c r="AB328" i="39"/>
  <c r="AP30" i="3"/>
  <c r="F15" i="49"/>
  <c r="H188" i="30"/>
  <c r="L204" i="30"/>
  <c r="H129" i="30"/>
  <c r="J129" i="30"/>
  <c r="T131" i="30"/>
  <c r="X30" i="39"/>
  <c r="AE30" i="39" s="1"/>
  <c r="AE32" i="39"/>
  <c r="B79" i="55"/>
  <c r="I127" i="65"/>
  <c r="P127" i="65" s="1"/>
  <c r="Y450" i="30"/>
  <c r="Y441" i="30"/>
  <c r="Y432" i="30"/>
  <c r="Y431" i="30"/>
  <c r="T420" i="30"/>
  <c r="U420" i="30" s="1"/>
  <c r="Y379" i="30"/>
  <c r="Y375" i="30"/>
  <c r="Y371" i="30"/>
  <c r="Y367" i="30"/>
  <c r="Y363" i="30"/>
  <c r="Y359" i="30"/>
  <c r="Y355" i="30"/>
  <c r="Y351" i="30"/>
  <c r="Y343" i="30"/>
  <c r="Y339" i="30"/>
  <c r="Y337" i="30"/>
  <c r="Y335" i="30"/>
  <c r="Y333" i="30"/>
  <c r="Y331" i="30"/>
  <c r="Y327" i="30"/>
  <c r="Y325" i="30"/>
  <c r="Y323" i="30"/>
  <c r="Y293" i="30"/>
  <c r="Y258" i="30"/>
  <c r="Y236" i="30"/>
  <c r="Y234" i="30"/>
  <c r="Y232" i="30"/>
  <c r="Y227" i="30"/>
  <c r="M204" i="30"/>
  <c r="K9" i="30" s="1"/>
  <c r="Y186" i="30"/>
  <c r="L131" i="30"/>
  <c r="Y115" i="30"/>
  <c r="Y100" i="30"/>
  <c r="Y83" i="30"/>
  <c r="Y73" i="30"/>
  <c r="AM24" i="54"/>
  <c r="AJ76" i="1"/>
  <c r="AJ73" i="1"/>
  <c r="AJ71" i="1"/>
  <c r="AJ69" i="1"/>
  <c r="E370" i="39"/>
  <c r="AL333" i="39"/>
  <c r="AE335" i="39"/>
  <c r="AG335" i="39" s="1"/>
  <c r="Q323" i="39"/>
  <c r="AL323" i="39" s="1"/>
  <c r="Y111" i="49"/>
  <c r="AB80" i="49"/>
  <c r="W188" i="30"/>
  <c r="Y188" i="30" s="1"/>
  <c r="H95" i="30"/>
  <c r="U60" i="30"/>
  <c r="T62" i="30" s="1"/>
  <c r="E129" i="53"/>
  <c r="E115" i="53"/>
  <c r="J91" i="39"/>
  <c r="K90" i="39"/>
  <c r="AD141" i="3"/>
  <c r="Z141" i="3"/>
  <c r="M133" i="3"/>
  <c r="EB66" i="73" s="1"/>
  <c r="AG129" i="3"/>
  <c r="M115" i="3"/>
  <c r="EB57" i="73" s="1"/>
  <c r="H103" i="3"/>
  <c r="H98" i="3" s="1"/>
  <c r="H99" i="3" s="1"/>
  <c r="H81" i="3" s="1"/>
  <c r="AG101" i="3"/>
  <c r="AG73" i="3"/>
  <c r="AN73" i="3" s="1"/>
  <c r="N344" i="52"/>
  <c r="G177" i="3"/>
  <c r="EC82" i="73" s="1"/>
  <c r="AG127" i="3"/>
  <c r="BI114" i="3"/>
  <c r="BK114" i="3" s="1"/>
  <c r="BF114" i="3" s="1"/>
  <c r="AQ97" i="3"/>
  <c r="AF89" i="3"/>
  <c r="N342" i="52"/>
  <c r="K503" i="39"/>
  <c r="K531" i="39" s="1"/>
  <c r="J370" i="39"/>
  <c r="X335" i="39"/>
  <c r="K128" i="39"/>
  <c r="K139" i="39" s="1"/>
  <c r="J34" i="6"/>
  <c r="M164" i="3"/>
  <c r="EB81" i="73" s="1"/>
  <c r="B53" i="52"/>
  <c r="O53" i="52" s="1"/>
  <c r="Y237" i="30"/>
  <c r="Y230" i="30"/>
  <c r="Y225" i="30"/>
  <c r="Y223" i="30"/>
  <c r="Y221" i="30"/>
  <c r="Y198" i="30"/>
  <c r="I188" i="30"/>
  <c r="Y179" i="30"/>
  <c r="Y174" i="30"/>
  <c r="Y157" i="30"/>
  <c r="Y155" i="30"/>
  <c r="Y128" i="30"/>
  <c r="Y112" i="30"/>
  <c r="Y108" i="30"/>
  <c r="Y79" i="30"/>
  <c r="Y70" i="30"/>
  <c r="Y66" i="30"/>
  <c r="V40" i="53"/>
  <c r="AJ77" i="1"/>
  <c r="AJ68" i="1"/>
  <c r="N382" i="39"/>
  <c r="AB338" i="39"/>
  <c r="P335" i="39"/>
  <c r="AL320" i="39"/>
  <c r="K286" i="39"/>
  <c r="K161" i="39"/>
  <c r="H149" i="39"/>
  <c r="K45" i="39"/>
  <c r="K42" i="39"/>
  <c r="G40" i="39"/>
  <c r="G103" i="49"/>
  <c r="G175" i="3"/>
  <c r="EC81" i="73" s="1"/>
  <c r="G165" i="3"/>
  <c r="EC76" i="73" s="1"/>
  <c r="AG137" i="3"/>
  <c r="M127" i="3"/>
  <c r="EB63" i="73" s="1"/>
  <c r="M123" i="3"/>
  <c r="EB61" i="73" s="1"/>
  <c r="EB56" i="73"/>
  <c r="AG100" i="3"/>
  <c r="AU101" i="3" s="1"/>
  <c r="AK31" i="3"/>
  <c r="C17" i="49" s="1"/>
  <c r="BK31" i="3"/>
  <c r="D18" i="1"/>
  <c r="BE29" i="3"/>
  <c r="G39" i="49"/>
  <c r="L79" i="49"/>
  <c r="G37" i="49" s="1"/>
  <c r="K76" i="49"/>
  <c r="M79" i="49" s="1"/>
  <c r="H37" i="49" s="1"/>
  <c r="G159" i="3"/>
  <c r="EC73" i="73" s="1"/>
  <c r="M147" i="3"/>
  <c r="EB73" i="73" s="1"/>
  <c r="BI34" i="3"/>
  <c r="BK34" i="3" s="1"/>
  <c r="BG34" i="3" s="1"/>
  <c r="Y262" i="30"/>
  <c r="AH54" i="3"/>
  <c r="AH78" i="3"/>
  <c r="AP21" i="3"/>
  <c r="F8" i="49"/>
  <c r="D51" i="49" s="1"/>
  <c r="E26" i="1"/>
  <c r="J314" i="56"/>
  <c r="T314" i="56"/>
  <c r="R37" i="62"/>
  <c r="U668" i="56"/>
  <c r="J290" i="56"/>
  <c r="T290" i="56"/>
  <c r="K30" i="79"/>
  <c r="K46" i="79" s="1"/>
  <c r="K50" i="79" s="1"/>
  <c r="Q98" i="61"/>
  <c r="Q96" i="61"/>
  <c r="Q93" i="61"/>
  <c r="Q66" i="61"/>
  <c r="Q64" i="61"/>
  <c r="P14" i="61"/>
  <c r="P12" i="61"/>
  <c r="P10" i="61"/>
  <c r="DK44" i="73"/>
  <c r="E11" i="81"/>
  <c r="Q1028" i="56"/>
  <c r="Q976" i="56"/>
  <c r="BE964" i="56"/>
  <c r="EG964" i="56"/>
  <c r="CQ964" i="56"/>
  <c r="BR964" i="56"/>
  <c r="AG808" i="56"/>
  <c r="L698" i="56"/>
  <c r="U698" i="56" s="1"/>
  <c r="L691" i="56"/>
  <c r="U691" i="56" s="1"/>
  <c r="L682" i="56"/>
  <c r="U682" i="56" s="1"/>
  <c r="L673" i="56"/>
  <c r="U673" i="56" s="1"/>
  <c r="U665" i="56"/>
  <c r="L662" i="56"/>
  <c r="Z662" i="56" s="1"/>
  <c r="L651" i="56"/>
  <c r="Z651" i="56" s="1"/>
  <c r="L640" i="56"/>
  <c r="K619" i="56"/>
  <c r="C520" i="56"/>
  <c r="C521" i="56" s="1"/>
  <c r="N354" i="56"/>
  <c r="N353" i="56"/>
  <c r="T352" i="56"/>
  <c r="S350" i="56"/>
  <c r="U354" i="56"/>
  <c r="T349" i="56"/>
  <c r="N342" i="56"/>
  <c r="G343" i="56"/>
  <c r="J339" i="56"/>
  <c r="J338" i="56"/>
  <c r="S337" i="56"/>
  <c r="K332" i="56"/>
  <c r="E331" i="56"/>
  <c r="E327" i="56"/>
  <c r="M316" i="56"/>
  <c r="N316" i="56" s="1"/>
  <c r="E316" i="56"/>
  <c r="S313" i="56"/>
  <c r="J302" i="56"/>
  <c r="J299" i="56"/>
  <c r="J298" i="56"/>
  <c r="S289" i="56"/>
  <c r="T287" i="56"/>
  <c r="Y276" i="56"/>
  <c r="Z276" i="56" s="1"/>
  <c r="Z273" i="56"/>
  <c r="T271" i="56"/>
  <c r="T261" i="56"/>
  <c r="L252" i="56"/>
  <c r="L253" i="56" s="1"/>
  <c r="M252" i="56"/>
  <c r="M253" i="56" s="1"/>
  <c r="G242" i="56"/>
  <c r="L226" i="56"/>
  <c r="H226" i="56"/>
  <c r="E205" i="56"/>
  <c r="E210" i="56" s="1"/>
  <c r="AP104" i="56"/>
  <c r="L55" i="56"/>
  <c r="L52" i="56"/>
  <c r="Y451" i="30"/>
  <c r="Y435" i="30"/>
  <c r="L13" i="30"/>
  <c r="R61" i="62"/>
  <c r="R34" i="62"/>
  <c r="O75" i="70"/>
  <c r="BH44" i="73"/>
  <c r="DH44" i="73"/>
  <c r="DR44" i="73"/>
  <c r="CB44" i="73"/>
  <c r="BR44" i="73"/>
  <c r="AS44" i="73"/>
  <c r="Q977" i="56"/>
  <c r="U666" i="56"/>
  <c r="U343" i="56"/>
  <c r="G332" i="56"/>
  <c r="T328" i="56"/>
  <c r="T313" i="56"/>
  <c r="T302" i="56"/>
  <c r="U277" i="56"/>
  <c r="Q252" i="56"/>
  <c r="Q253" i="56" s="1"/>
  <c r="U238" i="56"/>
  <c r="L242" i="56"/>
  <c r="V209" i="56"/>
  <c r="E72" i="55"/>
  <c r="E79" i="55" s="1"/>
  <c r="Y381" i="30"/>
  <c r="Y377" i="30"/>
  <c r="Y373" i="30"/>
  <c r="Y369" i="30"/>
  <c r="Y365" i="30"/>
  <c r="Y361" i="30"/>
  <c r="Y357" i="30"/>
  <c r="Y353" i="30"/>
  <c r="V346" i="30"/>
  <c r="Y340" i="30"/>
  <c r="Y306" i="30"/>
  <c r="Y298" i="30"/>
  <c r="Y290" i="30"/>
  <c r="R94" i="62"/>
  <c r="R63" i="62"/>
  <c r="R36" i="62"/>
  <c r="R6" i="62"/>
  <c r="P13" i="61"/>
  <c r="P7" i="61"/>
  <c r="O99" i="70"/>
  <c r="DU44" i="73"/>
  <c r="CY44" i="73"/>
  <c r="BK44" i="73"/>
  <c r="CO44" i="73"/>
  <c r="BU44" i="73"/>
  <c r="CE44" i="73"/>
  <c r="AV44" i="73"/>
  <c r="Q978" i="56"/>
  <c r="EQ964" i="56"/>
  <c r="DA964" i="56"/>
  <c r="DU964" i="56"/>
  <c r="L679" i="56"/>
  <c r="U679" i="56" s="1"/>
  <c r="L659" i="56"/>
  <c r="Z659" i="56" s="1"/>
  <c r="L631" i="56"/>
  <c r="K617" i="56"/>
  <c r="O422" i="56"/>
  <c r="E353" i="56"/>
  <c r="J352" i="56"/>
  <c r="J350" i="56"/>
  <c r="S349" i="56"/>
  <c r="S348" i="56"/>
  <c r="R338" i="56"/>
  <c r="I329" i="56"/>
  <c r="J329" i="56" s="1"/>
  <c r="J326" i="56"/>
  <c r="N312" i="56"/>
  <c r="E304" i="56"/>
  <c r="N303" i="56"/>
  <c r="S288" i="56"/>
  <c r="Z286" i="56"/>
  <c r="Z275" i="56"/>
  <c r="J275" i="56"/>
  <c r="S274" i="56"/>
  <c r="J274" i="56"/>
  <c r="J271" i="56"/>
  <c r="E242" i="56"/>
  <c r="R226" i="56"/>
  <c r="V202" i="56"/>
  <c r="V79" i="56"/>
  <c r="L69" i="56"/>
  <c r="V53" i="56"/>
  <c r="F79" i="55"/>
  <c r="Y443" i="30"/>
  <c r="Y427" i="30"/>
  <c r="Y380" i="30"/>
  <c r="Y376" i="30"/>
  <c r="Y372" i="30"/>
  <c r="Y368" i="30"/>
  <c r="Y364" i="30"/>
  <c r="Y360" i="30"/>
  <c r="Y356" i="30"/>
  <c r="Y352" i="30"/>
  <c r="X13" i="30"/>
  <c r="Y345" i="30"/>
  <c r="Y330" i="30"/>
  <c r="Y328" i="30"/>
  <c r="R7" i="62"/>
  <c r="R5" i="62"/>
  <c r="R4" i="62"/>
  <c r="Q69" i="61"/>
  <c r="DQ44" i="73"/>
  <c r="CU44" i="73"/>
  <c r="DG44" i="73"/>
  <c r="BG44" i="73"/>
  <c r="CK44" i="73"/>
  <c r="CA44" i="73"/>
  <c r="BQ44" i="73"/>
  <c r="AR44" i="73"/>
  <c r="CV44" i="73"/>
  <c r="CL44" i="73"/>
  <c r="CG964" i="56"/>
  <c r="DK964" i="56"/>
  <c r="AH808" i="56"/>
  <c r="O253" i="56"/>
  <c r="C79" i="55"/>
  <c r="Y302" i="30"/>
  <c r="Y294" i="30"/>
  <c r="Y286" i="30"/>
  <c r="Y153" i="30"/>
  <c r="Y122" i="30"/>
  <c r="Q152" i="1"/>
  <c r="R152" i="1" s="1"/>
  <c r="S152" i="1" s="1"/>
  <c r="E106" i="39"/>
  <c r="Y282" i="30"/>
  <c r="Y268" i="30"/>
  <c r="Y263" i="30"/>
  <c r="X275" i="30"/>
  <c r="Y251" i="30"/>
  <c r="Y248" i="30"/>
  <c r="Y195" i="30"/>
  <c r="Y125" i="30"/>
  <c r="Y114" i="30"/>
  <c r="Y107" i="30"/>
  <c r="Y102" i="30"/>
  <c r="Y91" i="30"/>
  <c r="Y89" i="30"/>
  <c r="Y86" i="30"/>
  <c r="Y78" i="30"/>
  <c r="Y71" i="30"/>
  <c r="Y68" i="30"/>
  <c r="R176" i="1"/>
  <c r="S176" i="1" s="1"/>
  <c r="T176" i="1" s="1"/>
  <c r="G171" i="1"/>
  <c r="Q159" i="1"/>
  <c r="R159" i="1" s="1"/>
  <c r="S159" i="1" s="1"/>
  <c r="Q154" i="1"/>
  <c r="R154" i="1" s="1"/>
  <c r="S154" i="1" s="1"/>
  <c r="V345" i="39"/>
  <c r="I286" i="39"/>
  <c r="E286" i="39"/>
  <c r="R24" i="4"/>
  <c r="W24" i="4" s="1"/>
  <c r="D156" i="6"/>
  <c r="Y341" i="30"/>
  <c r="Y338" i="30"/>
  <c r="Y336" i="30"/>
  <c r="Y326" i="30"/>
  <c r="Y321" i="30"/>
  <c r="Y307" i="30"/>
  <c r="Y303" i="30"/>
  <c r="Y299" i="30"/>
  <c r="Y295" i="30"/>
  <c r="Y291" i="30"/>
  <c r="Y287" i="30"/>
  <c r="Y283" i="30"/>
  <c r="Y279" i="30"/>
  <c r="Y276" i="30"/>
  <c r="V275" i="30"/>
  <c r="Y271" i="30"/>
  <c r="Y269" i="30"/>
  <c r="W275" i="30"/>
  <c r="Y256" i="30"/>
  <c r="Y244" i="30"/>
  <c r="Y202" i="30"/>
  <c r="Y200" i="30"/>
  <c r="Y193" i="30"/>
  <c r="Y189" i="30"/>
  <c r="Y180" i="30"/>
  <c r="Y176" i="30"/>
  <c r="Y159" i="30"/>
  <c r="Y156" i="30"/>
  <c r="Y143" i="30"/>
  <c r="Y120" i="30"/>
  <c r="Y117" i="30"/>
  <c r="Y110" i="30"/>
  <c r="Y82" i="30"/>
  <c r="Y74" i="30"/>
  <c r="D195" i="1"/>
  <c r="R137" i="1"/>
  <c r="S137" i="1" s="1"/>
  <c r="T137" i="1" s="1"/>
  <c r="R125" i="1"/>
  <c r="S125" i="1" s="1"/>
  <c r="F531" i="39"/>
  <c r="X345" i="39"/>
  <c r="AH338" i="39"/>
  <c r="AH345" i="39" s="1"/>
  <c r="E331" i="39"/>
  <c r="AL321" i="39"/>
  <c r="AM320" i="39" s="1"/>
  <c r="Y329" i="30"/>
  <c r="X346" i="30"/>
  <c r="Y308" i="30"/>
  <c r="Y304" i="30"/>
  <c r="Y300" i="30"/>
  <c r="Y292" i="30"/>
  <c r="Y288" i="30"/>
  <c r="Y284" i="30"/>
  <c r="Y264" i="30"/>
  <c r="Y245" i="30"/>
  <c r="Y218" i="30"/>
  <c r="Y216" i="30"/>
  <c r="Y214" i="30"/>
  <c r="Y212" i="30"/>
  <c r="Y210" i="30"/>
  <c r="Y199" i="30"/>
  <c r="Y197" i="30"/>
  <c r="Y196" i="30"/>
  <c r="Y194" i="30"/>
  <c r="Y181" i="30"/>
  <c r="Y177" i="30"/>
  <c r="Y164" i="30"/>
  <c r="Y152" i="30"/>
  <c r="Y142" i="30"/>
  <c r="Y139" i="30"/>
  <c r="W129" i="30"/>
  <c r="Y126" i="30"/>
  <c r="Y123" i="30"/>
  <c r="Y116" i="30"/>
  <c r="Y113" i="30"/>
  <c r="Y106" i="30"/>
  <c r="Y103" i="30"/>
  <c r="T96" i="30"/>
  <c r="Y92" i="30"/>
  <c r="Y88" i="30"/>
  <c r="Y85" i="30"/>
  <c r="Y77" i="30"/>
  <c r="Y65" i="30"/>
  <c r="R143" i="1"/>
  <c r="S143" i="1" s="1"/>
  <c r="T143" i="1" s="1"/>
  <c r="R135" i="1"/>
  <c r="S135" i="1" s="1"/>
  <c r="T135" i="1" s="1"/>
  <c r="AJ70" i="1"/>
  <c r="J531" i="39"/>
  <c r="E531" i="39"/>
  <c r="L331" i="39"/>
  <c r="H331" i="39"/>
  <c r="K103" i="39"/>
  <c r="AG131" i="3"/>
  <c r="J85" i="6"/>
  <c r="J81" i="6"/>
  <c r="Q33" i="6"/>
  <c r="G173" i="3"/>
  <c r="EC80" i="73" s="1"/>
  <c r="G161" i="3"/>
  <c r="EC74" i="73" s="1"/>
  <c r="G153" i="3"/>
  <c r="EC70" i="73" s="1"/>
  <c r="M149" i="3"/>
  <c r="EB74" i="73" s="1"/>
  <c r="G145" i="3"/>
  <c r="EC66" i="73" s="1"/>
  <c r="G125" i="3"/>
  <c r="EC56" i="73" s="1"/>
  <c r="R145" i="1"/>
  <c r="S145" i="1" s="1"/>
  <c r="T145" i="1" s="1"/>
  <c r="AJ74" i="1"/>
  <c r="H531" i="39"/>
  <c r="I531" i="39"/>
  <c r="H417" i="39"/>
  <c r="AI324" i="39"/>
  <c r="N324" i="39"/>
  <c r="E266" i="39"/>
  <c r="H237" i="39"/>
  <c r="J139" i="39"/>
  <c r="I106" i="39"/>
  <c r="E91" i="39"/>
  <c r="X24" i="4"/>
  <c r="J86" i="6"/>
  <c r="N33" i="6"/>
  <c r="C103" i="49"/>
  <c r="G183" i="3"/>
  <c r="EC85" i="73" s="1"/>
  <c r="G167" i="3"/>
  <c r="EC77" i="73" s="1"/>
  <c r="AX149" i="3"/>
  <c r="G147" i="3"/>
  <c r="EC67" i="73" s="1"/>
  <c r="M143" i="3"/>
  <c r="EB71" i="73" s="1"/>
  <c r="G143" i="3"/>
  <c r="EC65" i="73" s="1"/>
  <c r="AF141" i="3"/>
  <c r="AB141" i="3"/>
  <c r="M141" i="3"/>
  <c r="EB70" i="73" s="1"/>
  <c r="M135" i="3"/>
  <c r="EB67" i="73" s="1"/>
  <c r="M129" i="3"/>
  <c r="G127" i="3"/>
  <c r="BF111" i="3"/>
  <c r="P103" i="3"/>
  <c r="P98" i="3" s="1"/>
  <c r="P99" i="3" s="1"/>
  <c r="P81" i="3" s="1"/>
  <c r="Q161" i="1"/>
  <c r="R161" i="1" s="1"/>
  <c r="S161" i="1" s="1"/>
  <c r="R96" i="1"/>
  <c r="AB332" i="39"/>
  <c r="AJ324" i="39"/>
  <c r="S324" i="39"/>
  <c r="S325" i="39" s="1"/>
  <c r="AG319" i="39"/>
  <c r="AH319" i="39" s="1"/>
  <c r="T324" i="39"/>
  <c r="J286" i="39"/>
  <c r="F266" i="39"/>
  <c r="J237" i="39"/>
  <c r="K101" i="39"/>
  <c r="H106" i="39"/>
  <c r="J87" i="6"/>
  <c r="J79" i="6"/>
  <c r="V17" i="6"/>
  <c r="V27" i="6" s="1"/>
  <c r="H103" i="49"/>
  <c r="M172" i="3"/>
  <c r="EB85" i="73" s="1"/>
  <c r="AE141" i="3"/>
  <c r="M137" i="3"/>
  <c r="EB68" i="73" s="1"/>
  <c r="AA141" i="3"/>
  <c r="G131" i="3"/>
  <c r="BI61" i="3"/>
  <c r="BK61" i="3" s="1"/>
  <c r="AG31" i="3"/>
  <c r="N359" i="52"/>
  <c r="N274" i="52"/>
  <c r="N275" i="52" s="1"/>
  <c r="O82" i="52"/>
  <c r="B89" i="52" s="1"/>
  <c r="B90" i="52" s="1"/>
  <c r="C103" i="3"/>
  <c r="C98" i="3" s="1"/>
  <c r="C99" i="3" s="1"/>
  <c r="C81" i="3" s="1"/>
  <c r="AF86" i="3"/>
  <c r="AG79" i="3"/>
  <c r="AN79" i="3" s="1"/>
  <c r="AR35" i="3"/>
  <c r="AF33" i="3"/>
  <c r="O178" i="52"/>
  <c r="O97" i="52"/>
  <c r="AF39" i="3"/>
  <c r="O189" i="52"/>
  <c r="A103" i="3"/>
  <c r="A98" i="3" s="1"/>
  <c r="A99" i="3" s="1"/>
  <c r="A81" i="3" s="1"/>
  <c r="AG60" i="3"/>
  <c r="AN60" i="3" s="1"/>
  <c r="N284" i="52"/>
  <c r="N285" i="52" s="1"/>
  <c r="O111" i="52"/>
  <c r="B123" i="52" s="1"/>
  <c r="B125" i="52" s="1"/>
  <c r="AP44" i="3"/>
  <c r="D20" i="49"/>
  <c r="E39" i="1"/>
  <c r="AT97" i="3"/>
  <c r="AV97" i="3" s="1"/>
  <c r="F21" i="49"/>
  <c r="D57" i="49" s="1"/>
  <c r="AP58" i="3"/>
  <c r="EF44" i="73"/>
  <c r="EC44" i="73"/>
  <c r="EB44" i="73"/>
  <c r="Y11" i="30"/>
  <c r="L11" i="30"/>
  <c r="H275" i="30"/>
  <c r="Y261" i="30"/>
  <c r="BF112" i="3"/>
  <c r="AM35" i="3"/>
  <c r="AO35" i="3" s="1"/>
  <c r="BI48" i="3"/>
  <c r="BK47" i="3"/>
  <c r="AK47" i="3"/>
  <c r="J46" i="79"/>
  <c r="J50" i="79" s="1"/>
  <c r="J349" i="56"/>
  <c r="I263" i="56"/>
  <c r="J263" i="56" s="1"/>
  <c r="I291" i="56"/>
  <c r="H46" i="79"/>
  <c r="H50" i="79" s="1"/>
  <c r="L81" i="56"/>
  <c r="V81" i="56"/>
  <c r="AF70" i="3"/>
  <c r="L690" i="56"/>
  <c r="U690" i="56" s="1"/>
  <c r="L520" i="56"/>
  <c r="R505" i="56"/>
  <c r="S352" i="56"/>
  <c r="S339" i="56"/>
  <c r="Q343" i="56"/>
  <c r="C317" i="56"/>
  <c r="E317" i="56" s="1"/>
  <c r="S302" i="56"/>
  <c r="N299" i="56"/>
  <c r="T289" i="56"/>
  <c r="S271" i="56"/>
  <c r="J260" i="56"/>
  <c r="T260" i="56" s="1"/>
  <c r="O263" i="56"/>
  <c r="O264" i="56" s="1"/>
  <c r="G264" i="56"/>
  <c r="J258" i="56"/>
  <c r="T258" i="56" s="1"/>
  <c r="G253" i="56"/>
  <c r="R242" i="56"/>
  <c r="V203" i="56"/>
  <c r="B210" i="56"/>
  <c r="T250" i="56"/>
  <c r="AP23" i="56"/>
  <c r="B343" i="56"/>
  <c r="B277" i="56"/>
  <c r="E277" i="56" s="1"/>
  <c r="L78" i="56"/>
  <c r="V65" i="56"/>
  <c r="T458" i="30"/>
  <c r="T459" i="30" s="1"/>
  <c r="L348" i="30"/>
  <c r="H348" i="30" s="1"/>
  <c r="W310" i="30"/>
  <c r="R310" i="30"/>
  <c r="W228" i="30"/>
  <c r="X239" i="30"/>
  <c r="V164" i="30"/>
  <c r="W382" i="30"/>
  <c r="V310" i="30"/>
  <c r="R275" i="30"/>
  <c r="V228" i="30"/>
  <c r="J203" i="30"/>
  <c r="I203" i="30" s="1"/>
  <c r="R188" i="30"/>
  <c r="R346" i="30"/>
  <c r="X184" i="30"/>
  <c r="AD381" i="39"/>
  <c r="K364" i="39"/>
  <c r="V335" i="39"/>
  <c r="G120" i="39"/>
  <c r="K112" i="39"/>
  <c r="K98" i="39"/>
  <c r="G106" i="39"/>
  <c r="W95" i="30"/>
  <c r="J24" i="1"/>
  <c r="J25" i="1" s="1"/>
  <c r="X319" i="39"/>
  <c r="E48" i="39"/>
  <c r="I40" i="39"/>
  <c r="D83" i="6"/>
  <c r="I83" i="6"/>
  <c r="I34" i="6"/>
  <c r="F237" i="39"/>
  <c r="K56" i="39"/>
  <c r="E63" i="39"/>
  <c r="E357" i="39"/>
  <c r="AG345" i="39"/>
  <c r="AJ325" i="39"/>
  <c r="X323" i="39"/>
  <c r="AB323" i="39" s="1"/>
  <c r="G237" i="39"/>
  <c r="H77" i="39"/>
  <c r="X37" i="39"/>
  <c r="AE37" i="39" s="1"/>
  <c r="AE38" i="39"/>
  <c r="J80" i="6"/>
  <c r="AC141" i="3"/>
  <c r="F220" i="39"/>
  <c r="AG133" i="3"/>
  <c r="I16" i="49"/>
  <c r="M139" i="3"/>
  <c r="EB69" i="73" s="1"/>
  <c r="AG135" i="3"/>
  <c r="G141" i="3"/>
  <c r="EC64" i="73" s="1"/>
  <c r="AF74" i="3"/>
  <c r="AG72" i="3"/>
  <c r="AN72" i="3" s="1"/>
  <c r="BI55" i="3"/>
  <c r="AH50" i="3"/>
  <c r="AO110" i="3"/>
  <c r="K103" i="3"/>
  <c r="K98" i="3" s="1"/>
  <c r="K99" i="3" s="1"/>
  <c r="K81" i="3" s="1"/>
  <c r="BI70" i="3"/>
  <c r="BK70" i="3" s="1"/>
  <c r="BI62" i="3"/>
  <c r="BK62" i="3" s="1"/>
  <c r="AK12" i="3"/>
  <c r="C9" i="49" s="1"/>
  <c r="C11" i="49" s="1"/>
  <c r="I105" i="52"/>
  <c r="Z180" i="3"/>
  <c r="N386" i="52"/>
  <c r="N343" i="52"/>
  <c r="B285" i="52"/>
  <c r="C275" i="52"/>
  <c r="J179" i="52"/>
  <c r="O179" i="52" s="1"/>
  <c r="D98" i="52"/>
  <c r="O98" i="52" s="1"/>
  <c r="H83" i="52"/>
  <c r="O83" i="52" s="1"/>
  <c r="N326" i="52"/>
  <c r="V45" i="4"/>
  <c r="I58" i="1"/>
  <c r="M103" i="1"/>
  <c r="G71" i="1" s="1"/>
  <c r="N103" i="1"/>
  <c r="N106" i="1"/>
  <c r="M106" i="1"/>
  <c r="G69" i="1" s="1"/>
  <c r="J30" i="1"/>
  <c r="D16" i="49"/>
  <c r="D30" i="1"/>
  <c r="AO112" i="3"/>
  <c r="AO111" i="3"/>
  <c r="AP34" i="3"/>
  <c r="E34" i="1"/>
  <c r="F18" i="49"/>
  <c r="AP27" i="3"/>
  <c r="E74" i="1" s="1"/>
  <c r="F74" i="1" s="1"/>
  <c r="D74" i="1"/>
  <c r="F13" i="49"/>
  <c r="D52" i="49" s="1"/>
  <c r="AP22" i="3"/>
  <c r="E27" i="1"/>
  <c r="DZ87" i="73"/>
  <c r="N35" i="4"/>
  <c r="DY87" i="73"/>
  <c r="M11" i="4"/>
  <c r="J4" i="4"/>
  <c r="D24" i="1"/>
  <c r="M10" i="4" s="1"/>
  <c r="G157" i="3"/>
  <c r="EC72" i="73" s="1"/>
  <c r="AB82" i="49"/>
  <c r="Y97" i="49"/>
  <c r="Y113" i="49"/>
  <c r="M12" i="4"/>
  <c r="I71" i="49"/>
  <c r="P71" i="49" s="1"/>
  <c r="Y95" i="49"/>
  <c r="Z76" i="49" l="1"/>
  <c r="Z78" i="49"/>
  <c r="O81" i="3"/>
  <c r="AQ101" i="3"/>
  <c r="M37" i="49"/>
  <c r="D694" i="56"/>
  <c r="G694" i="56" s="1"/>
  <c r="L694" i="56" s="1"/>
  <c r="E709" i="56"/>
  <c r="G709" i="56" s="1"/>
  <c r="D58" i="49"/>
  <c r="E17" i="1"/>
  <c r="Y93" i="49"/>
  <c r="Y109" i="49"/>
  <c r="AB78" i="49"/>
  <c r="Y98" i="49"/>
  <c r="AB98" i="49" s="1"/>
  <c r="AB83" i="49"/>
  <c r="Y114" i="49"/>
  <c r="S688" i="56"/>
  <c r="T688" i="56" s="1"/>
  <c r="D688" i="56"/>
  <c r="G688" i="56" s="1"/>
  <c r="L688" i="56" s="1"/>
  <c r="C76" i="71"/>
  <c r="F76" i="71" s="1"/>
  <c r="S689" i="56"/>
  <c r="T689" i="56" s="1"/>
  <c r="D689" i="56"/>
  <c r="G689" i="56" s="1"/>
  <c r="L689" i="56" s="1"/>
  <c r="AG136" i="3"/>
  <c r="P369" i="56"/>
  <c r="R50" i="1"/>
  <c r="AO38" i="3"/>
  <c r="AR38" i="3"/>
  <c r="AS38" i="3" s="1"/>
  <c r="I12" i="6"/>
  <c r="O369" i="56"/>
  <c r="Q44" i="4"/>
  <c r="AR45" i="3"/>
  <c r="AS45" i="3" s="1"/>
  <c r="AO44" i="3"/>
  <c r="AK54" i="3"/>
  <c r="AN40" i="3"/>
  <c r="AP40" i="3" s="1"/>
  <c r="E28" i="1"/>
  <c r="F19" i="49"/>
  <c r="AN41" i="3"/>
  <c r="AP41" i="3" s="1"/>
  <c r="AP17" i="3"/>
  <c r="AN104" i="3"/>
  <c r="AU121" i="3"/>
  <c r="AW121" i="3" s="1"/>
  <c r="AP13" i="3"/>
  <c r="AR36" i="3"/>
  <c r="AS36" i="3" s="1"/>
  <c r="AU102" i="3"/>
  <c r="E711" i="56" s="1"/>
  <c r="G711" i="56" s="1"/>
  <c r="AN70" i="3"/>
  <c r="AN62" i="3"/>
  <c r="AO62" i="3" s="1"/>
  <c r="AO60" i="3"/>
  <c r="AM54" i="3"/>
  <c r="AN31" i="3"/>
  <c r="AU117" i="3" s="1"/>
  <c r="AW117" i="3" s="1"/>
  <c r="AN14" i="3"/>
  <c r="R48" i="4" s="1"/>
  <c r="T312" i="56"/>
  <c r="AP33" i="3"/>
  <c r="L6" i="30"/>
  <c r="D38" i="1"/>
  <c r="AD8" i="1" s="1"/>
  <c r="P694" i="56"/>
  <c r="AG143" i="3"/>
  <c r="F23" i="49"/>
  <c r="E704" i="56" s="1"/>
  <c r="G704" i="56" s="1"/>
  <c r="U653" i="56"/>
  <c r="L14" i="30"/>
  <c r="J165" i="30"/>
  <c r="J304" i="56"/>
  <c r="Y456" i="30"/>
  <c r="C19" i="49"/>
  <c r="I264" i="56"/>
  <c r="J264" i="56" s="1"/>
  <c r="K120" i="39"/>
  <c r="EC61" i="73"/>
  <c r="U647" i="56"/>
  <c r="K63" i="39"/>
  <c r="AB345" i="39"/>
  <c r="Y95" i="30"/>
  <c r="Y382" i="30"/>
  <c r="AM36" i="3"/>
  <c r="AO36" i="3" s="1"/>
  <c r="T248" i="56"/>
  <c r="T123" i="1"/>
  <c r="T125" i="1"/>
  <c r="K370" i="39"/>
  <c r="L676" i="56"/>
  <c r="AH335" i="39"/>
  <c r="AH60" i="3"/>
  <c r="Y310" i="30"/>
  <c r="S291" i="56"/>
  <c r="AG76" i="3"/>
  <c r="Z82" i="49"/>
  <c r="P52" i="49"/>
  <c r="AA286" i="56"/>
  <c r="T348" i="56"/>
  <c r="Y12" i="30"/>
  <c r="S353" i="56"/>
  <c r="T351" i="56"/>
  <c r="I332" i="56"/>
  <c r="E354" i="56"/>
  <c r="J354" i="56" s="1"/>
  <c r="AA272" i="56"/>
  <c r="S312" i="56"/>
  <c r="U654" i="56"/>
  <c r="U520" i="56"/>
  <c r="U521" i="56" s="1"/>
  <c r="J277" i="56"/>
  <c r="J276" i="56"/>
  <c r="AA276" i="56" s="1"/>
  <c r="Y291" i="56"/>
  <c r="Z291" i="56" s="1"/>
  <c r="AM319" i="39"/>
  <c r="AA274" i="56"/>
  <c r="J353" i="56"/>
  <c r="T340" i="56"/>
  <c r="AR44" i="3"/>
  <c r="AS44" i="3" s="1"/>
  <c r="AK56" i="3"/>
  <c r="C20" i="49" s="1"/>
  <c r="Z646" i="56"/>
  <c r="S340" i="56"/>
  <c r="R332" i="56"/>
  <c r="U648" i="56"/>
  <c r="AA287" i="56"/>
  <c r="Y94" i="49"/>
  <c r="AB94" i="49" s="1"/>
  <c r="AB79" i="49"/>
  <c r="R317" i="56"/>
  <c r="X6" i="30"/>
  <c r="N332" i="56"/>
  <c r="R204" i="30"/>
  <c r="J342" i="56"/>
  <c r="Y346" i="30"/>
  <c r="Q7" i="61"/>
  <c r="Z277" i="56"/>
  <c r="Y16" i="30"/>
  <c r="S342" i="56"/>
  <c r="U652" i="56"/>
  <c r="R239" i="30"/>
  <c r="J83" i="6"/>
  <c r="AA285" i="56"/>
  <c r="L10" i="30"/>
  <c r="S303" i="56"/>
  <c r="S354" i="56"/>
  <c r="AA288" i="56"/>
  <c r="R9" i="30"/>
  <c r="T9" i="30" s="1"/>
  <c r="X96" i="30"/>
  <c r="AG42" i="3"/>
  <c r="Y13" i="30"/>
  <c r="J327" i="56"/>
  <c r="S331" i="56"/>
  <c r="AB319" i="39"/>
  <c r="S338" i="56"/>
  <c r="T288" i="56"/>
  <c r="J316" i="56"/>
  <c r="I343" i="56"/>
  <c r="N343" i="56"/>
  <c r="E332" i="56"/>
  <c r="E343" i="56"/>
  <c r="J317" i="56"/>
  <c r="R343" i="56"/>
  <c r="S38" i="62"/>
  <c r="U651" i="56"/>
  <c r="S65" i="62"/>
  <c r="U649" i="56"/>
  <c r="K91" i="39"/>
  <c r="R10" i="30"/>
  <c r="H239" i="30"/>
  <c r="V239" i="30"/>
  <c r="U655" i="56"/>
  <c r="AM34" i="3"/>
  <c r="AO34" i="3" s="1"/>
  <c r="Y90" i="49"/>
  <c r="AB90" i="49" s="1"/>
  <c r="X10" i="30"/>
  <c r="Y275" i="30"/>
  <c r="F253" i="56"/>
  <c r="I253" i="56" s="1"/>
  <c r="AR34" i="3"/>
  <c r="AS34" i="3" s="1"/>
  <c r="R52" i="4"/>
  <c r="S52" i="4" s="1"/>
  <c r="AI143" i="3"/>
  <c r="AI142" i="3" s="1"/>
  <c r="E38" i="1"/>
  <c r="P11" i="1" s="1"/>
  <c r="S8" i="62"/>
  <c r="J331" i="56"/>
  <c r="S8" i="30"/>
  <c r="S17" i="30" s="1"/>
  <c r="T329" i="56"/>
  <c r="BK13" i="3"/>
  <c r="AK13" i="3"/>
  <c r="R69" i="61"/>
  <c r="R165" i="30"/>
  <c r="R98" i="61"/>
  <c r="S98" i="61" s="1"/>
  <c r="T98" i="61" s="1"/>
  <c r="X9" i="30"/>
  <c r="AA290" i="56"/>
  <c r="U226" i="56"/>
  <c r="R5" i="30"/>
  <c r="T56" i="30"/>
  <c r="V205" i="56"/>
  <c r="T327" i="56"/>
  <c r="AA271" i="56"/>
  <c r="N304" i="56"/>
  <c r="T304" i="56" s="1"/>
  <c r="V204" i="30"/>
  <c r="U242" i="56"/>
  <c r="T353" i="56"/>
  <c r="R96" i="30"/>
  <c r="K106" i="39"/>
  <c r="T303" i="56"/>
  <c r="T342" i="56"/>
  <c r="Q14" i="61"/>
  <c r="E42" i="1"/>
  <c r="X165" i="30"/>
  <c r="C33" i="1"/>
  <c r="AG134" i="3"/>
  <c r="EC60" i="73"/>
  <c r="AS35" i="3"/>
  <c r="J8" i="30"/>
  <c r="H165" i="30"/>
  <c r="AF20" i="3"/>
  <c r="AP73" i="3"/>
  <c r="AL335" i="39"/>
  <c r="AB335" i="39"/>
  <c r="V210" i="56"/>
  <c r="T338" i="56"/>
  <c r="S99" i="62"/>
  <c r="S100" i="62" s="1"/>
  <c r="AA273" i="56"/>
  <c r="T331" i="56"/>
  <c r="AA289" i="56"/>
  <c r="AM37" i="3"/>
  <c r="AR37" i="3"/>
  <c r="V63" i="56"/>
  <c r="AG138" i="3"/>
  <c r="EC62" i="73"/>
  <c r="AQ114" i="3"/>
  <c r="AU123" i="3"/>
  <c r="AW123" i="3" s="1"/>
  <c r="AM45" i="3"/>
  <c r="AO45" i="3" s="1"/>
  <c r="R46" i="1"/>
  <c r="Y81" i="49"/>
  <c r="Q50" i="4"/>
  <c r="S50" i="4" s="1"/>
  <c r="K77" i="39"/>
  <c r="AC325" i="39"/>
  <c r="AG325" i="39" s="1"/>
  <c r="AH325" i="39" s="1"/>
  <c r="AG324" i="39"/>
  <c r="AH324" i="39" s="1"/>
  <c r="D9" i="3"/>
  <c r="AK126" i="3"/>
  <c r="Y151" i="3"/>
  <c r="W15" i="30"/>
  <c r="L15" i="30"/>
  <c r="L60" i="30"/>
  <c r="U504" i="56"/>
  <c r="U505" i="56" s="1"/>
  <c r="S59" i="6"/>
  <c r="S61" i="6" s="1"/>
  <c r="AG19" i="3"/>
  <c r="AN19" i="3" s="1"/>
  <c r="F16" i="49"/>
  <c r="Y162" i="30"/>
  <c r="W165" i="30"/>
  <c r="AP54" i="3"/>
  <c r="I14" i="6"/>
  <c r="G14" i="6" s="1"/>
  <c r="BK56" i="3"/>
  <c r="BI60" i="3"/>
  <c r="BK60" i="3" s="1"/>
  <c r="Y14" i="30"/>
  <c r="T15" i="30"/>
  <c r="X15" i="30"/>
  <c r="M76" i="49"/>
  <c r="H39" i="49" s="1"/>
  <c r="J252" i="56"/>
  <c r="T252" i="56" s="1"/>
  <c r="BH58" i="3"/>
  <c r="K5" i="30"/>
  <c r="J9" i="30"/>
  <c r="H204" i="30"/>
  <c r="U674" i="56"/>
  <c r="P286" i="39"/>
  <c r="AQ102" i="3"/>
  <c r="S694" i="56" s="1"/>
  <c r="T694" i="56" s="1"/>
  <c r="AU103" i="3"/>
  <c r="E710" i="56" s="1"/>
  <c r="G710" i="56" s="1"/>
  <c r="AH102" i="3"/>
  <c r="E136" i="53"/>
  <c r="J7" i="30"/>
  <c r="R131" i="30"/>
  <c r="Z129" i="30"/>
  <c r="H131" i="30"/>
  <c r="R7" i="30"/>
  <c r="Z131" i="30"/>
  <c r="V131" i="30"/>
  <c r="W204" i="30"/>
  <c r="AM46" i="3"/>
  <c r="AO46" i="3" s="1"/>
  <c r="AR46" i="3"/>
  <c r="AS46" i="3" s="1"/>
  <c r="K48" i="39"/>
  <c r="AD382" i="39"/>
  <c r="N383" i="39"/>
  <c r="AD383" i="39" s="1"/>
  <c r="U678" i="56"/>
  <c r="AM31" i="3"/>
  <c r="BG31" i="3"/>
  <c r="AK34" i="3"/>
  <c r="C18" i="49" s="1"/>
  <c r="N11" i="4"/>
  <c r="O35" i="4"/>
  <c r="E30" i="1"/>
  <c r="EC59" i="73"/>
  <c r="AG132" i="3"/>
  <c r="EB64" i="73"/>
  <c r="AG130" i="3"/>
  <c r="Y129" i="30"/>
  <c r="W131" i="30"/>
  <c r="Y131" i="30" s="1"/>
  <c r="T325" i="39"/>
  <c r="X325" i="39" s="1"/>
  <c r="AB325" i="39" s="1"/>
  <c r="X324" i="39"/>
  <c r="AB324" i="39" s="1"/>
  <c r="AG94" i="3"/>
  <c r="AF94" i="3"/>
  <c r="U97" i="30"/>
  <c r="W96" i="30"/>
  <c r="R6" i="30"/>
  <c r="H96" i="30"/>
  <c r="V96" i="30"/>
  <c r="AA275" i="56"/>
  <c r="S316" i="56"/>
  <c r="T316" i="56"/>
  <c r="M317" i="56"/>
  <c r="N317" i="56" s="1"/>
  <c r="BI15" i="3"/>
  <c r="AK14" i="3"/>
  <c r="N325" i="39"/>
  <c r="Q324" i="39"/>
  <c r="AL324" i="39" s="1"/>
  <c r="AM325" i="39" s="1"/>
  <c r="AH62" i="3"/>
  <c r="AH61" i="3" s="1"/>
  <c r="AP79" i="3"/>
  <c r="AK6" i="3" s="1"/>
  <c r="AH84" i="3"/>
  <c r="EC57" i="73"/>
  <c r="AG128" i="3"/>
  <c r="AH59" i="3"/>
  <c r="BA5" i="3"/>
  <c r="AZ97" i="3"/>
  <c r="BA97" i="3" s="1"/>
  <c r="BB97" i="3" s="1"/>
  <c r="N9" i="4"/>
  <c r="AG90" i="3"/>
  <c r="AF90" i="3"/>
  <c r="AF91" i="3" s="1"/>
  <c r="AU110" i="3" s="1"/>
  <c r="BK55" i="3"/>
  <c r="AK55" i="3"/>
  <c r="Y228" i="30"/>
  <c r="W239" i="30"/>
  <c r="Y239" i="30" s="1"/>
  <c r="S299" i="56"/>
  <c r="T299" i="56"/>
  <c r="L521" i="56"/>
  <c r="BI49" i="3"/>
  <c r="AK48" i="3"/>
  <c r="BK48" i="3"/>
  <c r="BG14" i="3"/>
  <c r="AM14" i="3"/>
  <c r="AG103" i="3"/>
  <c r="AG105" i="3" s="1"/>
  <c r="AT95" i="3"/>
  <c r="AV95" i="3" s="1"/>
  <c r="F22" i="49"/>
  <c r="E40" i="1"/>
  <c r="AP72" i="3"/>
  <c r="AG142" i="3"/>
  <c r="T277" i="56"/>
  <c r="T263" i="56"/>
  <c r="Y184" i="30"/>
  <c r="X204" i="30"/>
  <c r="C8" i="49"/>
  <c r="C16" i="49" s="1"/>
  <c r="C16" i="1"/>
  <c r="C26" i="1" s="1"/>
  <c r="C30" i="1" s="1"/>
  <c r="J291" i="56"/>
  <c r="T291" i="56"/>
  <c r="AM47" i="3"/>
  <c r="AO47" i="3" s="1"/>
  <c r="AR47" i="3"/>
  <c r="AS47" i="3" s="1"/>
  <c r="AB95" i="49"/>
  <c r="AD95" i="49" s="1"/>
  <c r="AM95" i="49" s="1"/>
  <c r="AA95" i="49"/>
  <c r="AA97" i="49"/>
  <c r="AB97" i="49"/>
  <c r="AD97" i="49" s="1"/>
  <c r="D69" i="49" l="1"/>
  <c r="E703" i="56"/>
  <c r="G703" i="56" s="1"/>
  <c r="S16" i="66"/>
  <c r="C58" i="49"/>
  <c r="D70" i="49"/>
  <c r="I70" i="49" s="1"/>
  <c r="P70" i="49" s="1"/>
  <c r="C18" i="1"/>
  <c r="C12" i="49" s="1"/>
  <c r="C10" i="49"/>
  <c r="U694" i="56"/>
  <c r="S695" i="56"/>
  <c r="T695" i="56" s="1"/>
  <c r="D695" i="56"/>
  <c r="G695" i="56" s="1"/>
  <c r="L695" i="56" s="1"/>
  <c r="AL101" i="3"/>
  <c r="G28" i="49" s="1"/>
  <c r="AB93" i="49"/>
  <c r="Q47" i="4"/>
  <c r="AO14" i="3"/>
  <c r="AQ106" i="3"/>
  <c r="P696" i="56" s="1"/>
  <c r="AO61" i="3"/>
  <c r="G36" i="1"/>
  <c r="H36" i="1" s="1"/>
  <c r="F12" i="49"/>
  <c r="Z79" i="49" s="1"/>
  <c r="Z110" i="49" s="1"/>
  <c r="E18" i="1"/>
  <c r="AR31" i="3"/>
  <c r="AS31" i="3" s="1"/>
  <c r="E33" i="1"/>
  <c r="AR14" i="3"/>
  <c r="AP31" i="3"/>
  <c r="K165" i="39" s="1"/>
  <c r="AP14" i="3"/>
  <c r="AK2" i="3" s="1"/>
  <c r="AP62" i="3"/>
  <c r="F17" i="49"/>
  <c r="D60" i="49" s="1"/>
  <c r="D61" i="49" s="1"/>
  <c r="R49" i="4"/>
  <c r="S49" i="4" s="1"/>
  <c r="AO31" i="3"/>
  <c r="AN76" i="3"/>
  <c r="AP76" i="3" s="1"/>
  <c r="AN42" i="3"/>
  <c r="AP42" i="3" s="1"/>
  <c r="V48" i="4"/>
  <c r="S48" i="4"/>
  <c r="L61" i="49"/>
  <c r="Z83" i="49"/>
  <c r="AI83" i="49" s="1"/>
  <c r="AP16" i="3"/>
  <c r="AQ104" i="3"/>
  <c r="S696" i="56" s="1"/>
  <c r="T696" i="56" s="1"/>
  <c r="Z84" i="49"/>
  <c r="Z99" i="49" s="1"/>
  <c r="H4" i="4"/>
  <c r="D37" i="4" s="1"/>
  <c r="M8" i="4"/>
  <c r="S317" i="56"/>
  <c r="T264" i="56"/>
  <c r="P688" i="56"/>
  <c r="U688" i="56" s="1"/>
  <c r="P695" i="56"/>
  <c r="AF95" i="3"/>
  <c r="AU111" i="3" s="1"/>
  <c r="AG97" i="3"/>
  <c r="P689" i="56"/>
  <c r="U689" i="56" s="1"/>
  <c r="AA82" i="49"/>
  <c r="AA113" i="49" s="1"/>
  <c r="AI82" i="49"/>
  <c r="AA277" i="56"/>
  <c r="U676" i="56"/>
  <c r="J332" i="56"/>
  <c r="Y96" i="30"/>
  <c r="Z113" i="49"/>
  <c r="AC82" i="49"/>
  <c r="AD82" i="49" s="1"/>
  <c r="S343" i="56"/>
  <c r="T354" i="56"/>
  <c r="C38" i="1"/>
  <c r="S332" i="56"/>
  <c r="AP70" i="3"/>
  <c r="AG20" i="3"/>
  <c r="X8" i="30"/>
  <c r="Y106" i="49"/>
  <c r="T8" i="30"/>
  <c r="V52" i="4"/>
  <c r="AB75" i="49"/>
  <c r="T343" i="56"/>
  <c r="T332" i="56"/>
  <c r="J343" i="56"/>
  <c r="G18" i="49"/>
  <c r="H18" i="49" s="1"/>
  <c r="AP56" i="3"/>
  <c r="AZ96" i="3" s="1"/>
  <c r="BA96" i="3" s="1"/>
  <c r="BB96" i="3" s="1"/>
  <c r="AA291" i="56"/>
  <c r="BA3" i="3"/>
  <c r="BB3" i="3" s="1"/>
  <c r="AT96" i="3"/>
  <c r="AV96" i="3" s="1"/>
  <c r="J253" i="56"/>
  <c r="T253" i="56" s="1"/>
  <c r="T10" i="30"/>
  <c r="W10" i="30"/>
  <c r="Y10" i="30" s="1"/>
  <c r="T317" i="56"/>
  <c r="AR56" i="3"/>
  <c r="S304" i="56"/>
  <c r="G34" i="1"/>
  <c r="H34" i="1" s="1"/>
  <c r="Y165" i="30"/>
  <c r="AQ107" i="3"/>
  <c r="C34" i="1"/>
  <c r="BB79" i="3"/>
  <c r="AH76" i="3" s="1"/>
  <c r="F20" i="49"/>
  <c r="AU120" i="3"/>
  <c r="AW120" i="3" s="1"/>
  <c r="V56" i="30"/>
  <c r="V60" i="30" s="1"/>
  <c r="T60" i="30"/>
  <c r="T57" i="30"/>
  <c r="W56" i="30"/>
  <c r="G19" i="49"/>
  <c r="H19" i="49" s="1"/>
  <c r="T5" i="30"/>
  <c r="W5" i="30"/>
  <c r="BG13" i="3"/>
  <c r="AM13" i="3"/>
  <c r="Y204" i="30"/>
  <c r="AM56" i="3"/>
  <c r="AO56" i="3" s="1"/>
  <c r="W8" i="30"/>
  <c r="L8" i="30"/>
  <c r="I18" i="6"/>
  <c r="BG56" i="3"/>
  <c r="AP19" i="3"/>
  <c r="AT94" i="3"/>
  <c r="AV94" i="3" s="1"/>
  <c r="AH79" i="3"/>
  <c r="E9" i="3"/>
  <c r="AL127" i="3"/>
  <c r="Y152" i="3"/>
  <c r="E20" i="1"/>
  <c r="AB81" i="49"/>
  <c r="Y112" i="49"/>
  <c r="Y96" i="49"/>
  <c r="R60" i="30"/>
  <c r="N60" i="30"/>
  <c r="R49" i="1"/>
  <c r="Y15" i="30"/>
  <c r="W7" i="30"/>
  <c r="Y7" i="30" s="1"/>
  <c r="T7" i="30"/>
  <c r="L7" i="30"/>
  <c r="J17" i="30"/>
  <c r="L5" i="30"/>
  <c r="X5" i="30"/>
  <c r="K17" i="30"/>
  <c r="AM58" i="3"/>
  <c r="AO58" i="3" s="1"/>
  <c r="BH60" i="3"/>
  <c r="AR60" i="3" s="1"/>
  <c r="AK58" i="3"/>
  <c r="AR58" i="3"/>
  <c r="AQ103" i="3"/>
  <c r="W9" i="30"/>
  <c r="Y9" i="30" s="1"/>
  <c r="L9" i="30"/>
  <c r="AG95" i="3"/>
  <c r="AK15" i="3"/>
  <c r="C19" i="1" s="1"/>
  <c r="BK15" i="3"/>
  <c r="AR15" i="3" s="1"/>
  <c r="BI16" i="3"/>
  <c r="AP60" i="3"/>
  <c r="Q325" i="39"/>
  <c r="AL325" i="39" s="1"/>
  <c r="W6" i="30"/>
  <c r="T6" i="30"/>
  <c r="R17" i="30"/>
  <c r="T17" i="30" s="1"/>
  <c r="L5" i="49"/>
  <c r="P57" i="49" s="1"/>
  <c r="P58" i="49" s="1"/>
  <c r="BB5" i="3"/>
  <c r="BH40" i="3"/>
  <c r="AR40" i="3" s="1"/>
  <c r="BH39" i="3"/>
  <c r="AG81" i="3"/>
  <c r="AF98" i="3"/>
  <c r="AF99" i="3" s="1"/>
  <c r="H28" i="49" s="1"/>
  <c r="AG91" i="3"/>
  <c r="AG92" i="3" s="1"/>
  <c r="I69" i="49"/>
  <c r="P69" i="49" s="1"/>
  <c r="AK49" i="3"/>
  <c r="BI52" i="3"/>
  <c r="BK49" i="3"/>
  <c r="BI50" i="3"/>
  <c r="AR55" i="3"/>
  <c r="AS55" i="3" s="1"/>
  <c r="AM55" i="3"/>
  <c r="AO55" i="3" s="1"/>
  <c r="AZ95" i="3"/>
  <c r="BA95" i="3" s="1"/>
  <c r="BB95" i="3" s="1"/>
  <c r="BC95" i="3" s="1"/>
  <c r="BA6" i="3"/>
  <c r="BB6" i="3" s="1"/>
  <c r="BC6" i="3" s="1"/>
  <c r="AM48" i="3"/>
  <c r="AO48" i="3" s="1"/>
  <c r="AR48" i="3"/>
  <c r="AS48" i="3" s="1"/>
  <c r="AS4" i="3"/>
  <c r="D25" i="1"/>
  <c r="D54" i="49" l="1"/>
  <c r="U696" i="56"/>
  <c r="U695" i="56"/>
  <c r="C94" i="49"/>
  <c r="O61" i="49"/>
  <c r="I16" i="66"/>
  <c r="G12" i="49"/>
  <c r="H12" i="49" s="1"/>
  <c r="AS14" i="3"/>
  <c r="AU106" i="3"/>
  <c r="Z80" i="49"/>
  <c r="AA80" i="49" s="1"/>
  <c r="AA111" i="49" s="1"/>
  <c r="AS56" i="3"/>
  <c r="Q11" i="1" s="1"/>
  <c r="P359" i="56"/>
  <c r="AI84" i="49"/>
  <c r="AI99" i="49"/>
  <c r="G59" i="1"/>
  <c r="AB76" i="49"/>
  <c r="Y91" i="49"/>
  <c r="AB91" i="49" s="1"/>
  <c r="Y107" i="49"/>
  <c r="AC79" i="49"/>
  <c r="AF79" i="49" s="1"/>
  <c r="AA79" i="49"/>
  <c r="AA110" i="49" s="1"/>
  <c r="AI79" i="49"/>
  <c r="V49" i="4"/>
  <c r="BA4" i="3"/>
  <c r="BB4" i="3" s="1"/>
  <c r="BC4" i="3" s="1"/>
  <c r="G18" i="1"/>
  <c r="H18" i="1" s="1"/>
  <c r="G17" i="49"/>
  <c r="H17" i="49" s="1"/>
  <c r="G33" i="1"/>
  <c r="H33" i="1" s="1"/>
  <c r="AN81" i="3"/>
  <c r="AP81" i="3" s="1"/>
  <c r="AH75" i="3"/>
  <c r="AN20" i="3"/>
  <c r="F10" i="49" s="1"/>
  <c r="D49" i="49" s="1"/>
  <c r="D50" i="49" s="1"/>
  <c r="AQ105" i="3"/>
  <c r="Z115" i="49"/>
  <c r="AC84" i="49"/>
  <c r="AD84" i="49" s="1"/>
  <c r="AA84" i="49"/>
  <c r="AA115" i="49" s="1"/>
  <c r="AJ82" i="49"/>
  <c r="AF82" i="49"/>
  <c r="P7" i="1"/>
  <c r="Z81" i="49"/>
  <c r="Y8" i="30"/>
  <c r="L4" i="49"/>
  <c r="N8" i="4"/>
  <c r="G38" i="1"/>
  <c r="H38" i="1" s="1"/>
  <c r="G20" i="49"/>
  <c r="H20" i="49" s="1"/>
  <c r="O8" i="4"/>
  <c r="AU96" i="3"/>
  <c r="W60" i="30"/>
  <c r="Y56" i="30"/>
  <c r="Y60" i="30" s="1"/>
  <c r="AA96" i="49"/>
  <c r="AB96" i="49"/>
  <c r="AD96" i="49" s="1"/>
  <c r="AM96" i="49" s="1"/>
  <c r="AZ94" i="3"/>
  <c r="BA94" i="3" s="1"/>
  <c r="BB94" i="3" s="1"/>
  <c r="BC94" i="3" s="1"/>
  <c r="AK3" i="3"/>
  <c r="E22" i="1"/>
  <c r="E24" i="1"/>
  <c r="N10" i="4" s="1"/>
  <c r="F9" i="3"/>
  <c r="AM126" i="3"/>
  <c r="Y153" i="3"/>
  <c r="L17" i="30"/>
  <c r="AU97" i="3"/>
  <c r="AS58" i="3"/>
  <c r="G21" i="49"/>
  <c r="G39" i="1"/>
  <c r="H39" i="1" s="1"/>
  <c r="O33" i="4"/>
  <c r="C39" i="1"/>
  <c r="C21" i="49"/>
  <c r="Y5" i="30"/>
  <c r="X17" i="30"/>
  <c r="BG60" i="3"/>
  <c r="BH61" i="3"/>
  <c r="AG96" i="3"/>
  <c r="W17" i="30"/>
  <c r="Y6" i="30"/>
  <c r="AK16" i="3"/>
  <c r="BI17" i="3"/>
  <c r="BK16" i="3"/>
  <c r="AM15" i="3"/>
  <c r="BG15" i="3"/>
  <c r="M4" i="49"/>
  <c r="Q7" i="1"/>
  <c r="BC3" i="3"/>
  <c r="M5" i="49"/>
  <c r="BC5" i="3"/>
  <c r="N5" i="49" s="1"/>
  <c r="BK52" i="3"/>
  <c r="BI53" i="3"/>
  <c r="BK53" i="3" s="1"/>
  <c r="AK52" i="3"/>
  <c r="Z114" i="49"/>
  <c r="AC83" i="49"/>
  <c r="AA83" i="49"/>
  <c r="AA114" i="49" s="1"/>
  <c r="Z98" i="49"/>
  <c r="AI98" i="49" s="1"/>
  <c r="AR39" i="3"/>
  <c r="AS39" i="3" s="1"/>
  <c r="AK39" i="3"/>
  <c r="AM39" i="3"/>
  <c r="AO39" i="3" s="1"/>
  <c r="AN101" i="3"/>
  <c r="H59" i="1" s="1"/>
  <c r="AM49" i="3"/>
  <c r="BK50" i="3"/>
  <c r="AR49" i="3"/>
  <c r="BH73" i="3"/>
  <c r="BH29" i="3"/>
  <c r="BH72" i="3"/>
  <c r="AM40" i="3"/>
  <c r="AO40" i="3" s="1"/>
  <c r="AK40" i="3"/>
  <c r="AM42" i="3"/>
  <c r="AO42" i="3" s="1"/>
  <c r="AM41" i="3"/>
  <c r="BH42" i="3"/>
  <c r="AS40" i="3"/>
  <c r="AB8" i="1"/>
  <c r="M7" i="4"/>
  <c r="E4" i="4"/>
  <c r="D55" i="49" l="1"/>
  <c r="D94" i="49"/>
  <c r="N16" i="66"/>
  <c r="Z75" i="49"/>
  <c r="Z90" i="49" s="1"/>
  <c r="C61" i="49"/>
  <c r="P54" i="49"/>
  <c r="Z111" i="49"/>
  <c r="AC80" i="49"/>
  <c r="AD80" i="49" s="1"/>
  <c r="AC99" i="49"/>
  <c r="AF99" i="49" s="1"/>
  <c r="AI80" i="49"/>
  <c r="AA99" i="49"/>
  <c r="AD79" i="49"/>
  <c r="P60" i="49"/>
  <c r="P61" i="49" s="1"/>
  <c r="AF84" i="49"/>
  <c r="AA81" i="49"/>
  <c r="AA112" i="49" s="1"/>
  <c r="AI81" i="49"/>
  <c r="AP20" i="3"/>
  <c r="AZ93" i="3" s="1"/>
  <c r="BA93" i="3" s="1"/>
  <c r="BB93" i="3" s="1"/>
  <c r="BC93" i="3" s="1"/>
  <c r="Z112" i="49"/>
  <c r="AC81" i="49"/>
  <c r="AF81" i="49" s="1"/>
  <c r="BB80" i="3"/>
  <c r="E25" i="1"/>
  <c r="AT93" i="3"/>
  <c r="AV93" i="3" s="1"/>
  <c r="BA2" i="3"/>
  <c r="P6" i="1" s="1"/>
  <c r="E16" i="66"/>
  <c r="P10" i="1"/>
  <c r="AU119" i="3"/>
  <c r="AW119" i="3" s="1"/>
  <c r="R44" i="4"/>
  <c r="V44" i="4" s="1"/>
  <c r="Y154" i="3"/>
  <c r="G9" i="3"/>
  <c r="AN127" i="3"/>
  <c r="AG144" i="3" s="1"/>
  <c r="R46" i="4"/>
  <c r="V46" i="4" s="1"/>
  <c r="Y17" i="30"/>
  <c r="BG61" i="3"/>
  <c r="BH62" i="3"/>
  <c r="AK61" i="3"/>
  <c r="AR61" i="3"/>
  <c r="AS61" i="3" s="1"/>
  <c r="O9" i="4"/>
  <c r="H21" i="49"/>
  <c r="BK17" i="3"/>
  <c r="BI18" i="3"/>
  <c r="C20" i="1"/>
  <c r="C22" i="1" s="1"/>
  <c r="AM16" i="3"/>
  <c r="BG16" i="3"/>
  <c r="AW94" i="3" s="1"/>
  <c r="AX94" i="3" s="1"/>
  <c r="G22" i="1"/>
  <c r="AR16" i="3"/>
  <c r="G11" i="49" s="1"/>
  <c r="H11" i="49" s="1"/>
  <c r="N4" i="49"/>
  <c r="R7" i="1"/>
  <c r="AK42" i="3"/>
  <c r="AR42" i="3"/>
  <c r="AS42" i="3" s="1"/>
  <c r="BH75" i="3"/>
  <c r="BH76" i="3" s="1"/>
  <c r="AK73" i="3"/>
  <c r="AM73" i="3"/>
  <c r="AR73" i="3"/>
  <c r="AR50" i="3"/>
  <c r="AM50" i="3"/>
  <c r="AK72" i="3"/>
  <c r="AM72" i="3"/>
  <c r="AR72" i="3"/>
  <c r="AC98" i="49"/>
  <c r="AF98" i="49" s="1"/>
  <c r="AA98" i="49"/>
  <c r="AR53" i="3"/>
  <c r="AM53" i="3"/>
  <c r="AF83" i="49"/>
  <c r="AD83" i="49"/>
  <c r="AM52" i="3"/>
  <c r="AR52" i="3"/>
  <c r="D36" i="4"/>
  <c r="A7" i="4"/>
  <c r="C50" i="49" l="1"/>
  <c r="P55" i="49"/>
  <c r="R46" i="49"/>
  <c r="AD99" i="49"/>
  <c r="AF80" i="49"/>
  <c r="P51" i="49"/>
  <c r="N7" i="4"/>
  <c r="AD81" i="49"/>
  <c r="BB2" i="3"/>
  <c r="BC2" i="3" s="1"/>
  <c r="L3" i="49"/>
  <c r="S44" i="4"/>
  <c r="Y155" i="3"/>
  <c r="H9" i="3"/>
  <c r="AO126" i="3"/>
  <c r="BH70" i="3"/>
  <c r="BG62" i="3"/>
  <c r="AR62" i="3"/>
  <c r="AS16" i="3"/>
  <c r="H20" i="1" s="1"/>
  <c r="AU94" i="3"/>
  <c r="G20" i="1"/>
  <c r="BK18" i="3"/>
  <c r="BI19" i="3"/>
  <c r="AM17" i="3"/>
  <c r="AR17" i="3"/>
  <c r="G23" i="1" s="1"/>
  <c r="AS72" i="3"/>
  <c r="G22" i="49"/>
  <c r="AU95" i="3"/>
  <c r="AW95" i="3" s="1"/>
  <c r="AX95" i="3" s="1"/>
  <c r="G40" i="1"/>
  <c r="H40" i="1" s="1"/>
  <c r="C23" i="49"/>
  <c r="C42" i="1"/>
  <c r="AD98" i="49"/>
  <c r="C40" i="1"/>
  <c r="C22" i="49"/>
  <c r="G23" i="49"/>
  <c r="AS73" i="3"/>
  <c r="G42" i="1"/>
  <c r="H42" i="1" s="1"/>
  <c r="H23" i="49" l="1"/>
  <c r="R47" i="4"/>
  <c r="V47" i="4" s="1"/>
  <c r="H22" i="49"/>
  <c r="P49" i="49"/>
  <c r="P50" i="49" s="1"/>
  <c r="AI90" i="49"/>
  <c r="AC75" i="49"/>
  <c r="AD75" i="49" s="1"/>
  <c r="AI75" i="49"/>
  <c r="AA75" i="49"/>
  <c r="AA106" i="49" s="1"/>
  <c r="Z106" i="49"/>
  <c r="Q6" i="1"/>
  <c r="M3" i="49"/>
  <c r="I9" i="3"/>
  <c r="AP126" i="3"/>
  <c r="Y156" i="3"/>
  <c r="AK70" i="3"/>
  <c r="BG70" i="3"/>
  <c r="AR70" i="3"/>
  <c r="AS70" i="3" s="1"/>
  <c r="AM70" i="3"/>
  <c r="AO70" i="3" s="1"/>
  <c r="AK19" i="3"/>
  <c r="BI20" i="3"/>
  <c r="BK19" i="3"/>
  <c r="S46" i="4"/>
  <c r="AR18" i="3"/>
  <c r="AM18" i="3"/>
  <c r="C27" i="1"/>
  <c r="C13" i="49" s="1"/>
  <c r="C28" i="1"/>
  <c r="AA90" i="49"/>
  <c r="R6" i="1"/>
  <c r="N3" i="49"/>
  <c r="AC76" i="49" l="1"/>
  <c r="AA76" i="49"/>
  <c r="AA107" i="49" s="1"/>
  <c r="AI76" i="49"/>
  <c r="Z107" i="49"/>
  <c r="AI78" i="49"/>
  <c r="AA78" i="49"/>
  <c r="AA109" i="49" s="1"/>
  <c r="AC78" i="49"/>
  <c r="Z109" i="49"/>
  <c r="AC90" i="49"/>
  <c r="AF75" i="49"/>
  <c r="C24" i="1"/>
  <c r="Y157" i="3"/>
  <c r="J9" i="3"/>
  <c r="AQ126" i="3"/>
  <c r="AM19" i="3"/>
  <c r="AR19" i="3"/>
  <c r="BK20" i="3"/>
  <c r="BI21" i="3"/>
  <c r="AK20" i="3"/>
  <c r="C14" i="49"/>
  <c r="C17" i="1"/>
  <c r="AD90" i="49" l="1"/>
  <c r="AM90" i="49" s="1"/>
  <c r="AF90" i="49"/>
  <c r="AD78" i="49"/>
  <c r="AF78" i="49"/>
  <c r="AD76" i="49"/>
  <c r="AF76" i="49"/>
  <c r="AI91" i="49"/>
  <c r="Z93" i="49"/>
  <c r="AA91" i="49"/>
  <c r="AC91" i="49"/>
  <c r="AR126" i="3"/>
  <c r="K9" i="3"/>
  <c r="Y158" i="3"/>
  <c r="BI29" i="3"/>
  <c r="BK29" i="3" s="1"/>
  <c r="BK21" i="3"/>
  <c r="AR21" i="3" s="1"/>
  <c r="AR20" i="3"/>
  <c r="G10" i="49" s="1"/>
  <c r="BG20" i="3"/>
  <c r="AW93" i="3" s="1"/>
  <c r="AX93" i="3" s="1"/>
  <c r="AM20" i="3"/>
  <c r="AO20" i="3" s="1"/>
  <c r="AS19" i="3"/>
  <c r="H24" i="1" s="1"/>
  <c r="G24" i="1"/>
  <c r="O10" i="4" s="1"/>
  <c r="C25" i="1"/>
  <c r="AI93" i="49" l="1"/>
  <c r="AA93" i="49"/>
  <c r="Z94" i="49"/>
  <c r="AC93" i="49"/>
  <c r="AD91" i="49"/>
  <c r="AM91" i="49" s="1"/>
  <c r="AF91" i="49"/>
  <c r="L9" i="3"/>
  <c r="Y159" i="3"/>
  <c r="AS126" i="3"/>
  <c r="AS20" i="3"/>
  <c r="G25" i="1"/>
  <c r="AU93" i="3"/>
  <c r="AS21" i="3"/>
  <c r="G8" i="49"/>
  <c r="H8" i="49" s="1"/>
  <c r="Q10" i="1" l="1"/>
  <c r="H10" i="49"/>
  <c r="AI94" i="49"/>
  <c r="AC94" i="49"/>
  <c r="AA94" i="49"/>
  <c r="AF93" i="49"/>
  <c r="AD93" i="49"/>
  <c r="AM93" i="49" s="1"/>
  <c r="Y160" i="3"/>
  <c r="AT126" i="3"/>
  <c r="M9" i="3"/>
  <c r="H25" i="1"/>
  <c r="O7" i="4"/>
  <c r="AF94" i="49" l="1"/>
  <c r="AD94" i="49"/>
  <c r="AM94" i="49" s="1"/>
  <c r="S47" i="4"/>
  <c r="N9" i="3"/>
  <c r="Y161" i="3"/>
  <c r="AU126" i="3"/>
  <c r="AV126" i="3" l="1"/>
  <c r="Y162" i="3"/>
  <c r="O9" i="3"/>
  <c r="AW126" i="3" l="1"/>
  <c r="P9" i="3"/>
  <c r="Y163" i="3"/>
  <c r="Q9" i="3" l="1"/>
  <c r="AX126" i="3"/>
  <c r="Y164" i="3"/>
  <c r="AY126" i="3" l="1"/>
  <c r="Y165" i="3"/>
  <c r="R9" i="3"/>
  <c r="Y166" i="3" l="1"/>
  <c r="S9" i="3"/>
  <c r="AZ126" i="3"/>
  <c r="BA126" i="3" l="1"/>
  <c r="Y167" i="3"/>
  <c r="T9" i="3"/>
  <c r="BB126" i="3" l="1"/>
  <c r="U9" i="3"/>
  <c r="Y168" i="3"/>
  <c r="Y169" i="3" l="1"/>
  <c r="V9" i="3"/>
  <c r="BC126" i="3"/>
  <c r="Y170" i="3" l="1"/>
  <c r="BD126" i="3"/>
  <c r="W9" i="3"/>
  <c r="Y171" i="3" l="1"/>
  <c r="X9" i="3"/>
  <c r="BE126" i="3"/>
  <c r="Y122" i="3" l="1"/>
  <c r="Y9" i="3"/>
  <c r="BF126" i="3"/>
  <c r="Y172" i="3"/>
  <c r="Y173" i="3" l="1"/>
  <c r="BG126" i="3"/>
  <c r="Z122" i="3"/>
  <c r="Z9" i="3"/>
  <c r="BH126" i="3" l="1"/>
  <c r="Y174" i="3"/>
  <c r="AA122" i="3"/>
  <c r="AA9" i="3"/>
  <c r="AB122" i="3" l="1"/>
  <c r="Y175" i="3"/>
  <c r="AB9" i="3"/>
  <c r="Y176" i="3" l="1"/>
  <c r="AC9" i="3"/>
  <c r="AC122" i="3"/>
  <c r="AD122" i="3" l="1"/>
  <c r="BK126" i="3"/>
  <c r="AD9" i="3"/>
  <c r="Y177" i="3"/>
  <c r="AE122" i="3" l="1"/>
  <c r="BL126" i="3"/>
  <c r="Y178" i="3"/>
  <c r="AE9" i="3"/>
  <c r="Y179" i="3" l="1"/>
  <c r="AF122" i="3"/>
  <c r="BC44" i="3"/>
  <c r="BC45" i="3"/>
  <c r="BC46" i="3"/>
  <c r="BC43" i="3"/>
  <c r="B369" i="56" l="1"/>
  <c r="E369" i="56" s="1"/>
  <c r="F369" i="56"/>
  <c r="I369" i="56" s="1"/>
  <c r="J369" i="56" l="1"/>
  <c r="BC41" i="3" l="1"/>
  <c r="BC36" i="3"/>
  <c r="BC40" i="3"/>
  <c r="BC37" i="3"/>
  <c r="BC39" i="3"/>
  <c r="BC34" i="3"/>
  <c r="BC35" i="3"/>
  <c r="BC38" i="3" l="1"/>
  <c r="AS62" i="3" l="1"/>
  <c r="AK62" i="3"/>
  <c r="AQ60" i="3"/>
  <c r="AS60" i="3" s="1"/>
  <c r="AK60" i="3" l="1"/>
  <c r="BC72" i="3" l="1"/>
  <c r="BC63" i="3"/>
  <c r="BC68" i="3"/>
  <c r="D53" i="1"/>
  <c r="BC75" i="3"/>
  <c r="Q363" i="56" s="1"/>
  <c r="BC66" i="3"/>
  <c r="BC74" i="3"/>
  <c r="BC70" i="3"/>
  <c r="BC77" i="3"/>
  <c r="Q367" i="56" s="1"/>
  <c r="BC76" i="3"/>
  <c r="BC73" i="3"/>
  <c r="Q364" i="56" s="1"/>
  <c r="Q365" i="56"/>
  <c r="BC67" i="3"/>
  <c r="BC71" i="3"/>
  <c r="BC65" i="3"/>
  <c r="BC69" i="3"/>
  <c r="BC64" i="3"/>
  <c r="N37" i="49" l="1"/>
  <c r="O37" i="49" s="1"/>
  <c r="BC78" i="3"/>
  <c r="B52" i="1"/>
  <c r="D52" i="1"/>
  <c r="D55" i="1" s="1"/>
  <c r="J45" i="1"/>
  <c r="Q366" i="56"/>
  <c r="Q369" i="56" s="1"/>
  <c r="R369" i="56" s="1"/>
  <c r="S369" i="56" l="1"/>
  <c r="T369" i="56"/>
  <c r="BE56" i="3" l="1"/>
  <c r="AG152" i="3"/>
  <c r="AG153" i="3"/>
  <c r="AG148" i="3"/>
  <c r="D9" i="6"/>
  <c r="J9" i="6" s="1"/>
  <c r="G9" i="6" s="1"/>
  <c r="J13" i="6"/>
  <c r="G13" i="6" s="1"/>
  <c r="D10" i="6"/>
  <c r="F10" i="6" s="1"/>
  <c r="BB55" i="3" s="1"/>
  <c r="D17" i="6"/>
  <c r="F17" i="6" s="1"/>
  <c r="BB59" i="3" s="1"/>
  <c r="D7" i="6"/>
  <c r="J7" i="6" s="1"/>
  <c r="D8" i="6"/>
  <c r="J8" i="6" s="1"/>
  <c r="G8" i="6" s="1"/>
  <c r="D12" i="6"/>
  <c r="J12" i="6" s="1"/>
  <c r="G12" i="6" s="1"/>
  <c r="J6" i="6"/>
  <c r="G6" i="6" s="1"/>
  <c r="D6" i="6"/>
  <c r="F6" i="6" s="1"/>
  <c r="BB49" i="3" s="1"/>
  <c r="BC60" i="3"/>
  <c r="J17" i="6" l="1"/>
  <c r="G17" i="6" s="1"/>
  <c r="R45" i="1" s="1"/>
  <c r="R51" i="4"/>
  <c r="V51" i="4" s="1"/>
  <c r="BC61" i="3"/>
  <c r="D18" i="6"/>
  <c r="F8" i="6"/>
  <c r="BB52" i="3" s="1"/>
  <c r="F9" i="6"/>
  <c r="BB54" i="3" s="1"/>
  <c r="J10" i="6"/>
  <c r="G10" i="6" s="1"/>
  <c r="R48" i="1" s="1"/>
  <c r="AG155" i="3"/>
  <c r="AG156" i="3" s="1"/>
  <c r="AG154" i="3" s="1"/>
  <c r="F12" i="6"/>
  <c r="BB57" i="3" s="1"/>
  <c r="R47" i="1"/>
  <c r="L21" i="49"/>
  <c r="G7" i="6"/>
  <c r="L17" i="49"/>
  <c r="R44" i="1"/>
  <c r="R41" i="1"/>
  <c r="L14" i="49"/>
  <c r="R43" i="1"/>
  <c r="L16" i="49"/>
  <c r="P372" i="56"/>
  <c r="D57" i="1"/>
  <c r="D56" i="1" s="1"/>
  <c r="O372" i="56"/>
  <c r="F7" i="6"/>
  <c r="L22" i="49" l="1"/>
  <c r="S51" i="4"/>
  <c r="J18" i="6"/>
  <c r="L20" i="49"/>
  <c r="O43" i="49" s="1"/>
  <c r="L18" i="49"/>
  <c r="R42" i="1"/>
  <c r="R40" i="1" s="1"/>
  <c r="O37" i="4" s="1"/>
  <c r="M34" i="4" s="1"/>
  <c r="L15" i="49"/>
  <c r="F18" i="6"/>
  <c r="BB50" i="3"/>
  <c r="BB60" i="3" s="1"/>
  <c r="G18" i="6"/>
  <c r="L25" i="49" l="1"/>
  <c r="O42" i="49" s="1"/>
  <c r="O44" i="49" s="1"/>
  <c r="O95" i="49" s="1"/>
  <c r="R52" i="1"/>
  <c r="AF12" i="3" l="1"/>
  <c r="M154" i="3"/>
  <c r="EB76" i="73" s="1"/>
  <c r="G29" i="49"/>
  <c r="AL115" i="3" s="1"/>
  <c r="AG12" i="3"/>
  <c r="AN12" i="3" s="1"/>
  <c r="AM114" i="3" s="1"/>
  <c r="D9" i="49"/>
  <c r="U80" i="3"/>
  <c r="AG80" i="3" s="1"/>
  <c r="AN80" i="3" s="1"/>
  <c r="AP80" i="3" s="1"/>
  <c r="AK7" i="3" s="1"/>
  <c r="AJ121" i="3" l="1"/>
  <c r="H61" i="1"/>
  <c r="AL114" i="3"/>
  <c r="AP12" i="3"/>
  <c r="AK5" i="3" s="1"/>
  <c r="AH106" i="3"/>
  <c r="H29" i="49"/>
  <c r="AM115" i="3" s="1"/>
  <c r="B102" i="1" s="1"/>
  <c r="E16" i="1"/>
  <c r="M112" i="1" s="1"/>
  <c r="AN114" i="3"/>
  <c r="AN109" i="3"/>
  <c r="AU118" i="3"/>
  <c r="AW118" i="3" s="1"/>
  <c r="AF80" i="3"/>
  <c r="AU116" i="3"/>
  <c r="AO12" i="3"/>
  <c r="BB82" i="3"/>
  <c r="AO109" i="3"/>
  <c r="F9" i="49"/>
  <c r="AR12" i="3"/>
  <c r="AS12" i="3" l="1"/>
  <c r="H9" i="49" s="1"/>
  <c r="G16" i="1"/>
  <c r="H16" i="1" s="1"/>
  <c r="G9" i="49"/>
</calcChain>
</file>

<file path=xl/sharedStrings.xml><?xml version="1.0" encoding="utf-8"?>
<sst xmlns="http://schemas.openxmlformats.org/spreadsheetml/2006/main" count="17021" uniqueCount="4236">
  <si>
    <t>GRADE-GROUP WISE MONTH-WISE SALEABLE STEEL FOR CALENDER YEAR 2016</t>
  </si>
  <si>
    <t>GRD GROUP</t>
  </si>
  <si>
    <t>JAN'16</t>
  </si>
  <si>
    <t>FEB'16</t>
  </si>
  <si>
    <t>MARCH'16</t>
  </si>
  <si>
    <t>APRIL'16</t>
  </si>
  <si>
    <t>MAY'16</t>
  </si>
  <si>
    <t>JUNE'16</t>
  </si>
  <si>
    <t>JULY'16</t>
  </si>
  <si>
    <t>AUG'16</t>
  </si>
  <si>
    <t>SEPT'16</t>
  </si>
  <si>
    <t>OCT'16</t>
  </si>
  <si>
    <t>NOV'16</t>
  </si>
  <si>
    <t>DEC'16</t>
  </si>
  <si>
    <t>YR. 2016</t>
  </si>
  <si>
    <t>CARBON STEEL</t>
  </si>
  <si>
    <t>03.09.2020</t>
  </si>
  <si>
    <t>ALLOY STEEL</t>
  </si>
  <si>
    <t>STN. STEEL</t>
  </si>
  <si>
    <t>OTHER SPL STEEL</t>
  </si>
  <si>
    <t xml:space="preserve">TOTAL  </t>
  </si>
  <si>
    <t>SUMMARY OF ABOVE</t>
  </si>
  <si>
    <t>GRRDD GROUP</t>
  </si>
  <si>
    <t>TOTAL</t>
  </si>
  <si>
    <t>ALLOY ATEEL</t>
  </si>
  <si>
    <t>GRADE-GROUP WISE MONTH-WISE CRUDE STEEL FOR CALENDER YEAR 2016</t>
  </si>
  <si>
    <t>ALLOY STEELS</t>
  </si>
  <si>
    <t>Ref : Tab2_01</t>
  </si>
  <si>
    <t>YEAR-WISE STN CRUDE &amp; SALEABLE</t>
  </si>
  <si>
    <t>2010-11</t>
  </si>
  <si>
    <t>2011-12</t>
  </si>
  <si>
    <t>2012-13</t>
  </si>
  <si>
    <t>2013-14</t>
  </si>
  <si>
    <t>2014-15</t>
  </si>
  <si>
    <t>2015-16</t>
  </si>
  <si>
    <t>16-17 TILL DT</t>
  </si>
  <si>
    <t>CRUDE</t>
  </si>
  <si>
    <t>SALEABLE</t>
  </si>
  <si>
    <t xml:space="preserve">Details relating to stainless steel slab despatch to salem </t>
  </si>
  <si>
    <t>YEAR</t>
  </si>
  <si>
    <t>2016-17</t>
  </si>
  <si>
    <t>2017-18</t>
  </si>
  <si>
    <t>DESPATCH(T)</t>
  </si>
  <si>
    <t>NIL</t>
  </si>
  <si>
    <t>GRADE-GROUP WISE MONTH-WISE CRUDE STEEL FOR CALENDER YEAR 2017</t>
  </si>
  <si>
    <t>JAN'17</t>
  </si>
  <si>
    <t>FEB'17</t>
  </si>
  <si>
    <t>MARCH'17</t>
  </si>
  <si>
    <t>APRIL'17</t>
  </si>
  <si>
    <t>MAY'17</t>
  </si>
  <si>
    <t>JUNE'17</t>
  </si>
  <si>
    <t>JULY'17</t>
  </si>
  <si>
    <t>AUG'17</t>
  </si>
  <si>
    <t>SEPT'17</t>
  </si>
  <si>
    <t>OCT'17</t>
  </si>
  <si>
    <t>NOV'17</t>
  </si>
  <si>
    <t>DEC'17</t>
  </si>
  <si>
    <t>YR. 2017</t>
  </si>
  <si>
    <t>~</t>
  </si>
  <si>
    <t>SAIL/ASP</t>
  </si>
  <si>
    <t>STEEL AUHTORITY OF INDIA LIMITED</t>
  </si>
  <si>
    <t>ALLOY STEELS PLANT</t>
  </si>
  <si>
    <t>DURGAPUR(WEST BENGAL)</t>
  </si>
  <si>
    <t/>
  </si>
  <si>
    <t>PIN 713209</t>
  </si>
  <si>
    <t>GRADE-GROUP WISE MONTH-WISE CRUDE STEEL FOR CALENDER YEAR 2018</t>
  </si>
  <si>
    <t>JAN'18</t>
  </si>
  <si>
    <t>FEB'18</t>
  </si>
  <si>
    <t>MARCH'18</t>
  </si>
  <si>
    <t>APRIL'18</t>
  </si>
  <si>
    <t>MAY'18</t>
  </si>
  <si>
    <t>JUNE'18</t>
  </si>
  <si>
    <t>JULY'18</t>
  </si>
  <si>
    <t>AUG'18</t>
  </si>
  <si>
    <t>SEPT'18</t>
  </si>
  <si>
    <t>OCT'18</t>
  </si>
  <si>
    <t>NOV'18</t>
  </si>
  <si>
    <t>DEC'18</t>
  </si>
  <si>
    <t>YR. 2018</t>
  </si>
  <si>
    <t>ELEMENT</t>
  </si>
  <si>
    <t>INGOT</t>
  </si>
  <si>
    <t>CC</t>
  </si>
  <si>
    <t>MONTH WISE CRUDE STEEL PRODUCTION FOR 2019-20 (UPTO SEPT'19)</t>
  </si>
  <si>
    <t>APR'19</t>
  </si>
  <si>
    <t>MAY'19</t>
  </si>
  <si>
    <t>JUNE'19</t>
  </si>
  <si>
    <t>JULY'19</t>
  </si>
  <si>
    <t>AUG'19</t>
  </si>
  <si>
    <t>SEPT'19</t>
  </si>
  <si>
    <t>UPTO SEPT'19</t>
  </si>
  <si>
    <t>GRADE-GROUP WISE MONTH-WISE CRUDE STEEL FOR CALENDER YEAR 2019</t>
  </si>
  <si>
    <t>JAN'19</t>
  </si>
  <si>
    <t>FEB'19</t>
  </si>
  <si>
    <t>MARCH'19</t>
  </si>
  <si>
    <t>APRIL'19</t>
  </si>
  <si>
    <t>OCT'19</t>
  </si>
  <si>
    <t>NOV'19</t>
  </si>
  <si>
    <t>DEC'19</t>
  </si>
  <si>
    <t>YR. 2019(T)</t>
  </si>
  <si>
    <t>STN</t>
  </si>
  <si>
    <t>स्टीळ अ‍ॅथारिटी ऑफ इंडिया लिमिटेड</t>
  </si>
  <si>
    <t>एलॉय स्टील प्ळांट</t>
  </si>
  <si>
    <t>TOTAL(T)</t>
  </si>
  <si>
    <t>GRAND TOTAL</t>
  </si>
  <si>
    <t>HOT METAL RECEIVD</t>
  </si>
  <si>
    <t>TONNNAGE</t>
  </si>
  <si>
    <t>2018-19 TILL DT</t>
  </si>
  <si>
    <t>STEEL AUTHORITY OF INDIA LIMITED</t>
  </si>
  <si>
    <t>ALLOY STEEL PLANT DURGAPUR-713208</t>
  </si>
  <si>
    <t>YEAR-WISE UNIT -WISE NO OF HEATS</t>
  </si>
  <si>
    <t>LF1</t>
  </si>
  <si>
    <t>LF2</t>
  </si>
  <si>
    <t>NIL'</t>
  </si>
  <si>
    <t>YEAR-WISE UNIT -WISE  PEODUCTION (TON)</t>
  </si>
  <si>
    <t>PRODUCTION FROM LF 2 WAS STOPPED SINCE 2016-17</t>
  </si>
  <si>
    <t>18-19</t>
  </si>
  <si>
    <t>19-20 CUM</t>
  </si>
  <si>
    <t>HOT METAL RECEIVED</t>
  </si>
  <si>
    <t>DSP HEAT RECEIVED</t>
  </si>
  <si>
    <t>SPADE JACKAL DESPATCHED ;</t>
  </si>
  <si>
    <t xml:space="preserve">19-20 </t>
  </si>
  <si>
    <t>20-21</t>
  </si>
  <si>
    <t xml:space="preserve">SPADE </t>
  </si>
  <si>
    <t>JACKAL</t>
  </si>
  <si>
    <t>2pi spl</t>
  </si>
  <si>
    <t>GRADE-GROUP WISE MONTH-WISE SALEABLE STEEL FOR CALENDER YEAR 2018</t>
  </si>
  <si>
    <t>GRADE-GROUP WISE MONTH-WISE SALEABLE STEEL FOR CALENDER YEAR 2019</t>
  </si>
  <si>
    <t>GRADE-GROUP WISE MONTH-WISE DESPACTH FOR CALENDER YEAR 2019</t>
  </si>
  <si>
    <t>RECORDS</t>
  </si>
  <si>
    <t>DAILY PRODUCTION</t>
  </si>
  <si>
    <t>April'20</t>
  </si>
  <si>
    <t>MAY'20</t>
  </si>
  <si>
    <t>JUNE'20</t>
  </si>
  <si>
    <t>JULY'20</t>
  </si>
  <si>
    <t>MAX</t>
  </si>
  <si>
    <t>DAILY PRDN</t>
  </si>
  <si>
    <t>QTY (T)</t>
  </si>
  <si>
    <t>DATE'</t>
  </si>
  <si>
    <t>267    '</t>
  </si>
  <si>
    <t>CW</t>
  </si>
  <si>
    <t>388'</t>
  </si>
  <si>
    <t>SAL</t>
  </si>
  <si>
    <t>DESPATCH</t>
  </si>
  <si>
    <t>MONTHLY</t>
  </si>
  <si>
    <t>DESPATCH'</t>
  </si>
  <si>
    <t>ALL TIME BEST</t>
  </si>
  <si>
    <t>NEXT  BEST</t>
  </si>
  <si>
    <t>RECORD ALL TIME BEST SINCE INCEPTION</t>
  </si>
  <si>
    <t>YEAERLY</t>
  </si>
  <si>
    <t>QTY</t>
  </si>
  <si>
    <t xml:space="preserve">MONTH </t>
  </si>
  <si>
    <t>96-97</t>
  </si>
  <si>
    <t>95-96</t>
  </si>
  <si>
    <t>CC SLAB</t>
  </si>
  <si>
    <t>MAR '94</t>
  </si>
  <si>
    <t>10-11</t>
  </si>
  <si>
    <t xml:space="preserve">INGOT </t>
  </si>
  <si>
    <t>MARCH'89</t>
  </si>
  <si>
    <t>88-89</t>
  </si>
  <si>
    <t>MAR'88</t>
  </si>
  <si>
    <t>92-93</t>
  </si>
  <si>
    <t>MARCH'97</t>
  </si>
  <si>
    <t>AUG'08</t>
  </si>
  <si>
    <t>MAR'95</t>
  </si>
  <si>
    <t>SPL ING</t>
  </si>
  <si>
    <t>FEB &amp; APR'08</t>
  </si>
  <si>
    <t>07-08</t>
  </si>
  <si>
    <t>MAR'08</t>
  </si>
  <si>
    <t>08-09</t>
  </si>
  <si>
    <t>year wise release form condg</t>
  </si>
  <si>
    <t>2018-19</t>
  </si>
  <si>
    <t>2019-20</t>
  </si>
  <si>
    <t>CONDG I</t>
  </si>
  <si>
    <t>CONDG II</t>
  </si>
  <si>
    <t>GRADE-GROUP WISE MONTH-WISE CRUDE STEEL FOR CALENDER YEAR 2020</t>
  </si>
  <si>
    <t>JAN'20</t>
  </si>
  <si>
    <t>FEB'20</t>
  </si>
  <si>
    <t>MARCH'20</t>
  </si>
  <si>
    <t>APRIL'20</t>
  </si>
  <si>
    <t>AUG'20</t>
  </si>
  <si>
    <t>SEPT'20</t>
  </si>
  <si>
    <t>OCT'20</t>
  </si>
  <si>
    <t>NOV'20</t>
  </si>
  <si>
    <t>DEC'20</t>
  </si>
  <si>
    <t>YR. 2020(T)</t>
  </si>
  <si>
    <t>OTHERS</t>
  </si>
  <si>
    <t>ED CELL\</t>
  </si>
  <si>
    <t>GRADE-GROUP WISE MONTH-WISE CRUDE STEEL FOR CALENDER YEAR2021</t>
  </si>
  <si>
    <t>JAN'21</t>
  </si>
  <si>
    <t>FEB'21</t>
  </si>
  <si>
    <t>MARCH'21</t>
  </si>
  <si>
    <t>APRIL'21</t>
  </si>
  <si>
    <t>MAY'21</t>
  </si>
  <si>
    <t>JUNE'21</t>
  </si>
  <si>
    <t>JULY'21</t>
  </si>
  <si>
    <t>AUG'21</t>
  </si>
  <si>
    <t>SEPT'21</t>
  </si>
  <si>
    <t>OCT'21</t>
  </si>
  <si>
    <t>NOV'21</t>
  </si>
  <si>
    <t>DEC'21</t>
  </si>
  <si>
    <t>YR. 2021(T)</t>
  </si>
  <si>
    <t>GRADE-GROUP WISE MONTH-WISE CRUDE STEEL FOR CALENDER YEAR  2022</t>
  </si>
  <si>
    <t>JAN'22</t>
  </si>
  <si>
    <t>FEB'22</t>
  </si>
  <si>
    <t>MARCH'22</t>
  </si>
  <si>
    <t>APRIL'22</t>
  </si>
  <si>
    <t>MAY'22</t>
  </si>
  <si>
    <t>JUNE'22</t>
  </si>
  <si>
    <t>JULY'22</t>
  </si>
  <si>
    <t>AUG'22</t>
  </si>
  <si>
    <t>SEPT'22</t>
  </si>
  <si>
    <t>OCT'22</t>
  </si>
  <si>
    <t>NOV'22</t>
  </si>
  <si>
    <t>DEC'22</t>
  </si>
  <si>
    <t>YR. 2022(T)</t>
  </si>
  <si>
    <t>GRADE-GROUP WISE MONTH-WISE CRUDE STEEL FOR CALENDER YEAR  2023</t>
  </si>
  <si>
    <t>JAN'23</t>
  </si>
  <si>
    <t>FEB'23</t>
  </si>
  <si>
    <t>MARCH'23</t>
  </si>
  <si>
    <t>APRIL'23</t>
  </si>
  <si>
    <t>MAY'23</t>
  </si>
  <si>
    <t>JUNE'23</t>
  </si>
  <si>
    <t>JULY'23</t>
  </si>
  <si>
    <t>AUG'23</t>
  </si>
  <si>
    <t>SEPT'23</t>
  </si>
  <si>
    <t>OCT'23</t>
  </si>
  <si>
    <t>NOV'23</t>
  </si>
  <si>
    <t>DEC'23</t>
  </si>
  <si>
    <t>YR. 2023T)</t>
  </si>
  <si>
    <t>GRADE-GROUP WISE MONTH-WISE SALEABLE STEEL FOR CALENDER YEAR 2020</t>
  </si>
  <si>
    <t>GRADE-GROUP WISE MONTH-WISE SALEABLE STEEL FOR CALENDER YEAR 2021</t>
  </si>
  <si>
    <t>GRADE-GROUP WISE MONTH-WISE SALEABLE STEEL FOR CALENDER YEAR 2022</t>
  </si>
  <si>
    <t>GRADE-GROUP WISE MONTH-WISE SALEABLE STEEL FOR CALENDER YEAR 2023</t>
  </si>
  <si>
    <t>YR. 2023(T)</t>
  </si>
  <si>
    <t>GRADE-GROUP WISE MONTH-WISE DESPACTH FOR CALENDER YEAR 2020</t>
  </si>
  <si>
    <t>GRADE-GROUP WISE MONTH-WISE DESPACTH FOR CALENDER YEAR 2021</t>
  </si>
  <si>
    <t>GRADE-GROUP WISE MONTH-WISE DESPATCH  FOR CALENDER YEAR 2022</t>
  </si>
  <si>
    <t>GRADE-GROUP WISE MONTH-WISE DESPATCH  FOR CALENDER YEAR 2023</t>
  </si>
  <si>
    <t>GRADE-GROUP WISE MONTH-WISE CRUDE STEEL FOR CALENDER YEAR  2024</t>
  </si>
  <si>
    <t>JAN'24</t>
  </si>
  <si>
    <t>FEB'24</t>
  </si>
  <si>
    <t>MARCH'24</t>
  </si>
  <si>
    <t>APRIL'24</t>
  </si>
  <si>
    <t>MAY'24</t>
  </si>
  <si>
    <t>JUNE'24</t>
  </si>
  <si>
    <t>JULY'24</t>
  </si>
  <si>
    <t>AUG'24</t>
  </si>
  <si>
    <t>SEPT'24</t>
  </si>
  <si>
    <t>OCT'24</t>
  </si>
  <si>
    <t>NOV'24</t>
  </si>
  <si>
    <t>DEC'24</t>
  </si>
  <si>
    <t>GRADE-GROUP WISE MONTH-WISE SALEABLE STEEL FOR CALENDER YEAR 2024</t>
  </si>
  <si>
    <t>GRADE-GROUP WISE MONTH-WISE DESPATCH  FOR CALENDER YEAR 2024</t>
  </si>
  <si>
    <t>Raillway</t>
  </si>
  <si>
    <t>BLT/BLM</t>
  </si>
  <si>
    <t>BILLET</t>
  </si>
  <si>
    <t>BAR</t>
  </si>
  <si>
    <t>PLATE</t>
  </si>
  <si>
    <t>FRG</t>
  </si>
  <si>
    <t>RAILWAY</t>
  </si>
  <si>
    <t>BSO</t>
  </si>
  <si>
    <t>PLT</t>
  </si>
  <si>
    <t>BSO/STY</t>
  </si>
  <si>
    <t>Stock yard</t>
  </si>
  <si>
    <t>IPT</t>
  </si>
  <si>
    <t>ING</t>
  </si>
  <si>
    <t>NSS SLB/BLM</t>
  </si>
  <si>
    <t>Private Party</t>
  </si>
  <si>
    <t>Defence</t>
  </si>
  <si>
    <t xml:space="preserve"> 0 </t>
  </si>
  <si>
    <t>CUMM prev dt</t>
  </si>
  <si>
    <t xml:space="preserve"> </t>
  </si>
  <si>
    <t xml:space="preserve">                    स्टीळ अ‍ॅथारिटी ऑफ इंडिया लिमिटेड</t>
  </si>
  <si>
    <t>UNIT: T</t>
  </si>
  <si>
    <t>2025-26</t>
  </si>
  <si>
    <t>ABP</t>
  </si>
  <si>
    <t>ACT TILL DT</t>
  </si>
  <si>
    <t>RATE</t>
  </si>
  <si>
    <t>% ABP</t>
  </si>
  <si>
    <t>TILL 22/01'</t>
  </si>
  <si>
    <t>TILL 23/03</t>
  </si>
  <si>
    <t>crude</t>
  </si>
  <si>
    <t>ING SOLID</t>
  </si>
  <si>
    <t xml:space="preserve">CRUDE </t>
  </si>
  <si>
    <t>saleable</t>
  </si>
  <si>
    <t>CCS  SOLID</t>
  </si>
  <si>
    <t>PERFORMANCE REPORT FOR 24 HRS. ENDING AT 06:00 HRS. AS ON</t>
  </si>
  <si>
    <t xml:space="preserve">    SAL.</t>
  </si>
  <si>
    <t>FIGURES IN TON</t>
  </si>
  <si>
    <t xml:space="preserve">SINCE INCEPTION </t>
  </si>
  <si>
    <t>BBM CH WT</t>
  </si>
  <si>
    <t>LIQUID STEEL</t>
  </si>
  <si>
    <t>DESP</t>
  </si>
  <si>
    <t>CC LIQ</t>
  </si>
  <si>
    <t xml:space="preserve">   दैनिक  एम आई एस रिपोर्ट</t>
  </si>
  <si>
    <t>DSP ING.</t>
  </si>
  <si>
    <t>ING LIQ</t>
  </si>
  <si>
    <t xml:space="preserve">            </t>
  </si>
  <si>
    <t>-</t>
  </si>
  <si>
    <t xml:space="preserve">    ON </t>
  </si>
  <si>
    <t>DATE</t>
  </si>
  <si>
    <t>TO DATE</t>
  </si>
  <si>
    <t>W.R.T</t>
  </si>
  <si>
    <t>PREV.</t>
  </si>
  <si>
    <t>GRADE-WISE HEATS IN THE MONTH</t>
  </si>
  <si>
    <t>OCT'25</t>
  </si>
  <si>
    <t>DETAILS</t>
  </si>
  <si>
    <t>DAY</t>
  </si>
  <si>
    <t>MONTH</t>
  </si>
  <si>
    <t>YEARLY</t>
  </si>
  <si>
    <t>AL/AU</t>
  </si>
  <si>
    <t>TILL DATE</t>
  </si>
  <si>
    <t>ACTUAL</t>
  </si>
  <si>
    <t>APP</t>
  </si>
  <si>
    <t xml:space="preserve">% </t>
  </si>
  <si>
    <t>SEPT'25</t>
  </si>
  <si>
    <t>PERF.</t>
  </si>
  <si>
    <t>BEST</t>
  </si>
  <si>
    <t>GRADES</t>
  </si>
  <si>
    <t>ON DATE</t>
  </si>
  <si>
    <t>%</t>
  </si>
  <si>
    <t>25-26</t>
  </si>
  <si>
    <t>CPLY</t>
  </si>
  <si>
    <t>ALL TIME</t>
  </si>
  <si>
    <t>MAR'97</t>
  </si>
  <si>
    <t>SPADE M1</t>
  </si>
  <si>
    <t>STN:LIQ</t>
  </si>
  <si>
    <t>NOV'09</t>
  </si>
  <si>
    <t>DMRL1750</t>
  </si>
  <si>
    <t>MAR'89</t>
  </si>
  <si>
    <t>Jackal</t>
  </si>
  <si>
    <t>STN:ING</t>
  </si>
  <si>
    <t>SAILRATH</t>
  </si>
  <si>
    <t xml:space="preserve"> CC SLAB</t>
  </si>
  <si>
    <t>MAR'94</t>
  </si>
  <si>
    <t>CC BLOOM</t>
  </si>
  <si>
    <t>TOTAL CC HTS</t>
  </si>
  <si>
    <t>HADFIELD</t>
  </si>
  <si>
    <t>TOT. CCS PROD</t>
  </si>
  <si>
    <t>SPADE M2</t>
  </si>
  <si>
    <t>average(</t>
  </si>
  <si>
    <t>HEATS: TOTAL</t>
  </si>
  <si>
    <t>SSB-27</t>
  </si>
  <si>
    <t>DSP HM HEATS</t>
  </si>
  <si>
    <t>EA 1N</t>
  </si>
  <si>
    <t>.</t>
  </si>
  <si>
    <t>TEEMING</t>
  </si>
  <si>
    <t>1875 CL IV</t>
  </si>
  <si>
    <t xml:space="preserve">   :CC</t>
  </si>
  <si>
    <t>B-14</t>
  </si>
  <si>
    <t xml:space="preserve">   :VAD</t>
  </si>
  <si>
    <t>R-16</t>
  </si>
  <si>
    <t xml:space="preserve">   :VOD</t>
  </si>
  <si>
    <t>60SICR8</t>
  </si>
  <si>
    <t>LF -2</t>
  </si>
  <si>
    <t xml:space="preserve">   :LF</t>
  </si>
  <si>
    <t>WAP1/95</t>
  </si>
  <si>
    <t xml:space="preserve">   :AOD - TOTAL</t>
  </si>
  <si>
    <t>OTHER</t>
  </si>
  <si>
    <t xml:space="preserve">   :AOD - SS</t>
  </si>
  <si>
    <t>TOT ING HTS</t>
  </si>
  <si>
    <t>BBM:CH</t>
  </si>
  <si>
    <t>AUG'09</t>
  </si>
  <si>
    <t>TOTAL HTS</t>
  </si>
  <si>
    <t xml:space="preserve">   :PCS</t>
  </si>
  <si>
    <t>CON:DIR</t>
  </si>
  <si>
    <t>RWF RELEASE</t>
  </si>
  <si>
    <t>FIN:BBM</t>
  </si>
  <si>
    <t xml:space="preserve">   :PRESS</t>
  </si>
  <si>
    <t>WAP1/95/EA</t>
  </si>
  <si>
    <t xml:space="preserve">   : 5 T HAMMER</t>
  </si>
  <si>
    <t>MAR'06</t>
  </si>
  <si>
    <t>05-06</t>
  </si>
  <si>
    <t>1875 XCL IV</t>
  </si>
  <si>
    <t xml:space="preserve">   : 2 T HAMMER</t>
  </si>
  <si>
    <t xml:space="preserve">   :PM</t>
  </si>
  <si>
    <t>FEB'96</t>
  </si>
  <si>
    <t xml:space="preserve">   :ING</t>
  </si>
  <si>
    <t>98-99</t>
  </si>
  <si>
    <t>R-16 DSP</t>
  </si>
  <si>
    <t>CC SLB</t>
  </si>
  <si>
    <t>R-16/43 YIL</t>
  </si>
  <si>
    <t>CC BLM</t>
  </si>
  <si>
    <t>7952</t>
  </si>
  <si>
    <t xml:space="preserve">   :TOT</t>
  </si>
  <si>
    <t>DEFENCE</t>
  </si>
  <si>
    <t>SAL:BLT</t>
  </si>
  <si>
    <t>MAR'07</t>
  </si>
  <si>
    <t>11-12</t>
  </si>
  <si>
    <t xml:space="preserve">   :BAR</t>
  </si>
  <si>
    <t>MAR'87</t>
  </si>
  <si>
    <t>99-00</t>
  </si>
  <si>
    <t xml:space="preserve">   :FRG</t>
  </si>
  <si>
    <t>MAR'05</t>
  </si>
  <si>
    <t>06-07</t>
  </si>
  <si>
    <t xml:space="preserve">   :PLT</t>
  </si>
  <si>
    <t>MAR'96</t>
  </si>
  <si>
    <t>JKL/SP/DMR</t>
  </si>
  <si>
    <t>Z</t>
  </si>
  <si>
    <t>NON STN CC SLB</t>
  </si>
  <si>
    <t>DESP:BLT</t>
  </si>
  <si>
    <t>CC BLOOMS</t>
  </si>
  <si>
    <t>FRG SLAB</t>
  </si>
  <si>
    <t>BRC(ISP)</t>
  </si>
  <si>
    <t>FRG:</t>
  </si>
  <si>
    <t>BRC(DSP)</t>
  </si>
  <si>
    <t>JACK/DMR ING</t>
  </si>
  <si>
    <t>PLT:</t>
  </si>
  <si>
    <t>OTHER ING</t>
  </si>
  <si>
    <t>CC SLB:</t>
  </si>
  <si>
    <t>AUG'10</t>
  </si>
  <si>
    <t>CCBLM</t>
  </si>
  <si>
    <t>FRG SLB</t>
  </si>
  <si>
    <t>TOTAL DESPATCH</t>
  </si>
  <si>
    <t>ING:</t>
  </si>
  <si>
    <t>Sal BLT:C-I</t>
  </si>
  <si>
    <t>TOTAL DESP</t>
  </si>
  <si>
    <t xml:space="preserve">   :HTF</t>
  </si>
  <si>
    <t>HTF:BLT</t>
  </si>
  <si>
    <t>R.W.F</t>
  </si>
  <si>
    <t>SPADEM1</t>
  </si>
  <si>
    <t>DSP SAL</t>
  </si>
  <si>
    <t>COND</t>
  </si>
  <si>
    <t>SpadeM2</t>
  </si>
  <si>
    <t>HTF BLT</t>
  </si>
  <si>
    <t>BSP</t>
  </si>
  <si>
    <t>HTF BAR</t>
  </si>
  <si>
    <t>DSP</t>
  </si>
  <si>
    <t>HTF FRG</t>
  </si>
  <si>
    <t>BSL</t>
  </si>
  <si>
    <t>PM</t>
  </si>
  <si>
    <t>IISCO</t>
  </si>
  <si>
    <t>TOT DSP</t>
  </si>
  <si>
    <t>VISL</t>
  </si>
  <si>
    <t>SSP</t>
  </si>
  <si>
    <t>DSP-RECIEPT</t>
  </si>
  <si>
    <t>APR'08</t>
  </si>
  <si>
    <t>RSP</t>
  </si>
  <si>
    <t>DSP HOT MET wt</t>
  </si>
  <si>
    <t>DSP H/M LIQ</t>
  </si>
  <si>
    <t>DSP R-16</t>
  </si>
  <si>
    <t>ASP NET</t>
  </si>
  <si>
    <t>YANTRA R16</t>
  </si>
  <si>
    <t>F/OIL KL</t>
  </si>
  <si>
    <t>2PI(SPL)</t>
  </si>
  <si>
    <t>DSP GAS(NM)</t>
  </si>
  <si>
    <t>BRC BLM</t>
  </si>
  <si>
    <t>RLNG(SCM)</t>
  </si>
  <si>
    <t>IPT DESP</t>
  </si>
  <si>
    <t>CCS LIQ</t>
  </si>
  <si>
    <t>SAL/TON:KWH</t>
  </si>
  <si>
    <t>CRUDE/TON:KWH</t>
  </si>
  <si>
    <t>POWER ON  TO</t>
  </si>
  <si>
    <t>GAS CONSUMPTION :</t>
  </si>
  <si>
    <t>FCE#2 HEATS MELT</t>
  </si>
  <si>
    <t>LIQ/TON:NMC</t>
  </si>
  <si>
    <t>FCE#3 HEATS MELT</t>
  </si>
  <si>
    <t>RWF STOCK POSITION</t>
  </si>
  <si>
    <t>BREAK UP OF CC</t>
  </si>
  <si>
    <t>REJ</t>
  </si>
  <si>
    <t>CL BAL</t>
  </si>
  <si>
    <t>FC#4 MIN</t>
  </si>
  <si>
    <t>MSF</t>
  </si>
  <si>
    <t>TON</t>
  </si>
  <si>
    <t xml:space="preserve">HRS </t>
  </si>
  <si>
    <t>EA 1 N</t>
  </si>
  <si>
    <t>30XKHAGA</t>
  </si>
  <si>
    <t>TAP TO TAP</t>
  </si>
  <si>
    <t>R-43</t>
  </si>
  <si>
    <t>WAP(LHB)</t>
  </si>
  <si>
    <t>2PI SPL</t>
  </si>
  <si>
    <t>HEATS</t>
  </si>
  <si>
    <t>SpadeM1</t>
  </si>
  <si>
    <t>FC#2 MIN</t>
  </si>
  <si>
    <t>CL IV 300/340</t>
  </si>
  <si>
    <t>Jackel</t>
  </si>
  <si>
    <t>CUMM.</t>
  </si>
  <si>
    <t>ITEM</t>
  </si>
  <si>
    <t>ACT T/DT</t>
  </si>
  <si>
    <t>BAL</t>
  </si>
  <si>
    <t>ASK RATE</t>
  </si>
  <si>
    <t>HTS/DAY</t>
  </si>
  <si>
    <t>BALANCE</t>
  </si>
  <si>
    <t>FC#3MIN</t>
  </si>
  <si>
    <t>W/SCRAP</t>
  </si>
  <si>
    <t>CONCAST</t>
  </si>
  <si>
    <t>T/B</t>
  </si>
  <si>
    <t>DSP INGOTS</t>
  </si>
  <si>
    <t>MISC</t>
  </si>
  <si>
    <t>AOD LIQ</t>
  </si>
  <si>
    <t>DISPATCH</t>
  </si>
  <si>
    <t>PLATE MIILL INP</t>
  </si>
  <si>
    <t>TAP TIME(HRS)</t>
  </si>
  <si>
    <t>CUMM</t>
  </si>
  <si>
    <t>MONTHLY SAL</t>
  </si>
  <si>
    <t>PER HEAT</t>
  </si>
  <si>
    <t>ELEMENTS</t>
  </si>
  <si>
    <t>RELEAS OF DSP/BSP NVD</t>
  </si>
  <si>
    <t>DESP STATUS OF DSP /BSP NON-VD MATERIAL</t>
  </si>
  <si>
    <t>CC  DSP SAL</t>
  </si>
  <si>
    <t>BRC</t>
  </si>
  <si>
    <t>DSP N/VD</t>
  </si>
  <si>
    <t>9-</t>
  </si>
  <si>
    <t>DSPCC BLMS</t>
  </si>
  <si>
    <t>SAL VD RT</t>
  </si>
  <si>
    <t>DSP NVD</t>
  </si>
  <si>
    <t>6-</t>
  </si>
  <si>
    <t>BSP NO VD</t>
  </si>
  <si>
    <t>BSP CC BLMS</t>
  </si>
  <si>
    <t>BSP NVD</t>
  </si>
  <si>
    <t>DSP ING ROUTE</t>
  </si>
  <si>
    <t>ISP NVD</t>
  </si>
  <si>
    <t>VD ROUND</t>
  </si>
  <si>
    <t>ASP RT SAL</t>
  </si>
  <si>
    <t>HOT METAL</t>
  </si>
  <si>
    <t>VD ROUND SAL</t>
  </si>
  <si>
    <t>TOTAL NVD</t>
  </si>
  <si>
    <t>mulyiplying factor</t>
  </si>
  <si>
    <t xml:space="preserve">POWER </t>
  </si>
  <si>
    <t>UNIT</t>
  </si>
  <si>
    <t>KWH/T</t>
  </si>
  <si>
    <t>TOTAL SAL</t>
  </si>
  <si>
    <t>FCE-WISE POWER ON TO TAP</t>
  </si>
  <si>
    <t>on dt readin</t>
  </si>
  <si>
    <t>LIQUID</t>
  </si>
  <si>
    <t>ON DT</t>
  </si>
  <si>
    <t>FCES</t>
  </si>
  <si>
    <t xml:space="preserve">NORM </t>
  </si>
  <si>
    <t>on date</t>
  </si>
  <si>
    <t>AOD FUEL</t>
  </si>
  <si>
    <t>ONDATE</t>
  </si>
  <si>
    <t>CUMM(upto</t>
  </si>
  <si>
    <t>FCE</t>
  </si>
  <si>
    <t>KWH</t>
  </si>
  <si>
    <t>FCE#4</t>
  </si>
  <si>
    <t>on dt given by fuel</t>
  </si>
  <si>
    <t>multi. Factor</t>
  </si>
  <si>
    <t>EQUIVALE</t>
  </si>
  <si>
    <t>gcal/liqt</t>
  </si>
  <si>
    <t>CUMM/HR</t>
  </si>
  <si>
    <t>VAD</t>
  </si>
  <si>
    <t>FCE#2</t>
  </si>
  <si>
    <t>COG</t>
  </si>
  <si>
    <t>FCE#3</t>
  </si>
  <si>
    <t>RLNG</t>
  </si>
  <si>
    <t>CBM(TOT)</t>
  </si>
  <si>
    <t>CBM</t>
  </si>
  <si>
    <t>LF</t>
  </si>
  <si>
    <t>CBMEOL</t>
  </si>
  <si>
    <t>EAF HT SIZ</t>
  </si>
  <si>
    <t>EAF LIQ</t>
  </si>
  <si>
    <t>ASP HEAT SIZE</t>
  </si>
  <si>
    <t>TON/HEAT</t>
  </si>
  <si>
    <t>TOTAL HEAT SIZE</t>
  </si>
  <si>
    <t>LIQ</t>
  </si>
  <si>
    <t>UPTO 20/05</t>
  </si>
  <si>
    <t>WEEKLY</t>
  </si>
  <si>
    <t>for BSP CC BLM</t>
  </si>
  <si>
    <t>for DSPCC BLM</t>
  </si>
  <si>
    <t xml:space="preserve">CUMMPOWER OF SMS </t>
  </si>
  <si>
    <t>WASHED HEAT 45C8</t>
  </si>
  <si>
    <t>direct prodn</t>
  </si>
  <si>
    <t>UPTO 110722</t>
  </si>
  <si>
    <t>RWF</t>
  </si>
  <si>
    <t>PSU</t>
  </si>
  <si>
    <t>APT</t>
  </si>
  <si>
    <t>IPT FRG</t>
  </si>
  <si>
    <t>BD</t>
  </si>
  <si>
    <t>SPADE /JACKAL</t>
  </si>
  <si>
    <t>spade frgslab</t>
  </si>
  <si>
    <t xml:space="preserve">PSM </t>
  </si>
  <si>
    <t>PRIVATE</t>
  </si>
  <si>
    <t>total</t>
  </si>
  <si>
    <t>date</t>
  </si>
  <si>
    <t>nos</t>
  </si>
  <si>
    <t>UNIT WISE SMS POWER FROM 13/03/2022 TO 18.03.20220 UNIT            KWT/T</t>
  </si>
  <si>
    <t>UNIT/DATE</t>
  </si>
  <si>
    <t>13.03.02022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</si>
  <si>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</si>
  <si>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</si>
  <si>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</si>
  <si>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</si>
  <si>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</si>
  <si>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</si>
  <si>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</si>
  <si>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</si>
  <si>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</si>
  <si>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SMS POWER</t>
  </si>
  <si>
    <t>03/03/2022</t>
  </si>
  <si>
    <t>04/03/2022</t>
  </si>
  <si>
    <t>06/032022</t>
  </si>
  <si>
    <t>09/03/2022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</si>
  <si>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</si>
  <si>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</si>
  <si>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</si>
  <si>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</si>
  <si>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</si>
  <si>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</si>
  <si>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</si>
  <si>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</si>
  <si>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19/03/22</t>
  </si>
  <si>
    <t>20/03/22</t>
  </si>
  <si>
    <t>21/03/22</t>
  </si>
  <si>
    <t>22/03/22</t>
  </si>
  <si>
    <t>23/03/22</t>
  </si>
  <si>
    <t>24/03/22</t>
  </si>
  <si>
    <t>SMS POWER IN MIS</t>
  </si>
  <si>
    <t xml:space="preserve"> SHOWN BY SMS TO PPC</t>
  </si>
  <si>
    <t>ACTUAL POWER</t>
  </si>
  <si>
    <t>PLATE MILL STNN SAL.</t>
  </si>
  <si>
    <t xml:space="preserve"> 0408</t>
  </si>
  <si>
    <t xml:space="preserve"> 0508</t>
  </si>
  <si>
    <t xml:space="preserve"> 0608</t>
  </si>
  <si>
    <t xml:space="preserve"> 0708</t>
  </si>
  <si>
    <t xml:space="preserve"> 0808</t>
  </si>
  <si>
    <t xml:space="preserve"> 0908</t>
  </si>
  <si>
    <t xml:space="preserve"> 1008</t>
  </si>
  <si>
    <t xml:space="preserve"> 1108</t>
  </si>
  <si>
    <t xml:space="preserve"> 1208</t>
  </si>
  <si>
    <t>ALLOY STEELS PLANT, DURGAPUR</t>
  </si>
  <si>
    <t>PRODUCTION PLANNING &amp; CONTROL DEPARTMENT</t>
  </si>
  <si>
    <t>SAL. ST.</t>
  </si>
  <si>
    <t>PARAMETERS</t>
  </si>
  <si>
    <t>%FUL</t>
  </si>
  <si>
    <t>Major  Delays &amp; Shut Downs</t>
  </si>
  <si>
    <t>TOTAL HEATS (EAF+H/M)</t>
  </si>
  <si>
    <t>NO.</t>
  </si>
  <si>
    <t>EQPT.</t>
  </si>
  <si>
    <t>From</t>
  </si>
  <si>
    <t xml:space="preserve">To </t>
  </si>
  <si>
    <t>Duration</t>
  </si>
  <si>
    <t>Agency</t>
  </si>
  <si>
    <t>Reasons</t>
  </si>
  <si>
    <t>CRUDE STEEL</t>
  </si>
  <si>
    <t>T</t>
  </si>
  <si>
    <t>CURRENT SAL. STOCK -PLANT(T)</t>
  </si>
  <si>
    <t>INGOT PRODUCTION</t>
  </si>
  <si>
    <t>HOT METAL ROUTE HEATS</t>
  </si>
  <si>
    <t xml:space="preserve">Item </t>
  </si>
  <si>
    <t xml:space="preserve">ABP </t>
  </si>
  <si>
    <t>Actual</t>
  </si>
  <si>
    <t>CPLY(T)</t>
  </si>
  <si>
    <t>TOTAL AOD ROUTE HEATS</t>
  </si>
  <si>
    <t>FORGE</t>
  </si>
  <si>
    <t>DSP COG  NM^3/HR</t>
  </si>
  <si>
    <t xml:space="preserve">(T) </t>
  </si>
  <si>
    <t>Ach</t>
  </si>
  <si>
    <t>STN. STEEL HEATS</t>
  </si>
  <si>
    <t>RLNG GAS  (SCM)/HR</t>
  </si>
  <si>
    <t>Crude Steel</t>
  </si>
  <si>
    <t>NON-STN.STEEL HEATS</t>
  </si>
  <si>
    <t>EQUIP.</t>
  </si>
  <si>
    <t xml:space="preserve">       HEAT PROCESSED</t>
  </si>
  <si>
    <t>POSITION</t>
  </si>
  <si>
    <t>Concast Slab</t>
  </si>
  <si>
    <t>BBM CHARGE WEIGHT</t>
  </si>
  <si>
    <t>EAF#2</t>
  </si>
  <si>
    <t>OK</t>
  </si>
  <si>
    <t>Concast Bloom</t>
  </si>
  <si>
    <t>BBM FINISHING</t>
  </si>
  <si>
    <t>EAF#3</t>
  </si>
  <si>
    <t>DOWN</t>
  </si>
  <si>
    <t>Total CC</t>
  </si>
  <si>
    <t>FORGE SHOP FINISHING</t>
  </si>
  <si>
    <t>CCS</t>
  </si>
  <si>
    <t>Ingot Steel</t>
  </si>
  <si>
    <t xml:space="preserve">SALEABLE STEEL </t>
  </si>
  <si>
    <t>JACKAL INGOT</t>
  </si>
  <si>
    <t xml:space="preserve">BBM Charge Weight </t>
  </si>
  <si>
    <t>PLANT DESPATCH</t>
  </si>
  <si>
    <t xml:space="preserve">Total Saleable  </t>
  </si>
  <si>
    <t>DSP SPL. STEEL INGOTS</t>
  </si>
  <si>
    <t>STN SLAB</t>
  </si>
  <si>
    <t>AOD/HOT METAL</t>
  </si>
  <si>
    <t xml:space="preserve">Dispatch </t>
  </si>
  <si>
    <t>DSP HOT METAL ( MT)</t>
  </si>
  <si>
    <t>TOTAL PLANT ST.</t>
  </si>
  <si>
    <t xml:space="preserve">Special Steel Ingots – DSP  </t>
  </si>
  <si>
    <t>MAJOR TECHNO ECONOMIC PARAMETERS</t>
  </si>
  <si>
    <t>STOCKYARD</t>
  </si>
  <si>
    <t>VOD</t>
  </si>
  <si>
    <t>DSP Hot Metal</t>
  </si>
  <si>
    <t>AREA</t>
  </si>
  <si>
    <t>KEY TE PARAMETERS</t>
  </si>
  <si>
    <t>NORM</t>
  </si>
  <si>
    <t>CUM.</t>
  </si>
  <si>
    <t>ALL TIME BEST  PRODUCTION (T)</t>
  </si>
  <si>
    <t>SMS</t>
  </si>
  <si>
    <t>POWER ON TO TAP TIME</t>
  </si>
  <si>
    <t>HR</t>
  </si>
  <si>
    <t>FOR A MONTH</t>
  </si>
  <si>
    <t>Item</t>
  </si>
  <si>
    <t>HEAT SIZE</t>
  </si>
  <si>
    <t xml:space="preserve">TOT CRUDE </t>
  </si>
  <si>
    <t>POWER CONS.</t>
  </si>
  <si>
    <t>FUEL CONS</t>
  </si>
  <si>
    <t>CC PDN</t>
  </si>
  <si>
    <t>ELECTRODE CONS.</t>
  </si>
  <si>
    <t>KG/T</t>
  </si>
  <si>
    <t>YLD: LIQUID TO INGOT</t>
  </si>
  <si>
    <t>AOD FUEL CONS.(Prevous  day)</t>
  </si>
  <si>
    <t>GCAL/TON</t>
  </si>
  <si>
    <t>YIELD</t>
  </si>
  <si>
    <t xml:space="preserve"> MONTHLY STATUS OF BRC BLOOM</t>
  </si>
  <si>
    <t>GRADE</t>
  </si>
  <si>
    <t>RECPT (T)</t>
  </si>
  <si>
    <t>ROLL.(T)</t>
  </si>
  <si>
    <t>REL. (T)</t>
  </si>
  <si>
    <t>DESP.(T)</t>
  </si>
  <si>
    <t>SAL STOCK</t>
  </si>
  <si>
    <t xml:space="preserve">BBM Charge weight </t>
  </si>
  <si>
    <t>BBM</t>
  </si>
  <si>
    <t>45C8</t>
  </si>
  <si>
    <t>LOCATION</t>
  </si>
  <si>
    <t>01-04-26</t>
  </si>
  <si>
    <t>PLANT STOCK - NON-IPT</t>
  </si>
  <si>
    <t xml:space="preserve">                                      - IPT </t>
  </si>
  <si>
    <t>TOTAL PLANT STOCK</t>
  </si>
  <si>
    <t>STOCKYARD STOCK</t>
  </si>
  <si>
    <t>+</t>
  </si>
  <si>
    <t xml:space="preserve">   </t>
  </si>
  <si>
    <t>PARTICULARS</t>
  </si>
  <si>
    <t>APR</t>
  </si>
  <si>
    <t>MAY</t>
  </si>
  <si>
    <t>JUN</t>
  </si>
  <si>
    <t>JUL</t>
  </si>
  <si>
    <t>AUG</t>
  </si>
  <si>
    <t>SEP</t>
  </si>
  <si>
    <t>H1 25-26</t>
  </si>
  <si>
    <t>OCT</t>
  </si>
  <si>
    <t>NOV</t>
  </si>
  <si>
    <t>DEC</t>
  </si>
  <si>
    <t>JAN</t>
  </si>
  <si>
    <t>FEB</t>
  </si>
  <si>
    <t>MAR</t>
  </si>
  <si>
    <t>ABP (T)</t>
  </si>
  <si>
    <t>ACTUAL (T)</t>
  </si>
  <si>
    <t>%ABP</t>
  </si>
  <si>
    <t>NO OF HEATS</t>
  </si>
  <si>
    <t>NO OF HOT METAL HTS</t>
  </si>
  <si>
    <t>SALEABLE STEEL</t>
  </si>
  <si>
    <t>CCB RECPT(TON)DSP45C8</t>
  </si>
  <si>
    <t>CCBRECPT(TON)BSP/EN 19</t>
  </si>
  <si>
    <t>CCB RECPT(TON)BSP/45C8</t>
  </si>
  <si>
    <t>CCB RECPT(TON)BSP/50CRMO4(M)</t>
  </si>
  <si>
    <t>DSP SPL INGOTS(TON)</t>
  </si>
  <si>
    <t>DSP HOT METAL(TON)</t>
  </si>
  <si>
    <t>SCRAP &amp; PIG IRON</t>
  </si>
  <si>
    <t>CUMM 25-26</t>
  </si>
  <si>
    <t>RMT FINAL</t>
  </si>
  <si>
    <t>prev dt cum</t>
  </si>
  <si>
    <t>8234/8235</t>
  </si>
  <si>
    <t>OUT(fin+cog)</t>
  </si>
  <si>
    <t>fin</t>
  </si>
  <si>
    <t>POWER</t>
  </si>
  <si>
    <t>ENTER SL.NO. -&gt;</t>
  </si>
  <si>
    <t>RAJESH KUMAR</t>
  </si>
  <si>
    <t>DGM(PPCD, PC &amp; SHIP),ASP</t>
  </si>
  <si>
    <t>DSP HOT/</t>
  </si>
  <si>
    <t>\</t>
  </si>
  <si>
    <t>KABITA DEB</t>
  </si>
  <si>
    <t>GM(PPCD, PC &amp; SHIP),ASP</t>
  </si>
  <si>
    <t>RMT LIKELY</t>
  </si>
  <si>
    <t>SULEKHA KUMARI</t>
  </si>
  <si>
    <t xml:space="preserve"> AGM(PPCD &amp;  SHIPPING), ASP</t>
  </si>
  <si>
    <t>DIFFERNCE</t>
  </si>
  <si>
    <t xml:space="preserve">% OVER </t>
  </si>
  <si>
    <t>INTERNAL CALCULATION OF SALEABLE STOCK</t>
  </si>
  <si>
    <t>PRODUCTS</t>
  </si>
  <si>
    <t>TILL</t>
  </si>
  <si>
    <t>CUM. DESP</t>
  </si>
  <si>
    <t>OP ST</t>
  </si>
  <si>
    <t>FOR INTERNAL CIRCULATION</t>
  </si>
  <si>
    <t>ON DT.</t>
  </si>
  <si>
    <t>TILL DT</t>
  </si>
  <si>
    <t>previous DT</t>
  </si>
  <si>
    <t>CL. STOCK</t>
  </si>
  <si>
    <t>cumm sal</t>
  </si>
  <si>
    <t>cummdesp</t>
  </si>
  <si>
    <t>NON-IPT</t>
  </si>
  <si>
    <t>BLOOM / BILLET</t>
  </si>
  <si>
    <t xml:space="preserve">SHOPWISE  SALEABLE STOCK AS ON 05.05.2011 </t>
  </si>
  <si>
    <t>QUANTITY IN T</t>
  </si>
  <si>
    <t>PRODUCT</t>
  </si>
  <si>
    <t>CONDITIONING</t>
  </si>
  <si>
    <t>HTF</t>
  </si>
  <si>
    <t>PLATE MILL</t>
  </si>
  <si>
    <t>WAREHOUSE</t>
  </si>
  <si>
    <t>SPD/JACKA SLAB</t>
  </si>
  <si>
    <t>BHEL INGOT</t>
  </si>
  <si>
    <t>YEAR0WISE SALEABLE</t>
  </si>
  <si>
    <t>2009-10</t>
  </si>
  <si>
    <t>AS ON 01/04/19</t>
  </si>
  <si>
    <t>STK 01/06</t>
  </si>
  <si>
    <t>CCBLOOM</t>
  </si>
  <si>
    <t>YEAR0WISE DESPATCH</t>
  </si>
  <si>
    <t>SAL0420</t>
  </si>
  <si>
    <t>DESP 0420</t>
  </si>
  <si>
    <t>STOCK</t>
  </si>
  <si>
    <t>SAL 520</t>
  </si>
  <si>
    <t>DESP0520</t>
  </si>
  <si>
    <t>SAL 0620</t>
  </si>
  <si>
    <t>DESP0620</t>
  </si>
  <si>
    <t xml:space="preserve"> 10/11/10</t>
  </si>
  <si>
    <t>TOTAL WATER</t>
  </si>
  <si>
    <t>TOT WAT</t>
  </si>
  <si>
    <t>IND WAT</t>
  </si>
  <si>
    <t>2020-21</t>
  </si>
  <si>
    <t>2021-22</t>
  </si>
  <si>
    <t>2022-23</t>
  </si>
  <si>
    <t>YEAR WISE SALEABLE PRODUCTION</t>
  </si>
  <si>
    <t>BILLET/BLMS</t>
  </si>
  <si>
    <t>CCBLMS/CCSLB</t>
  </si>
  <si>
    <t>FORGES</t>
  </si>
  <si>
    <t>INGOTS</t>
  </si>
  <si>
    <t>UPTOJUNE'22</t>
  </si>
  <si>
    <t>PLAN</t>
  </si>
  <si>
    <t>LIKELY</t>
  </si>
  <si>
    <t>cc slab</t>
  </si>
  <si>
    <t>cc bloom</t>
  </si>
  <si>
    <t>cc prod</t>
  </si>
  <si>
    <t>ingot</t>
  </si>
  <si>
    <t>bbm cw</t>
  </si>
  <si>
    <t>sal</t>
  </si>
  <si>
    <t>desp</t>
  </si>
  <si>
    <t>OP STOCK</t>
  </si>
  <si>
    <t>SAL.</t>
  </si>
  <si>
    <t>CL STOCK</t>
  </si>
  <si>
    <t>dsp ing</t>
  </si>
  <si>
    <t>hot metal</t>
  </si>
  <si>
    <t>UPTO MAY</t>
  </si>
  <si>
    <t>TILL DEC'21</t>
  </si>
  <si>
    <t>YEAR-WISE STN LIQ PRODUCTION   FIG (TON)</t>
  </si>
  <si>
    <t>Sal steel</t>
  </si>
  <si>
    <t>order avail.</t>
  </si>
  <si>
    <t>order received</t>
  </si>
  <si>
    <t>total desp</t>
  </si>
  <si>
    <t>direct desp order</t>
  </si>
  <si>
    <t>Actual supply</t>
  </si>
  <si>
    <t>STOCK OF CC BLOOM(TON)</t>
  </si>
  <si>
    <t>BRC125 RCS</t>
  </si>
  <si>
    <t>NVD</t>
  </si>
  <si>
    <t>VD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</si>
  <si>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</si>
  <si>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</si>
  <si>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</si>
  <si>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</si>
  <si>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</si>
  <si>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</si>
  <si>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</si>
  <si>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</si>
  <si>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</si>
  <si>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</si>
  <si>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</si>
  <si>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DETAILS OF FREQUENCIES CONSUMED DURING THE CURRENT CONTRACT</t>
  </si>
  <si>
    <t xml:space="preserve">ASP/CAC/24/6405/1656/1602/1616 DTD 26092024  </t>
  </si>
  <si>
    <t xml:space="preserve">WORK ORDER NO </t>
  </si>
  <si>
    <t>ASP/CAC/23/64/05/1430/1365/1391</t>
  </si>
  <si>
    <t>Months</t>
  </si>
  <si>
    <t>Consumptions</t>
  </si>
  <si>
    <t>AMOUNT</t>
  </si>
  <si>
    <t>JAN'25</t>
  </si>
  <si>
    <t>FEB'25</t>
  </si>
  <si>
    <t>MARCH'25</t>
  </si>
  <si>
    <t>APRIL'25</t>
  </si>
  <si>
    <t>MAY'25</t>
  </si>
  <si>
    <t>JUNE'25</t>
  </si>
  <si>
    <t>JULY'25</t>
  </si>
  <si>
    <t>AUG'25</t>
  </si>
  <si>
    <t>Total till AUG(11M)</t>
  </si>
  <si>
    <t>Order Qty(12M)</t>
  </si>
  <si>
    <t>AvailableQty</t>
  </si>
  <si>
    <t>Total req. (Sept-Nov'25</t>
  </si>
  <si>
    <t>Additional Qty</t>
  </si>
  <si>
    <t>COMMENTS ON SOME OF THE STOCK APPEARING IN STOCK LIST</t>
  </si>
  <si>
    <t>SL NO</t>
  </si>
  <si>
    <t xml:space="preserve">HEAT NO </t>
  </si>
  <si>
    <t>SEMIS WT(T)</t>
  </si>
  <si>
    <t>PPCD'S REMARKS</t>
  </si>
  <si>
    <t>It is melt base</t>
  </si>
  <si>
    <t>Heat lost</t>
  </si>
  <si>
    <t>EN 36C(ASP)</t>
  </si>
  <si>
    <t>REL 41.180TDESP 40.96T</t>
  </si>
  <si>
    <t>REL 39.51T DESP39.52T</t>
  </si>
  <si>
    <t>60SI7</t>
  </si>
  <si>
    <t>DC STOCK OF BBM</t>
  </si>
  <si>
    <t>BPI 25</t>
  </si>
  <si>
    <t>REL 53T,DESP41T</t>
  </si>
  <si>
    <t>REL99.57T,DESP 100.19T</t>
  </si>
  <si>
    <t>4130M7</t>
  </si>
  <si>
    <t>REL 42.98T DESP 42.92T</t>
  </si>
  <si>
    <t>REL39.45T DESP 39.50</t>
  </si>
  <si>
    <t>REL 36.91T,DESP36.93T</t>
  </si>
  <si>
    <t>REL 34.88T DESP 35.04T</t>
  </si>
  <si>
    <t>REL 36.32T,DESP37.22T</t>
  </si>
  <si>
    <t>MELT BASE</t>
  </si>
  <si>
    <t>REL 37.40T</t>
  </si>
  <si>
    <t>AUTO REPORT GENERATION &amp; MESSAGING PAGE</t>
  </si>
  <si>
    <t>The following particulars are directly read from the MIS report:</t>
  </si>
  <si>
    <t xml:space="preserve">Production Summary of </t>
  </si>
  <si>
    <t xml:space="preserve"> :</t>
  </si>
  <si>
    <t>Crude Steel:</t>
  </si>
  <si>
    <t xml:space="preserve"> T;</t>
  </si>
  <si>
    <t>Saleable Steel:</t>
  </si>
  <si>
    <t xml:space="preserve"> T</t>
  </si>
  <si>
    <t>ASP  production summary  FOR JULY'18</t>
  </si>
  <si>
    <t>SAUG'18</t>
  </si>
  <si>
    <t>MESSAGE FOR  CORP. OFFICE: (copy cell A7 &amp; paste in the way-2-sms-msg.box)</t>
  </si>
  <si>
    <t>Send SMS -&gt;</t>
  </si>
  <si>
    <t>TNNAGE</t>
  </si>
  <si>
    <t>CRUDE ST</t>
  </si>
  <si>
    <t>at new delhi</t>
  </si>
  <si>
    <t xml:space="preserve">  DESPATCH</t>
  </si>
  <si>
    <t>*******Despatch all time best  on daily basis through truck*********</t>
  </si>
  <si>
    <t>CC PRD</t>
  </si>
  <si>
    <t xml:space="preserve">                                                 </t>
  </si>
  <si>
    <t>WELCOME</t>
  </si>
  <si>
    <t>production loss due to non availabuility of Coke Oven Gas</t>
  </si>
  <si>
    <t>FIG IN TON</t>
  </si>
  <si>
    <t>STN HEATS</t>
  </si>
  <si>
    <t>UP TO 24/10</t>
  </si>
  <si>
    <t>FORGE FIN'</t>
  </si>
  <si>
    <t>WELCOME  SHRI HARI MOHAN DIRECTOR GENERAL , ORDNANCE FACTORIES AND CHAIRMAN, ORDNANCE FACTORY BOARD(OFB) GOVT OF INDIA</t>
  </si>
  <si>
    <t>controlroom-steel(@govà</t>
  </si>
  <si>
    <t>controlroom-steel(@gov.in</t>
  </si>
  <si>
    <t>26.01.19  2331182101 1830566  15to19   59to57  39.57to38.23</t>
  </si>
  <si>
    <t>2.26.01.19  2331182101 1820643  21to22   57to56  38.23to37.56</t>
  </si>
  <si>
    <t>3.28.01.19  2331182101 1820652  20to19   58to57  38.90to38.23</t>
  </si>
  <si>
    <t>Production Summary of 25/09/2024 : Crude Steel: 347 T; Saleable Steel:  430 T;  Dispatch: 407 T BBM CH WT 518 T</t>
  </si>
  <si>
    <t>4.28.01.19  2331181901 1810403  16to18      NC            NC</t>
  </si>
  <si>
    <t>5.28.01.19  2331181901 1810404  14to15   64to63  44.84to44.14</t>
  </si>
  <si>
    <t>6.28.01.19  2331181901 1830565  14to13   62to61  43.44to42.74</t>
  </si>
  <si>
    <t>7.28.01.19  2331181901 1820650  17to18   63to62  44.14to43.44</t>
  </si>
  <si>
    <t>Sourci</t>
  </si>
  <si>
    <t>shalubh-9717652929</t>
  </si>
  <si>
    <t>hts</t>
  </si>
  <si>
    <t>SAL STOC</t>
  </si>
  <si>
    <t>ED OPRN 9968605024</t>
  </si>
  <si>
    <t>stn</t>
  </si>
  <si>
    <t>NO OF HTS</t>
  </si>
  <si>
    <t>anand : 9968605406</t>
  </si>
  <si>
    <t>SS HEATS</t>
  </si>
  <si>
    <t>dinesh : 9968605466</t>
  </si>
  <si>
    <t>SAL STEEL STOCK</t>
  </si>
  <si>
    <t>SHAILESH:9986805775</t>
  </si>
  <si>
    <t>DURING HOLIDAY AT</t>
  </si>
  <si>
    <t>ED CELL</t>
  </si>
  <si>
    <t xml:space="preserve">CPLY </t>
  </si>
  <si>
    <t>Change from CPLY (%)</t>
  </si>
  <si>
    <t xml:space="preserve">ABP(T) </t>
  </si>
  <si>
    <t>Rate</t>
  </si>
  <si>
    <t>cply</t>
  </si>
  <si>
    <t>Water</t>
  </si>
  <si>
    <t>Column1</t>
  </si>
  <si>
    <t>Column2</t>
  </si>
  <si>
    <t>sms</t>
  </si>
  <si>
    <t>chandni</t>
  </si>
  <si>
    <t>bbm elec</t>
  </si>
  <si>
    <t>PRO</t>
  </si>
  <si>
    <t>bbm</t>
  </si>
  <si>
    <t>ED OPRN</t>
  </si>
  <si>
    <t>PD IN EMERGENCY</t>
  </si>
  <si>
    <t>DINESH</t>
  </si>
  <si>
    <t>PLANT CONT</t>
  </si>
  <si>
    <t>8368/8750</t>
  </si>
  <si>
    <t xml:space="preserve">Steel Ingots – DSP  </t>
  </si>
  <si>
    <t>gopal bhattacharya</t>
  </si>
  <si>
    <t>pd</t>
  </si>
  <si>
    <t>BISWAJIT ACHARYA</t>
  </si>
  <si>
    <t>f/oil&amp; gas</t>
  </si>
  <si>
    <t>8616/ 8694</t>
  </si>
  <si>
    <t>TAPAN NANDY</t>
  </si>
  <si>
    <t>RAJESH</t>
  </si>
  <si>
    <t>8651</t>
  </si>
  <si>
    <t>for scrap</t>
  </si>
  <si>
    <t xml:space="preserve"> hot metal /liq</t>
  </si>
  <si>
    <t>SPADE/JACKAL</t>
  </si>
  <si>
    <t>SULEKHA</t>
  </si>
  <si>
    <t>SAMEER MAJUMDAR</t>
  </si>
  <si>
    <t xml:space="preserve"> MOULD POSITION</t>
  </si>
  <si>
    <t>KAVITA</t>
  </si>
  <si>
    <t>SCRAP</t>
  </si>
  <si>
    <t>P S KAR</t>
  </si>
  <si>
    <t>GMW</t>
  </si>
  <si>
    <t>DKD</t>
  </si>
  <si>
    <t>GM STEEL</t>
  </si>
  <si>
    <t>NETAI PAL</t>
  </si>
  <si>
    <t>SWARUP</t>
  </si>
  <si>
    <t>CCS YIELD</t>
  </si>
  <si>
    <t>NEPAL  SAHA</t>
  </si>
  <si>
    <t>S S GHOSHE</t>
  </si>
  <si>
    <t>DEBJYOTI GHOSH</t>
  </si>
  <si>
    <t>MONIOTORING CELL</t>
  </si>
  <si>
    <t>DELHI</t>
  </si>
  <si>
    <t>A MITRA</t>
  </si>
  <si>
    <t>GM PROJECT</t>
  </si>
  <si>
    <t>01124367250</t>
  </si>
  <si>
    <t>GARIMA SHARMA(NEW DELHI)</t>
  </si>
  <si>
    <t>RATAN SAHA</t>
  </si>
  <si>
    <t>FOR WATER</t>
  </si>
  <si>
    <t>Nirmal SAHA</t>
  </si>
  <si>
    <t>03432574317</t>
  </si>
  <si>
    <t>NEPAL SAHA</t>
  </si>
  <si>
    <t>SUN /THURS</t>
  </si>
  <si>
    <t>PRESS</t>
  </si>
  <si>
    <t>WED</t>
  </si>
  <si>
    <t>5TON</t>
  </si>
  <si>
    <t>THURS</t>
  </si>
  <si>
    <t>CON/HTF</t>
  </si>
  <si>
    <t>SUN</t>
  </si>
  <si>
    <t>SHIP</t>
  </si>
  <si>
    <t>FRI</t>
  </si>
  <si>
    <t>FOR FAX</t>
  </si>
  <si>
    <t>HEAT_NO</t>
  </si>
  <si>
    <t>GRADE_ACT</t>
  </si>
  <si>
    <t>SHAPE_ACT</t>
  </si>
  <si>
    <t>SUPPLY COND</t>
  </si>
  <si>
    <t>THICKNESS</t>
  </si>
  <si>
    <t>WIDTH</t>
  </si>
  <si>
    <t>BAL_PCS</t>
  </si>
  <si>
    <t>BAL_WT</t>
  </si>
  <si>
    <t>MP_NO</t>
  </si>
  <si>
    <t>SO_NO</t>
  </si>
  <si>
    <t>ED/ CELL</t>
  </si>
  <si>
    <t>SAE 8822 H</t>
  </si>
  <si>
    <t>FINRCS GT140</t>
  </si>
  <si>
    <t>ROLLED SLOW COOLED</t>
  </si>
  <si>
    <t>ASTNRBBM0051415</t>
  </si>
  <si>
    <t>DELHI/CO</t>
  </si>
  <si>
    <t>ROLLED</t>
  </si>
  <si>
    <t>ASTNRBBM0031415</t>
  </si>
  <si>
    <t>CEO/DSP</t>
  </si>
  <si>
    <t>MKT ASP</t>
  </si>
  <si>
    <t>ASTNRBBM0021718</t>
  </si>
  <si>
    <t>cond/rel</t>
  </si>
  <si>
    <t>ROOLED SLOW COOLED</t>
  </si>
  <si>
    <t>ASOWRBBM2151718</t>
  </si>
  <si>
    <t>TO INFORM AFTER FAX</t>
  </si>
  <si>
    <t>ASOWRBBM1351718</t>
  </si>
  <si>
    <t>TA TO CEO</t>
  </si>
  <si>
    <t>D.SENGUPTA</t>
  </si>
  <si>
    <t>ASOWRBBM0821819</t>
  </si>
  <si>
    <t>A.GHOSH</t>
  </si>
  <si>
    <t>ASOWRBBM2701819</t>
  </si>
  <si>
    <t>CEO/OFFICE</t>
  </si>
  <si>
    <t>DIN 42CrMo4</t>
  </si>
  <si>
    <t>CAST SLOW COOLED</t>
  </si>
  <si>
    <t>ASOERSMS0151415</t>
  </si>
  <si>
    <t>SA-105</t>
  </si>
  <si>
    <t xml:space="preserve">CAST </t>
  </si>
  <si>
    <t>ASOERSMS0091415</t>
  </si>
  <si>
    <t>IS 1875 CL-IV</t>
  </si>
  <si>
    <t>CAST</t>
  </si>
  <si>
    <t>ASOERSMS0121617</t>
  </si>
  <si>
    <t>ASOERSMS0141617</t>
  </si>
  <si>
    <t>RELESE TOTAL</t>
  </si>
  <si>
    <t>GRD PRD REL TOTAL</t>
  </si>
  <si>
    <t>CUIST GRD DESP</t>
  </si>
  <si>
    <t>DETAILS OF M/S G G AUTO  ORDERS SUPPLIES</t>
  </si>
  <si>
    <t xml:space="preserve">MP NO </t>
  </si>
  <si>
    <t>SIZE</t>
  </si>
  <si>
    <t>HT NO</t>
  </si>
  <si>
    <t>DATE OF MELTING</t>
  </si>
  <si>
    <t>DATE OF ROLLING</t>
  </si>
  <si>
    <t>DATE OD REL</t>
  </si>
  <si>
    <t>DATE OF DESP</t>
  </si>
  <si>
    <t>DESP WT'</t>
  </si>
  <si>
    <t>300X300</t>
  </si>
  <si>
    <t>17/10/2021</t>
  </si>
  <si>
    <t>18/10/2021</t>
  </si>
  <si>
    <t>22/10/2021</t>
  </si>
  <si>
    <t>27/10 &amp; 30/10/21</t>
  </si>
  <si>
    <t>140X140</t>
  </si>
  <si>
    <t>22/082021</t>
  </si>
  <si>
    <t>24/08/2021</t>
  </si>
  <si>
    <t>06/102021</t>
  </si>
  <si>
    <t>19/10/2021</t>
  </si>
  <si>
    <t>17/09/2021</t>
  </si>
  <si>
    <t>18/09/2021</t>
  </si>
  <si>
    <t>30/09/2021</t>
  </si>
  <si>
    <t>06/10 &amp; 19/10/2021</t>
  </si>
  <si>
    <t>(180dia)</t>
  </si>
  <si>
    <t>S.No</t>
  </si>
  <si>
    <t>EMP</t>
  </si>
  <si>
    <t>SAIL</t>
  </si>
  <si>
    <t>NAME</t>
  </si>
  <si>
    <t>DESGN</t>
  </si>
  <si>
    <t>Grade</t>
  </si>
  <si>
    <t>DEPT</t>
  </si>
  <si>
    <t>PHONE NO.</t>
  </si>
  <si>
    <t>E-MAIL ID</t>
  </si>
  <si>
    <t>SAIL e-Mail ID</t>
  </si>
  <si>
    <t>A000168</t>
  </si>
  <si>
    <t>S SUBBARAJ</t>
  </si>
  <si>
    <t>ED</t>
  </si>
  <si>
    <t>E9</t>
  </si>
  <si>
    <t>ASP</t>
  </si>
  <si>
    <t>edaspsail@gmail.com</t>
  </si>
  <si>
    <t>s.subbaraj@sail.in</t>
  </si>
  <si>
    <t>K000412</t>
  </si>
  <si>
    <t>RAJAT KUMAR PRADHAN</t>
  </si>
  <si>
    <t>GM</t>
  </si>
  <si>
    <t>E7</t>
  </si>
  <si>
    <t>ED's SECTT.</t>
  </si>
  <si>
    <t>rkpradhan68@gmail.com</t>
  </si>
  <si>
    <t>rajat.pradhan@sail.in</t>
  </si>
  <si>
    <t>K001683</t>
  </si>
  <si>
    <t>SOMNATH ADHIKARY</t>
  </si>
  <si>
    <t>AM</t>
  </si>
  <si>
    <t>E1</t>
  </si>
  <si>
    <t>somnathadhikary91@gmail.com</t>
  </si>
  <si>
    <t>somnath.adhikary@sail.in</t>
  </si>
  <si>
    <t>E000714</t>
  </si>
  <si>
    <t>ASISH CHAKRABORTY</t>
  </si>
  <si>
    <t>CGM�</t>
  </si>
  <si>
    <t>E8</t>
  </si>
  <si>
    <t>I/c (Works)</t>
  </si>
  <si>
    <t>1964asish@gmail.com</t>
  </si>
  <si>
    <t>A.CHAKRABORTY@Sail.in</t>
  </si>
  <si>
    <t>K000231</t>
  </si>
  <si>
    <t>KAMANASISH BHAUMIK</t>
  </si>
  <si>
    <t>DGM</t>
  </si>
  <si>
    <t>E6</t>
  </si>
  <si>
    <t>G.M I/c.(WORKS) SECTT.</t>
  </si>
  <si>
    <t>bhaumik.ks@gmail.com</t>
  </si>
  <si>
    <t>kamanasish.bhaumik@sail.in</t>
  </si>
  <si>
    <t>K001997</t>
  </si>
  <si>
    <t>MANJIT SINGH RAKHRA</t>
  </si>
  <si>
    <t>msrakhra.sail@gmail.com�</t>
  </si>
  <si>
    <t>manjit.rakhra@sail.in</t>
  </si>
  <si>
    <t>K000097</t>
  </si>
  <si>
    <t>ASHIM DAS</t>
  </si>
  <si>
    <t>STEEL AND MILLS</t>
  </si>
  <si>
    <t>ashimdas62@rediffmail.com</t>
  </si>
  <si>
    <t>ashim.das@sail.in</t>
  </si>
  <si>
    <t>K000146</t>
  </si>
  <si>
    <t>GM I/c</t>
  </si>
  <si>
    <t>STEEL</t>
  </si>
  <si>
    <t>nepalsaha.1961@gmail.com</t>
  </si>
  <si>
    <t>nepal.saha@sail.in</t>
  </si>
  <si>
    <t>K000150</t>
  </si>
  <si>
    <t>SANTANU GHOSH</t>
  </si>
  <si>
    <t>SMS &amp; CCS</t>
  </si>
  <si>
    <t>santanughosh51@gmail.com</t>
  </si>
  <si>
    <t>santanu.ghosh@sail.in</t>
  </si>
  <si>
    <t>K000165</t>
  </si>
  <si>
    <t>DEBOJYOTI GHOSH</t>
  </si>
  <si>
    <t>debojyotighosh@ymail.com</t>
  </si>
  <si>
    <t>debojyoti.ghosh@sail.in</t>
  </si>
  <si>
    <t>K000212</t>
  </si>
  <si>
    <t>ANUP KUMAR BISWAS</t>
  </si>
  <si>
    <t>biswasx10@gmail.com</t>
  </si>
  <si>
    <t>anup.biswas@sail.in</t>
  </si>
  <si>
    <t>K000214</t>
  </si>
  <si>
    <t>KAUSHIK SARKAR</t>
  </si>
  <si>
    <t>ksarkar86452@gmail.com</t>
  </si>
  <si>
    <t>kaushik.sarkar@sail.in</t>
  </si>
  <si>
    <t>K000270</t>
  </si>
  <si>
    <t>CHAKRADHAR SAHOO</t>
  </si>
  <si>
    <t>AGM</t>
  </si>
  <si>
    <t>E5</t>
  </si>
  <si>
    <t>csahoo11@gmail.com</t>
  </si>
  <si>
    <t>chakradhar.sahoo@sail.in</t>
  </si>
  <si>
    <t>K000346</t>
  </si>
  <si>
    <t>TARAK NATH BISWAS</t>
  </si>
  <si>
    <t>SR MGR</t>
  </si>
  <si>
    <t>E4</t>
  </si>
  <si>
    <t>tarakbiswas67@gmail.com</t>
  </si>
  <si>
    <t>tarak.biswas@sail.in</t>
  </si>
  <si>
    <t>K000425</t>
  </si>
  <si>
    <t>RAJEEV KUMAR SINGH</t>
  </si>
  <si>
    <t>rajeev.mnit@gmail.com</t>
  </si>
  <si>
    <t>rajeev.singh@sail.in</t>
  </si>
  <si>
    <t>K001434</t>
  </si>
  <si>
    <t>TANMAY BASU</t>
  </si>
  <si>
    <t>biswanath_angur_basu@yahoo.co.in</t>
  </si>
  <si>
    <t>tanmay.basu@sail.in</t>
  </si>
  <si>
    <t>K001431</t>
  </si>
  <si>
    <t>TAPAN HAZRA</t>
  </si>
  <si>
    <t>MGR</t>
  </si>
  <si>
    <t>E3</t>
  </si>
  <si>
    <t>tapanhazraasp@gmail.com</t>
  </si>
  <si>
    <t>tapan.hazra@sail.in</t>
  </si>
  <si>
    <t>K001440</t>
  </si>
  <si>
    <t>sratan1791@gmail.com</t>
  </si>
  <si>
    <t>ratan.saha@sail.in</t>
  </si>
  <si>
    <t>K002436</t>
  </si>
  <si>
    <t>SATYENDRA KUMAR SINGH</t>
  </si>
  <si>
    <t>DM</t>
  </si>
  <si>
    <t>E2</t>
  </si>
  <si>
    <t>satyendra112.asp@gmail.com</t>
  </si>
  <si>
    <t>satyendra.singh@sail.in</t>
  </si>
  <si>
    <t>K001724</t>
  </si>
  <si>
    <t>SOMNATH LAYEK</t>
  </si>
  <si>
    <t>somnath.34@rediffmail.com</t>
  </si>
  <si>
    <t>somnath.layek@sail.in</t>
  </si>
  <si>
    <t>K001722</t>
  </si>
  <si>
    <t>SANTOSH KARMAKAR</t>
  </si>
  <si>
    <t>karmakars4k@gmail.com</t>
  </si>
  <si>
    <t>santosh.karmakar@sail.in</t>
  </si>
  <si>
    <t>K000177</t>
  </si>
  <si>
    <t>RAJIB BHAUMIK</t>
  </si>
  <si>
    <t>RED</t>
  </si>
  <si>
    <t>rajibchuni1966@gmail.com</t>
  </si>
  <si>
    <t>rajib.bhaumik@sail.in</t>
  </si>
  <si>
    <t>K000244</t>
  </si>
  <si>
    <t>ABHIJIT BHATTACHARYYA</t>
  </si>
  <si>
    <t>abhijit1bhatt@gmail.com</t>
  </si>
  <si>
    <t>a.bhattacharyya@sail.in</t>
  </si>
  <si>
    <t>K000366</t>
  </si>
  <si>
    <t>DEBASIS BANERJEE</t>
  </si>
  <si>
    <t>debasisbanerjee.sail@gmail.com</t>
  </si>
  <si>
    <t>debasis.banerjee@sail.in</t>
  </si>
  <si>
    <t>K002216</t>
  </si>
  <si>
    <t>HIMANSHU KESARWANI</t>
  </si>
  <si>
    <t>himanshu.kesarwani@gmail.com</t>
  </si>
  <si>
    <t>himanshu.kesarwani@sail.in</t>
  </si>
  <si>
    <t>K001169</t>
  </si>
  <si>
    <t>BASUDEB SARKAR</t>
  </si>
  <si>
    <t>bedusab@gmail.com</t>
  </si>
  <si>
    <t>basudeb.sarkar@sail.in</t>
  </si>
  <si>
    <t>K000152</t>
  </si>
  <si>
    <t>AKSHAYA KUMAR</t>
  </si>
  <si>
    <t>SMS-Planning &amp; MRD</t>
  </si>
  <si>
    <t>akshaya.sailasp@gmail.com</t>
  </si>
  <si>
    <t>akshaya.kumar@sail.in</t>
  </si>
  <si>
    <t>K000179</t>
  </si>
  <si>
    <t>AVIJIT DEB</t>
  </si>
  <si>
    <t>Planning - SMS &amp; RED</t>
  </si>
  <si>
    <t>avijitdeb2009@rediffmail.com</t>
  </si>
  <si>
    <t>avijit.deb@sail.in</t>
  </si>
  <si>
    <t>K000123</t>
  </si>
  <si>
    <t>ASIT BARAN MONDAL</t>
  </si>
  <si>
    <t>MILLS</t>
  </si>
  <si>
    <t>aspasitbaran@gmail.com</t>
  </si>
  <si>
    <t>ASIT.MONDAL@sail.in</t>
  </si>
  <si>
    <t>K000170</t>
  </si>
  <si>
    <t>ARUP NANDY</t>
  </si>
  <si>
    <t>arupnandy2@gmail.com</t>
  </si>
  <si>
    <t>ARUP.NANDY@sail.in</t>
  </si>
  <si>
    <t>K000243</t>
  </si>
  <si>
    <t>RAJIB CHAKRABORTY</t>
  </si>
  <si>
    <t>rajibchakraborty23@yahoo.com</t>
  </si>
  <si>
    <t>RAJIB.CHAKRABORTY@sail.in</t>
  </si>
  <si>
    <t>M000270</t>
  </si>
  <si>
    <t>SANJEEV KUMAR MISHRA</t>
  </si>
  <si>
    <t>sanjeev_mishra25@yahoo.co.in</t>
  </si>
  <si>
    <t>SANJEEV.MISHRA@sail.in</t>
  </si>
  <si>
    <t>M000359</t>
  </si>
  <si>
    <t>AMIT KUMAR</t>
  </si>
  <si>
    <t>amit.metbit@gmail.com</t>
  </si>
  <si>
    <t>amit.kumar83@sail.in</t>
  </si>
  <si>
    <t>K001439</t>
  </si>
  <si>
    <t>TAPAS KR PAUL</t>
  </si>
  <si>
    <t>tapaskrpaul.dgp@gmail.com</t>
  </si>
  <si>
    <t>TAPAS.PAUL@sail.in</t>
  </si>
  <si>
    <t>K000153</t>
  </si>
  <si>
    <t>ASHIS MAITRA</t>
  </si>
  <si>
    <t>COND &amp; FS</t>
  </si>
  <si>
    <t>maitra_ashis@rediffmail.com</t>
  </si>
  <si>
    <t>ASHIS.MAITRA@sail.in</t>
  </si>
  <si>
    <t>K000241</t>
  </si>
  <si>
    <t>SAMIR MAJUMDAR</t>
  </si>
  <si>
    <t>samirmajumder62@yahoo.com</t>
  </si>
  <si>
    <t>SAMIR.MAJUMDAR@sail.in</t>
  </si>
  <si>
    <t>K000428</t>
  </si>
  <si>
    <t>PRAKASH CH DEWANGAN</t>
  </si>
  <si>
    <t>pcdewangan@rediffmail.com</t>
  </si>
  <si>
    <t>PRAKASH.DEWANGAN@sail.in</t>
  </si>
  <si>
    <t>K002228</t>
  </si>
  <si>
    <t>UTTAM KUMAR</t>
  </si>
  <si>
    <t>uttamnifft05@gmail.com</t>
  </si>
  <si>
    <t>UTTAM.KUMAR@sail.in</t>
  </si>
  <si>
    <t>K002393</t>
  </si>
  <si>
    <t>ARUP MONDAL</t>
  </si>
  <si>
    <t>arup.m88@gmail.com</t>
  </si>
  <si>
    <t>ARUP.MONDAL@sail.in</t>
  </si>
  <si>
    <t>K000274</t>
  </si>
  <si>
    <t>SARFRAJ ANSARI</t>
  </si>
  <si>
    <t>FORGE SHOP</t>
  </si>
  <si>
    <t>saify4u2000@yahoo.co.in</t>
  </si>
  <si>
    <t>SARFRAJ.ANSARI@sail.in</t>
  </si>
  <si>
    <t>K000154</t>
  </si>
  <si>
    <t>MOHAN MUKHERJEE</t>
  </si>
  <si>
    <t>mukherjeemohan108@gmail.com</t>
  </si>
  <si>
    <t>MOHAN.MUKHERJEE@sail.in</t>
  </si>
  <si>
    <t>K000286</t>
  </si>
  <si>
    <t>AKHILESH P BARA</t>
  </si>
  <si>
    <t>akhileshpbara@gmail.com</t>
  </si>
  <si>
    <t>AKHILESH.BARA@sail.in</t>
  </si>
  <si>
    <t>K000232</t>
  </si>
  <si>
    <t>SIDHARTH BHATTACHARJEE</t>
  </si>
  <si>
    <t>BBM, RDRS &amp; PM</t>
  </si>
  <si>
    <t>aspsiddhartha@gmail.com</t>
  </si>
  <si>
    <t>s.bhattacharjee72@sail.in</t>
  </si>
  <si>
    <t>K000348</t>
  </si>
  <si>
    <t>SANJEEV KUMAR</t>
  </si>
  <si>
    <t>HTF, RDRS &amp; PM</t>
  </si>
  <si>
    <t>isanju4u@gmail.com</t>
  </si>
  <si>
    <t>sanjeev.kumar79@sail.in</t>
  </si>
  <si>
    <t>K001448</t>
  </si>
  <si>
    <t>DIPANKAR MAJI</t>
  </si>
  <si>
    <t>PM &amp; RDRS</t>
  </si>
  <si>
    <t>dipankarmaji57@gmail.com</t>
  </si>
  <si>
    <t>DIPANKAR.MAJI@sail.in</t>
  </si>
  <si>
    <t>K000156</t>
  </si>
  <si>
    <t>NIRMAL KANTI NASKAR</t>
  </si>
  <si>
    <t>FM-MILLS(MED)</t>
  </si>
  <si>
    <t>medpm.asp@gmail.com</t>
  </si>
  <si>
    <t>NIRMAL.NASKAR@sail.in</t>
  </si>
  <si>
    <t>K000216</t>
  </si>
  <si>
    <t>MARSAL FRANCIS TOPNO</t>
  </si>
  <si>
    <t>mftopno@gmail.com</t>
  </si>
  <si>
    <t>MARSAL.TOPNO@sail.in</t>
  </si>
  <si>
    <t>K000195</t>
  </si>
  <si>
    <t>BIKRAM SOREN</t>
  </si>
  <si>
    <t>bikram123soren@gmail.com</t>
  </si>
  <si>
    <t>BIKRAM.SOREN@sail.in</t>
  </si>
  <si>
    <t>K000308</t>
  </si>
  <si>
    <t>UDAY SANKAR SARKAR</t>
  </si>
  <si>
    <t>uday.sankar111@gmail.com</t>
  </si>
  <si>
    <t>UDAY.SARKAR@sail.in</t>
  </si>
  <si>
    <t>K002396</t>
  </si>
  <si>
    <t>SAMBIT MANNA</t>
  </si>
  <si>
    <t>sambitmanna.sail@yahoo.in</t>
  </si>
  <si>
    <t>SAMBIT.MANNA@sail.in</t>
  </si>
  <si>
    <t>K002437</t>
  </si>
  <si>
    <t>SHESHANK</t>
  </si>
  <si>
    <t>shesh.sail@gmail.com</t>
  </si>
  <si>
    <t>SHESHANK@sail.in</t>
  </si>
  <si>
    <t>K000151</t>
  </si>
  <si>
    <t>KUNAL GUHA THAKURTA</t>
  </si>
  <si>
    <t>FM-MILLS(EED)</t>
  </si>
  <si>
    <t> kunalgt66@gmail.com</t>
  </si>
  <si>
    <t>KUNAL.THAKURTA@sail.in</t>
  </si>
  <si>
    <t>K000266</t>
  </si>
  <si>
    <t>JAYDEEP DUTTA</t>
  </si>
  <si>
    <t>jaydeepd123@gmail.com</t>
  </si>
  <si>
    <t>JAYDEEP.DUTTA@sail.in</t>
  </si>
  <si>
    <t>K000421</t>
  </si>
  <si>
    <t>UK PARIDA</t>
  </si>
  <si>
    <t>parida_upen@rediffmail.com</t>
  </si>
  <si>
    <t>UPENDRA.PARIDA@sail.in</t>
  </si>
  <si>
    <t>K002432</t>
  </si>
  <si>
    <t>amitkumar.sailasp@gmail.com</t>
  </si>
  <si>
    <t>amit.kumar91@sail.in</t>
  </si>
  <si>
    <t>K000119</t>
  </si>
  <si>
    <t>SUBHADIP BOSE</t>
  </si>
  <si>
    <t>Electrical</t>
  </si>
  <si>
    <t>subhadip103@yahoo.com</t>
  </si>
  <si>
    <t>SUBHADIP.BOSE@sail.in</t>
  </si>
  <si>
    <t>K000182</t>
  </si>
  <si>
    <t>BHASKAR KARMAKAR</t>
  </si>
  <si>
    <t>EED-Crane, ERS &amp; AC</t>
  </si>
  <si>
    <t>kbhaskar_d@yahoo.com</t>
  </si>
  <si>
    <t>BHASKAR.KARMAKAR@sail.in</t>
  </si>
  <si>
    <t>K000234</t>
  </si>
  <si>
    <t>MD AYUB ALI TALUKDAR</t>
  </si>
  <si>
    <t>EED-E&amp;TC,INSTT</t>
  </si>
  <si>
    <t>aat.asp@gmail.com</t>
  </si>
  <si>
    <t>AYUB.TALUKDAR@sail.in</t>
  </si>
  <si>
    <t>K000429</t>
  </si>
  <si>
    <t>NITESH ROY</t>
  </si>
  <si>
    <t>nitsy79@yahoo.com</t>
  </si>
  <si>
    <t>NITESH.ROY@sail.in</t>
  </si>
  <si>
    <t>K002230</t>
  </si>
  <si>
    <t>RAJEEV KUMAR</t>
  </si>
  <si>
    <t>CRANE MAINTAINENCE</t>
  </si>
  <si>
    <t>rajeevei42@rediffmail.com</t>
  </si>
  <si>
    <t>rajeev.kumar84@sail.in</t>
  </si>
  <si>
    <t>K002395</t>
  </si>
  <si>
    <t>ARNAB PAL</t>
  </si>
  <si>
    <t>masterarnab412@gmail.com</t>
  </si>
  <si>
    <t>ARNAB.PAL@sail.in</t>
  </si>
  <si>
    <t>K001446</t>
  </si>
  <si>
    <t>RAJAT MALAKAR</t>
  </si>
  <si>
    <t>CRANE MAINTENANCE</t>
  </si>
  <si>
    <t>malakarrajat@gmail.com</t>
  </si>
  <si>
    <t>RAJAT.MALAKAR@sail.in</t>
  </si>
  <si>
    <t>K000236</t>
  </si>
  <si>
    <t>KAUSHIK MANDAL</t>
  </si>
  <si>
    <t>EED-PD</t>
  </si>
  <si>
    <t>kaushikm75@gmail.com</t>
  </si>
  <si>
    <t>KAUSHIK.MANDAL@sail.in</t>
  </si>
  <si>
    <t>K002227</t>
  </si>
  <si>
    <t>P VIJAYSARADHI</t>
  </si>
  <si>
    <t>vijay_saaradhi@yahoo.com</t>
  </si>
  <si>
    <t>P.VIJAYSARADHI@sail.in</t>
  </si>
  <si>
    <t>K002433</t>
  </si>
  <si>
    <t>SUVENDU MALIK</t>
  </si>
  <si>
    <t>suvendumalik2011@gmail.com</t>
  </si>
  <si>
    <t>SUVENDU.MALIK@sail.in</t>
  </si>
  <si>
    <t>K001424</t>
  </si>
  <si>
    <t>SANJAY CHATTERJEE</t>
  </si>
  <si>
    <t>AC &amp; ERS</t>
  </si>
  <si>
    <t>sanjch71@gmail.com</t>
  </si>
  <si>
    <t>SANJAY.CHATTERJEE@sail.in</t>
  </si>
  <si>
    <t>K001720</t>
  </si>
  <si>
    <t>BISWAJIT MANDAL</t>
  </si>
  <si>
    <t>EED (TELECOM)</t>
  </si>
  <si>
    <t>biswajitmandal.asp@gmail.com</t>
  </si>
  <si>
    <t>biswajit.mandal75@sail.in</t>
  </si>
  <si>
    <t>K000144</t>
  </si>
  <si>
    <t>CV RAMA MURTHY</t>
  </si>
  <si>
    <t>FM-SMS&amp;CCS</t>
  </si>
  <si>
    <t>murthydgp@yahoo.com</t>
  </si>
  <si>
    <t>cv.murthy@sail.in</t>
  </si>
  <si>
    <t>K000206</t>
  </si>
  <si>
    <t>HARISH KUMAR VERMA</t>
  </si>
  <si>
    <t>FM-SMS&amp;CCS(MED)</t>
  </si>
  <si>
    <t>harishkumarverma@ymail.com</t>
  </si>
  <si>
    <t>harish.verma@sail.in</t>
  </si>
  <si>
    <t>K000205</t>
  </si>
  <si>
    <t>DIPEN KUMAR MONDAL</t>
  </si>
  <si>
    <t>mdipenkumar@yahoo.com</t>
  </si>
  <si>
    <t>dipen.mondal@sail.in</t>
  </si>
  <si>
    <t>K000259</t>
  </si>
  <si>
    <t>RUPESH HAIDER</t>
  </si>
  <si>
    <t>rupeshhaider@gmail.com</t>
  </si>
  <si>
    <t>rupesh.haider@sail.in</t>
  </si>
  <si>
    <t>D001339</t>
  </si>
  <si>
    <t>AKHILESH KUMAR SINGH</t>
  </si>
  <si>
    <t>akhil_1473@rediffmail.com</t>
  </si>
  <si>
    <t>akhilesh.singh@sail.in</t>
  </si>
  <si>
    <t>K000363</t>
  </si>
  <si>
    <t>SUBRATA BISWAS</t>
  </si>
  <si>
    <t>subrata12571@gmail.com</t>
  </si>
  <si>
    <t>subrata.biswas@sail.in</t>
  </si>
  <si>
    <t>D000606</t>
  </si>
  <si>
    <t>TUSHAR KANTI LASKAR</t>
  </si>
  <si>
    <t>FM-SMS&amp;CCS(EED)</t>
  </si>
  <si>
    <t>tushar_laskar@yahoo.com</t>
  </si>
  <si>
    <t>tushar.laskar@sail.in</t>
  </si>
  <si>
    <t>K001178</t>
  </si>
  <si>
    <t>N BANDYOPADHYAY</t>
  </si>
  <si>
    <t>neel.asp2000@gmail.com</t>
  </si>
  <si>
    <t>nil.bandyopadhyay@sail.in</t>
  </si>
  <si>
    <t>K002235</t>
  </si>
  <si>
    <t>ASHIK MUNSHI</t>
  </si>
  <si>
    <t>ece353@gmail.com</t>
  </si>
  <si>
    <t>ashik.munshi@sail.in</t>
  </si>
  <si>
    <t>K002229</t>
  </si>
  <si>
    <t>RAHUL KUMAR</t>
  </si>
  <si>
    <t>rahultomar99@yahoo.co.in</t>
  </si>
  <si>
    <t>rahul.kumar87@sail.in</t>
  </si>
  <si>
    <t>D000278</t>
  </si>
  <si>
    <t>AMIT BASU</t>
  </si>
  <si>
    <t>MECHANICAL &amp; SERVICE</t>
  </si>
  <si>
    <t>amitbasu@hotmail.com</t>
  </si>
  <si>
    <t>AMIT.BASU@sail.in</t>
  </si>
  <si>
    <t>K000178</t>
  </si>
  <si>
    <t>AMITESH BISWAS</t>
  </si>
  <si>
    <t>MED-Shops &amp; HM</t>
  </si>
  <si>
    <t>biswas_amitesh@yahoo.co.in</t>
  </si>
  <si>
    <t>AMITESH.BISWAS@sail.in</t>
  </si>
  <si>
    <t>K000411</t>
  </si>
  <si>
    <t>SRINIVAS YEDLA</t>
  </si>
  <si>
    <t>ysysrinivas03@gmail.com</t>
  </si>
  <si>
    <t>SRINIVAS.YEDLA@sail.in</t>
  </si>
  <si>
    <t>K000169</t>
  </si>
  <si>
    <t>NIRMAL KR MONDAL</t>
  </si>
  <si>
    <t>MED-POWER &amp; FUEL</t>
  </si>
  <si>
    <t>nirmal1598@yahoo.co.in</t>
  </si>
  <si>
    <t>NIRMAL.MONDAL@sail.in</t>
  </si>
  <si>
    <t>K000186</t>
  </si>
  <si>
    <t>NIRMALENDU SAHA</t>
  </si>
  <si>
    <t>nirmalsaha40@gmail.com</t>
  </si>
  <si>
    <t>NIRMALENDU.SAHA@sail.in</t>
  </si>
  <si>
    <t>K000263</t>
  </si>
  <si>
    <t>SURESH PRASAD</t>
  </si>
  <si>
    <t>powerasp77@gmail.com</t>
  </si>
  <si>
    <t>suresh.prasad70@sail.in</t>
  </si>
  <si>
    <t>K001176</t>
  </si>
  <si>
    <t>SAMIR MONDAL</t>
  </si>
  <si>
    <t>MED- POWER &amp; FUEL</t>
  </si>
  <si>
    <t>samir_mondal90@rediffmail.com�</t>
  </si>
  <si>
    <t>SAMIR.MONDAL@sail.in</t>
  </si>
  <si>
    <t>K000183</t>
  </si>
  <si>
    <t>KUNTAL MUKHERJEE</t>
  </si>
  <si>
    <t>PPCD</t>
  </si>
  <si>
    <t>kuntalmukherjee@yahoo.co.in</t>
  </si>
  <si>
    <t>KUNTAL.MUKHERJEE@sail.in</t>
  </si>
  <si>
    <t>K000254</t>
  </si>
  <si>
    <t>kabitadebdgp@gmail.com</t>
  </si>
  <si>
    <t>KABITA.DEB@sail.in</t>
  </si>
  <si>
    <t>K000249</t>
  </si>
  <si>
    <t>rajkavmat@gmail.com</t>
  </si>
  <si>
    <t>rajesh.kumar67@sail.in</t>
  </si>
  <si>
    <t>K000318</t>
  </si>
  <si>
    <t>SAUMITRA TIWARY</t>
  </si>
  <si>
    <t>PPCD &amp; PLANT CONTROL</t>
  </si>
  <si>
    <t>saumitrahere@gmail.com</t>
  </si>
  <si>
    <t>SAUMITRA.TIWARY@sail.in</t>
  </si>
  <si>
    <t>K002237</t>
  </si>
  <si>
    <t>PPCD (BAR &amp; Inv Cntrl)</t>
  </si>
  <si>
    <t>sulekhaa_02@yahoo.com</t>
  </si>
  <si>
    <t>SULEKHA.KUMARI@sail.in</t>
  </si>
  <si>
    <t>K000187</t>
  </si>
  <si>
    <t>SAMIR SAHA</t>
  </si>
  <si>
    <t>SHIPPING, Traffic &amp; ALRS</t>
  </si>
  <si>
    <t>samirsaha64@gmail.com</t>
  </si>
  <si>
    <t>SAMIR.SAHA@sail.in</t>
  </si>
  <si>
    <t>K000416</t>
  </si>
  <si>
    <t>ASHIS CHAKRABORTY</t>
  </si>
  <si>
    <t>ashis000@rediffmail.com</t>
  </si>
  <si>
    <t>ASHIS.CHAKRABORTY@sail.in</t>
  </si>
  <si>
    <t>K000245</t>
  </si>
  <si>
    <t>KUNCHIT KUMAR</t>
  </si>
  <si>
    <t>kumarkunchit@gmail.com</t>
  </si>
  <si>
    <t>KUNCHIT.KUMAR@sail.in</t>
  </si>
  <si>
    <t>K000324</t>
  </si>
  <si>
    <t>RAJIB LOCHAN PATRO</t>
  </si>
  <si>
    <t>patro.rajib@gmail.com</t>
  </si>
  <si>
    <t>RAJIB.PATRO@sail.in</t>
  </si>
  <si>
    <t>K002232</t>
  </si>
  <si>
    <t>SUMAN KUMAR JHA</t>
  </si>
  <si>
    <t>jhasumanforu@gmail.com</t>
  </si>
  <si>
    <t>SUMAN.JHA@sail.in</t>
  </si>
  <si>
    <t>K000149</t>
  </si>
  <si>
    <t>PRAJNA BASU</t>
  </si>
  <si>
    <t>BE &amp; MGMT SERVICES</t>
  </si>
  <si>
    <t>basu.prajna@gmail.com</t>
  </si>
  <si>
    <t>PRAJNA.BASU@sail.in</t>
  </si>
  <si>
    <t>K000166</t>
  </si>
  <si>
    <t>RAJIV GUPTA</t>
  </si>
  <si>
    <t>rajivgupta.asp@gmail.com</t>
  </si>
  <si>
    <t>RAJIV.GUPTA@sail.in</t>
  </si>
  <si>
    <t>K000295</t>
  </si>
  <si>
    <t>ANINDITA SAHA</t>
  </si>
  <si>
    <t>aspfad@rediffmail.com</t>
  </si>
  <si>
    <t>ANINDITA.SAHA@sail.in</t>
  </si>
  <si>
    <t>D000653</t>
  </si>
  <si>
    <t>SAUGATA CHANDRA</t>
  </si>
  <si>
    <t>SE &amp; ECD</t>
  </si>
  <si>
    <t>saugatachandra4@gmail.com</t>
  </si>
  <si>
    <t>SAUGATA.CHANDRA@sail.in</t>
  </si>
  <si>
    <t>K000196</t>
  </si>
  <si>
    <t>KAMAL MITRA</t>
  </si>
  <si>
    <t>kamalmitra2008@gmail.com</t>
  </si>
  <si>
    <t>KAMAL.MITRA@sail.in</t>
  </si>
  <si>
    <t>K001163</t>
  </si>
  <si>
    <t>SWARUP CHAUDHURI</t>
  </si>
  <si>
    <t>swarupchaudhuri@gmail.com</t>
  </si>
  <si>
    <t>SWARUP.CHOUDHURI@sail.in</t>
  </si>
  <si>
    <t>K000171</t>
  </si>
  <si>
    <t>SK MOSIBUR RAHAMAN</t>
  </si>
  <si>
    <t>RCL</t>
  </si>
  <si>
    <t>mosibur.rahaman@gmail.com</t>
  </si>
  <si>
    <t>mosibur.rahaman@sail.in</t>
  </si>
  <si>
    <t>K000414</t>
  </si>
  <si>
    <t>SANTOSH KUMAR BEHERA</t>
  </si>
  <si>
    <t>santoshasp.behera@gmail.com</t>
  </si>
  <si>
    <t>SANTOSH.BEHERA@sail.in</t>
  </si>
  <si>
    <t>K000221</t>
  </si>
  <si>
    <t>BADE VENKATARAMAMA RAJA</t>
  </si>
  <si>
    <t>raja_bvr@yahoo.com</t>
  </si>
  <si>
    <t>BADE.RAJA@sail.in</t>
  </si>
  <si>
    <t>K001174</t>
  </si>
  <si>
    <t>DHANAPATI KUMAR</t>
  </si>
  <si>
    <t>kumar.dhanapati951@gmail.com</t>
  </si>
  <si>
    <t>DHANAPATI.KUMAR@sail.in</t>
  </si>
  <si>
    <t>K001175</t>
  </si>
  <si>
    <t>ANINDYA KHAN</t>
  </si>
  <si>
    <t>anindyakhanasp@yahoo.com</t>
  </si>
  <si>
    <t>ANINDYA.KHAN@sail.in</t>
  </si>
  <si>
    <t>K001160</t>
  </si>
  <si>
    <t>BARUN KUMAR PRAMANICK</t>
  </si>
  <si>
    <t>barunpramanick10@gmail.com</t>
  </si>
  <si>
    <t>BARUN.PRAMANICK@sail.in</t>
  </si>
  <si>
    <t>K002394</t>
  </si>
  <si>
    <t>MANTOSH GUPTA</t>
  </si>
  <si>
    <t>mantoshgpt2@gmail.com</t>
  </si>
  <si>
    <t>MANTOSH.GUPTA@sail.in</t>
  </si>
  <si>
    <t>K002438</t>
  </si>
  <si>
    <t>SAUMEN GHOSH</t>
  </si>
  <si>
    <t>saumenghosh201@gmail.com</t>
  </si>
  <si>
    <t>SAUMEN.GHOSH@sail.in</t>
  </si>
  <si>
    <t>K001423</t>
  </si>
  <si>
    <t>SOUMEN GHOSH</t>
  </si>
  <si>
    <t>soumenghoshdgp@gmail.com</t>
  </si>
  <si>
    <t>SOUMEN.GHOSH@sail.in</t>
  </si>
  <si>
    <t>K001166</t>
  </si>
  <si>
    <t>GOUTAM MONDAL</t>
  </si>
  <si>
    <t>mondalgoutam67@gmail.com�</t>
  </si>
  <si>
    <t>GOUTAM.MONDAL@sail.in</t>
  </si>
  <si>
    <t>K001167</t>
  </si>
  <si>
    <t>MONOMOHAN TUDU</t>
  </si>
  <si>
    <t>monomohantudu@gmail.com</t>
  </si>
  <si>
    <t>MONOMOHAN.TUDU@sail.in</t>
  </si>
  <si>
    <t>K000409</t>
  </si>
  <si>
    <t>ALAK CHANDRA DEY</t>
  </si>
  <si>
    <t>PCM, Projects &amp; BP</t>
  </si>
  <si>
    <t>alakcdey@yahoo.com</t>
  </si>
  <si>
    <t>ALAK.DEY@sail.in</t>
  </si>
  <si>
    <t>K000260</t>
  </si>
  <si>
    <t>YOGESH BHATT</t>
  </si>
  <si>
    <t>BP &amp; PROJECTS</t>
  </si>
  <si>
    <t>bhttyogs6@gmail.com</t>
  </si>
  <si>
    <t>yogesh.bhatt@sail.in</t>
  </si>
  <si>
    <t>K000426</t>
  </si>
  <si>
    <t>HARSHWARDHAN</t>
  </si>
  <si>
    <t>�harshsail010@gmail.com</t>
  </si>
  <si>
    <t>harshawardhan@sail.in</t>
  </si>
  <si>
    <t>K000423</t>
  </si>
  <si>
    <t>PARTHA SARATHI DEV</t>
  </si>
  <si>
    <t>PCM</t>
  </si>
  <si>
    <t>psdev_nitdgp@yahoo.co.in</t>
  </si>
  <si>
    <t>PARTHA.DEV@sail.in</t>
  </si>
  <si>
    <t>K000176</t>
  </si>
  <si>
    <t>SAMEER TARACHAND UKE</t>
  </si>
  <si>
    <t>C &amp; IT</t>
  </si>
  <si>
    <t>sameeruke@rediffmail.com</t>
  </si>
  <si>
    <t>sameer.uke@sail.in</t>
  </si>
  <si>
    <t>K000203</t>
  </si>
  <si>
    <t>SUNIL KUMAR</t>
  </si>
  <si>
    <t>sunil.niha@gmail.com</t>
  </si>
  <si>
    <t>sunil.kumar69@sail.in</t>
  </si>
  <si>
    <t>K002224</t>
  </si>
  <si>
    <t>SIDHARTH SAURABH</t>
  </si>
  <si>
    <t>sidharth.saurabh@gmail.com</t>
  </si>
  <si>
    <t>sidharth.saurabh@sail.in</t>
  </si>
  <si>
    <t>K002431</t>
  </si>
  <si>
    <t>JASWANT PASWAN</t>
  </si>
  <si>
    <t>paswan970@gmail.com</t>
  </si>
  <si>
    <t>jaswant.paswan@sail.in</t>
  </si>
  <si>
    <t>G000376</t>
  </si>
  <si>
    <t>ANIRBAN DAS</t>
  </si>
  <si>
    <t>F&amp;A</t>
  </si>
  <si>
    <t>anirbandas.rana@gmail.com</t>
  </si>
  <si>
    <t>anirban.das@sail.in</t>
  </si>
  <si>
    <t>K000208</t>
  </si>
  <si>
    <t>DIPANKAR MODAK</t>
  </si>
  <si>
    <t>dmodak@rediffmail.com</t>
  </si>
  <si>
    <t>dipankar.modak@sail.in</t>
  </si>
  <si>
    <t>K000407</t>
  </si>
  <si>
    <t>AJAYA KUMAR BEHERA</t>
  </si>
  <si>
    <t>ajayakr_behera@rediffmail.com</t>
  </si>
  <si>
    <t>ajaya.behera@sail.in</t>
  </si>
  <si>
    <t>K000197</t>
  </si>
  <si>
    <t>RAJESH KUMAR GARODIA</t>
  </si>
  <si>
    <t>rajesh_garodia@rediffmail.com</t>
  </si>
  <si>
    <t>rajesh.garodia@sail.in</t>
  </si>
  <si>
    <t>K000230</t>
  </si>
  <si>
    <t>SHAMBHU BIMAL RAJ</t>
  </si>
  <si>
    <t>sbimalraj@gmail.com</t>
  </si>
  <si>
    <t>shambhu.raj@sail.in</t>
  </si>
  <si>
    <t>K000226</t>
  </si>
  <si>
    <t>AMAL KUMAR MONDAL</t>
  </si>
  <si>
    <t>akmondal69@rediffmail.com</t>
  </si>
  <si>
    <t>amal.mondal@sail.in</t>
  </si>
  <si>
    <t>K000258</t>
  </si>
  <si>
    <t>KRISHNA KUMAR CHAUDHARY</t>
  </si>
  <si>
    <t>kk_chaudhary@rediffmail.com</t>
  </si>
  <si>
    <t>krishna.chaudhary@sail.in</t>
  </si>
  <si>
    <t>K000261</t>
  </si>
  <si>
    <t>GOPAL CHANDEL</t>
  </si>
  <si>
    <t>chandel72@gmail.com</t>
  </si>
  <si>
    <t>gopal.chandel@sail.in</t>
  </si>
  <si>
    <t>K000223</t>
  </si>
  <si>
    <t>CHANDAN KUMAR SARKAR</t>
  </si>
  <si>
    <t>sarkar.chandankumar@gmail.com</t>
  </si>
  <si>
    <t>chandan.sarkar@sail.in</t>
  </si>
  <si>
    <t>K000419</t>
  </si>
  <si>
    <t>SAURAV DEWAN</t>
  </si>
  <si>
    <t>srv_dewan@rediffmail.com</t>
  </si>
  <si>
    <t>saurav.dewan@sail.in</t>
  </si>
  <si>
    <t>K001155</t>
  </si>
  <si>
    <t>KETAKI DAS</t>
  </si>
  <si>
    <t>ketaki67@gmail.com</t>
  </si>
  <si>
    <t>ketaki.das@sail.in</t>
  </si>
  <si>
    <t>K002434</t>
  </si>
  <si>
    <t>PRIYANKA SHAW</t>
  </si>
  <si>
    <t>priyankashaw.sail@gmail.com</t>
  </si>
  <si>
    <t>priyanka.shaw@sail.in</t>
  </si>
  <si>
    <t>K000265</t>
  </si>
  <si>
    <t>JAYANTA GHOSH</t>
  </si>
  <si>
    <t>IA</t>
  </si>
  <si>
    <t>jayantaghosh123@rediffmail.com</t>
  </si>
  <si>
    <t>jayanta.ghosh@sail.in</t>
  </si>
  <si>
    <t>K000172</t>
  </si>
  <si>
    <t>SANJAY SINGHAL</t>
  </si>
  <si>
    <t>MM</t>
  </si>
  <si>
    <t>purchaseasp@gmail.com</t>
  </si>
  <si>
    <t>sanjay.singhal@sail.in</t>
  </si>
  <si>
    <t>K000194</t>
  </si>
  <si>
    <t>B SAI SHANKER</t>
  </si>
  <si>
    <t>MM-PURCHASE</t>
  </si>
  <si>
    <t>bss.aspmmd1970@gmail.com</t>
  </si>
  <si>
    <t>b.shanker@sail.in</t>
  </si>
  <si>
    <t>D001085</t>
  </si>
  <si>
    <t>NANDITA SAHA</t>
  </si>
  <si>
    <t>nsahadgp@gmail.com</t>
  </si>
  <si>
    <t>nandita.saha@sail.in</t>
  </si>
  <si>
    <t>K000349</t>
  </si>
  <si>
    <t>PRASHANT KUMAR</t>
  </si>
  <si>
    <t>prashant.nifft06@gmail.com</t>
  </si>
  <si>
    <t>prashant.kumar81@sail.in</t>
  </si>
  <si>
    <t>K000418</t>
  </si>
  <si>
    <t>VIKASH CHANDRA</t>
  </si>
  <si>
    <t>vikashchandra28@gmail.com</t>
  </si>
  <si>
    <t>vikash.chandra@sail.in</t>
  </si>
  <si>
    <t>K002226</t>
  </si>
  <si>
    <t>PRAVEEN YADAV</t>
  </si>
  <si>
    <t>praveen28805@gmail.com</t>
  </si>
  <si>
    <t>PRAVEEN.YADAV@sail.in</t>
  </si>
  <si>
    <t>K000192</t>
  </si>
  <si>
    <t>MANJAI MADHAWA</t>
  </si>
  <si>
    <t>MM-S&amp;I</t>
  </si>
  <si>
    <t>manmnj1969@gmail.com</t>
  </si>
  <si>
    <t>manjai.madhawa@sail.in</t>
  </si>
  <si>
    <t>K000211</t>
  </si>
  <si>
    <t>RAJESH RANJAN KHAKHA</t>
  </si>
  <si>
    <t>rajeshkhakha70@gmail.com</t>
  </si>
  <si>
    <t>rajesh.khakha@sail.in</t>
  </si>
  <si>
    <t>K001436</t>
  </si>
  <si>
    <t>SADHAN SINHA</t>
  </si>
  <si>
    <t>sinhasadhan@gmail.com</t>
  </si>
  <si>
    <t>sadhan.sinha@sail.in</t>
  </si>
  <si>
    <t>E000665</t>
  </si>
  <si>
    <t>BIJAYA MISRA</t>
  </si>
  <si>
    <t>P &amp; A</t>
  </si>
  <si>
    <t>bijayamisra65@gmail.com</t>
  </si>
  <si>
    <t>bijaya.misra@sail.in</t>
  </si>
  <si>
    <t>K000148</t>
  </si>
  <si>
    <t>SOMNATH BARIK</t>
  </si>
  <si>
    <t>barik_somnath@rediffmail.com</t>
  </si>
  <si>
    <t>somnath.barik@sail.in</t>
  </si>
  <si>
    <t>K000247</t>
  </si>
  <si>
    <t>SAJAL KUMAR DAS</t>
  </si>
  <si>
    <t>sajal.das208@gmail.com</t>
  </si>
  <si>
    <t>sajal.das@sail.in</t>
  </si>
  <si>
    <t>K000400</t>
  </si>
  <si>
    <t>KAMALENDU MISHRA</t>
  </si>
  <si>
    <t>P &amp;A - HINDI, SPORTS &amp;</t>
  </si>
  <si>
    <t>mishra.k.asp@gmail.com</t>
  </si>
  <si>
    <t>kamalendu.mishra@sail.in</t>
  </si>
  <si>
    <t>K001179</t>
  </si>
  <si>
    <t>SARMISTHA DATTA</t>
  </si>
  <si>
    <t>dattasarmistha931@gmail.com</t>
  </si>
  <si>
    <t>sarmistha.datta@sail.in</t>
  </si>
  <si>
    <t>K002342</t>
  </si>
  <si>
    <t>SUBHADIP CHAKRABORTY</t>
  </si>
  <si>
    <t>Pers &amp; PR</t>
  </si>
  <si>
    <t>subhadip123@gmail.com</t>
  </si>
  <si>
    <t>s.chakraborty83@sail.in</t>
  </si>
  <si>
    <t>K002346</t>
  </si>
  <si>
    <t>DASHRATH RAWANI</t>
  </si>
  <si>
    <t>drawani.sail@gmail.com</t>
  </si>
  <si>
    <t>dashrath.rawani@sail.in</t>
  </si>
  <si>
    <t>K001435</t>
  </si>
  <si>
    <t>SUPRIYO SARKAR</t>
  </si>
  <si>
    <t>P&amp;A</t>
  </si>
  <si>
    <t>supriyo.meghna@gmail.com</t>
  </si>
  <si>
    <t>SUPRIYO.SARKAR@sail.in</t>
  </si>
  <si>
    <t>K000200</t>
  </si>
  <si>
    <t>DR PRADIP GHOSH</t>
  </si>
  <si>
    <t>JT DIRECTOR</t>
  </si>
  <si>
    <t>PMU</t>
  </si>
  <si>
    <t>drghosh.2010@rediffmail.com</t>
  </si>
  <si>
    <t>pradip.ghosh@sail.in</t>
  </si>
  <si>
    <t>K000227</t>
  </si>
  <si>
    <t>DR KAUSIK MAJUMDAR</t>
  </si>
  <si>
    <t>SR DY. DIRECT</t>
  </si>
  <si>
    <t>kausikmajumdar.dr@gmail.com</t>
  </si>
  <si>
    <t>kausik.majumdar@sail.in</t>
  </si>
  <si>
    <t>E002255</t>
  </si>
  <si>
    <t>DR BRINDABAN NASKAR</t>
  </si>
  <si>
    <t>Divisional Me</t>
  </si>
  <si>
    <t>naskar.org@gmail.com</t>
  </si>
  <si>
    <t>brindaban.naskar@sail.in</t>
  </si>
  <si>
    <t>K000190</t>
  </si>
  <si>
    <t>NAVEEN PRAKASH DWIVEDI</t>
  </si>
  <si>
    <t>HRD</t>
  </si>
  <si>
    <t>npdwivedi1712@gmail.com</t>
  </si>
  <si>
    <t>naveen.dwivedi@sail.in</t>
  </si>
  <si>
    <t>K000213</t>
  </si>
  <si>
    <t>RAM VINAY SHARMA</t>
  </si>
  <si>
    <t>DGM I/c</t>
  </si>
  <si>
    <t>LAW</t>
  </si>
  <si>
    <t>ramvinay2006@yahoo.co.in</t>
  </si>
  <si>
    <t>ram.sharma@sail.in</t>
  </si>
  <si>
    <t>K000420</t>
  </si>
  <si>
    <t>SANJAY SHAW</t>
  </si>
  <si>
    <t>TOWN SERVICES</t>
  </si>
  <si>
    <t>parthrajshaw@gmail.com</t>
  </si>
  <si>
    <t>sanjay.shaw@sail.in</t>
  </si>
  <si>
    <t>K000239</t>
  </si>
  <si>
    <t>PRASENJIT NATH</t>
  </si>
  <si>
    <t>VIGILANCE</t>
  </si>
  <si>
    <t>prasenjit198@gmail.com</t>
  </si>
  <si>
    <t>prasenjit.nath@sail.in</t>
  </si>
  <si>
    <t>K000352</t>
  </si>
  <si>
    <t>SANJAY KUMAR</t>
  </si>
  <si>
    <t>sanjay.azaad@gmail.com</t>
  </si>
  <si>
    <t>sanjay.kumar78@sail.in</t>
  </si>
  <si>
    <t>As on 01.12.2021</t>
  </si>
  <si>
    <t>PHONE</t>
  </si>
  <si>
    <t>Column</t>
  </si>
  <si>
    <t>D.O.B</t>
  </si>
  <si>
    <t>CGM</t>
  </si>
  <si>
    <t>SERVICES</t>
  </si>
  <si>
    <t>mondalgoutam67@gmail.com</t>
  </si>
  <si>
    <t>DY� CMO</t>
  </si>
  <si>
    <t>MAINTENANCE</t>
  </si>
  <si>
    <t>samir_mondal90@rediffmail.com</t>
  </si>
  <si>
    <t>D000603</t>
  </si>
  <si>
    <t>SANTOSH KUMAR</t>
  </si>
  <si>
    <t>santosh196407@gmail.com</t>
  </si>
  <si>
    <t>asp.santosh@sail.in</t>
  </si>
  <si>
    <t>SR DMO</t>
  </si>
  <si>
    <t>kunalgt66@gmail.com</t>
  </si>
  <si>
    <t>PPCD-Forged Products</t>
  </si>
  <si>
    <t>CGM I/c.(WORKS) SECTT.</t>
  </si>
  <si>
    <t>D001024</t>
  </si>
  <si>
    <t>rk.singh1@sail.in</t>
  </si>
  <si>
    <t>MRS</t>
  </si>
  <si>
    <t>ED's SECTT &amp; PR</t>
  </si>
  <si>
    <t>msrakhra.sail@gmail.com</t>
  </si>
  <si>
    <t>ADD CMO</t>
  </si>
  <si>
    <t>HRD &amp; OD</t>
  </si>
  <si>
    <t>harshsail010@gmail.com</t>
  </si>
  <si>
    <t>AS ON 01.03.2025</t>
  </si>
  <si>
    <t>.No</t>
  </si>
  <si>
    <t>PAX No</t>
  </si>
  <si>
    <t>Personal email ID</t>
  </si>
  <si>
    <t>ED SECTT</t>
  </si>
  <si>
    <t>CGM I/c</t>
  </si>
  <si>
    <t>WORKS</t>
  </si>
  <si>
    <t>D000564</t>
  </si>
  <si>
    <t>JAYANTA KUMAR PRADHAN</t>
  </si>
  <si>
    <t>jayantap06@sail.in</t>
  </si>
  <si>
    <t>ashis.maitra@sail.in</t>
  </si>
  <si>
    <t>biswanath_angur_basu@yahoo.co.i</t>
  </si>
  <si>
    <t>arup.nandy@sail.in</t>
  </si>
  <si>
    <t>soumen.ghosh@sail.in</t>
  </si>
  <si>
    <t>K001986</t>
  </si>
  <si>
    <t>NIHAR RANJAN MOHAPATRA</t>
  </si>
  <si>
    <t>nihar62151@gmail.com</t>
  </si>
  <si>
    <t>�</t>
  </si>
  <si>
    <t>K001978</t>
  </si>
  <si>
    <t>RAVI SHANKAR KUMAR</t>
  </si>
  <si>
    <t>ravishankar55121@gmail.com</t>
  </si>
  <si>
    <t>K001581</t>
  </si>
  <si>
    <t>ARABINDA DAS</t>
  </si>
  <si>
    <t>arabinda2015das@gmail.com</t>
  </si>
  <si>
    <t>K001990</t>
  </si>
  <si>
    <t>BHASKAR TANAY CHAKRABORTY</t>
  </si>
  <si>
    <t>JR MGR</t>
  </si>
  <si>
    <t>E0</t>
  </si>
  <si>
    <t>chakraborty341@gmail.com</t>
  </si>
  <si>
    <t>bhaskar.chakraborty@sail.in</t>
  </si>
  <si>
    <t>BBM &amp; FORGE SHOP</t>
  </si>
  <si>
    <t>rajib.chakraborty@sail.in</t>
  </si>
  <si>
    <t>sanjeev.mishra@sail.in</t>
  </si>
  <si>
    <t>tapas.paul@sail.in</t>
  </si>
  <si>
    <t>K001443</t>
  </si>
  <si>
    <t>DEBJIT MONDAL</t>
  </si>
  <si>
    <t>debjitm72@gmail.com</t>
  </si>
  <si>
    <t>D111035</t>
  </si>
  <si>
    <t>SAGAR BANERJEE</t>
  </si>
  <si>
    <t>sagarbanerjee20@gmail.com</t>
  </si>
  <si>
    <t>RDRS &amp; PM</t>
  </si>
  <si>
    <t>dipankar.maji@sail.in</t>
  </si>
  <si>
    <t>CONDITIONING &amp; HTF</t>
  </si>
  <si>
    <t>alak.dey@sail.in</t>
  </si>
  <si>
    <t>sarfraj.ansari@sail.in</t>
  </si>
  <si>
    <t>akhilesh.bara@sail.in</t>
  </si>
  <si>
    <t>PRAKASH CHANDRA DEWANGAN</t>
  </si>
  <si>
    <t>prakash.dewangan@sail.in</t>
  </si>
  <si>
    <t>uttam.kumar@sail.in</t>
  </si>
  <si>
    <t>arup.mondal@sail.in</t>
  </si>
  <si>
    <t>MAINTENANCE &amp; PROJECTS</t>
  </si>
  <si>
    <t>kunal.thakurta@sail.in</t>
  </si>
  <si>
    <t>MECHANICAL</t>
  </si>
  <si>
    <t>nirmal.naskar@sail.in</t>
  </si>
  <si>
    <t>FM-SMS &amp; CCS(MED)</t>
  </si>
  <si>
    <t>NILRATAN BANDYOPADHYAY</t>
  </si>
  <si>
    <t>marsal.topno@sail.in</t>
  </si>
  <si>
    <t>uday.sarkar@sail.in</t>
  </si>
  <si>
    <t>sambit.manna@sail.in</t>
  </si>
  <si>
    <t>sheshank@sail.in</t>
  </si>
  <si>
    <t>D001050</t>
  </si>
  <si>
    <t>SUJOY KUMAR MANDAL</t>
  </si>
  <si>
    <t>skmandal@sail.in</t>
  </si>
  <si>
    <t>jaydeep.dutta@sail.in</t>
  </si>
  <si>
    <t>UPENDRA KUMAR PARIDA</t>
  </si>
  <si>
    <t>upendra.parida@sail.in</t>
  </si>
  <si>
    <t>K002182</t>
  </si>
  <si>
    <t>RAVI ANAND</t>
  </si>
  <si>
    <t>raj237805@gmail.com</t>
  </si>
  <si>
    <t>ravi.anand@sail.in</t>
  </si>
  <si>
    <t>amitesh.biswas@sail.in</t>
  </si>
  <si>
    <t>D109383</t>
  </si>
  <si>
    <t>RANA MONDAL</t>
  </si>
  <si>
    <t>ranaswiss4751@gmail.com</t>
  </si>
  <si>
    <t>rana.mondal@sail.in</t>
  </si>
  <si>
    <t>bhaskar.karmakar@sail.in</t>
  </si>
  <si>
    <t>K001725</t>
  </si>
  <si>
    <t>TUHIN CHAKRABORTY</t>
  </si>
  <si>
    <t>EED-ERS &amp; AC</t>
  </si>
  <si>
    <t>metuhin.chakraborty@gmail.com</t>
  </si>
  <si>
    <t>tuhin.chakraborty@sail.in�</t>
  </si>
  <si>
    <t>saumitra.tiwary@sail.in</t>
  </si>
  <si>
    <t>ARNAB PAUL</t>
  </si>
  <si>
    <t>arnab.pal@sail.in</t>
  </si>
  <si>
    <t>rajat.malakar@sail.in</t>
  </si>
  <si>
    <t>K001998</t>
  </si>
  <si>
    <t>SARAT KUMAR XALXO</t>
  </si>
  <si>
    <t>saratxlx1984@gmail.com</t>
  </si>
  <si>
    <t>kaushik.mandal@sail.in</t>
  </si>
  <si>
    <t>p.vijaysaradhi@sail.in</t>
  </si>
  <si>
    <t>suvendu.malik@sail.in</t>
  </si>
  <si>
    <t>D001049</t>
  </si>
  <si>
    <t>ATUL DAMODHAR SAVANT</t>
  </si>
  <si>
    <t>Instrumentation</t>
  </si>
  <si>
    <t>adsavant@sail.in</t>
  </si>
  <si>
    <t>EED-E&amp;TC, INSTT</t>
  </si>
  <si>
    <t>nitesh.roy@sail.in</t>
  </si>
  <si>
    <t>K002127</t>
  </si>
  <si>
    <t>SUBRATA SAM</t>
  </si>
  <si>
    <t>subrata.sam@gmail.com</t>
  </si>
  <si>
    <t>nirmal.mondal@sail.in</t>
  </si>
  <si>
    <t>nirmalendu.saha@sail.in</t>
  </si>
  <si>
    <t>samir.mondal@sail.in</t>
  </si>
  <si>
    <t>kuntal.mukherjee@sail.in</t>
  </si>
  <si>
    <t>PPCD &amp; SHIPPING</t>
  </si>
  <si>
    <t>ashis.chakraborty@sail.in</t>
  </si>
  <si>
    <t>kabita.deb@sail.in</t>
  </si>
  <si>
    <t>sulekha.kumari@sail.in</t>
  </si>
  <si>
    <t>Traffic &amp; ALRS</t>
  </si>
  <si>
    <t>rajib.patro@sail.in</t>
  </si>
  <si>
    <t>M001608</t>
  </si>
  <si>
    <t>GURURAJA R</t>
  </si>
  <si>
    <t>rugu1981@gmail.com</t>
  </si>
  <si>
    <t>K002172</t>
  </si>
  <si>
    <t>SATYAJIT KUMAR</t>
  </si>
  <si>
    <t>satyajeet.asp@gmail.com</t>
  </si>
  <si>
    <t>kumar.satyajit@sail.in�</t>
  </si>
  <si>
    <t>CONTRACT, BE &amp; IED</t>
  </si>
  <si>
    <t>prajna.basu@sail.in</t>
  </si>
  <si>
    <t>kamal.mitra@sail.in</t>
  </si>
  <si>
    <t>anindita.saha@sail.in</t>
  </si>
  <si>
    <t>saugata.chandra@sail.in</t>
  </si>
  <si>
    <t>K002467</t>
  </si>
  <si>
    <t>SAUBHIK BANERJEE</t>
  </si>
  <si>
    <t>s4soubhik@gmail.com</t>
  </si>
  <si>
    <t>saubhik.banerjee@sail.in�</t>
  </si>
  <si>
    <t>hodrclasp@gmail.com�</t>
  </si>
  <si>
    <t>santosh.behera@sail.in</t>
  </si>
  <si>
    <t>dhanapati.kumar@sail.in</t>
  </si>
  <si>
    <t>anindya.khan@sail.in</t>
  </si>
  <si>
    <t>mantosh.gupta@sail.in</t>
  </si>
  <si>
    <t>saumen.ghosh@sail.in</t>
  </si>
  <si>
    <t>monomohan.tudu@sail.in</t>
  </si>
  <si>
    <t>K001989</t>
  </si>
  <si>
    <t>KRISHNENDU KARMAKAR</t>
  </si>
  <si>
    <t>krishnenduk4u@gmail.com</t>
  </si>
  <si>
    <t>krishnendu.karmakar@sail.in�</t>
  </si>
  <si>
    <t>PROJECTS &amp; PCM</t>
  </si>
  <si>
    <t>rajiv.gupta@sail.in</t>
  </si>
  <si>
    <t>PCM &amp; Projects</t>
  </si>
  <si>
    <t>suman.jha@sail.in</t>
  </si>
  <si>
    <t>BP</t>
  </si>
  <si>
    <t>HR-RAJBHASHA</t>
  </si>
  <si>
    <t>supriyo.sarkar@sail.in</t>
  </si>
  <si>
    <t>L&amp;D &amp; OD</t>
  </si>
  <si>
    <t>DY CMO</t>
  </si>
  <si>
    <t>ASST CMO</t>
  </si>
  <si>
    <t>D000987</t>
  </si>
  <si>
    <t>RAFIKUL ISLAM CHOWDHURY</t>
  </si>
  <si>
    <t>ri.chowdhury@sail.in</t>
  </si>
  <si>
    <t>K001965</t>
  </si>
  <si>
    <t>ACHINTYA AKULI</t>
  </si>
  <si>
    <t>akuli87@gmail.com</t>
  </si>
  <si>
    <t>D000738</t>
  </si>
  <si>
    <t>SUPARNA KHATUA</t>
  </si>
  <si>
    <t>suparnakhatua@sail.in</t>
  </si>
  <si>
    <t>praveen.yadav@sail.in</t>
  </si>
  <si>
    <t>D111229</t>
  </si>
  <si>
    <t>RAJESHWAR SHARMA</t>
  </si>
  <si>
    <t>asprsharmamm@gmail.com</t>
  </si>
  <si>
    <t>STATUS OF BRC HEATS(2018-19 )</t>
  </si>
  <si>
    <t xml:space="preserve"> ROLLING STATUS OF BRC HEATS(2018-19 )</t>
  </si>
  <si>
    <t>H18-19</t>
  </si>
  <si>
    <t>BRC RECEIPT(TON)</t>
  </si>
  <si>
    <t>BRC ROLLING</t>
  </si>
  <si>
    <t>BRC REL</t>
  </si>
  <si>
    <t>BRC DESP</t>
  </si>
  <si>
    <t>YEAR-WISE PRFORMANCE OF ASP</t>
  </si>
  <si>
    <t>INTER PLANT DESPATCH 2017-18</t>
  </si>
  <si>
    <t>INTER PLANT DESPATCH TILL JAN'19</t>
  </si>
  <si>
    <t>STATUS OF BRC HEATS(2019-20 )</t>
  </si>
  <si>
    <t xml:space="preserve">  STATUS OF BRC HEATS UPTO FEB'19</t>
  </si>
  <si>
    <t>JULY</t>
  </si>
  <si>
    <t>SEPT</t>
  </si>
  <si>
    <t>BRC REC</t>
  </si>
  <si>
    <t>BSL M</t>
  </si>
  <si>
    <t>RECEIPT</t>
  </si>
  <si>
    <t>RELEASE</t>
  </si>
  <si>
    <t>DISPT</t>
  </si>
  <si>
    <t>C-20</t>
  </si>
  <si>
    <t>BSP M</t>
  </si>
  <si>
    <t>45C8 CC ROUND</t>
  </si>
  <si>
    <t>DSP SPL INGOT</t>
  </si>
  <si>
    <t>45C8 DC BLOOM</t>
  </si>
  <si>
    <t>DSP M</t>
  </si>
  <si>
    <t>IISCO M</t>
  </si>
  <si>
    <t>RSP M</t>
  </si>
  <si>
    <t>STATUS OF BRC HEATS(2020-21</t>
  </si>
  <si>
    <t>BRC RELEASE(TON)</t>
  </si>
  <si>
    <t>20MNCR5</t>
  </si>
  <si>
    <t>CC PRDN</t>
  </si>
  <si>
    <t>FINISHING</t>
  </si>
  <si>
    <t>BRC DESPATCH(TON)</t>
  </si>
  <si>
    <t>AC</t>
  </si>
  <si>
    <t>CH</t>
  </si>
  <si>
    <t>CHS</t>
  </si>
  <si>
    <t>SPRING</t>
  </si>
  <si>
    <t>SPR STEEL</t>
  </si>
  <si>
    <t>B/BEARING'</t>
  </si>
  <si>
    <t>BALL BEARING</t>
  </si>
  <si>
    <t>AS PER SYSTEM</t>
  </si>
  <si>
    <t>AS PER SMS</t>
  </si>
  <si>
    <t>TOOL STEEL</t>
  </si>
  <si>
    <t>TOOL STEELS</t>
  </si>
  <si>
    <t>STN'</t>
  </si>
  <si>
    <t>POURING WT</t>
  </si>
  <si>
    <t>H19-20</t>
  </si>
  <si>
    <t>POUR WT</t>
  </si>
  <si>
    <t>GRADE GROUP-WISE  SALEABLE REPORT FOR 2013-14</t>
  </si>
  <si>
    <t>GRADE GROUP-WISE  SALEABLE REPORT FOR 2014-15 Q1</t>
  </si>
  <si>
    <t>GRADE GROUP-WISE  SALEABLE REPORT FOR JULY'14</t>
  </si>
  <si>
    <t>GRADE GROUP-WISE SEALABLE REPORT 2014-15</t>
  </si>
  <si>
    <t>APRIL'14</t>
  </si>
  <si>
    <t>MAY'14</t>
  </si>
  <si>
    <t>JUNE'14</t>
  </si>
  <si>
    <t>JULY'14</t>
  </si>
  <si>
    <t>AUGUST'14</t>
  </si>
  <si>
    <t>SEPT'14</t>
  </si>
  <si>
    <t>GRADE GROUP-WISE DESPATCH  2014-15</t>
  </si>
  <si>
    <t>PRODUCT-WISE SALEABLE</t>
  </si>
  <si>
    <t>15 CVD6</t>
  </si>
  <si>
    <t>SAILCOR</t>
  </si>
  <si>
    <t>DMR 249B MIN</t>
  </si>
  <si>
    <t>DMR 249B MAX</t>
  </si>
  <si>
    <t>SPADE</t>
  </si>
  <si>
    <t>THE YEAR-WISE GRADE-WISE SEALABLE</t>
  </si>
  <si>
    <t>YEARS</t>
  </si>
  <si>
    <t>12-13</t>
  </si>
  <si>
    <t>13-14</t>
  </si>
  <si>
    <t>14-15</t>
  </si>
  <si>
    <t xml:space="preserve">STN </t>
  </si>
  <si>
    <t>CC GROUP</t>
  </si>
  <si>
    <t>YEAR WISE PER FORMANCE OF ASP</t>
  </si>
  <si>
    <t>Year-Wise  Perfomance of ASP</t>
  </si>
  <si>
    <t>15-16</t>
  </si>
  <si>
    <t>16-17</t>
  </si>
  <si>
    <t>17-18</t>
  </si>
  <si>
    <t>.LIQ STEEL</t>
  </si>
  <si>
    <t>CC PROD.</t>
  </si>
  <si>
    <t>SAL ING RT</t>
  </si>
  <si>
    <t>CC RT</t>
  </si>
  <si>
    <t>BBM CHARGE WT</t>
  </si>
  <si>
    <t>SALEABLLE</t>
  </si>
  <si>
    <t xml:space="preserve">PLATE </t>
  </si>
  <si>
    <t>CCSLAB</t>
  </si>
  <si>
    <t>HEAT PLAN  FROM 25/09/2017 TO 30/09/2017</t>
  </si>
  <si>
    <t xml:space="preserve">DATE </t>
  </si>
  <si>
    <t xml:space="preserve">SL NO </t>
  </si>
  <si>
    <t>SIZE AND PARTIES</t>
  </si>
  <si>
    <t>25/09/2017</t>
  </si>
  <si>
    <t>L.C. STEEL</t>
  </si>
  <si>
    <t>250*475X7-9</t>
  </si>
  <si>
    <t>15NI7CR4MO2</t>
  </si>
  <si>
    <t>2X1190+BAL 605 PAHLA DRAIASOWRBBM007/17-18'</t>
  </si>
  <si>
    <t>30XKHAGAGCA</t>
  </si>
  <si>
    <t>250X475X7-9</t>
  </si>
  <si>
    <t>SAILMA 410</t>
  </si>
  <si>
    <t>603 H/M</t>
  </si>
  <si>
    <t>26/09/2017</t>
  </si>
  <si>
    <t>15CDV6</t>
  </si>
  <si>
    <t>605 125 RCS</t>
  </si>
  <si>
    <t>19CRMO4(PS1)</t>
  </si>
  <si>
    <t>605 125 RCS'</t>
  </si>
  <si>
    <t>6XM9</t>
  </si>
  <si>
    <t>SAILMA 410 HM</t>
  </si>
  <si>
    <t>605 TO BBM FOR 130</t>
  </si>
  <si>
    <t>27/09/2017</t>
  </si>
  <si>
    <t>605 FOR'130RD M/CTO BBM</t>
  </si>
  <si>
    <t>SA 105</t>
  </si>
  <si>
    <t>MC TO F/SHOP FOR METAL, FRG</t>
  </si>
  <si>
    <t>605 FOR 130RD M/CTO BBM</t>
  </si>
  <si>
    <t>605 G.C. AUTOMATIVE</t>
  </si>
  <si>
    <t>28/09/2017</t>
  </si>
  <si>
    <t>EN 36C(IAS)</t>
  </si>
  <si>
    <t>603    140 RCS'</t>
  </si>
  <si>
    <t>8X790</t>
  </si>
  <si>
    <t>29/09/2017</t>
  </si>
  <si>
    <t>603 140RCS</t>
  </si>
  <si>
    <t>19NICRMO4(MA3)</t>
  </si>
  <si>
    <t>(MAHRSHI)</t>
  </si>
  <si>
    <t>605 VISL 125 RCS</t>
  </si>
  <si>
    <t>30/09/2017</t>
  </si>
  <si>
    <t>40NI6CR4MO3</t>
  </si>
  <si>
    <t>2XM9 BAL 790 TO F/SHOP</t>
  </si>
  <si>
    <t>19NICRMO4(PSI)</t>
  </si>
  <si>
    <t>603 140 RCS</t>
  </si>
  <si>
    <t>AISI 4340 H</t>
  </si>
  <si>
    <t>605 5 H/T &amp; BAL M/C TO BBM</t>
  </si>
  <si>
    <t>500 MOULD</t>
  </si>
  <si>
    <t>BREAK UP</t>
  </si>
  <si>
    <t>ORGANISATION</t>
  </si>
  <si>
    <t>TONNAGE'</t>
  </si>
  <si>
    <t>PVT</t>
  </si>
  <si>
    <t>SISTER PLANT</t>
  </si>
  <si>
    <t>STY</t>
  </si>
  <si>
    <t>FOR DETAIL REF M505</t>
  </si>
  <si>
    <t xml:space="preserve"> DESP TO RAIL WHEEL FACTORY</t>
  </si>
  <si>
    <t>2019-20TILL JAN'20</t>
  </si>
  <si>
    <t>WAP 1/95 300 RCS</t>
  </si>
  <si>
    <t>WAP 1/95 287 RCS</t>
  </si>
  <si>
    <t>IS 1875 CL IV 300 RCS</t>
  </si>
  <si>
    <t>IS 1875 CL IV 340 RCS</t>
  </si>
  <si>
    <t xml:space="preserve"> DESP TO TATA MOTORS</t>
  </si>
  <si>
    <t>42CR4MO2</t>
  </si>
  <si>
    <t>42CR4MO2(CSQ)</t>
  </si>
  <si>
    <t>40CR4TYCH</t>
  </si>
  <si>
    <t>IS 45C8</t>
  </si>
  <si>
    <t>MULT</t>
  </si>
  <si>
    <t xml:space="preserve"> STATUS OF DSP HEATS</t>
  </si>
  <si>
    <t>RECEIVED WT</t>
  </si>
  <si>
    <t>DESP WT</t>
  </si>
  <si>
    <t>DESP PCS</t>
  </si>
  <si>
    <t>1800068(21)</t>
  </si>
  <si>
    <t>1800069(27)</t>
  </si>
  <si>
    <t>1800070(28)</t>
  </si>
  <si>
    <t>1800071(27)</t>
  </si>
  <si>
    <t>1800072(27)</t>
  </si>
  <si>
    <t>STATUS OF THE MATRERIAL DESPACTHED TO  DEFENCE SECTOR</t>
  </si>
  <si>
    <t>PARTIES</t>
  </si>
  <si>
    <t>OF AJ</t>
  </si>
  <si>
    <t>OF K</t>
  </si>
  <si>
    <t>OF MADAK</t>
  </si>
  <si>
    <t>OF DUMDUM</t>
  </si>
  <si>
    <t>HAP</t>
  </si>
  <si>
    <t>(RELEASED)</t>
  </si>
  <si>
    <t>MONTH WISE BREAK UP OF CCS PRODUCTION</t>
  </si>
  <si>
    <t>JUNE</t>
  </si>
  <si>
    <t>AUGUST</t>
  </si>
  <si>
    <t>SEPTEMBER</t>
  </si>
  <si>
    <t>OCTOBER</t>
  </si>
  <si>
    <t>NOVEMBER</t>
  </si>
  <si>
    <t>DECEMBER</t>
  </si>
  <si>
    <t>FRB</t>
  </si>
  <si>
    <t>LOW CAB ST</t>
  </si>
  <si>
    <t>EN 2 E</t>
  </si>
  <si>
    <t>SAE 4130</t>
  </si>
  <si>
    <t>EN 8D</t>
  </si>
  <si>
    <t>AISI 430</t>
  </si>
  <si>
    <t>C-45</t>
  </si>
  <si>
    <t>DMRL-1750</t>
  </si>
  <si>
    <t>TOTAL CCSLAB</t>
  </si>
  <si>
    <t>CRUDE OF DEFENC GRADES</t>
  </si>
  <si>
    <t>SAE-9260</t>
  </si>
  <si>
    <t>SS/F-44</t>
  </si>
  <si>
    <t>IPT RELEASE FROM 2015-16</t>
  </si>
  <si>
    <t>STATEMENT SHOWING YEAR-WISE RAW MATERIAL CONSUMPTION</t>
  </si>
  <si>
    <t>09-10</t>
  </si>
  <si>
    <t>05/15</t>
  </si>
  <si>
    <t>06/15</t>
  </si>
  <si>
    <t>IST QTR</t>
  </si>
  <si>
    <t>'07/14</t>
  </si>
  <si>
    <t>08/15</t>
  </si>
  <si>
    <t>09/15</t>
  </si>
  <si>
    <t>2ND QTR</t>
  </si>
  <si>
    <t>SHORT FALL</t>
  </si>
  <si>
    <t>10/15</t>
  </si>
  <si>
    <t>11/15</t>
  </si>
  <si>
    <t>12/15</t>
  </si>
  <si>
    <t>3RD QTR</t>
  </si>
  <si>
    <t>01/15</t>
  </si>
  <si>
    <t>02/15</t>
  </si>
  <si>
    <t>03/15</t>
  </si>
  <si>
    <t>Coke</t>
  </si>
  <si>
    <t>Limestone</t>
  </si>
  <si>
    <t>CCSALB</t>
  </si>
  <si>
    <t>Dolomite</t>
  </si>
  <si>
    <t>Ferro Mn</t>
  </si>
  <si>
    <t>Ferro Silcon</t>
  </si>
  <si>
    <t>DMR MAX</t>
  </si>
  <si>
    <t>Silicon Mn</t>
  </si>
  <si>
    <t>DMR MIN</t>
  </si>
  <si>
    <t>Ncikel</t>
  </si>
  <si>
    <t>DMR 1750 SSLB</t>
  </si>
  <si>
    <t>Ferro Vanadium</t>
  </si>
  <si>
    <t>Ferro Tungstion</t>
  </si>
  <si>
    <t>TOTAL CSLB</t>
  </si>
  <si>
    <t>CCSLB"</t>
  </si>
  <si>
    <t>Ferro Molydenum</t>
  </si>
  <si>
    <t>Ferro Chrome</t>
  </si>
  <si>
    <t>M/STEEL</t>
  </si>
  <si>
    <t>Other FerrousMet</t>
  </si>
  <si>
    <t>Copper</t>
  </si>
  <si>
    <t>TOTAL CC</t>
  </si>
  <si>
    <t>Aluminium</t>
  </si>
  <si>
    <t>CONCAST SL</t>
  </si>
  <si>
    <t>Inermediary Product</t>
  </si>
  <si>
    <t xml:space="preserve">SALEABLE </t>
  </si>
  <si>
    <t>'07/15</t>
  </si>
  <si>
    <t>01/16</t>
  </si>
  <si>
    <t>Pig Iron</t>
  </si>
  <si>
    <t>BLT</t>
  </si>
  <si>
    <t>Scrap</t>
  </si>
  <si>
    <t>RAW MATERIAL CONSUMPTION</t>
  </si>
  <si>
    <t>UPTO 0815</t>
  </si>
  <si>
    <t xml:space="preserve"> OTHERINGOTS</t>
  </si>
  <si>
    <t>JKL INGT</t>
  </si>
  <si>
    <t>TTOTAL DESP</t>
  </si>
  <si>
    <t xml:space="preserve">JACKAL </t>
  </si>
  <si>
    <t>170x1050</t>
  </si>
  <si>
    <t>250X900</t>
  </si>
  <si>
    <t>SEALABLE</t>
  </si>
  <si>
    <t>ACT</t>
  </si>
  <si>
    <t>SHORTFALL</t>
  </si>
  <si>
    <t>GRADE GROUP-WISE  SALEABLE REPORT FORCALENDER YEAR 2016</t>
  </si>
  <si>
    <t>QTR 1</t>
  </si>
  <si>
    <t>QTR 2</t>
  </si>
  <si>
    <t>QTR3</t>
  </si>
  <si>
    <t>MONTH-WISE LIQUID, INGOT AND CC SLB for 2014-15</t>
  </si>
  <si>
    <t>04/15</t>
  </si>
  <si>
    <t>02/16</t>
  </si>
  <si>
    <t>18-19(T)</t>
  </si>
  <si>
    <t>19-20 TILL JAN'20(T)</t>
  </si>
  <si>
    <t>19-20 TILL FEB'20(T)</t>
  </si>
  <si>
    <t>ABP 19-20</t>
  </si>
  <si>
    <t>DESPACTH</t>
  </si>
  <si>
    <t>SPADE JACKAL</t>
  </si>
  <si>
    <t>CHANDI STEEL</t>
  </si>
  <si>
    <t>CC BLOOM'</t>
  </si>
  <si>
    <t>DSP INGTS RECEIVED</t>
  </si>
  <si>
    <t>HOTMETAL RECEIVED</t>
  </si>
  <si>
    <t>status of VISL(TON)</t>
  </si>
  <si>
    <t>order served</t>
  </si>
  <si>
    <t>qty desp</t>
  </si>
  <si>
    <t>19-20 TILL JAN'20'</t>
  </si>
  <si>
    <t>YEAR WISE DATA OF DSP MATERIAL</t>
  </si>
  <si>
    <t>19-20</t>
  </si>
  <si>
    <t>20-21 TILL DT</t>
  </si>
  <si>
    <t>BRC RECEIPT</t>
  </si>
  <si>
    <t>BRC SALEABLE</t>
  </si>
  <si>
    <t>DSP INGOT REC</t>
  </si>
  <si>
    <t>YEAR-WISE WaTER CONSUMPTION</t>
  </si>
  <si>
    <t>RELEASE REPORT OF IMPTANT GRADE</t>
  </si>
  <si>
    <t>APRIL'</t>
  </si>
  <si>
    <t>RELEASE REPORT OF VARIOUS ROUNDS PROCESSED AT HTF</t>
  </si>
  <si>
    <t>2022-23 1022</t>
  </si>
  <si>
    <t>OF MEDAK</t>
  </si>
  <si>
    <t xml:space="preserve">OTHERS </t>
  </si>
  <si>
    <t>MONTH WISE DESPATCH OF TS GRADE</t>
  </si>
  <si>
    <t xml:space="preserve">CUST ' NAME </t>
  </si>
  <si>
    <t>APRIL</t>
  </si>
  <si>
    <t>BOMB FRG</t>
  </si>
  <si>
    <t>42CRMO4 CSQ</t>
  </si>
  <si>
    <t>R.K. FRG</t>
  </si>
  <si>
    <t>820M17</t>
  </si>
  <si>
    <t>20MNCR5 DANA</t>
  </si>
  <si>
    <t>SS/B-24</t>
  </si>
  <si>
    <t>YEAR-WISE GRADE WISE DESPATCHES</t>
  </si>
  <si>
    <t>TILLNOV 16-17</t>
  </si>
  <si>
    <t>SSB-26</t>
  </si>
  <si>
    <t>48X3</t>
  </si>
  <si>
    <t>DMR-249 B</t>
  </si>
  <si>
    <t>45X1</t>
  </si>
  <si>
    <t>35MN6MO3</t>
  </si>
  <si>
    <t>DMR-292A</t>
  </si>
  <si>
    <t>AB3</t>
  </si>
  <si>
    <t>SAILARM</t>
  </si>
  <si>
    <t>DMR-249A</t>
  </si>
  <si>
    <t>DMR-249BK</t>
  </si>
  <si>
    <t>38XC/30XGCA'</t>
  </si>
  <si>
    <t>20X2H4A</t>
  </si>
  <si>
    <t>DMR 249 A MAX ALLOY</t>
  </si>
  <si>
    <t>GHOST 30XKHAGA</t>
  </si>
  <si>
    <t>DMR-249A MIN ALLOY</t>
  </si>
  <si>
    <t>SUB TOTAL</t>
  </si>
  <si>
    <t>DMRBK</t>
  </si>
  <si>
    <t>DMR1750</t>
  </si>
  <si>
    <t>50X KHAGA</t>
  </si>
  <si>
    <t>DMR 292 A</t>
  </si>
  <si>
    <t>DMR 249BK MAX ALLOY</t>
  </si>
  <si>
    <t>DMR-249BJ MIN ALLOY</t>
  </si>
  <si>
    <t>AB3K</t>
  </si>
  <si>
    <t>AB3KM</t>
  </si>
  <si>
    <t>PARTY</t>
  </si>
  <si>
    <t>MIN LENGTH</t>
  </si>
  <si>
    <t>WT</t>
  </si>
  <si>
    <t>RAIL WHEEL: 23310</t>
  </si>
  <si>
    <t>WAP-1/95</t>
  </si>
  <si>
    <t>स्टील अथॉरिटी ऑफ इंडिया लिमिटेड / STEEL AUTHORITY OF INDIA LIMITED</t>
  </si>
  <si>
    <t>एलॉय स्टील्स प्लांट / ALLOY STEELS PLANT</t>
  </si>
  <si>
    <t xml:space="preserve"> दुर्गापुर / DURGAPUR</t>
  </si>
  <si>
    <t xml:space="preserve">FOR : SUNIL SINGHAL GM (SPECIAL STEELS), SAIL, NEW DELHI                    </t>
  </si>
  <si>
    <t xml:space="preserve"> PRODUCTION PERFORMANCE 23-24&amp;TILL DATE</t>
  </si>
  <si>
    <t>ACT 23-24</t>
  </si>
  <si>
    <t xml:space="preserve"> PRODUCTION PERFORMANCE OF MAY'23</t>
  </si>
  <si>
    <t>FOR</t>
  </si>
  <si>
    <t xml:space="preserve">                                           DAILY SUMMARY MIS REPORT FOR</t>
  </si>
  <si>
    <t>11/07/24</t>
  </si>
  <si>
    <t>दैनिक  एम आई एस् रिपोर्ट</t>
  </si>
  <si>
    <t>PRODUCTION PERFORMANCE</t>
  </si>
  <si>
    <t>SALEABLE ST.</t>
  </si>
  <si>
    <t xml:space="preserve">  REASONS FOR SHORTFALL</t>
  </si>
  <si>
    <t>DUR(HRS)</t>
  </si>
  <si>
    <t>SMS-CCS:</t>
  </si>
  <si>
    <t xml:space="preserve">LIQUID STEEL </t>
  </si>
  <si>
    <t>STN . LIQUID</t>
  </si>
  <si>
    <t>FUEL</t>
  </si>
  <si>
    <t>WATER</t>
  </si>
  <si>
    <t>STN . INGOT</t>
  </si>
  <si>
    <t>CONCAST SLAB</t>
  </si>
  <si>
    <t>- STN. STEEL SLAB</t>
  </si>
  <si>
    <t>- NON STN. SLAB</t>
  </si>
  <si>
    <t>CONCAST BLOOM</t>
  </si>
  <si>
    <t>TOTAL CONCAST  PROD</t>
  </si>
  <si>
    <t>TOTAL CRUDE STEEL</t>
  </si>
  <si>
    <t>TOTAL HEATS</t>
  </si>
  <si>
    <t xml:space="preserve"> SAL STK</t>
  </si>
  <si>
    <t xml:space="preserve"> AOD HEATS</t>
  </si>
  <si>
    <t>45C8/C20</t>
  </si>
  <si>
    <t xml:space="preserve"> SS HEATS</t>
  </si>
  <si>
    <t>NON-SS HEATS</t>
  </si>
  <si>
    <t>STATUS OF MAJOR UNITS</t>
  </si>
  <si>
    <t>BBM:</t>
  </si>
  <si>
    <t>CHARGE WT.</t>
  </si>
  <si>
    <t>AOD</t>
  </si>
  <si>
    <t>FORGE SHOP:</t>
  </si>
  <si>
    <t>SALEABLE STOCK AT PLANT</t>
  </si>
  <si>
    <t>TONNAGE</t>
  </si>
  <si>
    <t>DSP SPL. STEEL ING.</t>
  </si>
  <si>
    <t>PLANT</t>
  </si>
  <si>
    <t>BLM / BLT</t>
  </si>
  <si>
    <t>DSP HOT METAL</t>
  </si>
  <si>
    <t>IPT TRANSFER</t>
  </si>
  <si>
    <t>IPT SLAB /ING/FRG SLB</t>
  </si>
  <si>
    <t>OTHER IPT TRANSFER</t>
  </si>
  <si>
    <t>BRC DESPATCH</t>
  </si>
  <si>
    <t>FRG  SLB</t>
  </si>
  <si>
    <t>CCSSLB</t>
  </si>
  <si>
    <t>NON-IPT DESP</t>
  </si>
  <si>
    <t>JAKCAL INGOT</t>
  </si>
  <si>
    <t>MAR'23</t>
  </si>
  <si>
    <t>21-22</t>
  </si>
  <si>
    <t>All time best</t>
  </si>
  <si>
    <t>BHEL CL II ING</t>
  </si>
  <si>
    <t>Yearly</t>
  </si>
  <si>
    <t>Monthly</t>
  </si>
  <si>
    <t>Tot crude</t>
  </si>
  <si>
    <t>Ingot</t>
  </si>
  <si>
    <t>CC Prdn</t>
  </si>
  <si>
    <t>N/C</t>
  </si>
  <si>
    <t>ARGON STOCK AT M/S. GMGL</t>
  </si>
  <si>
    <t>`</t>
  </si>
  <si>
    <t>STATUS OF LF-2</t>
  </si>
  <si>
    <t>2023-24</t>
  </si>
  <si>
    <t>SINCE INSTALLATION</t>
  </si>
  <si>
    <t>REMARKS</t>
  </si>
  <si>
    <t>NO. OF HEATS PROCESSED</t>
  </si>
  <si>
    <t>DSP C O NM^3/HR</t>
  </si>
  <si>
    <t>AS ON 01.11.2017</t>
  </si>
  <si>
    <t>430</t>
  </si>
  <si>
    <t>409M</t>
  </si>
  <si>
    <t>STN. STEEL SLABS:</t>
  </si>
  <si>
    <t xml:space="preserve">GRADE-WISE ASP STOCK ATASP: </t>
  </si>
  <si>
    <t>SOURCING OF SCRAP / METALLICS</t>
  </si>
  <si>
    <t>SOURCE / ITEM</t>
  </si>
  <si>
    <t>2021-22 ABP</t>
  </si>
  <si>
    <t>DSP - SCRAP</t>
  </si>
  <si>
    <t xml:space="preserve">         -  PIG IRON</t>
  </si>
  <si>
    <t>BSL - SCRAP</t>
  </si>
  <si>
    <t>BSP - SCRAP</t>
  </si>
  <si>
    <t>ISP - SCRAP</t>
  </si>
  <si>
    <t>RSP - SCRAP</t>
  </si>
  <si>
    <t>OTHERS SHREDED/PIG IR</t>
  </si>
  <si>
    <t>OTHERS -(BNP)</t>
  </si>
  <si>
    <t xml:space="preserve">             - SPONGE IRON</t>
  </si>
  <si>
    <t xml:space="preserve">                  - SRU/BSO/BTSO</t>
  </si>
  <si>
    <t>OTHERS- SCRAP(HMS)</t>
  </si>
  <si>
    <t>cum.</t>
  </si>
  <si>
    <t>YIELD/DT</t>
  </si>
  <si>
    <t>FIN</t>
  </si>
  <si>
    <t>power on dt</t>
  </si>
  <si>
    <t>power cum</t>
  </si>
  <si>
    <t>DESP UPTO 14/02/2025</t>
  </si>
  <si>
    <t>DESP UPTO JAN'25</t>
  </si>
  <si>
    <t xml:space="preserve">                  YEAR WISE HEAT DETAILS</t>
  </si>
  <si>
    <t>heat</t>
  </si>
  <si>
    <t>RAJESH KUMAR( DGM PPCD ,SHIPPING&amp; PC)</t>
  </si>
  <si>
    <t>SULEKHA KUMARI Sr.Mgr(PPCD&amp;Shipping)</t>
  </si>
  <si>
    <t>Kabita deb DGM (PPCD &amp;  SHIPPING), ASP</t>
  </si>
  <si>
    <t>april</t>
  </si>
  <si>
    <t>may</t>
  </si>
  <si>
    <t>june</t>
  </si>
  <si>
    <t>july</t>
  </si>
  <si>
    <t>Aug'</t>
  </si>
  <si>
    <t>Sept</t>
  </si>
  <si>
    <t>oct</t>
  </si>
  <si>
    <t>JAN25</t>
  </si>
  <si>
    <t>MAR'25</t>
  </si>
  <si>
    <t>cum</t>
  </si>
  <si>
    <t>f/oil</t>
  </si>
  <si>
    <t>2024-25</t>
  </si>
  <si>
    <t>23-24</t>
  </si>
  <si>
    <t>22-23</t>
  </si>
  <si>
    <t>cbm</t>
  </si>
  <si>
    <t>REC DT</t>
  </si>
  <si>
    <t>CAST NO</t>
  </si>
  <si>
    <t>ASP HT NO</t>
  </si>
  <si>
    <t>LENGTH</t>
  </si>
  <si>
    <t>NOS</t>
  </si>
  <si>
    <t>240*350</t>
  </si>
  <si>
    <t>LAST OCCASION OF 9 HEATS</t>
  </si>
  <si>
    <t>DETAILS OF 8 HTS  TAPPED DURING 2023-24</t>
  </si>
  <si>
    <t>DETAILS OF 8 HTS  TAPPED DURING 2024-25</t>
  </si>
  <si>
    <t>MONTHLY HEATS</t>
  </si>
  <si>
    <t>HM</t>
  </si>
  <si>
    <t>DATES</t>
  </si>
  <si>
    <t>11,18</t>
  </si>
  <si>
    <t>21.28,30</t>
  </si>
  <si>
    <t>2,4,11,13,15</t>
  </si>
  <si>
    <t>22,26</t>
  </si>
  <si>
    <t>25,29</t>
  </si>
  <si>
    <t>3,28</t>
  </si>
  <si>
    <t>23,27</t>
  </si>
  <si>
    <t>16,18</t>
  </si>
  <si>
    <t>INDUSTRIAL WATER 2023-*24</t>
  </si>
  <si>
    <t>norm</t>
  </si>
  <si>
    <t>27,28,29</t>
  </si>
  <si>
    <t>24-9 HEATS</t>
  </si>
  <si>
    <t>24,27,30</t>
  </si>
  <si>
    <t>APRIL’25</t>
  </si>
  <si>
    <t>10,15,16</t>
  </si>
  <si>
    <t>MAY’25</t>
  </si>
  <si>
    <t>26,29,30</t>
  </si>
  <si>
    <t>JUNE’25</t>
  </si>
  <si>
    <t>19,20 &amp;29</t>
  </si>
  <si>
    <t>8,10,11</t>
  </si>
  <si>
    <t>July'25</t>
  </si>
  <si>
    <t xml:space="preserve">MARCH </t>
  </si>
  <si>
    <t>10-9HEATS</t>
  </si>
  <si>
    <t>19,24,30</t>
  </si>
  <si>
    <t>AuG’25</t>
  </si>
  <si>
    <t>months</t>
  </si>
  <si>
    <t>no of hts</t>
  </si>
  <si>
    <t>tonnage</t>
  </si>
  <si>
    <t xml:space="preserve">Actual </t>
  </si>
  <si>
    <t xml:space="preserve">NO OF HEATS THROUGH LF2 </t>
  </si>
  <si>
    <t>APRIL'12</t>
  </si>
  <si>
    <t xml:space="preserve">  -</t>
  </si>
  <si>
    <t xml:space="preserve">- </t>
  </si>
  <si>
    <t>MAY'12</t>
  </si>
  <si>
    <t>JUNE'12</t>
  </si>
  <si>
    <t>JULY'12</t>
  </si>
  <si>
    <t>ASP/CAC/24/6405/1656/1616:640520242002701</t>
  </si>
  <si>
    <t>FROM 01/10/2024</t>
  </si>
  <si>
    <t>AUGUST'12</t>
  </si>
  <si>
    <t>SEPTEMBER'12</t>
  </si>
  <si>
    <t>OCT'12</t>
  </si>
  <si>
    <t>NOV'12</t>
  </si>
  <si>
    <t>DEC'12</t>
  </si>
  <si>
    <t>JAN'13</t>
  </si>
  <si>
    <t>STN STEEL DESPATCH</t>
  </si>
  <si>
    <t>12-2013</t>
  </si>
  <si>
    <t>STN PROD</t>
  </si>
  <si>
    <t>Item no</t>
  </si>
  <si>
    <t>STN DESP 12-13</t>
  </si>
  <si>
    <t>STN DESP CAL 2013</t>
  </si>
  <si>
    <t>month</t>
  </si>
  <si>
    <t>FEB'13</t>
  </si>
  <si>
    <t>MAR'13</t>
  </si>
  <si>
    <t>APRIL'13</t>
  </si>
  <si>
    <t>AUUGUST'12</t>
  </si>
  <si>
    <t>MAY'13</t>
  </si>
  <si>
    <t>JUNE'13</t>
  </si>
  <si>
    <t>JULY'13</t>
  </si>
  <si>
    <t>AUG'13</t>
  </si>
  <si>
    <t>SEPT'13</t>
  </si>
  <si>
    <t>OCT'13</t>
  </si>
  <si>
    <t>NOV'13</t>
  </si>
  <si>
    <t>DEC'13</t>
  </si>
  <si>
    <t>0415</t>
  </si>
  <si>
    <t>Sir</t>
  </si>
  <si>
    <t>SALEABLE STOCK AS ON 31.07.2016</t>
  </si>
  <si>
    <t>the details are as given below</t>
  </si>
  <si>
    <t>CUST_REGION</t>
  </si>
  <si>
    <t>PPC_CUST_CD</t>
  </si>
  <si>
    <t>MAIN_PARTY_NAME</t>
  </si>
  <si>
    <t>CMO_CUST_CD</t>
  </si>
  <si>
    <t>ASP_TIN</t>
  </si>
  <si>
    <t>CMO_TIN</t>
  </si>
  <si>
    <t>Correct TIN</t>
  </si>
  <si>
    <t>ASP_CST</t>
  </si>
  <si>
    <t>CMO_CST</t>
  </si>
  <si>
    <t>Correct CST</t>
  </si>
  <si>
    <t>ADDRESS</t>
  </si>
  <si>
    <t>PLANT STOCK</t>
  </si>
  <si>
    <t>NR</t>
  </si>
  <si>
    <t>BRANCH MANAGER / BSO / SAIL / DELHI</t>
  </si>
  <si>
    <t>18th FLOOR, SCOPE MINAR CORE -1, LAKSHMI NAGAR DISTRICT CENTER, Delhi -110092</t>
  </si>
  <si>
    <t>VENDORS STOCK</t>
  </si>
  <si>
    <t> DELHI STOCKYARD</t>
  </si>
  <si>
    <t>PLOT B4-B8,OKHLA INDUSTRIAL AREA PHASE-1,NEW DELHI-110020</t>
  </si>
  <si>
    <t>STOCK YARD</t>
  </si>
  <si>
    <t>BRANCH MANAGER,BSO,FARIDABAD</t>
  </si>
  <si>
    <t>GOVIND BHAWAN, NEELAM CHOWK NIT    Faridabad 121001</t>
  </si>
  <si>
    <t>SSP STOCK</t>
  </si>
  <si>
    <t>FARIDABAD STOCK YARD</t>
  </si>
  <si>
    <t>AL5138174</t>
  </si>
  <si>
    <t>PLOT-4 , SECTOR-5, BEHIND GOOD BALLABHGARH   Faridabad HARYANA</t>
  </si>
  <si>
    <t>BSO, KANPUR,</t>
  </si>
  <si>
    <t>KR 5278146 DT:1/6/78</t>
  </si>
  <si>
    <t>SAIL,16/98,MG MARG,LIC BUILDING    Kanpur Nagar UTTAR PARADESH</t>
  </si>
  <si>
    <t> KANPUR STOCKYSRD</t>
  </si>
  <si>
    <t>PANKI , PO GANGAGANJ, NR BAHUTI CHUNGI, KANPUR 208020   Kanpur Nagar UTTAR PARADESH</t>
  </si>
  <si>
    <t>BRANCH MANAGER,BSO,SAIL,GHAZIABAD</t>
  </si>
  <si>
    <t>GD5097193</t>
  </si>
  <si>
    <t>GDA COMMERCIAL COMPLEX (1ST FLOOR),NAVYUG MARKET    Ghaziabad UTTAR PRADESH</t>
  </si>
  <si>
    <t>BSO ,LUDHIANA</t>
  </si>
  <si>
    <t>DHYAN SINGH COMPLEX 2ND FLOOR OPP BUS STAND    Ludhiana PUNJAB</t>
  </si>
  <si>
    <t>(B.ACHARJEE)</t>
  </si>
  <si>
    <t>WHM LUDHIANA</t>
  </si>
  <si>
    <t>PUNJAB SMALL INDUSTRIAL EXPORT CORPORATION LTD  DHANDARI KALAN,A-4,PHASE-5, FOCAL POINT,LUDHIANA-141010</t>
  </si>
  <si>
    <t>DGM I/C (PPC &amp; PC)</t>
  </si>
  <si>
    <t>regards</t>
  </si>
  <si>
    <t>THE FOLLOWING MATERIAL AGAINST ASOWRPSM0031617 MAY PLEASE BE DESPATACHED</t>
  </si>
  <si>
    <t>SALES QUANTITY (DIRECT &amp; IPT) FOR APRIL 16 TO JULY 16 MAY BE TAKEN FROM THE</t>
  </si>
  <si>
    <t>TO VEHICLE FACTORY JABALPUR</t>
  </si>
  <si>
    <t>LDM REPORTS OF ASP (SENT FROM F &amp; A DEPARTMENT ) ON MONTHLY BASIS</t>
  </si>
  <si>
    <t xml:space="preserve">MTN NO </t>
  </si>
  <si>
    <t>HEAT NO</t>
  </si>
  <si>
    <t>NO OF PCS</t>
  </si>
  <si>
    <t xml:space="preserve">WT NO </t>
  </si>
  <si>
    <t>BUNDLE NO</t>
  </si>
  <si>
    <t>FOR YOUR RECONCILIATION PURPOSE.</t>
  </si>
  <si>
    <t>2487-16-01-01</t>
  </si>
  <si>
    <t>HA-015</t>
  </si>
  <si>
    <t>HA-016</t>
  </si>
  <si>
    <t>HA-017</t>
  </si>
  <si>
    <t>HA-018</t>
  </si>
  <si>
    <t>HA-019</t>
  </si>
  <si>
    <t>HA-027</t>
  </si>
  <si>
    <t>HA-028</t>
  </si>
  <si>
    <t>HA-029</t>
  </si>
  <si>
    <t>HA-030</t>
  </si>
  <si>
    <t>MONTH-WISE INVENTORY FOR 19-20 TILL SEPT'19</t>
  </si>
  <si>
    <t>HA-033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</si>
  <si>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</si>
  <si>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</si>
  <si>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</si>
  <si>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</si>
  <si>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</si>
  <si>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</si>
  <si>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</si>
  <si>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2487-1601-01</t>
  </si>
  <si>
    <t>HA-020</t>
  </si>
  <si>
    <t>MONTH-WISE INVENTORY FOR CALEDER YEAR 2018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</si>
  <si>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</si>
  <si>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</si>
  <si>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</si>
  <si>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</si>
  <si>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</si>
  <si>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</si>
  <si>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</si>
  <si>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</si>
  <si>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</si>
  <si>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</si>
  <si>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</si>
  <si>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</si>
  <si>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status of Low Carbon steel</t>
  </si>
  <si>
    <t>order recd</t>
  </si>
  <si>
    <t>casting</t>
  </si>
  <si>
    <t>Rel ton</t>
  </si>
  <si>
    <t>Despatch</t>
  </si>
  <si>
    <t>bal</t>
  </si>
  <si>
    <t xml:space="preserve">READY </t>
  </si>
  <si>
    <t>TIL</t>
  </si>
  <si>
    <t>STOCK OF WAP AT CONDG</t>
  </si>
  <si>
    <t xml:space="preserve">NO OF PCS </t>
  </si>
  <si>
    <t>WT/PC</t>
  </si>
  <si>
    <t>TOT WT</t>
  </si>
  <si>
    <t>B RC/CC BLOOMS OF DSP /BSP     (T)</t>
  </si>
  <si>
    <t>AS ON 01/04/2021</t>
  </si>
  <si>
    <t>4140 -144T</t>
  </si>
  <si>
    <t>AS ON 01/04/2022</t>
  </si>
  <si>
    <t>AS ON 01/04/2023</t>
  </si>
  <si>
    <t>AS ON 01/04/2024</t>
  </si>
  <si>
    <t xml:space="preserve">IN BSP C-45 1044T </t>
  </si>
  <si>
    <t>EN 19 795T</t>
  </si>
  <si>
    <t>2006-07</t>
  </si>
  <si>
    <t>2007-08</t>
  </si>
  <si>
    <t>2008-09</t>
  </si>
  <si>
    <t>%UT</t>
  </si>
  <si>
    <t>BILLETS/BLOOMS</t>
  </si>
  <si>
    <t>INGOT/SLAB</t>
  </si>
  <si>
    <t>INGOTS/SLB</t>
  </si>
  <si>
    <t>%CAP UT.</t>
  </si>
  <si>
    <t>QUARTER-WISE LIQUID AND CRUDE 18-19</t>
  </si>
  <si>
    <t>QUARTER-WISE SALEABLE AND DESPATCH 18-19</t>
  </si>
  <si>
    <t>QUARTER-WISE SALEABLE AND DESPATCH 19-20</t>
  </si>
  <si>
    <t>RLLED SAL</t>
  </si>
  <si>
    <t>Q1</t>
  </si>
  <si>
    <t>Q2</t>
  </si>
  <si>
    <t>Q3</t>
  </si>
  <si>
    <t>Q4</t>
  </si>
  <si>
    <t xml:space="preserve"> TILL Q4</t>
  </si>
  <si>
    <t>QUARTER-WISE LIQUID AND CRUDE 19-20</t>
  </si>
  <si>
    <t>QUARTER-WISE LIQUID AND CRUDE 20-21</t>
  </si>
  <si>
    <t>QUARTER-WISE SAL &amp; DESP.] 20-21</t>
  </si>
  <si>
    <t>hot metal power 22-23</t>
  </si>
  <si>
    <t>FCE LIQ WITH POWER</t>
  </si>
  <si>
    <t>HOT METAL POWER FOR TH</t>
  </si>
  <si>
    <t>MONTHS</t>
  </si>
  <si>
    <t>HTS(NOS)</t>
  </si>
  <si>
    <t>DSP H/M</t>
  </si>
  <si>
    <t>power</t>
  </si>
  <si>
    <t>liquid</t>
  </si>
  <si>
    <t>spec pow/t</t>
  </si>
  <si>
    <t>liq withouthm</t>
  </si>
  <si>
    <t>April'25</t>
  </si>
  <si>
    <t>may'25</t>
  </si>
  <si>
    <t>June'25</t>
  </si>
  <si>
    <t>INDL WATER</t>
  </si>
  <si>
    <t>july25</t>
  </si>
  <si>
    <t>Aug'25</t>
  </si>
  <si>
    <t>Sept'25</t>
  </si>
  <si>
    <t>Oct'24</t>
  </si>
  <si>
    <t>SEPT'12</t>
  </si>
  <si>
    <t>POWER RE UNIT'</t>
  </si>
  <si>
    <t>HOT METAL POWER FOR THE MONTH OF APRIL18</t>
  </si>
  <si>
    <t>TOTAL SMS POWER</t>
  </si>
  <si>
    <t>POWER WITHOUT HOT METAL</t>
  </si>
  <si>
    <t>FCE POWER</t>
  </si>
  <si>
    <t>TOTALSMS POW</t>
  </si>
  <si>
    <t>01/04</t>
  </si>
  <si>
    <t>NOV'2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</si>
  <si>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</si>
  <si>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</si>
  <si>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</si>
  <si>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</si>
  <si>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</si>
  <si>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</si>
  <si>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</si>
  <si>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</si>
  <si>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MARCH'13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</si>
  <si>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</si>
  <si>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</si>
  <si>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</si>
  <si>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</si>
  <si>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</si>
  <si>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</si>
  <si>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</si>
  <si>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</si>
  <si>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</si>
  <si>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</si>
  <si>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</si>
  <si>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</si>
  <si>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</si>
  <si>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</si>
  <si>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</si>
  <si>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INDUSTRIAL WATER CONS</t>
  </si>
  <si>
    <t>25/04</t>
  </si>
  <si>
    <t>26/04</t>
  </si>
  <si>
    <t>27/04</t>
  </si>
  <si>
    <t>FCE POW KWH/T</t>
  </si>
  <si>
    <t>28/04</t>
  </si>
  <si>
    <t>29/04</t>
  </si>
  <si>
    <t>30/04</t>
  </si>
  <si>
    <t>HOT METAL POWER</t>
  </si>
  <si>
    <t>FEB'15</t>
  </si>
  <si>
    <t xml:space="preserve">power </t>
  </si>
  <si>
    <t>sms power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</si>
  <si>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</si>
  <si>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</si>
  <si>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</si>
  <si>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</si>
  <si>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</si>
  <si>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</si>
  <si>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</si>
  <si>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</si>
  <si>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</si>
  <si>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</si>
  <si>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</si>
  <si>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</si>
  <si>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</si>
  <si>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</si>
  <si>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</si>
  <si>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</si>
  <si>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</si>
  <si>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</si>
  <si>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</si>
  <si>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</si>
  <si>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</si>
  <si>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</si>
  <si>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</si>
  <si>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</si>
  <si>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</si>
  <si>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</si>
  <si>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</si>
  <si>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</si>
  <si>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</si>
  <si>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</si>
  <si>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</si>
  <si>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POWER INCLUDING HOT METAL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</si>
  <si>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</si>
  <si>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</si>
  <si>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</si>
  <si>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</si>
  <si>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</si>
  <si>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</si>
  <si>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</si>
  <si>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</si>
  <si>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</si>
  <si>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</si>
  <si>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</si>
  <si>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</si>
  <si>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</si>
  <si>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</si>
  <si>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</si>
  <si>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</si>
  <si>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</si>
  <si>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</si>
  <si>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</si>
  <si>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</si>
  <si>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</si>
  <si>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</si>
  <si>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</si>
  <si>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</si>
  <si>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</si>
  <si>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</si>
  <si>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</si>
  <si>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</si>
  <si>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</si>
  <si>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</si>
  <si>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SECAN UNIT</t>
  </si>
  <si>
    <t>AOD POW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</si>
  <si>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</si>
  <si>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</si>
  <si>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</si>
  <si>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</si>
  <si>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</si>
  <si>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</si>
  <si>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</si>
  <si>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</si>
  <si>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</si>
  <si>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</si>
  <si>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</si>
  <si>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</si>
  <si>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</si>
  <si>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</si>
  <si>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</si>
  <si>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</si>
  <si>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</si>
  <si>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</si>
  <si>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</si>
  <si>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</si>
  <si>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</si>
  <si>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</si>
  <si>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</si>
  <si>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</si>
  <si>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</si>
  <si>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</si>
  <si>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</si>
  <si>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</si>
  <si>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</si>
  <si>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</si>
  <si>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</si>
  <si>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</si>
  <si>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</si>
  <si>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</si>
  <si>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</si>
  <si>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</si>
  <si>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</si>
  <si>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</si>
  <si>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</si>
  <si>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</si>
  <si>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</si>
  <si>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</si>
  <si>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</si>
  <si>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</si>
  <si>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</si>
  <si>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</si>
  <si>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</si>
  <si>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</si>
  <si>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</si>
  <si>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</si>
  <si>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</si>
  <si>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</si>
  <si>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15,47,75,620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</si>
  <si>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</si>
  <si>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</si>
  <si>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</si>
  <si>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</si>
  <si>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</si>
  <si>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</si>
  <si>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</si>
  <si>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</si>
  <si>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</si>
  <si>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</si>
  <si>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HOTMETAL</t>
  </si>
  <si>
    <t>REFINARY UNIT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</si>
  <si>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</si>
  <si>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</si>
  <si>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</si>
  <si>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</si>
  <si>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</si>
  <si>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</si>
  <si>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</si>
  <si>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</si>
  <si>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</si>
  <si>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</si>
  <si>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</si>
  <si>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</si>
  <si>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</si>
  <si>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</si>
  <si>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</si>
  <si>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</si>
  <si>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</si>
  <si>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</si>
  <si>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</si>
  <si>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</si>
  <si>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</si>
  <si>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</si>
  <si>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</si>
  <si>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</si>
  <si>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</si>
  <si>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</si>
  <si>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</si>
  <si>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</si>
  <si>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</si>
  <si>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</si>
  <si>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total SMS POWER</t>
  </si>
  <si>
    <t>HM -TSP</t>
  </si>
  <si>
    <t>01/10</t>
  </si>
  <si>
    <t>02/10</t>
  </si>
  <si>
    <t>03/10</t>
  </si>
  <si>
    <t>04/10</t>
  </si>
  <si>
    <t>05/10'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</si>
  <si>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</si>
  <si>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</si>
  <si>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</si>
  <si>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</si>
  <si>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</si>
  <si>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</si>
  <si>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</si>
  <si>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</si>
  <si>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</si>
  <si>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</si>
  <si>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</si>
  <si>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</si>
  <si>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</si>
  <si>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</si>
  <si>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</si>
  <si>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</si>
  <si>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</si>
  <si>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</si>
  <si>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24/10'</t>
  </si>
  <si>
    <t>25/10</t>
  </si>
  <si>
    <t>26/10</t>
  </si>
  <si>
    <t>27/10</t>
  </si>
  <si>
    <t>28/10'</t>
  </si>
  <si>
    <t>29/10</t>
  </si>
  <si>
    <t>30/10</t>
  </si>
  <si>
    <t>31/10</t>
  </si>
  <si>
    <t>D/ THRU FCE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</si>
  <si>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</si>
  <si>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</si>
  <si>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</si>
  <si>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</si>
  <si>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</si>
  <si>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</si>
  <si>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</si>
  <si>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</si>
  <si>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</si>
  <si>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</si>
  <si>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</si>
  <si>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</si>
  <si>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</si>
  <si>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</si>
  <si>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</si>
  <si>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</si>
  <si>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</si>
  <si>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</si>
  <si>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</si>
  <si>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</si>
  <si>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</si>
  <si>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</si>
  <si>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</si>
  <si>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</si>
  <si>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</si>
  <si>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</si>
  <si>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</si>
  <si>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</si>
  <si>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</si>
  <si>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</si>
  <si>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</si>
  <si>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</si>
  <si>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</si>
  <si>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</si>
  <si>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</si>
  <si>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</si>
  <si>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</si>
  <si>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</si>
  <si>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</si>
  <si>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</si>
  <si>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</si>
  <si>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</si>
  <si>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</si>
  <si>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</si>
  <si>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</si>
  <si>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</si>
  <si>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</si>
  <si>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</si>
  <si>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</si>
  <si>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</si>
  <si>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</si>
  <si>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</si>
  <si>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</si>
  <si>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</si>
  <si>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</si>
  <si>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</si>
  <si>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</si>
  <si>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</si>
  <si>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</si>
  <si>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</si>
  <si>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</si>
  <si>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 xml:space="preserve">HM power 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</si>
  <si>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</si>
  <si>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</si>
  <si>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</si>
  <si>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</si>
  <si>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</si>
  <si>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</si>
  <si>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</si>
  <si>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</si>
  <si>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</si>
  <si>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</si>
  <si>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</si>
  <si>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</si>
  <si>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</si>
  <si>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</si>
  <si>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</si>
  <si>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</si>
  <si>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</si>
  <si>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</si>
  <si>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</si>
  <si>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</si>
  <si>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</si>
  <si>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</si>
  <si>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</si>
  <si>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</si>
  <si>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</si>
  <si>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</si>
  <si>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</si>
  <si>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</si>
  <si>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</si>
  <si>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</si>
  <si>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</si>
  <si>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</si>
  <si>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</si>
  <si>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</si>
  <si>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</si>
  <si>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</si>
  <si>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</si>
  <si>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</si>
  <si>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</si>
  <si>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</si>
  <si>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</si>
  <si>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</si>
  <si>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</si>
  <si>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</si>
  <si>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</si>
  <si>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</si>
  <si>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</si>
  <si>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</si>
  <si>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</si>
  <si>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</si>
  <si>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</si>
  <si>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</si>
  <si>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</si>
  <si>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</si>
  <si>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</si>
  <si>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</si>
  <si>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</si>
  <si>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</si>
  <si>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</si>
  <si>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29/02</t>
  </si>
  <si>
    <t>30/02</t>
  </si>
  <si>
    <t>31/02</t>
  </si>
  <si>
    <t>HM liquid</t>
  </si>
  <si>
    <t>LIQUID-HM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</si>
  <si>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</si>
  <si>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</si>
  <si>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</si>
  <si>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</si>
  <si>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</si>
  <si>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</si>
  <si>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</si>
  <si>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</si>
  <si>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</si>
  <si>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</si>
  <si>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</si>
  <si>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</si>
  <si>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</si>
  <si>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</si>
  <si>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</si>
  <si>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</si>
  <si>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</si>
  <si>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</si>
  <si>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</si>
  <si>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</si>
  <si>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</si>
  <si>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</si>
  <si>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</si>
  <si>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</si>
  <si>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</si>
  <si>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</si>
  <si>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</si>
  <si>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</si>
  <si>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</si>
  <si>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</si>
  <si>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</si>
  <si>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DESPATCH  OF BRC FROM DSP BSP &amp; SPCIAL INGOT(2021-22)</t>
  </si>
  <si>
    <t>IST HLF</t>
  </si>
  <si>
    <t>BRC(BSP)</t>
  </si>
  <si>
    <t>BRC (ISP)</t>
  </si>
  <si>
    <t>DESPATCH  OF BRC FROM DSP BSP &amp; SPCIAL INGOT(2022-23</t>
  </si>
  <si>
    <t>DESPATCH  OF BRC FROM DSP BSP &amp; SPCIAL INGOT(2023-24)</t>
  </si>
  <si>
    <t>IST HALF</t>
  </si>
  <si>
    <t>RECEIPT OF BRC FROM DSP BSP (2021-22)</t>
  </si>
  <si>
    <t>Release  OF BRC FROM DSP BSP &amp; SPCIAL INGOT(2021-22)</t>
  </si>
  <si>
    <t>DSP SPL ING</t>
  </si>
  <si>
    <t>RECEIPT OF BRC FROM DSP BSP (2022-23)</t>
  </si>
  <si>
    <t>Release  OF BRC FROM DSP BSP &amp; SPCIAL INGOT(2022-23)</t>
  </si>
  <si>
    <t>BRCDSP</t>
  </si>
  <si>
    <t>BRC BSP</t>
  </si>
  <si>
    <t>RECEIPT OF BRC FROM DSP BSP (2023-24)</t>
  </si>
  <si>
    <t>Release OF BRC FROM DSP BSP (2023-24)</t>
  </si>
  <si>
    <t>Despatch OF BRC FROM DSP BSP (2023-24)</t>
  </si>
  <si>
    <t>RECEIPT OF BRC FROM DSP BSP (2024-25)</t>
  </si>
  <si>
    <t>Release OF BRC FROM DSP BSP (2024-25)</t>
  </si>
  <si>
    <t>Despatch OF BRC FROM DSP BSP (2024-25)</t>
  </si>
  <si>
    <t>RECEIPT OF BRC FROM DSP BSP (2025-26)</t>
  </si>
  <si>
    <t>Release OF BRC FROM DSP BSP (2025-26</t>
  </si>
  <si>
    <t>Despatch OF BRC FROM DSP BSP (2025-26)</t>
  </si>
  <si>
    <t>AT CONDG</t>
  </si>
  <si>
    <t>REL WT</t>
  </si>
  <si>
    <t>PCS</t>
  </si>
  <si>
    <t>BRC BLOOMS OF BSP   PROCESSING AT SHOPS</t>
  </si>
  <si>
    <t>REPLY FOR #2</t>
  </si>
  <si>
    <t>RECEIPT OF BRC-CCB</t>
  </si>
  <si>
    <t>DESP OF BRC-CCB PRODUCTS</t>
  </si>
  <si>
    <t>BSP(T)</t>
  </si>
  <si>
    <t>DSP(T)</t>
  </si>
  <si>
    <t>ISP(T)</t>
  </si>
  <si>
    <t>REPLY FOR #3</t>
  </si>
  <si>
    <t>RECEIPT OF BRC</t>
  </si>
  <si>
    <t>REPLY FOR #4</t>
  </si>
  <si>
    <t>FOR DSP INGOT</t>
  </si>
  <si>
    <t>NO OF HEATS(NOS)</t>
  </si>
  <si>
    <t>INGOT(T)</t>
  </si>
  <si>
    <t>SALEABLE(T)</t>
  </si>
  <si>
    <t>SAL YIELD(%)</t>
  </si>
  <si>
    <t>YEAR WISE TE PERFORMANCE OF ASP</t>
  </si>
  <si>
    <t>POWR CONS</t>
  </si>
  <si>
    <t>ELECTRODE CONS</t>
  </si>
  <si>
    <t>LIQ TO ING YIELD</t>
  </si>
  <si>
    <t>POWER CONS</t>
  </si>
  <si>
    <t>2004-05</t>
  </si>
  <si>
    <t>2005-06</t>
  </si>
  <si>
    <t xml:space="preserve"> HOT METAL RT HTS </t>
  </si>
  <si>
    <t>NO</t>
  </si>
  <si>
    <t xml:space="preserve">TOTAL AOD RT HT </t>
  </si>
  <si>
    <t xml:space="preserve">STN STEEL HTS </t>
  </si>
  <si>
    <t xml:space="preserve">NON STN  HTS </t>
  </si>
  <si>
    <t xml:space="preserve">BBM CHARGE WT </t>
  </si>
  <si>
    <t xml:space="preserve">FORGE FIN. </t>
  </si>
  <si>
    <t>DSP SPCL ING</t>
  </si>
  <si>
    <t>ASP ABP CRUDE</t>
  </si>
  <si>
    <t xml:space="preserve">   ABP BBM CHWT </t>
  </si>
  <si>
    <t xml:space="preserve"> ASP ABPSALEABLE</t>
  </si>
  <si>
    <t>ASP ABP DESPATCH</t>
  </si>
  <si>
    <t>AOD COMMISIONED ON 2007-2008</t>
  </si>
  <si>
    <t>DSP HOT METAL RECEIVING STARTED FROM 2012-13</t>
  </si>
  <si>
    <t>Yearwise despatch to defence</t>
  </si>
  <si>
    <t>25-26 UPTO 5MONTHS</t>
  </si>
  <si>
    <t>OF(AJ)</t>
  </si>
  <si>
    <t>SAE 9260</t>
  </si>
  <si>
    <t>40XPHIA</t>
  </si>
  <si>
    <t>SUB TOTAl</t>
  </si>
  <si>
    <t>OF(K)</t>
  </si>
  <si>
    <t>SSB 27</t>
  </si>
  <si>
    <t>34CRMO4</t>
  </si>
  <si>
    <t>C-60</t>
  </si>
  <si>
    <t>SSF-30</t>
  </si>
  <si>
    <t>IS 35MN6MO3</t>
  </si>
  <si>
    <t>SSF-44</t>
  </si>
  <si>
    <t>MSF YANTRA</t>
  </si>
  <si>
    <t>Grand total</t>
  </si>
  <si>
    <t>YEAR WISE DESPATCH TO RSP</t>
  </si>
  <si>
    <t>2025-26(5MONTHS)</t>
  </si>
  <si>
    <t>YEAR-WISE STN PRODUCTION &amp; DESPATCH</t>
  </si>
  <si>
    <t>CCB/CCS</t>
  </si>
  <si>
    <t>NON STN</t>
  </si>
  <si>
    <t>MONTHWISE SIZE WISE RELEASE(2022-23)</t>
  </si>
  <si>
    <t>YEAR WISE GRADE-GROUPWISE CRUDE PRODN</t>
  </si>
  <si>
    <t>RD SEC</t>
  </si>
  <si>
    <t>2020-2</t>
  </si>
  <si>
    <t>75 RDS</t>
  </si>
  <si>
    <t>cc</t>
  </si>
  <si>
    <t>80 RDS</t>
  </si>
  <si>
    <t>ac</t>
  </si>
  <si>
    <t>90 RDS</t>
  </si>
  <si>
    <t>95 RDS</t>
  </si>
  <si>
    <t>SPR</t>
  </si>
  <si>
    <t>100 RDS</t>
  </si>
  <si>
    <t>BB</t>
  </si>
  <si>
    <t>105 RDS</t>
  </si>
  <si>
    <t>DB</t>
  </si>
  <si>
    <t>110 RDS</t>
  </si>
  <si>
    <t>CTS</t>
  </si>
  <si>
    <t>115 RDS</t>
  </si>
  <si>
    <t>120 RDS</t>
  </si>
  <si>
    <t>125 RDS</t>
  </si>
  <si>
    <t>JKL</t>
  </si>
  <si>
    <t>130 RDS</t>
  </si>
  <si>
    <t>HF</t>
  </si>
  <si>
    <t>135 RDS</t>
  </si>
  <si>
    <t>OTH</t>
  </si>
  <si>
    <t>140 RDS</t>
  </si>
  <si>
    <t>150 RDS</t>
  </si>
  <si>
    <t>160 RDS</t>
  </si>
  <si>
    <t>170 RDS</t>
  </si>
  <si>
    <t>MILLION TON</t>
  </si>
  <si>
    <t>180 RDS</t>
  </si>
  <si>
    <t>190 RDS</t>
  </si>
  <si>
    <t>200 RDS</t>
  </si>
  <si>
    <t>210 RDS</t>
  </si>
  <si>
    <t>MONTHWISE SIZE WISE RELEASE(2023-24)</t>
  </si>
  <si>
    <t>MONTH WISE RECEIPT OF HOT METAL SPCL INGOT ,&amp; BRC-2019-20</t>
  </si>
  <si>
    <t>H1</t>
  </si>
  <si>
    <t>H2</t>
  </si>
  <si>
    <t>BRC RECP-DSP</t>
  </si>
  <si>
    <t>MELTING SCRAP</t>
  </si>
  <si>
    <t xml:space="preserve">COKE OVEN GAS </t>
  </si>
  <si>
    <t>NM3/HR</t>
  </si>
  <si>
    <t>MONTH WISE RECEIPT OF HOT METAL SPCL INGOT ,&amp; BRC-2020-21</t>
  </si>
  <si>
    <t>BRC RECP-BSP</t>
  </si>
  <si>
    <t>MONTHWISE SIZE WISE RELEASE(2024-25)</t>
  </si>
  <si>
    <t>MONTH WISE RECEIPT OF HOT METAL SPCL INGOT ,&amp; BRC-2021-22</t>
  </si>
  <si>
    <t>MONTH WISE RECEIPT OF HOT METAL SPCL INGOT ,&amp; BRC-2022-23</t>
  </si>
  <si>
    <t>125 RDS/1230</t>
  </si>
  <si>
    <t>MONTHWISE SIZE WISE RELEASE(2025-26)</t>
  </si>
  <si>
    <t xml:space="preserve">RECEIPT FROM DSP IN 2021-22 </t>
  </si>
  <si>
    <t>COKE OVEN GAS (NM</t>
  </si>
  <si>
    <t>NM/HR</t>
  </si>
  <si>
    <t>MONTH WISE REL OF ROLLED ROUNDS &amp; REL TROUGH HOT METAL</t>
  </si>
  <si>
    <t>THRU HM</t>
  </si>
  <si>
    <t>THE DETAILS OF RAW MATERIALS RECEIVED FROM DSP</t>
  </si>
  <si>
    <t>MONNTH WISE NON VD ROUTE SALEABLE FROM DSP &amp;BSP</t>
  </si>
  <si>
    <t>HOT METALS</t>
  </si>
  <si>
    <t>DSP NON NVD</t>
  </si>
  <si>
    <t>DSP BLOOMS</t>
  </si>
  <si>
    <t>BSP NON VD'</t>
  </si>
  <si>
    <t xml:space="preserve">THE DETAILS OF TOTAL PRODUCTION </t>
  </si>
  <si>
    <t>Eight heats in fin year 23-24</t>
  </si>
  <si>
    <t>APRIL'23'</t>
  </si>
  <si>
    <t>11 AND 19</t>
  </si>
  <si>
    <t>BILLETS</t>
  </si>
  <si>
    <t>2,4,11,13,15,26</t>
  </si>
  <si>
    <t>FORGINGS</t>
  </si>
  <si>
    <t>3 AND 28</t>
  </si>
  <si>
    <t>NSS PLATES</t>
  </si>
  <si>
    <t>6</t>
  </si>
  <si>
    <t>FOR THE MONTH OF SEPT'23</t>
  </si>
  <si>
    <t>STOCK 010923</t>
  </si>
  <si>
    <t>RECEIVED</t>
  </si>
  <si>
    <t>CONSUMED</t>
  </si>
  <si>
    <t>STOCK 01/10/23</t>
  </si>
  <si>
    <t xml:space="preserve">STOCK AS ON </t>
  </si>
  <si>
    <t>DSP INGOT</t>
  </si>
  <si>
    <t xml:space="preserve">BSP </t>
  </si>
  <si>
    <t>ISP</t>
  </si>
  <si>
    <t>DETAILS OF CC BLOOMS RECEIVED FROM IISCO,BSP &amp; DSP</t>
  </si>
  <si>
    <t>UPTO  THE MONTH OF SEPT'23</t>
  </si>
  <si>
    <t>BSP(300X335)</t>
  </si>
  <si>
    <t>21-22Q1</t>
  </si>
  <si>
    <t>DSP(240X350)</t>
  </si>
  <si>
    <t>IISCO(200X280)</t>
  </si>
  <si>
    <r>
      <rPr>
        <b/>
        <sz val="16"/>
        <rFont val="Arial"/>
        <family val="2"/>
      </rPr>
      <t>**</t>
    </r>
    <r>
      <rPr>
        <b/>
        <sz val="10"/>
        <rFont val="Arial"/>
        <family val="2"/>
      </rPr>
      <t xml:space="preserve"> DSP HOT METAL  RECEIVING STARTED FROM 2012-13</t>
    </r>
  </si>
  <si>
    <r>
      <rPr>
        <b/>
        <sz val="18"/>
        <rFont val="Arial"/>
        <family val="2"/>
      </rPr>
      <t xml:space="preserve">** </t>
    </r>
    <r>
      <rPr>
        <b/>
        <sz val="10"/>
        <rFont val="Arial"/>
        <family val="2"/>
      </rPr>
      <t>AOD COMISSONED FROM 2007-2008</t>
    </r>
  </si>
  <si>
    <t>19--20</t>
  </si>
  <si>
    <t>YEAR-WISE SALEABLE AND DESP OF RWF MATERIAL</t>
  </si>
  <si>
    <t>REL</t>
  </si>
  <si>
    <t>WAP1/95(R-16)</t>
  </si>
  <si>
    <t>IS 1875 CL IV(R-43)</t>
  </si>
  <si>
    <t>G TOTAL</t>
  </si>
  <si>
    <t>RELEASE REPORT OF IMPORTANT GRADES(2018-19)</t>
  </si>
  <si>
    <t>MARCH</t>
  </si>
  <si>
    <t>SPADE /JACK</t>
  </si>
  <si>
    <t>RELEASE REPORT OF IMPORTANT GRADES(2019-20)</t>
  </si>
  <si>
    <t>RELEASE REPORT OF IMPORTANT GRADES(2020-21)</t>
  </si>
  <si>
    <t>DESPATCH  REPORT OF IMPORTANT GRADES(2017-18)</t>
  </si>
  <si>
    <t>despatch</t>
  </si>
  <si>
    <t>18-19 Desp</t>
  </si>
  <si>
    <t>SPADE /JACKL</t>
  </si>
  <si>
    <t>RELEASE   REPORT OF IMPORTANT GRADES(2017-18)</t>
  </si>
  <si>
    <t>19-20 Desp</t>
  </si>
  <si>
    <t>20-21 Desp</t>
  </si>
  <si>
    <t>RELEASE REPORT OF IMPORTANT GRADES(2021-22)</t>
  </si>
  <si>
    <t>21-22 Desp</t>
  </si>
  <si>
    <t>RELEASE REPORT OF IMPORTANT GRADES(2022-23)</t>
  </si>
  <si>
    <t>REL22-23</t>
  </si>
  <si>
    <t>DESP 22-23</t>
  </si>
  <si>
    <t>R-16(VISL)</t>
  </si>
  <si>
    <t>RELEASE REPORT OF IMPORTANT GRADES(2023-24)</t>
  </si>
  <si>
    <t>R-16/R-43(YANTRA)</t>
  </si>
  <si>
    <t>RELEASE REPORT OF IMPORTANT GRADES(2024-25)</t>
  </si>
  <si>
    <t>24-25</t>
  </si>
  <si>
    <t>DESP 24-25</t>
  </si>
  <si>
    <t>R-16/R-43(YANTRA)/DSP</t>
  </si>
  <si>
    <t>CALENDER YR 2023</t>
  </si>
  <si>
    <t>NO FO HEATS MELTED]</t>
  </si>
  <si>
    <t>Segement wise despatch</t>
  </si>
  <si>
    <t>UPT04/12</t>
  </si>
  <si>
    <t>BD MAT</t>
  </si>
  <si>
    <t>pvt</t>
  </si>
  <si>
    <t>YEAR WISE BREAK UP OF INPUT RECEIVED FROM DSP(2020-21)</t>
  </si>
  <si>
    <t>BRC BLOOMRECPT</t>
  </si>
  <si>
    <t>R-16 DESP</t>
  </si>
  <si>
    <t xml:space="preserve">    MONTH-WISE BREAK UP OF INPUT RECEIVED FROM DSP(2020-21)</t>
  </si>
  <si>
    <t>nov</t>
  </si>
  <si>
    <t>dec'20</t>
  </si>
  <si>
    <t>jan'21</t>
  </si>
  <si>
    <t>feb'21</t>
  </si>
  <si>
    <t>mar'21</t>
  </si>
  <si>
    <t>BRC BLOOM RECPT</t>
  </si>
  <si>
    <t>DSP SPCL INGSAL</t>
  </si>
  <si>
    <t>BRC RECEPT BSP</t>
  </si>
  <si>
    <t>SAL-DSP HOT METAL ROUTE</t>
  </si>
  <si>
    <t xml:space="preserve">    MONTH-WISE BREAK UP OF INPUT RECEIVED FROM DSP(2021-22</t>
  </si>
  <si>
    <t>dec'21</t>
  </si>
  <si>
    <t>jan'22</t>
  </si>
  <si>
    <t>feb'22</t>
  </si>
  <si>
    <t>PERFORMANCE OF ASP  DURINR LAST THREE YEARS</t>
  </si>
  <si>
    <t>SALES</t>
  </si>
  <si>
    <t>2020-21 TILL JAN'21</t>
  </si>
  <si>
    <t>DESPATCH TO  OF OF KANPUR</t>
  </si>
  <si>
    <t xml:space="preserve">TOTAL </t>
  </si>
  <si>
    <t>DESPATCH REPORT OF IMPORTANT GRADES(2019-20)</t>
  </si>
  <si>
    <t xml:space="preserve">DSP Input  Received  </t>
  </si>
  <si>
    <t>Inputs</t>
  </si>
  <si>
    <t>ABP            (Per Month)</t>
  </si>
  <si>
    <t>Mar'21</t>
  </si>
  <si>
    <t>Apr'21</t>
  </si>
  <si>
    <t>May'21</t>
  </si>
  <si>
    <t>Jun'21</t>
  </si>
  <si>
    <t xml:space="preserve">Jul'21 </t>
  </si>
  <si>
    <t>Remarks</t>
  </si>
  <si>
    <t>cumm</t>
  </si>
  <si>
    <t>Aug’21</t>
  </si>
  <si>
    <t>Hot Metal</t>
  </si>
  <si>
    <t>2500T</t>
  </si>
  <si>
    <t>2798T</t>
  </si>
  <si>
    <t>2551T</t>
  </si>
  <si>
    <t>Sp Steel Ingot (T)</t>
  </si>
  <si>
    <t>2000 T</t>
  </si>
  <si>
    <t xml:space="preserve">Due less Ingot receipt servicing  of many Orders are kept pending </t>
  </si>
  <si>
    <t>CO Gas(Nm³/Hr)</t>
  </si>
  <si>
    <t>3000 Nm3/Hr</t>
  </si>
  <si>
    <t>Fuel requirement made up by procuring Costly CBM gas which affect profitability</t>
  </si>
  <si>
    <t>No CO Gas  (Hours/Month)</t>
  </si>
  <si>
    <t>Nil</t>
  </si>
  <si>
    <t>BRC  Bloom (T)</t>
  </si>
  <si>
    <t>3000T</t>
  </si>
  <si>
    <t>2148T</t>
  </si>
  <si>
    <t>186T</t>
  </si>
  <si>
    <t>Lots of Orderare coming in this route.</t>
  </si>
  <si>
    <t>Melting Scrap (T)</t>
  </si>
  <si>
    <t>1000T</t>
  </si>
  <si>
    <t>ASP to DSP</t>
  </si>
  <si>
    <t>AS Skull (T)</t>
  </si>
  <si>
    <t>NA</t>
  </si>
  <si>
    <t>218mm R16 Rolled Blooms (T)</t>
  </si>
  <si>
    <t>Supplied  as per requirement</t>
  </si>
  <si>
    <t>LHB 790 Ingots to VISL (T)</t>
  </si>
  <si>
    <t>Supply started from 23/8/2021</t>
  </si>
  <si>
    <t>DSP ASP Synergy</t>
  </si>
  <si>
    <t>Date: 06/10/2021</t>
  </si>
  <si>
    <t>nov'21</t>
  </si>
  <si>
    <t xml:space="preserve">OCT’21 </t>
  </si>
  <si>
    <t xml:space="preserve">DSP ASP Synergy </t>
  </si>
  <si>
    <t>Date: 04/09/2021</t>
  </si>
  <si>
    <t>OCT’21</t>
  </si>
  <si>
    <t>NOV’21</t>
  </si>
  <si>
    <t>DEC’21</t>
  </si>
  <si>
    <t>1, 106</t>
  </si>
  <si>
    <t>BBM CHWT</t>
  </si>
  <si>
    <t>SAL-DSP NON VD ROUTE</t>
  </si>
  <si>
    <t>SAL-BSPNON VD ROUTE</t>
  </si>
  <si>
    <t>DESP NONVD ROUNDS</t>
  </si>
  <si>
    <t>DESP VD ROUNDS</t>
  </si>
  <si>
    <t>MONTH WISE RECEIPT OF HOT METAL SPCL INGOT ,&amp; BRC-2023-24</t>
  </si>
  <si>
    <t>SAL VD ROUND</t>
  </si>
  <si>
    <t>MONTH WISE RECEIPT OF HOT METAL SPCL INGOT ,&amp; BRC-2024-25 FROM DSP</t>
  </si>
  <si>
    <t>MONTH WISE RECEIPT OF HOT METAL SPCL INGOT ,&amp; BRC-2025-26 FROM DSP</t>
  </si>
  <si>
    <t>CONSUMPTION OF DIFFERENT SIZES OF INGOTS OF LAST FIVE YEAR(NOS)</t>
  </si>
  <si>
    <t xml:space="preserve">YEAR </t>
  </si>
  <si>
    <t>PCS/WT</t>
  </si>
  <si>
    <t>11839/47527T</t>
  </si>
  <si>
    <t>21341/84797T</t>
  </si>
  <si>
    <t>23751/94696T</t>
  </si>
  <si>
    <t>26687/105447T</t>
  </si>
  <si>
    <t xml:space="preserve">24-25 </t>
  </si>
  <si>
    <t>28224/108768.822</t>
  </si>
  <si>
    <t>25-26 till 0825</t>
  </si>
  <si>
    <t>10092/38678</t>
  </si>
  <si>
    <t>SAIL/ASP/PPCD</t>
  </si>
  <si>
    <t>PROCESSING OF DSP  INGOTS &amp;   DSP/BSP  BLOOMS  DURING  APRIL'24-SEPT'24</t>
  </si>
  <si>
    <t>PROCESSING OF DSP  INGOTS &amp;   DSP/BSP  BLOOMS  DURING  APRIL'24-DEC'24</t>
  </si>
  <si>
    <t>BSP BRC</t>
  </si>
  <si>
    <t>DSP BRC</t>
  </si>
  <si>
    <t>ISP BLOOMS</t>
  </si>
  <si>
    <t>STOCK AS ON 01/04/2024</t>
  </si>
  <si>
    <t>STOCK AS ON01/04/2024</t>
  </si>
  <si>
    <t>STOCK AS ON 30/09/2024</t>
  </si>
  <si>
    <t>2889**</t>
  </si>
  <si>
    <t>STOCK AS ON 31/12/2024</t>
  </si>
  <si>
    <t>**  BSP Bloom  stock of 2889 T as on 30.09.2024  include 2300 T of  C-45 and 589 T of EN-19 Blooms</t>
  </si>
  <si>
    <t>**  BSP Bloom  stock of 4020 T as on 31.12.2024 include2470 T of  C-45 and 1550 T of EN-19 Blooms</t>
  </si>
  <si>
    <t>STOCK RECONCILIATION OF HOT METAL, C-45 &amp; EN-19 BLOOMS  DURING 01/4/2024 TO 31/03/2025</t>
  </si>
  <si>
    <t>STOCK RECONCILIATION OF HOT METAL, C-45 &amp; EN-19 BLOOMS  DURING 01/4/2025 TO 30/06/2025</t>
  </si>
  <si>
    <t>INTERMEDIARY PRODUCTS CONSUMPTION  2025-26 (UPTO Q-1)</t>
  </si>
  <si>
    <t>DSP 45C8/CL-II BLOOMS</t>
  </si>
  <si>
    <t>BSP BLOOMS (45C8)</t>
  </si>
  <si>
    <t>BSP BLOOMS (EN-19)</t>
  </si>
  <si>
    <t>BSP BRC(C-45+EN-19)</t>
  </si>
  <si>
    <t>DSP BRC (C-45)</t>
  </si>
  <si>
    <t>STOCK AS ON 31/03/2025</t>
  </si>
  <si>
    <t>OP BAL-01.04.2025</t>
  </si>
  <si>
    <t>RECEIPT - Q1</t>
  </si>
  <si>
    <t>STOCK AS ON 30/06/2025</t>
  </si>
  <si>
    <t>CONSUMPTION</t>
  </si>
  <si>
    <t>CLOSING BALANCE -30.06.2025</t>
  </si>
  <si>
    <t>**  BSP Bloom  stock of 2040 Ton as on 31.03.2025 is  fully of  C-45 only.</t>
  </si>
  <si>
    <t>STOCK RECONCILIATION OF HOT METAL, C-45 &amp; EN-19 BLOOMS  DURING 01/7/2025 TO 30/09/2025</t>
  </si>
  <si>
    <t>REL AND DESPATTCH TO RSP FOR LAST FIVE YEARS</t>
  </si>
  <si>
    <t>2019-2020</t>
  </si>
  <si>
    <t xml:space="preserve">REL </t>
  </si>
  <si>
    <t>STOCK AS ON 30/09/2025</t>
  </si>
  <si>
    <t>INTERMEDIARY PRODUCTS CONSUMPTION  2025-26 (UPTO H-1)</t>
  </si>
  <si>
    <t>RECEIPT - UPTO 30.09.2025</t>
  </si>
  <si>
    <t>CLOSING BALANCE -30.09.2025</t>
  </si>
  <si>
    <t>AS GMI/C(SERV)</t>
  </si>
  <si>
    <t>PROCESSING OF DSP INGOT BLOOMMS BSP CC BLOOMS DURING OCT'23</t>
  </si>
  <si>
    <t>DETAILS OF EQUIP. WISE POWER</t>
  </si>
  <si>
    <t>TOTAL POWER(KWH</t>
  </si>
  <si>
    <t>LIQUID(T)</t>
  </si>
  <si>
    <t>SPEC POWER</t>
  </si>
  <si>
    <t>OPENING STOCK</t>
  </si>
  <si>
    <t>20MnCr5</t>
  </si>
  <si>
    <t>CLOSING STOCK</t>
  </si>
  <si>
    <t>LF#1</t>
  </si>
  <si>
    <t>LAST OCCASION OF 10 HEATS</t>
  </si>
  <si>
    <t>STN STEEL PRODN IN LAST FIVE YEARS'</t>
  </si>
  <si>
    <t>2022-23(TILL FEB'23)</t>
  </si>
  <si>
    <t>PROCESSING OF DSP INGOT BLOOMMS BSP CC BLOOMS DURING DEC'23</t>
  </si>
  <si>
    <t>HIGHEST BBM CHW SINCE 2012</t>
  </si>
  <si>
    <t>04 AUG'12</t>
  </si>
  <si>
    <t>620T/161</t>
  </si>
  <si>
    <t>722T/226</t>
  </si>
  <si>
    <t>02/082025</t>
  </si>
  <si>
    <t>646T/182</t>
  </si>
  <si>
    <t>11 AUG'12</t>
  </si>
  <si>
    <t>647T/172</t>
  </si>
  <si>
    <t>674T/180</t>
  </si>
  <si>
    <t>669/204</t>
  </si>
  <si>
    <t>13 AUG'12</t>
  </si>
  <si>
    <t>665T/171</t>
  </si>
  <si>
    <t>677T/202</t>
  </si>
  <si>
    <t>614T/192</t>
  </si>
  <si>
    <t>25 AUG'12</t>
  </si>
  <si>
    <t>652T/178</t>
  </si>
  <si>
    <t>695T/188</t>
  </si>
  <si>
    <t>622T/181</t>
  </si>
  <si>
    <t>HIGHEST DEPATCH ON DAIILY BASIS IN LAST 10YHRS</t>
  </si>
  <si>
    <t>18 MAY'24</t>
  </si>
  <si>
    <t>665T</t>
  </si>
  <si>
    <t>696T/207</t>
  </si>
  <si>
    <t>653T/198</t>
  </si>
  <si>
    <t>]</t>
  </si>
  <si>
    <t>AS ON 01/01/2024</t>
  </si>
  <si>
    <t>10.03.2018</t>
  </si>
  <si>
    <t>927 T</t>
  </si>
  <si>
    <t>8 JUNE '24</t>
  </si>
  <si>
    <t>687T</t>
  </si>
  <si>
    <t>666T/201</t>
  </si>
  <si>
    <t>673T/180</t>
  </si>
  <si>
    <t>STOCK OF BRC BLOOMS (01.08.2023</t>
  </si>
  <si>
    <t>31.08.2015</t>
  </si>
  <si>
    <t>892 T</t>
  </si>
  <si>
    <t>5 OCT'24</t>
  </si>
  <si>
    <t>642T</t>
  </si>
  <si>
    <t>610T/172</t>
  </si>
  <si>
    <t>614T/189</t>
  </si>
  <si>
    <t>30.08.2023</t>
  </si>
  <si>
    <t>742 T</t>
  </si>
  <si>
    <t>22 DEC'24</t>
  </si>
  <si>
    <t>635T/176</t>
  </si>
  <si>
    <t>707T/190</t>
  </si>
  <si>
    <t>753t/216</t>
  </si>
  <si>
    <t>732 T</t>
  </si>
  <si>
    <t>08 FEB'25</t>
  </si>
  <si>
    <t>692T6/192 PCS</t>
  </si>
  <si>
    <t>646T/188</t>
  </si>
  <si>
    <t>721T</t>
  </si>
  <si>
    <t>716 T</t>
  </si>
  <si>
    <t>15 FEB'25</t>
  </si>
  <si>
    <t>604T</t>
  </si>
  <si>
    <t>632/171</t>
  </si>
  <si>
    <t>625t/160</t>
  </si>
  <si>
    <t>753T</t>
  </si>
  <si>
    <t>705T/180</t>
  </si>
  <si>
    <t>630/180</t>
  </si>
  <si>
    <t>1 MARCH'25</t>
  </si>
  <si>
    <t>662T/194</t>
  </si>
  <si>
    <t>668/210</t>
  </si>
  <si>
    <t xml:space="preserve">STOCK OF </t>
  </si>
  <si>
    <t>S</t>
  </si>
  <si>
    <t>10 March'25</t>
  </si>
  <si>
    <t>622T/172</t>
  </si>
  <si>
    <t>633/185</t>
  </si>
  <si>
    <t>15MarcH'25</t>
  </si>
  <si>
    <t>683T/203</t>
  </si>
  <si>
    <t>PROCESSING OF DSP INGOT BLOOMMS BSP CC BLOOMS DURING JAN'24</t>
  </si>
  <si>
    <t>DETAILS OF 8 HTS &amp; above TAPPED DURING 2024-25</t>
  </si>
  <si>
    <t>10HEATS WITH 2FCE/HM</t>
  </si>
  <si>
    <t>8HEATS</t>
  </si>
  <si>
    <t>12,13</t>
  </si>
  <si>
    <t>GREEN-9HEATS</t>
  </si>
  <si>
    <t>1,2,15,16,17,19,22,27,28,29,30</t>
  </si>
  <si>
    <t>feb'25</t>
  </si>
  <si>
    <t>1,2,3,4,5</t>
  </si>
  <si>
    <t>9HEATS</t>
  </si>
  <si>
    <t>RED 10HEATS</t>
  </si>
  <si>
    <t>HTF WAP 52 R-4</t>
  </si>
  <si>
    <r>
      <rPr>
        <b/>
        <sz val="14"/>
        <rFont val="Arial"/>
        <family val="2"/>
      </rPr>
      <t>6,7,9,10,</t>
    </r>
    <r>
      <rPr>
        <b/>
        <sz val="14"/>
        <color indexed="17"/>
        <rFont val="Arial"/>
        <family val="2"/>
      </rPr>
      <t>11</t>
    </r>
  </si>
  <si>
    <t>10HEATS</t>
  </si>
  <si>
    <r>
      <rPr>
        <b/>
        <sz val="14"/>
        <rFont val="Arial"/>
        <family val="2"/>
      </rPr>
      <t>13,15,</t>
    </r>
    <r>
      <rPr>
        <b/>
        <sz val="14"/>
        <color indexed="17"/>
        <rFont val="Arial"/>
        <family val="2"/>
      </rPr>
      <t>16,17</t>
    </r>
  </si>
  <si>
    <t>STOCK AS ON 01/02/2024</t>
  </si>
  <si>
    <r>
      <rPr>
        <b/>
        <sz val="14"/>
        <rFont val="Arial"/>
        <family val="2"/>
      </rPr>
      <t>18,19,24,</t>
    </r>
    <r>
      <rPr>
        <b/>
        <sz val="14"/>
        <color indexed="10"/>
        <rFont val="Arial"/>
        <family val="2"/>
      </rPr>
      <t>25</t>
    </r>
  </si>
  <si>
    <t>3,4,8,14,15,18,20,24</t>
  </si>
  <si>
    <t>26,27,28</t>
  </si>
  <si>
    <t>5,6,11,19,22</t>
  </si>
  <si>
    <r>
      <rPr>
        <b/>
        <sz val="14"/>
        <color indexed="17"/>
        <rFont val="Arial"/>
        <family val="2"/>
      </rPr>
      <t>4</t>
    </r>
    <r>
      <rPr>
        <b/>
        <sz val="14"/>
        <rFont val="Arial"/>
        <family val="2"/>
      </rPr>
      <t>,5,</t>
    </r>
    <r>
      <rPr>
        <b/>
        <sz val="14"/>
        <color indexed="17"/>
        <rFont val="Arial"/>
        <family val="2"/>
      </rPr>
      <t>7</t>
    </r>
    <r>
      <rPr>
        <b/>
        <sz val="14"/>
        <rFont val="Arial"/>
        <family val="2"/>
      </rPr>
      <t>,9,</t>
    </r>
    <r>
      <rPr>
        <b/>
        <sz val="14"/>
        <color indexed="10"/>
        <rFont val="Arial"/>
        <family val="2"/>
      </rPr>
      <t>12</t>
    </r>
  </si>
  <si>
    <t>12,16,1723,25,26,27,29,30</t>
  </si>
  <si>
    <r>
      <rPr>
        <b/>
        <sz val="14"/>
        <color indexed="10"/>
        <rFont val="Arial"/>
        <family val="2"/>
      </rPr>
      <t>14</t>
    </r>
    <r>
      <rPr>
        <b/>
        <sz val="14"/>
        <rFont val="Arial"/>
        <family val="2"/>
      </rPr>
      <t>,15,</t>
    </r>
    <r>
      <rPr>
        <b/>
        <sz val="14"/>
        <color indexed="57"/>
        <rFont val="Arial"/>
        <family val="2"/>
      </rPr>
      <t>17</t>
    </r>
  </si>
  <si>
    <t>12 HEATS</t>
  </si>
  <si>
    <r>
      <rPr>
        <b/>
        <sz val="14"/>
        <rFont val="Arial"/>
        <family val="2"/>
      </rPr>
      <t>22,</t>
    </r>
    <r>
      <rPr>
        <b/>
        <sz val="14"/>
        <color indexed="17"/>
        <rFont val="Arial"/>
        <family val="2"/>
      </rPr>
      <t>23,24,25</t>
    </r>
    <r>
      <rPr>
        <b/>
        <sz val="14"/>
        <rFont val="Arial"/>
        <family val="2"/>
      </rPr>
      <t>,</t>
    </r>
  </si>
  <si>
    <t>11heats</t>
  </si>
  <si>
    <t>28,29</t>
  </si>
  <si>
    <t>PROCESSING OF DSP INGOT BLOOMMS BSP CC BLOOMS DURING FEB'24</t>
  </si>
  <si>
    <t>8heats</t>
  </si>
  <si>
    <t>9 heats</t>
  </si>
  <si>
    <t>4,5</t>
  </si>
  <si>
    <t>21,22,27</t>
  </si>
  <si>
    <t>dec</t>
  </si>
  <si>
    <t>7,8,12</t>
  </si>
  <si>
    <t>9 HEATS</t>
  </si>
  <si>
    <t>3,19,28,30</t>
  </si>
  <si>
    <t>14,19,22,23,24,25,26,31</t>
  </si>
  <si>
    <t>STOCK AS ON 01/03/2024</t>
  </si>
  <si>
    <t>4,6,8,9,11,12,13,</t>
  </si>
  <si>
    <t>14,15,16,19,23,</t>
  </si>
  <si>
    <t>4,5,6,8,16,17,19,20,21,22,24,25,26,28</t>
  </si>
  <si>
    <t>24,25,26,27</t>
  </si>
  <si>
    <t>1,3,18</t>
  </si>
  <si>
    <t>PROCESSING OF DSP INGOTS, BLOOMS BSP CC BLOOMS DURING  MARCH24</t>
  </si>
  <si>
    <t>28,29,30,31</t>
  </si>
  <si>
    <t>JUNE'25 8HEATS</t>
  </si>
  <si>
    <t>8,16,17,18,19,23,29</t>
  </si>
  <si>
    <t>BSPCC BLOOMS</t>
  </si>
  <si>
    <t>22,24,26,28</t>
  </si>
  <si>
    <t>rep</t>
  </si>
  <si>
    <t xml:space="preserve">C45-1044 TON </t>
  </si>
  <si>
    <t>EN 19 795 TON</t>
  </si>
  <si>
    <t>BRC BLMS 1839T</t>
  </si>
  <si>
    <t>PROCESSING OF DSP INGOT BLOOMMS BSP CC BLOOMS DURING upto wupto dec'2024</t>
  </si>
  <si>
    <t>PROCESSING OF DSP INGOT BLOOMMS BSP CC BLOOMS DURING upto March'24</t>
  </si>
  <si>
    <t>PROCESSING OF DSP INGOT BLOOMMS BSP CC BLOOMS DURING April'24</t>
  </si>
  <si>
    <t>STOCK AS ON 01/05/2024</t>
  </si>
  <si>
    <t>PROCESSING OF DSP INGOT BLOOMMS BSP CC BLOOMS DURING MAY'24</t>
  </si>
  <si>
    <t>PROCESSING OF DSP INGOT BLOOMMS BSP CC BLOOMS DURING JUNE'24</t>
  </si>
  <si>
    <t xml:space="preserve"> DETAILS OF CUTS DURING  MARCH'25 AT HTF &amp; CONDG</t>
  </si>
  <si>
    <t xml:space="preserve"> DETAILS OF CUTS DURING  APRIL'25 AT HTF &amp; CONDG</t>
  </si>
  <si>
    <t xml:space="preserve"> DETAILS OF CUTS DURING  MAY'25 AT HTF &amp; CONDG</t>
  </si>
  <si>
    <t xml:space="preserve"> DETAILS OF CUTS DURING  JUNE'25 AT HTF &amp; CONDG</t>
  </si>
  <si>
    <t xml:space="preserve"> DETAILS OF CUTS DURING  JULY'25AT HTF &amp; CONDG</t>
  </si>
  <si>
    <t xml:space="preserve"> DETAILS OF CUTS DURING  AUG AT HTF &amp; CONDG</t>
  </si>
  <si>
    <t>PROCESSING OF DSP INGOT BLOOMMS BSP CC BLOOMS DURING upto JUNE'24</t>
  </si>
  <si>
    <t xml:space="preserve"> DETAILS OF CUTS DURING APRIL'24 AT HTF &amp; CONDG</t>
  </si>
  <si>
    <t xml:space="preserve"> DETAILS OF CUTS DURING MAY'24 AT HTF &amp; CONDG</t>
  </si>
  <si>
    <t xml:space="preserve"> DETAILS OF CUTS DURING JUNE'24 AT HTF &amp; CONDG</t>
  </si>
  <si>
    <t xml:space="preserve"> DETAILS OF CUTS DURING JULY24 AT HTF &amp; CONDG</t>
  </si>
  <si>
    <t xml:space="preserve"> DETAILS OF CUTS DURING AUG24 AT HTF &amp; CONDG</t>
  </si>
  <si>
    <t xml:space="preserve"> DETAILS OF CUTS DURING SEPT24 AT HTF &amp; CONDG</t>
  </si>
  <si>
    <t xml:space="preserve"> DETAILS OF CUTS DURING OC24 AT HTF &amp; CONDG</t>
  </si>
  <si>
    <t xml:space="preserve"> DETAILS OF CUTS DURING NOV24 AT HTF &amp; CONDG</t>
  </si>
  <si>
    <t xml:space="preserve"> DETAILS OF CUTS DURING  DEC24 AT HTF &amp; CONDG</t>
  </si>
  <si>
    <t xml:space="preserve"> DETAILS OF CUTS DURING  JAN'25 AT HTF &amp; CONDG</t>
  </si>
  <si>
    <t xml:space="preserve"> DETAILS OF CUTS DURING  feb'25AT HTF &amp; CONDG</t>
  </si>
  <si>
    <t>CONDG</t>
  </si>
  <si>
    <t xml:space="preserve"> DETAILS OF CUTS DURING  f5AT HTF &amp; CONDG</t>
  </si>
  <si>
    <t>R-16/43</t>
  </si>
  <si>
    <t>OFF</t>
  </si>
  <si>
    <t>STOCK AS ON 01/07/2024</t>
  </si>
  <si>
    <t>PROCESSING OF DSP INGOT BLOOMMS BSP CC BLOOMS DURING JULY'24</t>
  </si>
  <si>
    <t>10/11/2024</t>
  </si>
  <si>
    <t>10/12/2024</t>
  </si>
  <si>
    <t>PROCESSING OF DSP INGOT BLOOMMS BSP CC BLOOMS DURING  APRIL'24-SEPT'24</t>
  </si>
  <si>
    <t>EA1N</t>
  </si>
  <si>
    <t>WAP+R-16</t>
  </si>
  <si>
    <t>16/062025</t>
  </si>
  <si>
    <t>85+19</t>
  </si>
  <si>
    <t>71+16</t>
  </si>
  <si>
    <t>79+46</t>
  </si>
  <si>
    <t>STOCK AS ON 01/10/2024</t>
  </si>
  <si>
    <t>107+14</t>
  </si>
  <si>
    <t>2008/2025</t>
  </si>
  <si>
    <t>101+16</t>
  </si>
  <si>
    <t>2212/2024</t>
  </si>
  <si>
    <t>82+16</t>
  </si>
  <si>
    <t>PROCESSING OF DSP INGOT BLOOMMS BSP CC BLOOMS DURING  SEPT'24</t>
  </si>
  <si>
    <t>85+16</t>
  </si>
  <si>
    <t>25/01/2025</t>
  </si>
  <si>
    <t>25/02/2025</t>
  </si>
  <si>
    <t>25/03/2025</t>
  </si>
  <si>
    <t>25/042025</t>
  </si>
  <si>
    <t>25/052025</t>
  </si>
  <si>
    <t>25/062025</t>
  </si>
  <si>
    <t>28/01/2025</t>
  </si>
  <si>
    <t>28/02/2025</t>
  </si>
  <si>
    <t>28/03/2025</t>
  </si>
  <si>
    <t>28/04/2025</t>
  </si>
  <si>
    <t>28/05/2025</t>
  </si>
  <si>
    <t>SALEABLE 2024-25  (T)</t>
  </si>
  <si>
    <t>29/01/2025</t>
  </si>
  <si>
    <t>TOTAL SALEBLE</t>
  </si>
  <si>
    <t>30/01/2025</t>
  </si>
  <si>
    <t>ASP ROUTE SAL</t>
  </si>
  <si>
    <t>31/01/2025</t>
  </si>
  <si>
    <t>DSP ROUTE</t>
  </si>
  <si>
    <t>CC ROUTE</t>
  </si>
  <si>
    <t>TOTAL CC BLOOM</t>
  </si>
  <si>
    <t xml:space="preserve">C-45 CC BLOOM </t>
  </si>
  <si>
    <t>EN 19 CC BLOOM</t>
  </si>
  <si>
    <t>RECEIPT OF BRC FROM DSP BSP &amp; SPCIAL INGOT(2021-22)</t>
  </si>
  <si>
    <t>BRC RECEIPT(TON)DSP</t>
  </si>
  <si>
    <t>BRC RECEIPT(TON)BSP</t>
  </si>
  <si>
    <t>2025-26(4MONTHS)</t>
  </si>
  <si>
    <t>RECEIPT OF BRC FROM DSP BSP &amp; SPCIAL INGOT(2022-23)</t>
  </si>
  <si>
    <t>RECEIPT OF BRC FROM DSP BSP &amp; SPCIAL INGOT(2023-24)</t>
  </si>
  <si>
    <t>BRC RECEIPT(TON)BSP/EN 19</t>
  </si>
  <si>
    <t>BRC RECEIPT(TON)ISP</t>
  </si>
  <si>
    <t>Release  OF BRC FROM DSP BSP &amp; SPCIAL INGOT(2023-24)</t>
  </si>
  <si>
    <t>BRC ISP</t>
  </si>
  <si>
    <t>MOTHWISE BBM CH WT 2024-25</t>
  </si>
  <si>
    <t>CH WT</t>
  </si>
  <si>
    <t>ROUNDS</t>
  </si>
  <si>
    <t>DESPATCH OF OF AM BAJHARI</t>
  </si>
  <si>
    <t>ASTM E4140</t>
  </si>
  <si>
    <t>DESPATCH OF OF AM KANPUR</t>
  </si>
  <si>
    <t>24-25 CUMM</t>
  </si>
  <si>
    <t>35MN6M03</t>
  </si>
  <si>
    <t>SUPPLIED</t>
  </si>
  <si>
    <t>VENDOR</t>
  </si>
  <si>
    <t>SSF 44</t>
  </si>
  <si>
    <t>06.03.2024</t>
  </si>
  <si>
    <t>31.05.2024</t>
  </si>
  <si>
    <t>30.04.2024</t>
  </si>
  <si>
    <t>28.08.2024</t>
  </si>
  <si>
    <t>24-25(TILL JULY'24)</t>
  </si>
  <si>
    <t>customer</t>
  </si>
  <si>
    <t>SIFL</t>
  </si>
  <si>
    <t>HVF</t>
  </si>
  <si>
    <t>HARIHAR ALLOYS</t>
  </si>
  <si>
    <t>WIFPL</t>
  </si>
  <si>
    <t>YANTRA INDIA NAGPUR</t>
  </si>
  <si>
    <t>ADVANCE WEAPONS(K)</t>
  </si>
  <si>
    <t>YIL KOLKATA</t>
  </si>
  <si>
    <t>VIKRANT FORGE</t>
  </si>
  <si>
    <t>AVNAL MEDAK</t>
  </si>
  <si>
    <t>BDL BHANUR</t>
  </si>
  <si>
    <t>RAC FRG</t>
  </si>
  <si>
    <t>MANJIRA</t>
  </si>
  <si>
    <t>FINE FORGE</t>
  </si>
  <si>
    <t>SAL &gt; 10000 TON SINCE 2014</t>
  </si>
  <si>
    <t>DESP&gt; 10000 TON SINCE 2014</t>
  </si>
  <si>
    <t>OCT'14</t>
  </si>
  <si>
    <t>NOV'14</t>
  </si>
  <si>
    <t>MARCH'15</t>
  </si>
  <si>
    <t>march'24</t>
  </si>
  <si>
    <t>29/009/2025</t>
  </si>
  <si>
    <t>HM HEATS</t>
  </si>
  <si>
    <t>SP POWER</t>
  </si>
  <si>
    <t>SP FUEL</t>
  </si>
  <si>
    <t>Comparative statement for evaluatluation  of Tecno Commercial bid</t>
  </si>
  <si>
    <t>Criteria</t>
  </si>
  <si>
    <t>Offer placed at page no</t>
  </si>
  <si>
    <t>Duly signed NIT</t>
  </si>
  <si>
    <t>Duly signed Scope of work</t>
  </si>
  <si>
    <t>Ack slip of OSLB</t>
  </si>
  <si>
    <t>Bidder'name M/s</t>
  </si>
  <si>
    <t xml:space="preserve"> New Bansihdhari enterprise</t>
  </si>
  <si>
    <t>261-287</t>
  </si>
  <si>
    <t>yes</t>
  </si>
  <si>
    <t>Accepted</t>
  </si>
  <si>
    <t>S N Pandey</t>
  </si>
  <si>
    <t>235-260</t>
  </si>
  <si>
    <t>Bansidhari enterprise</t>
  </si>
  <si>
    <t>208-234</t>
  </si>
  <si>
    <t>Naba Udyog</t>
  </si>
  <si>
    <t>181-207</t>
  </si>
  <si>
    <t>Anil &amp; Associates</t>
  </si>
  <si>
    <t>154-180</t>
  </si>
  <si>
    <t>New Sun Enterprise</t>
  </si>
  <si>
    <t>128-154</t>
  </si>
  <si>
    <t xml:space="preserve">Cicuit House </t>
  </si>
  <si>
    <t>126--127</t>
  </si>
  <si>
    <t>Not quoted</t>
  </si>
  <si>
    <t>Sarkar enterprise</t>
  </si>
  <si>
    <t>98-125</t>
  </si>
  <si>
    <t>S S Trading &amp; Co.</t>
  </si>
  <si>
    <t>70-97</t>
  </si>
  <si>
    <t>Kinetic Power</t>
  </si>
  <si>
    <t>44-69</t>
  </si>
  <si>
    <t>2.29/03/2025</t>
  </si>
  <si>
    <t>3.24/05/2025</t>
  </si>
  <si>
    <t>1.30/08/2025</t>
  </si>
  <si>
    <t>684T/202</t>
  </si>
  <si>
    <t>29/092025</t>
  </si>
  <si>
    <t>686T/206</t>
  </si>
  <si>
    <t>4.22/02/2025</t>
  </si>
  <si>
    <t>719T/196</t>
  </si>
  <si>
    <t>708T/188</t>
  </si>
  <si>
    <t>629t/180</t>
  </si>
  <si>
    <t>692T/209</t>
  </si>
  <si>
    <t>699T/199</t>
  </si>
  <si>
    <t>633T/175</t>
  </si>
  <si>
    <t>604T/180</t>
  </si>
  <si>
    <t>2,7,15,25</t>
  </si>
  <si>
    <t>4,5,8,12,13,16, 26,28,29</t>
  </si>
  <si>
    <t>10,14,24</t>
  </si>
  <si>
    <t>11 HEAT</t>
  </si>
  <si>
    <t>YEAR WISE LIQ AND CCS LIQUID</t>
  </si>
  <si>
    <t>TOTAL LIQ</t>
  </si>
  <si>
    <t>LIQ TRO CCS</t>
  </si>
  <si>
    <t>MONTH WISE SAL AND DESPATCH OF WAP BRC AND 9260 GRADES</t>
  </si>
  <si>
    <t xml:space="preserve"> 19-20</t>
  </si>
  <si>
    <t>WAP SALEABLE</t>
  </si>
  <si>
    <t>WAP DESPATCH</t>
  </si>
  <si>
    <t xml:space="preserve"> 9260 SALEABLE</t>
  </si>
  <si>
    <t>9260 DESPATCH</t>
  </si>
  <si>
    <t>STATUS OF ISP CC BLOOMS</t>
  </si>
  <si>
    <t>(TON)</t>
  </si>
  <si>
    <t>RWF':</t>
  </si>
  <si>
    <t>TOTAL RECEIPT</t>
  </si>
  <si>
    <t>ROLLING WT</t>
  </si>
  <si>
    <t>IS 1875 CL IV SAL</t>
  </si>
  <si>
    <t>IS 1875.CL IV DES</t>
  </si>
  <si>
    <t>March 2021</t>
  </si>
  <si>
    <t>As on 10-03-2021</t>
  </si>
  <si>
    <t>Qty in T</t>
  </si>
  <si>
    <t>on 08.01.21</t>
  </si>
  <si>
    <t>Saleable</t>
  </si>
  <si>
    <t>Sl</t>
  </si>
  <si>
    <t>Sector/Customer</t>
  </si>
  <si>
    <t>Saleable Plan</t>
  </si>
  <si>
    <t>Customer - Qty</t>
  </si>
  <si>
    <t>As on dt</t>
  </si>
  <si>
    <t>Likely (T)</t>
  </si>
  <si>
    <t>Shortfall(T)</t>
  </si>
  <si>
    <t>Despatch Plan</t>
  </si>
  <si>
    <t>Despatch till 10th</t>
  </si>
  <si>
    <t>Shortfall</t>
  </si>
  <si>
    <t> New Suggest Sal</t>
  </si>
  <si>
    <t>April'21 Likely</t>
  </si>
  <si>
    <t>BOXN</t>
  </si>
  <si>
    <t>DSP Ingot - ASP </t>
  </si>
  <si>
    <t>180 - 300, 160-800, 190 - 275,  RCS - 125T</t>
  </si>
  <si>
    <r>
      <rPr>
        <sz val="14"/>
        <color indexed="8"/>
        <rFont val="Times New Roman"/>
        <family val="1"/>
      </rPr>
      <t>NVD CCB - ASP</t>
    </r>
    <r>
      <rPr>
        <sz val="12"/>
        <color indexed="8"/>
        <rFont val="Times New Roman"/>
        <family val="1"/>
      </rPr>
      <t xml:space="preserve"> </t>
    </r>
    <r>
      <rPr>
        <b/>
        <sz val="10"/>
        <color indexed="8"/>
        <rFont val="Times New Roman"/>
        <family val="1"/>
      </rPr>
      <t>(C 45)</t>
    </r>
  </si>
  <si>
    <t xml:space="preserve">115 - 400, 120 - 500, 90 - 100, </t>
  </si>
  <si>
    <t>20MnCr5 (CC+Ing)</t>
  </si>
  <si>
    <t>100/110/95 dia</t>
  </si>
  <si>
    <t>IPT ( Business Dev)</t>
  </si>
  <si>
    <t>Rolls/Forged Items, IPT Std - 40 T</t>
  </si>
  <si>
    <t>IPT ( Std Products)</t>
  </si>
  <si>
    <t>VISL - 400 T, BSL/BSP - 100 T</t>
  </si>
  <si>
    <t>Plates - HFMn</t>
  </si>
  <si>
    <t>Hadfield - 90 T.</t>
  </si>
  <si>
    <t>Plates - Others</t>
  </si>
  <si>
    <t xml:space="preserve">50XGCA &amp; Others </t>
  </si>
  <si>
    <t>45C8 - 125 RCS</t>
  </si>
  <si>
    <t>Spade / Jackal  - CC Slabs</t>
  </si>
  <si>
    <t>Spade / Jackal  - Frgd Slabs</t>
  </si>
  <si>
    <t>CC Blooms</t>
  </si>
  <si>
    <t>Chandi Steels/TIL</t>
  </si>
  <si>
    <t>Private</t>
  </si>
  <si>
    <r>
      <rPr>
        <b/>
        <sz val="12"/>
        <color indexed="8"/>
        <rFont val="Times New Roman"/>
        <family val="1"/>
      </rPr>
      <t>En 36C - 300 T, Milacron - 200 T,  En 19 - 40 T, 15CDV6 - 50 T, 4130/4140 - 80 T,   20MnCr5 - 120 T,  42CrMo4 - 160 T,</t>
    </r>
    <r>
      <rPr>
        <b/>
        <sz val="12"/>
        <color indexed="10"/>
        <rFont val="Times New Roman"/>
        <family val="1"/>
      </rPr>
      <t xml:space="preserve">  </t>
    </r>
    <r>
      <rPr>
        <b/>
        <sz val="12"/>
        <color indexed="8"/>
        <rFont val="Times New Roman"/>
        <family val="1"/>
      </rPr>
      <t xml:space="preserve">            Oth - 250 T.</t>
    </r>
  </si>
  <si>
    <t>Total</t>
  </si>
  <si>
    <t>APP WT</t>
  </si>
  <si>
    <t>200X280X9000</t>
  </si>
  <si>
    <t>BLOOMS/BILLETS</t>
  </si>
  <si>
    <t>BRC(BILLET)</t>
  </si>
  <si>
    <t>BARS</t>
  </si>
  <si>
    <t>PLATES</t>
  </si>
  <si>
    <t>JACKAL /DMR INGOTS</t>
  </si>
  <si>
    <t>SPADE/JACKAL CONCAST SLABS</t>
  </si>
  <si>
    <t>STAINLESS STEEL SS SLAB</t>
  </si>
  <si>
    <t>NON SS SLABS /SAILCOR</t>
  </si>
  <si>
    <t>EXPORT(BLOOM BILLET)</t>
  </si>
  <si>
    <t>TOTAL SALEABLE</t>
  </si>
  <si>
    <t>the year wise ABP of Condg and HTF</t>
  </si>
  <si>
    <t xml:space="preserve">YEAR-WISE ABP </t>
  </si>
  <si>
    <t>COND I</t>
  </si>
  <si>
    <t>COND II</t>
  </si>
  <si>
    <t>YEAR-WISE</t>
  </si>
  <si>
    <t>FINYR</t>
  </si>
  <si>
    <t>SECTOR</t>
  </si>
  <si>
    <t>PRD_GRP</t>
  </si>
  <si>
    <t>WEIGHT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</si>
  <si>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</si>
  <si>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</si>
  <si>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</si>
  <si>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</si>
  <si>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</si>
  <si>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</si>
  <si>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</si>
  <si>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</si>
  <si>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</si>
  <si>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</si>
  <si>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</si>
  <si>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</si>
  <si>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</si>
  <si>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</si>
  <si>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</si>
  <si>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</si>
  <si>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</si>
  <si>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</si>
  <si>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</si>
  <si>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</si>
  <si>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</si>
  <si>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</si>
  <si>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</si>
  <si>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</si>
  <si>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</si>
  <si>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</si>
  <si>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</si>
  <si>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</si>
  <si>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44</t>
  </si>
  <si>
    <t>45</t>
  </si>
  <si>
    <t>46</t>
  </si>
  <si>
    <t>47</t>
  </si>
  <si>
    <t>48</t>
  </si>
  <si>
    <t>49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</si>
  <si>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</si>
  <si>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</si>
  <si>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</si>
  <si>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</si>
  <si>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</si>
  <si>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</si>
  <si>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</si>
  <si>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</si>
  <si>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</si>
  <si>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</si>
  <si>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</si>
  <si>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</si>
  <si>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</si>
  <si>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</si>
  <si>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50</t>
  </si>
  <si>
    <t>51</t>
  </si>
  <si>
    <t>52</t>
  </si>
  <si>
    <t>53</t>
  </si>
  <si>
    <t>DEFENCE=</t>
  </si>
  <si>
    <t>71</t>
  </si>
  <si>
    <t>72</t>
  </si>
  <si>
    <t>MIS</t>
  </si>
  <si>
    <t>73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</si>
  <si>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</si>
  <si>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</si>
  <si>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</si>
  <si>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</si>
  <si>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</si>
  <si>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</si>
  <si>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</si>
  <si>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</si>
  <si>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</si>
  <si>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</si>
  <si>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</si>
  <si>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</si>
  <si>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</si>
  <si>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</si>
  <si>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</si>
  <si>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</si>
  <si>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</si>
  <si>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74</t>
  </si>
  <si>
    <t>75</t>
  </si>
  <si>
    <t>76</t>
  </si>
  <si>
    <t>93</t>
  </si>
  <si>
    <t>94</t>
  </si>
  <si>
    <t>GOVT</t>
  </si>
  <si>
    <t>77</t>
  </si>
  <si>
    <t>78</t>
  </si>
  <si>
    <t>79</t>
  </si>
  <si>
    <t>80</t>
  </si>
  <si>
    <t>Govt. Party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</si>
  <si>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</si>
  <si>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</si>
  <si>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</si>
  <si>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</si>
  <si>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</si>
  <si>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</si>
  <si>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</si>
  <si>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</si>
  <si>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</si>
  <si>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</si>
  <si>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</si>
  <si>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</si>
  <si>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</si>
  <si>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Before-2017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</si>
  <si>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</si>
  <si>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</si>
  <si>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</si>
  <si>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</si>
  <si>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</si>
  <si>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</si>
  <si>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</si>
  <si>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</si>
  <si>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</si>
  <si>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</si>
  <si>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</si>
  <si>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</si>
  <si>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</si>
  <si>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</si>
  <si>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</si>
  <si>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</si>
  <si>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</si>
  <si>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</si>
  <si>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</si>
  <si>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</si>
  <si>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</si>
  <si>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</si>
  <si>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</si>
  <si>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SALEABLE_PCS</t>
  </si>
  <si>
    <t>SALEABLE_WEIGHT</t>
  </si>
  <si>
    <t>YEAR WISE PRODUCTION PERFORMANCE OF ASP</t>
  </si>
  <si>
    <t>AV/MTHS</t>
  </si>
  <si>
    <t>2022-23cumm</t>
  </si>
  <si>
    <t>FUEL GCAL/T</t>
  </si>
  <si>
    <t>GCAL/T</t>
  </si>
  <si>
    <t xml:space="preserve">Production </t>
  </si>
  <si>
    <t>ABP24-25</t>
  </si>
  <si>
    <t>UPTO  MAY'24</t>
  </si>
  <si>
    <t>TECHNO ECONOMIC PARAMETRES</t>
  </si>
  <si>
    <t>SPECIFIC ENERGY</t>
  </si>
  <si>
    <t>GCAL/TSS</t>
  </si>
  <si>
    <t>4..99</t>
  </si>
  <si>
    <t>SMS YIELD</t>
  </si>
  <si>
    <t>BBM YIELD</t>
  </si>
  <si>
    <t>YEAR WISE QUARTEIR WISE CRUDE, BBM CH WT ,SALEABLE &amp; DESPATCH</t>
  </si>
  <si>
    <t>BBM CH.WT</t>
  </si>
  <si>
    <t>COPY</t>
  </si>
  <si>
    <t>PASTE</t>
  </si>
  <si>
    <t>602T/176</t>
  </si>
  <si>
    <t>R-16/MSF</t>
  </si>
  <si>
    <t>R-43/MSF</t>
  </si>
  <si>
    <t>3,5,7,11,13,14,15,19,21,22,24,29</t>
  </si>
  <si>
    <t>8,10,18,30</t>
  </si>
  <si>
    <t>NOV'25</t>
  </si>
  <si>
    <t>2025-26(7MONTHS)</t>
  </si>
  <si>
    <t>DETAILS OF JACKALS DESP 202526</t>
  </si>
  <si>
    <t>17-112025</t>
  </si>
  <si>
    <t>24-112025</t>
  </si>
  <si>
    <t>602T/183</t>
  </si>
  <si>
    <t>8 HEATS</t>
  </si>
  <si>
    <t>11,12</t>
  </si>
  <si>
    <t>13,14,15</t>
  </si>
  <si>
    <t>2023-24(T)</t>
  </si>
  <si>
    <t>2024-25(T)</t>
  </si>
  <si>
    <t>DSPCC BLOOM WT</t>
  </si>
  <si>
    <t>BSP CC LOOM WT</t>
  </si>
  <si>
    <t>QI</t>
  </si>
  <si>
    <t>PIG IRON</t>
  </si>
  <si>
    <t>GRADE WISE  PRODUCTION OF CC PRODUCTS</t>
  </si>
  <si>
    <t>EN 2E€(SPL)</t>
  </si>
  <si>
    <t>BPI25</t>
  </si>
  <si>
    <t>DMRL 1750</t>
  </si>
  <si>
    <t>B PI 25</t>
  </si>
  <si>
    <t xml:space="preserve"> SCRAP </t>
  </si>
  <si>
    <t xml:space="preserve">DETAILS OF JACKAL </t>
  </si>
  <si>
    <t>CAST WT</t>
  </si>
  <si>
    <t>REJECTED</t>
  </si>
  <si>
    <t>MTN NO</t>
  </si>
  <si>
    <t>CAST DT</t>
  </si>
  <si>
    <t>1060253001/3601/3602</t>
  </si>
  <si>
    <t>1060253001/3002/3003</t>
  </si>
  <si>
    <t>DESPATCHED</t>
  </si>
  <si>
    <t>JACKAL FRG</t>
  </si>
  <si>
    <t>FINAL</t>
  </si>
  <si>
    <t>EAF ROUTE</t>
  </si>
  <si>
    <t xml:space="preserve">HM ROUTE </t>
  </si>
  <si>
    <t>TOTAL SAL.</t>
  </si>
  <si>
    <t>(T)</t>
  </si>
  <si>
    <t>DSP ROUTE SAL</t>
  </si>
  <si>
    <t>H/M ROUTE</t>
  </si>
  <si>
    <t>DSP CC BL00M</t>
  </si>
  <si>
    <t>BSP CC BLOOM</t>
  </si>
  <si>
    <t>SAL STN ROUTE</t>
  </si>
  <si>
    <t>TOTAL ELECT</t>
  </si>
  <si>
    <t>IN GCAL</t>
  </si>
  <si>
    <t>COG I GCAL</t>
  </si>
  <si>
    <t>RLNG GCAL</t>
  </si>
  <si>
    <t>COKE OVEN GAS</t>
  </si>
  <si>
    <t>GCAL</t>
  </si>
  <si>
    <t>1060253601/3002/3003</t>
  </si>
  <si>
    <t>POWER CONSUMPTION/TSS</t>
  </si>
  <si>
    <t>SPECIFIC FUEL/TSS</t>
  </si>
  <si>
    <t>POWER CONSUMPTION/TLS</t>
  </si>
  <si>
    <t xml:space="preserve">LF </t>
  </si>
  <si>
    <t xml:space="preserve"> UNIT WISELIQUID 24-25</t>
  </si>
  <si>
    <t>NOS OF HTS</t>
  </si>
  <si>
    <t>STN HEAT</t>
  </si>
  <si>
    <t>HMHEAT</t>
  </si>
  <si>
    <t>DEC'25</t>
  </si>
  <si>
    <t>Nov'25</t>
  </si>
  <si>
    <t>Dec'25</t>
  </si>
  <si>
    <t>Jan'26</t>
  </si>
  <si>
    <t>Feb'26</t>
  </si>
  <si>
    <t>Mar'26</t>
  </si>
  <si>
    <t>25-12--2025</t>
  </si>
  <si>
    <t>27-12--2025</t>
  </si>
  <si>
    <t>JAN'26</t>
  </si>
  <si>
    <t>OCT’25</t>
  </si>
  <si>
    <t>AUGUST'24</t>
  </si>
  <si>
    <t>Unit wise power consumed 2024-25</t>
  </si>
  <si>
    <t>C J DARCL LOGISTICS LIMITED</t>
  </si>
  <si>
    <t>INLAND WORLD LOGISTICS PVT LTD.</t>
  </si>
  <si>
    <t>EFC LOGISTICS</t>
  </si>
  <si>
    <t>UNION ROADWAYS CORPORATION</t>
  </si>
  <si>
    <t>PRAKASH TRANSPORT CORPORATION</t>
  </si>
  <si>
    <t>EXIM LOGISTICS PVT LTD</t>
  </si>
  <si>
    <t>CCI LOGISTICS LTD</t>
  </si>
  <si>
    <t xml:space="preserve">SL NO. </t>
  </si>
  <si>
    <t>FS</t>
  </si>
  <si>
    <t>BIOLER</t>
  </si>
  <si>
    <t>TOTAL-24-25</t>
  </si>
  <si>
    <t>COG+RLNG</t>
  </si>
  <si>
    <t>CALORIFIC VAULE</t>
  </si>
  <si>
    <t>TOT SMS</t>
  </si>
  <si>
    <t>FUEL IN NMCU</t>
  </si>
  <si>
    <t>FUEL IN GACL</t>
  </si>
  <si>
    <t>G TOTAL]</t>
  </si>
  <si>
    <t>GRADE-GROUP WISE MONTH-WISE CRUDE STEEL FOR CALENDER YEAR 2025</t>
  </si>
  <si>
    <t>YR. 2025T)</t>
  </si>
  <si>
    <t>YR. 2024(T)</t>
  </si>
  <si>
    <t>YR. 2024T)</t>
  </si>
  <si>
    <t>GRADE-GROUP WISE MONTH-WISE SALEABLE FOR CALENDER YEAR 2025</t>
  </si>
  <si>
    <t>GRADE-GROUP WISE MONTH-WISE DESPATCH FOR CALENDER YEAR 2025</t>
  </si>
  <si>
    <t>YR. 2025T</t>
  </si>
  <si>
    <t>INTERMEDIARY PRODUCTS CONSUMPTION  2025-26 (UPTO Q3)</t>
  </si>
  <si>
    <t>RECEIPT - UPTO 31.12.2025</t>
  </si>
  <si>
    <t>CLOSING BALANCE -31.12.2025</t>
  </si>
  <si>
    <t>FUEL IN NM3</t>
  </si>
  <si>
    <t>PREV DT</t>
  </si>
  <si>
    <t>15,17</t>
  </si>
  <si>
    <t>CL II/C-20/R16</t>
  </si>
  <si>
    <t>Unit wise power consumed2025-26</t>
  </si>
  <si>
    <t>AUGUST'25</t>
  </si>
  <si>
    <t>FEB'26</t>
  </si>
  <si>
    <t>MARCH'26</t>
  </si>
  <si>
    <t>50XKHAGA</t>
  </si>
  <si>
    <t>DMR249A MAX ALLOY</t>
  </si>
  <si>
    <t>DMR-249 &amp; DMR301 DESPATCH</t>
  </si>
  <si>
    <t>DNR 249A CERTIFIED</t>
  </si>
  <si>
    <t>DMR-249 BK</t>
  </si>
  <si>
    <t>DMR-249BK MAX ALLOYS</t>
  </si>
  <si>
    <t>DMR-249BK-AMIN ALLOY</t>
  </si>
  <si>
    <t>DMR 301</t>
  </si>
  <si>
    <t>DMR 249B MIN ALLOYS</t>
  </si>
  <si>
    <t>From 17-18 to 22-23</t>
  </si>
  <si>
    <t>No despatch</t>
  </si>
  <si>
    <t>DESPATCH REPORT  OF IMPORTANT GRADES(2025-26)</t>
  </si>
  <si>
    <t>DESPATCH REPORT  OF IMPORTANT GRADES(2024-25)</t>
  </si>
  <si>
    <t>DESPATCH REPORT  OF IMPORTANT GRADES(2023-24)</t>
  </si>
  <si>
    <t>NO ADV WEAP</t>
  </si>
  <si>
    <t>DESPATCH REPORT  OF IMPORTANT GRADES(2022-23)</t>
  </si>
  <si>
    <t>NO SPD/JKL</t>
  </si>
  <si>
    <t>NO BRC/NO ADV WEAP</t>
  </si>
  <si>
    <t>VISL R16</t>
  </si>
  <si>
    <t>VISLR16 1678T/NO ADV WEP</t>
  </si>
  <si>
    <t>VISL R16/NO ADV WEP</t>
  </si>
  <si>
    <t>VISLR16 388T</t>
  </si>
  <si>
    <t>8 heats</t>
  </si>
  <si>
    <t>AISI 1018</t>
  </si>
  <si>
    <t>CCB RECPT(TON)DSP1018</t>
  </si>
  <si>
    <t>VSIL R-16</t>
  </si>
  <si>
    <t>OTHER INGOT</t>
  </si>
  <si>
    <t>VISL R-16</t>
  </si>
  <si>
    <t>GOST B GR-11 I-OA</t>
  </si>
  <si>
    <t>IS 1875 CL IV</t>
  </si>
  <si>
    <t>IRS R-16</t>
  </si>
  <si>
    <t>SPADE FRG</t>
  </si>
  <si>
    <t>ASTMA322 4140</t>
  </si>
  <si>
    <t>SSB 26</t>
  </si>
  <si>
    <t>AIAI H13</t>
  </si>
  <si>
    <t>OF((MEDAK)</t>
  </si>
  <si>
    <t>EN 2E</t>
  </si>
  <si>
    <t>817M40</t>
  </si>
  <si>
    <t>EN 9</t>
  </si>
  <si>
    <t>15CR13</t>
  </si>
  <si>
    <t>30XrCA-3A</t>
  </si>
  <si>
    <t>OF(TRICHEY)</t>
  </si>
  <si>
    <t>SUBTOTAL</t>
  </si>
  <si>
    <t>25-01-2026</t>
  </si>
  <si>
    <t>1060253003/3002/3801/4602</t>
  </si>
  <si>
    <t>1060253002/4801/4802/4602</t>
  </si>
  <si>
    <t>1060253801/4601/4602</t>
  </si>
  <si>
    <t>1060254602/4801</t>
  </si>
  <si>
    <t>1060253002/4602</t>
  </si>
  <si>
    <t>ABP OF IMP  ELEMENTS Last  5 Years</t>
  </si>
  <si>
    <t xml:space="preserve">ABP  </t>
  </si>
  <si>
    <t>29/072020</t>
  </si>
  <si>
    <t>710TO</t>
  </si>
  <si>
    <t>662TON</t>
  </si>
  <si>
    <t>675TON</t>
  </si>
  <si>
    <t>698TON</t>
  </si>
  <si>
    <t>702TON</t>
  </si>
  <si>
    <t>747TON</t>
  </si>
  <si>
    <t>768TON</t>
  </si>
  <si>
    <t>664TON</t>
  </si>
  <si>
    <t>730TON</t>
  </si>
  <si>
    <t>738TON</t>
  </si>
  <si>
    <t>802TON</t>
  </si>
  <si>
    <t>646TON</t>
  </si>
  <si>
    <t>742TON</t>
  </si>
  <si>
    <t>672TON</t>
  </si>
  <si>
    <t>645TON</t>
  </si>
  <si>
    <t>27/072024</t>
  </si>
  <si>
    <t>754TON</t>
  </si>
  <si>
    <t>791TON</t>
  </si>
  <si>
    <t>DETAILS OF DAILY DESPATCH MORE THAN 640TON</t>
  </si>
  <si>
    <t>9Heats</t>
  </si>
  <si>
    <t>BSP NVD rel</t>
  </si>
  <si>
    <t>DSP NVDREL</t>
  </si>
  <si>
    <t>SMS FUEL</t>
  </si>
  <si>
    <t>3,4,10,11,12,21</t>
  </si>
  <si>
    <t>21.02.2026</t>
  </si>
  <si>
    <t>675/196</t>
  </si>
  <si>
    <t>903TON</t>
  </si>
  <si>
    <t>QUARTER-WISE LIQUID AND CRUDE 22-23</t>
  </si>
  <si>
    <t>QUARTER-WISE SAL &amp; DESP.22-23</t>
  </si>
  <si>
    <t>QUARTER-WISE LIQUID AND CRUDE24-25</t>
  </si>
  <si>
    <t>QUARTER-WISE SAL &amp; DESP24-25</t>
  </si>
  <si>
    <t>QUARTER-WISE LIQUID AND CRUDE23-24</t>
  </si>
  <si>
    <t>QUARTER-WISE SAL &amp; DESP 23-24</t>
  </si>
  <si>
    <t>QUARTER-WISE LIQUID AND CRUDE 21-22</t>
  </si>
  <si>
    <t>QUARTER-WISE SAL &amp; DESP.21-22</t>
  </si>
  <si>
    <t>17,18,19,22,24</t>
  </si>
  <si>
    <t>MRCH'25</t>
  </si>
  <si>
    <t>DETAILS OF MSF DESPATCH DURING 2024-25</t>
  </si>
  <si>
    <t>DETAILS OF MSF DESPATCH DURING 2023-24</t>
  </si>
  <si>
    <t>DETAILS OF MSF DESPATCH DURING 2025-26</t>
  </si>
  <si>
    <t>MRCH'24</t>
  </si>
  <si>
    <t>DETAILS OF MSF DESPATCH DURING 2022-23</t>
  </si>
  <si>
    <t>MRCH23</t>
  </si>
  <si>
    <t>DETAILS OF MSF DESPATCH DURING2021-22</t>
  </si>
  <si>
    <t>MRCH22</t>
  </si>
  <si>
    <t>DETAILS OF MSF DESPATCH DURING2020-21</t>
  </si>
  <si>
    <t xml:space="preserve">DETAILS OF MONTHWISE DESPATCH TO RAIL WHEEL &amp;  DEFENCE IN 2020-21 </t>
  </si>
  <si>
    <t xml:space="preserve">RWF </t>
  </si>
  <si>
    <t>SSF44</t>
  </si>
  <si>
    <t>DEF TOTAL</t>
  </si>
  <si>
    <t>DETAILS OF MONTHWISE DESPATCH TO RAIL WHEEL &amp;  DEFENCE IN 2021-22</t>
  </si>
  <si>
    <t xml:space="preserve">DSP </t>
  </si>
  <si>
    <t>DETAILS OF MONTHWISE DESPATCH TO RAIL WHEEL &amp;  DEFENCE IN 2022-23</t>
  </si>
  <si>
    <t>DETAILS OF MONTHWISE DESPATCH TO RAIL WHEEL &amp;  DEFENCE IN 2023-24</t>
  </si>
  <si>
    <t>ADVANCE WEAPON</t>
  </si>
  <si>
    <t>C60</t>
  </si>
  <si>
    <t>23,26</t>
  </si>
  <si>
    <t>DETAILS OF MONTHWISE DESPATCH TO RAIL WHEEL &amp;  DEFENCE IN 2024-25</t>
  </si>
  <si>
    <t>DETAILS OF MONTHWISE DESPATCH TO RAIL WHEEL &amp;  DEFENCE IN2025-26</t>
  </si>
  <si>
    <t>SSF30</t>
  </si>
  <si>
    <t>28.02.2026</t>
  </si>
  <si>
    <t>621T/170</t>
  </si>
  <si>
    <t>March'26</t>
  </si>
  <si>
    <t>UPTO FRB'26</t>
  </si>
  <si>
    <t>8 Heats</t>
  </si>
  <si>
    <t>3,4,11,12,19</t>
  </si>
  <si>
    <t>1,7,8,10,13,16,17,20,23,24,25</t>
  </si>
  <si>
    <t>YR WISE DESP</t>
  </si>
  <si>
    <t>DSP WAGON</t>
  </si>
  <si>
    <t>RWF WAG</t>
  </si>
  <si>
    <t>ROAD DESP</t>
  </si>
  <si>
    <t xml:space="preserve"> DSPWAGON</t>
  </si>
  <si>
    <t>2025-26 FEB'26</t>
  </si>
  <si>
    <t>March'25</t>
  </si>
  <si>
    <t>Monthly best in last 10year</t>
  </si>
  <si>
    <t>April'23</t>
  </si>
  <si>
    <t>June'23</t>
  </si>
  <si>
    <t>May'25</t>
  </si>
  <si>
    <t>Oct'25</t>
  </si>
  <si>
    <t>Jan'25</t>
  </si>
  <si>
    <t>Feb'25</t>
  </si>
  <si>
    <t>June'14</t>
  </si>
  <si>
    <t>july'25</t>
  </si>
  <si>
    <t>Dec'24</t>
  </si>
  <si>
    <t>Nov'19</t>
  </si>
  <si>
    <t>jan'25</t>
  </si>
  <si>
    <t>Feb"25</t>
  </si>
  <si>
    <t>BBM CH wt</t>
  </si>
  <si>
    <t>July'19</t>
  </si>
  <si>
    <t>Nov'24</t>
  </si>
  <si>
    <t>max</t>
  </si>
  <si>
    <t>ABP25-26</t>
  </si>
  <si>
    <t>2026-27</t>
  </si>
  <si>
    <t>25-26PRODUCITON (T)</t>
  </si>
  <si>
    <t>PRODUCTION PERFORMANCE: 2026-27</t>
  </si>
  <si>
    <t>26-27</t>
  </si>
  <si>
    <t>H1 26-27</t>
  </si>
  <si>
    <t>APRIL'26</t>
  </si>
  <si>
    <t>119334/31663</t>
  </si>
  <si>
    <t>MAR'26</t>
  </si>
  <si>
    <t>602/182</t>
  </si>
  <si>
    <t>ANNUAL BUSINESS PLAN 2026-27</t>
  </si>
  <si>
    <t>CC PRODUCTION</t>
  </si>
  <si>
    <t>april'25</t>
  </si>
  <si>
    <t>june'25</t>
  </si>
  <si>
    <t>AISI 410</t>
  </si>
  <si>
    <t>AISI 420M</t>
  </si>
  <si>
    <t>AISI 409M</t>
  </si>
  <si>
    <t>AISI 410M</t>
  </si>
  <si>
    <t>YEAR WISE SALEABLE OF 400 SERIES STN GRADES</t>
  </si>
  <si>
    <t>product</t>
  </si>
  <si>
    <t>BD/FRG</t>
  </si>
  <si>
    <t>SPADE M1/JKL FRG</t>
  </si>
  <si>
    <t>PLATES(HF-MN)</t>
  </si>
  <si>
    <t>PLATES(OTHERS)</t>
  </si>
  <si>
    <t>DSP INGOT-ASP</t>
  </si>
  <si>
    <t>NVD CCB</t>
  </si>
  <si>
    <t>EN 19/20MNCR5</t>
  </si>
  <si>
    <t>saleable24-25</t>
  </si>
  <si>
    <t>Despatch 24-25</t>
  </si>
  <si>
    <t>sal 23-24</t>
  </si>
  <si>
    <t>desp 23-24</t>
  </si>
  <si>
    <t>708/204</t>
  </si>
  <si>
    <t>608/172</t>
  </si>
  <si>
    <t>2,8,9,23,24,28</t>
  </si>
  <si>
    <t>619/207</t>
  </si>
  <si>
    <t>15,16,25,26</t>
  </si>
  <si>
    <t>01-05-26</t>
  </si>
  <si>
    <t>MONTHWISE SIZE WISE RELEASE(2026-27)</t>
  </si>
  <si>
    <t>JUNE'26</t>
  </si>
  <si>
    <t>April'26</t>
  </si>
  <si>
    <t>TARGET FOR BALANCE PERIOD OF THE MONTH TO MEET ABP FOR THE MONTH OF MAY'26</t>
  </si>
  <si>
    <t xml:space="preserve">  PERFORMANCE FOR  PERIOD  UPTO  MAY'26</t>
  </si>
  <si>
    <t>MAY'26</t>
  </si>
  <si>
    <t>MONTH WISE RECEIPT OF HOT METAL SPCL INGOT ,&amp; BRC-2026-27 FROM DSP</t>
  </si>
  <si>
    <t>CRUDE &gt; 10000 TON SINCE 2014</t>
  </si>
  <si>
    <t>BBM CHARGE  WT &gt; 10000 TON SINCE 2014</t>
  </si>
  <si>
    <t>AUG'14</t>
  </si>
  <si>
    <t>MONTH-WISE DETAILS OF SALEABLE STEEL SINCE 2014-15 (MORE THAN 10000 TON</t>
  </si>
  <si>
    <t>MONTH-WISE DETAILS OFCRUDE &amp; BBM CH WEIGHTSINCE 2014-15 (MORE THAN 10000 TON</t>
  </si>
  <si>
    <t xml:space="preserve"> UNIT WISELIQUID 25-26</t>
  </si>
  <si>
    <t>603/177</t>
  </si>
  <si>
    <t>MONTH-WISE PRODUCTION 26-27</t>
  </si>
  <si>
    <t>May'26</t>
  </si>
  <si>
    <t>DETAILS OF MONTHWISE DESPATCH TO RAIL WHEEL &amp;  DEFENCE IN2026-27</t>
  </si>
  <si>
    <t>YEAR WISE CARRIAL WISE DESPATCH TO RAIL WHEEL FACTORY</t>
  </si>
  <si>
    <t>2026-27 till dt</t>
  </si>
  <si>
    <t>BY RAIL</t>
  </si>
  <si>
    <t>BY ROAD</t>
  </si>
  <si>
    <t>MARCHG'26</t>
  </si>
  <si>
    <t>2026-27 (T)</t>
  </si>
  <si>
    <t>CCB RECPT(TON)DSPC20/R16</t>
  </si>
  <si>
    <t>MONTHLY BEST  FOR</t>
  </si>
  <si>
    <t>FEB'</t>
  </si>
  <si>
    <t>14,26,27</t>
  </si>
  <si>
    <t>DESPA</t>
  </si>
  <si>
    <t>CUMM 26-27</t>
  </si>
  <si>
    <t>Feb</t>
  </si>
  <si>
    <t>Apr</t>
  </si>
  <si>
    <t>May</t>
  </si>
  <si>
    <t>Jun</t>
  </si>
  <si>
    <t>Jul</t>
  </si>
  <si>
    <t>Aug</t>
  </si>
  <si>
    <t>Sep</t>
  </si>
  <si>
    <t>Nov</t>
  </si>
  <si>
    <t>Dec</t>
  </si>
  <si>
    <t>Jan</t>
  </si>
  <si>
    <t>Mar</t>
  </si>
  <si>
    <t>Apr'26</t>
  </si>
  <si>
    <t>8 hts or more:</t>
  </si>
  <si>
    <t>9hts or more</t>
  </si>
  <si>
    <t>CR#6</t>
  </si>
  <si>
    <t>CR. MAINT.</t>
  </si>
  <si>
    <t>653/190</t>
  </si>
  <si>
    <t>12.23,28,29,30</t>
  </si>
  <si>
    <t>31/05/2026</t>
  </si>
  <si>
    <t>01-06-26</t>
  </si>
  <si>
    <t>01.06.2026</t>
  </si>
  <si>
    <t>12:15 HRS</t>
  </si>
  <si>
    <t>13:15 HRS</t>
  </si>
  <si>
    <t>1 HR</t>
  </si>
  <si>
    <t>AUXILIARY HOIST UP-DOWN PROBLEM, RECTIFIED.</t>
  </si>
  <si>
    <t>CR#93</t>
  </si>
  <si>
    <t>13:00 HRS</t>
  </si>
  <si>
    <t>20:40 HRS</t>
  </si>
  <si>
    <t>7 HRS 40 MIN.</t>
  </si>
  <si>
    <t>BEARING DAMAGED, RECTIFIED.</t>
  </si>
  <si>
    <t>18:45 HRS</t>
  </si>
  <si>
    <t>19:45 HRS</t>
  </si>
  <si>
    <t>SMS OPERATION</t>
  </si>
  <si>
    <t>ROOF CHANGED.</t>
  </si>
  <si>
    <t>CR#5</t>
  </si>
  <si>
    <t>17:10 HRS</t>
  </si>
  <si>
    <t>20 HRS</t>
  </si>
  <si>
    <t>2 HRS 50 MIN</t>
  </si>
  <si>
    <t>A.C . DOWN, RECTIFIED.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</si>
</sst>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_)"/>
    <numFmt numFmtId="167" formatCode="0.00_)"/>
    <numFmt numFmtId="168" formatCode="0.000"/>
    <numFmt numFmtId="169" formatCode="dd/mm/yyyy;@"/>
    <numFmt numFmtId="170" formatCode="0.000_)"/>
    <numFmt numFmtId="171" formatCode="0.0"/>
    <numFmt numFmtId="172" formatCode="0.00000"/>
    <numFmt numFmtId="173" formatCode="_(* #,##0_);_(* \(#,##0\);_(* &quot;-&quot;??_);_(@_)"/>
    <numFmt numFmtId="174" formatCode="0.0000"/>
    <numFmt numFmtId="175" formatCode="[$-14009]dd/mm/yy;@"/>
    <numFmt numFmtId="176" formatCode="0.0_)"/>
    <numFmt numFmtId="177" formatCode="0.000000000000"/>
    <numFmt numFmtId="178" formatCode="[$-F800]dddd\,\ mmmm\ dd\,\ yyyy"/>
  </numFmts>
  <fonts count="196"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b/>
      <sz val="10"/>
      <name val="Microsoft Sans Serif"/>
      <family val="2"/>
    </font>
    <font>
      <sz val="10"/>
      <name val="Microsoft Sans Serif"/>
      <family val="2"/>
    </font>
    <font>
      <sz val="13.5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0"/>
      <name val="Arial"/>
      <family val="2"/>
    </font>
    <font>
      <b/>
      <sz val="10.5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2"/>
      <name val="Arial"/>
      <family val="2"/>
    </font>
    <font>
      <b/>
      <sz val="19"/>
      <name val="Arial"/>
      <family val="2"/>
    </font>
    <font>
      <b/>
      <sz val="19"/>
      <name val="Courier"/>
      <family val="3"/>
    </font>
    <font>
      <b/>
      <sz val="19"/>
      <name val="Cooper Black"/>
      <family val="1"/>
    </font>
    <font>
      <b/>
      <sz val="9"/>
      <color indexed="60"/>
      <name val="Arial"/>
      <family val="2"/>
    </font>
    <font>
      <b/>
      <sz val="16"/>
      <name val="Courier"/>
      <family val="3"/>
    </font>
    <font>
      <b/>
      <sz val="20"/>
      <name val="Arial"/>
      <family val="2"/>
    </font>
    <font>
      <sz val="11"/>
      <name val="Arial"/>
      <family val="2"/>
    </font>
    <font>
      <b/>
      <sz val="10"/>
      <name val="Courier"/>
      <family val="3"/>
    </font>
    <font>
      <b/>
      <i/>
      <sz val="12"/>
      <name val="Arial"/>
      <family val="2"/>
    </font>
    <font>
      <sz val="20"/>
      <name val="Arial"/>
      <family val="2"/>
    </font>
    <font>
      <b/>
      <sz val="20"/>
      <name val="Courier"/>
      <family val="3"/>
    </font>
    <font>
      <b/>
      <i/>
      <sz val="20"/>
      <name val="Arial"/>
      <family val="2"/>
    </font>
    <font>
      <b/>
      <i/>
      <sz val="16"/>
      <name val="Arial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7"/>
      <name val="Arial"/>
      <family val="2"/>
    </font>
    <font>
      <b/>
      <i/>
      <sz val="18"/>
      <name val="Arial"/>
      <family val="2"/>
    </font>
    <font>
      <b/>
      <sz val="18"/>
      <name val="Cooper Black"/>
      <family val="1"/>
    </font>
    <font>
      <b/>
      <sz val="18"/>
      <name val="Courier"/>
      <family val="3"/>
    </font>
    <font>
      <b/>
      <sz val="15"/>
      <name val="Courier"/>
      <family val="3"/>
    </font>
    <font>
      <b/>
      <i/>
      <sz val="17"/>
      <name val="Arial"/>
      <family val="2"/>
    </font>
    <font>
      <sz val="22"/>
      <name val="Arial"/>
      <family val="2"/>
    </font>
    <font>
      <sz val="9"/>
      <name val="Arial"/>
      <family val="2"/>
    </font>
    <font>
      <sz val="12"/>
      <color indexed="12"/>
      <name val="Book Antiqua"/>
      <family val="1"/>
    </font>
    <font>
      <b/>
      <sz val="14"/>
      <name val="Mangal"/>
      <family val="3"/>
    </font>
    <font>
      <b/>
      <sz val="14"/>
      <name val="Times New Roman"/>
      <family val="1"/>
    </font>
    <font>
      <b/>
      <sz val="12"/>
      <name val="Mangal"/>
      <family val="3"/>
    </font>
    <font>
      <b/>
      <sz val="14"/>
      <color indexed="8"/>
      <name val="Arial"/>
      <family val="2"/>
    </font>
    <font>
      <b/>
      <sz val="17"/>
      <color indexed="8"/>
      <name val="Arial"/>
      <family val="2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4.5"/>
      <name val="Arial"/>
      <family val="2"/>
    </font>
    <font>
      <b/>
      <i/>
      <u/>
      <sz val="14"/>
      <name val="Arial"/>
      <family val="2"/>
    </font>
    <font>
      <b/>
      <sz val="14"/>
      <color indexed="10"/>
      <name val="Arial"/>
      <family val="2"/>
    </font>
    <font>
      <b/>
      <sz val="15"/>
      <name val="Arial"/>
      <family val="2"/>
    </font>
    <font>
      <b/>
      <sz val="15.5"/>
      <name val="Berlin Sans FB Demi"/>
      <family val="2"/>
    </font>
    <font>
      <sz val="15.5"/>
      <name val="Berlin Sans FB Demi"/>
      <family val="2"/>
    </font>
    <font>
      <b/>
      <sz val="12.5"/>
      <name val="Arial"/>
      <family val="2"/>
    </font>
    <font>
      <sz val="12.5"/>
      <name val="Arial"/>
      <family val="2"/>
    </font>
    <font>
      <b/>
      <i/>
      <sz val="12.5"/>
      <name val="Arial"/>
      <family val="2"/>
    </font>
    <font>
      <b/>
      <u/>
      <sz val="14"/>
      <color indexed="48"/>
      <name val="Arial"/>
      <family val="2"/>
    </font>
    <font>
      <b/>
      <u/>
      <sz val="12"/>
      <color indexed="61"/>
      <name val="Arial"/>
      <family val="2"/>
    </font>
    <font>
      <b/>
      <u/>
      <sz val="11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1"/>
      <color indexed="8"/>
      <name val="Calibri"/>
      <family val="2"/>
    </font>
    <font>
      <b/>
      <u/>
      <sz val="20"/>
      <name val="Arial"/>
      <family val="2"/>
    </font>
    <font>
      <b/>
      <sz val="20"/>
      <name val="Arial Black"/>
      <family val="2"/>
    </font>
    <font>
      <b/>
      <i/>
      <sz val="22"/>
      <name val="Arial"/>
      <family val="2"/>
    </font>
    <font>
      <b/>
      <i/>
      <u/>
      <sz val="20"/>
      <name val="Arial"/>
      <family val="2"/>
    </font>
    <font>
      <b/>
      <sz val="20"/>
      <name val="Calibri"/>
      <family val="2"/>
    </font>
    <font>
      <sz val="20"/>
      <name val="Calibri"/>
      <family val="2"/>
    </font>
    <font>
      <b/>
      <sz val="14"/>
      <color indexed="8"/>
      <name val="Courier"/>
      <family val="3"/>
    </font>
    <font>
      <sz val="14"/>
      <color indexed="12"/>
      <name val="Courier"/>
      <family val="3"/>
    </font>
    <font>
      <b/>
      <sz val="14"/>
      <name val="Courier"/>
      <family val="3"/>
    </font>
    <font>
      <b/>
      <sz val="22"/>
      <name val="Arial"/>
      <family val="2"/>
    </font>
    <font>
      <b/>
      <i/>
      <sz val="14"/>
      <name val="Arial"/>
      <family val="2"/>
    </font>
    <font>
      <b/>
      <sz val="14"/>
      <color indexed="12"/>
      <name val="Courier"/>
      <family val="3"/>
    </font>
    <font>
      <i/>
      <sz val="18"/>
      <name val="Arial"/>
      <family val="2"/>
    </font>
    <font>
      <sz val="14"/>
      <color indexed="10"/>
      <name val="Arial"/>
      <family val="2"/>
    </font>
    <font>
      <b/>
      <sz val="18"/>
      <color indexed="10"/>
      <name val="Arial"/>
      <family val="2"/>
    </font>
    <font>
      <b/>
      <sz val="14"/>
      <name val="Arial Rounded MT Bold"/>
      <family val="2"/>
    </font>
    <font>
      <b/>
      <sz val="13"/>
      <name val="Arial"/>
      <family val="2"/>
    </font>
    <font>
      <b/>
      <sz val="13.5"/>
      <name val="Arial"/>
      <family val="2"/>
    </font>
    <font>
      <b/>
      <u/>
      <sz val="13"/>
      <name val="Arial"/>
      <family val="2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b/>
      <sz val="14"/>
      <color indexed="17"/>
      <name val="Arial"/>
      <family val="2"/>
    </font>
    <font>
      <b/>
      <sz val="14"/>
      <color indexed="57"/>
      <name val="Arial"/>
      <family val="2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theme="1"/>
      <name val="Times New Roman"/>
      <family val="1"/>
    </font>
    <font>
      <b/>
      <i/>
      <u/>
      <sz val="1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8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Arial"/>
      <family val="2"/>
    </font>
    <font>
      <b/>
      <sz val="9"/>
      <color rgb="FF000000"/>
      <name val="Calibri"/>
      <family val="2"/>
    </font>
    <font>
      <b/>
      <sz val="17"/>
      <color rgb="FFFF0000"/>
      <name val="Arial"/>
      <family val="2"/>
    </font>
    <font>
      <b/>
      <sz val="15"/>
      <color rgb="FFFF0000"/>
      <name val="Arial"/>
      <family val="2"/>
    </font>
    <font>
      <b/>
      <i/>
      <sz val="17"/>
      <color rgb="FFFF0000"/>
      <name val="Arial"/>
      <family val="2"/>
    </font>
    <font>
      <sz val="17"/>
      <color rgb="FFFF0000"/>
      <name val="Arial"/>
      <family val="2"/>
    </font>
    <font>
      <b/>
      <sz val="10"/>
      <color rgb="FF000000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33CC"/>
      <name val="Arial"/>
      <family val="2"/>
    </font>
    <font>
      <sz val="10"/>
      <color rgb="FF222222"/>
      <name val="Arial"/>
      <family val="2"/>
    </font>
    <font>
      <b/>
      <sz val="10"/>
      <color rgb="FF000000"/>
      <name val="Microsoft Sans Serif"/>
      <family val="2"/>
    </font>
    <font>
      <sz val="10"/>
      <color rgb="FF000000"/>
      <name val="Microsoft Sans Serif"/>
      <family val="2"/>
    </font>
    <font>
      <sz val="12"/>
      <color rgb="FF000000"/>
      <name val="Microsoft Sans Serif"/>
      <family val="2"/>
    </font>
    <font>
      <b/>
      <sz val="14"/>
      <color rgb="FF000000"/>
      <name val="Arial Narrow"/>
      <family val="2"/>
    </font>
    <font>
      <b/>
      <i/>
      <u/>
      <sz val="14"/>
      <color rgb="FFFF0000"/>
      <name val="Arial"/>
      <family val="2"/>
    </font>
    <font>
      <b/>
      <sz val="14"/>
      <color rgb="FF002060"/>
      <name val="Arial"/>
      <family val="2"/>
    </font>
    <font>
      <b/>
      <sz val="8"/>
      <color rgb="FFFF0000"/>
      <name val="Arial"/>
      <family val="2"/>
    </font>
    <font>
      <b/>
      <sz val="14"/>
      <color rgb="FF0070C0"/>
      <name val="Arial"/>
      <family val="2"/>
    </font>
    <font>
      <b/>
      <i/>
      <sz val="14"/>
      <color rgb="FFFF0000"/>
      <name val="Arial"/>
      <family val="2"/>
    </font>
    <font>
      <b/>
      <sz val="10"/>
      <color rgb="FF00B050"/>
      <name val="Arial"/>
      <family val="2"/>
    </font>
    <font>
      <b/>
      <sz val="20"/>
      <color rgb="FF000000"/>
      <name val="Calibri"/>
      <family val="2"/>
    </font>
    <font>
      <b/>
      <sz val="20"/>
      <color rgb="FF000000"/>
      <name val="Arial"/>
      <family val="2"/>
    </font>
    <font>
      <b/>
      <sz val="24"/>
      <color rgb="FF7030A0"/>
      <name val="Calibri"/>
      <family val="2"/>
    </font>
    <font>
      <b/>
      <sz val="24"/>
      <color rgb="FF000099"/>
      <name val="Calibri"/>
      <family val="2"/>
    </font>
    <font>
      <b/>
      <sz val="24"/>
      <color rgb="FF000000"/>
      <name val="Calibri"/>
      <family val="2"/>
    </font>
    <font>
      <b/>
      <sz val="45"/>
      <color rgb="FF0070C0"/>
      <name val="Elephant"/>
      <family val="1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color rgb="FF000000"/>
      <name val="Segoe UI"/>
      <family val="2"/>
    </font>
    <font>
      <b/>
      <sz val="18.5"/>
      <color rgb="FF000000"/>
      <name val="Arial Narrow"/>
      <family val="2"/>
    </font>
    <font>
      <b/>
      <sz val="20"/>
      <color rgb="FF7030A0"/>
      <name val="Calibri"/>
      <family val="2"/>
    </font>
    <font>
      <b/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u/>
      <sz val="11"/>
      <color rgb="FF0000FF"/>
      <name val="Calibri"/>
      <family val="2"/>
    </font>
    <font>
      <sz val="14"/>
      <color rgb="FFFF0000"/>
      <name val="Arial"/>
      <family val="2"/>
    </font>
    <font>
      <b/>
      <sz val="14"/>
      <color rgb="FFFF0000"/>
      <name val="Courier"/>
      <family val="3"/>
    </font>
    <font>
      <b/>
      <sz val="14"/>
      <color rgb="FFFF0000"/>
      <name val="Corbel"/>
      <family val="2"/>
    </font>
    <font>
      <b/>
      <i/>
      <sz val="14"/>
      <color rgb="FFFF0000"/>
      <name val="Courier"/>
      <family val="3"/>
    </font>
    <font>
      <b/>
      <sz val="14"/>
      <color rgb="FFFF0000"/>
      <name val="Arial Black"/>
      <family val="2"/>
    </font>
    <font>
      <b/>
      <i/>
      <sz val="18"/>
      <color rgb="FF00B050"/>
      <name val="Arial"/>
      <family val="2"/>
    </font>
    <font>
      <b/>
      <sz val="14"/>
      <color theme="4"/>
      <name val="Arial"/>
      <family val="2"/>
    </font>
    <font>
      <b/>
      <sz val="14"/>
      <color theme="5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i/>
      <u/>
      <sz val="16"/>
      <color rgb="FFFF0000"/>
      <name val="Arial"/>
      <family val="2"/>
    </font>
    <font>
      <b/>
      <sz val="16"/>
      <color theme="1"/>
      <name val="Times New Roman"/>
      <family val="1"/>
    </font>
    <font>
      <b/>
      <sz val="14"/>
      <color rgb="FF222222"/>
      <name val="Inherit"/>
      <family val="2"/>
    </font>
    <font>
      <b/>
      <i/>
      <u/>
      <sz val="16"/>
      <color rgb="FFFF0000"/>
      <name val="Calibri"/>
      <family val="2"/>
    </font>
    <font>
      <b/>
      <i/>
      <sz val="18"/>
      <color rgb="FFFF0000"/>
      <name val="Arial"/>
      <family val="2"/>
    </font>
    <font>
      <sz val="18"/>
      <color rgb="FFFF0000"/>
      <name val="Arial"/>
      <family val="2"/>
    </font>
    <font>
      <b/>
      <u/>
      <sz val="18"/>
      <name val="Arial"/>
      <family val="2"/>
    </font>
    <font>
      <b/>
      <sz val="18"/>
      <name val="Arial Black"/>
      <family val="2"/>
    </font>
    <font>
      <b/>
      <sz val="12"/>
      <color rgb="FF00B050"/>
      <name val="Arial"/>
      <family val="2"/>
    </font>
    <font>
      <b/>
      <sz val="16"/>
      <color rgb="FF00B050"/>
      <name val="Courier"/>
      <family val="3"/>
    </font>
    <font>
      <b/>
      <i/>
      <sz val="12"/>
      <color rgb="FF00B05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4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0504D"/>
      </left>
      <right style="thin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medium">
        <color rgb="FFC0504D"/>
      </bottom>
      <diagonal/>
    </border>
    <border>
      <left style="thin">
        <color rgb="FF46AAC5"/>
      </left>
      <right style="thin">
        <color rgb="FF46AAC5"/>
      </right>
      <top style="thin">
        <color rgb="FF46AAC5"/>
      </top>
      <bottom style="thin">
        <color rgb="FF46AAC5"/>
      </bottom>
      <diagonal/>
    </border>
    <border>
      <left style="thin">
        <color rgb="FFBE4B48"/>
      </left>
      <right style="thin">
        <color rgb="FFBE4B48"/>
      </right>
      <top style="thin">
        <color rgb="FFBE4B48"/>
      </top>
      <bottom style="thin">
        <color rgb="FFBE4B48"/>
      </bottom>
      <diagonal/>
    </border>
    <border>
      <left style="thin">
        <color rgb="FFBE4B48"/>
      </left>
      <right style="thin">
        <color rgb="FFBE4B48"/>
      </right>
      <top style="thin">
        <color rgb="FFBE4B48"/>
      </top>
      <bottom/>
      <diagonal/>
    </border>
    <border>
      <left style="thin">
        <color rgb="FFBE4B48"/>
      </left>
      <right style="thin">
        <color rgb="FFBE4B48"/>
      </right>
      <top/>
      <bottom/>
      <diagonal/>
    </border>
    <border>
      <left style="thin">
        <color rgb="FFBE4B48"/>
      </left>
      <right style="thin">
        <color rgb="FFBE4B48"/>
      </right>
      <top/>
      <bottom style="thin">
        <color rgb="FFBE4B48"/>
      </bottom>
      <diagonal/>
    </border>
    <border>
      <left style="thin">
        <color rgb="FF46AAC5"/>
      </left>
      <right style="thin">
        <color rgb="FF46AAC5"/>
      </right>
      <top style="thin">
        <color rgb="FF46AAC5"/>
      </top>
      <bottom/>
      <diagonal/>
    </border>
    <border>
      <left style="thin">
        <color rgb="FF46AAC5"/>
      </left>
      <right style="thin">
        <color rgb="FF46AAC5"/>
      </right>
      <top/>
      <bottom style="thin">
        <color rgb="FF46AAC5"/>
      </bottom>
      <diagonal/>
    </border>
    <border>
      <left style="thin">
        <color rgb="FF46AAC5"/>
      </left>
      <right style="thin">
        <color rgb="FF46AAC5"/>
      </right>
      <top/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rgb="FF95B3D7"/>
      </top>
      <bottom style="thin">
        <color rgb="FF95B3D7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/>
      <diagonal/>
    </border>
    <border>
      <left style="medium">
        <color rgb="FFC0504D"/>
      </left>
      <right style="medium">
        <color rgb="FFC0504D"/>
      </right>
      <top/>
      <bottom style="medium">
        <color rgb="FFC0504D"/>
      </bottom>
      <diagonal/>
    </border>
    <border>
      <left style="medium">
        <color rgb="FFC0504D"/>
      </left>
      <right style="thin">
        <color rgb="FFC0504D"/>
      </right>
      <top style="medium">
        <color rgb="FFC0504D"/>
      </top>
      <bottom style="thin">
        <color rgb="FFC0504D"/>
      </bottom>
      <diagonal/>
    </border>
    <border>
      <left style="medium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medium">
        <color rgb="FFC0504D"/>
      </left>
      <right style="thin">
        <color rgb="FFC0504D"/>
      </right>
      <top style="thin">
        <color rgb="FFC0504D"/>
      </top>
      <bottom style="medium">
        <color rgb="FFC0504D"/>
      </bottom>
      <diagonal/>
    </border>
    <border>
      <left style="medium">
        <color rgb="FFC0504D"/>
      </left>
      <right/>
      <top/>
      <bottom style="medium">
        <color rgb="FFC0504D"/>
      </bottom>
      <diagonal/>
    </border>
    <border>
      <left/>
      <right/>
      <top/>
      <bottom style="medium">
        <color rgb="FFC0504D"/>
      </bottom>
      <diagonal/>
    </border>
    <border>
      <left style="thin">
        <color rgb="FFC0504D"/>
      </left>
      <right style="medium">
        <color rgb="FFC0504D"/>
      </right>
      <top style="medium">
        <color rgb="FFC0504D"/>
      </top>
      <bottom style="thin">
        <color rgb="FFC0504D"/>
      </bottom>
      <diagonal/>
    </border>
    <border>
      <left style="thin">
        <color rgb="FFC0504D"/>
      </left>
      <right style="medium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C0504D"/>
      </left>
      <right style="medium">
        <color rgb="FFC0504D"/>
      </right>
      <top style="thin">
        <color rgb="FFC0504D"/>
      </top>
      <bottom style="medium">
        <color rgb="FFC0504D"/>
      </bottom>
      <diagonal/>
    </border>
    <border>
      <left/>
      <right style="medium">
        <color rgb="FFC0504D"/>
      </right>
      <top/>
      <bottom style="medium">
        <color rgb="FFC0504D"/>
      </bottom>
      <diagonal/>
    </border>
    <border>
      <left style="medium">
        <color indexed="64"/>
      </left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 style="medium">
        <color indexed="64"/>
      </top>
      <bottom style="medium">
        <color rgb="FFC0504D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42">
    <xf numFmtId="0" fontId="0" fillId="0" borderId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2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4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7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5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11" borderId="0" applyNumberFormat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94" fillId="4" borderId="0" applyNumberFormat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318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4" xfId="0" applyFont="1" applyBorder="1"/>
    <xf numFmtId="0" fontId="2" fillId="0" borderId="4" xfId="0" applyFont="1" applyBorder="1"/>
    <xf numFmtId="1" fontId="2" fillId="0" borderId="4" xfId="0" applyNumberFormat="1" applyFont="1" applyBorder="1"/>
    <xf numFmtId="0" fontId="0" fillId="0" borderId="4" xfId="0" applyBorder="1"/>
    <xf numFmtId="0" fontId="2" fillId="0" borderId="0" xfId="0" applyFont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4" xfId="0" applyBorder="1" applyAlignment="1">
      <alignment horizontal="center"/>
    </xf>
    <xf numFmtId="0" fontId="0" fillId="0" borderId="11" xfId="0" applyBorder="1"/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5" xfId="0" applyBorder="1"/>
    <xf numFmtId="0" fontId="8" fillId="0" borderId="3" xfId="0" applyFont="1" applyBorder="1" applyAlignment="1">
      <alignment horizontal="left"/>
    </xf>
    <xf numFmtId="166" fontId="8" fillId="0" borderId="4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0" fillId="0" borderId="13" xfId="0" applyBorder="1"/>
    <xf numFmtId="0" fontId="6" fillId="0" borderId="5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167" fontId="6" fillId="0" borderId="4" xfId="0" applyNumberFormat="1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2" fontId="6" fillId="0" borderId="5" xfId="0" applyNumberFormat="1" applyFont="1" applyBorder="1" applyAlignment="1">
      <alignment horizontal="center"/>
    </xf>
    <xf numFmtId="168" fontId="6" fillId="0" borderId="20" xfId="0" applyNumberFormat="1" applyFont="1" applyBorder="1" applyAlignment="1">
      <alignment horizontal="center"/>
    </xf>
    <xf numFmtId="168" fontId="6" fillId="0" borderId="27" xfId="0" applyNumberFormat="1" applyFont="1" applyBorder="1" applyAlignment="1">
      <alignment horizontal="center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center" vertical="center"/>
    </xf>
    <xf numFmtId="2" fontId="6" fillId="0" borderId="25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0" fontId="12" fillId="0" borderId="0" xfId="0" applyFont="1"/>
    <xf numFmtId="49" fontId="12" fillId="0" borderId="0" xfId="0" applyNumberFormat="1" applyFont="1"/>
    <xf numFmtId="0" fontId="13" fillId="0" borderId="0" xfId="0" applyFont="1"/>
    <xf numFmtId="49" fontId="13" fillId="0" borderId="0" xfId="0" applyNumberFormat="1" applyFont="1"/>
    <xf numFmtId="49" fontId="0" fillId="0" borderId="0" xfId="0" applyNumberFormat="1"/>
    <xf numFmtId="0" fontId="0" fillId="17" borderId="0" xfId="0" applyFill="1"/>
    <xf numFmtId="0" fontId="6" fillId="0" borderId="0" xfId="0" applyFont="1"/>
    <xf numFmtId="0" fontId="6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left"/>
    </xf>
    <xf numFmtId="1" fontId="6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1" fontId="6" fillId="0" borderId="30" xfId="0" applyNumberFormat="1" applyFont="1" applyBorder="1"/>
    <xf numFmtId="0" fontId="102" fillId="18" borderId="30" xfId="0" applyFont="1" applyFill="1" applyBorder="1" applyAlignment="1">
      <alignment horizontal="center"/>
    </xf>
    <xf numFmtId="0" fontId="6" fillId="0" borderId="30" xfId="0" applyFont="1" applyBorder="1"/>
    <xf numFmtId="0" fontId="6" fillId="0" borderId="13" xfId="0" applyFont="1" applyBorder="1"/>
    <xf numFmtId="0" fontId="6" fillId="0" borderId="31" xfId="0" applyFont="1" applyBorder="1"/>
    <xf numFmtId="2" fontId="6" fillId="0" borderId="31" xfId="0" applyNumberFormat="1" applyFont="1" applyBorder="1"/>
    <xf numFmtId="0" fontId="6" fillId="0" borderId="8" xfId="0" applyFont="1" applyBorder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 vertical="center"/>
    </xf>
    <xf numFmtId="0" fontId="0" fillId="0" borderId="21" xfId="0" applyBorder="1"/>
    <xf numFmtId="0" fontId="14" fillId="0" borderId="3" xfId="0" applyFont="1" applyBorder="1"/>
    <xf numFmtId="0" fontId="14" fillId="0" borderId="4" xfId="0" applyFont="1" applyBorder="1"/>
    <xf numFmtId="0" fontId="8" fillId="0" borderId="3" xfId="0" applyFont="1" applyBorder="1"/>
    <xf numFmtId="1" fontId="9" fillId="0" borderId="4" xfId="0" applyNumberFormat="1" applyFont="1" applyBorder="1" applyAlignment="1">
      <alignment horizontal="center" vertical="center"/>
    </xf>
    <xf numFmtId="0" fontId="8" fillId="0" borderId="24" xfId="0" applyFont="1" applyBorder="1"/>
    <xf numFmtId="1" fontId="9" fillId="0" borderId="25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4" fillId="0" borderId="5" xfId="0" applyFont="1" applyBorder="1"/>
    <xf numFmtId="1" fontId="9" fillId="0" borderId="5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10" xfId="0" applyBorder="1"/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24" xfId="0" applyFont="1" applyBorder="1"/>
    <xf numFmtId="0" fontId="6" fillId="0" borderId="25" xfId="0" applyFont="1" applyBorder="1"/>
    <xf numFmtId="0" fontId="105" fillId="0" borderId="0" xfId="0" applyFont="1" applyAlignment="1">
      <alignment vertical="center" wrapText="1"/>
    </xf>
    <xf numFmtId="14" fontId="106" fillId="0" borderId="0" xfId="0" applyNumberFormat="1" applyFont="1" applyAlignment="1">
      <alignment horizontal="right"/>
    </xf>
    <xf numFmtId="17" fontId="107" fillId="0" borderId="81" xfId="0" applyNumberFormat="1" applyFont="1" applyBorder="1" applyAlignment="1">
      <alignment vertical="center" wrapText="1"/>
    </xf>
    <xf numFmtId="0" fontId="105" fillId="0" borderId="81" xfId="0" applyFont="1" applyBorder="1" applyAlignment="1">
      <alignment vertical="center" wrapText="1"/>
    </xf>
    <xf numFmtId="0" fontId="108" fillId="19" borderId="4" xfId="0" applyFont="1" applyFill="1" applyBorder="1" applyAlignment="1">
      <alignment horizontal="left" vertical="center"/>
    </xf>
    <xf numFmtId="0" fontId="108" fillId="19" borderId="82" xfId="0" applyFont="1" applyFill="1" applyBorder="1" applyAlignment="1">
      <alignment horizontal="left" vertical="center" wrapText="1"/>
    </xf>
    <xf numFmtId="0" fontId="108" fillId="19" borderId="83" xfId="0" applyFont="1" applyFill="1" applyBorder="1" applyAlignment="1">
      <alignment horizontal="left" vertical="center" wrapText="1"/>
    </xf>
    <xf numFmtId="0" fontId="108" fillId="19" borderId="4" xfId="0" applyFont="1" applyFill="1" applyBorder="1" applyAlignment="1">
      <alignment horizontal="left" vertical="center" wrapText="1"/>
    </xf>
    <xf numFmtId="0" fontId="109" fillId="0" borderId="4" xfId="0" applyFont="1" applyBorder="1" applyAlignment="1">
      <alignment horizontal="center" vertical="center"/>
    </xf>
    <xf numFmtId="0" fontId="110" fillId="0" borderId="84" xfId="0" applyFont="1" applyBorder="1" applyAlignment="1">
      <alignment vertical="center" wrapText="1"/>
    </xf>
    <xf numFmtId="3" fontId="110" fillId="0" borderId="84" xfId="0" applyNumberFormat="1" applyFont="1" applyBorder="1" applyAlignment="1">
      <alignment vertical="center" wrapText="1"/>
    </xf>
    <xf numFmtId="0" fontId="110" fillId="0" borderId="81" xfId="0" applyFont="1" applyBorder="1" applyAlignment="1">
      <alignment vertical="center" wrapText="1"/>
    </xf>
    <xf numFmtId="0" fontId="110" fillId="0" borderId="4" xfId="0" applyFont="1" applyBorder="1" applyAlignment="1">
      <alignment vertical="center" wrapText="1"/>
    </xf>
    <xf numFmtId="0" fontId="111" fillId="0" borderId="0" xfId="0" applyFont="1" applyAlignment="1">
      <alignment vertical="center" wrapText="1"/>
    </xf>
    <xf numFmtId="0" fontId="110" fillId="0" borderId="20" xfId="0" applyFont="1" applyBorder="1" applyAlignment="1">
      <alignment vertical="center" wrapText="1"/>
    </xf>
    <xf numFmtId="0" fontId="0" fillId="19" borderId="4" xfId="0" applyFill="1" applyBorder="1" applyAlignment="1">
      <alignment horizontal="center"/>
    </xf>
    <xf numFmtId="0" fontId="112" fillId="19" borderId="84" xfId="0" applyFont="1" applyFill="1" applyBorder="1" applyAlignment="1">
      <alignment vertical="center" wrapText="1"/>
    </xf>
    <xf numFmtId="3" fontId="112" fillId="19" borderId="81" xfId="0" applyNumberFormat="1" applyFont="1" applyFill="1" applyBorder="1" applyAlignment="1">
      <alignment vertical="center" wrapText="1"/>
    </xf>
    <xf numFmtId="0" fontId="112" fillId="19" borderId="17" xfId="0" applyFont="1" applyFill="1" applyBorder="1" applyAlignment="1">
      <alignment vertical="center" wrapText="1"/>
    </xf>
    <xf numFmtId="0" fontId="112" fillId="19" borderId="4" xfId="0" applyFont="1" applyFill="1" applyBorder="1" applyAlignment="1">
      <alignment vertical="center" wrapText="1"/>
    </xf>
    <xf numFmtId="3" fontId="112" fillId="19" borderId="4" xfId="0" applyNumberFormat="1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6" fillId="0" borderId="12" xfId="0" applyFont="1" applyBorder="1"/>
    <xf numFmtId="0" fontId="6" fillId="0" borderId="5" xfId="0" applyFont="1" applyBorder="1"/>
    <xf numFmtId="0" fontId="6" fillId="0" borderId="26" xfId="0" applyFont="1" applyBorder="1"/>
    <xf numFmtId="0" fontId="0" fillId="20" borderId="0" xfId="0" applyFill="1"/>
    <xf numFmtId="0" fontId="105" fillId="20" borderId="0" xfId="0" applyFont="1" applyFill="1" applyAlignment="1">
      <alignment vertical="center" wrapText="1"/>
    </xf>
    <xf numFmtId="0" fontId="113" fillId="0" borderId="81" xfId="0" applyFont="1" applyBorder="1" applyAlignment="1">
      <alignment horizontal="right" vertical="center" wrapText="1"/>
    </xf>
    <xf numFmtId="0" fontId="114" fillId="0" borderId="0" xfId="0" applyFont="1" applyAlignment="1">
      <alignment horizontal="right"/>
    </xf>
    <xf numFmtId="0" fontId="115" fillId="19" borderId="4" xfId="0" applyFont="1" applyFill="1" applyBorder="1" applyAlignment="1">
      <alignment horizontal="left" vertical="center"/>
    </xf>
    <xf numFmtId="0" fontId="108" fillId="20" borderId="4" xfId="0" applyFont="1" applyFill="1" applyBorder="1" applyAlignment="1">
      <alignment horizontal="left" vertical="center"/>
    </xf>
    <xf numFmtId="0" fontId="108" fillId="20" borderId="4" xfId="0" applyFont="1" applyFill="1" applyBorder="1" applyAlignment="1">
      <alignment horizontal="left" vertical="center" wrapText="1"/>
    </xf>
    <xf numFmtId="0" fontId="111" fillId="20" borderId="34" xfId="0" applyFont="1" applyFill="1" applyBorder="1" applyAlignment="1">
      <alignment horizontal="center"/>
    </xf>
    <xf numFmtId="0" fontId="107" fillId="20" borderId="85" xfId="0" applyFont="1" applyFill="1" applyBorder="1" applyAlignment="1">
      <alignment vertical="center" wrapText="1"/>
    </xf>
    <xf numFmtId="0" fontId="107" fillId="20" borderId="34" xfId="0" applyFont="1" applyFill="1" applyBorder="1" applyAlignment="1">
      <alignment vertical="center" wrapText="1"/>
    </xf>
    <xf numFmtId="3" fontId="109" fillId="0" borderId="4" xfId="0" applyNumberFormat="1" applyFont="1" applyBorder="1"/>
    <xf numFmtId="3" fontId="109" fillId="20" borderId="4" xfId="0" applyNumberFormat="1" applyFont="1" applyFill="1" applyBorder="1"/>
    <xf numFmtId="0" fontId="110" fillId="0" borderId="4" xfId="0" applyFont="1" applyBorder="1"/>
    <xf numFmtId="0" fontId="116" fillId="0" borderId="34" xfId="0" applyFont="1" applyBorder="1" applyAlignment="1">
      <alignment horizontal="center"/>
    </xf>
    <xf numFmtId="3" fontId="105" fillId="0" borderId="86" xfId="0" applyNumberFormat="1" applyFont="1" applyBorder="1" applyAlignment="1">
      <alignment vertical="center" wrapText="1"/>
    </xf>
    <xf numFmtId="3" fontId="105" fillId="20" borderId="34" xfId="0" applyNumberFormat="1" applyFont="1" applyFill="1" applyBorder="1" applyAlignment="1">
      <alignment vertical="center" wrapText="1"/>
    </xf>
    <xf numFmtId="0" fontId="105" fillId="0" borderId="86" xfId="0" applyFont="1" applyBorder="1" applyAlignment="1">
      <alignment vertical="center" wrapText="1"/>
    </xf>
    <xf numFmtId="0" fontId="105" fillId="20" borderId="34" xfId="0" applyFont="1" applyFill="1" applyBorder="1" applyAlignment="1">
      <alignment vertical="center" wrapText="1"/>
    </xf>
    <xf numFmtId="0" fontId="117" fillId="0" borderId="4" xfId="0" applyFont="1" applyBorder="1" applyAlignment="1">
      <alignment vertical="center" wrapText="1"/>
    </xf>
    <xf numFmtId="0" fontId="0" fillId="20" borderId="34" xfId="0" applyFill="1" applyBorder="1" applyAlignment="1">
      <alignment vertical="center" wrapText="1"/>
    </xf>
    <xf numFmtId="3" fontId="109" fillId="0" borderId="20" xfId="0" applyNumberFormat="1" applyFont="1" applyBorder="1" applyAlignment="1">
      <alignment horizontal="center" vertical="center"/>
    </xf>
    <xf numFmtId="0" fontId="110" fillId="0" borderId="4" xfId="0" applyFont="1" applyBorder="1" applyAlignment="1">
      <alignment vertical="center"/>
    </xf>
    <xf numFmtId="0" fontId="109" fillId="20" borderId="4" xfId="0" applyFont="1" applyFill="1" applyBorder="1"/>
    <xf numFmtId="3" fontId="112" fillId="19" borderId="4" xfId="0" applyNumberFormat="1" applyFont="1" applyFill="1" applyBorder="1" applyAlignment="1">
      <alignment vertical="center" wrapText="1"/>
    </xf>
    <xf numFmtId="0" fontId="109" fillId="19" borderId="4" xfId="0" applyFont="1" applyFill="1" applyBorder="1"/>
    <xf numFmtId="0" fontId="111" fillId="0" borderId="34" xfId="0" applyFont="1" applyBorder="1" applyAlignment="1">
      <alignment horizontal="center"/>
    </xf>
    <xf numFmtId="3" fontId="107" fillId="0" borderId="86" xfId="0" applyNumberFormat="1" applyFont="1" applyBorder="1" applyAlignment="1">
      <alignment vertical="center" wrapText="1"/>
    </xf>
    <xf numFmtId="3" fontId="107" fillId="20" borderId="0" xfId="0" applyNumberFormat="1" applyFont="1" applyFill="1" applyAlignment="1">
      <alignment vertical="center" wrapText="1"/>
    </xf>
    <xf numFmtId="0" fontId="118" fillId="20" borderId="4" xfId="0" applyFont="1" applyFill="1" applyBorder="1"/>
    <xf numFmtId="0" fontId="0" fillId="21" borderId="4" xfId="0" applyFill="1" applyBorder="1"/>
    <xf numFmtId="1" fontId="119" fillId="0" borderId="0" xfId="0" applyNumberFormat="1" applyFont="1" applyAlignment="1">
      <alignment horizontal="left"/>
    </xf>
    <xf numFmtId="1" fontId="120" fillId="0" borderId="0" xfId="0" applyNumberFormat="1" applyFont="1" applyAlignment="1">
      <alignment horizontal="center"/>
    </xf>
    <xf numFmtId="1" fontId="120" fillId="0" borderId="0" xfId="0" applyNumberFormat="1" applyFont="1" applyAlignment="1">
      <alignment horizontal="left"/>
    </xf>
    <xf numFmtId="1" fontId="108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20" fillId="0" borderId="32" xfId="0" applyNumberFormat="1" applyFont="1" applyBorder="1" applyAlignment="1">
      <alignment horizontal="center" vertical="center" wrapText="1"/>
    </xf>
    <xf numFmtId="1" fontId="120" fillId="0" borderId="28" xfId="0" applyNumberFormat="1" applyFont="1" applyBorder="1" applyAlignment="1">
      <alignment horizontal="center" vertical="center" wrapText="1"/>
    </xf>
    <xf numFmtId="1" fontId="120" fillId="0" borderId="33" xfId="0" applyNumberFormat="1" applyFont="1" applyBorder="1" applyAlignment="1">
      <alignment horizontal="center" vertical="center" wrapText="1"/>
    </xf>
    <xf numFmtId="1" fontId="120" fillId="0" borderId="29" xfId="0" applyNumberFormat="1" applyFont="1" applyBorder="1" applyAlignment="1">
      <alignment horizontal="center" vertical="center" wrapText="1"/>
    </xf>
    <xf numFmtId="1" fontId="120" fillId="0" borderId="35" xfId="0" applyNumberFormat="1" applyFont="1" applyBorder="1" applyAlignment="1">
      <alignment horizontal="center"/>
    </xf>
    <xf numFmtId="1" fontId="120" fillId="0" borderId="36" xfId="0" applyNumberFormat="1" applyFont="1" applyBorder="1" applyAlignment="1">
      <alignment horizontal="center"/>
    </xf>
    <xf numFmtId="1" fontId="120" fillId="0" borderId="37" xfId="0" applyNumberFormat="1" applyFont="1" applyBorder="1" applyAlignment="1">
      <alignment horizontal="center"/>
    </xf>
    <xf numFmtId="1" fontId="120" fillId="0" borderId="38" xfId="0" applyNumberFormat="1" applyFont="1" applyBorder="1" applyAlignment="1">
      <alignment horizontal="center"/>
    </xf>
    <xf numFmtId="1" fontId="120" fillId="0" borderId="39" xfId="0" applyNumberFormat="1" applyFont="1" applyBorder="1" applyAlignment="1">
      <alignment horizontal="center"/>
    </xf>
    <xf numFmtId="1" fontId="120" fillId="0" borderId="40" xfId="0" applyNumberFormat="1" applyFont="1" applyBorder="1" applyAlignment="1">
      <alignment horizontal="center"/>
    </xf>
    <xf numFmtId="1" fontId="120" fillId="0" borderId="41" xfId="0" applyNumberFormat="1" applyFont="1" applyBorder="1" applyAlignment="1">
      <alignment horizontal="center"/>
    </xf>
    <xf numFmtId="1" fontId="120" fillId="0" borderId="42" xfId="0" applyNumberFormat="1" applyFont="1" applyBorder="1" applyAlignment="1">
      <alignment horizontal="center"/>
    </xf>
    <xf numFmtId="1" fontId="121" fillId="0" borderId="11" xfId="0" applyNumberFormat="1" applyFont="1" applyBorder="1" applyAlignment="1">
      <alignment horizontal="left" vertical="center" wrapText="1"/>
    </xf>
    <xf numFmtId="1" fontId="120" fillId="0" borderId="11" xfId="0" applyNumberFormat="1" applyFont="1" applyBorder="1" applyAlignment="1">
      <alignment horizontal="center"/>
    </xf>
    <xf numFmtId="1" fontId="120" fillId="0" borderId="30" xfId="0" applyNumberFormat="1" applyFont="1" applyBorder="1" applyAlignment="1">
      <alignment horizontal="center"/>
    </xf>
    <xf numFmtId="1" fontId="120" fillId="0" borderId="13" xfId="0" applyNumberFormat="1" applyFont="1" applyBorder="1" applyAlignment="1">
      <alignment horizontal="center"/>
    </xf>
    <xf numFmtId="1" fontId="121" fillId="0" borderId="32" xfId="0" applyNumberFormat="1" applyFont="1" applyBorder="1" applyAlignment="1">
      <alignment horizontal="left" vertical="center" wrapText="1"/>
    </xf>
    <xf numFmtId="1" fontId="120" fillId="0" borderId="32" xfId="0" applyNumberFormat="1" applyFont="1" applyBorder="1" applyAlignment="1">
      <alignment horizontal="center"/>
    </xf>
    <xf numFmtId="1" fontId="120" fillId="0" borderId="28" xfId="0" applyNumberFormat="1" applyFont="1" applyBorder="1" applyAlignment="1">
      <alignment horizontal="center"/>
    </xf>
    <xf numFmtId="1" fontId="120" fillId="0" borderId="33" xfId="0" applyNumberFormat="1" applyFont="1" applyBorder="1" applyAlignment="1">
      <alignment horizontal="center"/>
    </xf>
    <xf numFmtId="1" fontId="120" fillId="0" borderId="29" xfId="0" applyNumberFormat="1" applyFont="1" applyBorder="1" applyAlignment="1">
      <alignment horizontal="center"/>
    </xf>
    <xf numFmtId="1" fontId="121" fillId="0" borderId="6" xfId="0" applyNumberFormat="1" applyFont="1" applyBorder="1" applyAlignment="1">
      <alignment horizontal="left" vertical="center" wrapText="1"/>
    </xf>
    <xf numFmtId="1" fontId="120" fillId="0" borderId="6" xfId="0" applyNumberFormat="1" applyFont="1" applyBorder="1" applyAlignment="1">
      <alignment horizontal="center"/>
    </xf>
    <xf numFmtId="1" fontId="120" fillId="0" borderId="31" xfId="0" applyNumberFormat="1" applyFont="1" applyBorder="1" applyAlignment="1">
      <alignment horizontal="center"/>
    </xf>
    <xf numFmtId="1" fontId="120" fillId="0" borderId="7" xfId="0" applyNumberFormat="1" applyFont="1" applyBorder="1" applyAlignment="1">
      <alignment horizontal="center"/>
    </xf>
    <xf numFmtId="1" fontId="120" fillId="0" borderId="8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4" xfId="0" applyFont="1" applyBorder="1"/>
    <xf numFmtId="0" fontId="2" fillId="0" borderId="25" xfId="0" applyFont="1" applyBorder="1"/>
    <xf numFmtId="0" fontId="6" fillId="0" borderId="21" xfId="0" applyFont="1" applyBorder="1"/>
    <xf numFmtId="0" fontId="6" fillId="0" borderId="22" xfId="0" applyFont="1" applyBorder="1"/>
    <xf numFmtId="0" fontId="2" fillId="0" borderId="17" xfId="0" applyFont="1" applyBorder="1"/>
    <xf numFmtId="0" fontId="2" fillId="0" borderId="43" xfId="0" applyFont="1" applyBorder="1"/>
    <xf numFmtId="0" fontId="2" fillId="0" borderId="16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0" xfId="0" applyFont="1" applyBorder="1"/>
    <xf numFmtId="0" fontId="2" fillId="0" borderId="46" xfId="0" applyFont="1" applyBorder="1"/>
    <xf numFmtId="0" fontId="6" fillId="0" borderId="12" xfId="0" applyFont="1" applyBorder="1"/>
    <xf numFmtId="0" fontId="2" fillId="0" borderId="5" xfId="0" applyFont="1" applyBorder="1"/>
    <xf numFmtId="0" fontId="6" fillId="0" borderId="23" xfId="0" applyFont="1" applyBorder="1"/>
    <xf numFmtId="17" fontId="2" fillId="0" borderId="4" xfId="0" applyNumberFormat="1" applyFont="1" applyBorder="1"/>
    <xf numFmtId="0" fontId="2" fillId="0" borderId="26" xfId="0" applyFont="1" applyBorder="1"/>
    <xf numFmtId="0" fontId="2" fillId="0" borderId="47" xfId="0" applyFont="1" applyBorder="1"/>
    <xf numFmtId="0" fontId="2" fillId="0" borderId="20" xfId="0" applyFont="1" applyBorder="1"/>
    <xf numFmtId="0" fontId="2" fillId="0" borderId="19" xfId="0" applyFont="1" applyBorder="1"/>
    <xf numFmtId="0" fontId="2" fillId="0" borderId="48" xfId="0" applyFont="1" applyBorder="1"/>
    <xf numFmtId="0" fontId="2" fillId="0" borderId="18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" fontId="6" fillId="0" borderId="0" xfId="0" applyNumberFormat="1" applyFont="1"/>
    <xf numFmtId="0" fontId="2" fillId="0" borderId="4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122" fillId="0" borderId="0" xfId="0" applyNumberFormat="1" applyFont="1"/>
    <xf numFmtId="0" fontId="2" fillId="0" borderId="10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28" xfId="0" applyFont="1" applyBorder="1"/>
    <xf numFmtId="0" fontId="2" fillId="0" borderId="50" xfId="0" applyFont="1" applyBorder="1" applyAlignment="1">
      <alignment horizontal="center"/>
    </xf>
    <xf numFmtId="0" fontId="2" fillId="0" borderId="30" xfId="0" applyFont="1" applyBorder="1"/>
    <xf numFmtId="0" fontId="2" fillId="0" borderId="30" xfId="0" applyFont="1" applyBorder="1" applyAlignment="1">
      <alignment horizontal="center"/>
    </xf>
    <xf numFmtId="0" fontId="2" fillId="0" borderId="11" xfId="0" applyFont="1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1" xfId="0" applyFont="1" applyBorder="1"/>
    <xf numFmtId="0" fontId="2" fillId="0" borderId="30" xfId="0" applyFont="1" applyBorder="1" applyAlignment="1">
      <alignment horizontal="right"/>
    </xf>
    <xf numFmtId="0" fontId="2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 wrapText="1"/>
    </xf>
    <xf numFmtId="0" fontId="123" fillId="0" borderId="30" xfId="0" applyFont="1" applyBorder="1"/>
    <xf numFmtId="0" fontId="2" fillId="0" borderId="51" xfId="0" applyFont="1" applyBorder="1" applyAlignment="1">
      <alignment vertical="top"/>
    </xf>
    <xf numFmtId="0" fontId="2" fillId="0" borderId="30" xfId="0" applyFont="1" applyBorder="1" applyAlignment="1">
      <alignment vertical="top" wrapText="1"/>
    </xf>
    <xf numFmtId="0" fontId="2" fillId="0" borderId="51" xfId="0" applyFont="1" applyBorder="1" applyAlignment="1">
      <alignment wrapText="1"/>
    </xf>
    <xf numFmtId="0" fontId="2" fillId="0" borderId="30" xfId="0" applyFont="1" applyBorder="1" applyAlignment="1">
      <alignment wrapText="1"/>
    </xf>
    <xf numFmtId="0" fontId="0" fillId="0" borderId="37" xfId="0" applyBorder="1"/>
    <xf numFmtId="14" fontId="6" fillId="0" borderId="0" xfId="0" applyNumberFormat="1" applyFont="1"/>
    <xf numFmtId="0" fontId="122" fillId="0" borderId="0" xfId="0" applyFont="1"/>
    <xf numFmtId="14" fontId="0" fillId="0" borderId="0" xfId="0" applyNumberFormat="1"/>
    <xf numFmtId="0" fontId="16" fillId="0" borderId="0" xfId="0" applyFont="1"/>
    <xf numFmtId="14" fontId="124" fillId="0" borderId="0" xfId="0" applyNumberFormat="1" applyFont="1"/>
    <xf numFmtId="0" fontId="124" fillId="0" borderId="0" xfId="0" applyFont="1"/>
    <xf numFmtId="0" fontId="125" fillId="0" borderId="0" xfId="0" applyFont="1"/>
    <xf numFmtId="0" fontId="2" fillId="0" borderId="40" xfId="0" applyFont="1" applyBorder="1" applyAlignment="1">
      <alignment horizontal="center"/>
    </xf>
    <xf numFmtId="0" fontId="7" fillId="0" borderId="52" xfId="0" applyFont="1" applyBorder="1" applyAlignment="1">
      <alignment wrapText="1"/>
    </xf>
    <xf numFmtId="0" fontId="0" fillId="0" borderId="18" xfId="0" applyBorder="1"/>
    <xf numFmtId="0" fontId="6" fillId="0" borderId="51" xfId="0" applyFont="1" applyBorder="1"/>
    <xf numFmtId="0" fontId="7" fillId="0" borderId="0" xfId="0" applyFont="1"/>
    <xf numFmtId="0" fontId="0" fillId="0" borderId="34" xfId="0" applyBorder="1"/>
    <xf numFmtId="0" fontId="0" fillId="0" borderId="0" xfId="0" applyAlignment="1">
      <alignment vertical="top"/>
    </xf>
    <xf numFmtId="0" fontId="2" fillId="0" borderId="28" xfId="0" applyFont="1" applyBorder="1" applyAlignment="1">
      <alignment vertical="top" wrapText="1"/>
    </xf>
    <xf numFmtId="0" fontId="2" fillId="0" borderId="53" xfId="0" applyFont="1" applyBorder="1"/>
    <xf numFmtId="0" fontId="8" fillId="0" borderId="0" xfId="0" applyFont="1"/>
    <xf numFmtId="0" fontId="126" fillId="0" borderId="0" xfId="0" applyFont="1" applyAlignment="1">
      <alignment wrapText="1"/>
    </xf>
    <xf numFmtId="0" fontId="126" fillId="0" borderId="0" xfId="0" applyFont="1"/>
    <xf numFmtId="0" fontId="7" fillId="0" borderId="52" xfId="0" applyFont="1" applyBorder="1"/>
    <xf numFmtId="0" fontId="2" fillId="0" borderId="0" xfId="0" applyFont="1" applyAlignment="1">
      <alignment wrapText="1"/>
    </xf>
    <xf numFmtId="0" fontId="0" fillId="0" borderId="9" xfId="0" applyBorder="1"/>
    <xf numFmtId="0" fontId="0" fillId="0" borderId="3" xfId="0" applyBorder="1"/>
    <xf numFmtId="0" fontId="19" fillId="0" borderId="4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19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16" fillId="0" borderId="4" xfId="0" applyFont="1" applyBorder="1"/>
    <xf numFmtId="0" fontId="20" fillId="0" borderId="4" xfId="0" applyFont="1" applyBorder="1"/>
    <xf numFmtId="0" fontId="16" fillId="0" borderId="5" xfId="0" applyFont="1" applyBorder="1"/>
    <xf numFmtId="0" fontId="20" fillId="0" borderId="5" xfId="0" applyFont="1" applyBorder="1"/>
    <xf numFmtId="0" fontId="0" fillId="0" borderId="26" xfId="0" applyBorder="1"/>
    <xf numFmtId="0" fontId="7" fillId="0" borderId="5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0" fillId="0" borderId="55" xfId="0" applyBorder="1"/>
    <xf numFmtId="0" fontId="0" fillId="0" borderId="51" xfId="0" applyBorder="1"/>
    <xf numFmtId="0" fontId="22" fillId="0" borderId="51" xfId="0" applyFont="1" applyBorder="1"/>
    <xf numFmtId="0" fontId="6" fillId="0" borderId="5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20" xfId="0" applyBorder="1"/>
    <xf numFmtId="14" fontId="125" fillId="0" borderId="4" xfId="0" applyNumberFormat="1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center"/>
    </xf>
    <xf numFmtId="169" fontId="6" fillId="0" borderId="4" xfId="0" applyNumberFormat="1" applyFont="1" applyBorder="1" applyAlignment="1">
      <alignment horizontal="center"/>
    </xf>
    <xf numFmtId="169" fontId="125" fillId="0" borderId="4" xfId="0" applyNumberFormat="1" applyFont="1" applyBorder="1" applyAlignment="1">
      <alignment horizontal="center"/>
    </xf>
    <xf numFmtId="0" fontId="123" fillId="0" borderId="4" xfId="0" applyFont="1" applyBorder="1"/>
    <xf numFmtId="0" fontId="22" fillId="0" borderId="4" xfId="0" applyFon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/>
    <xf numFmtId="1" fontId="1" fillId="0" borderId="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0" fillId="0" borderId="12" xfId="0" applyBorder="1"/>
    <xf numFmtId="0" fontId="0" fillId="0" borderId="38" xfId="0" applyBorder="1"/>
    <xf numFmtId="0" fontId="9" fillId="0" borderId="3" xfId="0" applyFont="1" applyBorder="1" applyAlignment="1">
      <alignment horizontal="center" vertical="center"/>
    </xf>
    <xf numFmtId="0" fontId="2" fillId="0" borderId="56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/>
    </xf>
    <xf numFmtId="0" fontId="128" fillId="0" borderId="49" xfId="0" applyFont="1" applyBorder="1" applyAlignment="1">
      <alignment horizontal="left" vertical="center"/>
    </xf>
    <xf numFmtId="0" fontId="128" fillId="0" borderId="49" xfId="0" applyFont="1" applyBorder="1" applyAlignment="1">
      <alignment horizontal="center" vertical="center"/>
    </xf>
    <xf numFmtId="0" fontId="128" fillId="0" borderId="5" xfId="0" applyFont="1" applyBorder="1" applyAlignment="1">
      <alignment horizontal="left" vertical="center"/>
    </xf>
    <xf numFmtId="0" fontId="128" fillId="0" borderId="56" xfId="0" applyFont="1" applyBorder="1" applyAlignment="1">
      <alignment horizontal="left" vertical="center"/>
    </xf>
    <xf numFmtId="0" fontId="23" fillId="0" borderId="0" xfId="0" applyFon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8" fillId="0" borderId="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9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66" fontId="25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66" fontId="26" fillId="0" borderId="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1" fontId="1" fillId="0" borderId="25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29" fillId="0" borderId="3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9" fillId="0" borderId="50" xfId="0" applyFont="1" applyBorder="1" applyAlignment="1">
      <alignment horizontal="center"/>
    </xf>
    <xf numFmtId="0" fontId="129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66" fontId="8" fillId="0" borderId="17" xfId="0" applyNumberFormat="1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130" fillId="0" borderId="7" xfId="0" applyFont="1" applyBorder="1"/>
    <xf numFmtId="0" fontId="131" fillId="0" borderId="4" xfId="0" applyFont="1" applyBorder="1" applyAlignment="1">
      <alignment horizontal="center" vertical="center"/>
    </xf>
    <xf numFmtId="3" fontId="131" fillId="0" borderId="4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0" fontId="130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32" fillId="0" borderId="7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30" fillId="0" borderId="0" xfId="0" applyFont="1"/>
    <xf numFmtId="166" fontId="25" fillId="0" borderId="17" xfId="0" applyNumberFormat="1" applyFont="1" applyBorder="1" applyAlignment="1">
      <alignment horizontal="center" vertical="center"/>
    </xf>
    <xf numFmtId="166" fontId="25" fillId="0" borderId="5" xfId="0" applyNumberFormat="1" applyFont="1" applyBorder="1" applyAlignment="1">
      <alignment horizontal="center" vertical="center"/>
    </xf>
    <xf numFmtId="166" fontId="28" fillId="0" borderId="17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0" fillId="0" borderId="10" xfId="0" applyFont="1" applyBorder="1"/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56" xfId="0" applyBorder="1" applyAlignment="1">
      <alignment horizontal="center"/>
    </xf>
    <xf numFmtId="166" fontId="28" fillId="0" borderId="4" xfId="0" applyNumberFormat="1" applyFont="1" applyBorder="1" applyAlignment="1">
      <alignment horizontal="center" vertical="center"/>
    </xf>
    <xf numFmtId="166" fontId="28" fillId="0" borderId="20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131" fillId="0" borderId="20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3" fontId="131" fillId="0" borderId="17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27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31" fillId="0" borderId="0" xfId="0" applyFont="1" applyAlignment="1">
      <alignment horizontal="center" vertical="center"/>
    </xf>
    <xf numFmtId="0" fontId="131" fillId="0" borderId="25" xfId="0" applyFont="1" applyBorder="1" applyAlignment="1">
      <alignment horizontal="center" vertical="center"/>
    </xf>
    <xf numFmtId="3" fontId="131" fillId="0" borderId="45" xfId="0" applyNumberFormat="1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166" fontId="30" fillId="0" borderId="4" xfId="0" applyNumberFormat="1" applyFont="1" applyBorder="1" applyAlignment="1">
      <alignment horizontal="center"/>
    </xf>
    <xf numFmtId="170" fontId="30" fillId="0" borderId="4" xfId="0" applyNumberFormat="1" applyFont="1" applyBorder="1" applyAlignment="1">
      <alignment horizontal="center"/>
    </xf>
    <xf numFmtId="1" fontId="30" fillId="0" borderId="4" xfId="0" applyNumberFormat="1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70" fontId="8" fillId="0" borderId="4" xfId="0" applyNumberFormat="1" applyFont="1" applyBorder="1" applyAlignment="1">
      <alignment horizontal="center"/>
    </xf>
    <xf numFmtId="168" fontId="8" fillId="0" borderId="4" xfId="0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168" fontId="8" fillId="0" borderId="25" xfId="0" applyNumberFormat="1" applyFont="1" applyBorder="1" applyAlignment="1">
      <alignment horizontal="center"/>
    </xf>
    <xf numFmtId="170" fontId="8" fillId="0" borderId="25" xfId="0" applyNumberFormat="1" applyFont="1" applyBorder="1" applyAlignment="1">
      <alignment horizontal="center"/>
    </xf>
    <xf numFmtId="170" fontId="8" fillId="0" borderId="3" xfId="0" applyNumberFormat="1" applyFont="1" applyBorder="1" applyAlignment="1">
      <alignment horizontal="center"/>
    </xf>
    <xf numFmtId="170" fontId="8" fillId="0" borderId="24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6" fontId="1" fillId="0" borderId="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3" fontId="131" fillId="0" borderId="0" xfId="0" applyNumberFormat="1" applyFont="1" applyAlignment="1">
      <alignment horizontal="center"/>
    </xf>
    <xf numFmtId="166" fontId="28" fillId="0" borderId="5" xfId="0" applyNumberFormat="1" applyFont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6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6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left"/>
    </xf>
    <xf numFmtId="2" fontId="6" fillId="0" borderId="30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31" xfId="0" applyFont="1" applyBorder="1" applyAlignment="1">
      <alignment horizontal="center" vertical="center"/>
    </xf>
    <xf numFmtId="2" fontId="6" fillId="0" borderId="31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6" fillId="0" borderId="50" xfId="0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" fillId="0" borderId="29" xfId="0" applyFont="1" applyBorder="1"/>
    <xf numFmtId="0" fontId="0" fillId="0" borderId="62" xfId="0" applyBorder="1"/>
    <xf numFmtId="166" fontId="6" fillId="0" borderId="50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167" fontId="6" fillId="0" borderId="30" xfId="0" applyNumberFormat="1" applyFont="1" applyBorder="1" applyAlignment="1">
      <alignment horizontal="center"/>
    </xf>
    <xf numFmtId="167" fontId="6" fillId="0" borderId="11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1" fontId="0" fillId="0" borderId="0" xfId="0" applyNumberFormat="1"/>
    <xf numFmtId="1" fontId="0" fillId="0" borderId="13" xfId="0" applyNumberFormat="1" applyBorder="1"/>
    <xf numFmtId="0" fontId="6" fillId="0" borderId="5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43" xfId="0" applyBorder="1"/>
    <xf numFmtId="2" fontId="6" fillId="0" borderId="44" xfId="0" applyNumberFormat="1" applyFont="1" applyBorder="1" applyAlignment="1">
      <alignment horizontal="center"/>
    </xf>
    <xf numFmtId="167" fontId="6" fillId="0" borderId="44" xfId="0" applyNumberFormat="1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0" borderId="44" xfId="0" applyBorder="1"/>
    <xf numFmtId="2" fontId="6" fillId="0" borderId="40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166" fontId="31" fillId="0" borderId="0" xfId="0" applyNumberFormat="1" applyFont="1"/>
    <xf numFmtId="0" fontId="32" fillId="0" borderId="0" xfId="0" applyFont="1"/>
    <xf numFmtId="1" fontId="3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left"/>
    </xf>
    <xf numFmtId="1" fontId="23" fillId="0" borderId="0" xfId="0" applyNumberFormat="1" applyFont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6" fillId="0" borderId="20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0" fillId="0" borderId="0" xfId="0" applyNumberFormat="1"/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9" fillId="0" borderId="4" xfId="0" applyFont="1" applyBorder="1"/>
    <xf numFmtId="0" fontId="23" fillId="0" borderId="4" xfId="0" applyFont="1" applyBorder="1" applyAlignment="1">
      <alignment horizontal="center"/>
    </xf>
    <xf numFmtId="1" fontId="6" fillId="0" borderId="4" xfId="0" applyNumberFormat="1" applyFont="1" applyBorder="1"/>
    <xf numFmtId="0" fontId="6" fillId="0" borderId="20" xfId="0" applyFont="1" applyBorder="1"/>
    <xf numFmtId="0" fontId="33" fillId="0" borderId="3" xfId="0" applyFont="1" applyBorder="1"/>
    <xf numFmtId="0" fontId="33" fillId="0" borderId="4" xfId="0" applyFont="1" applyBorder="1"/>
    <xf numFmtId="0" fontId="29" fillId="0" borderId="3" xfId="0" applyFont="1" applyBorder="1"/>
    <xf numFmtId="166" fontId="34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1" fontId="0" fillId="0" borderId="4" xfId="0" applyNumberFormat="1" applyBorder="1"/>
    <xf numFmtId="16" fontId="0" fillId="0" borderId="4" xfId="0" applyNumberFormat="1" applyBorder="1"/>
    <xf numFmtId="16" fontId="33" fillId="0" borderId="4" xfId="0" applyNumberFormat="1" applyFont="1" applyBorder="1"/>
    <xf numFmtId="1" fontId="33" fillId="0" borderId="4" xfId="0" applyNumberFormat="1" applyFont="1" applyBorder="1"/>
    <xf numFmtId="0" fontId="23" fillId="0" borderId="4" xfId="0" applyFont="1" applyBorder="1"/>
    <xf numFmtId="1" fontId="23" fillId="0" borderId="0" xfId="0" applyNumberFormat="1" applyFont="1"/>
    <xf numFmtId="1" fontId="2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1" fontId="6" fillId="0" borderId="20" xfId="0" applyNumberFormat="1" applyFont="1" applyBorder="1"/>
    <xf numFmtId="0" fontId="33" fillId="0" borderId="10" xfId="0" applyFont="1" applyBorder="1"/>
    <xf numFmtId="0" fontId="33" fillId="0" borderId="0" xfId="0" applyFont="1"/>
    <xf numFmtId="0" fontId="33" fillId="0" borderId="12" xfId="0" applyFont="1" applyBorder="1"/>
    <xf numFmtId="0" fontId="33" fillId="0" borderId="13" xfId="0" applyFont="1" applyBorder="1"/>
    <xf numFmtId="1" fontId="29" fillId="0" borderId="5" xfId="0" applyNumberFormat="1" applyFont="1" applyBorder="1" applyAlignment="1">
      <alignment horizontal="center"/>
    </xf>
    <xf numFmtId="1" fontId="29" fillId="0" borderId="4" xfId="0" applyNumberFormat="1" applyFont="1" applyBorder="1" applyAlignment="1">
      <alignment horizontal="center" vertical="center"/>
    </xf>
    <xf numFmtId="168" fontId="29" fillId="0" borderId="4" xfId="0" applyNumberFormat="1" applyFont="1" applyBorder="1" applyAlignment="1">
      <alignment horizontal="center"/>
    </xf>
    <xf numFmtId="0" fontId="29" fillId="0" borderId="4" xfId="0" applyFont="1" applyBorder="1"/>
    <xf numFmtId="2" fontId="29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/>
    <xf numFmtId="1" fontId="35" fillId="0" borderId="4" xfId="0" applyNumberFormat="1" applyFont="1" applyBorder="1" applyAlignment="1">
      <alignment horizontal="center"/>
    </xf>
    <xf numFmtId="0" fontId="29" fillId="0" borderId="6" xfId="0" applyFont="1" applyBorder="1"/>
    <xf numFmtId="0" fontId="29" fillId="0" borderId="7" xfId="0" applyFont="1" applyBorder="1"/>
    <xf numFmtId="2" fontId="29" fillId="0" borderId="7" xfId="0" applyNumberFormat="1" applyFont="1" applyBorder="1" applyAlignment="1">
      <alignment horizontal="center" vertical="center"/>
    </xf>
    <xf numFmtId="1" fontId="29" fillId="0" borderId="7" xfId="0" applyNumberFormat="1" applyFont="1" applyBorder="1"/>
    <xf numFmtId="0" fontId="29" fillId="0" borderId="11" xfId="0" applyFont="1" applyBorder="1"/>
    <xf numFmtId="0" fontId="29" fillId="0" borderId="0" xfId="0" applyFont="1"/>
    <xf numFmtId="0" fontId="29" fillId="0" borderId="24" xfId="0" applyFont="1" applyBorder="1"/>
    <xf numFmtId="1" fontId="29" fillId="0" borderId="25" xfId="0" applyNumberFormat="1" applyFont="1" applyBorder="1" applyAlignment="1">
      <alignment horizontal="center"/>
    </xf>
    <xf numFmtId="1" fontId="29" fillId="0" borderId="25" xfId="0" applyNumberFormat="1" applyFont="1" applyBorder="1" applyAlignment="1">
      <alignment horizontal="center" vertical="center"/>
    </xf>
    <xf numFmtId="168" fontId="29" fillId="0" borderId="25" xfId="0" applyNumberFormat="1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2" fontId="9" fillId="0" borderId="7" xfId="0" applyNumberFormat="1" applyFont="1" applyBorder="1" applyAlignment="1">
      <alignment horizontal="center" vertical="center"/>
    </xf>
    <xf numFmtId="1" fontId="6" fillId="0" borderId="7" xfId="0" applyNumberFormat="1" applyFont="1" applyBorder="1"/>
    <xf numFmtId="1" fontId="32" fillId="0" borderId="4" xfId="0" applyNumberFormat="1" applyFont="1" applyBorder="1" applyAlignment="1">
      <alignment horizontal="center"/>
    </xf>
    <xf numFmtId="1" fontId="6" fillId="0" borderId="0" xfId="0" applyNumberFormat="1" applyFont="1"/>
    <xf numFmtId="0" fontId="1" fillId="0" borderId="4" xfId="0" applyFont="1" applyBorder="1"/>
    <xf numFmtId="1" fontId="36" fillId="0" borderId="4" xfId="0" applyNumberFormat="1" applyFont="1" applyBorder="1" applyAlignment="1">
      <alignment horizontal="center" vertical="center"/>
    </xf>
    <xf numFmtId="1" fontId="33" fillId="0" borderId="25" xfId="0" applyNumberFormat="1" applyFont="1" applyBorder="1"/>
    <xf numFmtId="1" fontId="35" fillId="0" borderId="25" xfId="0" applyNumberFormat="1" applyFont="1" applyBorder="1" applyAlignment="1">
      <alignment horizontal="center"/>
    </xf>
    <xf numFmtId="168" fontId="29" fillId="0" borderId="4" xfId="0" applyNumberFormat="1" applyFont="1" applyBorder="1"/>
    <xf numFmtId="2" fontId="29" fillId="0" borderId="7" xfId="0" applyNumberFormat="1" applyFont="1" applyBorder="1"/>
    <xf numFmtId="168" fontId="29" fillId="0" borderId="7" xfId="0" applyNumberFormat="1" applyFont="1" applyBorder="1"/>
    <xf numFmtId="1" fontId="29" fillId="0" borderId="0" xfId="0" applyNumberFormat="1" applyFont="1"/>
    <xf numFmtId="2" fontId="6" fillId="0" borderId="7" xfId="0" applyNumberFormat="1" applyFont="1" applyBorder="1"/>
    <xf numFmtId="168" fontId="6" fillId="0" borderId="7" xfId="0" applyNumberFormat="1" applyFont="1" applyBorder="1"/>
    <xf numFmtId="0" fontId="9" fillId="0" borderId="55" xfId="0" applyFont="1" applyBorder="1" applyAlignment="1">
      <alignment horizontal="center"/>
    </xf>
    <xf numFmtId="1" fontId="29" fillId="0" borderId="26" xfId="0" applyNumberFormat="1" applyFont="1" applyBorder="1" applyAlignment="1">
      <alignment horizontal="center"/>
    </xf>
    <xf numFmtId="1" fontId="1" fillId="0" borderId="0" xfId="0" applyNumberFormat="1" applyFont="1"/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2" fillId="0" borderId="84" xfId="0" applyFont="1" applyBorder="1" applyAlignment="1">
      <alignment wrapText="1"/>
    </xf>
    <xf numFmtId="0" fontId="9" fillId="0" borderId="4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6" fillId="0" borderId="87" xfId="0" applyFont="1" applyBorder="1" applyAlignment="1">
      <alignment wrapText="1"/>
    </xf>
    <xf numFmtId="0" fontId="16" fillId="0" borderId="84" xfId="0" applyFont="1" applyBorder="1" applyAlignment="1">
      <alignment wrapText="1"/>
    </xf>
    <xf numFmtId="0" fontId="9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/>
    </xf>
    <xf numFmtId="166" fontId="6" fillId="0" borderId="17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0" fillId="0" borderId="12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37" fillId="0" borderId="4" xfId="0" applyFont="1" applyBorder="1" applyAlignment="1">
      <alignment vertical="top" wrapText="1"/>
    </xf>
    <xf numFmtId="0" fontId="102" fillId="0" borderId="4" xfId="0" applyFont="1" applyBorder="1" applyAlignment="1">
      <alignment horizontal="center"/>
    </xf>
    <xf numFmtId="0" fontId="102" fillId="0" borderId="4" xfId="0" applyFont="1" applyBorder="1" applyAlignment="1">
      <alignment horizontal="center" vertical="center" wrapText="1"/>
    </xf>
    <xf numFmtId="0" fontId="102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1" fontId="37" fillId="0" borderId="4" xfId="0" applyNumberFormat="1" applyFont="1" applyBorder="1" applyAlignment="1">
      <alignment horizontal="center" vertical="center"/>
    </xf>
    <xf numFmtId="1" fontId="102" fillId="0" borderId="4" xfId="0" applyNumberFormat="1" applyFont="1" applyBorder="1" applyAlignment="1">
      <alignment horizontal="center" vertical="center"/>
    </xf>
    <xf numFmtId="1" fontId="102" fillId="0" borderId="4" xfId="0" applyNumberFormat="1" applyFont="1" applyBorder="1" applyAlignment="1">
      <alignment horizontal="center" vertical="center" wrapText="1"/>
    </xf>
    <xf numFmtId="0" fontId="38" fillId="0" borderId="0" xfId="0" applyFont="1"/>
    <xf numFmtId="0" fontId="37" fillId="0" borderId="0" xfId="0" applyFont="1"/>
    <xf numFmtId="0" fontId="39" fillId="0" borderId="0" xfId="0" applyFont="1"/>
    <xf numFmtId="0" fontId="134" fillId="0" borderId="88" xfId="0" applyFont="1" applyBorder="1" applyAlignment="1">
      <alignment horizontal="left" vertical="top" wrapText="1" readingOrder="1"/>
    </xf>
    <xf numFmtId="0" fontId="135" fillId="0" borderId="89" xfId="0" applyFont="1" applyBorder="1" applyAlignment="1">
      <alignment horizontal="center" vertical="center" wrapText="1" readingOrder="1"/>
    </xf>
    <xf numFmtId="0" fontId="135" fillId="0" borderId="90" xfId="0" applyFont="1" applyBorder="1" applyAlignment="1">
      <alignment horizontal="center" vertical="center" wrapText="1" readingOrder="1"/>
    </xf>
    <xf numFmtId="0" fontId="134" fillId="0" borderId="91" xfId="0" applyFont="1" applyBorder="1" applyAlignment="1">
      <alignment horizontal="center" vertical="center" wrapText="1" readingOrder="1"/>
    </xf>
    <xf numFmtId="0" fontId="134" fillId="0" borderId="92" xfId="0" applyFont="1" applyBorder="1" applyAlignment="1">
      <alignment horizontal="center" vertical="center" wrapText="1" readingOrder="1"/>
    </xf>
    <xf numFmtId="0" fontId="136" fillId="0" borderId="91" xfId="0" applyFont="1" applyBorder="1" applyAlignment="1">
      <alignment horizontal="center" vertical="center" wrapText="1" readingOrder="1"/>
    </xf>
    <xf numFmtId="0" fontId="134" fillId="0" borderId="93" xfId="0" applyFont="1" applyBorder="1" applyAlignment="1">
      <alignment horizontal="center" vertical="center" wrapText="1" readingOrder="1"/>
    </xf>
    <xf numFmtId="0" fontId="134" fillId="0" borderId="94" xfId="0" applyFont="1" applyBorder="1" applyAlignment="1">
      <alignment horizontal="center" vertical="center" wrapText="1" readingOrder="1"/>
    </xf>
    <xf numFmtId="0" fontId="137" fillId="0" borderId="0" xfId="0" applyFont="1" applyAlignment="1">
      <alignment horizontal="left" wrapText="1" readingOrder="1"/>
    </xf>
    <xf numFmtId="0" fontId="138" fillId="0" borderId="0" xfId="0" applyFont="1" applyAlignment="1">
      <alignment wrapText="1"/>
    </xf>
    <xf numFmtId="0" fontId="135" fillId="0" borderId="0" xfId="0" applyFont="1" applyAlignment="1">
      <alignment horizontal="left" wrapText="1" readingOrder="1"/>
    </xf>
    <xf numFmtId="0" fontId="134" fillId="0" borderId="92" xfId="0" applyFont="1" applyBorder="1" applyAlignment="1">
      <alignment horizontal="center" vertical="top" wrapText="1" readingOrder="1"/>
    </xf>
    <xf numFmtId="0" fontId="134" fillId="0" borderId="89" xfId="0" applyFont="1" applyBorder="1" applyAlignment="1">
      <alignment horizontal="center" vertical="center" wrapText="1" readingOrder="1"/>
    </xf>
    <xf numFmtId="0" fontId="134" fillId="0" borderId="90" xfId="0" applyFont="1" applyBorder="1" applyAlignment="1">
      <alignment horizontal="center" vertical="center" wrapText="1" readingOrder="1"/>
    </xf>
    <xf numFmtId="0" fontId="136" fillId="0" borderId="92" xfId="0" applyFont="1" applyBorder="1" applyAlignment="1">
      <alignment horizontal="center" vertical="center" wrapText="1" readingOrder="1"/>
    </xf>
    <xf numFmtId="0" fontId="102" fillId="0" borderId="4" xfId="0" applyFont="1" applyBorder="1" applyAlignment="1">
      <alignment horizontal="center" vertical="top" wrapText="1"/>
    </xf>
    <xf numFmtId="0" fontId="8" fillId="0" borderId="4" xfId="0" applyFont="1" applyBorder="1"/>
    <xf numFmtId="0" fontId="102" fillId="0" borderId="4" xfId="0" applyFont="1" applyBorder="1" applyAlignment="1">
      <alignment vertical="center" wrapText="1"/>
    </xf>
    <xf numFmtId="0" fontId="102" fillId="0" borderId="4" xfId="0" applyFont="1" applyBorder="1" applyAlignment="1">
      <alignment vertical="top" wrapText="1"/>
    </xf>
    <xf numFmtId="171" fontId="102" fillId="0" borderId="4" xfId="0" applyNumberFormat="1" applyFont="1" applyBorder="1" applyAlignment="1">
      <alignment horizontal="center" vertical="center" wrapText="1"/>
    </xf>
    <xf numFmtId="0" fontId="135" fillId="0" borderId="95" xfId="0" applyFont="1" applyBorder="1" applyAlignment="1">
      <alignment horizontal="center" wrapText="1"/>
    </xf>
    <xf numFmtId="0" fontId="135" fillId="0" borderId="95" xfId="0" applyFont="1" applyBorder="1" applyAlignment="1">
      <alignment horizontal="center" wrapText="1" readingOrder="1"/>
    </xf>
    <xf numFmtId="0" fontId="135" fillId="0" borderId="89" xfId="0" applyFont="1" applyBorder="1" applyAlignment="1">
      <alignment horizontal="left" vertical="center" wrapText="1" readingOrder="1"/>
    </xf>
    <xf numFmtId="0" fontId="135" fillId="0" borderId="89" xfId="0" applyFont="1" applyBorder="1" applyAlignment="1">
      <alignment vertical="center" wrapText="1"/>
    </xf>
    <xf numFmtId="0" fontId="135" fillId="0" borderId="90" xfId="0" applyFont="1" applyBorder="1" applyAlignment="1">
      <alignment horizontal="left" vertical="center" wrapText="1" readingOrder="1"/>
    </xf>
    <xf numFmtId="0" fontId="135" fillId="0" borderId="90" xfId="0" applyFont="1" applyBorder="1" applyAlignment="1">
      <alignment vertical="center" wrapText="1"/>
    </xf>
    <xf numFmtId="0" fontId="102" fillId="0" borderId="0" xfId="0" applyFont="1" applyAlignment="1">
      <alignment horizontal="center" vertical="center" wrapText="1"/>
    </xf>
    <xf numFmtId="0" fontId="134" fillId="0" borderId="92" xfId="0" applyFont="1" applyBorder="1" applyAlignment="1">
      <alignment horizontal="center" vertical="center" wrapText="1"/>
    </xf>
    <xf numFmtId="0" fontId="135" fillId="0" borderId="92" xfId="0" applyFont="1" applyBorder="1" applyAlignment="1">
      <alignment horizontal="center" vertical="center" wrapText="1" readingOrder="1"/>
    </xf>
    <xf numFmtId="0" fontId="37" fillId="0" borderId="0" xfId="0" applyFont="1" applyAlignment="1">
      <alignment horizontal="center" vertical="center" wrapText="1"/>
    </xf>
    <xf numFmtId="0" fontId="134" fillId="0" borderId="89" xfId="0" applyFont="1" applyBorder="1" applyAlignment="1">
      <alignment horizontal="center" vertical="center" wrapText="1"/>
    </xf>
    <xf numFmtId="0" fontId="134" fillId="0" borderId="90" xfId="0" applyFont="1" applyBorder="1" applyAlignment="1">
      <alignment horizontal="center" vertical="center" wrapText="1"/>
    </xf>
    <xf numFmtId="1" fontId="134" fillId="0" borderId="92" xfId="0" applyNumberFormat="1" applyFont="1" applyBorder="1" applyAlignment="1">
      <alignment horizontal="center" vertical="center" wrapText="1"/>
    </xf>
    <xf numFmtId="1" fontId="102" fillId="0" borderId="0" xfId="0" applyNumberFormat="1" applyFont="1" applyAlignment="1">
      <alignment horizontal="center" vertical="center" wrapText="1"/>
    </xf>
    <xf numFmtId="171" fontId="102" fillId="0" borderId="0" xfId="0" applyNumberFormat="1" applyFont="1" applyAlignment="1">
      <alignment horizontal="center" vertical="center" wrapText="1"/>
    </xf>
    <xf numFmtId="1" fontId="102" fillId="0" borderId="25" xfId="0" applyNumberFormat="1" applyFont="1" applyBorder="1" applyAlignment="1">
      <alignment horizontal="center" vertical="center" wrapText="1"/>
    </xf>
    <xf numFmtId="1" fontId="102" fillId="0" borderId="7" xfId="0" applyNumberFormat="1" applyFont="1" applyBorder="1" applyAlignment="1">
      <alignment horizontal="center" vertical="center" wrapText="1"/>
    </xf>
    <xf numFmtId="0" fontId="134" fillId="0" borderId="94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wrapText="1" readingOrder="1"/>
    </xf>
    <xf numFmtId="0" fontId="5" fillId="0" borderId="92" xfId="0" applyFont="1" applyBorder="1" applyAlignment="1">
      <alignment horizontal="center" vertical="top" wrapText="1" readingOrder="1"/>
    </xf>
    <xf numFmtId="0" fontId="16" fillId="0" borderId="0" xfId="0" applyFont="1" applyAlignment="1">
      <alignment horizontal="center" readingOrder="1"/>
    </xf>
    <xf numFmtId="0" fontId="5" fillId="0" borderId="89" xfId="0" applyFont="1" applyBorder="1" applyAlignment="1">
      <alignment horizontal="center" vertical="center" wrapText="1" readingOrder="1"/>
    </xf>
    <xf numFmtId="0" fontId="5" fillId="0" borderId="90" xfId="0" applyFont="1" applyBorder="1" applyAlignment="1">
      <alignment horizontal="center" vertical="center" wrapText="1" readingOrder="1"/>
    </xf>
    <xf numFmtId="0" fontId="134" fillId="0" borderId="96" xfId="0" applyFont="1" applyBorder="1" applyAlignment="1">
      <alignment horizontal="center" vertical="center" wrapText="1" readingOrder="1"/>
    </xf>
    <xf numFmtId="0" fontId="134" fillId="0" borderId="97" xfId="0" applyFont="1" applyBorder="1" applyAlignment="1">
      <alignment horizontal="center" vertical="center" wrapText="1" readingOrder="1"/>
    </xf>
    <xf numFmtId="0" fontId="134" fillId="0" borderId="0" xfId="0" applyFont="1" applyAlignment="1">
      <alignment horizontal="center" vertical="center" wrapText="1" readingOrder="1"/>
    </xf>
    <xf numFmtId="0" fontId="5" fillId="0" borderId="92" xfId="0" applyFont="1" applyBorder="1" applyAlignment="1">
      <alignment horizontal="center" vertical="center" wrapText="1" readingOrder="1"/>
    </xf>
    <xf numFmtId="0" fontId="135" fillId="0" borderId="95" xfId="0" applyFont="1" applyBorder="1" applyAlignment="1">
      <alignment horizontal="center" vertical="top" wrapText="1" readingOrder="1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139" fillId="0" borderId="4" xfId="0" applyFont="1" applyBorder="1" applyAlignment="1">
      <alignment horizontal="center" wrapText="1" readingOrder="1"/>
    </xf>
    <xf numFmtId="1" fontId="140" fillId="0" borderId="4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1" fontId="40" fillId="0" borderId="4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166" fontId="4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128" fillId="0" borderId="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/>
    </xf>
    <xf numFmtId="0" fontId="5" fillId="0" borderId="4" xfId="0" applyFont="1" applyBorder="1"/>
    <xf numFmtId="1" fontId="1" fillId="0" borderId="4" xfId="0" applyNumberFormat="1" applyFont="1" applyBorder="1"/>
    <xf numFmtId="0" fontId="3" fillId="0" borderId="0" xfId="0" applyFont="1"/>
    <xf numFmtId="1" fontId="3" fillId="0" borderId="0" xfId="0" applyNumberFormat="1" applyFont="1" applyAlignment="1">
      <alignment horizontal="center" vertical="center"/>
    </xf>
    <xf numFmtId="166" fontId="44" fillId="0" borderId="17" xfId="0" applyNumberFormat="1" applyFont="1" applyBorder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3" fillId="0" borderId="55" xfId="0" applyFont="1" applyBorder="1" applyAlignment="1">
      <alignment horizontal="center"/>
    </xf>
    <xf numFmtId="1" fontId="3" fillId="0" borderId="55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43" fillId="0" borderId="17" xfId="0" applyNumberFormat="1" applyFont="1" applyBorder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41" fillId="0" borderId="4" xfId="0" applyFont="1" applyBorder="1" applyAlignment="1">
      <alignment horizontal="left"/>
    </xf>
    <xf numFmtId="0" fontId="3" fillId="0" borderId="52" xfId="0" applyFont="1" applyBorder="1" applyAlignment="1">
      <alignment horizontal="center" vertical="center"/>
    </xf>
    <xf numFmtId="0" fontId="5" fillId="0" borderId="52" xfId="0" applyFont="1" applyBorder="1"/>
    <xf numFmtId="1" fontId="3" fillId="0" borderId="52" xfId="0" applyNumberFormat="1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0" fillId="0" borderId="52" xfId="0" applyBorder="1"/>
    <xf numFmtId="1" fontId="1" fillId="0" borderId="52" xfId="0" applyNumberFormat="1" applyFont="1" applyBorder="1" applyAlignment="1">
      <alignment horizontal="center" vertical="center"/>
    </xf>
    <xf numFmtId="0" fontId="10" fillId="0" borderId="0" xfId="0" applyFont="1"/>
    <xf numFmtId="171" fontId="16" fillId="0" borderId="0" xfId="0" applyNumberFormat="1" applyFont="1"/>
    <xf numFmtId="0" fontId="16" fillId="0" borderId="32" xfId="0" applyFont="1" applyBorder="1"/>
    <xf numFmtId="0" fontId="8" fillId="0" borderId="28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" fontId="9" fillId="0" borderId="36" xfId="0" applyNumberFormat="1" applyFont="1" applyBorder="1" applyAlignment="1">
      <alignment horizontal="center"/>
    </xf>
    <xf numFmtId="1" fontId="9" fillId="0" borderId="37" xfId="0" applyNumberFormat="1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0" borderId="44" xfId="0" applyNumberFormat="1" applyFont="1" applyBorder="1" applyAlignment="1">
      <alignment horizontal="center"/>
    </xf>
    <xf numFmtId="1" fontId="9" fillId="0" borderId="54" xfId="0" applyNumberFormat="1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1" fontId="9" fillId="0" borderId="48" xfId="0" applyNumberFormat="1" applyFont="1" applyBorder="1" applyAlignment="1">
      <alignment horizontal="center"/>
    </xf>
    <xf numFmtId="1" fontId="9" fillId="0" borderId="52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1" fontId="9" fillId="0" borderId="64" xfId="0" applyNumberFormat="1" applyFont="1" applyBorder="1" applyAlignment="1">
      <alignment horizontal="center"/>
    </xf>
    <xf numFmtId="1" fontId="9" fillId="0" borderId="65" xfId="0" applyNumberFormat="1" applyFont="1" applyBorder="1" applyAlignment="1">
      <alignment horizontal="center"/>
    </xf>
    <xf numFmtId="1" fontId="9" fillId="0" borderId="28" xfId="0" applyNumberFormat="1" applyFont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171" fontId="9" fillId="0" borderId="0" xfId="0" applyNumberFormat="1" applyFont="1" applyAlignment="1">
      <alignment horizontal="center"/>
    </xf>
    <xf numFmtId="0" fontId="19" fillId="0" borderId="0" xfId="0" applyFont="1"/>
    <xf numFmtId="0" fontId="9" fillId="0" borderId="29" xfId="0" applyFont="1" applyBorder="1" applyAlignment="1">
      <alignment horizontal="center"/>
    </xf>
    <xf numFmtId="1" fontId="9" fillId="0" borderId="38" xfId="0" applyNumberFormat="1" applyFont="1" applyBorder="1" applyAlignment="1">
      <alignment horizontal="center"/>
    </xf>
    <xf numFmtId="1" fontId="9" fillId="0" borderId="56" xfId="0" applyNumberFormat="1" applyFont="1" applyBorder="1" applyAlignment="1">
      <alignment horizontal="center"/>
    </xf>
    <xf numFmtId="1" fontId="9" fillId="0" borderId="61" xfId="0" applyNumberFormat="1" applyFont="1" applyBorder="1" applyAlignment="1">
      <alignment horizontal="center"/>
    </xf>
    <xf numFmtId="1" fontId="9" fillId="0" borderId="67" xfId="0" applyNumberFormat="1" applyFont="1" applyBorder="1" applyAlignment="1">
      <alignment horizontal="center"/>
    </xf>
    <xf numFmtId="0" fontId="10" fillId="0" borderId="10" xfId="0" applyFont="1" applyBorder="1"/>
    <xf numFmtId="0" fontId="16" fillId="0" borderId="10" xfId="0" applyFont="1" applyBorder="1"/>
    <xf numFmtId="0" fontId="16" fillId="0" borderId="13" xfId="0" applyFont="1" applyBorder="1"/>
    <xf numFmtId="0" fontId="8" fillId="0" borderId="35" xfId="0" applyFont="1" applyBorder="1" applyAlignment="1">
      <alignment vertical="top"/>
    </xf>
    <xf numFmtId="168" fontId="9" fillId="0" borderId="14" xfId="0" applyNumberFormat="1" applyFont="1" applyBorder="1" applyAlignment="1">
      <alignment horizontal="center"/>
    </xf>
    <xf numFmtId="168" fontId="9" fillId="0" borderId="15" xfId="0" applyNumberFormat="1" applyFont="1" applyBorder="1" applyAlignment="1">
      <alignment horizontal="center"/>
    </xf>
    <xf numFmtId="168" fontId="9" fillId="0" borderId="36" xfId="0" applyNumberFormat="1" applyFont="1" applyBorder="1" applyAlignment="1">
      <alignment horizontal="center"/>
    </xf>
    <xf numFmtId="168" fontId="9" fillId="0" borderId="38" xfId="0" applyNumberFormat="1" applyFont="1" applyBorder="1" applyAlignment="1">
      <alignment horizontal="center"/>
    </xf>
    <xf numFmtId="0" fontId="8" fillId="0" borderId="59" xfId="0" applyFont="1" applyBorder="1" applyAlignment="1">
      <alignment vertical="top"/>
    </xf>
    <xf numFmtId="168" fontId="9" fillId="0" borderId="16" xfId="0" applyNumberFormat="1" applyFont="1" applyBorder="1" applyAlignment="1">
      <alignment horizontal="center"/>
    </xf>
    <xf numFmtId="168" fontId="9" fillId="0" borderId="17" xfId="0" applyNumberFormat="1" applyFont="1" applyBorder="1" applyAlignment="1">
      <alignment horizontal="center"/>
    </xf>
    <xf numFmtId="168" fontId="9" fillId="0" borderId="44" xfId="0" applyNumberFormat="1" applyFont="1" applyBorder="1" applyAlignment="1">
      <alignment horizontal="center"/>
    </xf>
    <xf numFmtId="168" fontId="9" fillId="0" borderId="56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" fontId="119" fillId="0" borderId="4" xfId="0" applyNumberFormat="1" applyFont="1" applyBorder="1" applyAlignment="1">
      <alignment horizontal="left"/>
    </xf>
    <xf numFmtId="168" fontId="9" fillId="0" borderId="37" xfId="0" applyNumberFormat="1" applyFont="1" applyBorder="1" applyAlignment="1">
      <alignment horizontal="center"/>
    </xf>
    <xf numFmtId="168" fontId="9" fillId="0" borderId="54" xfId="0" applyNumberFormat="1" applyFont="1" applyBorder="1" applyAlignment="1">
      <alignment horizontal="center"/>
    </xf>
    <xf numFmtId="0" fontId="3" fillId="0" borderId="3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1" fillId="0" borderId="44" xfId="0" applyFont="1" applyBorder="1"/>
    <xf numFmtId="0" fontId="3" fillId="0" borderId="59" xfId="0" applyFont="1" applyBorder="1" applyAlignment="1">
      <alignment horizontal="center"/>
    </xf>
    <xf numFmtId="0" fontId="1" fillId="0" borderId="39" xfId="0" applyFont="1" applyBorder="1"/>
    <xf numFmtId="0" fontId="40" fillId="0" borderId="40" xfId="0" applyFont="1" applyBorder="1" applyAlignment="1">
      <alignment horizontal="center" vertical="center"/>
    </xf>
    <xf numFmtId="0" fontId="1" fillId="0" borderId="40" xfId="0" applyFont="1" applyBorder="1"/>
    <xf numFmtId="0" fontId="40" fillId="0" borderId="58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40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1" fillId="0" borderId="3" xfId="0" applyFont="1" applyBorder="1"/>
    <xf numFmtId="0" fontId="1" fillId="0" borderId="24" xfId="0" applyFont="1" applyBorder="1"/>
    <xf numFmtId="0" fontId="45" fillId="0" borderId="4" xfId="0" applyFont="1" applyBorder="1" applyAlignment="1">
      <alignment horizontal="center" vertical="center"/>
    </xf>
    <xf numFmtId="0" fontId="36" fillId="0" borderId="4" xfId="0" applyFont="1" applyBorder="1"/>
    <xf numFmtId="0" fontId="8" fillId="0" borderId="66" xfId="0" applyFont="1" applyBorder="1" applyAlignment="1">
      <alignment vertical="top"/>
    </xf>
    <xf numFmtId="168" fontId="9" fillId="0" borderId="19" xfId="0" applyNumberFormat="1" applyFont="1" applyBorder="1" applyAlignment="1">
      <alignment horizontal="center"/>
    </xf>
    <xf numFmtId="168" fontId="9" fillId="0" borderId="48" xfId="0" applyNumberFormat="1" applyFont="1" applyBorder="1" applyAlignment="1">
      <alignment horizontal="center"/>
    </xf>
    <xf numFmtId="168" fontId="9" fillId="0" borderId="61" xfId="0" applyNumberFormat="1" applyFont="1" applyBorder="1" applyAlignment="1">
      <alignment horizontal="center"/>
    </xf>
    <xf numFmtId="0" fontId="8" fillId="0" borderId="32" xfId="0" applyFont="1" applyBorder="1" applyAlignment="1">
      <alignment vertical="top"/>
    </xf>
    <xf numFmtId="168" fontId="9" fillId="0" borderId="64" xfId="0" applyNumberFormat="1" applyFont="1" applyBorder="1" applyAlignment="1">
      <alignment horizontal="center"/>
    </xf>
    <xf numFmtId="168" fontId="9" fillId="0" borderId="65" xfId="0" applyNumberFormat="1" applyFont="1" applyBorder="1" applyAlignment="1">
      <alignment horizontal="center"/>
    </xf>
    <xf numFmtId="168" fontId="9" fillId="0" borderId="67" xfId="0" applyNumberFormat="1" applyFont="1" applyBorder="1" applyAlignment="1">
      <alignment horizontal="center"/>
    </xf>
    <xf numFmtId="0" fontId="32" fillId="0" borderId="7" xfId="0" applyFont="1" applyBorder="1"/>
    <xf numFmtId="0" fontId="19" fillId="0" borderId="7" xfId="0" applyFont="1" applyBorder="1"/>
    <xf numFmtId="0" fontId="16" fillId="0" borderId="7" xfId="0" applyFont="1" applyBorder="1"/>
    <xf numFmtId="171" fontId="16" fillId="0" borderId="7" xfId="0" applyNumberFormat="1" applyFont="1" applyBorder="1"/>
    <xf numFmtId="1" fontId="16" fillId="0" borderId="7" xfId="0" applyNumberFormat="1" applyFont="1" applyBorder="1"/>
    <xf numFmtId="1" fontId="16" fillId="0" borderId="8" xfId="0" applyNumberFormat="1" applyFont="1" applyBorder="1"/>
    <xf numFmtId="0" fontId="0" fillId="0" borderId="33" xfId="0" applyBorder="1"/>
    <xf numFmtId="0" fontId="0" fillId="0" borderId="29" xfId="0" applyBorder="1"/>
    <xf numFmtId="0" fontId="3" fillId="0" borderId="5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40" fillId="0" borderId="44" xfId="0" applyFont="1" applyBorder="1" applyAlignment="1">
      <alignment vertical="center"/>
    </xf>
    <xf numFmtId="0" fontId="40" fillId="0" borderId="0" xfId="0" applyFont="1" applyAlignment="1">
      <alignment vertical="center"/>
    </xf>
    <xf numFmtId="1" fontId="40" fillId="0" borderId="44" xfId="0" applyNumberFormat="1" applyFont="1" applyBorder="1" applyAlignment="1">
      <alignment horizontal="center" vertical="center"/>
    </xf>
    <xf numFmtId="0" fontId="1" fillId="0" borderId="13" xfId="0" applyFont="1" applyBorder="1"/>
    <xf numFmtId="0" fontId="3" fillId="0" borderId="40" xfId="0" applyFont="1" applyBorder="1" applyAlignment="1">
      <alignment horizontal="center" vertical="center"/>
    </xf>
    <xf numFmtId="1" fontId="40" fillId="0" borderId="40" xfId="0" applyNumberFormat="1" applyFont="1" applyBorder="1" applyAlignment="1">
      <alignment horizontal="center" vertical="center"/>
    </xf>
    <xf numFmtId="0" fontId="40" fillId="0" borderId="68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1" fontId="40" fillId="0" borderId="7" xfId="0" applyNumberFormat="1" applyFont="1" applyBorder="1" applyAlignment="1">
      <alignment horizontal="center" vertical="center"/>
    </xf>
    <xf numFmtId="0" fontId="1" fillId="0" borderId="8" xfId="0" applyFont="1" applyBorder="1"/>
    <xf numFmtId="0" fontId="3" fillId="0" borderId="33" xfId="0" applyFont="1" applyBorder="1" applyAlignment="1">
      <alignment vertical="center"/>
    </xf>
    <xf numFmtId="0" fontId="1" fillId="0" borderId="29" xfId="0" applyFont="1" applyBorder="1"/>
    <xf numFmtId="0" fontId="40" fillId="0" borderId="11" xfId="0" applyFont="1" applyBorder="1" applyAlignment="1">
      <alignment vertical="center"/>
    </xf>
    <xf numFmtId="16" fontId="40" fillId="0" borderId="0" xfId="0" applyNumberFormat="1" applyFont="1" applyAlignment="1">
      <alignment vertical="center"/>
    </xf>
    <xf numFmtId="0" fontId="41" fillId="0" borderId="4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1" fontId="45" fillId="0" borderId="25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1" fontId="45" fillId="0" borderId="7" xfId="0" applyNumberFormat="1" applyFont="1" applyBorder="1" applyAlignment="1">
      <alignment horizontal="center" vertical="center"/>
    </xf>
    <xf numFmtId="0" fontId="36" fillId="0" borderId="8" xfId="0" applyFont="1" applyBorder="1"/>
    <xf numFmtId="0" fontId="1" fillId="0" borderId="3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" fontId="1" fillId="0" borderId="26" xfId="0" applyNumberFormat="1" applyFont="1" applyBorder="1" applyAlignment="1">
      <alignment horizontal="center"/>
    </xf>
    <xf numFmtId="168" fontId="9" fillId="0" borderId="52" xfId="0" applyNumberFormat="1" applyFont="1" applyBorder="1" applyAlignment="1">
      <alignment horizontal="center"/>
    </xf>
    <xf numFmtId="0" fontId="0" fillId="0" borderId="61" xfId="0" applyBorder="1"/>
    <xf numFmtId="0" fontId="2" fillId="0" borderId="16" xfId="0" applyFont="1" applyBorder="1" applyAlignment="1">
      <alignment horizontal="left" vertical="center"/>
    </xf>
    <xf numFmtId="0" fontId="6" fillId="0" borderId="5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171" fontId="6" fillId="0" borderId="25" xfId="0" applyNumberFormat="1" applyFont="1" applyBorder="1" applyAlignment="1">
      <alignment horizontal="center"/>
    </xf>
    <xf numFmtId="171" fontId="0" fillId="0" borderId="0" xfId="0" applyNumberFormat="1"/>
    <xf numFmtId="0" fontId="7" fillId="0" borderId="24" xfId="0" applyFont="1" applyBorder="1" applyAlignment="1">
      <alignment horizontal="center"/>
    </xf>
    <xf numFmtId="0" fontId="1" fillId="0" borderId="5" xfId="0" applyFont="1" applyBorder="1"/>
    <xf numFmtId="0" fontId="1" fillId="0" borderId="26" xfId="0" applyFont="1" applyBorder="1"/>
    <xf numFmtId="0" fontId="141" fillId="0" borderId="47" xfId="0" applyFont="1" applyBorder="1" applyAlignment="1">
      <alignment horizontal="center" vertical="center"/>
    </xf>
    <xf numFmtId="0" fontId="128" fillId="0" borderId="4" xfId="0" applyFont="1" applyBorder="1" applyAlignment="1">
      <alignment horizontal="center"/>
    </xf>
    <xf numFmtId="0" fontId="140" fillId="0" borderId="4" xfId="0" applyFont="1" applyBorder="1" applyAlignment="1">
      <alignment horizontal="center" vertical="center"/>
    </xf>
    <xf numFmtId="0" fontId="126" fillId="0" borderId="3" xfId="0" applyFont="1" applyBorder="1" applyAlignment="1">
      <alignment horizontal="left" vertical="center"/>
    </xf>
    <xf numFmtId="1" fontId="142" fillId="0" borderId="4" xfId="0" applyNumberFormat="1" applyFont="1" applyBorder="1" applyAlignment="1">
      <alignment horizontal="center" vertical="center"/>
    </xf>
    <xf numFmtId="1" fontId="122" fillId="0" borderId="4" xfId="0" applyNumberFormat="1" applyFont="1" applyBorder="1" applyAlignment="1">
      <alignment horizontal="center" vertical="center"/>
    </xf>
    <xf numFmtId="0" fontId="122" fillId="0" borderId="4" xfId="0" applyFont="1" applyBorder="1" applyAlignment="1">
      <alignment horizontal="center" vertical="center"/>
    </xf>
    <xf numFmtId="0" fontId="140" fillId="0" borderId="3" xfId="0" applyFont="1" applyBorder="1" applyAlignment="1">
      <alignment horizontal="left" vertical="center"/>
    </xf>
    <xf numFmtId="0" fontId="140" fillId="0" borderId="0" xfId="0" applyFont="1" applyAlignment="1">
      <alignment horizontal="left" vertical="center"/>
    </xf>
    <xf numFmtId="0" fontId="128" fillId="0" borderId="0" xfId="0" applyFont="1" applyAlignment="1">
      <alignment horizontal="center"/>
    </xf>
    <xf numFmtId="1" fontId="142" fillId="0" borderId="0" xfId="0" applyNumberFormat="1" applyFont="1" applyAlignment="1">
      <alignment horizontal="center" vertical="center"/>
    </xf>
    <xf numFmtId="0" fontId="126" fillId="0" borderId="3" xfId="605" applyFont="1" applyBorder="1" applyAlignment="1">
      <alignment horizontal="left" vertical="center"/>
    </xf>
    <xf numFmtId="0" fontId="128" fillId="0" borderId="4" xfId="605" applyFont="1" applyBorder="1" applyAlignment="1">
      <alignment horizontal="center" vertical="center"/>
    </xf>
    <xf numFmtId="1" fontId="142" fillId="0" borderId="4" xfId="605" applyNumberFormat="1" applyFont="1" applyBorder="1" applyAlignment="1">
      <alignment horizontal="center" vertical="center"/>
    </xf>
    <xf numFmtId="1" fontId="140" fillId="0" borderId="4" xfId="605" applyNumberFormat="1" applyFont="1" applyBorder="1" applyAlignment="1">
      <alignment horizontal="center" vertical="center"/>
    </xf>
    <xf numFmtId="1" fontId="122" fillId="0" borderId="4" xfId="605" applyNumberFormat="1" applyFont="1" applyBorder="1" applyAlignment="1">
      <alignment horizontal="center" vertical="center"/>
    </xf>
    <xf numFmtId="0" fontId="128" fillId="0" borderId="4" xfId="0" applyFont="1" applyBorder="1" applyAlignment="1">
      <alignment horizontal="center" vertical="center"/>
    </xf>
    <xf numFmtId="0" fontId="126" fillId="0" borderId="4" xfId="0" applyFont="1" applyBorder="1" applyAlignment="1">
      <alignment vertical="center"/>
    </xf>
    <xf numFmtId="1" fontId="143" fillId="0" borderId="4" xfId="605" applyNumberFormat="1" applyFont="1" applyBorder="1" applyAlignment="1">
      <alignment horizontal="center" vertical="center"/>
    </xf>
    <xf numFmtId="0" fontId="140" fillId="0" borderId="4" xfId="0" applyFont="1" applyBorder="1" applyAlignment="1">
      <alignment vertical="center"/>
    </xf>
    <xf numFmtId="1" fontId="143" fillId="0" borderId="4" xfId="0" applyNumberFormat="1" applyFont="1" applyBorder="1" applyAlignment="1">
      <alignment horizontal="center" vertical="center"/>
    </xf>
    <xf numFmtId="2" fontId="140" fillId="0" borderId="5" xfId="0" applyNumberFormat="1" applyFont="1" applyBorder="1" applyAlignment="1">
      <alignment horizontal="center" vertical="center"/>
    </xf>
    <xf numFmtId="1" fontId="140" fillId="0" borderId="5" xfId="0" applyNumberFormat="1" applyFont="1" applyBorder="1" applyAlignment="1">
      <alignment horizontal="center" vertical="center"/>
    </xf>
    <xf numFmtId="1" fontId="140" fillId="0" borderId="0" xfId="0" applyNumberFormat="1" applyFont="1" applyAlignment="1">
      <alignment horizontal="center" vertical="center"/>
    </xf>
    <xf numFmtId="1" fontId="140" fillId="0" borderId="5" xfId="605" applyNumberFormat="1" applyFont="1" applyBorder="1" applyAlignment="1">
      <alignment horizontal="center" vertical="center"/>
    </xf>
    <xf numFmtId="0" fontId="122" fillId="0" borderId="4" xfId="0" applyFont="1" applyBorder="1" applyAlignment="1">
      <alignment horizontal="center"/>
    </xf>
    <xf numFmtId="0" fontId="122" fillId="0" borderId="4" xfId="0" applyFont="1" applyBorder="1"/>
    <xf numFmtId="0" fontId="29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0" fillId="0" borderId="6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40" fillId="0" borderId="70" xfId="0" applyFont="1" applyBorder="1" applyAlignment="1">
      <alignment horizontal="center" vertical="center"/>
    </xf>
    <xf numFmtId="0" fontId="29" fillId="0" borderId="10" xfId="0" applyFont="1" applyBorder="1"/>
    <xf numFmtId="0" fontId="3" fillId="0" borderId="10" xfId="0" applyFont="1" applyBorder="1" applyAlignment="1">
      <alignment vertical="center"/>
    </xf>
    <xf numFmtId="0" fontId="40" fillId="0" borderId="5" xfId="0" applyFont="1" applyBorder="1" applyAlignment="1">
      <alignment horizontal="center" vertical="center"/>
    </xf>
    <xf numFmtId="0" fontId="9" fillId="0" borderId="51" xfId="0" applyFont="1" applyBorder="1" applyAlignment="1">
      <alignment vertical="center"/>
    </xf>
    <xf numFmtId="1" fontId="128" fillId="0" borderId="4" xfId="0" applyNumberFormat="1" applyFont="1" applyBorder="1" applyAlignment="1">
      <alignment horizontal="center"/>
    </xf>
    <xf numFmtId="0" fontId="140" fillId="0" borderId="17" xfId="0" applyFont="1" applyBorder="1" applyAlignment="1">
      <alignment vertical="center"/>
    </xf>
    <xf numFmtId="0" fontId="140" fillId="0" borderId="54" xfId="0" applyFont="1" applyBorder="1" applyAlignment="1">
      <alignment vertical="center"/>
    </xf>
    <xf numFmtId="0" fontId="140" fillId="0" borderId="16" xfId="0" applyFont="1" applyBorder="1" applyAlignment="1">
      <alignment vertical="center"/>
    </xf>
    <xf numFmtId="0" fontId="140" fillId="0" borderId="56" xfId="0" applyFont="1" applyBorder="1" applyAlignment="1">
      <alignment horizontal="center" vertical="center"/>
    </xf>
    <xf numFmtId="0" fontId="40" fillId="0" borderId="4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40" fillId="0" borderId="13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8" xfId="0" applyFont="1" applyBorder="1" applyAlignment="1">
      <alignment vertical="center"/>
    </xf>
    <xf numFmtId="0" fontId="29" fillId="0" borderId="12" xfId="0" applyFont="1" applyBorder="1"/>
    <xf numFmtId="14" fontId="29" fillId="0" borderId="4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29" fillId="0" borderId="25" xfId="0" applyFont="1" applyBorder="1" applyAlignment="1">
      <alignment horizontal="center"/>
    </xf>
    <xf numFmtId="166" fontId="8" fillId="0" borderId="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4" fillId="0" borderId="3" xfId="0" applyFont="1" applyBorder="1"/>
    <xf numFmtId="0" fontId="2" fillId="0" borderId="3" xfId="0" applyFont="1" applyBorder="1" applyAlignment="1">
      <alignment horizontal="center" vertical="top"/>
    </xf>
    <xf numFmtId="0" fontId="15" fillId="0" borderId="5" xfId="0" applyFont="1" applyBorder="1"/>
    <xf numFmtId="0" fontId="1" fillId="0" borderId="5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2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40" fillId="0" borderId="11" xfId="0" applyFont="1" applyBorder="1" applyAlignment="1">
      <alignment horizontal="left" vertical="center"/>
    </xf>
    <xf numFmtId="0" fontId="126" fillId="0" borderId="24" xfId="0" applyFont="1" applyBorder="1" applyAlignment="1">
      <alignment horizontal="left" vertical="center"/>
    </xf>
    <xf numFmtId="1" fontId="122" fillId="0" borderId="25" xfId="0" applyNumberFormat="1" applyFont="1" applyBorder="1" applyAlignment="1">
      <alignment horizontal="center" vertical="center"/>
    </xf>
    <xf numFmtId="1" fontId="140" fillId="0" borderId="13" xfId="0" applyNumberFormat="1" applyFont="1" applyBorder="1" applyAlignment="1">
      <alignment horizontal="center" vertical="center"/>
    </xf>
    <xf numFmtId="1" fontId="122" fillId="0" borderId="5" xfId="0" applyNumberFormat="1" applyFont="1" applyBorder="1" applyAlignment="1">
      <alignment horizontal="center" vertical="center"/>
    </xf>
    <xf numFmtId="1" fontId="140" fillId="0" borderId="25" xfId="0" applyNumberFormat="1" applyFont="1" applyBorder="1" applyAlignment="1">
      <alignment horizontal="center" vertical="center"/>
    </xf>
    <xf numFmtId="1" fontId="122" fillId="0" borderId="26" xfId="0" applyNumberFormat="1" applyFont="1" applyBorder="1" applyAlignment="1">
      <alignment horizontal="center" vertical="center"/>
    </xf>
    <xf numFmtId="0" fontId="126" fillId="0" borderId="0" xfId="0" applyFont="1" applyAlignment="1">
      <alignment horizontal="left" vertical="center"/>
    </xf>
    <xf numFmtId="1" fontId="122" fillId="0" borderId="0" xfId="0" applyNumberFormat="1" applyFont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6" fillId="0" borderId="11" xfId="0" applyFont="1" applyBorder="1"/>
    <xf numFmtId="0" fontId="6" fillId="0" borderId="50" xfId="0" applyFont="1" applyBorder="1"/>
    <xf numFmtId="0" fontId="2" fillId="0" borderId="6" xfId="0" applyFont="1" applyBorder="1"/>
    <xf numFmtId="2" fontId="6" fillId="0" borderId="0" xfId="0" applyNumberFormat="1" applyFont="1"/>
    <xf numFmtId="0" fontId="144" fillId="0" borderId="98" xfId="0" applyFont="1" applyBorder="1" applyAlignment="1">
      <alignment horizontal="center" wrapText="1" readingOrder="1"/>
    </xf>
    <xf numFmtId="0" fontId="145" fillId="0" borderId="98" xfId="0" applyFont="1" applyBorder="1" applyAlignment="1">
      <alignment horizontal="center" wrapText="1" readingOrder="1"/>
    </xf>
    <xf numFmtId="0" fontId="146" fillId="0" borderId="98" xfId="0" applyFont="1" applyBorder="1" applyAlignment="1">
      <alignment horizontal="center" wrapText="1" readingOrder="1"/>
    </xf>
    <xf numFmtId="0" fontId="145" fillId="0" borderId="99" xfId="0" applyFont="1" applyBorder="1" applyAlignment="1">
      <alignment horizontal="center" wrapText="1" readingOrder="1"/>
    </xf>
    <xf numFmtId="0" fontId="122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166" fontId="125" fillId="0" borderId="0" xfId="0" applyNumberFormat="1" applyFont="1" applyAlignment="1">
      <alignment horizontal="center"/>
    </xf>
    <xf numFmtId="166" fontId="125" fillId="0" borderId="0" xfId="0" applyNumberFormat="1" applyFont="1"/>
    <xf numFmtId="168" fontId="122" fillId="0" borderId="0" xfId="0" applyNumberFormat="1" applyFont="1"/>
    <xf numFmtId="168" fontId="2" fillId="0" borderId="0" xfId="0" applyNumberFormat="1" applyFont="1"/>
    <xf numFmtId="172" fontId="2" fillId="0" borderId="0" xfId="0" applyNumberFormat="1" applyFont="1"/>
    <xf numFmtId="2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  <xf numFmtId="0" fontId="47" fillId="0" borderId="0" xfId="0" applyFont="1"/>
    <xf numFmtId="0" fontId="147" fillId="0" borderId="0" xfId="0" applyFont="1" applyAlignment="1">
      <alignment horizontal="center" readingOrder="1"/>
    </xf>
    <xf numFmtId="1" fontId="48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30" xfId="0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0" xfId="0" applyFont="1" applyAlignment="1">
      <alignment vertical="center"/>
    </xf>
    <xf numFmtId="1" fontId="6" fillId="0" borderId="50" xfId="0" applyNumberFormat="1" applyFont="1" applyBorder="1" applyAlignment="1">
      <alignment horizontal="center"/>
    </xf>
    <xf numFmtId="166" fontId="6" fillId="0" borderId="10" xfId="0" applyNumberFormat="1" applyFont="1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31" fillId="0" borderId="30" xfId="0" applyNumberFormat="1" applyFont="1" applyBorder="1"/>
    <xf numFmtId="0" fontId="6" fillId="0" borderId="38" xfId="0" applyFont="1" applyBorder="1" applyAlignment="1">
      <alignment horizontal="center"/>
    </xf>
    <xf numFmtId="166" fontId="6" fillId="0" borderId="13" xfId="0" applyNumberFormat="1" applyFon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7" xfId="0" applyFont="1" applyBorder="1" applyAlignment="1">
      <alignment horizontal="left"/>
    </xf>
    <xf numFmtId="0" fontId="6" fillId="0" borderId="55" xfId="0" applyFont="1" applyBorder="1"/>
    <xf numFmtId="173" fontId="6" fillId="0" borderId="55" xfId="565" applyNumberFormat="1" applyFont="1" applyBorder="1"/>
    <xf numFmtId="0" fontId="6" fillId="0" borderId="17" xfId="0" applyFont="1" applyBorder="1"/>
    <xf numFmtId="173" fontId="6" fillId="0" borderId="4" xfId="565" applyNumberFormat="1" applyFont="1" applyBorder="1"/>
    <xf numFmtId="0" fontId="6" fillId="0" borderId="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1" fontId="1" fillId="0" borderId="48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9" fillId="0" borderId="40" xfId="0" applyNumberFormat="1" applyFont="1" applyBorder="1" applyAlignment="1">
      <alignment horizontal="center" vertical="center"/>
    </xf>
    <xf numFmtId="0" fontId="6" fillId="17" borderId="5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5" xfId="0" applyFont="1" applyBorder="1"/>
    <xf numFmtId="0" fontId="6" fillId="0" borderId="59" xfId="0" applyFont="1" applyBorder="1"/>
    <xf numFmtId="0" fontId="148" fillId="0" borderId="0" xfId="0" applyFont="1" applyAlignment="1">
      <alignment wrapText="1"/>
    </xf>
    <xf numFmtId="0" fontId="149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0" fillId="0" borderId="0" xfId="0" applyFont="1" applyAlignment="1">
      <alignment wrapText="1"/>
    </xf>
    <xf numFmtId="0" fontId="151" fillId="0" borderId="0" xfId="0" applyFont="1" applyAlignment="1">
      <alignment wrapText="1"/>
    </xf>
    <xf numFmtId="0" fontId="6" fillId="17" borderId="39" xfId="0" applyFont="1" applyFill="1" applyBorder="1"/>
    <xf numFmtId="1" fontId="6" fillId="0" borderId="6" xfId="0" applyNumberFormat="1" applyFont="1" applyBorder="1"/>
    <xf numFmtId="1" fontId="6" fillId="0" borderId="31" xfId="0" applyNumberFormat="1" applyFont="1" applyBorder="1"/>
    <xf numFmtId="0" fontId="49" fillId="0" borderId="0" xfId="0" applyFont="1"/>
    <xf numFmtId="0" fontId="10" fillId="0" borderId="0" xfId="0" applyFont="1" applyAlignment="1">
      <alignment horizontal="center"/>
    </xf>
    <xf numFmtId="0" fontId="50" fillId="0" borderId="0" xfId="0" applyFont="1"/>
    <xf numFmtId="0" fontId="3" fillId="0" borderId="0" xfId="0" applyFont="1" applyAlignment="1">
      <alignment vertical="top" textRotation="45"/>
    </xf>
    <xf numFmtId="0" fontId="51" fillId="0" borderId="0" xfId="0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" fontId="52" fillId="0" borderId="44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1" fontId="52" fillId="0" borderId="30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1" fontId="52" fillId="0" borderId="48" xfId="0" applyNumberFormat="1" applyFont="1" applyBorder="1" applyAlignment="1">
      <alignment horizontal="center"/>
    </xf>
    <xf numFmtId="1" fontId="2" fillId="0" borderId="48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52" fillId="0" borderId="36" xfId="0" applyNumberFormat="1" applyFont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44" xfId="0" applyFont="1" applyBorder="1" applyAlignment="1">
      <alignment horizontal="left"/>
    </xf>
    <xf numFmtId="166" fontId="2" fillId="0" borderId="44" xfId="0" applyNumberFormat="1" applyFont="1" applyBorder="1" applyAlignment="1" applyProtection="1">
      <alignment horizontal="center"/>
      <protection locked="0"/>
    </xf>
    <xf numFmtId="0" fontId="2" fillId="0" borderId="31" xfId="0" applyFont="1" applyBorder="1"/>
    <xf numFmtId="1" fontId="52" fillId="0" borderId="31" xfId="0" applyNumberFormat="1" applyFont="1" applyBorder="1" applyAlignment="1">
      <alignment horizontal="center"/>
    </xf>
    <xf numFmtId="1" fontId="2" fillId="0" borderId="31" xfId="0" applyNumberFormat="1" applyFont="1" applyBorder="1" applyAlignment="1">
      <alignment horizontal="center"/>
    </xf>
    <xf numFmtId="0" fontId="2" fillId="0" borderId="32" xfId="0" applyFont="1" applyBorder="1"/>
    <xf numFmtId="1" fontId="52" fillId="0" borderId="33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" fontId="2" fillId="0" borderId="32" xfId="0" applyNumberFormat="1" applyFont="1" applyBorder="1" applyAlignment="1">
      <alignment horizontal="center"/>
    </xf>
    <xf numFmtId="1" fontId="5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10" fillId="0" borderId="9" xfId="0" applyFont="1" applyBorder="1"/>
    <xf numFmtId="1" fontId="2" fillId="0" borderId="10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50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132" fillId="0" borderId="9" xfId="0" applyFont="1" applyBorder="1"/>
    <xf numFmtId="0" fontId="132" fillId="0" borderId="50" xfId="0" applyFont="1" applyBorder="1" applyAlignment="1">
      <alignment horizontal="center"/>
    </xf>
    <xf numFmtId="1" fontId="132" fillId="0" borderId="10" xfId="0" applyNumberFormat="1" applyFont="1" applyBorder="1" applyAlignment="1">
      <alignment horizontal="center"/>
    </xf>
    <xf numFmtId="1" fontId="132" fillId="0" borderId="50" xfId="0" applyNumberFormat="1" applyFont="1" applyBorder="1" applyAlignment="1">
      <alignment horizontal="center"/>
    </xf>
    <xf numFmtId="1" fontId="132" fillId="0" borderId="28" xfId="0" applyNumberFormat="1" applyFont="1" applyBorder="1" applyAlignment="1">
      <alignment horizontal="center"/>
    </xf>
    <xf numFmtId="0" fontId="132" fillId="0" borderId="9" xfId="0" applyFont="1" applyBorder="1" applyAlignment="1">
      <alignment horizontal="center"/>
    </xf>
    <xf numFmtId="1" fontId="132" fillId="0" borderId="44" xfId="0" applyNumberFormat="1" applyFont="1" applyBorder="1" applyAlignment="1">
      <alignment horizontal="center"/>
    </xf>
    <xf numFmtId="0" fontId="132" fillId="0" borderId="6" xfId="0" applyFont="1" applyBorder="1"/>
    <xf numFmtId="0" fontId="132" fillId="0" borderId="31" xfId="0" applyFont="1" applyBorder="1" applyAlignment="1">
      <alignment horizontal="center"/>
    </xf>
    <xf numFmtId="1" fontId="132" fillId="0" borderId="7" xfId="0" applyNumberFormat="1" applyFont="1" applyBorder="1" applyAlignment="1">
      <alignment horizontal="center"/>
    </xf>
    <xf numFmtId="1" fontId="132" fillId="0" borderId="6" xfId="0" applyNumberFormat="1" applyFont="1" applyBorder="1" applyAlignment="1">
      <alignment horizontal="center"/>
    </xf>
    <xf numFmtId="1" fontId="132" fillId="0" borderId="31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0" borderId="50" xfId="0" applyFont="1" applyBorder="1"/>
    <xf numFmtId="1" fontId="2" fillId="0" borderId="12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" fontId="3" fillId="0" borderId="30" xfId="0" applyNumberFormat="1" applyFont="1" applyBorder="1" applyAlignment="1">
      <alignment horizontal="center"/>
    </xf>
    <xf numFmtId="1" fontId="53" fillId="0" borderId="30" xfId="0" applyNumberFormat="1" applyFont="1" applyBorder="1" applyAlignment="1">
      <alignment horizontal="center"/>
    </xf>
    <xf numFmtId="1" fontId="52" fillId="0" borderId="0" xfId="0" applyNumberFormat="1" applyFont="1"/>
    <xf numFmtId="1" fontId="2" fillId="0" borderId="13" xfId="0" applyNumberFormat="1" applyFont="1" applyBorder="1" applyAlignment="1">
      <alignment horizontal="center" vertical="center"/>
    </xf>
    <xf numFmtId="1" fontId="55" fillId="0" borderId="50" xfId="0" applyNumberFormat="1" applyFont="1" applyBorder="1"/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2" fontId="132" fillId="0" borderId="9" xfId="0" applyNumberFormat="1" applyFont="1" applyBorder="1" applyAlignment="1">
      <alignment horizontal="center"/>
    </xf>
    <xf numFmtId="2" fontId="52" fillId="0" borderId="12" xfId="0" applyNumberFormat="1" applyFont="1" applyBorder="1" applyAlignment="1">
      <alignment horizontal="center"/>
    </xf>
    <xf numFmtId="2" fontId="52" fillId="0" borderId="50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left"/>
    </xf>
    <xf numFmtId="2" fontId="132" fillId="0" borderId="11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30" xfId="0" applyNumberFormat="1" applyFont="1" applyBorder="1" applyAlignment="1">
      <alignment horizontal="center"/>
    </xf>
    <xf numFmtId="0" fontId="132" fillId="0" borderId="11" xfId="0" applyFont="1" applyBorder="1" applyAlignment="1">
      <alignment horizontal="center"/>
    </xf>
    <xf numFmtId="168" fontId="2" fillId="0" borderId="7" xfId="0" applyNumberFormat="1" applyFont="1" applyBorder="1" applyAlignment="1">
      <alignment horizontal="center" vertical="center"/>
    </xf>
    <xf numFmtId="168" fontId="2" fillId="0" borderId="28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 shrinkToFit="1"/>
    </xf>
    <xf numFmtId="49" fontId="2" fillId="0" borderId="0" xfId="0" applyNumberFormat="1" applyFont="1" applyAlignment="1">
      <alignment horizontal="left"/>
    </xf>
    <xf numFmtId="0" fontId="2" fillId="0" borderId="0" xfId="0" applyFont="1" applyProtection="1">
      <protection locked="0"/>
    </xf>
    <xf numFmtId="0" fontId="2" fillId="0" borderId="33" xfId="0" applyFont="1" applyBorder="1"/>
    <xf numFmtId="0" fontId="2" fillId="0" borderId="33" xfId="0" applyFont="1" applyBorder="1" applyAlignment="1">
      <alignment shrinkToFit="1"/>
    </xf>
    <xf numFmtId="17" fontId="2" fillId="0" borderId="28" xfId="0" applyNumberFormat="1" applyFont="1" applyBorder="1" applyAlignment="1">
      <alignment horizontal="center"/>
    </xf>
    <xf numFmtId="17" fontId="2" fillId="0" borderId="32" xfId="0" applyNumberFormat="1" applyFont="1" applyBorder="1" applyAlignment="1">
      <alignment horizontal="center"/>
    </xf>
    <xf numFmtId="0" fontId="1" fillId="0" borderId="9" xfId="0" applyFont="1" applyBorder="1"/>
    <xf numFmtId="0" fontId="2" fillId="22" borderId="10" xfId="0" applyFont="1" applyFill="1" applyBorder="1"/>
    <xf numFmtId="0" fontId="1" fillId="0" borderId="11" xfId="0" applyFont="1" applyBorder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2" fillId="0" borderId="13" xfId="0" applyFont="1" applyBorder="1"/>
    <xf numFmtId="1" fontId="2" fillId="0" borderId="35" xfId="0" applyNumberFormat="1" applyFont="1" applyBorder="1" applyAlignment="1">
      <alignment horizontal="center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3" xfId="0" applyFont="1" applyBorder="1" applyAlignment="1">
      <alignment wrapText="1"/>
    </xf>
    <xf numFmtId="1" fontId="2" fillId="0" borderId="66" xfId="0" applyNumberFormat="1" applyFont="1" applyBorder="1" applyAlignment="1">
      <alignment horizontal="center"/>
    </xf>
    <xf numFmtId="0" fontId="1" fillId="0" borderId="7" xfId="0" applyFont="1" applyBorder="1"/>
    <xf numFmtId="1" fontId="40" fillId="0" borderId="31" xfId="0" applyNumberFormat="1" applyFont="1" applyBorder="1" applyAlignment="1">
      <alignment vertical="center"/>
    </xf>
    <xf numFmtId="1" fontId="1" fillId="0" borderId="31" xfId="0" applyNumberFormat="1" applyFont="1" applyBorder="1" applyAlignment="1">
      <alignment vertical="center"/>
    </xf>
    <xf numFmtId="1" fontId="1" fillId="0" borderId="32" xfId="0" applyNumberFormat="1" applyFont="1" applyBorder="1" applyAlignment="1">
      <alignment vertical="center"/>
    </xf>
    <xf numFmtId="1" fontId="56" fillId="0" borderId="31" xfId="0" applyNumberFormat="1" applyFont="1" applyBorder="1" applyAlignment="1">
      <alignment vertical="center"/>
    </xf>
    <xf numFmtId="1" fontId="40" fillId="0" borderId="31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/>
    </xf>
    <xf numFmtId="1" fontId="40" fillId="0" borderId="32" xfId="0" applyNumberFormat="1" applyFont="1" applyBorder="1" applyAlignment="1">
      <alignment vertical="center"/>
    </xf>
    <xf numFmtId="1" fontId="2" fillId="0" borderId="8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2" fontId="2" fillId="0" borderId="12" xfId="0" applyNumberFormat="1" applyFont="1" applyBorder="1" applyAlignment="1">
      <alignment horizontal="center"/>
    </xf>
    <xf numFmtId="0" fontId="2" fillId="0" borderId="72" xfId="0" applyFont="1" applyBorder="1" applyAlignment="1">
      <alignment horizontal="left"/>
    </xf>
    <xf numFmtId="0" fontId="2" fillId="0" borderId="72" xfId="0" applyFont="1" applyBorder="1"/>
    <xf numFmtId="0" fontId="2" fillId="0" borderId="19" xfId="0" applyFont="1" applyBorder="1" applyAlignment="1">
      <alignment horizontal="center"/>
    </xf>
    <xf numFmtId="0" fontId="2" fillId="0" borderId="52" xfId="0" applyFont="1" applyBorder="1"/>
    <xf numFmtId="0" fontId="2" fillId="0" borderId="55" xfId="0" applyFont="1" applyBorder="1" applyAlignment="1">
      <alignment horizontal="left"/>
    </xf>
    <xf numFmtId="0" fontId="2" fillId="0" borderId="55" xfId="0" applyFont="1" applyBorder="1"/>
    <xf numFmtId="0" fontId="2" fillId="0" borderId="34" xfId="0" applyFont="1" applyBorder="1"/>
    <xf numFmtId="2" fontId="2" fillId="0" borderId="9" xfId="0" applyNumberFormat="1" applyFont="1" applyBorder="1" applyAlignment="1">
      <alignment horizontal="center"/>
    </xf>
    <xf numFmtId="1" fontId="132" fillId="0" borderId="9" xfId="0" applyNumberFormat="1" applyFont="1" applyBorder="1" applyAlignment="1">
      <alignment horizontal="center"/>
    </xf>
    <xf numFmtId="0" fontId="2" fillId="0" borderId="35" xfId="0" applyFont="1" applyBorder="1"/>
    <xf numFmtId="0" fontId="2" fillId="0" borderId="15" xfId="0" applyFont="1" applyBorder="1"/>
    <xf numFmtId="0" fontId="2" fillId="0" borderId="37" xfId="0" applyFont="1" applyBorder="1"/>
    <xf numFmtId="0" fontId="2" fillId="0" borderId="14" xfId="0" applyFont="1" applyBorder="1"/>
    <xf numFmtId="0" fontId="2" fillId="0" borderId="7" xfId="0" applyFont="1" applyBorder="1" applyAlignment="1">
      <alignment horizontal="center"/>
    </xf>
    <xf numFmtId="17" fontId="2" fillId="0" borderId="50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167" fontId="2" fillId="0" borderId="10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shrinkToFit="1"/>
    </xf>
    <xf numFmtId="1" fontId="2" fillId="0" borderId="30" xfId="0" applyNumberFormat="1" applyFont="1" applyBorder="1"/>
    <xf numFmtId="20" fontId="2" fillId="0" borderId="50" xfId="0" applyNumberFormat="1" applyFont="1" applyBorder="1" applyAlignment="1">
      <alignment horizontal="center"/>
    </xf>
    <xf numFmtId="20" fontId="2" fillId="0" borderId="0" xfId="0" applyNumberFormat="1" applyFont="1" applyAlignment="1">
      <alignment horizontal="center"/>
    </xf>
    <xf numFmtId="20" fontId="2" fillId="0" borderId="3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40" fillId="0" borderId="29" xfId="0" applyNumberFormat="1" applyFont="1" applyBorder="1" applyAlignment="1">
      <alignment vertical="center"/>
    </xf>
    <xf numFmtId="20" fontId="57" fillId="0" borderId="31" xfId="0" applyNumberFormat="1" applyFont="1" applyBorder="1" applyAlignment="1">
      <alignment horizontal="center"/>
    </xf>
    <xf numFmtId="20" fontId="57" fillId="0" borderId="0" xfId="0" applyNumberFormat="1" applyFont="1" applyAlignment="1">
      <alignment horizontal="center"/>
    </xf>
    <xf numFmtId="0" fontId="2" fillId="0" borderId="74" xfId="0" applyFont="1" applyBorder="1" applyAlignment="1">
      <alignment horizontal="left"/>
    </xf>
    <xf numFmtId="0" fontId="2" fillId="0" borderId="67" xfId="0" applyFont="1" applyBorder="1" applyAlignment="1">
      <alignment horizontal="center"/>
    </xf>
    <xf numFmtId="14" fontId="2" fillId="0" borderId="11" xfId="0" applyNumberFormat="1" applyFont="1" applyBorder="1"/>
    <xf numFmtId="0" fontId="2" fillId="14" borderId="0" xfId="0" applyFont="1" applyFill="1"/>
    <xf numFmtId="171" fontId="2" fillId="0" borderId="30" xfId="0" applyNumberFormat="1" applyFont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52" fillId="0" borderId="100" xfId="0" applyFont="1" applyBorder="1" applyAlignment="1">
      <alignment horizontal="center" wrapText="1" readingOrder="1"/>
    </xf>
    <xf numFmtId="1" fontId="152" fillId="0" borderId="100" xfId="0" applyNumberFormat="1" applyFont="1" applyBorder="1" applyAlignment="1">
      <alignment horizontal="center" wrapText="1" readingOrder="1"/>
    </xf>
    <xf numFmtId="0" fontId="152" fillId="0" borderId="87" xfId="0" applyFont="1" applyBorder="1" applyAlignment="1">
      <alignment horizontal="center" wrapText="1" readingOrder="1"/>
    </xf>
    <xf numFmtId="1" fontId="2" fillId="14" borderId="43" xfId="0" applyNumberFormat="1" applyFont="1" applyFill="1" applyBorder="1" applyAlignment="1">
      <alignment horizontal="center"/>
    </xf>
    <xf numFmtId="1" fontId="2" fillId="0" borderId="13" xfId="0" applyNumberFormat="1" applyFont="1" applyBorder="1"/>
    <xf numFmtId="14" fontId="2" fillId="0" borderId="29" xfId="0" applyNumberFormat="1" applyFont="1" applyBorder="1"/>
    <xf numFmtId="2" fontId="2" fillId="0" borderId="50" xfId="0" applyNumberFormat="1" applyFont="1" applyBorder="1" applyAlignment="1">
      <alignment horizontal="center"/>
    </xf>
    <xf numFmtId="2" fontId="132" fillId="0" borderId="6" xfId="0" applyNumberFormat="1" applyFont="1" applyBorder="1" applyAlignment="1">
      <alignment horizontal="center"/>
    </xf>
    <xf numFmtId="2" fontId="2" fillId="22" borderId="29" xfId="0" applyNumberFormat="1" applyFont="1" applyFill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168" fontId="2" fillId="0" borderId="29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73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1" fontId="2" fillId="0" borderId="28" xfId="0" applyNumberFormat="1" applyFont="1" applyBorder="1" applyAlignment="1">
      <alignment horizontal="left"/>
    </xf>
    <xf numFmtId="2" fontId="2" fillId="0" borderId="28" xfId="0" applyNumberFormat="1" applyFont="1" applyBorder="1" applyAlignment="1">
      <alignment horizontal="center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center"/>
    </xf>
    <xf numFmtId="0" fontId="132" fillId="0" borderId="4" xfId="0" applyFont="1" applyBorder="1" applyAlignment="1">
      <alignment horizontal="center"/>
    </xf>
    <xf numFmtId="1" fontId="132" fillId="0" borderId="4" xfId="0" applyNumberFormat="1" applyFont="1" applyBorder="1" applyAlignment="1">
      <alignment horizontal="center"/>
    </xf>
    <xf numFmtId="0" fontId="58" fillId="0" borderId="0" xfId="0" applyFont="1"/>
    <xf numFmtId="2" fontId="153" fillId="0" borderId="0" xfId="0" applyNumberFormat="1" applyFont="1" applyAlignment="1">
      <alignment horizontal="center"/>
    </xf>
    <xf numFmtId="0" fontId="154" fillId="0" borderId="0" xfId="0" applyFont="1"/>
    <xf numFmtId="168" fontId="155" fillId="0" borderId="0" xfId="0" applyNumberFormat="1" applyFont="1"/>
    <xf numFmtId="2" fontId="2" fillId="0" borderId="0" xfId="0" applyNumberFormat="1" applyFont="1"/>
    <xf numFmtId="0" fontId="6" fillId="0" borderId="34" xfId="0" applyFont="1" applyBorder="1" applyAlignment="1">
      <alignment horizontal="center"/>
    </xf>
    <xf numFmtId="0" fontId="6" fillId="0" borderId="34" xfId="0" applyFont="1" applyBorder="1"/>
    <xf numFmtId="0" fontId="2" fillId="0" borderId="4" xfId="0" applyFont="1" applyBorder="1" applyAlignment="1">
      <alignment vertical="center"/>
    </xf>
    <xf numFmtId="2" fontId="2" fillId="0" borderId="31" xfId="0" applyNumberFormat="1" applyFont="1" applyBorder="1" applyAlignment="1">
      <alignment horizontal="center"/>
    </xf>
    <xf numFmtId="2" fontId="132" fillId="0" borderId="28" xfId="0" applyNumberFormat="1" applyFont="1" applyBorder="1" applyAlignment="1">
      <alignment horizontal="center"/>
    </xf>
    <xf numFmtId="2" fontId="132" fillId="0" borderId="50" xfId="0" applyNumberFormat="1" applyFont="1" applyBorder="1" applyAlignment="1">
      <alignment horizontal="center"/>
    </xf>
    <xf numFmtId="168" fontId="132" fillId="0" borderId="31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7" fontId="2" fillId="0" borderId="50" xfId="0" applyNumberFormat="1" applyFont="1" applyBorder="1" applyAlignment="1">
      <alignment horizontal="center" vertical="center"/>
    </xf>
    <xf numFmtId="0" fontId="156" fillId="0" borderId="0" xfId="0" applyFont="1" applyAlignment="1">
      <alignment horizontal="center"/>
    </xf>
    <xf numFmtId="0" fontId="2" fillId="0" borderId="0" xfId="604" applyFont="1" applyBorder="1" applyAlignment="1" applyProtection="1">
      <alignment horizontal="center"/>
    </xf>
    <xf numFmtId="1" fontId="126" fillId="0" borderId="0" xfId="0" applyNumberFormat="1" applyFont="1"/>
    <xf numFmtId="2" fontId="126" fillId="0" borderId="0" xfId="0" applyNumberFormat="1" applyFont="1"/>
    <xf numFmtId="0" fontId="157" fillId="0" borderId="0" xfId="0" applyFont="1"/>
    <xf numFmtId="168" fontId="2" fillId="0" borderId="50" xfId="0" applyNumberFormat="1" applyFont="1" applyBorder="1" applyAlignment="1">
      <alignment horizontal="center" vertical="center"/>
    </xf>
    <xf numFmtId="168" fontId="126" fillId="0" borderId="0" xfId="0" applyNumberFormat="1" applyFont="1"/>
    <xf numFmtId="0" fontId="123" fillId="0" borderId="0" xfId="0" applyFont="1"/>
    <xf numFmtId="0" fontId="2" fillId="17" borderId="28" xfId="0" applyFont="1" applyFill="1" applyBorder="1"/>
    <xf numFmtId="174" fontId="2" fillId="0" borderId="0" xfId="0" applyNumberFormat="1" applyFont="1"/>
    <xf numFmtId="17" fontId="2" fillId="0" borderId="4" xfId="0" applyNumberFormat="1" applyFont="1" applyBorder="1" applyAlignment="1">
      <alignment vertical="center"/>
    </xf>
    <xf numFmtId="2" fontId="2" fillId="0" borderId="8" xfId="0" applyNumberFormat="1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/>
    </xf>
    <xf numFmtId="2" fontId="58" fillId="0" borderId="0" xfId="0" applyNumberFormat="1" applyFont="1"/>
    <xf numFmtId="0" fontId="58" fillId="0" borderId="23" xfId="0" applyFont="1" applyBorder="1"/>
    <xf numFmtId="0" fontId="118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vertical="center"/>
    </xf>
    <xf numFmtId="168" fontId="2" fillId="0" borderId="4" xfId="0" applyNumberFormat="1" applyFont="1" applyBorder="1" applyAlignment="1">
      <alignment vertical="center"/>
    </xf>
    <xf numFmtId="1" fontId="2" fillId="0" borderId="7" xfId="0" applyNumberFormat="1" applyFont="1" applyBorder="1"/>
    <xf numFmtId="3" fontId="104" fillId="0" borderId="98" xfId="0" applyNumberFormat="1" applyFont="1" applyBorder="1" applyAlignment="1">
      <alignment horizontal="center" vertical="top" wrapText="1" readingOrder="1"/>
    </xf>
    <xf numFmtId="3" fontId="2" fillId="0" borderId="0" xfId="0" applyNumberFormat="1" applyFont="1"/>
    <xf numFmtId="3" fontId="103" fillId="0" borderId="98" xfId="0" applyNumberFormat="1" applyFont="1" applyBorder="1" applyAlignment="1">
      <alignment horizontal="center" vertical="top" wrapText="1" readingOrder="1"/>
    </xf>
    <xf numFmtId="3" fontId="104" fillId="0" borderId="101" xfId="0" applyNumberFormat="1" applyFont="1" applyBorder="1" applyAlignment="1">
      <alignment horizontal="center" vertical="top" wrapText="1" readingOrder="1"/>
    </xf>
    <xf numFmtId="3" fontId="103" fillId="0" borderId="101" xfId="0" applyNumberFormat="1" applyFont="1" applyBorder="1" applyAlignment="1">
      <alignment horizontal="center" vertical="top" wrapText="1" readingOrder="1"/>
    </xf>
    <xf numFmtId="3" fontId="104" fillId="0" borderId="102" xfId="0" applyNumberFormat="1" applyFont="1" applyBorder="1" applyAlignment="1">
      <alignment horizontal="center" vertical="top" wrapText="1" readingOrder="1"/>
    </xf>
    <xf numFmtId="3" fontId="103" fillId="0" borderId="102" xfId="0" applyNumberFormat="1" applyFont="1" applyBorder="1" applyAlignment="1">
      <alignment horizontal="center" vertical="top" wrapText="1" readingOrder="1"/>
    </xf>
    <xf numFmtId="3" fontId="104" fillId="0" borderId="103" xfId="0" applyNumberFormat="1" applyFont="1" applyBorder="1" applyAlignment="1">
      <alignment horizontal="center" vertical="top" wrapText="1" readingOrder="1"/>
    </xf>
    <xf numFmtId="3" fontId="103" fillId="0" borderId="103" xfId="0" applyNumberFormat="1" applyFont="1" applyBorder="1" applyAlignment="1">
      <alignment horizontal="center" vertical="top" wrapText="1" readingOrder="1"/>
    </xf>
    <xf numFmtId="3" fontId="104" fillId="0" borderId="98" xfId="0" applyNumberFormat="1" applyFont="1" applyBorder="1" applyAlignment="1">
      <alignment horizontal="center" vertical="center" wrapText="1" readingOrder="1"/>
    </xf>
    <xf numFmtId="3" fontId="103" fillId="0" borderId="98" xfId="0" applyNumberFormat="1" applyFont="1" applyBorder="1" applyAlignment="1">
      <alignment horizontal="center" vertical="center" wrapText="1" readingOrder="1"/>
    </xf>
    <xf numFmtId="14" fontId="118" fillId="0" borderId="4" xfId="0" applyNumberFormat="1" applyFont="1" applyBorder="1" applyAlignment="1">
      <alignment horizontal="center"/>
    </xf>
    <xf numFmtId="0" fontId="158" fillId="0" borderId="4" xfId="605" applyFont="1" applyBorder="1"/>
    <xf numFmtId="174" fontId="158" fillId="0" borderId="4" xfId="605" applyNumberFormat="1" applyFont="1" applyBorder="1"/>
    <xf numFmtId="1" fontId="118" fillId="4" borderId="4" xfId="603" applyNumberFormat="1" applyFont="1" applyBorder="1"/>
    <xf numFmtId="0" fontId="157" fillId="0" borderId="4" xfId="0" applyFont="1" applyBorder="1" applyAlignment="1">
      <alignment horizontal="center"/>
    </xf>
    <xf numFmtId="0" fontId="6" fillId="0" borderId="4" xfId="605" applyFont="1" applyBorder="1"/>
    <xf numFmtId="0" fontId="103" fillId="23" borderId="104" xfId="0" applyFont="1" applyFill="1" applyBorder="1" applyAlignment="1">
      <alignment horizontal="center" wrapText="1" readingOrder="1"/>
    </xf>
    <xf numFmtId="16" fontId="2" fillId="0" borderId="0" xfId="0" applyNumberFormat="1" applyFont="1"/>
    <xf numFmtId="0" fontId="159" fillId="0" borderId="98" xfId="0" applyFont="1" applyBorder="1" applyAlignment="1">
      <alignment horizontal="center" wrapText="1" readingOrder="1"/>
    </xf>
    <xf numFmtId="1" fontId="159" fillId="0" borderId="98" xfId="0" applyNumberFormat="1" applyFont="1" applyBorder="1" applyAlignment="1">
      <alignment horizontal="center" wrapText="1" readingOrder="1"/>
    </xf>
    <xf numFmtId="0" fontId="160" fillId="0" borderId="98" xfId="0" applyFont="1" applyBorder="1" applyAlignment="1">
      <alignment horizontal="center" wrapText="1" readingOrder="1"/>
    </xf>
    <xf numFmtId="2" fontId="160" fillId="0" borderId="98" xfId="0" applyNumberFormat="1" applyFont="1" applyBorder="1" applyAlignment="1">
      <alignment horizontal="center" wrapText="1" readingOrder="1"/>
    </xf>
    <xf numFmtId="2" fontId="2" fillId="0" borderId="0" xfId="0" applyNumberFormat="1" applyFont="1" applyAlignment="1">
      <alignment horizontal="center" vertical="center"/>
    </xf>
    <xf numFmtId="14" fontId="2" fillId="0" borderId="3" xfId="0" applyNumberFormat="1" applyFont="1" applyBorder="1"/>
    <xf numFmtId="1" fontId="160" fillId="0" borderId="98" xfId="0" applyNumberFormat="1" applyFont="1" applyBorder="1" applyAlignment="1">
      <alignment horizontal="center" wrapText="1" readingOrder="1"/>
    </xf>
    <xf numFmtId="166" fontId="2" fillId="0" borderId="0" xfId="0" applyNumberFormat="1" applyFont="1" applyAlignment="1">
      <alignment horizontal="left"/>
    </xf>
    <xf numFmtId="166" fontId="2" fillId="0" borderId="0" xfId="0" applyNumberFormat="1" applyFont="1"/>
    <xf numFmtId="0" fontId="161" fillId="24" borderId="105" xfId="0" applyFont="1" applyFill="1" applyBorder="1" applyAlignment="1">
      <alignment horizontal="center" vertical="top" wrapText="1" readingOrder="1"/>
    </xf>
    <xf numFmtId="0" fontId="162" fillId="0" borderId="106" xfId="0" applyFont="1" applyBorder="1" applyAlignment="1">
      <alignment horizontal="left" vertical="top" wrapText="1" readingOrder="1"/>
    </xf>
    <xf numFmtId="3" fontId="162" fillId="0" borderId="106" xfId="0" applyNumberFormat="1" applyFont="1" applyBorder="1" applyAlignment="1">
      <alignment horizontal="center" vertical="top" wrapText="1" readingOrder="1"/>
    </xf>
    <xf numFmtId="0" fontId="162" fillId="0" borderId="106" xfId="0" applyFont="1" applyBorder="1" applyAlignment="1">
      <alignment horizontal="center" vertical="top" wrapText="1" readingOrder="1"/>
    </xf>
    <xf numFmtId="3" fontId="163" fillId="0" borderId="106" xfId="0" applyNumberFormat="1" applyFont="1" applyBorder="1" applyAlignment="1">
      <alignment horizontal="center" vertical="top" wrapText="1" readingOrder="1"/>
    </xf>
    <xf numFmtId="0" fontId="163" fillId="0" borderId="107" xfId="0" applyFont="1" applyBorder="1" applyAlignment="1">
      <alignment horizontal="right" vertical="top" wrapText="1" readingOrder="1"/>
    </xf>
    <xf numFmtId="0" fontId="163" fillId="0" borderId="107" xfId="0" applyFont="1" applyBorder="1" applyAlignment="1">
      <alignment horizontal="center" vertical="top" wrapText="1" readingOrder="1"/>
    </xf>
    <xf numFmtId="0" fontId="162" fillId="0" borderId="107" xfId="0" applyFont="1" applyBorder="1" applyAlignment="1">
      <alignment horizontal="center" vertical="top" wrapText="1" readingOrder="1"/>
    </xf>
    <xf numFmtId="3" fontId="163" fillId="0" borderId="107" xfId="0" applyNumberFormat="1" applyFont="1" applyBorder="1" applyAlignment="1">
      <alignment horizontal="center" vertical="top" wrapText="1" readingOrder="1"/>
    </xf>
    <xf numFmtId="0" fontId="163" fillId="0" borderId="108" xfId="0" applyFont="1" applyBorder="1" applyAlignment="1">
      <alignment horizontal="right" vertical="top" wrapText="1" readingOrder="1"/>
    </xf>
    <xf numFmtId="3" fontId="163" fillId="0" borderId="108" xfId="0" applyNumberFormat="1" applyFont="1" applyBorder="1" applyAlignment="1">
      <alignment horizontal="center" vertical="top" wrapText="1" readingOrder="1"/>
    </xf>
    <xf numFmtId="0" fontId="163" fillId="0" borderId="108" xfId="0" applyFont="1" applyBorder="1" applyAlignment="1">
      <alignment horizontal="center" vertical="top" wrapText="1" readingOrder="1"/>
    </xf>
    <xf numFmtId="0" fontId="163" fillId="0" borderId="105" xfId="0" applyFont="1" applyBorder="1" applyAlignment="1">
      <alignment horizontal="left" vertical="top" wrapText="1" readingOrder="1"/>
    </xf>
    <xf numFmtId="3" fontId="163" fillId="0" borderId="105" xfId="0" applyNumberFormat="1" applyFont="1" applyBorder="1" applyAlignment="1">
      <alignment horizontal="center" vertical="top" wrapText="1" readingOrder="1"/>
    </xf>
    <xf numFmtId="0" fontId="163" fillId="0" borderId="105" xfId="0" applyFont="1" applyBorder="1" applyAlignment="1">
      <alignment horizontal="center" vertical="top" wrapText="1" readingOrder="1"/>
    </xf>
    <xf numFmtId="0" fontId="162" fillId="0" borderId="105" xfId="0" applyFont="1" applyBorder="1" applyAlignment="1">
      <alignment horizontal="left" vertical="top" wrapText="1" readingOrder="1"/>
    </xf>
    <xf numFmtId="3" fontId="162" fillId="0" borderId="105" xfId="0" applyNumberFormat="1" applyFont="1" applyBorder="1" applyAlignment="1">
      <alignment horizontal="center" vertical="top" wrapText="1" readingOrder="1"/>
    </xf>
    <xf numFmtId="0" fontId="162" fillId="0" borderId="105" xfId="0" applyFont="1" applyBorder="1" applyAlignment="1">
      <alignment horizontal="center" vertical="top" wrapText="1" readingOrder="1"/>
    </xf>
    <xf numFmtId="0" fontId="4" fillId="0" borderId="0" xfId="0" applyFont="1"/>
    <xf numFmtId="0" fontId="16" fillId="0" borderId="33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32" xfId="0" applyBorder="1"/>
    <xf numFmtId="1" fontId="0" fillId="0" borderId="28" xfId="0" applyNumberFormat="1" applyBorder="1" applyAlignment="1">
      <alignment horizontal="center"/>
    </xf>
    <xf numFmtId="1" fontId="6" fillId="0" borderId="31" xfId="0" applyNumberFormat="1" applyFont="1" applyBorder="1" applyAlignment="1">
      <alignment horizontal="center"/>
    </xf>
    <xf numFmtId="0" fontId="59" fillId="0" borderId="21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0" fillId="0" borderId="23" xfId="0" applyFont="1" applyBorder="1" applyAlignment="1">
      <alignment vertical="center"/>
    </xf>
    <xf numFmtId="0" fontId="40" fillId="0" borderId="3" xfId="0" applyFont="1" applyBorder="1" applyAlignment="1">
      <alignment horizontal="left" vertical="center"/>
    </xf>
    <xf numFmtId="1" fontId="40" fillId="0" borderId="5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0" xfId="0" applyBorder="1"/>
    <xf numFmtId="1" fontId="6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/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40" fillId="0" borderId="55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16" xfId="0" applyFont="1" applyBorder="1" applyAlignment="1">
      <alignment horizontal="left" vertical="center"/>
    </xf>
    <xf numFmtId="0" fontId="9" fillId="0" borderId="10" xfId="0" applyFont="1" applyBorder="1"/>
    <xf numFmtId="0" fontId="40" fillId="0" borderId="46" xfId="0" applyFont="1" applyBorder="1" applyAlignment="1">
      <alignment horizontal="left" vertical="center"/>
    </xf>
    <xf numFmtId="0" fontId="45" fillId="0" borderId="25" xfId="0" applyFont="1" applyBorder="1" applyAlignment="1">
      <alignment horizontal="center" vertical="center"/>
    </xf>
    <xf numFmtId="1" fontId="40" fillId="0" borderId="2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0" fontId="40" fillId="0" borderId="4" xfId="0" applyFont="1" applyBorder="1"/>
    <xf numFmtId="0" fontId="40" fillId="0" borderId="51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73" xfId="0" applyFont="1" applyBorder="1" applyAlignment="1">
      <alignment horizontal="center" vertical="center"/>
    </xf>
    <xf numFmtId="1" fontId="40" fillId="0" borderId="45" xfId="0" applyNumberFormat="1" applyFont="1" applyBorder="1" applyAlignment="1">
      <alignment horizontal="center" vertical="center"/>
    </xf>
    <xf numFmtId="1" fontId="40" fillId="0" borderId="26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1" fontId="45" fillId="0" borderId="4" xfId="0" applyNumberFormat="1" applyFont="1" applyBorder="1" applyAlignment="1">
      <alignment horizontal="center" vertical="center"/>
    </xf>
    <xf numFmtId="0" fontId="4" fillId="0" borderId="10" xfId="0" applyFont="1" applyBorder="1"/>
    <xf numFmtId="1" fontId="1" fillId="0" borderId="5" xfId="0" applyNumberFormat="1" applyFont="1" applyBorder="1"/>
    <xf numFmtId="1" fontId="40" fillId="0" borderId="51" xfId="0" applyNumberFormat="1" applyFont="1" applyBorder="1" applyAlignment="1">
      <alignment horizontal="center" vertical="center"/>
    </xf>
    <xf numFmtId="0" fontId="4" fillId="0" borderId="7" xfId="0" applyFont="1" applyBorder="1"/>
    <xf numFmtId="0" fontId="3" fillId="0" borderId="1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" fontId="40" fillId="0" borderId="4" xfId="0" applyNumberFormat="1" applyFont="1" applyBorder="1" applyAlignment="1">
      <alignment vertical="center"/>
    </xf>
    <xf numFmtId="0" fontId="6" fillId="0" borderId="32" xfId="0" applyFont="1" applyBorder="1"/>
    <xf numFmtId="2" fontId="60" fillId="0" borderId="9" xfId="0" applyNumberFormat="1" applyFont="1" applyBorder="1"/>
    <xf numFmtId="2" fontId="60" fillId="0" borderId="10" xfId="0" applyNumberFormat="1" applyFont="1" applyBorder="1"/>
    <xf numFmtId="0" fontId="60" fillId="0" borderId="9" xfId="0" applyFont="1" applyBorder="1" applyAlignment="1">
      <alignment horizontal="center" vertical="center"/>
    </xf>
    <xf numFmtId="0" fontId="60" fillId="0" borderId="50" xfId="0" applyFont="1" applyBorder="1" applyAlignment="1">
      <alignment horizontal="center" vertical="center"/>
    </xf>
    <xf numFmtId="0" fontId="60" fillId="0" borderId="32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30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66" fontId="6" fillId="0" borderId="30" xfId="0" applyNumberFormat="1" applyFont="1" applyBorder="1" applyAlignment="1">
      <alignment horizontal="center"/>
    </xf>
    <xf numFmtId="0" fontId="61" fillId="0" borderId="12" xfId="0" applyFont="1" applyBorder="1"/>
    <xf numFmtId="0" fontId="61" fillId="0" borderId="0" xfId="0" applyFont="1"/>
    <xf numFmtId="0" fontId="60" fillId="0" borderId="29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0" fontId="0" fillId="0" borderId="31" xfId="0" applyBorder="1"/>
    <xf numFmtId="0" fontId="60" fillId="0" borderId="0" xfId="0" applyFont="1" applyAlignment="1">
      <alignment vertical="center"/>
    </xf>
    <xf numFmtId="0" fontId="20" fillId="0" borderId="32" xfId="0" applyFont="1" applyBorder="1"/>
    <xf numFmtId="0" fontId="9" fillId="0" borderId="33" xfId="0" applyFont="1" applyBorder="1"/>
    <xf numFmtId="0" fontId="9" fillId="0" borderId="28" xfId="0" applyFont="1" applyBorder="1"/>
    <xf numFmtId="0" fontId="9" fillId="0" borderId="9" xfId="0" applyFont="1" applyBorder="1"/>
    <xf numFmtId="1" fontId="9" fillId="0" borderId="10" xfId="0" applyNumberFormat="1" applyFont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" fontId="9" fillId="0" borderId="30" xfId="0" applyNumberFormat="1" applyFont="1" applyBorder="1" applyAlignment="1">
      <alignment horizontal="center"/>
    </xf>
    <xf numFmtId="0" fontId="9" fillId="0" borderId="32" xfId="0" applyFont="1" applyBorder="1"/>
    <xf numFmtId="0" fontId="6" fillId="0" borderId="50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9" fillId="0" borderId="9" xfId="0" applyFont="1" applyBorder="1" applyAlignment="1">
      <alignment horizontal="center"/>
    </xf>
    <xf numFmtId="0" fontId="16" fillId="0" borderId="22" xfId="0" applyFont="1" applyBorder="1"/>
    <xf numFmtId="0" fontId="16" fillId="0" borderId="23" xfId="0" applyFont="1" applyBorder="1"/>
    <xf numFmtId="0" fontId="62" fillId="0" borderId="63" xfId="0" applyFont="1" applyBorder="1"/>
    <xf numFmtId="0" fontId="63" fillId="0" borderId="0" xfId="0" applyFont="1"/>
    <xf numFmtId="0" fontId="62" fillId="0" borderId="36" xfId="0" applyFont="1" applyBorder="1" applyAlignment="1">
      <alignment horizontal="center" vertical="center"/>
    </xf>
    <xf numFmtId="0" fontId="63" fillId="0" borderId="14" xfId="0" applyFont="1" applyBorder="1"/>
    <xf numFmtId="0" fontId="63" fillId="0" borderId="13" xfId="0" applyFont="1" applyBorder="1"/>
    <xf numFmtId="0" fontId="62" fillId="0" borderId="3" xfId="0" applyFont="1" applyBorder="1"/>
    <xf numFmtId="1" fontId="62" fillId="0" borderId="44" xfId="0" applyNumberFormat="1" applyFont="1" applyBorder="1" applyAlignment="1">
      <alignment horizontal="center"/>
    </xf>
    <xf numFmtId="0" fontId="63" fillId="0" borderId="16" xfId="0" applyFont="1" applyBorder="1"/>
    <xf numFmtId="0" fontId="15" fillId="0" borderId="3" xfId="0" applyFont="1" applyBorder="1"/>
    <xf numFmtId="0" fontId="64" fillId="0" borderId="16" xfId="0" applyFont="1" applyBorder="1"/>
    <xf numFmtId="0" fontId="63" fillId="0" borderId="3" xfId="0" applyFont="1" applyBorder="1"/>
    <xf numFmtId="0" fontId="63" fillId="0" borderId="7" xfId="0" applyFont="1" applyBorder="1"/>
    <xf numFmtId="1" fontId="62" fillId="0" borderId="40" xfId="0" applyNumberFormat="1" applyFont="1" applyBorder="1" applyAlignment="1">
      <alignment horizontal="center"/>
    </xf>
    <xf numFmtId="0" fontId="63" fillId="0" borderId="6" xfId="0" applyFont="1" applyBorder="1"/>
    <xf numFmtId="0" fontId="63" fillId="0" borderId="8" xfId="0" applyFont="1" applyBorder="1"/>
    <xf numFmtId="0" fontId="6" fillId="0" borderId="13" xfId="0" applyFont="1" applyBorder="1" applyAlignment="1">
      <alignment horizontal="center" vertical="center"/>
    </xf>
    <xf numFmtId="0" fontId="0" fillId="0" borderId="30" xfId="0" applyBorder="1"/>
    <xf numFmtId="16" fontId="9" fillId="0" borderId="0" xfId="0" applyNumberFormat="1" applyFont="1"/>
    <xf numFmtId="16" fontId="1" fillId="0" borderId="0" xfId="0" applyNumberFormat="1" applyFont="1"/>
    <xf numFmtId="1" fontId="6" fillId="0" borderId="28" xfId="0" applyNumberFormat="1" applyFont="1" applyBorder="1" applyAlignment="1">
      <alignment horizontal="center"/>
    </xf>
    <xf numFmtId="1" fontId="9" fillId="0" borderId="0" xfId="0" applyNumberFormat="1" applyFont="1"/>
    <xf numFmtId="16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37" xfId="0" applyFont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1" fontId="4" fillId="0" borderId="0" xfId="0" applyNumberFormat="1" applyFont="1"/>
    <xf numFmtId="0" fontId="2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15" fillId="0" borderId="9" xfId="0" applyFont="1" applyBorder="1"/>
    <xf numFmtId="0" fontId="1" fillId="0" borderId="10" xfId="0" applyFont="1" applyBorder="1"/>
    <xf numFmtId="0" fontId="15" fillId="0" borderId="32" xfId="0" applyFont="1" applyBorder="1"/>
    <xf numFmtId="0" fontId="46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68" fontId="6" fillId="0" borderId="11" xfId="0" applyNumberFormat="1" applyFont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15" fillId="0" borderId="12" xfId="0" applyFont="1" applyBorder="1"/>
    <xf numFmtId="1" fontId="33" fillId="0" borderId="4" xfId="0" applyNumberFormat="1" applyFont="1" applyBorder="1" applyAlignment="1">
      <alignment horizontal="center"/>
    </xf>
    <xf numFmtId="0" fontId="0" fillId="0" borderId="1" xfId="0" applyBorder="1"/>
    <xf numFmtId="0" fontId="1" fillId="0" borderId="22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/>
    <xf numFmtId="0" fontId="1" fillId="0" borderId="13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168" fontId="6" fillId="0" borderId="0" xfId="0" applyNumberFormat="1" applyFont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16" fontId="6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" fontId="6" fillId="0" borderId="22" xfId="0" applyNumberFormat="1" applyFont="1" applyBorder="1" applyAlignment="1">
      <alignment horizontal="center"/>
    </xf>
    <xf numFmtId="0" fontId="0" fillId="22" borderId="9" xfId="0" applyFill="1" applyBorder="1"/>
    <xf numFmtId="0" fontId="0" fillId="22" borderId="10" xfId="0" applyFill="1" applyBorder="1"/>
    <xf numFmtId="0" fontId="9" fillId="22" borderId="28" xfId="0" applyFont="1" applyFill="1" applyBorder="1"/>
    <xf numFmtId="0" fontId="9" fillId="22" borderId="64" xfId="0" applyFont="1" applyFill="1" applyBorder="1"/>
    <xf numFmtId="0" fontId="9" fillId="22" borderId="65" xfId="0" applyFont="1" applyFill="1" applyBorder="1"/>
    <xf numFmtId="0" fontId="9" fillId="22" borderId="28" xfId="0" applyFont="1" applyFill="1" applyBorder="1" applyAlignment="1">
      <alignment horizontal="center"/>
    </xf>
    <xf numFmtId="0" fontId="9" fillId="22" borderId="63" xfId="0" applyFont="1" applyFill="1" applyBorder="1"/>
    <xf numFmtId="0" fontId="0" fillId="22" borderId="49" xfId="0" applyFill="1" applyBorder="1"/>
    <xf numFmtId="0" fontId="0" fillId="22" borderId="3" xfId="0" applyFill="1" applyBorder="1"/>
    <xf numFmtId="0" fontId="0" fillId="22" borderId="4" xfId="0" applyFill="1" applyBorder="1"/>
    <xf numFmtId="0" fontId="6" fillId="22" borderId="4" xfId="0" applyFont="1" applyFill="1" applyBorder="1" applyAlignment="1">
      <alignment horizontal="center"/>
    </xf>
    <xf numFmtId="1" fontId="6" fillId="22" borderId="4" xfId="0" applyNumberFormat="1" applyFont="1" applyFill="1" applyBorder="1" applyAlignment="1">
      <alignment horizontal="center"/>
    </xf>
    <xf numFmtId="0" fontId="16" fillId="22" borderId="3" xfId="0" applyFont="1" applyFill="1" applyBorder="1"/>
    <xf numFmtId="0" fontId="16" fillId="22" borderId="47" xfId="0" applyFont="1" applyFill="1" applyBorder="1"/>
    <xf numFmtId="0" fontId="0" fillId="22" borderId="20" xfId="0" applyFill="1" applyBorder="1"/>
    <xf numFmtId="0" fontId="6" fillId="22" borderId="20" xfId="0" applyFont="1" applyFill="1" applyBorder="1" applyAlignment="1">
      <alignment horizontal="center"/>
    </xf>
    <xf numFmtId="0" fontId="9" fillId="22" borderId="75" xfId="0" applyFont="1" applyFill="1" applyBorder="1"/>
    <xf numFmtId="0" fontId="9" fillId="22" borderId="76" xfId="0" applyFont="1" applyFill="1" applyBorder="1"/>
    <xf numFmtId="0" fontId="9" fillId="22" borderId="76" xfId="0" applyFont="1" applyFill="1" applyBorder="1" applyAlignment="1">
      <alignment horizontal="center"/>
    </xf>
    <xf numFmtId="1" fontId="9" fillId="22" borderId="76" xfId="0" applyNumberFormat="1" applyFont="1" applyFill="1" applyBorder="1" applyAlignment="1">
      <alignment horizontal="center"/>
    </xf>
    <xf numFmtId="0" fontId="6" fillId="22" borderId="49" xfId="0" applyFont="1" applyFill="1" applyBorder="1" applyAlignment="1">
      <alignment horizontal="center"/>
    </xf>
    <xf numFmtId="0" fontId="0" fillId="22" borderId="12" xfId="0" applyFill="1" applyBorder="1"/>
    <xf numFmtId="0" fontId="0" fillId="22" borderId="69" xfId="0" applyFill="1" applyBorder="1"/>
    <xf numFmtId="0" fontId="6" fillId="22" borderId="5" xfId="0" applyFont="1" applyFill="1" applyBorder="1" applyAlignment="1">
      <alignment horizontal="center"/>
    </xf>
    <xf numFmtId="1" fontId="6" fillId="22" borderId="5" xfId="0" applyNumberFormat="1" applyFont="1" applyFill="1" applyBorder="1" applyAlignment="1">
      <alignment horizontal="center"/>
    </xf>
    <xf numFmtId="0" fontId="6" fillId="22" borderId="27" xfId="0" applyFont="1" applyFill="1" applyBorder="1" applyAlignment="1">
      <alignment horizontal="center"/>
    </xf>
    <xf numFmtId="0" fontId="9" fillId="22" borderId="67" xfId="0" applyFont="1" applyFill="1" applyBorder="1" applyAlignment="1">
      <alignment horizontal="center"/>
    </xf>
    <xf numFmtId="0" fontId="6" fillId="22" borderId="6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4" fillId="0" borderId="33" xfId="0" applyFont="1" applyBorder="1"/>
    <xf numFmtId="0" fontId="0" fillId="22" borderId="47" xfId="0" applyFill="1" applyBorder="1"/>
    <xf numFmtId="0" fontId="0" fillId="22" borderId="76" xfId="0" applyFill="1" applyBorder="1"/>
    <xf numFmtId="0" fontId="16" fillId="22" borderId="63" xfId="0" applyFont="1" applyFill="1" applyBorder="1"/>
    <xf numFmtId="0" fontId="0" fillId="22" borderId="77" xfId="0" applyFill="1" applyBorder="1"/>
    <xf numFmtId="0" fontId="0" fillId="22" borderId="55" xfId="0" applyFill="1" applyBorder="1"/>
    <xf numFmtId="0" fontId="6" fillId="22" borderId="55" xfId="0" applyFont="1" applyFill="1" applyBorder="1" applyAlignment="1">
      <alignment horizontal="center"/>
    </xf>
    <xf numFmtId="1" fontId="6" fillId="22" borderId="27" xfId="0" applyNumberFormat="1" applyFont="1" applyFill="1" applyBorder="1" applyAlignment="1">
      <alignment horizontal="center"/>
    </xf>
    <xf numFmtId="1" fontId="9" fillId="22" borderId="67" xfId="0" applyNumberFormat="1" applyFont="1" applyFill="1" applyBorder="1" applyAlignment="1">
      <alignment horizontal="center"/>
    </xf>
    <xf numFmtId="0" fontId="6" fillId="22" borderId="71" xfId="0" applyFont="1" applyFill="1" applyBorder="1" applyAlignment="1">
      <alignment horizontal="center"/>
    </xf>
    <xf numFmtId="0" fontId="0" fillId="7" borderId="11" xfId="0" applyFill="1" applyBorder="1"/>
    <xf numFmtId="0" fontId="0" fillId="7" borderId="0" xfId="0" applyFill="1"/>
    <xf numFmtId="49" fontId="0" fillId="7" borderId="0" xfId="0" applyNumberFormat="1" applyFill="1"/>
    <xf numFmtId="1" fontId="0" fillId="7" borderId="0" xfId="0" applyNumberFormat="1" applyFill="1"/>
    <xf numFmtId="0" fontId="0" fillId="12" borderId="11" xfId="0" applyFill="1" applyBorder="1"/>
    <xf numFmtId="0" fontId="0" fillId="12" borderId="0" xfId="0" applyFill="1"/>
    <xf numFmtId="0" fontId="67" fillId="13" borderId="11" xfId="0" applyFont="1" applyFill="1" applyBorder="1"/>
    <xf numFmtId="0" fontId="0" fillId="13" borderId="0" xfId="0" applyFill="1"/>
    <xf numFmtId="0" fontId="0" fillId="13" borderId="11" xfId="0" applyFill="1" applyBorder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2" borderId="6" xfId="0" applyFill="1" applyBorder="1"/>
    <xf numFmtId="0" fontId="0" fillId="12" borderId="7" xfId="0" applyFill="1" applyBorder="1"/>
    <xf numFmtId="0" fontId="68" fillId="14" borderId="0" xfId="0" applyFont="1" applyFill="1"/>
    <xf numFmtId="0" fontId="69" fillId="14" borderId="0" xfId="0" applyFont="1" applyFill="1"/>
    <xf numFmtId="0" fontId="6" fillId="14" borderId="0" xfId="0" applyFont="1" applyFill="1"/>
    <xf numFmtId="0" fontId="1" fillId="14" borderId="9" xfId="0" applyFont="1" applyFill="1" applyBorder="1"/>
    <xf numFmtId="0" fontId="1" fillId="14" borderId="10" xfId="0" applyFont="1" applyFill="1" applyBorder="1"/>
    <xf numFmtId="0" fontId="16" fillId="14" borderId="10" xfId="0" applyFont="1" applyFill="1" applyBorder="1"/>
    <xf numFmtId="0" fontId="6" fillId="14" borderId="11" xfId="0" applyFont="1" applyFill="1" applyBorder="1"/>
    <xf numFmtId="0" fontId="16" fillId="14" borderId="0" xfId="0" applyFont="1" applyFill="1"/>
    <xf numFmtId="16" fontId="16" fillId="14" borderId="0" xfId="0" applyNumberFormat="1" applyFont="1" applyFill="1"/>
    <xf numFmtId="0" fontId="6" fillId="14" borderId="6" xfId="0" applyFont="1" applyFill="1" applyBorder="1"/>
    <xf numFmtId="0" fontId="16" fillId="14" borderId="7" xfId="0" applyFont="1" applyFill="1" applyBorder="1"/>
    <xf numFmtId="0" fontId="164" fillId="0" borderId="0" xfId="0" applyFont="1" applyAlignment="1">
      <alignment horizontal="center" readingOrder="1"/>
    </xf>
    <xf numFmtId="1" fontId="0" fillId="0" borderId="12" xfId="0" applyNumberFormat="1" applyBorder="1"/>
    <xf numFmtId="1" fontId="0" fillId="0" borderId="8" xfId="0" applyNumberFormat="1" applyBorder="1"/>
    <xf numFmtId="0" fontId="158" fillId="0" borderId="0" xfId="0" applyFont="1"/>
    <xf numFmtId="0" fontId="68" fillId="0" borderId="0" xfId="0" applyFont="1"/>
    <xf numFmtId="0" fontId="165" fillId="0" borderId="9" xfId="0" applyFont="1" applyBorder="1"/>
    <xf numFmtId="0" fontId="165" fillId="0" borderId="10" xfId="0" applyFont="1" applyBorder="1"/>
    <xf numFmtId="0" fontId="165" fillId="0" borderId="12" xfId="0" applyFont="1" applyBorder="1"/>
    <xf numFmtId="0" fontId="165" fillId="0" borderId="11" xfId="0" applyFont="1" applyBorder="1"/>
    <xf numFmtId="0" fontId="165" fillId="0" borderId="0" xfId="0" applyFont="1"/>
    <xf numFmtId="0" fontId="165" fillId="0" borderId="13" xfId="0" applyFont="1" applyBorder="1"/>
    <xf numFmtId="0" fontId="0" fillId="7" borderId="13" xfId="0" applyFill="1" applyBorder="1"/>
    <xf numFmtId="1" fontId="0" fillId="7" borderId="13" xfId="0" applyNumberFormat="1" applyFill="1" applyBorder="1"/>
    <xf numFmtId="0" fontId="0" fillId="12" borderId="13" xfId="0" applyFill="1" applyBorder="1"/>
    <xf numFmtId="0" fontId="166" fillId="0" borderId="9" xfId="0" applyFont="1" applyBorder="1"/>
    <xf numFmtId="0" fontId="166" fillId="0" borderId="10" xfId="0" applyFont="1" applyBorder="1"/>
    <xf numFmtId="49" fontId="166" fillId="0" borderId="12" xfId="0" applyNumberFormat="1" applyFont="1" applyBorder="1"/>
    <xf numFmtId="0" fontId="166" fillId="0" borderId="11" xfId="0" applyFont="1" applyBorder="1" applyAlignment="1">
      <alignment horizontal="center"/>
    </xf>
    <xf numFmtId="0" fontId="165" fillId="0" borderId="0" xfId="0" applyFont="1" applyAlignment="1">
      <alignment horizontal="center"/>
    </xf>
    <xf numFmtId="1" fontId="166" fillId="0" borderId="0" xfId="0" applyNumberFormat="1" applyFont="1" applyAlignment="1">
      <alignment horizontal="center"/>
    </xf>
    <xf numFmtId="1" fontId="166" fillId="0" borderId="13" xfId="0" applyNumberFormat="1" applyFont="1" applyBorder="1" applyAlignment="1">
      <alignment horizontal="center"/>
    </xf>
    <xf numFmtId="0" fontId="0" fillId="13" borderId="0" xfId="0" applyFill="1" applyAlignment="1">
      <alignment horizontal="left"/>
    </xf>
    <xf numFmtId="0" fontId="0" fillId="13" borderId="13" xfId="0" applyFill="1" applyBorder="1" applyAlignment="1">
      <alignment horizontal="left"/>
    </xf>
    <xf numFmtId="0" fontId="0" fillId="12" borderId="8" xfId="0" applyFill="1" applyBorder="1"/>
    <xf numFmtId="0" fontId="166" fillId="0" borderId="0" xfId="0" applyFont="1" applyAlignment="1">
      <alignment horizontal="center"/>
    </xf>
    <xf numFmtId="0" fontId="16" fillId="0" borderId="8" xfId="0" applyFont="1" applyBorder="1"/>
    <xf numFmtId="0" fontId="167" fillId="0" borderId="0" xfId="0" applyFont="1" applyAlignment="1">
      <alignment wrapText="1"/>
    </xf>
    <xf numFmtId="0" fontId="166" fillId="0" borderId="6" xfId="0" applyFont="1" applyBorder="1" applyAlignment="1">
      <alignment horizontal="center"/>
    </xf>
    <xf numFmtId="0" fontId="166" fillId="0" borderId="7" xfId="0" applyFont="1" applyBorder="1" applyAlignment="1">
      <alignment horizontal="center"/>
    </xf>
    <xf numFmtId="1" fontId="166" fillId="0" borderId="7" xfId="0" applyNumberFormat="1" applyFont="1" applyBorder="1" applyAlignment="1">
      <alignment horizontal="center"/>
    </xf>
    <xf numFmtId="1" fontId="166" fillId="0" borderId="8" xfId="0" applyNumberFormat="1" applyFont="1" applyBorder="1" applyAlignment="1">
      <alignment horizontal="center"/>
    </xf>
    <xf numFmtId="1" fontId="165" fillId="0" borderId="0" xfId="0" applyNumberFormat="1" applyFont="1"/>
    <xf numFmtId="0" fontId="166" fillId="0" borderId="13" xfId="0" applyFont="1" applyBorder="1" applyAlignment="1">
      <alignment horizontal="center"/>
    </xf>
    <xf numFmtId="0" fontId="166" fillId="0" borderId="6" xfId="0" applyFont="1" applyBorder="1"/>
    <xf numFmtId="0" fontId="165" fillId="0" borderId="7" xfId="0" applyFont="1" applyBorder="1"/>
    <xf numFmtId="0" fontId="21" fillId="0" borderId="6" xfId="0" applyFont="1" applyBorder="1" applyAlignment="1">
      <alignment horizontal="center"/>
    </xf>
    <xf numFmtId="0" fontId="70" fillId="0" borderId="7" xfId="0" applyFont="1" applyBorder="1"/>
    <xf numFmtId="0" fontId="70" fillId="0" borderId="8" xfId="0" applyFont="1" applyBorder="1"/>
    <xf numFmtId="0" fontId="70" fillId="0" borderId="0" xfId="0" applyFont="1"/>
    <xf numFmtId="0" fontId="161" fillId="18" borderId="105" xfId="0" applyFont="1" applyFill="1" applyBorder="1" applyAlignment="1">
      <alignment horizontal="center" vertical="center" wrapText="1" readingOrder="1"/>
    </xf>
    <xf numFmtId="0" fontId="21" fillId="0" borderId="0" xfId="0" applyFont="1"/>
    <xf numFmtId="0" fontId="162" fillId="18" borderId="106" xfId="0" applyFont="1" applyFill="1" applyBorder="1" applyAlignment="1">
      <alignment horizontal="left" vertical="center" wrapText="1" readingOrder="1"/>
    </xf>
    <xf numFmtId="0" fontId="163" fillId="18" borderId="107" xfId="0" applyFont="1" applyFill="1" applyBorder="1" applyAlignment="1">
      <alignment horizontal="right" vertical="center" wrapText="1" readingOrder="1"/>
    </xf>
    <xf numFmtId="0" fontId="163" fillId="18" borderId="108" xfId="0" applyFont="1" applyFill="1" applyBorder="1" applyAlignment="1">
      <alignment horizontal="right" vertical="center" wrapText="1" readingOrder="1"/>
    </xf>
    <xf numFmtId="0" fontId="163" fillId="18" borderId="105" xfId="0" applyFont="1" applyFill="1" applyBorder="1" applyAlignment="1">
      <alignment horizontal="left" vertical="center" wrapText="1" readingOrder="1"/>
    </xf>
    <xf numFmtId="0" fontId="168" fillId="0" borderId="109" xfId="0" applyFont="1" applyBorder="1" applyAlignment="1">
      <alignment horizontal="center" vertical="top" wrapText="1" readingOrder="1"/>
    </xf>
    <xf numFmtId="0" fontId="168" fillId="0" borderId="110" xfId="0" applyFont="1" applyBorder="1" applyAlignment="1">
      <alignment horizontal="center" vertical="top" wrapText="1" readingOrder="1"/>
    </xf>
    <xf numFmtId="0" fontId="168" fillId="0" borderId="104" xfId="0" applyFont="1" applyBorder="1" applyAlignment="1">
      <alignment horizontal="center" vertical="top" wrapText="1"/>
    </xf>
    <xf numFmtId="0" fontId="168" fillId="0" borderId="104" xfId="0" applyFont="1" applyBorder="1" applyAlignment="1">
      <alignment horizontal="center" vertical="top" wrapText="1" readingOrder="1"/>
    </xf>
    <xf numFmtId="0" fontId="103" fillId="0" borderId="92" xfId="0" applyFont="1" applyBorder="1" applyAlignment="1">
      <alignment horizontal="center" vertical="center" wrapText="1" readingOrder="1"/>
    </xf>
    <xf numFmtId="0" fontId="103" fillId="0" borderId="0" xfId="0" applyFont="1" applyAlignment="1">
      <alignment horizontal="center" vertical="center" wrapText="1" readingOrder="1"/>
    </xf>
    <xf numFmtId="0" fontId="103" fillId="0" borderId="92" xfId="0" applyFont="1" applyBorder="1" applyAlignment="1">
      <alignment horizontal="center" vertical="top" wrapText="1" readingOrder="1"/>
    </xf>
    <xf numFmtId="0" fontId="103" fillId="0" borderId="0" xfId="0" applyFont="1" applyAlignment="1">
      <alignment horizontal="center" vertical="top" wrapText="1" readingOrder="1"/>
    </xf>
    <xf numFmtId="0" fontId="103" fillId="0" borderId="92" xfId="0" applyFont="1" applyBorder="1" applyAlignment="1">
      <alignment horizontal="center" vertical="top" wrapText="1"/>
    </xf>
    <xf numFmtId="0" fontId="103" fillId="0" borderId="0" xfId="0" applyFont="1" applyAlignment="1">
      <alignment horizontal="center" vertical="top" wrapText="1"/>
    </xf>
    <xf numFmtId="0" fontId="103" fillId="25" borderId="92" xfId="0" applyFont="1" applyFill="1" applyBorder="1" applyAlignment="1">
      <alignment horizontal="center" vertical="top" wrapText="1" readingOrder="1"/>
    </xf>
    <xf numFmtId="3" fontId="103" fillId="25" borderId="92" xfId="0" applyNumberFormat="1" applyFont="1" applyFill="1" applyBorder="1" applyAlignment="1">
      <alignment horizontal="center" vertical="top" wrapText="1" readingOrder="1"/>
    </xf>
    <xf numFmtId="3" fontId="103" fillId="25" borderId="0" xfId="0" applyNumberFormat="1" applyFont="1" applyFill="1" applyAlignment="1">
      <alignment horizontal="center" vertical="top" wrapText="1" readingOrder="1"/>
    </xf>
    <xf numFmtId="0" fontId="169" fillId="18" borderId="105" xfId="0" applyFont="1" applyFill="1" applyBorder="1" applyAlignment="1">
      <alignment horizontal="center" vertical="center" wrapText="1" readingOrder="1"/>
    </xf>
    <xf numFmtId="3" fontId="162" fillId="18" borderId="106" xfId="0" applyNumberFormat="1" applyFont="1" applyFill="1" applyBorder="1" applyAlignment="1">
      <alignment horizontal="center" vertical="center" wrapText="1" readingOrder="1"/>
    </xf>
    <xf numFmtId="1" fontId="163" fillId="18" borderId="105" xfId="0" applyNumberFormat="1" applyFont="1" applyFill="1" applyBorder="1" applyAlignment="1">
      <alignment horizontal="center" vertical="center" wrapText="1" readingOrder="1"/>
    </xf>
    <xf numFmtId="3" fontId="163" fillId="18" borderId="106" xfId="0" applyNumberFormat="1" applyFont="1" applyFill="1" applyBorder="1" applyAlignment="1">
      <alignment horizontal="center" vertical="center" wrapText="1" readingOrder="1"/>
    </xf>
    <xf numFmtId="0" fontId="163" fillId="18" borderId="106" xfId="0" applyFont="1" applyFill="1" applyBorder="1" applyAlignment="1">
      <alignment vertical="center" wrapText="1"/>
    </xf>
    <xf numFmtId="1" fontId="163" fillId="18" borderId="107" xfId="0" applyNumberFormat="1" applyFont="1" applyFill="1" applyBorder="1" applyAlignment="1">
      <alignment horizontal="center" vertical="center" wrapText="1" readingOrder="1"/>
    </xf>
    <xf numFmtId="1" fontId="162" fillId="18" borderId="107" xfId="0" applyNumberFormat="1" applyFont="1" applyFill="1" applyBorder="1" applyAlignment="1">
      <alignment horizontal="center" vertical="center" wrapText="1" readingOrder="1"/>
    </xf>
    <xf numFmtId="3" fontId="163" fillId="18" borderId="107" xfId="0" applyNumberFormat="1" applyFont="1" applyFill="1" applyBorder="1" applyAlignment="1">
      <alignment horizontal="center" vertical="center" wrapText="1" readingOrder="1"/>
    </xf>
    <xf numFmtId="3" fontId="163" fillId="18" borderId="108" xfId="0" applyNumberFormat="1" applyFont="1" applyFill="1" applyBorder="1" applyAlignment="1">
      <alignment horizontal="center" vertical="center" wrapText="1" readingOrder="1"/>
    </xf>
    <xf numFmtId="3" fontId="163" fillId="18" borderId="105" xfId="0" applyNumberFormat="1" applyFont="1" applyFill="1" applyBorder="1" applyAlignment="1">
      <alignment horizontal="center" vertical="center" wrapText="1" readingOrder="1"/>
    </xf>
    <xf numFmtId="3" fontId="162" fillId="18" borderId="105" xfId="0" applyNumberFormat="1" applyFont="1" applyFill="1" applyBorder="1" applyAlignment="1">
      <alignment horizontal="center" vertical="center" wrapText="1" readingOrder="1"/>
    </xf>
    <xf numFmtId="1" fontId="163" fillId="18" borderId="106" xfId="0" applyNumberFormat="1" applyFont="1" applyFill="1" applyBorder="1" applyAlignment="1">
      <alignment horizontal="center" vertical="center" wrapText="1" readingOrder="1"/>
    </xf>
    <xf numFmtId="0" fontId="168" fillId="0" borderId="111" xfId="0" applyFont="1" applyBorder="1" applyAlignment="1">
      <alignment horizontal="center" vertical="top" wrapText="1" readingOrder="1"/>
    </xf>
    <xf numFmtId="0" fontId="161" fillId="24" borderId="106" xfId="0" applyFont="1" applyFill="1" applyBorder="1" applyAlignment="1">
      <alignment horizontal="center" vertical="top" wrapText="1" readingOrder="1"/>
    </xf>
    <xf numFmtId="0" fontId="161" fillId="24" borderId="108" xfId="0" applyFont="1" applyFill="1" applyBorder="1" applyAlignment="1">
      <alignment horizontal="center" vertical="top" wrapText="1" readingOrder="1"/>
    </xf>
    <xf numFmtId="0" fontId="163" fillId="24" borderId="106" xfId="0" applyFont="1" applyFill="1" applyBorder="1" applyAlignment="1">
      <alignment horizontal="left" vertical="top" wrapText="1" readingOrder="1"/>
    </xf>
    <xf numFmtId="3" fontId="163" fillId="24" borderId="106" xfId="0" applyNumberFormat="1" applyFont="1" applyFill="1" applyBorder="1" applyAlignment="1">
      <alignment horizontal="center" vertical="top" wrapText="1" readingOrder="1"/>
    </xf>
    <xf numFmtId="0" fontId="163" fillId="24" borderId="106" xfId="0" applyFont="1" applyFill="1" applyBorder="1" applyAlignment="1">
      <alignment horizontal="center" vertical="top" wrapText="1" readingOrder="1"/>
    </xf>
    <xf numFmtId="171" fontId="9" fillId="0" borderId="0" xfId="0" applyNumberFormat="1" applyFont="1" applyAlignment="1">
      <alignment horizontal="center" vertical="center"/>
    </xf>
    <xf numFmtId="0" fontId="163" fillId="24" borderId="107" xfId="0" applyFont="1" applyFill="1" applyBorder="1" applyAlignment="1">
      <alignment horizontal="right" vertical="top" wrapText="1" readingOrder="1"/>
    </xf>
    <xf numFmtId="3" fontId="163" fillId="24" borderId="107" xfId="0" applyNumberFormat="1" applyFont="1" applyFill="1" applyBorder="1" applyAlignment="1">
      <alignment horizontal="center" vertical="top" wrapText="1" readingOrder="1"/>
    </xf>
    <xf numFmtId="0" fontId="163" fillId="24" borderId="107" xfId="0" applyFont="1" applyFill="1" applyBorder="1" applyAlignment="1">
      <alignment horizontal="center" vertical="top" wrapText="1" readingOrder="1"/>
    </xf>
    <xf numFmtId="0" fontId="163" fillId="24" borderId="108" xfId="0" applyFont="1" applyFill="1" applyBorder="1" applyAlignment="1">
      <alignment horizontal="right" vertical="top" wrapText="1" readingOrder="1"/>
    </xf>
    <xf numFmtId="3" fontId="163" fillId="24" borderId="108" xfId="0" applyNumberFormat="1" applyFont="1" applyFill="1" applyBorder="1" applyAlignment="1">
      <alignment horizontal="center" vertical="top" wrapText="1" readingOrder="1"/>
    </xf>
    <xf numFmtId="0" fontId="163" fillId="24" borderId="108" xfId="0" applyFont="1" applyFill="1" applyBorder="1" applyAlignment="1">
      <alignment horizontal="center" vertical="top" wrapText="1" readingOrder="1"/>
    </xf>
    <xf numFmtId="0" fontId="163" fillId="24" borderId="105" xfId="0" applyFont="1" applyFill="1" applyBorder="1" applyAlignment="1">
      <alignment horizontal="left" vertical="top" wrapText="1" readingOrder="1"/>
    </xf>
    <xf numFmtId="3" fontId="163" fillId="24" borderId="105" xfId="0" applyNumberFormat="1" applyFont="1" applyFill="1" applyBorder="1" applyAlignment="1">
      <alignment horizontal="center" vertical="top" wrapText="1" readingOrder="1"/>
    </xf>
    <xf numFmtId="0" fontId="163" fillId="24" borderId="105" xfId="0" applyFont="1" applyFill="1" applyBorder="1" applyAlignment="1">
      <alignment horizontal="center" vertical="top" wrapText="1" readingOrder="1"/>
    </xf>
    <xf numFmtId="3" fontId="163" fillId="24" borderId="105" xfId="0" applyNumberFormat="1" applyFont="1" applyFill="1" applyBorder="1" applyAlignment="1">
      <alignment horizontal="center" vertical="center" wrapText="1" readingOrder="1"/>
    </xf>
    <xf numFmtId="0" fontId="163" fillId="24" borderId="105" xfId="0" applyFont="1" applyFill="1" applyBorder="1" applyAlignment="1">
      <alignment horizontal="center" vertical="center" wrapText="1" readingOrder="1"/>
    </xf>
    <xf numFmtId="0" fontId="71" fillId="0" borderId="0" xfId="0" applyFont="1"/>
    <xf numFmtId="0" fontId="170" fillId="26" borderId="4" xfId="0" applyFont="1" applyFill="1" applyBorder="1" applyAlignment="1">
      <alignment horizontal="center"/>
    </xf>
    <xf numFmtId="0" fontId="170" fillId="26" borderId="4" xfId="0" applyFont="1" applyFill="1" applyBorder="1" applyAlignment="1">
      <alignment horizontal="left"/>
    </xf>
    <xf numFmtId="0" fontId="101" fillId="27" borderId="4" xfId="0" applyFont="1" applyFill="1" applyBorder="1" applyAlignment="1">
      <alignment horizontal="center"/>
    </xf>
    <xf numFmtId="0" fontId="101" fillId="27" borderId="4" xfId="0" applyFont="1" applyFill="1" applyBorder="1" applyAlignment="1">
      <alignment horizontal="left"/>
    </xf>
    <xf numFmtId="0" fontId="101" fillId="0" borderId="4" xfId="0" applyFont="1" applyBorder="1" applyAlignment="1">
      <alignment horizontal="center"/>
    </xf>
    <xf numFmtId="0" fontId="101" fillId="0" borderId="4" xfId="0" applyFont="1" applyBorder="1" applyAlignment="1">
      <alignment horizontal="left"/>
    </xf>
    <xf numFmtId="0" fontId="170" fillId="26" borderId="112" xfId="0" applyFont="1" applyFill="1" applyBorder="1" applyAlignment="1">
      <alignment horizontal="left"/>
    </xf>
    <xf numFmtId="0" fontId="72" fillId="27" borderId="4" xfId="604" applyFill="1" applyBorder="1" applyAlignment="1" applyProtection="1">
      <alignment horizontal="left"/>
    </xf>
    <xf numFmtId="0" fontId="72" fillId="0" borderId="4" xfId="604" applyBorder="1" applyAlignment="1" applyProtection="1">
      <alignment horizontal="left"/>
    </xf>
    <xf numFmtId="0" fontId="168" fillId="0" borderId="109" xfId="0" applyFont="1" applyBorder="1" applyAlignment="1">
      <alignment horizontal="center" vertical="top" wrapText="1"/>
    </xf>
    <xf numFmtId="0" fontId="6" fillId="0" borderId="113" xfId="0" applyFont="1" applyBorder="1" applyAlignment="1">
      <alignment wrapText="1"/>
    </xf>
    <xf numFmtId="0" fontId="6" fillId="0" borderId="82" xfId="0" applyFont="1" applyBorder="1" applyAlignment="1">
      <alignment wrapText="1"/>
    </xf>
    <xf numFmtId="0" fontId="6" fillId="0" borderId="87" xfId="0" applyFont="1" applyBorder="1" applyAlignment="1">
      <alignment horizontal="right" wrapText="1"/>
    </xf>
    <xf numFmtId="0" fontId="6" fillId="0" borderId="84" xfId="0" applyFont="1" applyBorder="1" applyAlignment="1">
      <alignment wrapText="1"/>
    </xf>
    <xf numFmtId="0" fontId="6" fillId="0" borderId="84" xfId="0" applyFont="1" applyBorder="1" applyAlignment="1">
      <alignment horizontal="right" wrapText="1"/>
    </xf>
    <xf numFmtId="0" fontId="6" fillId="0" borderId="4" xfId="0" applyFont="1" applyBorder="1" applyAlignment="1">
      <alignment horizontal="left" vertical="center"/>
    </xf>
    <xf numFmtId="0" fontId="101" fillId="18" borderId="4" xfId="0" applyFont="1" applyFill="1" applyBorder="1" applyAlignment="1">
      <alignment horizontal="left"/>
    </xf>
    <xf numFmtId="0" fontId="101" fillId="27" borderId="114" xfId="0" applyFont="1" applyFill="1" applyBorder="1" applyAlignment="1">
      <alignment horizontal="left"/>
    </xf>
    <xf numFmtId="0" fontId="72" fillId="0" borderId="114" xfId="604" applyBorder="1" applyAlignment="1" applyProtection="1">
      <alignment horizontal="left"/>
    </xf>
    <xf numFmtId="0" fontId="101" fillId="0" borderId="0" xfId="0" applyFont="1" applyAlignment="1">
      <alignment horizontal="center"/>
    </xf>
    <xf numFmtId="0" fontId="101" fillId="0" borderId="0" xfId="0" applyFont="1" applyAlignment="1">
      <alignment horizontal="left"/>
    </xf>
    <xf numFmtId="0" fontId="101" fillId="27" borderId="4" xfId="0" applyFont="1" applyFill="1" applyBorder="1" applyAlignment="1">
      <alignment horizontal="left" vertical="top"/>
    </xf>
    <xf numFmtId="0" fontId="101" fillId="27" borderId="4" xfId="0" applyFont="1" applyFill="1" applyBorder="1" applyAlignment="1">
      <alignment horizontal="left" vertical="top" wrapText="1"/>
    </xf>
    <xf numFmtId="0" fontId="101" fillId="0" borderId="4" xfId="0" applyFont="1" applyBorder="1" applyAlignment="1">
      <alignment horizontal="left" vertical="top"/>
    </xf>
    <xf numFmtId="0" fontId="170" fillId="26" borderId="114" xfId="0" applyFont="1" applyFill="1" applyBorder="1" applyAlignment="1">
      <alignment horizontal="left"/>
    </xf>
    <xf numFmtId="0" fontId="170" fillId="26" borderId="115" xfId="0" applyFont="1" applyFill="1" applyBorder="1" applyAlignment="1">
      <alignment horizontal="left"/>
    </xf>
    <xf numFmtId="15" fontId="39" fillId="0" borderId="4" xfId="0" applyNumberFormat="1" applyFont="1" applyBorder="1" applyAlignment="1">
      <alignment horizontal="center"/>
    </xf>
    <xf numFmtId="0" fontId="101" fillId="27" borderId="14" xfId="0" applyFont="1" applyFill="1" applyBorder="1" applyAlignment="1">
      <alignment horizontal="left"/>
    </xf>
    <xf numFmtId="15" fontId="39" fillId="27" borderId="14" xfId="0" applyNumberFormat="1" applyFont="1" applyFill="1" applyBorder="1" applyAlignment="1">
      <alignment horizontal="center"/>
    </xf>
    <xf numFmtId="15" fontId="39" fillId="27" borderId="4" xfId="0" applyNumberFormat="1" applyFont="1" applyFill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101" fillId="27" borderId="14" xfId="0" applyFont="1" applyFill="1" applyBorder="1" applyAlignment="1">
      <alignment horizontal="left" vertical="top"/>
    </xf>
    <xf numFmtId="0" fontId="101" fillId="0" borderId="14" xfId="0" applyFont="1" applyBorder="1" applyAlignment="1">
      <alignment horizontal="left"/>
    </xf>
    <xf numFmtId="15" fontId="39" fillId="0" borderId="14" xfId="0" applyNumberFormat="1" applyFont="1" applyBorder="1" applyAlignment="1">
      <alignment horizontal="center" vertical="top"/>
    </xf>
    <xf numFmtId="0" fontId="72" fillId="0" borderId="14" xfId="604" applyBorder="1" applyAlignment="1" applyProtection="1">
      <alignment horizontal="left"/>
    </xf>
    <xf numFmtId="15" fontId="39" fillId="0" borderId="4" xfId="0" applyNumberFormat="1" applyFont="1" applyBorder="1" applyAlignment="1">
      <alignment horizontal="center" vertical="top"/>
    </xf>
    <xf numFmtId="15" fontId="39" fillId="27" borderId="4" xfId="0" applyNumberFormat="1" applyFont="1" applyFill="1" applyBorder="1" applyAlignment="1">
      <alignment horizontal="center" vertical="top" wrapText="1"/>
    </xf>
    <xf numFmtId="15" fontId="39" fillId="27" borderId="4" xfId="0" applyNumberFormat="1" applyFont="1" applyFill="1" applyBorder="1" applyAlignment="1">
      <alignment horizontal="center" vertical="top"/>
    </xf>
    <xf numFmtId="15" fontId="39" fillId="27" borderId="14" xfId="0" applyNumberFormat="1" applyFont="1" applyFill="1" applyBorder="1" applyAlignment="1">
      <alignment horizontal="center" vertical="top"/>
    </xf>
    <xf numFmtId="0" fontId="171" fillId="27" borderId="4" xfId="0" applyFont="1" applyFill="1" applyBorder="1" applyAlignment="1">
      <alignment horizontal="left"/>
    </xf>
    <xf numFmtId="0" fontId="72" fillId="27" borderId="14" xfId="604" applyFill="1" applyBorder="1" applyAlignment="1" applyProtection="1">
      <alignment horizontal="left"/>
    </xf>
    <xf numFmtId="0" fontId="101" fillId="0" borderId="4" xfId="0" applyFont="1" applyBorder="1" applyAlignment="1">
      <alignment horizontal="left" vertical="top" wrapText="1"/>
    </xf>
    <xf numFmtId="0" fontId="102" fillId="27" borderId="4" xfId="0" applyFont="1" applyFill="1" applyBorder="1" applyAlignment="1">
      <alignment horizontal="center"/>
    </xf>
    <xf numFmtId="0" fontId="102" fillId="27" borderId="4" xfId="0" applyFont="1" applyFill="1" applyBorder="1" applyAlignment="1">
      <alignment horizontal="left"/>
    </xf>
    <xf numFmtId="0" fontId="101" fillId="0" borderId="4" xfId="0" applyFont="1" applyBorder="1"/>
    <xf numFmtId="0" fontId="101" fillId="27" borderId="4" xfId="0" applyFont="1" applyFill="1" applyBorder="1"/>
    <xf numFmtId="0" fontId="102" fillId="0" borderId="4" xfId="0" applyFont="1" applyBorder="1" applyAlignment="1">
      <alignment horizontal="left"/>
    </xf>
    <xf numFmtId="0" fontId="102" fillId="27" borderId="16" xfId="0" applyFont="1" applyFill="1" applyBorder="1" applyAlignment="1">
      <alignment horizontal="center"/>
    </xf>
    <xf numFmtId="0" fontId="102" fillId="27" borderId="17" xfId="0" applyFont="1" applyFill="1" applyBorder="1" applyAlignment="1">
      <alignment horizontal="center"/>
    </xf>
    <xf numFmtId="0" fontId="37" fillId="27" borderId="4" xfId="0" applyFont="1" applyFill="1" applyBorder="1" applyAlignment="1">
      <alignment horizontal="left"/>
    </xf>
    <xf numFmtId="0" fontId="101" fillId="0" borderId="17" xfId="0" applyFont="1" applyBorder="1" applyAlignment="1">
      <alignment horizontal="left"/>
    </xf>
    <xf numFmtId="0" fontId="72" fillId="27" borderId="4" xfId="604" applyFill="1" applyBorder="1" applyAlignment="1" applyProtection="1"/>
    <xf numFmtId="0" fontId="172" fillId="27" borderId="4" xfId="0" applyFont="1" applyFill="1" applyBorder="1" applyAlignment="1">
      <alignment horizontal="left"/>
    </xf>
    <xf numFmtId="0" fontId="72" fillId="0" borderId="4" xfId="604" applyBorder="1" applyAlignment="1" applyProtection="1"/>
    <xf numFmtId="0" fontId="101" fillId="18" borderId="4" xfId="0" applyFont="1" applyFill="1" applyBorder="1" applyAlignment="1">
      <alignment horizontal="center"/>
    </xf>
    <xf numFmtId="0" fontId="101" fillId="27" borderId="16" xfId="0" applyFont="1" applyFill="1" applyBorder="1" applyAlignment="1">
      <alignment horizontal="center"/>
    </xf>
    <xf numFmtId="0" fontId="101" fillId="27" borderId="17" xfId="0" applyFont="1" applyFill="1" applyBorder="1" applyAlignment="1">
      <alignment horizontal="center"/>
    </xf>
    <xf numFmtId="0" fontId="101" fillId="18" borderId="16" xfId="0" applyFont="1" applyFill="1" applyBorder="1" applyAlignment="1">
      <alignment horizontal="center"/>
    </xf>
    <xf numFmtId="0" fontId="101" fillId="18" borderId="17" xfId="0" applyFont="1" applyFill="1" applyBorder="1" applyAlignment="1">
      <alignment horizontal="center"/>
    </xf>
    <xf numFmtId="0" fontId="39" fillId="18" borderId="4" xfId="0" applyFont="1" applyFill="1" applyBorder="1" applyAlignment="1">
      <alignment horizontal="left"/>
    </xf>
    <xf numFmtId="0" fontId="72" fillId="18" borderId="4" xfId="604" applyFill="1" applyBorder="1" applyAlignment="1" applyProtection="1">
      <alignment horizontal="left"/>
    </xf>
    <xf numFmtId="0" fontId="6" fillId="0" borderId="20" xfId="0" applyFont="1" applyBorder="1" applyAlignment="1">
      <alignment horizontal="center"/>
    </xf>
    <xf numFmtId="14" fontId="7" fillId="0" borderId="0" xfId="0" applyNumberFormat="1" applyFont="1" applyAlignment="1">
      <alignment horizontal="center" wrapText="1"/>
    </xf>
    <xf numFmtId="0" fontId="6" fillId="0" borderId="54" xfId="0" applyFont="1" applyBorder="1" applyAlignment="1">
      <alignment horizontal="center"/>
    </xf>
    <xf numFmtId="1" fontId="0" fillId="0" borderId="17" xfId="0" applyNumberFormat="1" applyBorder="1"/>
    <xf numFmtId="1" fontId="6" fillId="0" borderId="9" xfId="0" applyNumberFormat="1" applyFont="1" applyBorder="1"/>
    <xf numFmtId="2" fontId="6" fillId="0" borderId="9" xfId="0" applyNumberFormat="1" applyFont="1" applyBorder="1" applyAlignment="1">
      <alignment horizontal="center"/>
    </xf>
    <xf numFmtId="0" fontId="6" fillId="17" borderId="4" xfId="0" applyFont="1" applyFill="1" applyBorder="1"/>
    <xf numFmtId="1" fontId="6" fillId="17" borderId="4" xfId="0" applyNumberFormat="1" applyFont="1" applyFill="1" applyBorder="1"/>
    <xf numFmtId="1" fontId="6" fillId="17" borderId="17" xfId="0" applyNumberFormat="1" applyFont="1" applyFill="1" applyBorder="1"/>
    <xf numFmtId="0" fontId="6" fillId="17" borderId="9" xfId="0" applyFont="1" applyFill="1" applyBorder="1" applyAlignment="1">
      <alignment horizontal="center"/>
    </xf>
    <xf numFmtId="1" fontId="6" fillId="17" borderId="16" xfId="0" applyNumberFormat="1" applyFont="1" applyFill="1" applyBorder="1" applyAlignment="1">
      <alignment horizontal="center"/>
    </xf>
    <xf numFmtId="1" fontId="6" fillId="17" borderId="9" xfId="0" applyNumberFormat="1" applyFont="1" applyFill="1" applyBorder="1"/>
    <xf numFmtId="0" fontId="74" fillId="0" borderId="21" xfId="0" applyFont="1" applyBorder="1"/>
    <xf numFmtId="0" fontId="74" fillId="0" borderId="65" xfId="0" applyFont="1" applyBorder="1"/>
    <xf numFmtId="0" fontId="74" fillId="0" borderId="33" xfId="0" applyFont="1" applyBorder="1"/>
    <xf numFmtId="0" fontId="74" fillId="0" borderId="33" xfId="0" applyFont="1" applyBorder="1" applyAlignment="1">
      <alignment horizontal="center"/>
    </xf>
    <xf numFmtId="0" fontId="74" fillId="0" borderId="29" xfId="0" applyFont="1" applyBorder="1"/>
    <xf numFmtId="0" fontId="74" fillId="0" borderId="59" xfId="0" applyFont="1" applyBorder="1"/>
    <xf numFmtId="0" fontId="74" fillId="0" borderId="43" xfId="0" applyFont="1" applyBorder="1" applyAlignment="1">
      <alignment horizontal="center"/>
    </xf>
    <xf numFmtId="0" fontId="74" fillId="0" borderId="28" xfId="0" applyFont="1" applyBorder="1" applyAlignment="1">
      <alignment horizontal="center"/>
    </xf>
    <xf numFmtId="0" fontId="74" fillId="0" borderId="29" xfId="0" applyFont="1" applyBorder="1" applyAlignment="1">
      <alignment horizontal="center"/>
    </xf>
    <xf numFmtId="0" fontId="74" fillId="0" borderId="11" xfId="0" applyFont="1" applyBorder="1"/>
    <xf numFmtId="1" fontId="74" fillId="0" borderId="30" xfId="0" applyNumberFormat="1" applyFont="1" applyBorder="1" applyAlignment="1">
      <alignment horizontal="center"/>
    </xf>
    <xf numFmtId="1" fontId="74" fillId="0" borderId="0" xfId="0" applyNumberFormat="1" applyFont="1" applyAlignment="1">
      <alignment horizontal="center"/>
    </xf>
    <xf numFmtId="0" fontId="74" fillId="0" borderId="50" xfId="0" applyFont="1" applyBorder="1" applyAlignment="1">
      <alignment horizontal="center"/>
    </xf>
    <xf numFmtId="0" fontId="74" fillId="0" borderId="30" xfId="0" applyFont="1" applyBorder="1" applyAlignment="1">
      <alignment horizontal="center"/>
    </xf>
    <xf numFmtId="0" fontId="74" fillId="0" borderId="0" xfId="0" applyFont="1" applyAlignment="1">
      <alignment horizontal="center"/>
    </xf>
    <xf numFmtId="0" fontId="74" fillId="0" borderId="39" xfId="0" applyFont="1" applyBorder="1"/>
    <xf numFmtId="1" fontId="74" fillId="0" borderId="40" xfId="0" applyNumberFormat="1" applyFont="1" applyBorder="1" applyAlignment="1">
      <alignment horizontal="center"/>
    </xf>
    <xf numFmtId="0" fontId="74" fillId="0" borderId="41" xfId="0" applyFont="1" applyBorder="1" applyAlignment="1">
      <alignment horizontal="center"/>
    </xf>
    <xf numFmtId="0" fontId="74" fillId="0" borderId="40" xfId="0" applyFont="1" applyBorder="1" applyAlignment="1">
      <alignment horizontal="center"/>
    </xf>
    <xf numFmtId="1" fontId="74" fillId="0" borderId="41" xfId="0" applyNumberFormat="1" applyFont="1" applyBorder="1" applyAlignment="1">
      <alignment horizontal="center"/>
    </xf>
    <xf numFmtId="0" fontId="74" fillId="0" borderId="78" xfId="0" applyFont="1" applyBorder="1"/>
    <xf numFmtId="0" fontId="74" fillId="0" borderId="79" xfId="0" applyFont="1" applyBorder="1"/>
    <xf numFmtId="0" fontId="74" fillId="0" borderId="10" xfId="0" applyFont="1" applyBorder="1"/>
    <xf numFmtId="0" fontId="74" fillId="0" borderId="10" xfId="0" applyFont="1" applyBorder="1" applyAlignment="1">
      <alignment horizontal="center"/>
    </xf>
    <xf numFmtId="0" fontId="74" fillId="0" borderId="12" xfId="0" applyFont="1" applyBorder="1"/>
    <xf numFmtId="0" fontId="74" fillId="0" borderId="62" xfId="0" applyFont="1" applyBorder="1"/>
    <xf numFmtId="0" fontId="74" fillId="0" borderId="6" xfId="0" applyFont="1" applyBorder="1"/>
    <xf numFmtId="0" fontId="74" fillId="0" borderId="31" xfId="0" applyFont="1" applyBorder="1" applyAlignment="1">
      <alignment horizontal="center"/>
    </xf>
    <xf numFmtId="0" fontId="74" fillId="0" borderId="7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6" fillId="0" borderId="71" xfId="0" applyFont="1" applyBorder="1" applyAlignment="1">
      <alignment horizontal="center"/>
    </xf>
    <xf numFmtId="1" fontId="6" fillId="15" borderId="16" xfId="0" applyNumberFormat="1" applyFont="1" applyFill="1" applyBorder="1"/>
    <xf numFmtId="1" fontId="74" fillId="0" borderId="30" xfId="0" applyNumberFormat="1" applyFont="1" applyBorder="1" applyAlignment="1">
      <alignment horizontal="center" vertical="center"/>
    </xf>
    <xf numFmtId="1" fontId="7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2" fontId="74" fillId="0" borderId="30" xfId="0" applyNumberFormat="1" applyFont="1" applyBorder="1" applyAlignment="1">
      <alignment horizontal="center"/>
    </xf>
    <xf numFmtId="0" fontId="74" fillId="0" borderId="11" xfId="0" applyFont="1" applyBorder="1" applyAlignment="1">
      <alignment horizontal="center"/>
    </xf>
    <xf numFmtId="171" fontId="74" fillId="0" borderId="40" xfId="0" applyNumberFormat="1" applyFont="1" applyBorder="1" applyAlignment="1">
      <alignment horizontal="center"/>
    </xf>
    <xf numFmtId="14" fontId="74" fillId="0" borderId="30" xfId="0" applyNumberFormat="1" applyFont="1" applyBorder="1" applyAlignment="1">
      <alignment horizontal="center"/>
    </xf>
    <xf numFmtId="1" fontId="74" fillId="0" borderId="11" xfId="0" applyNumberFormat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74" fillId="0" borderId="0" xfId="0" applyFont="1"/>
    <xf numFmtId="0" fontId="74" fillId="0" borderId="32" xfId="0" applyFont="1" applyBorder="1" applyAlignment="1">
      <alignment horizontal="center"/>
    </xf>
    <xf numFmtId="0" fontId="74" fillId="0" borderId="36" xfId="0" applyFont="1" applyBorder="1" applyAlignment="1">
      <alignment horizontal="center"/>
    </xf>
    <xf numFmtId="0" fontId="74" fillId="0" borderId="35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4" fillId="0" borderId="77" xfId="0" applyFont="1" applyBorder="1" applyAlignment="1">
      <alignment horizontal="center"/>
    </xf>
    <xf numFmtId="1" fontId="74" fillId="0" borderId="77" xfId="0" applyNumberFormat="1" applyFont="1" applyBorder="1" applyAlignment="1">
      <alignment horizontal="center" vertical="center"/>
    </xf>
    <xf numFmtId="1" fontId="74" fillId="0" borderId="34" xfId="0" applyNumberFormat="1" applyFont="1" applyBorder="1" applyAlignment="1">
      <alignment horizontal="center" vertical="center"/>
    </xf>
    <xf numFmtId="1" fontId="0" fillId="0" borderId="34" xfId="0" applyNumberFormat="1" applyBorder="1" applyAlignment="1">
      <alignment vertical="center"/>
    </xf>
    <xf numFmtId="1" fontId="74" fillId="0" borderId="7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6" fillId="0" borderId="78" xfId="0" applyFont="1" applyBorder="1"/>
    <xf numFmtId="0" fontId="6" fillId="0" borderId="72" xfId="0" applyFont="1" applyBorder="1"/>
    <xf numFmtId="0" fontId="6" fillId="0" borderId="80" xfId="0" applyFont="1" applyBorder="1"/>
    <xf numFmtId="0" fontId="6" fillId="0" borderId="2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3" fillId="0" borderId="4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9" xfId="0" applyFont="1" applyBorder="1" applyAlignment="1">
      <alignment vertical="center"/>
    </xf>
    <xf numFmtId="0" fontId="33" fillId="0" borderId="10" xfId="0" applyFont="1" applyBorder="1" applyAlignment="1">
      <alignment horizontal="center" vertical="center"/>
    </xf>
    <xf numFmtId="49" fontId="29" fillId="0" borderId="10" xfId="0" applyNumberFormat="1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29" fillId="0" borderId="28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166" fontId="29" fillId="0" borderId="50" xfId="0" applyNumberFormat="1" applyFont="1" applyBorder="1" applyAlignment="1">
      <alignment horizontal="center" vertical="center"/>
    </xf>
    <xf numFmtId="1" fontId="29" fillId="0" borderId="20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1" fontId="29" fillId="22" borderId="4" xfId="0" applyNumberFormat="1" applyFont="1" applyFill="1" applyBorder="1" applyAlignment="1">
      <alignment horizontal="center" vertical="center"/>
    </xf>
    <xf numFmtId="0" fontId="33" fillId="0" borderId="3" xfId="0" applyFont="1" applyBorder="1" applyAlignment="1">
      <alignment vertical="center"/>
    </xf>
    <xf numFmtId="0" fontId="29" fillId="0" borderId="59" xfId="0" applyFont="1" applyBorder="1" applyAlignment="1">
      <alignment vertical="center"/>
    </xf>
    <xf numFmtId="0" fontId="29" fillId="0" borderId="44" xfId="0" applyFont="1" applyBorder="1" applyAlignment="1">
      <alignment horizontal="center" vertical="center"/>
    </xf>
    <xf numFmtId="1" fontId="29" fillId="0" borderId="59" xfId="0" applyNumberFormat="1" applyFont="1" applyBorder="1" applyAlignment="1">
      <alignment horizontal="center" vertical="center"/>
    </xf>
    <xf numFmtId="1" fontId="29" fillId="0" borderId="44" xfId="0" applyNumberFormat="1" applyFont="1" applyBorder="1" applyAlignment="1">
      <alignment horizontal="center" vertical="center"/>
    </xf>
    <xf numFmtId="1" fontId="29" fillId="0" borderId="54" xfId="0" applyNumberFormat="1" applyFont="1" applyBorder="1" applyAlignment="1">
      <alignment horizontal="center" vertical="center"/>
    </xf>
    <xf numFmtId="0" fontId="29" fillId="22" borderId="59" xfId="0" applyFont="1" applyFill="1" applyBorder="1" applyAlignment="1">
      <alignment vertical="center"/>
    </xf>
    <xf numFmtId="0" fontId="29" fillId="22" borderId="59" xfId="0" applyFont="1" applyFill="1" applyBorder="1" applyAlignment="1">
      <alignment horizontal="center" vertical="center"/>
    </xf>
    <xf numFmtId="0" fontId="29" fillId="22" borderId="54" xfId="0" applyFont="1" applyFill="1" applyBorder="1" applyAlignment="1">
      <alignment horizontal="center" vertical="center"/>
    </xf>
    <xf numFmtId="1" fontId="29" fillId="22" borderId="44" xfId="0" applyNumberFormat="1" applyFont="1" applyFill="1" applyBorder="1" applyAlignment="1">
      <alignment horizontal="center" vertical="center"/>
    </xf>
    <xf numFmtId="1" fontId="29" fillId="22" borderId="54" xfId="0" applyNumberFormat="1" applyFont="1" applyFill="1" applyBorder="1" applyAlignment="1">
      <alignment horizontal="center" vertical="center"/>
    </xf>
    <xf numFmtId="0" fontId="29" fillId="22" borderId="66" xfId="0" applyFont="1" applyFill="1" applyBorder="1" applyAlignment="1">
      <alignment vertical="center"/>
    </xf>
    <xf numFmtId="0" fontId="29" fillId="22" borderId="66" xfId="0" applyFont="1" applyFill="1" applyBorder="1" applyAlignment="1">
      <alignment horizontal="center" vertical="center"/>
    </xf>
    <xf numFmtId="1" fontId="29" fillId="22" borderId="52" xfId="0" applyNumberFormat="1" applyFont="1" applyFill="1" applyBorder="1" applyAlignment="1">
      <alignment horizontal="center" vertical="center"/>
    </xf>
    <xf numFmtId="1" fontId="29" fillId="22" borderId="48" xfId="0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2" xfId="0" applyFont="1" applyBorder="1" applyAlignment="1">
      <alignment vertical="center"/>
    </xf>
    <xf numFmtId="0" fontId="29" fillId="0" borderId="50" xfId="0" applyFont="1" applyBorder="1" applyAlignment="1">
      <alignment vertical="center"/>
    </xf>
    <xf numFmtId="2" fontId="29" fillId="0" borderId="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vertical="center"/>
    </xf>
    <xf numFmtId="2" fontId="29" fillId="0" borderId="54" xfId="0" applyNumberFormat="1" applyFont="1" applyBorder="1" applyAlignment="1">
      <alignment horizontal="center" vertical="center"/>
    </xf>
    <xf numFmtId="1" fontId="29" fillId="0" borderId="48" xfId="0" applyNumberFormat="1" applyFont="1" applyBorder="1" applyAlignment="1">
      <alignment horizontal="center" vertical="center"/>
    </xf>
    <xf numFmtId="168" fontId="29" fillId="0" borderId="7" xfId="0" applyNumberFormat="1" applyFont="1" applyBorder="1" applyAlignment="1">
      <alignment horizontal="center" vertical="center"/>
    </xf>
    <xf numFmtId="168" fontId="29" fillId="0" borderId="32" xfId="0" applyNumberFormat="1" applyFont="1" applyBorder="1" applyAlignment="1">
      <alignment horizontal="center" vertical="center"/>
    </xf>
    <xf numFmtId="168" fontId="29" fillId="0" borderId="28" xfId="0" applyNumberFormat="1" applyFont="1" applyBorder="1" applyAlignment="1">
      <alignment horizontal="center" vertical="center"/>
    </xf>
    <xf numFmtId="2" fontId="29" fillId="0" borderId="28" xfId="0" applyNumberFormat="1" applyFont="1" applyBorder="1" applyAlignment="1">
      <alignment horizontal="center" vertical="center"/>
    </xf>
    <xf numFmtId="0" fontId="29" fillId="0" borderId="44" xfId="0" applyFont="1" applyBorder="1" applyAlignment="1">
      <alignment vertical="center"/>
    </xf>
    <xf numFmtId="0" fontId="29" fillId="0" borderId="31" xfId="0" applyFont="1" applyBorder="1" applyAlignment="1">
      <alignment vertical="center"/>
    </xf>
    <xf numFmtId="168" fontId="29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2" fontId="29" fillId="0" borderId="33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78" xfId="0" applyFont="1" applyBorder="1" applyAlignment="1">
      <alignment vertical="center"/>
    </xf>
    <xf numFmtId="0" fontId="29" fillId="0" borderId="20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29" fillId="0" borderId="77" xfId="0" applyFont="1" applyBorder="1" applyAlignment="1">
      <alignment vertical="center"/>
    </xf>
    <xf numFmtId="0" fontId="29" fillId="0" borderId="57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166" fontId="29" fillId="0" borderId="4" xfId="0" applyNumberFormat="1" applyFont="1" applyBorder="1" applyAlignment="1">
      <alignment horizontal="center" vertical="center"/>
    </xf>
    <xf numFmtId="0" fontId="33" fillId="0" borderId="11" xfId="0" applyFont="1" applyBorder="1" applyAlignment="1">
      <alignment vertical="center"/>
    </xf>
    <xf numFmtId="0" fontId="29" fillId="0" borderId="47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29" fillId="0" borderId="13" xfId="0" applyFont="1" applyBorder="1" applyAlignment="1">
      <alignment vertical="center"/>
    </xf>
    <xf numFmtId="0" fontId="29" fillId="0" borderId="66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29" fillId="0" borderId="79" xfId="0" applyFont="1" applyBorder="1" applyAlignment="1">
      <alignment horizontal="center" vertical="center"/>
    </xf>
    <xf numFmtId="1" fontId="29" fillId="0" borderId="79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vertical="center"/>
    </xf>
    <xf numFmtId="0" fontId="29" fillId="0" borderId="50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0" borderId="13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vertical="center"/>
    </xf>
    <xf numFmtId="17" fontId="29" fillId="0" borderId="30" xfId="0" applyNumberFormat="1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2" fontId="29" fillId="0" borderId="37" xfId="0" applyNumberFormat="1" applyFont="1" applyBorder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left"/>
    </xf>
    <xf numFmtId="1" fontId="29" fillId="0" borderId="20" xfId="0" applyNumberFormat="1" applyFont="1" applyBorder="1" applyAlignment="1">
      <alignment horizontal="center"/>
    </xf>
    <xf numFmtId="0" fontId="29" fillId="0" borderId="8" xfId="0" applyFont="1" applyBorder="1" applyAlignment="1">
      <alignment vertical="center"/>
    </xf>
    <xf numFmtId="0" fontId="29" fillId="0" borderId="37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52" xfId="0" applyFont="1" applyBorder="1" applyAlignment="1">
      <alignment horizontal="left" vertical="center"/>
    </xf>
    <xf numFmtId="0" fontId="29" fillId="0" borderId="69" xfId="0" applyFont="1" applyBorder="1" applyAlignment="1">
      <alignment horizontal="center" vertical="center"/>
    </xf>
    <xf numFmtId="1" fontId="29" fillId="0" borderId="40" xfId="0" applyNumberFormat="1" applyFont="1" applyBorder="1" applyAlignment="1">
      <alignment horizontal="center" vertical="center"/>
    </xf>
    <xf numFmtId="1" fontId="29" fillId="0" borderId="50" xfId="0" applyNumberFormat="1" applyFont="1" applyBorder="1" applyAlignment="1">
      <alignment horizontal="center" vertical="center"/>
    </xf>
    <xf numFmtId="0" fontId="33" fillId="0" borderId="47" xfId="0" applyFont="1" applyBorder="1" applyAlignment="1">
      <alignment vertical="center"/>
    </xf>
    <xf numFmtId="0" fontId="29" fillId="0" borderId="47" xfId="0" applyFont="1" applyBorder="1" applyAlignment="1">
      <alignment vertical="center"/>
    </xf>
    <xf numFmtId="0" fontId="29" fillId="0" borderId="20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1" fontId="29" fillId="0" borderId="21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vertical="center"/>
    </xf>
    <xf numFmtId="1" fontId="29" fillId="0" borderId="3" xfId="0" applyNumberFormat="1" applyFont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vertical="center"/>
    </xf>
    <xf numFmtId="1" fontId="29" fillId="0" borderId="45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" fontId="29" fillId="0" borderId="26" xfId="0" applyNumberFormat="1" applyFont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1" fontId="29" fillId="0" borderId="50" xfId="0" applyNumberFormat="1" applyFont="1" applyBorder="1" applyAlignment="1">
      <alignment vertical="center"/>
    </xf>
    <xf numFmtId="1" fontId="29" fillId="0" borderId="1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1" fontId="77" fillId="0" borderId="44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20" fontId="29" fillId="0" borderId="0" xfId="0" applyNumberFormat="1" applyFont="1" applyAlignment="1">
      <alignment horizontal="center" vertical="center"/>
    </xf>
    <xf numFmtId="0" fontId="33" fillId="0" borderId="16" xfId="0" applyFont="1" applyBorder="1" applyAlignment="1">
      <alignment vertical="center"/>
    </xf>
    <xf numFmtId="20" fontId="78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 wrapText="1"/>
    </xf>
    <xf numFmtId="1" fontId="29" fillId="0" borderId="0" xfId="0" applyNumberFormat="1" applyFont="1" applyAlignment="1">
      <alignment vertical="center"/>
    </xf>
    <xf numFmtId="1" fontId="29" fillId="0" borderId="0" xfId="0" applyNumberFormat="1" applyFont="1" applyAlignment="1">
      <alignment vertical="center" wrapText="1"/>
    </xf>
    <xf numFmtId="2" fontId="29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vertical="center"/>
    </xf>
    <xf numFmtId="20" fontId="33" fillId="0" borderId="0" xfId="0" applyNumberFormat="1" applyFont="1" applyAlignment="1">
      <alignment vertical="center"/>
    </xf>
    <xf numFmtId="0" fontId="79" fillId="0" borderId="116" xfId="0" applyFont="1" applyBorder="1" applyAlignment="1">
      <alignment horizontal="left" vertical="center" wrapText="1"/>
    </xf>
    <xf numFmtId="0" fontId="79" fillId="0" borderId="116" xfId="0" applyFont="1" applyBorder="1" applyAlignment="1">
      <alignment horizontal="center" vertical="center" wrapText="1"/>
    </xf>
    <xf numFmtId="0" fontId="80" fillId="0" borderId="117" xfId="0" applyFont="1" applyBorder="1" applyAlignment="1">
      <alignment horizontal="left" vertical="center" wrapText="1"/>
    </xf>
    <xf numFmtId="0" fontId="79" fillId="0" borderId="117" xfId="0" applyFont="1" applyBorder="1" applyAlignment="1">
      <alignment horizontal="center" vertical="center" wrapText="1"/>
    </xf>
    <xf numFmtId="0" fontId="79" fillId="0" borderId="98" xfId="0" applyFont="1" applyBorder="1" applyAlignment="1">
      <alignment horizontal="left" vertical="center" wrapText="1"/>
    </xf>
    <xf numFmtId="3" fontId="79" fillId="0" borderId="98" xfId="0" applyNumberFormat="1" applyFont="1" applyBorder="1" applyAlignment="1">
      <alignment horizontal="center" vertical="center" wrapText="1"/>
    </xf>
    <xf numFmtId="0" fontId="79" fillId="0" borderId="118" xfId="0" applyFont="1" applyBorder="1" applyAlignment="1">
      <alignment horizontal="right" vertical="center" wrapText="1"/>
    </xf>
    <xf numFmtId="0" fontId="79" fillId="0" borderId="101" xfId="0" applyFont="1" applyBorder="1" applyAlignment="1">
      <alignment horizontal="center" vertical="center" wrapText="1"/>
    </xf>
    <xf numFmtId="0" fontId="33" fillId="0" borderId="101" xfId="0" applyFont="1" applyBorder="1" applyAlignment="1">
      <alignment horizontal="center" vertical="center" wrapText="1"/>
    </xf>
    <xf numFmtId="0" fontId="79" fillId="0" borderId="119" xfId="0" applyFont="1" applyBorder="1" applyAlignment="1">
      <alignment horizontal="right" vertical="center" wrapText="1"/>
    </xf>
    <xf numFmtId="0" fontId="79" fillId="0" borderId="102" xfId="0" applyFont="1" applyBorder="1" applyAlignment="1">
      <alignment horizontal="center" vertical="center" wrapText="1"/>
    </xf>
    <xf numFmtId="0" fontId="33" fillId="0" borderId="102" xfId="0" applyFont="1" applyBorder="1" applyAlignment="1">
      <alignment horizontal="center" vertical="center" wrapText="1"/>
    </xf>
    <xf numFmtId="0" fontId="79" fillId="0" borderId="120" xfId="0" applyFont="1" applyBorder="1" applyAlignment="1">
      <alignment horizontal="left" vertical="center" wrapText="1"/>
    </xf>
    <xf numFmtId="0" fontId="79" fillId="0" borderId="103" xfId="0" applyFont="1" applyBorder="1" applyAlignment="1">
      <alignment horizontal="center" vertical="center" wrapText="1"/>
    </xf>
    <xf numFmtId="0" fontId="33" fillId="0" borderId="103" xfId="0" applyFont="1" applyBorder="1" applyAlignment="1">
      <alignment horizontal="center" vertical="center" wrapText="1"/>
    </xf>
    <xf numFmtId="0" fontId="79" fillId="0" borderId="98" xfId="0" applyFont="1" applyBorder="1" applyAlignment="1">
      <alignment horizontal="center" vertical="center" wrapText="1"/>
    </xf>
    <xf numFmtId="3" fontId="79" fillId="0" borderId="101" xfId="0" applyNumberFormat="1" applyFont="1" applyBorder="1" applyAlignment="1">
      <alignment horizontal="center" vertical="center" wrapText="1"/>
    </xf>
    <xf numFmtId="3" fontId="79" fillId="0" borderId="102" xfId="0" applyNumberFormat="1" applyFont="1" applyBorder="1" applyAlignment="1">
      <alignment horizontal="center" vertical="center" wrapText="1"/>
    </xf>
    <xf numFmtId="3" fontId="79" fillId="0" borderId="103" xfId="0" applyNumberFormat="1" applyFont="1" applyBorder="1" applyAlignment="1">
      <alignment horizontal="center" vertical="center" wrapText="1"/>
    </xf>
    <xf numFmtId="0" fontId="79" fillId="0" borderId="121" xfId="0" applyFont="1" applyBorder="1" applyAlignment="1">
      <alignment horizontal="left" vertical="center" wrapText="1"/>
    </xf>
    <xf numFmtId="3" fontId="79" fillId="0" borderId="122" xfId="0" applyNumberFormat="1" applyFont="1" applyBorder="1" applyAlignment="1">
      <alignment horizontal="center" vertical="center" wrapText="1"/>
    </xf>
    <xf numFmtId="3" fontId="79" fillId="0" borderId="99" xfId="0" applyNumberFormat="1" applyFont="1" applyBorder="1" applyAlignment="1">
      <alignment horizontal="center" vertical="center" wrapText="1"/>
    </xf>
    <xf numFmtId="0" fontId="33" fillId="0" borderId="34" xfId="0" applyFont="1" applyBorder="1" applyAlignment="1">
      <alignment vertical="center"/>
    </xf>
    <xf numFmtId="1" fontId="79" fillId="0" borderId="98" xfId="0" applyNumberFormat="1" applyFont="1" applyBorder="1" applyAlignment="1">
      <alignment horizontal="center" vertical="center" wrapText="1"/>
    </xf>
    <xf numFmtId="1" fontId="33" fillId="0" borderId="101" xfId="0" applyNumberFormat="1" applyFont="1" applyBorder="1" applyAlignment="1">
      <alignment horizontal="center" vertical="center" wrapText="1"/>
    </xf>
    <xf numFmtId="0" fontId="79" fillId="0" borderId="123" xfId="0" applyFont="1" applyBorder="1" applyAlignment="1">
      <alignment horizontal="center" vertical="center" wrapText="1"/>
    </xf>
    <xf numFmtId="1" fontId="33" fillId="0" borderId="102" xfId="0" applyNumberFormat="1" applyFont="1" applyBorder="1" applyAlignment="1">
      <alignment horizontal="center" vertical="center" wrapText="1"/>
    </xf>
    <xf numFmtId="0" fontId="79" fillId="0" borderId="124" xfId="0" applyFont="1" applyBorder="1" applyAlignment="1">
      <alignment horizontal="center" vertical="center" wrapText="1"/>
    </xf>
    <xf numFmtId="1" fontId="33" fillId="0" borderId="103" xfId="0" applyNumberFormat="1" applyFont="1" applyBorder="1" applyAlignment="1">
      <alignment horizontal="center" vertical="center" wrapText="1"/>
    </xf>
    <xf numFmtId="3" fontId="79" fillId="0" borderId="125" xfId="0" applyNumberFormat="1" applyFont="1" applyBorder="1" applyAlignment="1">
      <alignment horizontal="center" vertical="center" wrapText="1"/>
    </xf>
    <xf numFmtId="2" fontId="33" fillId="0" borderId="0" xfId="0" applyNumberFormat="1" applyFont="1" applyAlignment="1">
      <alignment vertical="center"/>
    </xf>
    <xf numFmtId="2" fontId="79" fillId="0" borderId="116" xfId="0" applyNumberFormat="1" applyFont="1" applyBorder="1" applyAlignment="1">
      <alignment horizontal="center" vertical="center" wrapText="1"/>
    </xf>
    <xf numFmtId="2" fontId="79" fillId="0" borderId="117" xfId="0" applyNumberFormat="1" applyFont="1" applyBorder="1" applyAlignment="1">
      <alignment horizontal="center" vertical="center" wrapText="1"/>
    </xf>
    <xf numFmtId="3" fontId="79" fillId="0" borderId="123" xfId="0" applyNumberFormat="1" applyFont="1" applyBorder="1" applyAlignment="1">
      <alignment horizontal="center" vertical="center" wrapText="1"/>
    </xf>
    <xf numFmtId="3" fontId="79" fillId="0" borderId="124" xfId="0" applyNumberFormat="1" applyFont="1" applyBorder="1" applyAlignment="1">
      <alignment horizontal="center" vertical="center" wrapText="1"/>
    </xf>
    <xf numFmtId="3" fontId="79" fillId="0" borderId="126" xfId="0" applyNumberFormat="1" applyFont="1" applyBorder="1" applyAlignment="1">
      <alignment horizontal="center" vertical="center" wrapText="1"/>
    </xf>
    <xf numFmtId="1" fontId="79" fillId="0" borderId="99" xfId="0" applyNumberFormat="1" applyFont="1" applyBorder="1" applyAlignment="1">
      <alignment horizontal="center" vertical="center" wrapText="1"/>
    </xf>
    <xf numFmtId="1" fontId="35" fillId="0" borderId="4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0" fontId="35" fillId="0" borderId="11" xfId="0" applyFont="1" applyBorder="1" applyAlignment="1">
      <alignment vertical="center"/>
    </xf>
    <xf numFmtId="0" fontId="29" fillId="0" borderId="7" xfId="0" applyFont="1" applyBorder="1" applyAlignment="1">
      <alignment vertical="center"/>
    </xf>
    <xf numFmtId="168" fontId="29" fillId="0" borderId="0" xfId="0" applyNumberFormat="1" applyFont="1" applyAlignment="1">
      <alignment horizontal="center"/>
    </xf>
    <xf numFmtId="0" fontId="33" fillId="0" borderId="9" xfId="0" applyFont="1" applyBorder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66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3" fillId="0" borderId="1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0" fontId="33" fillId="0" borderId="70" xfId="0" applyFont="1" applyBorder="1" applyAlignment="1">
      <alignment horizontal="center" vertical="center"/>
    </xf>
    <xf numFmtId="0" fontId="29" fillId="0" borderId="70" xfId="0" applyFont="1" applyBorder="1" applyAlignment="1">
      <alignment vertical="center"/>
    </xf>
    <xf numFmtId="0" fontId="33" fillId="0" borderId="8" xfId="0" applyFont="1" applyBorder="1" applyAlignment="1">
      <alignment horizontal="center" vertical="center"/>
    </xf>
    <xf numFmtId="166" fontId="33" fillId="0" borderId="0" xfId="0" applyNumberFormat="1" applyFont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168" fontId="33" fillId="0" borderId="0" xfId="0" applyNumberFormat="1" applyFont="1" applyAlignment="1">
      <alignment horizontal="center" vertical="center"/>
    </xf>
    <xf numFmtId="1" fontId="35" fillId="0" borderId="5" xfId="0" applyNumberFormat="1" applyFont="1" applyBorder="1" applyAlignment="1">
      <alignment horizontal="center" vertical="center"/>
    </xf>
    <xf numFmtId="1" fontId="35" fillId="0" borderId="52" xfId="0" applyNumberFormat="1" applyFont="1" applyBorder="1" applyAlignment="1">
      <alignment horizontal="center" vertical="center"/>
    </xf>
    <xf numFmtId="1" fontId="35" fillId="0" borderId="13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0" fontId="33" fillId="0" borderId="7" xfId="0" applyFont="1" applyBorder="1" applyAlignment="1">
      <alignment horizontal="center" vertical="center"/>
    </xf>
    <xf numFmtId="0" fontId="35" fillId="0" borderId="0" xfId="0" applyFont="1"/>
    <xf numFmtId="168" fontId="29" fillId="0" borderId="50" xfId="0" applyNumberFormat="1" applyFont="1" applyBorder="1" applyAlignment="1">
      <alignment horizontal="center" vertical="center"/>
    </xf>
    <xf numFmtId="168" fontId="76" fillId="0" borderId="0" xfId="0" applyNumberFormat="1" applyFont="1" applyAlignment="1">
      <alignment vertical="center"/>
    </xf>
    <xf numFmtId="0" fontId="29" fillId="0" borderId="10" xfId="0" applyFont="1" applyBorder="1" applyAlignment="1">
      <alignment vertical="center"/>
    </xf>
    <xf numFmtId="3" fontId="29" fillId="0" borderId="11" xfId="0" applyNumberFormat="1" applyFont="1" applyBorder="1" applyAlignment="1">
      <alignment vertical="center"/>
    </xf>
    <xf numFmtId="3" fontId="29" fillId="0" borderId="0" xfId="0" applyNumberFormat="1" applyFont="1" applyAlignment="1">
      <alignment vertical="center"/>
    </xf>
    <xf numFmtId="0" fontId="79" fillId="0" borderId="127" xfId="0" applyFont="1" applyBorder="1" applyAlignment="1">
      <alignment horizontal="left" vertical="top" wrapText="1" readingOrder="1"/>
    </xf>
    <xf numFmtId="0" fontId="79" fillId="0" borderId="127" xfId="0" applyFont="1" applyBorder="1" applyAlignment="1">
      <alignment horizontal="center" vertical="top" wrapText="1" readingOrder="1"/>
    </xf>
    <xf numFmtId="0" fontId="79" fillId="0" borderId="127" xfId="0" applyFont="1" applyBorder="1" applyAlignment="1">
      <alignment horizontal="left" vertical="center" wrapText="1" readingOrder="1"/>
    </xf>
    <xf numFmtId="3" fontId="79" fillId="0" borderId="128" xfId="0" applyNumberFormat="1" applyFont="1" applyBorder="1" applyAlignment="1">
      <alignment vertical="center" wrapText="1" readingOrder="1"/>
    </xf>
    <xf numFmtId="3" fontId="29" fillId="0" borderId="10" xfId="0" applyNumberFormat="1" applyFont="1" applyBorder="1" applyAlignment="1">
      <alignment vertical="center"/>
    </xf>
    <xf numFmtId="3" fontId="79" fillId="0" borderId="98" xfId="0" applyNumberFormat="1" applyFont="1" applyBorder="1" applyAlignment="1">
      <alignment vertical="center" wrapText="1" readingOrder="1"/>
    </xf>
    <xf numFmtId="1" fontId="33" fillId="0" borderId="101" xfId="0" applyNumberFormat="1" applyFont="1" applyBorder="1" applyAlignment="1">
      <alignment vertical="center" wrapText="1"/>
    </xf>
    <xf numFmtId="0" fontId="79" fillId="0" borderId="102" xfId="0" applyFont="1" applyBorder="1" applyAlignment="1">
      <alignment vertical="center" wrapText="1" readingOrder="1"/>
    </xf>
    <xf numFmtId="0" fontId="33" fillId="0" borderId="102" xfId="0" applyFont="1" applyBorder="1" applyAlignment="1">
      <alignment vertical="center" wrapText="1"/>
    </xf>
    <xf numFmtId="1" fontId="79" fillId="0" borderId="103" xfId="0" applyNumberFormat="1" applyFont="1" applyBorder="1" applyAlignment="1">
      <alignment vertical="center" wrapText="1" readingOrder="1"/>
    </xf>
    <xf numFmtId="1" fontId="33" fillId="0" borderId="103" xfId="0" applyNumberFormat="1" applyFont="1" applyBorder="1" applyAlignment="1">
      <alignment vertical="center" wrapText="1"/>
    </xf>
    <xf numFmtId="1" fontId="79" fillId="0" borderId="98" xfId="0" applyNumberFormat="1" applyFont="1" applyBorder="1" applyAlignment="1">
      <alignment vertical="center" wrapText="1" readingOrder="1"/>
    </xf>
    <xf numFmtId="3" fontId="79" fillId="0" borderId="129" xfId="0" applyNumberFormat="1" applyFont="1" applyBorder="1" applyAlignment="1">
      <alignment vertical="center" wrapText="1" readingOrder="1"/>
    </xf>
    <xf numFmtId="3" fontId="29" fillId="0" borderId="7" xfId="0" applyNumberFormat="1" applyFont="1" applyBorder="1" applyAlignment="1">
      <alignment vertical="center"/>
    </xf>
    <xf numFmtId="3" fontId="29" fillId="0" borderId="0" xfId="0" applyNumberFormat="1" applyFont="1" applyAlignment="1">
      <alignment horizontal="center" vertical="center"/>
    </xf>
    <xf numFmtId="16" fontId="33" fillId="0" borderId="0" xfId="0" applyNumberFormat="1" applyFont="1" applyAlignment="1">
      <alignment vertical="center"/>
    </xf>
    <xf numFmtId="0" fontId="33" fillId="0" borderId="12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0" xfId="0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50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7" fontId="4" fillId="0" borderId="30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166" fontId="4" fillId="0" borderId="30" xfId="0" applyNumberFormat="1" applyFont="1" applyBorder="1" applyAlignment="1">
      <alignment vertical="center"/>
    </xf>
    <xf numFmtId="166" fontId="4" fillId="0" borderId="0" xfId="0" applyNumberFormat="1" applyFont="1" applyAlignment="1">
      <alignment horizontal="fill" vertical="center"/>
    </xf>
    <xf numFmtId="166" fontId="4" fillId="0" borderId="30" xfId="0" applyNumberFormat="1" applyFont="1" applyBorder="1" applyAlignment="1">
      <alignment horizontal="fill" vertical="center"/>
    </xf>
    <xf numFmtId="166" fontId="2" fillId="0" borderId="9" xfId="0" applyNumberFormat="1" applyFont="1" applyBorder="1" applyAlignment="1">
      <alignment vertical="center"/>
    </xf>
    <xf numFmtId="166" fontId="2" fillId="0" borderId="50" xfId="0" applyNumberFormat="1" applyFont="1" applyBorder="1" applyAlignment="1">
      <alignment vertical="center"/>
    </xf>
    <xf numFmtId="166" fontId="2" fillId="0" borderId="10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6" fontId="4" fillId="0" borderId="0" xfId="0" applyNumberFormat="1" applyFont="1" applyAlignment="1">
      <alignment horizontal="left" vertical="center"/>
    </xf>
    <xf numFmtId="166" fontId="4" fillId="0" borderId="11" xfId="0" applyNumberFormat="1" applyFont="1" applyBorder="1" applyAlignment="1">
      <alignment horizontal="fill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1" fontId="1" fillId="0" borderId="28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 applyProtection="1">
      <alignment horizontal="center" vertical="center"/>
      <protection locked="0"/>
    </xf>
    <xf numFmtId="166" fontId="1" fillId="0" borderId="6" xfId="0" applyNumberFormat="1" applyFont="1" applyBorder="1" applyAlignment="1" applyProtection="1">
      <alignment horizontal="fill" vertical="center"/>
      <protection locked="0"/>
    </xf>
    <xf numFmtId="166" fontId="28" fillId="0" borderId="31" xfId="0" applyNumberFormat="1" applyFont="1" applyBorder="1" applyAlignment="1" applyProtection="1">
      <alignment horizontal="fill" vertical="center"/>
      <protection locked="0"/>
    </xf>
    <xf numFmtId="166" fontId="2" fillId="0" borderId="0" xfId="0" applyNumberFormat="1" applyFont="1" applyAlignment="1">
      <alignment horizontal="center" vertical="center"/>
    </xf>
    <xf numFmtId="0" fontId="4" fillId="0" borderId="37" xfId="0" applyFont="1" applyBorder="1" applyAlignment="1">
      <alignment vertical="center"/>
    </xf>
    <xf numFmtId="1" fontId="4" fillId="0" borderId="0" xfId="0" applyNumberFormat="1" applyFont="1" applyAlignment="1">
      <alignment horizontal="fill" vertical="center"/>
    </xf>
    <xf numFmtId="1" fontId="2" fillId="0" borderId="10" xfId="0" applyNumberFormat="1" applyFont="1" applyBorder="1" applyAlignment="1">
      <alignment vertical="center"/>
    </xf>
    <xf numFmtId="166" fontId="2" fillId="0" borderId="10" xfId="0" applyNumberFormat="1" applyFont="1" applyBorder="1" applyAlignment="1">
      <alignment horizontal="right" vertical="center"/>
    </xf>
    <xf numFmtId="166" fontId="2" fillId="0" borderId="10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" fontId="4" fillId="0" borderId="11" xfId="0" applyNumberFormat="1" applyFont="1" applyBorder="1" applyAlignment="1">
      <alignment horizontal="fill" vertical="center"/>
    </xf>
    <xf numFmtId="0" fontId="2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1" fontId="2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1" fontId="2" fillId="0" borderId="37" xfId="0" applyNumberFormat="1" applyFont="1" applyBorder="1" applyAlignment="1">
      <alignment horizontal="right" vertical="center"/>
    </xf>
    <xf numFmtId="0" fontId="2" fillId="0" borderId="37" xfId="0" applyFont="1" applyBorder="1" applyAlignment="1">
      <alignment vertical="center"/>
    </xf>
    <xf numFmtId="2" fontId="2" fillId="0" borderId="37" xfId="0" applyNumberFormat="1" applyFont="1" applyBorder="1" applyAlignment="1">
      <alignment horizontal="center" vertical="center"/>
    </xf>
    <xf numFmtId="0" fontId="173" fillId="0" borderId="0" xfId="0" applyFont="1" applyAlignment="1">
      <alignment vertical="center"/>
    </xf>
    <xf numFmtId="168" fontId="4" fillId="0" borderId="0" xfId="0" applyNumberFormat="1" applyFont="1" applyAlignment="1">
      <alignment vertical="center"/>
    </xf>
    <xf numFmtId="166" fontId="2" fillId="0" borderId="12" xfId="0" applyNumberFormat="1" applyFont="1" applyBorder="1" applyAlignment="1">
      <alignment vertical="center"/>
    </xf>
    <xf numFmtId="166" fontId="4" fillId="0" borderId="0" xfId="0" applyNumberFormat="1" applyFont="1" applyAlignment="1">
      <alignment horizontal="right" vertical="center"/>
    </xf>
    <xf numFmtId="0" fontId="4" fillId="0" borderId="13" xfId="0" applyFont="1" applyBorder="1" applyAlignment="1">
      <alignment vertical="center"/>
    </xf>
    <xf numFmtId="166" fontId="4" fillId="0" borderId="50" xfId="0" applyNumberFormat="1" applyFont="1" applyBorder="1" applyAlignment="1">
      <alignment horizontal="fill" vertical="center"/>
    </xf>
    <xf numFmtId="166" fontId="1" fillId="0" borderId="0" xfId="0" applyNumberFormat="1" applyFont="1" applyAlignment="1">
      <alignment vertical="center"/>
    </xf>
    <xf numFmtId="166" fontId="1" fillId="0" borderId="8" xfId="0" applyNumberFormat="1" applyFont="1" applyBorder="1" applyAlignment="1">
      <alignment vertical="center"/>
    </xf>
    <xf numFmtId="166" fontId="1" fillId="0" borderId="13" xfId="0" applyNumberFormat="1" applyFont="1" applyBorder="1" applyAlignment="1">
      <alignment vertical="center"/>
    </xf>
    <xf numFmtId="1" fontId="1" fillId="0" borderId="13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0" fontId="126" fillId="0" borderId="0" xfId="0" applyFont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166" fontId="126" fillId="0" borderId="0" xfId="0" applyNumberFormat="1" applyFont="1" applyAlignment="1">
      <alignment vertical="center"/>
    </xf>
    <xf numFmtId="1" fontId="81" fillId="0" borderId="0" xfId="0" applyNumberFormat="1" applyFont="1" applyAlignment="1" applyProtection="1">
      <alignment horizontal="center" vertical="center"/>
      <protection locked="0"/>
    </xf>
    <xf numFmtId="166" fontId="2" fillId="0" borderId="50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166" fontId="2" fillId="0" borderId="33" xfId="0" applyNumberFormat="1" applyFont="1" applyBorder="1" applyAlignment="1">
      <alignment horizontal="center" vertical="center"/>
    </xf>
    <xf numFmtId="170" fontId="122" fillId="0" borderId="0" xfId="0" applyNumberFormat="1" applyFont="1" applyAlignment="1">
      <alignment vertical="center"/>
    </xf>
    <xf numFmtId="166" fontId="2" fillId="0" borderId="30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vertical="center"/>
    </xf>
    <xf numFmtId="0" fontId="4" fillId="0" borderId="28" xfId="0" applyFont="1" applyBorder="1" applyAlignment="1">
      <alignment vertical="center"/>
    </xf>
    <xf numFmtId="1" fontId="52" fillId="0" borderId="11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6" fontId="3" fillId="0" borderId="29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right" vertical="center"/>
    </xf>
    <xf numFmtId="166" fontId="2" fillId="0" borderId="11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66" fontId="3" fillId="0" borderId="30" xfId="0" applyNumberFormat="1" applyFont="1" applyBorder="1" applyAlignment="1">
      <alignment horizontal="center" vertical="center"/>
    </xf>
    <xf numFmtId="174" fontId="4" fillId="0" borderId="28" xfId="0" applyNumberFormat="1" applyFont="1" applyBorder="1" applyAlignment="1">
      <alignment vertical="center"/>
    </xf>
    <xf numFmtId="1" fontId="3" fillId="0" borderId="50" xfId="0" applyNumberFormat="1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167" fontId="82" fillId="0" borderId="0" xfId="0" applyNumberFormat="1" applyFont="1" applyAlignment="1" applyProtection="1">
      <alignment vertical="center"/>
      <protection locked="0"/>
    </xf>
    <xf numFmtId="168" fontId="2" fillId="0" borderId="0" xfId="0" applyNumberFormat="1" applyFont="1" applyAlignment="1">
      <alignment vertical="center"/>
    </xf>
    <xf numFmtId="166" fontId="29" fillId="0" borderId="50" xfId="0" applyNumberFormat="1" applyFont="1" applyBorder="1" applyAlignment="1" applyProtection="1">
      <alignment horizontal="center" vertical="center"/>
      <protection locked="0"/>
    </xf>
    <xf numFmtId="166" fontId="132" fillId="0" borderId="12" xfId="0" applyNumberFormat="1" applyFont="1" applyBorder="1" applyAlignment="1" applyProtection="1">
      <alignment horizontal="center" vertical="center"/>
      <protection locked="0"/>
    </xf>
    <xf numFmtId="166" fontId="52" fillId="0" borderId="30" xfId="0" applyNumberFormat="1" applyFont="1" applyBorder="1" applyAlignment="1" applyProtection="1">
      <alignment horizontal="center" vertical="center"/>
      <protection locked="0"/>
    </xf>
    <xf numFmtId="170" fontId="82" fillId="0" borderId="0" xfId="0" applyNumberFormat="1" applyFont="1" applyAlignment="1" applyProtection="1">
      <alignment vertical="center"/>
      <protection locked="0"/>
    </xf>
    <xf numFmtId="170" fontId="174" fillId="0" borderId="0" xfId="0" applyNumberFormat="1" applyFont="1" applyAlignment="1" applyProtection="1">
      <alignment vertical="center"/>
      <protection locked="0"/>
    </xf>
    <xf numFmtId="168" fontId="126" fillId="0" borderId="11" xfId="0" applyNumberFormat="1" applyFont="1" applyBorder="1" applyAlignment="1">
      <alignment horizontal="center" vertical="center"/>
    </xf>
    <xf numFmtId="170" fontId="175" fillId="0" borderId="0" xfId="0" applyNumberFormat="1" applyFont="1" applyAlignment="1" applyProtection="1">
      <alignment vertical="center"/>
      <protection locked="0"/>
    </xf>
    <xf numFmtId="167" fontId="83" fillId="0" borderId="0" xfId="0" applyNumberFormat="1" applyFont="1" applyAlignment="1" applyProtection="1">
      <alignment vertical="center"/>
      <protection locked="0"/>
    </xf>
    <xf numFmtId="166" fontId="52" fillId="0" borderId="31" xfId="0" applyNumberFormat="1" applyFont="1" applyBorder="1" applyAlignment="1" applyProtection="1">
      <alignment horizontal="center" vertical="center"/>
      <protection locked="0"/>
    </xf>
    <xf numFmtId="166" fontId="52" fillId="0" borderId="9" xfId="0" applyNumberFormat="1" applyFont="1" applyBorder="1" applyAlignment="1" applyProtection="1">
      <alignment horizontal="center" vertical="center"/>
      <protection locked="0"/>
    </xf>
    <xf numFmtId="166" fontId="2" fillId="0" borderId="9" xfId="0" applyNumberFormat="1" applyFont="1" applyBorder="1" applyAlignment="1" applyProtection="1">
      <alignment horizontal="center" vertical="center"/>
      <protection locked="0"/>
    </xf>
    <xf numFmtId="166" fontId="52" fillId="0" borderId="11" xfId="0" applyNumberFormat="1" applyFont="1" applyBorder="1" applyAlignment="1" applyProtection="1">
      <alignment horizontal="center" vertical="center"/>
      <protection locked="0"/>
    </xf>
    <xf numFmtId="166" fontId="132" fillId="0" borderId="13" xfId="0" applyNumberFormat="1" applyFont="1" applyBorder="1" applyAlignment="1" applyProtection="1">
      <alignment horizontal="center" vertical="center"/>
      <protection locked="0"/>
    </xf>
    <xf numFmtId="170" fontId="82" fillId="0" borderId="7" xfId="0" applyNumberFormat="1" applyFont="1" applyBorder="1" applyAlignment="1" applyProtection="1">
      <alignment vertical="center"/>
      <protection locked="0"/>
    </xf>
    <xf numFmtId="171" fontId="2" fillId="0" borderId="0" xfId="0" applyNumberFormat="1" applyFont="1" applyAlignment="1">
      <alignment vertical="center"/>
    </xf>
    <xf numFmtId="166" fontId="52" fillId="0" borderId="6" xfId="0" applyNumberFormat="1" applyFont="1" applyBorder="1" applyAlignment="1" applyProtection="1">
      <alignment horizontal="center" vertical="center"/>
      <protection locked="0"/>
    </xf>
    <xf numFmtId="166" fontId="132" fillId="0" borderId="8" xfId="0" applyNumberFormat="1" applyFont="1" applyBorder="1" applyAlignment="1" applyProtection="1">
      <alignment horizontal="center" vertical="center"/>
      <protection locked="0"/>
    </xf>
    <xf numFmtId="166" fontId="52" fillId="0" borderId="50" xfId="0" applyNumberFormat="1" applyFont="1" applyBorder="1" applyAlignment="1" applyProtection="1">
      <alignment horizontal="center" vertical="center"/>
      <protection locked="0"/>
    </xf>
    <xf numFmtId="176" fontId="83" fillId="0" borderId="0" xfId="0" applyNumberFormat="1" applyFont="1" applyAlignment="1" applyProtection="1">
      <alignment horizontal="center" vertical="center"/>
      <protection locked="0"/>
    </xf>
    <xf numFmtId="168" fontId="153" fillId="0" borderId="0" xfId="0" applyNumberFormat="1" applyFont="1" applyAlignment="1">
      <alignment horizontal="center" vertical="center"/>
    </xf>
    <xf numFmtId="2" fontId="126" fillId="0" borderId="0" xfId="0" applyNumberFormat="1" applyFont="1" applyAlignment="1">
      <alignment horizontal="center" vertical="center"/>
    </xf>
    <xf numFmtId="167" fontId="176" fillId="0" borderId="0" xfId="0" applyNumberFormat="1" applyFont="1" applyAlignment="1" applyProtection="1">
      <alignment vertical="center"/>
      <protection locked="0"/>
    </xf>
    <xf numFmtId="167" fontId="83" fillId="0" borderId="7" xfId="0" applyNumberFormat="1" applyFont="1" applyBorder="1" applyAlignment="1" applyProtection="1">
      <alignment vertical="center"/>
      <protection locked="0"/>
    </xf>
    <xf numFmtId="166" fontId="132" fillId="0" borderId="29" xfId="0" applyNumberFormat="1" applyFont="1" applyBorder="1" applyAlignment="1" applyProtection="1">
      <alignment horizontal="center" vertical="center"/>
      <protection locked="0"/>
    </xf>
    <xf numFmtId="166" fontId="2" fillId="0" borderId="9" xfId="0" applyNumberFormat="1" applyFont="1" applyBorder="1" applyAlignment="1">
      <alignment horizontal="left" vertical="center"/>
    </xf>
    <xf numFmtId="170" fontId="2" fillId="0" borderId="11" xfId="0" applyNumberFormat="1" applyFont="1" applyBorder="1" applyAlignment="1">
      <alignment horizontal="left" vertical="center"/>
    </xf>
    <xf numFmtId="166" fontId="2" fillId="0" borderId="11" xfId="0" applyNumberFormat="1" applyFont="1" applyBorder="1" applyAlignment="1">
      <alignment horizontal="left" vertical="center"/>
    </xf>
    <xf numFmtId="168" fontId="177" fillId="0" borderId="28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left" vertical="center"/>
    </xf>
    <xf numFmtId="166" fontId="52" fillId="0" borderId="32" xfId="0" applyNumberFormat="1" applyFont="1" applyBorder="1" applyAlignment="1" applyProtection="1">
      <alignment horizontal="center" vertical="center"/>
      <protection locked="0"/>
    </xf>
    <xf numFmtId="166" fontId="2" fillId="0" borderId="6" xfId="0" applyNumberFormat="1" applyFont="1" applyBorder="1" applyAlignment="1">
      <alignment horizontal="left" vertical="center"/>
    </xf>
    <xf numFmtId="170" fontId="177" fillId="0" borderId="12" xfId="0" applyNumberFormat="1" applyFont="1" applyBorder="1" applyAlignment="1" applyProtection="1">
      <alignment vertical="center"/>
      <protection locked="0"/>
    </xf>
    <xf numFmtId="1" fontId="2" fillId="0" borderId="50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 applyProtection="1">
      <alignment horizontal="center" vertical="center"/>
      <protection locked="0"/>
    </xf>
    <xf numFmtId="167" fontId="82" fillId="0" borderId="8" xfId="0" applyNumberFormat="1" applyFont="1" applyBorder="1" applyAlignment="1" applyProtection="1">
      <alignment vertical="center"/>
      <protection locked="0"/>
    </xf>
    <xf numFmtId="166" fontId="52" fillId="0" borderId="11" xfId="0" applyNumberFormat="1" applyFont="1" applyBorder="1" applyAlignment="1">
      <alignment horizontal="center" vertical="center"/>
    </xf>
    <xf numFmtId="166" fontId="126" fillId="0" borderId="8" xfId="0" applyNumberFormat="1" applyFont="1" applyBorder="1" applyAlignment="1" applyProtection="1">
      <alignment horizontal="center" vertical="center"/>
      <protection locked="0"/>
    </xf>
    <xf numFmtId="167" fontId="82" fillId="0" borderId="0" xfId="0" applyNumberFormat="1" applyFont="1" applyAlignment="1" applyProtection="1">
      <alignment horizontal="left" vertical="center"/>
      <protection locked="0"/>
    </xf>
    <xf numFmtId="166" fontId="126" fillId="0" borderId="12" xfId="0" applyNumberFormat="1" applyFont="1" applyBorder="1" applyAlignment="1" applyProtection="1">
      <alignment horizontal="center" vertical="center"/>
      <protection locked="0"/>
    </xf>
    <xf numFmtId="166" fontId="2" fillId="0" borderId="33" xfId="0" applyNumberFormat="1" applyFont="1" applyBorder="1" applyAlignment="1">
      <alignment horizontal="left" vertical="center"/>
    </xf>
    <xf numFmtId="166" fontId="84" fillId="0" borderId="0" xfId="0" applyNumberFormat="1" applyFont="1" applyAlignment="1">
      <alignment horizontal="center" vertical="center"/>
    </xf>
    <xf numFmtId="1" fontId="84" fillId="0" borderId="0" xfId="0" applyNumberFormat="1" applyFont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6" fontId="2" fillId="0" borderId="50" xfId="0" applyNumberFormat="1" applyFont="1" applyBorder="1" applyAlignment="1" applyProtection="1">
      <alignment horizontal="center" vertical="center"/>
      <protection locked="0"/>
    </xf>
    <xf numFmtId="166" fontId="3" fillId="0" borderId="50" xfId="0" applyNumberFormat="1" applyFont="1" applyBorder="1" applyAlignment="1" applyProtection="1">
      <alignment horizontal="center" vertical="center"/>
      <protection locked="0"/>
    </xf>
    <xf numFmtId="166" fontId="1" fillId="0" borderId="22" xfId="0" applyNumberFormat="1" applyFont="1" applyBorder="1" applyAlignment="1">
      <alignment horizontal="center" vertical="center"/>
    </xf>
    <xf numFmtId="1" fontId="52" fillId="0" borderId="73" xfId="0" applyNumberFormat="1" applyFont="1" applyBorder="1" applyAlignment="1" applyProtection="1">
      <alignment horizontal="center" vertical="center"/>
      <protection locked="0"/>
    </xf>
    <xf numFmtId="166" fontId="1" fillId="0" borderId="50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 applyProtection="1">
      <alignment horizontal="center" vertical="center"/>
      <protection locked="0"/>
    </xf>
    <xf numFmtId="166" fontId="2" fillId="0" borderId="13" xfId="0" applyNumberFormat="1" applyFont="1" applyBorder="1" applyAlignment="1" applyProtection="1">
      <alignment horizontal="center" vertical="center"/>
      <protection locked="0"/>
    </xf>
    <xf numFmtId="166" fontId="3" fillId="0" borderId="30" xfId="0" applyNumberFormat="1" applyFont="1" applyBorder="1" applyAlignment="1" applyProtection="1">
      <alignment horizontal="center" vertical="center"/>
      <protection locked="0"/>
    </xf>
    <xf numFmtId="166" fontId="2" fillId="0" borderId="11" xfId="0" applyNumberFormat="1" applyFont="1" applyBorder="1" applyAlignment="1" applyProtection="1">
      <alignment horizontal="center" vertical="center"/>
      <protection locked="0"/>
    </xf>
    <xf numFmtId="1" fontId="52" fillId="0" borderId="17" xfId="0" applyNumberFormat="1" applyFont="1" applyBorder="1" applyAlignment="1" applyProtection="1">
      <alignment horizontal="center" vertical="center"/>
      <protection locked="0"/>
    </xf>
    <xf numFmtId="1" fontId="132" fillId="0" borderId="10" xfId="0" applyNumberFormat="1" applyFont="1" applyBorder="1" applyAlignment="1" applyProtection="1">
      <alignment horizontal="center" vertical="center"/>
      <protection locked="0"/>
    </xf>
    <xf numFmtId="166" fontId="2" fillId="0" borderId="31" xfId="0" applyNumberFormat="1" applyFont="1" applyBorder="1" applyAlignment="1" applyProtection="1">
      <alignment horizontal="center" vertical="center"/>
      <protection locked="0"/>
    </xf>
    <xf numFmtId="166" fontId="3" fillId="0" borderId="28" xfId="0" applyNumberFormat="1" applyFont="1" applyBorder="1" applyAlignment="1" applyProtection="1">
      <alignment horizontal="center" vertical="center"/>
      <protection locked="0"/>
    </xf>
    <xf numFmtId="166" fontId="1" fillId="0" borderId="25" xfId="0" applyNumberFormat="1" applyFont="1" applyBorder="1" applyAlignment="1">
      <alignment horizontal="center" vertical="center"/>
    </xf>
    <xf numFmtId="1" fontId="52" fillId="0" borderId="45" xfId="0" applyNumberFormat="1" applyFont="1" applyBorder="1" applyAlignment="1">
      <alignment horizontal="center" vertical="center"/>
    </xf>
    <xf numFmtId="1" fontId="132" fillId="0" borderId="0" xfId="0" applyNumberFormat="1" applyFont="1" applyAlignment="1" applyProtection="1">
      <alignment horizontal="center" vertical="center"/>
      <protection locked="0"/>
    </xf>
    <xf numFmtId="166" fontId="3" fillId="0" borderId="11" xfId="0" applyNumberFormat="1" applyFont="1" applyBorder="1" applyAlignment="1" applyProtection="1">
      <alignment horizontal="center" vertical="center"/>
      <protection locked="0"/>
    </xf>
    <xf numFmtId="1" fontId="132" fillId="0" borderId="28" xfId="0" applyNumberFormat="1" applyFont="1" applyBorder="1" applyAlignment="1" applyProtection="1">
      <alignment horizontal="center" vertical="center"/>
      <protection locked="0"/>
    </xf>
    <xf numFmtId="1" fontId="132" fillId="0" borderId="0" xfId="0" applyNumberFormat="1" applyFont="1" applyAlignment="1">
      <alignment horizontal="center" vertical="center"/>
    </xf>
    <xf numFmtId="1" fontId="52" fillId="0" borderId="17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 applyProtection="1">
      <alignment horizontal="center" vertical="center"/>
      <protection locked="0"/>
    </xf>
    <xf numFmtId="1" fontId="132" fillId="0" borderId="7" xfId="0" applyNumberFormat="1" applyFont="1" applyBorder="1" applyAlignment="1" applyProtection="1">
      <alignment horizontal="center" vertical="center"/>
      <protection locked="0"/>
    </xf>
    <xf numFmtId="166" fontId="3" fillId="0" borderId="6" xfId="0" applyNumberFormat="1" applyFont="1" applyBorder="1" applyAlignment="1" applyProtection="1">
      <alignment horizontal="center" vertical="center"/>
      <protection locked="0"/>
    </xf>
    <xf numFmtId="1" fontId="52" fillId="0" borderId="45" xfId="0" applyNumberFormat="1" applyFont="1" applyBorder="1" applyAlignment="1" applyProtection="1">
      <alignment horizontal="center" vertical="center"/>
      <protection locked="0"/>
    </xf>
    <xf numFmtId="166" fontId="2" fillId="0" borderId="28" xfId="0" applyNumberFormat="1" applyFont="1" applyBorder="1" applyAlignment="1" applyProtection="1">
      <alignment horizontal="center" vertical="center"/>
      <protection locked="0"/>
    </xf>
    <xf numFmtId="166" fontId="3" fillId="0" borderId="31" xfId="0" applyNumberFormat="1" applyFont="1" applyBorder="1" applyAlignment="1" applyProtection="1">
      <alignment horizontal="center" vertical="center"/>
      <protection locked="0"/>
    </xf>
    <xf numFmtId="1" fontId="2" fillId="0" borderId="17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 applyProtection="1">
      <alignment horizontal="center" vertical="center"/>
      <protection locked="0"/>
    </xf>
    <xf numFmtId="1" fontId="2" fillId="0" borderId="45" xfId="0" applyNumberFormat="1" applyFont="1" applyBorder="1" applyAlignment="1">
      <alignment horizontal="center" vertical="center"/>
    </xf>
    <xf numFmtId="1" fontId="132" fillId="0" borderId="12" xfId="0" applyNumberFormat="1" applyFont="1" applyBorder="1" applyAlignment="1" applyProtection="1">
      <alignment horizontal="center" vertical="center"/>
      <protection locked="0"/>
    </xf>
    <xf numFmtId="1" fontId="2" fillId="0" borderId="73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 applyProtection="1">
      <alignment horizontal="center" vertical="center"/>
      <protection locked="0"/>
    </xf>
    <xf numFmtId="166" fontId="1" fillId="0" borderId="20" xfId="0" applyNumberFormat="1" applyFont="1" applyBorder="1" applyAlignment="1">
      <alignment horizontal="center" vertical="center"/>
    </xf>
    <xf numFmtId="1" fontId="52" fillId="0" borderId="19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66" fontId="58" fillId="0" borderId="31" xfId="0" applyNumberFormat="1" applyFont="1" applyBorder="1" applyAlignment="1" applyProtection="1">
      <alignment horizontal="center" vertical="center"/>
      <protection locked="0"/>
    </xf>
    <xf numFmtId="1" fontId="52" fillId="0" borderId="8" xfId="0" applyNumberFormat="1" applyFont="1" applyBorder="1" applyAlignment="1" applyProtection="1">
      <alignment horizontal="center" vertical="center"/>
      <protection locked="0"/>
    </xf>
    <xf numFmtId="166" fontId="1" fillId="0" borderId="58" xfId="0" applyNumberFormat="1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" fontId="52" fillId="0" borderId="10" xfId="0" applyNumberFormat="1" applyFont="1" applyBorder="1" applyAlignment="1" applyProtection="1">
      <alignment horizontal="center" vertical="center"/>
      <protection locked="0"/>
    </xf>
    <xf numFmtId="1" fontId="52" fillId="0" borderId="12" xfId="0" applyNumberFormat="1" applyFont="1" applyBorder="1" applyAlignment="1" applyProtection="1">
      <alignment horizontal="center" vertical="center"/>
      <protection locked="0"/>
    </xf>
    <xf numFmtId="166" fontId="10" fillId="0" borderId="10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132" fillId="0" borderId="30" xfId="0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2" fillId="0" borderId="31" xfId="0" applyFont="1" applyBorder="1" applyAlignment="1">
      <alignment horizontal="center" vertical="center"/>
    </xf>
    <xf numFmtId="166" fontId="2" fillId="0" borderId="31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21" xfId="0" applyNumberFormat="1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166" fontId="2" fillId="0" borderId="5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85" fillId="0" borderId="59" xfId="0" applyFont="1" applyBorder="1" applyAlignment="1">
      <alignment horizontal="center" vertical="center"/>
    </xf>
    <xf numFmtId="0" fontId="9" fillId="0" borderId="59" xfId="0" applyFont="1" applyBorder="1" applyAlignment="1">
      <alignment horizontal="left" vertical="center"/>
    </xf>
    <xf numFmtId="166" fontId="52" fillId="0" borderId="59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" fontId="2" fillId="0" borderId="30" xfId="0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50" xfId="0" applyNumberFormat="1" applyFont="1" applyBorder="1" applyAlignment="1">
      <alignment horizontal="center" vertical="center"/>
    </xf>
    <xf numFmtId="168" fontId="3" fillId="0" borderId="11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33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31" xfId="0" applyNumberFormat="1" applyFont="1" applyBorder="1" applyAlignment="1">
      <alignment horizontal="center" vertical="center"/>
    </xf>
    <xf numFmtId="166" fontId="57" fillId="0" borderId="50" xfId="0" applyNumberFormat="1" applyFont="1" applyBorder="1" applyAlignment="1">
      <alignment horizontal="center" vertical="center"/>
    </xf>
    <xf numFmtId="168" fontId="3" fillId="0" borderId="28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7" fontId="2" fillId="0" borderId="30" xfId="0" applyNumberFormat="1" applyFont="1" applyBorder="1" applyAlignment="1">
      <alignment horizontal="center" vertical="center"/>
    </xf>
    <xf numFmtId="168" fontId="132" fillId="0" borderId="50" xfId="0" applyNumberFormat="1" applyFont="1" applyBorder="1" applyAlignment="1">
      <alignment horizontal="center" vertical="center"/>
    </xf>
    <xf numFmtId="168" fontId="3" fillId="0" borderId="56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167" fontId="2" fillId="0" borderId="50" xfId="0" applyNumberFormat="1" applyFont="1" applyBorder="1" applyAlignment="1">
      <alignment horizontal="center" vertical="center"/>
    </xf>
    <xf numFmtId="2" fontId="86" fillId="0" borderId="0" xfId="0" applyNumberFormat="1" applyFont="1" applyAlignment="1">
      <alignment horizontal="center" vertical="center"/>
    </xf>
    <xf numFmtId="166" fontId="82" fillId="0" borderId="0" xfId="0" applyNumberFormat="1" applyFont="1" applyAlignment="1" applyProtection="1">
      <alignment horizontal="center" vertical="center"/>
      <protection locked="0"/>
    </xf>
    <xf numFmtId="166" fontId="4" fillId="0" borderId="0" xfId="0" applyNumberFormat="1" applyFont="1" applyAlignment="1">
      <alignment horizontal="center" vertical="center"/>
    </xf>
    <xf numFmtId="176" fontId="82" fillId="0" borderId="0" xfId="0" applyNumberFormat="1" applyFont="1" applyAlignment="1" applyProtection="1">
      <alignment horizontal="center" vertical="center"/>
      <protection locked="0"/>
    </xf>
    <xf numFmtId="166" fontId="2" fillId="0" borderId="0" xfId="0" applyNumberFormat="1" applyFont="1" applyAlignment="1">
      <alignment horizontal="fill" vertical="center"/>
    </xf>
    <xf numFmtId="2" fontId="58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horizontal="center" vertical="center"/>
    </xf>
    <xf numFmtId="168" fontId="58" fillId="0" borderId="0" xfId="0" applyNumberFormat="1" applyFont="1" applyAlignment="1">
      <alignment horizontal="center" vertical="center"/>
    </xf>
    <xf numFmtId="2" fontId="82" fillId="0" borderId="0" xfId="0" applyNumberFormat="1" applyFont="1" applyAlignment="1">
      <alignment horizontal="center" vertical="center"/>
    </xf>
    <xf numFmtId="171" fontId="2" fillId="0" borderId="33" xfId="0" applyNumberFormat="1" applyFont="1" applyBorder="1" applyAlignment="1">
      <alignment horizontal="center" vertical="center"/>
    </xf>
    <xf numFmtId="166" fontId="86" fillId="0" borderId="33" xfId="0" applyNumberFormat="1" applyFont="1" applyBorder="1" applyAlignment="1" applyProtection="1">
      <alignment horizontal="center" vertical="center"/>
      <protection locked="0"/>
    </xf>
    <xf numFmtId="2" fontId="86" fillId="0" borderId="33" xfId="0" applyNumberFormat="1" applyFont="1" applyBorder="1" applyAlignment="1">
      <alignment horizontal="center" vertical="center"/>
    </xf>
    <xf numFmtId="166" fontId="2" fillId="0" borderId="33" xfId="0" applyNumberFormat="1" applyFont="1" applyBorder="1" applyAlignment="1">
      <alignment vertical="center"/>
    </xf>
    <xf numFmtId="167" fontId="2" fillId="0" borderId="0" xfId="0" applyNumberFormat="1" applyFont="1" applyAlignment="1">
      <alignment horizontal="left" vertical="center"/>
    </xf>
    <xf numFmtId="1" fontId="2" fillId="0" borderId="33" xfId="0" applyNumberFormat="1" applyFont="1" applyBorder="1" applyAlignment="1">
      <alignment vertical="center"/>
    </xf>
    <xf numFmtId="166" fontId="28" fillId="0" borderId="11" xfId="0" applyNumberFormat="1" applyFont="1" applyBorder="1" applyAlignment="1" applyProtection="1">
      <alignment horizontal="fill" vertical="center"/>
      <protection locked="0"/>
    </xf>
    <xf numFmtId="1" fontId="1" fillId="0" borderId="2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67" fontId="126" fillId="0" borderId="0" xfId="0" applyNumberFormat="1" applyFont="1" applyAlignment="1">
      <alignment vertical="center"/>
    </xf>
    <xf numFmtId="167" fontId="4" fillId="0" borderId="9" xfId="0" applyNumberFormat="1" applyFont="1" applyBorder="1" applyAlignment="1">
      <alignment vertical="center"/>
    </xf>
    <xf numFmtId="167" fontId="4" fillId="0" borderId="11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0" fontId="173" fillId="28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126" fillId="0" borderId="0" xfId="0" applyNumberFormat="1" applyFont="1" applyAlignment="1">
      <alignment vertical="center"/>
    </xf>
    <xf numFmtId="1" fontId="173" fillId="28" borderId="0" xfId="0" applyNumberFormat="1" applyFont="1" applyFill="1" applyAlignment="1">
      <alignment vertical="center"/>
    </xf>
    <xf numFmtId="1" fontId="125" fillId="0" borderId="0" xfId="0" applyNumberFormat="1" applyFont="1" applyAlignment="1">
      <alignment horizontal="center" vertical="center" wrapText="1"/>
    </xf>
    <xf numFmtId="0" fontId="125" fillId="0" borderId="0" xfId="0" applyFont="1" applyAlignment="1">
      <alignment vertical="center" wrapText="1"/>
    </xf>
    <xf numFmtId="0" fontId="125" fillId="0" borderId="0" xfId="0" applyFont="1" applyAlignment="1">
      <alignment vertical="center"/>
    </xf>
    <xf numFmtId="0" fontId="126" fillId="0" borderId="0" xfId="0" applyFont="1" applyAlignment="1">
      <alignment horizontal="center" vertical="center"/>
    </xf>
    <xf numFmtId="0" fontId="178" fillId="0" borderId="0" xfId="0" applyFont="1" applyAlignment="1">
      <alignment vertical="center"/>
    </xf>
    <xf numFmtId="168" fontId="87" fillId="0" borderId="0" xfId="0" applyNumberFormat="1" applyFont="1" applyAlignment="1">
      <alignment vertical="center"/>
    </xf>
    <xf numFmtId="1" fontId="126" fillId="0" borderId="4" xfId="0" applyNumberFormat="1" applyFont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126" fillId="0" borderId="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" fontId="126" fillId="0" borderId="0" xfId="0" applyNumberFormat="1" applyFont="1" applyAlignment="1">
      <alignment horizontal="center" vertical="center"/>
    </xf>
    <xf numFmtId="0" fontId="125" fillId="0" borderId="4" xfId="0" applyFont="1" applyBorder="1" applyAlignment="1">
      <alignment horizontal="center" vertical="center"/>
    </xf>
    <xf numFmtId="166" fontId="1" fillId="0" borderId="52" xfId="0" applyNumberFormat="1" applyFont="1" applyBorder="1" applyAlignment="1">
      <alignment vertical="center"/>
    </xf>
    <xf numFmtId="166" fontId="1" fillId="0" borderId="37" xfId="0" applyNumberFormat="1" applyFont="1" applyBorder="1" applyAlignment="1">
      <alignment vertical="center"/>
    </xf>
    <xf numFmtId="167" fontId="86" fillId="0" borderId="0" xfId="0" applyNumberFormat="1" applyFont="1" applyAlignment="1" applyProtection="1">
      <alignment vertical="center"/>
      <protection locked="0"/>
    </xf>
    <xf numFmtId="166" fontId="86" fillId="0" borderId="0" xfId="0" applyNumberFormat="1" applyFont="1" applyAlignment="1" applyProtection="1">
      <alignment vertical="center"/>
      <protection locked="0"/>
    </xf>
    <xf numFmtId="0" fontId="58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71" fontId="4" fillId="0" borderId="0" xfId="0" applyNumberFormat="1" applyFont="1" applyAlignment="1">
      <alignment vertical="center"/>
    </xf>
    <xf numFmtId="166" fontId="58" fillId="0" borderId="0" xfId="0" applyNumberFormat="1" applyFont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6" fontId="126" fillId="0" borderId="13" xfId="0" applyNumberFormat="1" applyFont="1" applyBorder="1" applyAlignment="1" applyProtection="1">
      <alignment horizontal="center" vertical="center"/>
      <protection locked="0"/>
    </xf>
    <xf numFmtId="166" fontId="52" fillId="0" borderId="6" xfId="0" applyNumberFormat="1" applyFont="1" applyBorder="1" applyAlignment="1">
      <alignment horizontal="center" vertical="center"/>
    </xf>
    <xf numFmtId="166" fontId="52" fillId="0" borderId="9" xfId="0" applyNumberFormat="1" applyFont="1" applyBorder="1" applyAlignment="1">
      <alignment horizontal="center" vertical="center"/>
    </xf>
    <xf numFmtId="1" fontId="153" fillId="0" borderId="0" xfId="0" applyNumberFormat="1" applyFont="1" applyAlignment="1">
      <alignment horizontal="center" vertical="center"/>
    </xf>
    <xf numFmtId="1" fontId="157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7" fontId="122" fillId="0" borderId="0" xfId="0" applyNumberFormat="1" applyFont="1" applyAlignment="1">
      <alignment vertical="center"/>
    </xf>
    <xf numFmtId="2" fontId="126" fillId="0" borderId="0" xfId="0" applyNumberFormat="1" applyFont="1" applyAlignment="1">
      <alignment vertical="center"/>
    </xf>
    <xf numFmtId="1" fontId="10" fillId="0" borderId="11" xfId="0" applyNumberFormat="1" applyFont="1" applyBorder="1" applyAlignment="1">
      <alignment horizontal="center" vertical="center"/>
    </xf>
    <xf numFmtId="2" fontId="179" fillId="0" borderId="0" xfId="0" applyNumberFormat="1" applyFont="1" applyAlignment="1">
      <alignment horizontal="center" vertical="center"/>
    </xf>
    <xf numFmtId="166" fontId="2" fillId="0" borderId="8" xfId="0" applyNumberFormat="1" applyFont="1" applyBorder="1" applyAlignment="1" applyProtection="1">
      <alignment horizontal="center" vertical="center"/>
      <protection locked="0"/>
    </xf>
    <xf numFmtId="166" fontId="29" fillId="0" borderId="11" xfId="0" applyNumberFormat="1" applyFont="1" applyBorder="1" applyAlignment="1" applyProtection="1">
      <alignment horizontal="center" vertical="center"/>
      <protection locked="0"/>
    </xf>
    <xf numFmtId="166" fontId="2" fillId="0" borderId="7" xfId="0" applyNumberFormat="1" applyFont="1" applyBorder="1" applyAlignment="1" applyProtection="1">
      <alignment horizontal="center" vertical="center"/>
      <protection locked="0"/>
    </xf>
    <xf numFmtId="0" fontId="58" fillId="0" borderId="12" xfId="0" applyFont="1" applyBorder="1" applyAlignment="1">
      <alignment vertical="center"/>
    </xf>
    <xf numFmtId="0" fontId="58" fillId="0" borderId="13" xfId="0" applyFont="1" applyBorder="1" applyAlignment="1">
      <alignment vertical="center"/>
    </xf>
    <xf numFmtId="0" fontId="85" fillId="0" borderId="1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3" fillId="0" borderId="30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58" fillId="0" borderId="8" xfId="0" applyFont="1" applyBorder="1" applyAlignment="1">
      <alignment vertical="center"/>
    </xf>
    <xf numFmtId="0" fontId="57" fillId="0" borderId="0" xfId="0" applyFont="1" applyAlignment="1">
      <alignment horizontal="left" vertical="center"/>
    </xf>
    <xf numFmtId="2" fontId="3" fillId="0" borderId="30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7" fontId="3" fillId="0" borderId="30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70" fontId="58" fillId="0" borderId="0" xfId="0" applyNumberFormat="1" applyFont="1" applyAlignment="1">
      <alignment vertical="center"/>
    </xf>
    <xf numFmtId="168" fontId="2" fillId="0" borderId="30" xfId="0" applyNumberFormat="1" applyFont="1" applyBorder="1" applyAlignment="1">
      <alignment horizontal="center" vertical="center"/>
    </xf>
    <xf numFmtId="170" fontId="174" fillId="28" borderId="0" xfId="0" applyNumberFormat="1" applyFont="1" applyFill="1" applyAlignment="1" applyProtection="1">
      <alignment horizontal="center" vertical="center"/>
      <protection locked="0"/>
    </xf>
    <xf numFmtId="1" fontId="2" fillId="0" borderId="30" xfId="604" applyNumberFormat="1" applyFont="1" applyBorder="1" applyAlignment="1" applyProtection="1">
      <alignment horizontal="center" vertical="center"/>
    </xf>
    <xf numFmtId="1" fontId="3" fillId="0" borderId="30" xfId="604" applyNumberFormat="1" applyFont="1" applyBorder="1" applyAlignment="1" applyProtection="1">
      <alignment horizontal="center" vertical="center"/>
    </xf>
    <xf numFmtId="0" fontId="3" fillId="0" borderId="31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" fontId="2" fillId="0" borderId="33" xfId="0" applyNumberFormat="1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85" fillId="0" borderId="0" xfId="0" applyFont="1" applyAlignment="1">
      <alignment vertical="center"/>
    </xf>
    <xf numFmtId="0" fontId="89" fillId="29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  <xf numFmtId="166" fontId="122" fillId="29" borderId="0" xfId="0" applyNumberFormat="1" applyFont="1" applyFill="1" applyAlignment="1">
      <alignment horizontal="center" vertical="center"/>
    </xf>
    <xf numFmtId="0" fontId="180" fillId="0" borderId="0" xfId="0" applyFont="1" applyAlignment="1">
      <alignment vertical="center"/>
    </xf>
    <xf numFmtId="166" fontId="82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6" fontId="4" fillId="17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vertical="center"/>
    </xf>
    <xf numFmtId="1" fontId="52" fillId="0" borderId="13" xfId="0" applyNumberFormat="1" applyFont="1" applyBorder="1" applyAlignment="1" applyProtection="1">
      <alignment horizontal="center" vertical="center"/>
      <protection locked="0"/>
    </xf>
    <xf numFmtId="1" fontId="52" fillId="0" borderId="13" xfId="0" applyNumberFormat="1" applyFont="1" applyBorder="1" applyAlignment="1">
      <alignment horizontal="center" vertical="center"/>
    </xf>
    <xf numFmtId="1" fontId="52" fillId="0" borderId="0" xfId="0" applyNumberFormat="1" applyFont="1" applyAlignment="1" applyProtection="1">
      <alignment horizontal="center" vertical="center"/>
      <protection locked="0"/>
    </xf>
    <xf numFmtId="166" fontId="1" fillId="0" borderId="49" xfId="0" applyNumberFormat="1" applyFont="1" applyBorder="1" applyAlignment="1">
      <alignment horizontal="center" vertical="center"/>
    </xf>
    <xf numFmtId="1" fontId="52" fillId="0" borderId="15" xfId="0" applyNumberFormat="1" applyFont="1" applyBorder="1" applyAlignment="1">
      <alignment horizontal="center" vertical="center"/>
    </xf>
    <xf numFmtId="166" fontId="2" fillId="0" borderId="59" xfId="0" applyNumberFormat="1" applyFont="1" applyBorder="1" applyAlignment="1" applyProtection="1">
      <alignment horizontal="center" vertical="center"/>
      <protection locked="0"/>
    </xf>
    <xf numFmtId="1" fontId="52" fillId="0" borderId="56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84" fillId="0" borderId="50" xfId="0" applyNumberFormat="1" applyFont="1" applyBorder="1" applyAlignment="1">
      <alignment horizontal="center" vertical="center"/>
    </xf>
    <xf numFmtId="170" fontId="2" fillId="0" borderId="4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" fontId="84" fillId="0" borderId="30" xfId="0" applyNumberFormat="1" applyFont="1" applyBorder="1" applyAlignment="1">
      <alignment horizontal="center" vertical="center"/>
    </xf>
    <xf numFmtId="170" fontId="2" fillId="0" borderId="2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70" fontId="2" fillId="0" borderId="22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66" fontId="84" fillId="0" borderId="30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2" fillId="0" borderId="29" xfId="601" applyFont="1" applyFill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181" fillId="0" borderId="0" xfId="0" applyFont="1" applyAlignment="1">
      <alignment vertical="center"/>
    </xf>
    <xf numFmtId="2" fontId="181" fillId="0" borderId="0" xfId="0" applyNumberFormat="1" applyFont="1" applyAlignment="1">
      <alignment vertical="center"/>
    </xf>
    <xf numFmtId="166" fontId="182" fillId="0" borderId="0" xfId="0" applyNumberFormat="1" applyFont="1" applyAlignment="1">
      <alignment vertical="center"/>
    </xf>
    <xf numFmtId="166" fontId="2" fillId="0" borderId="13" xfId="0" applyNumberFormat="1" applyFont="1" applyBorder="1" applyAlignment="1">
      <alignment vertical="center"/>
    </xf>
    <xf numFmtId="1" fontId="2" fillId="0" borderId="1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166" fontId="9" fillId="0" borderId="30" xfId="0" applyNumberFormat="1" applyFont="1" applyBorder="1" applyAlignment="1">
      <alignment horizontal="center" vertical="center"/>
    </xf>
    <xf numFmtId="166" fontId="90" fillId="0" borderId="0" xfId="0" applyNumberFormat="1" applyFont="1" applyAlignment="1">
      <alignment horizontal="center" vertical="center"/>
    </xf>
    <xf numFmtId="166" fontId="2" fillId="0" borderId="62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6" fontId="2" fillId="0" borderId="57" xfId="0" applyNumberFormat="1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167" fontId="2" fillId="0" borderId="30" xfId="0" applyNumberFormat="1" applyFont="1" applyBorder="1" applyAlignment="1">
      <alignment horizontal="center" vertical="center" wrapText="1"/>
    </xf>
    <xf numFmtId="171" fontId="2" fillId="0" borderId="13" xfId="0" applyNumberFormat="1" applyFont="1" applyBorder="1" applyAlignment="1">
      <alignment horizontal="center" vertical="center"/>
    </xf>
    <xf numFmtId="171" fontId="2" fillId="0" borderId="12" xfId="0" applyNumberFormat="1" applyFont="1" applyBorder="1" applyAlignment="1">
      <alignment horizontal="center" vertical="center"/>
    </xf>
    <xf numFmtId="166" fontId="2" fillId="0" borderId="20" xfId="0" applyNumberFormat="1" applyFont="1" applyBorder="1" applyAlignment="1">
      <alignment horizontal="center" vertical="center"/>
    </xf>
    <xf numFmtId="166" fontId="2" fillId="0" borderId="2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vertical="center"/>
    </xf>
    <xf numFmtId="166" fontId="183" fillId="0" borderId="0" xfId="0" applyNumberFormat="1" applyFont="1" applyAlignment="1">
      <alignment vertical="center"/>
    </xf>
    <xf numFmtId="171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left" vertical="center"/>
    </xf>
    <xf numFmtId="1" fontId="4" fillId="0" borderId="4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166" fontId="4" fillId="0" borderId="30" xfId="0" applyNumberFormat="1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vertical="center"/>
    </xf>
    <xf numFmtId="0" fontId="122" fillId="0" borderId="0" xfId="0" applyFont="1" applyAlignment="1">
      <alignment horizontal="center" vertical="center"/>
    </xf>
    <xf numFmtId="166" fontId="122" fillId="0" borderId="0" xfId="0" applyNumberFormat="1" applyFont="1" applyAlignment="1">
      <alignment horizontal="center" vertical="center"/>
    </xf>
    <xf numFmtId="166" fontId="126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horizontal="center" vertical="center"/>
    </xf>
    <xf numFmtId="171" fontId="2" fillId="0" borderId="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1" fontId="2" fillId="0" borderId="2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2" fillId="0" borderId="5" xfId="0" applyFont="1" applyBorder="1" applyAlignment="1">
      <alignment vertical="center"/>
    </xf>
    <xf numFmtId="1" fontId="2" fillId="0" borderId="2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fill"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6" fontId="91" fillId="0" borderId="0" xfId="0" applyNumberFormat="1" applyFont="1" applyAlignment="1">
      <alignment vertical="center"/>
    </xf>
    <xf numFmtId="0" fontId="6" fillId="0" borderId="43" xfId="0" applyFont="1" applyBorder="1" applyAlignment="1">
      <alignment horizontal="center"/>
    </xf>
    <xf numFmtId="16" fontId="6" fillId="0" borderId="18" xfId="0" applyNumberFormat="1" applyFont="1" applyBorder="1" applyAlignment="1">
      <alignment horizontal="center"/>
    </xf>
    <xf numFmtId="16" fontId="6" fillId="0" borderId="20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43" xfId="0" applyNumberFormat="1" applyFont="1" applyBorder="1" applyAlignment="1">
      <alignment horizontal="center"/>
    </xf>
    <xf numFmtId="1" fontId="16" fillId="0" borderId="54" xfId="0" applyNumberFormat="1" applyFont="1" applyBorder="1" applyAlignment="1">
      <alignment horizontal="center"/>
    </xf>
    <xf numFmtId="1" fontId="16" fillId="0" borderId="56" xfId="0" applyNumberFormat="1" applyFont="1" applyBorder="1" applyAlignment="1">
      <alignment horizontal="center"/>
    </xf>
    <xf numFmtId="1" fontId="16" fillId="0" borderId="44" xfId="0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1" fontId="6" fillId="0" borderId="42" xfId="0" applyNumberFormat="1" applyFont="1" applyBorder="1" applyAlignment="1">
      <alignment horizontal="center"/>
    </xf>
    <xf numFmtId="1" fontId="6" fillId="0" borderId="40" xfId="0" applyNumberFormat="1" applyFont="1" applyBorder="1" applyAlignment="1">
      <alignment horizontal="center"/>
    </xf>
    <xf numFmtId="1" fontId="6" fillId="0" borderId="4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62" xfId="0" applyFont="1" applyBorder="1" applyAlignment="1">
      <alignment horizontal="center"/>
    </xf>
    <xf numFmtId="16" fontId="6" fillId="0" borderId="43" xfId="0" applyNumberFormat="1" applyFont="1" applyBorder="1" applyAlignment="1">
      <alignment horizontal="center"/>
    </xf>
    <xf numFmtId="16" fontId="6" fillId="0" borderId="62" xfId="0" applyNumberFormat="1" applyFont="1" applyBorder="1" applyAlignment="1">
      <alignment horizontal="center"/>
    </xf>
    <xf numFmtId="16" fontId="6" fillId="0" borderId="49" xfId="0" applyNumberFormat="1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166" fontId="91" fillId="0" borderId="7" xfId="0" applyNumberFormat="1" applyFont="1" applyBorder="1" applyAlignment="1">
      <alignment vertical="center"/>
    </xf>
    <xf numFmtId="166" fontId="91" fillId="0" borderId="32" xfId="0" applyNumberFormat="1" applyFont="1" applyBorder="1" applyAlignment="1">
      <alignment vertical="center"/>
    </xf>
    <xf numFmtId="166" fontId="91" fillId="0" borderId="29" xfId="0" applyNumberFormat="1" applyFont="1" applyBorder="1" applyAlignment="1">
      <alignment vertical="center"/>
    </xf>
    <xf numFmtId="166" fontId="91" fillId="0" borderId="33" xfId="0" applyNumberFormat="1" applyFont="1" applyBorder="1" applyAlignment="1">
      <alignment vertical="center"/>
    </xf>
    <xf numFmtId="1" fontId="16" fillId="0" borderId="5" xfId="0" applyNumberFormat="1" applyFont="1" applyBorder="1" applyAlignment="1">
      <alignment horizontal="center"/>
    </xf>
    <xf numFmtId="16" fontId="6" fillId="0" borderId="2" xfId="0" applyNumberFormat="1" applyFont="1" applyBorder="1" applyAlignment="1">
      <alignment horizontal="center"/>
    </xf>
    <xf numFmtId="16" fontId="6" fillId="0" borderId="16" xfId="0" applyNumberFormat="1" applyFont="1" applyBorder="1" applyAlignment="1">
      <alignment horizontal="center"/>
    </xf>
    <xf numFmtId="16" fontId="6" fillId="0" borderId="17" xfId="0" applyNumberFormat="1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44" xfId="0" applyNumberFormat="1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3" fillId="0" borderId="45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91" fillId="0" borderId="0" xfId="0" applyFont="1"/>
    <xf numFmtId="0" fontId="91" fillId="0" borderId="0" xfId="0" applyFont="1" applyAlignment="1">
      <alignment horizontal="center"/>
    </xf>
    <xf numFmtId="166" fontId="93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17" fontId="6" fillId="0" borderId="0" xfId="0" applyNumberFormat="1" applyFont="1" applyAlignment="1">
      <alignment horizontal="center"/>
    </xf>
    <xf numFmtId="2" fontId="16" fillId="0" borderId="2" xfId="0" applyNumberFormat="1" applyFont="1" applyBorder="1" applyAlignment="1">
      <alignment horizontal="center"/>
    </xf>
    <xf numFmtId="2" fontId="16" fillId="0" borderId="56" xfId="0" applyNumberFormat="1" applyFont="1" applyBorder="1" applyAlignment="1">
      <alignment horizontal="center"/>
    </xf>
    <xf numFmtId="2" fontId="6" fillId="0" borderId="42" xfId="0" applyNumberFormat="1" applyFont="1" applyBorder="1" applyAlignment="1">
      <alignment horizontal="center"/>
    </xf>
    <xf numFmtId="1" fontId="6" fillId="0" borderId="48" xfId="0" applyNumberFormat="1" applyFont="1" applyBorder="1" applyAlignment="1">
      <alignment horizontal="center"/>
    </xf>
    <xf numFmtId="171" fontId="16" fillId="0" borderId="2" xfId="0" applyNumberFormat="1" applyFont="1" applyBorder="1" applyAlignment="1">
      <alignment horizontal="center"/>
    </xf>
    <xf numFmtId="171" fontId="16" fillId="0" borderId="56" xfId="0" applyNumberFormat="1" applyFont="1" applyBorder="1" applyAlignment="1">
      <alignment horizontal="center"/>
    </xf>
    <xf numFmtId="171" fontId="6" fillId="0" borderId="42" xfId="0" applyNumberFormat="1" applyFont="1" applyBorder="1" applyAlignment="1">
      <alignment horizontal="center"/>
    </xf>
    <xf numFmtId="168" fontId="16" fillId="0" borderId="2" xfId="0" applyNumberFormat="1" applyFont="1" applyBorder="1" applyAlignment="1">
      <alignment horizontal="center"/>
    </xf>
    <xf numFmtId="168" fontId="16" fillId="0" borderId="56" xfId="0" applyNumberFormat="1" applyFont="1" applyBorder="1" applyAlignment="1">
      <alignment horizontal="center"/>
    </xf>
    <xf numFmtId="168" fontId="6" fillId="0" borderId="42" xfId="0" applyNumberFormat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16" fontId="6" fillId="0" borderId="0" xfId="0" quotePrefix="1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16" fontId="6" fillId="0" borderId="2" xfId="0" quotePrefix="1" applyNumberFormat="1" applyFont="1" applyBorder="1" applyAlignment="1">
      <alignment horizontal="center"/>
    </xf>
    <xf numFmtId="16" fontId="6" fillId="0" borderId="17" xfId="0" quotePrefix="1" applyNumberFormat="1" applyFont="1" applyBorder="1" applyAlignment="1">
      <alignment horizontal="center"/>
    </xf>
    <xf numFmtId="0" fontId="2" fillId="0" borderId="50" xfId="0" quotePrefix="1" applyFont="1" applyBorder="1" applyAlignment="1">
      <alignment horizontal="center" vertical="center"/>
    </xf>
    <xf numFmtId="166" fontId="2" fillId="0" borderId="30" xfId="0" quotePrefix="1" applyNumberFormat="1" applyFont="1" applyBorder="1" applyAlignment="1" applyProtection="1">
      <alignment horizontal="center" vertical="center"/>
      <protection locked="0"/>
    </xf>
    <xf numFmtId="0" fontId="2" fillId="0" borderId="30" xfId="0" quotePrefix="1" applyFont="1" applyBorder="1" applyAlignment="1">
      <alignment horizontal="center" vertical="center"/>
    </xf>
    <xf numFmtId="0" fontId="2" fillId="0" borderId="31" xfId="0" quotePrefix="1" applyFont="1" applyBorder="1" applyAlignment="1">
      <alignment horizontal="center" vertical="center"/>
    </xf>
    <xf numFmtId="16" fontId="2" fillId="0" borderId="30" xfId="0" quotePrefix="1" applyNumberFormat="1" applyFont="1" applyBorder="1" applyAlignment="1">
      <alignment horizontal="center" vertical="center"/>
    </xf>
    <xf numFmtId="166" fontId="2" fillId="0" borderId="30" xfId="0" quotePrefix="1" applyNumberFormat="1" applyFont="1" applyBorder="1" applyAlignment="1">
      <alignment horizontal="center" vertical="center"/>
    </xf>
    <xf numFmtId="0" fontId="2" fillId="0" borderId="10" xfId="0" quotePrefix="1" applyFont="1" applyBorder="1" applyAlignment="1">
      <alignment vertical="center"/>
    </xf>
    <xf numFmtId="166" fontId="2" fillId="0" borderId="3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33" fillId="0" borderId="10" xfId="0" quotePrefix="1" applyFont="1" applyBorder="1" applyAlignment="1">
      <alignment horizontal="center" vertical="center"/>
    </xf>
    <xf numFmtId="175" fontId="29" fillId="0" borderId="22" xfId="0" quotePrefix="1" applyNumberFormat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24" xfId="0" quotePrefix="1" applyFont="1" applyBorder="1" applyAlignment="1">
      <alignment horizontal="center" vertical="center"/>
    </xf>
    <xf numFmtId="0" fontId="58" fillId="0" borderId="0" xfId="0" quotePrefix="1" applyFont="1"/>
    <xf numFmtId="0" fontId="125" fillId="0" borderId="0" xfId="0" quotePrefix="1" applyFont="1"/>
    <xf numFmtId="0" fontId="16" fillId="0" borderId="0" xfId="0" quotePrefix="1" applyFont="1"/>
    <xf numFmtId="0" fontId="68" fillId="0" borderId="0" xfId="0" quotePrefix="1" applyFont="1"/>
    <xf numFmtId="0" fontId="0" fillId="0" borderId="12" xfId="0" quotePrefix="1" applyBorder="1"/>
    <xf numFmtId="0" fontId="6" fillId="0" borderId="50" xfId="0" quotePrefix="1" applyFont="1" applyBorder="1" applyAlignment="1">
      <alignment horizontal="center"/>
    </xf>
    <xf numFmtId="0" fontId="60" fillId="0" borderId="11" xfId="0" quotePrefix="1" applyFont="1" applyBorder="1" applyAlignment="1">
      <alignment horizontal="center" vertical="center"/>
    </xf>
    <xf numFmtId="0" fontId="6" fillId="0" borderId="50" xfId="0" quotePrefix="1" applyFont="1" applyBorder="1" applyAlignment="1">
      <alignment vertical="center"/>
    </xf>
    <xf numFmtId="0" fontId="6" fillId="0" borderId="28" xfId="0" quotePrefix="1" applyFont="1" applyBorder="1" applyAlignment="1">
      <alignment horizontal="center"/>
    </xf>
    <xf numFmtId="0" fontId="6" fillId="0" borderId="28" xfId="0" quotePrefix="1" applyFont="1" applyBorder="1"/>
    <xf numFmtId="0" fontId="6" fillId="0" borderId="0" xfId="0" quotePrefix="1" applyFont="1"/>
    <xf numFmtId="0" fontId="6" fillId="0" borderId="13" xfId="0" quotePrefix="1" applyFont="1" applyBorder="1"/>
    <xf numFmtId="16" fontId="6" fillId="0" borderId="0" xfId="0" quotePrefix="1" applyNumberFormat="1" applyFont="1"/>
    <xf numFmtId="16" fontId="6" fillId="0" borderId="13" xfId="0" quotePrefix="1" applyNumberFormat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23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2" fillId="0" borderId="28" xfId="0" quotePrefix="1" applyFont="1" applyBorder="1" applyAlignment="1">
      <alignment horizontal="center"/>
    </xf>
    <xf numFmtId="0" fontId="2" fillId="0" borderId="30" xfId="0" quotePrefix="1" applyFont="1" applyBorder="1" applyAlignment="1">
      <alignment horizontal="left"/>
    </xf>
    <xf numFmtId="0" fontId="2" fillId="0" borderId="36" xfId="0" quotePrefix="1" applyFont="1" applyBorder="1" applyAlignment="1">
      <alignment horizontal="left"/>
    </xf>
    <xf numFmtId="1" fontId="2" fillId="0" borderId="10" xfId="0" quotePrefix="1" applyNumberFormat="1" applyFont="1" applyBorder="1" applyAlignment="1">
      <alignment horizontal="center"/>
    </xf>
    <xf numFmtId="16" fontId="2" fillId="0" borderId="28" xfId="0" quotePrefix="1" applyNumberFormat="1" applyFont="1" applyBorder="1" applyAlignment="1">
      <alignment horizontal="center"/>
    </xf>
    <xf numFmtId="2" fontId="2" fillId="0" borderId="50" xfId="0" quotePrefix="1" applyNumberFormat="1" applyFont="1" applyBorder="1" applyAlignment="1">
      <alignment horizontal="center"/>
    </xf>
    <xf numFmtId="16" fontId="2" fillId="0" borderId="50" xfId="0" quotePrefix="1" applyNumberFormat="1" applyFont="1" applyBorder="1" applyAlignment="1">
      <alignment horizontal="center" vertical="center"/>
    </xf>
    <xf numFmtId="17" fontId="2" fillId="0" borderId="4" xfId="0" quotePrefix="1" applyNumberFormat="1" applyFont="1" applyBorder="1" applyAlignment="1">
      <alignment vertical="center"/>
    </xf>
    <xf numFmtId="0" fontId="2" fillId="0" borderId="4" xfId="0" quotePrefix="1" applyFont="1" applyBorder="1" applyAlignment="1">
      <alignment vertical="center"/>
    </xf>
    <xf numFmtId="0" fontId="2" fillId="0" borderId="0" xfId="0" quotePrefix="1" applyFont="1"/>
    <xf numFmtId="0" fontId="6" fillId="0" borderId="10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50" xfId="0" quotePrefix="1" applyFont="1" applyBorder="1" applyAlignment="1">
      <alignment horizontal="center" vertical="center"/>
    </xf>
    <xf numFmtId="0" fontId="122" fillId="0" borderId="0" xfId="0" quotePrefix="1" applyFont="1"/>
    <xf numFmtId="0" fontId="0" fillId="0" borderId="0" xfId="0" quotePrefix="1"/>
    <xf numFmtId="0" fontId="19" fillId="0" borderId="0" xfId="0" quotePrefix="1" applyFont="1"/>
    <xf numFmtId="16" fontId="16" fillId="0" borderId="0" xfId="0" quotePrefix="1" applyNumberFormat="1" applyFont="1"/>
    <xf numFmtId="16" fontId="6" fillId="0" borderId="26" xfId="0" quotePrefix="1" applyNumberFormat="1" applyFont="1" applyBorder="1" applyAlignment="1">
      <alignment horizontal="center"/>
    </xf>
    <xf numFmtId="0" fontId="9" fillId="0" borderId="24" xfId="0" quotePrefix="1" applyFont="1" applyBorder="1" applyAlignment="1">
      <alignment horizontal="center" vertical="center"/>
    </xf>
    <xf numFmtId="0" fontId="1" fillId="0" borderId="4" xfId="0" quotePrefix="1" applyFont="1" applyBorder="1"/>
    <xf numFmtId="0" fontId="1" fillId="0" borderId="26" xfId="0" quotePrefix="1" applyFont="1" applyBorder="1" applyAlignment="1">
      <alignment horizontal="center" vertical="center"/>
    </xf>
    <xf numFmtId="14" fontId="6" fillId="0" borderId="4" xfId="0" quotePrefix="1" applyNumberFormat="1" applyFont="1" applyBorder="1" applyAlignment="1">
      <alignment horizontal="center"/>
    </xf>
    <xf numFmtId="14" fontId="122" fillId="0" borderId="0" xfId="0" quotePrefix="1" applyNumberFormat="1" applyFont="1"/>
    <xf numFmtId="17" fontId="184" fillId="0" borderId="0" xfId="0" quotePrefix="1" applyNumberFormat="1" applyFont="1" applyAlignment="1">
      <alignment vertical="center" wrapText="1"/>
    </xf>
    <xf numFmtId="0" fontId="126" fillId="0" borderId="53" xfId="0" applyFont="1" applyBorder="1"/>
    <xf numFmtId="0" fontId="8" fillId="0" borderId="0" xfId="0" applyFont="1" applyAlignment="1">
      <alignment wrapText="1"/>
    </xf>
    <xf numFmtId="20" fontId="33" fillId="0" borderId="4" xfId="0" applyNumberFormat="1" applyFont="1" applyBorder="1" applyAlignment="1">
      <alignment vertical="center" wrapText="1"/>
    </xf>
    <xf numFmtId="166" fontId="25" fillId="0" borderId="16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20" fontId="29" fillId="0" borderId="16" xfId="0" applyNumberFormat="1" applyFont="1" applyBorder="1" applyAlignment="1">
      <alignment vertical="center" wrapText="1"/>
    </xf>
    <xf numFmtId="49" fontId="29" fillId="0" borderId="0" xfId="0" applyNumberFormat="1" applyFont="1" applyAlignment="1">
      <alignment horizontal="center" vertical="center"/>
    </xf>
    <xf numFmtId="0" fontId="29" fillId="0" borderId="3" xfId="0" applyFont="1" applyBorder="1" applyAlignment="1">
      <alignment horizontal="right" vertical="center"/>
    </xf>
    <xf numFmtId="1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168" fontId="29" fillId="0" borderId="16" xfId="0" applyNumberFormat="1" applyFont="1" applyBorder="1" applyAlignment="1">
      <alignment horizontal="center" vertical="center"/>
    </xf>
    <xf numFmtId="168" fontId="29" fillId="0" borderId="44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1" fontId="29" fillId="0" borderId="6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7" fontId="29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" fontId="29" fillId="0" borderId="74" xfId="0" applyNumberFormat="1" applyFont="1" applyBorder="1" applyAlignment="1">
      <alignment horizontal="center" vertical="center"/>
    </xf>
    <xf numFmtId="1" fontId="29" fillId="0" borderId="72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1" fontId="29" fillId="0" borderId="17" xfId="0" applyNumberFormat="1" applyFont="1" applyBorder="1" applyAlignment="1">
      <alignment horizontal="center" vertical="center"/>
    </xf>
    <xf numFmtId="1" fontId="29" fillId="0" borderId="56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2" fontId="29" fillId="0" borderId="44" xfId="0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1" fontId="29" fillId="0" borderId="36" xfId="0" applyNumberFormat="1" applyFont="1" applyBorder="1" applyAlignment="1">
      <alignment horizontal="center" vertical="center"/>
    </xf>
    <xf numFmtId="0" fontId="122" fillId="0" borderId="0" xfId="0" applyFont="1" applyAlignment="1">
      <alignment vertical="center"/>
    </xf>
    <xf numFmtId="0" fontId="29" fillId="0" borderId="32" xfId="0" applyFont="1" applyBorder="1" applyAlignment="1">
      <alignment horizontal="left" vertical="center"/>
    </xf>
    <xf numFmtId="0" fontId="29" fillId="0" borderId="65" xfId="0" applyFont="1" applyBorder="1" applyAlignment="1">
      <alignment horizontal="center" vertical="center"/>
    </xf>
    <xf numFmtId="1" fontId="29" fillId="0" borderId="65" xfId="0" applyNumberFormat="1" applyFont="1" applyBorder="1" applyAlignment="1">
      <alignment horizontal="center" vertical="center"/>
    </xf>
    <xf numFmtId="1" fontId="29" fillId="0" borderId="76" xfId="0" applyNumberFormat="1" applyFont="1" applyBorder="1" applyAlignment="1">
      <alignment horizontal="center" vertical="center"/>
    </xf>
    <xf numFmtId="1" fontId="29" fillId="0" borderId="11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1" fontId="29" fillId="0" borderId="6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187" fillId="0" borderId="0" xfId="0" applyFont="1" applyAlignment="1">
      <alignment horizontal="center"/>
    </xf>
    <xf numFmtId="0" fontId="128" fillId="0" borderId="52" xfId="0" applyFont="1" applyBorder="1" applyAlignment="1">
      <alignment horizontal="center" vertical="center"/>
    </xf>
    <xf numFmtId="0" fontId="188" fillId="0" borderId="52" xfId="0" applyFont="1" applyBorder="1"/>
    <xf numFmtId="1" fontId="128" fillId="0" borderId="52" xfId="0" applyNumberFormat="1" applyFont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1" fillId="0" borderId="62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17" xfId="0" applyFont="1" applyBorder="1"/>
    <xf numFmtId="0" fontId="1" fillId="0" borderId="16" xfId="0" applyFont="1" applyBorder="1"/>
    <xf numFmtId="0" fontId="1" fillId="0" borderId="47" xfId="0" applyFont="1" applyBorder="1"/>
    <xf numFmtId="0" fontId="1" fillId="0" borderId="20" xfId="0" applyFont="1" applyBorder="1"/>
    <xf numFmtId="0" fontId="1" fillId="0" borderId="27" xfId="0" applyFont="1" applyBorder="1"/>
    <xf numFmtId="0" fontId="1" fillId="0" borderId="25" xfId="0" applyFont="1" applyBorder="1"/>
    <xf numFmtId="168" fontId="29" fillId="0" borderId="43" xfId="0" applyNumberFormat="1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/>
    </xf>
    <xf numFmtId="0" fontId="126" fillId="0" borderId="0" xfId="0" applyFont="1" applyAlignment="1">
      <alignment horizontal="center"/>
    </xf>
    <xf numFmtId="0" fontId="125" fillId="0" borderId="51" xfId="0" applyFont="1" applyBorder="1"/>
    <xf numFmtId="0" fontId="125" fillId="0" borderId="34" xfId="0" applyFont="1" applyBorder="1"/>
    <xf numFmtId="2" fontId="125" fillId="0" borderId="20" xfId="0" applyNumberFormat="1" applyFont="1" applyBorder="1" applyAlignment="1">
      <alignment horizontal="center"/>
    </xf>
    <xf numFmtId="2" fontId="125" fillId="0" borderId="55" xfId="0" applyNumberFormat="1" applyFont="1" applyBorder="1" applyAlignment="1">
      <alignment horizontal="center"/>
    </xf>
    <xf numFmtId="0" fontId="0" fillId="0" borderId="27" xfId="0" applyBorder="1"/>
    <xf numFmtId="14" fontId="6" fillId="0" borderId="0" xfId="0" applyNumberFormat="1" applyFont="1" applyAlignment="1">
      <alignment horizontal="center"/>
    </xf>
    <xf numFmtId="2" fontId="126" fillId="0" borderId="4" xfId="0" applyNumberFormat="1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6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8" fillId="0" borderId="54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61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7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8" xfId="0" applyFont="1" applyBorder="1" applyAlignment="1">
      <alignment vertical="center" wrapText="1"/>
    </xf>
    <xf numFmtId="1" fontId="3" fillId="17" borderId="49" xfId="0" applyNumberFormat="1" applyFont="1" applyFill="1" applyBorder="1" applyAlignment="1">
      <alignment horizontal="center" vertical="center"/>
    </xf>
    <xf numFmtId="1" fontId="3" fillId="17" borderId="4" xfId="0" applyNumberFormat="1" applyFont="1" applyFill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1" fontId="41" fillId="0" borderId="4" xfId="0" applyNumberFormat="1" applyFont="1" applyBorder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7" fontId="2" fillId="0" borderId="9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" fontId="132" fillId="0" borderId="11" xfId="0" applyNumberFormat="1" applyFont="1" applyBorder="1" applyAlignment="1">
      <alignment horizontal="center"/>
    </xf>
    <xf numFmtId="1" fontId="132" fillId="0" borderId="0" xfId="0" applyNumberFormat="1" applyFont="1" applyAlignment="1">
      <alignment horizontal="center"/>
    </xf>
    <xf numFmtId="17" fontId="2" fillId="0" borderId="13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3" fillId="0" borderId="0" xfId="0" applyNumberFormat="1" applyFont="1" applyAlignment="1">
      <alignment horizontal="center"/>
    </xf>
    <xf numFmtId="1" fontId="54" fillId="0" borderId="13" xfId="0" applyNumberFormat="1" applyFont="1" applyBorder="1" applyAlignment="1">
      <alignment horizontal="center"/>
    </xf>
    <xf numFmtId="2" fontId="52" fillId="0" borderId="9" xfId="0" applyNumberFormat="1" applyFont="1" applyBorder="1" applyAlignment="1">
      <alignment horizontal="center"/>
    </xf>
    <xf numFmtId="167" fontId="2" fillId="0" borderId="0" xfId="0" applyNumberFormat="1" applyFont="1" applyAlignment="1" applyProtection="1">
      <alignment horizontal="center"/>
      <protection locked="0"/>
    </xf>
    <xf numFmtId="168" fontId="132" fillId="0" borderId="11" xfId="0" applyNumberFormat="1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5" fillId="0" borderId="0" xfId="0" applyFont="1" applyAlignment="1">
      <alignment horizontal="center"/>
    </xf>
    <xf numFmtId="1" fontId="6" fillId="0" borderId="56" xfId="0" applyNumberFormat="1" applyFont="1" applyBorder="1" applyAlignment="1">
      <alignment horizontal="center"/>
    </xf>
    <xf numFmtId="16" fontId="6" fillId="0" borderId="60" xfId="0" applyNumberFormat="1" applyFont="1" applyBorder="1" applyAlignment="1">
      <alignment horizontal="center"/>
    </xf>
    <xf numFmtId="16" fontId="6" fillId="0" borderId="73" xfId="0" applyNumberFormat="1" applyFont="1" applyBorder="1" applyAlignment="1">
      <alignment horizontal="center"/>
    </xf>
    <xf numFmtId="16" fontId="3" fillId="0" borderId="43" xfId="0" applyNumberFormat="1" applyFont="1" applyBorder="1" applyAlignment="1">
      <alignment horizontal="center"/>
    </xf>
    <xf numFmtId="16" fontId="3" fillId="0" borderId="62" xfId="0" applyNumberFormat="1" applyFont="1" applyBorder="1" applyAlignment="1">
      <alignment horizontal="center"/>
    </xf>
    <xf numFmtId="16" fontId="3" fillId="0" borderId="2" xfId="0" quotePrefix="1" applyNumberFormat="1" applyFont="1" applyBorder="1" applyAlignment="1">
      <alignment horizontal="center"/>
    </xf>
    <xf numFmtId="16" fontId="3" fillId="0" borderId="16" xfId="0" applyNumberFormat="1" applyFont="1" applyBorder="1" applyAlignment="1">
      <alignment horizontal="center"/>
    </xf>
    <xf numFmtId="16" fontId="3" fillId="0" borderId="17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1" fontId="3" fillId="0" borderId="44" xfId="0" applyNumberFormat="1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120" fillId="17" borderId="32" xfId="0" applyNumberFormat="1" applyFont="1" applyFill="1" applyBorder="1" applyAlignment="1">
      <alignment horizontal="center"/>
    </xf>
    <xf numFmtId="1" fontId="120" fillId="17" borderId="28" xfId="0" applyNumberFormat="1" applyFont="1" applyFill="1" applyBorder="1" applyAlignment="1">
      <alignment horizontal="center"/>
    </xf>
    <xf numFmtId="1" fontId="120" fillId="17" borderId="33" xfId="0" applyNumberFormat="1" applyFont="1" applyFill="1" applyBorder="1" applyAlignment="1">
      <alignment horizontal="center"/>
    </xf>
    <xf numFmtId="1" fontId="120" fillId="17" borderId="29" xfId="0" applyNumberFormat="1" applyFont="1" applyFill="1" applyBorder="1" applyAlignment="1">
      <alignment horizontal="center"/>
    </xf>
    <xf numFmtId="1" fontId="120" fillId="17" borderId="6" xfId="0" applyNumberFormat="1" applyFont="1" applyFill="1" applyBorder="1" applyAlignment="1">
      <alignment horizontal="center"/>
    </xf>
    <xf numFmtId="1" fontId="120" fillId="17" borderId="31" xfId="0" applyNumberFormat="1" applyFont="1" applyFill="1" applyBorder="1" applyAlignment="1">
      <alignment horizontal="center"/>
    </xf>
    <xf numFmtId="1" fontId="120" fillId="17" borderId="7" xfId="0" applyNumberFormat="1" applyFont="1" applyFill="1" applyBorder="1" applyAlignment="1">
      <alignment horizontal="center"/>
    </xf>
    <xf numFmtId="1" fontId="120" fillId="17" borderId="8" xfId="0" applyNumberFormat="1" applyFont="1" applyFill="1" applyBorder="1" applyAlignment="1">
      <alignment horizontal="center"/>
    </xf>
    <xf numFmtId="1" fontId="29" fillId="22" borderId="59" xfId="0" applyNumberFormat="1" applyFont="1" applyFill="1" applyBorder="1" applyAlignment="1">
      <alignment horizontal="center" vertical="center"/>
    </xf>
    <xf numFmtId="1" fontId="29" fillId="22" borderId="66" xfId="0" applyNumberFormat="1" applyFont="1" applyFill="1" applyBorder="1" applyAlignment="1">
      <alignment horizontal="center" vertical="center"/>
    </xf>
    <xf numFmtId="0" fontId="33" fillId="0" borderId="17" xfId="0" applyFont="1" applyBorder="1" applyAlignment="1">
      <alignment vertical="center"/>
    </xf>
    <xf numFmtId="2" fontId="29" fillId="0" borderId="35" xfId="0" applyNumberFormat="1" applyFont="1" applyBorder="1" applyAlignment="1">
      <alignment horizontal="left" vertical="center"/>
    </xf>
    <xf numFmtId="2" fontId="29" fillId="0" borderId="59" xfId="0" applyNumberFormat="1" applyFont="1" applyBorder="1" applyAlignment="1">
      <alignment horizontal="left" vertical="center"/>
    </xf>
    <xf numFmtId="0" fontId="29" fillId="0" borderId="35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vertical="center" wrapText="1"/>
    </xf>
    <xf numFmtId="0" fontId="29" fillId="0" borderId="70" xfId="0" applyFont="1" applyBorder="1" applyAlignment="1">
      <alignment horizontal="center" vertical="center"/>
    </xf>
    <xf numFmtId="1" fontId="3" fillId="0" borderId="58" xfId="0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1" fontId="3" fillId="0" borderId="31" xfId="0" applyNumberFormat="1" applyFont="1" applyBorder="1" applyAlignment="1">
      <alignment vertical="center" wrapText="1"/>
    </xf>
    <xf numFmtId="168" fontId="9" fillId="0" borderId="4" xfId="0" applyNumberFormat="1" applyFont="1" applyBorder="1" applyAlignment="1">
      <alignment horizontal="center"/>
    </xf>
    <xf numFmtId="2" fontId="29" fillId="0" borderId="62" xfId="0" applyNumberFormat="1" applyFont="1" applyBorder="1" applyAlignment="1">
      <alignment horizontal="center" vertical="center"/>
    </xf>
    <xf numFmtId="1" fontId="29" fillId="0" borderId="21" xfId="0" applyNumberFormat="1" applyFont="1" applyBorder="1" applyAlignment="1">
      <alignment vertical="center"/>
    </xf>
    <xf numFmtId="1" fontId="29" fillId="0" borderId="75" xfId="0" applyNumberFormat="1" applyFont="1" applyBorder="1" applyAlignment="1">
      <alignment vertical="center"/>
    </xf>
    <xf numFmtId="1" fontId="29" fillId="0" borderId="75" xfId="0" applyNumberFormat="1" applyFont="1" applyBorder="1" applyAlignment="1">
      <alignment horizontal="center" vertical="center"/>
    </xf>
    <xf numFmtId="1" fontId="29" fillId="0" borderId="28" xfId="0" applyNumberFormat="1" applyFont="1" applyBorder="1" applyAlignment="1">
      <alignment vertical="center"/>
    </xf>
    <xf numFmtId="1" fontId="29" fillId="0" borderId="43" xfId="0" applyNumberFormat="1" applyFont="1" applyBorder="1" applyAlignment="1">
      <alignment vertical="center"/>
    </xf>
    <xf numFmtId="0" fontId="2" fillId="0" borderId="16" xfId="0" applyFont="1" applyBorder="1" applyAlignment="1">
      <alignment horizontal="center"/>
    </xf>
    <xf numFmtId="0" fontId="0" fillId="0" borderId="16" xfId="0" applyBorder="1"/>
    <xf numFmtId="178" fontId="6" fillId="0" borderId="4" xfId="0" quotePrefix="1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55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1" fillId="0" borderId="3" xfId="0" applyFont="1" applyBorder="1"/>
    <xf numFmtId="0" fontId="121" fillId="0" borderId="4" xfId="0" applyFont="1" applyBorder="1"/>
    <xf numFmtId="0" fontId="121" fillId="0" borderId="5" xfId="0" applyFont="1" applyBorder="1"/>
    <xf numFmtId="0" fontId="121" fillId="0" borderId="24" xfId="0" applyFont="1" applyBorder="1"/>
    <xf numFmtId="0" fontId="121" fillId="0" borderId="25" xfId="0" applyFont="1" applyBorder="1"/>
    <xf numFmtId="14" fontId="1" fillId="0" borderId="4" xfId="0" applyNumberFormat="1" applyFont="1" applyBorder="1" applyAlignment="1">
      <alignment horizontal="center" vertical="center"/>
    </xf>
    <xf numFmtId="1" fontId="76" fillId="0" borderId="0" xfId="0" applyNumberFormat="1" applyFont="1" applyAlignment="1">
      <alignment vertical="center"/>
    </xf>
    <xf numFmtId="0" fontId="125" fillId="0" borderId="7" xfId="0" applyFont="1" applyBorder="1"/>
    <xf numFmtId="0" fontId="127" fillId="0" borderId="0" xfId="0" applyFont="1"/>
    <xf numFmtId="1" fontId="125" fillId="0" borderId="0" xfId="0" applyNumberFormat="1" applyFont="1"/>
    <xf numFmtId="0" fontId="191" fillId="0" borderId="4" xfId="0" applyFont="1" applyBorder="1"/>
    <xf numFmtId="0" fontId="191" fillId="0" borderId="4" xfId="0" applyFont="1" applyBorder="1" applyAlignment="1">
      <alignment horizontal="center"/>
    </xf>
    <xf numFmtId="166" fontId="192" fillId="0" borderId="4" xfId="0" applyNumberFormat="1" applyFont="1" applyBorder="1" applyAlignment="1">
      <alignment horizontal="center" vertical="center"/>
    </xf>
    <xf numFmtId="1" fontId="193" fillId="0" borderId="4" xfId="0" applyNumberFormat="1" applyFont="1" applyBorder="1" applyAlignment="1">
      <alignment horizontal="center"/>
    </xf>
    <xf numFmtId="168" fontId="191" fillId="0" borderId="4" xfId="0" applyNumberFormat="1" applyFont="1" applyBorder="1" applyAlignment="1">
      <alignment horizontal="center"/>
    </xf>
    <xf numFmtId="1" fontId="191" fillId="0" borderId="4" xfId="0" applyNumberFormat="1" applyFont="1" applyBorder="1" applyAlignment="1">
      <alignment horizontal="center"/>
    </xf>
    <xf numFmtId="1" fontId="191" fillId="0" borderId="4" xfId="0" applyNumberFormat="1" applyFont="1" applyBorder="1" applyAlignment="1">
      <alignment horizontal="center" vertical="center"/>
    </xf>
    <xf numFmtId="0" fontId="158" fillId="0" borderId="6" xfId="0" applyFont="1" applyBorder="1"/>
    <xf numFmtId="0" fontId="158" fillId="0" borderId="7" xfId="0" applyFont="1" applyBorder="1"/>
    <xf numFmtId="2" fontId="191" fillId="0" borderId="7" xfId="0" applyNumberFormat="1" applyFont="1" applyBorder="1" applyAlignment="1">
      <alignment horizontal="center" vertical="center"/>
    </xf>
    <xf numFmtId="1" fontId="158" fillId="0" borderId="7" xfId="0" applyNumberFormat="1" applyFont="1" applyBorder="1"/>
    <xf numFmtId="2" fontId="158" fillId="0" borderId="7" xfId="0" applyNumberFormat="1" applyFont="1" applyBorder="1"/>
    <xf numFmtId="168" fontId="158" fillId="0" borderId="7" xfId="0" applyNumberFormat="1" applyFont="1" applyBorder="1"/>
    <xf numFmtId="0" fontId="158" fillId="0" borderId="4" xfId="0" applyFont="1" applyBorder="1"/>
    <xf numFmtId="1" fontId="158" fillId="0" borderId="4" xfId="0" applyNumberFormat="1" applyFont="1" applyBorder="1"/>
    <xf numFmtId="0" fontId="6" fillId="0" borderId="1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0" fillId="0" borderId="0" xfId="0" applyFont="1"/>
    <xf numFmtId="17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165" fontId="8" fillId="0" borderId="4" xfId="600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9" fillId="0" borderId="5" xfId="0" applyFont="1" applyBorder="1" applyAlignment="1">
      <alignment vertical="center" wrapText="1"/>
    </xf>
    <xf numFmtId="1" fontId="125" fillId="0" borderId="0" xfId="0" applyNumberFormat="1" applyFont="1" applyAlignment="1">
      <alignment horizontal="center"/>
    </xf>
    <xf numFmtId="0" fontId="126" fillId="0" borderId="0" xfId="0" applyFont="1" applyAlignment="1">
      <alignment vertical="top" wrapText="1"/>
    </xf>
    <xf numFmtId="166" fontId="3" fillId="0" borderId="10" xfId="0" applyNumberFormat="1" applyFont="1" applyBorder="1" applyAlignment="1">
      <alignment horizontal="center" vertical="center"/>
    </xf>
    <xf numFmtId="1" fontId="1" fillId="0" borderId="55" xfId="0" applyNumberFormat="1" applyFont="1" applyBorder="1" applyAlignment="1">
      <alignment horizontal="center" vertical="center"/>
    </xf>
    <xf numFmtId="14" fontId="9" fillId="0" borderId="51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" fontId="1" fillId="0" borderId="51" xfId="0" applyNumberFormat="1" applyFont="1" applyBorder="1" applyAlignment="1">
      <alignment horizontal="center" vertical="center"/>
    </xf>
    <xf numFmtId="14" fontId="1" fillId="0" borderId="51" xfId="0" applyNumberFormat="1" applyFont="1" applyBorder="1" applyAlignment="1">
      <alignment horizontal="center" vertical="center"/>
    </xf>
    <xf numFmtId="0" fontId="6" fillId="0" borderId="55" xfId="0" applyFont="1" applyFill="1" applyBorder="1"/>
    <xf numFmtId="1" fontId="1" fillId="0" borderId="51" xfId="0" applyNumberFormat="1" applyFont="1" applyFill="1" applyBorder="1" applyAlignment="1">
      <alignment horizontal="center" vertical="center"/>
    </xf>
    <xf numFmtId="2" fontId="6" fillId="0" borderId="5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29" fillId="0" borderId="4" xfId="0" quotePrefix="1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2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9" fillId="0" borderId="21" xfId="0" applyFont="1" applyBorder="1"/>
    <xf numFmtId="14" fontId="2" fillId="0" borderId="25" xfId="0" applyNumberFormat="1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58" fillId="0" borderId="0" xfId="0" applyFont="1" applyAlignment="1"/>
    <xf numFmtId="0" fontId="29" fillId="0" borderId="0" xfId="0" applyFont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1" fontId="29" fillId="0" borderId="32" xfId="0" applyNumberFormat="1" applyFont="1" applyBorder="1" applyAlignment="1">
      <alignment horizontal="center" vertical="center"/>
    </xf>
    <xf numFmtId="1" fontId="29" fillId="0" borderId="33" xfId="0" applyNumberFormat="1" applyFont="1" applyBorder="1" applyAlignment="1">
      <alignment horizontal="center" vertical="center"/>
    </xf>
    <xf numFmtId="1" fontId="29" fillId="0" borderId="29" xfId="0" applyNumberFormat="1" applyFont="1" applyBorder="1" applyAlignment="1">
      <alignment horizontal="center" vertical="center"/>
    </xf>
    <xf numFmtId="1" fontId="29" fillId="0" borderId="73" xfId="0" applyNumberFormat="1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" fontId="1" fillId="0" borderId="21" xfId="0" applyNumberFormat="1" applyFont="1" applyBorder="1" applyAlignment="1">
      <alignment vertical="center"/>
    </xf>
    <xf numFmtId="0" fontId="29" fillId="0" borderId="6" xfId="0" applyFont="1" applyBorder="1" applyAlignment="1">
      <alignment horizontal="left" vertical="center"/>
    </xf>
    <xf numFmtId="1" fontId="77" fillId="0" borderId="54" xfId="0" applyNumberFormat="1" applyFont="1" applyBorder="1" applyAlignment="1">
      <alignment horizontal="center" vertical="center"/>
    </xf>
    <xf numFmtId="1" fontId="3" fillId="0" borderId="62" xfId="0" applyNumberFormat="1" applyFont="1" applyBorder="1" applyAlignment="1">
      <alignment horizontal="center" vertical="center"/>
    </xf>
    <xf numFmtId="1" fontId="29" fillId="0" borderId="11" xfId="0" applyNumberFormat="1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Fill="1" applyBorder="1"/>
    <xf numFmtId="0" fontId="2" fillId="0" borderId="2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9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2" fontId="29" fillId="0" borderId="28" xfId="0" applyNumberFormat="1" applyFont="1" applyBorder="1" applyAlignment="1">
      <alignment horizontal="center"/>
    </xf>
    <xf numFmtId="168" fontId="29" fillId="0" borderId="28" xfId="0" applyNumberFormat="1" applyFont="1" applyBorder="1" applyAlignment="1">
      <alignment horizontal="center"/>
    </xf>
    <xf numFmtId="1" fontId="6" fillId="0" borderId="140" xfId="0" applyNumberFormat="1" applyFont="1" applyBorder="1" applyAlignment="1">
      <alignment horizontal="center" vertical="center" wrapText="1"/>
    </xf>
    <xf numFmtId="1" fontId="6" fillId="0" borderId="141" xfId="0" applyNumberFormat="1" applyFont="1" applyBorder="1" applyAlignment="1">
      <alignment horizontal="center" vertical="center" wrapText="1"/>
    </xf>
    <xf numFmtId="1" fontId="189" fillId="0" borderId="14" xfId="0" applyNumberFormat="1" applyFont="1" applyBorder="1" applyAlignment="1">
      <alignment horizontal="center" vertical="center"/>
    </xf>
    <xf numFmtId="168" fontId="29" fillId="0" borderId="55" xfId="0" applyNumberFormat="1" applyFont="1" applyFill="1" applyBorder="1" applyAlignment="1">
      <alignment horizontal="center"/>
    </xf>
    <xf numFmtId="17" fontId="0" fillId="0" borderId="4" xfId="0" applyNumberFormat="1" applyBorder="1"/>
    <xf numFmtId="0" fontId="29" fillId="0" borderId="17" xfId="0" applyFont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66" fontId="3" fillId="0" borderId="50" xfId="0" applyNumberFormat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" fontId="75" fillId="0" borderId="14" xfId="0" applyNumberFormat="1" applyFont="1" applyBorder="1" applyAlignment="1">
      <alignment horizontal="left" vertical="center"/>
    </xf>
    <xf numFmtId="1" fontId="29" fillId="0" borderId="49" xfId="0" applyNumberFormat="1" applyFont="1" applyBorder="1" applyAlignment="1">
      <alignment horizontal="center"/>
    </xf>
    <xf numFmtId="1" fontId="29" fillId="0" borderId="69" xfId="0" applyNumberFormat="1" applyFont="1" applyBorder="1" applyAlignment="1">
      <alignment horizontal="center"/>
    </xf>
    <xf numFmtId="2" fontId="29" fillId="0" borderId="75" xfId="0" applyNumberFormat="1" applyFont="1" applyBorder="1" applyAlignment="1">
      <alignment vertical="center"/>
    </xf>
    <xf numFmtId="2" fontId="29" fillId="0" borderId="76" xfId="0" applyNumberFormat="1" applyFont="1" applyBorder="1" applyAlignment="1">
      <alignment vertical="center"/>
    </xf>
    <xf numFmtId="0" fontId="33" fillId="0" borderId="76" xfId="0" applyFont="1" applyBorder="1" applyAlignment="1">
      <alignment horizontal="center" vertical="center"/>
    </xf>
    <xf numFmtId="1" fontId="189" fillId="0" borderId="76" xfId="0" applyNumberFormat="1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194" fillId="0" borderId="0" xfId="0" applyFont="1"/>
    <xf numFmtId="0" fontId="194" fillId="0" borderId="4" xfId="0" applyFont="1" applyBorder="1"/>
    <xf numFmtId="0" fontId="120" fillId="0" borderId="4" xfId="0" applyFont="1" applyBorder="1"/>
    <xf numFmtId="0" fontId="120" fillId="0" borderId="4" xfId="0" applyFont="1" applyBorder="1" applyAlignment="1">
      <alignment horizontal="center"/>
    </xf>
    <xf numFmtId="0" fontId="195" fillId="17" borderId="4" xfId="0" applyFont="1" applyFill="1" applyBorder="1"/>
    <xf numFmtId="0" fontId="195" fillId="17" borderId="4" xfId="0" applyFont="1" applyFill="1" applyBorder="1" applyAlignment="1">
      <alignment horizontal="center"/>
    </xf>
    <xf numFmtId="0" fontId="19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2" fillId="0" borderId="11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166" fontId="91" fillId="0" borderId="9" xfId="0" applyNumberFormat="1" applyFont="1" applyBorder="1" applyAlignment="1">
      <alignment horizontal="center" wrapText="1"/>
    </xf>
    <xf numFmtId="0" fontId="0" fillId="0" borderId="10" xfId="0" applyBorder="1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166" fontId="2" fillId="0" borderId="33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5" fillId="0" borderId="6" xfId="0" applyFont="1" applyBorder="1" applyAlignment="1">
      <alignment horizontal="center" vertical="center"/>
    </xf>
    <xf numFmtId="0" fontId="185" fillId="0" borderId="7" xfId="0" applyFont="1" applyBorder="1" applyAlignment="1">
      <alignment horizontal="center" vertical="center"/>
    </xf>
    <xf numFmtId="0" fontId="185" fillId="0" borderId="8" xfId="0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67" fontId="2" fillId="0" borderId="32" xfId="0" applyNumberFormat="1" applyFont="1" applyBorder="1" applyAlignment="1">
      <alignment horizontal="center" vertical="center"/>
    </xf>
    <xf numFmtId="167" fontId="2" fillId="0" borderId="33" xfId="0" applyNumberFormat="1" applyFont="1" applyBorder="1" applyAlignment="1">
      <alignment horizontal="center" vertical="center"/>
    </xf>
    <xf numFmtId="167" fontId="2" fillId="0" borderId="2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164" fontId="2" fillId="0" borderId="32" xfId="601" applyFont="1" applyFill="1" applyBorder="1" applyAlignment="1">
      <alignment horizontal="center" vertical="center"/>
    </xf>
    <xf numFmtId="164" fontId="2" fillId="0" borderId="33" xfId="60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73" fillId="0" borderId="0" xfId="0" applyFont="1" applyAlignment="1">
      <alignment horizontal="center" vertical="center"/>
    </xf>
    <xf numFmtId="1" fontId="29" fillId="0" borderId="74" xfId="0" applyNumberFormat="1" applyFont="1" applyBorder="1" applyAlignment="1">
      <alignment horizontal="center" vertical="center"/>
    </xf>
    <xf numFmtId="1" fontId="29" fillId="0" borderId="72" xfId="0" applyNumberFormat="1" applyFont="1" applyBorder="1" applyAlignment="1">
      <alignment horizontal="center" vertical="center"/>
    </xf>
    <xf numFmtId="1" fontId="29" fillId="0" borderId="80" xfId="0" applyNumberFormat="1" applyFont="1" applyBorder="1" applyAlignment="1">
      <alignment horizontal="center" vertical="center"/>
    </xf>
    <xf numFmtId="1" fontId="29" fillId="0" borderId="78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/>
    </xf>
    <xf numFmtId="0" fontId="29" fillId="0" borderId="10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4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17" borderId="17" xfId="0" applyFont="1" applyFill="1" applyBorder="1" applyAlignment="1">
      <alignment horizontal="center" vertical="center"/>
    </xf>
    <xf numFmtId="0" fontId="29" fillId="17" borderId="54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0" fontId="29" fillId="0" borderId="33" xfId="0" applyFont="1" applyBorder="1" applyAlignment="1">
      <alignment horizontal="left" vertical="center"/>
    </xf>
    <xf numFmtId="0" fontId="29" fillId="0" borderId="29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  <xf numFmtId="2" fontId="29" fillId="0" borderId="30" xfId="0" applyNumberFormat="1" applyFont="1" applyBorder="1" applyAlignment="1">
      <alignment horizontal="center" vertical="center"/>
    </xf>
    <xf numFmtId="2" fontId="29" fillId="0" borderId="31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2" fontId="29" fillId="0" borderId="43" xfId="0" applyNumberFormat="1" applyFont="1" applyBorder="1" applyAlignment="1">
      <alignment horizontal="center" vertical="center"/>
    </xf>
    <xf numFmtId="2" fontId="29" fillId="0" borderId="44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 wrapText="1"/>
    </xf>
    <xf numFmtId="1" fontId="29" fillId="0" borderId="12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2" fontId="29" fillId="0" borderId="16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1" fontId="190" fillId="0" borderId="62" xfId="0" applyNumberFormat="1" applyFont="1" applyBorder="1" applyAlignment="1">
      <alignment horizontal="center" vertical="center" wrapText="1"/>
    </xf>
    <xf numFmtId="1" fontId="190" fillId="0" borderId="1" xfId="0" applyNumberFormat="1" applyFont="1" applyBorder="1" applyAlignment="1">
      <alignment horizontal="center" vertical="center" wrapText="1"/>
    </xf>
    <xf numFmtId="1" fontId="190" fillId="0" borderId="2" xfId="0" applyNumberFormat="1" applyFont="1" applyBorder="1" applyAlignment="1">
      <alignment horizontal="center" vertical="center" wrapText="1"/>
    </xf>
    <xf numFmtId="1" fontId="29" fillId="0" borderId="32" xfId="0" applyNumberFormat="1" applyFont="1" applyBorder="1" applyAlignment="1">
      <alignment horizontal="center" vertical="center" wrapText="1"/>
    </xf>
    <xf numFmtId="1" fontId="29" fillId="0" borderId="29" xfId="0" applyNumberFormat="1" applyFont="1" applyBorder="1" applyAlignment="1">
      <alignment horizontal="center" vertical="center" wrapText="1"/>
    </xf>
    <xf numFmtId="1" fontId="29" fillId="0" borderId="79" xfId="0" applyNumberFormat="1" applyFont="1" applyBorder="1" applyAlignment="1">
      <alignment horizontal="center" vertical="center" wrapText="1"/>
    </xf>
    <xf numFmtId="1" fontId="29" fillId="0" borderId="7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/>
    </xf>
    <xf numFmtId="0" fontId="6" fillId="0" borderId="47" xfId="0" applyFont="1" applyBorder="1" applyAlignment="1">
      <alignment horizontal="center" vertical="top"/>
    </xf>
    <xf numFmtId="0" fontId="6" fillId="0" borderId="63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73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4" fillId="0" borderId="0" xfId="0" applyFont="1" applyAlignment="1">
      <alignment horizontal="center"/>
    </xf>
    <xf numFmtId="0" fontId="74" fillId="0" borderId="79" xfId="0" applyFont="1" applyBorder="1" applyAlignment="1">
      <alignment horizontal="center"/>
    </xf>
    <xf numFmtId="0" fontId="74" fillId="0" borderId="10" xfId="0" applyFont="1" applyBorder="1" applyAlignment="1">
      <alignment horizontal="center"/>
    </xf>
    <xf numFmtId="0" fontId="74" fillId="0" borderId="12" xfId="0" applyFont="1" applyBorder="1" applyAlignment="1">
      <alignment horizontal="center"/>
    </xf>
    <xf numFmtId="0" fontId="74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7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65" fillId="16" borderId="9" xfId="0" applyFont="1" applyFill="1" applyBorder="1" applyAlignment="1">
      <alignment horizontal="center"/>
    </xf>
    <xf numFmtId="0" fontId="65" fillId="16" borderId="10" xfId="0" applyFont="1" applyFill="1" applyBorder="1" applyAlignment="1">
      <alignment horizontal="center"/>
    </xf>
    <xf numFmtId="0" fontId="65" fillId="16" borderId="12" xfId="0" applyFont="1" applyFill="1" applyBorder="1" applyAlignment="1">
      <alignment horizontal="center"/>
    </xf>
    <xf numFmtId="0" fontId="66" fillId="7" borderId="11" xfId="0" applyFont="1" applyFill="1" applyBorder="1" applyAlignment="1">
      <alignment horizontal="left"/>
    </xf>
    <xf numFmtId="0" fontId="66" fillId="7" borderId="0" xfId="0" applyFont="1" applyFill="1" applyAlignment="1">
      <alignment horizontal="left"/>
    </xf>
    <xf numFmtId="0" fontId="66" fillId="7" borderId="13" xfId="0" applyFont="1" applyFill="1" applyBorder="1" applyAlignment="1">
      <alignment horizontal="left"/>
    </xf>
    <xf numFmtId="0" fontId="6" fillId="13" borderId="0" xfId="0" applyFont="1" applyFill="1" applyAlignment="1">
      <alignment horizontal="left"/>
    </xf>
    <xf numFmtId="0" fontId="6" fillId="13" borderId="13" xfId="0" applyFont="1" applyFill="1" applyBorder="1" applyAlignment="1">
      <alignment horizontal="left"/>
    </xf>
    <xf numFmtId="0" fontId="186" fillId="0" borderId="0" xfId="0" applyFont="1" applyAlignment="1">
      <alignment horizontal="center"/>
    </xf>
    <xf numFmtId="0" fontId="9" fillId="0" borderId="37" xfId="0" applyFont="1" applyBorder="1" applyAlignment="1">
      <alignment horizontal="center"/>
    </xf>
    <xf numFmtId="0" fontId="168" fillId="0" borderId="109" xfId="0" applyFont="1" applyBorder="1" applyAlignment="1">
      <alignment horizontal="center" vertical="top" wrapText="1" readingOrder="1"/>
    </xf>
    <xf numFmtId="0" fontId="168" fillId="0" borderId="110" xfId="0" applyFont="1" applyBorder="1" applyAlignment="1">
      <alignment horizontal="center" vertical="top" wrapText="1" readingOrder="1"/>
    </xf>
    <xf numFmtId="0" fontId="161" fillId="24" borderId="106" xfId="0" applyFont="1" applyFill="1" applyBorder="1" applyAlignment="1">
      <alignment horizontal="center" vertical="top" wrapText="1" readingOrder="1"/>
    </xf>
    <xf numFmtId="0" fontId="161" fillId="24" borderId="108" xfId="0" applyFont="1" applyFill="1" applyBorder="1" applyAlignment="1">
      <alignment horizontal="center" vertical="top" wrapText="1" readingOrder="1"/>
    </xf>
    <xf numFmtId="0" fontId="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62" fillId="0" borderId="32" xfId="0" applyFont="1" applyBorder="1" applyAlignment="1">
      <alignment horizontal="center"/>
    </xf>
    <xf numFmtId="0" fontId="62" fillId="0" borderId="33" xfId="0" applyFont="1" applyBorder="1" applyAlignment="1">
      <alignment horizontal="center"/>
    </xf>
    <xf numFmtId="0" fontId="62" fillId="0" borderId="29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9" fillId="22" borderId="32" xfId="0" applyFont="1" applyFill="1" applyBorder="1" applyAlignment="1">
      <alignment horizontal="center"/>
    </xf>
    <xf numFmtId="0" fontId="9" fillId="22" borderId="33" xfId="0" applyFont="1" applyFill="1" applyBorder="1" applyAlignment="1">
      <alignment horizontal="center"/>
    </xf>
    <xf numFmtId="0" fontId="9" fillId="22" borderId="29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" fontId="121" fillId="0" borderId="62" xfId="0" applyNumberFormat="1" applyFont="1" applyBorder="1" applyAlignment="1">
      <alignment horizontal="left" vertical="center" wrapText="1"/>
    </xf>
    <xf numFmtId="1" fontId="121" fillId="0" borderId="59" xfId="0" applyNumberFormat="1" applyFont="1" applyBorder="1" applyAlignment="1">
      <alignment horizontal="left" vertical="center" wrapText="1"/>
    </xf>
    <xf numFmtId="1" fontId="121" fillId="0" borderId="39" xfId="0" applyNumberFormat="1" applyFont="1" applyBorder="1" applyAlignment="1">
      <alignment horizontal="left" vertical="center" wrapText="1"/>
    </xf>
    <xf numFmtId="0" fontId="150" fillId="0" borderId="0" xfId="0" applyFont="1" applyAlignment="1">
      <alignment wrapText="1"/>
    </xf>
    <xf numFmtId="0" fontId="149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" fillId="0" borderId="1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1" fontId="3" fillId="0" borderId="32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54" fillId="0" borderId="9" xfId="0" applyNumberFormat="1" applyFont="1" applyBorder="1" applyAlignment="1">
      <alignment horizontal="center"/>
    </xf>
    <xf numFmtId="1" fontId="54" fillId="0" borderId="10" xfId="0" applyNumberFormat="1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1" fontId="54" fillId="0" borderId="29" xfId="0" applyNumberFormat="1" applyFont="1" applyBorder="1" applyAlignment="1">
      <alignment horizontal="center"/>
    </xf>
    <xf numFmtId="1" fontId="52" fillId="0" borderId="32" xfId="0" applyNumberFormat="1" applyFont="1" applyBorder="1" applyAlignment="1">
      <alignment horizontal="center"/>
    </xf>
    <xf numFmtId="1" fontId="52" fillId="0" borderId="29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4" xfId="0" applyFont="1" applyBorder="1" applyAlignment="1">
      <alignment horizontal="center"/>
    </xf>
    <xf numFmtId="2" fontId="2" fillId="0" borderId="7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60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1" fontId="2" fillId="0" borderId="53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70" xfId="0" applyNumberFormat="1" applyFont="1" applyBorder="1" applyAlignment="1">
      <alignment horizontal="center"/>
    </xf>
    <xf numFmtId="2" fontId="2" fillId="0" borderId="45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604" applyFont="1" applyBorder="1" applyAlignment="1" applyProtection="1">
      <alignment horizontal="center"/>
    </xf>
    <xf numFmtId="0" fontId="2" fillId="0" borderId="54" xfId="0" applyFont="1" applyBorder="1" applyAlignment="1">
      <alignment horizontal="center"/>
    </xf>
    <xf numFmtId="0" fontId="2" fillId="17" borderId="17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158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6" fillId="0" borderId="11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35" xfId="0" applyFont="1" applyBorder="1" applyAlignment="1">
      <alignment horizontal="center"/>
    </xf>
    <xf numFmtId="0" fontId="46" fillId="0" borderId="37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121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3" fillId="0" borderId="6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1" fillId="0" borderId="6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191" fillId="0" borderId="4" xfId="0" applyFont="1" applyBorder="1" applyAlignment="1">
      <alignment horizontal="center"/>
    </xf>
    <xf numFmtId="0" fontId="102" fillId="0" borderId="4" xfId="0" applyFont="1" applyBorder="1" applyAlignment="1">
      <alignment horizontal="center"/>
    </xf>
    <xf numFmtId="1" fontId="102" fillId="0" borderId="4" xfId="0" applyNumberFormat="1" applyFont="1" applyBorder="1" applyAlignment="1">
      <alignment horizontal="center" vertical="center"/>
    </xf>
    <xf numFmtId="0" fontId="102" fillId="0" borderId="4" xfId="0" applyFont="1" applyBorder="1" applyAlignment="1">
      <alignment horizontal="center" vertical="center" wrapText="1"/>
    </xf>
    <xf numFmtId="0" fontId="102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34" fillId="0" borderId="130" xfId="0" applyFont="1" applyBorder="1" applyAlignment="1">
      <alignment horizontal="center" wrapText="1" readingOrder="1"/>
    </xf>
    <xf numFmtId="0" fontId="134" fillId="0" borderId="131" xfId="0" applyFont="1" applyBorder="1" applyAlignment="1">
      <alignment horizontal="center" wrapText="1" readingOrder="1"/>
    </xf>
    <xf numFmtId="0" fontId="134" fillId="0" borderId="132" xfId="0" applyFont="1" applyBorder="1" applyAlignment="1">
      <alignment horizontal="center" wrapText="1" readingOrder="1"/>
    </xf>
    <xf numFmtId="0" fontId="5" fillId="0" borderId="130" xfId="0" applyFont="1" applyBorder="1" applyAlignment="1">
      <alignment horizontal="center" vertical="center" wrapText="1" readingOrder="1"/>
    </xf>
    <xf numFmtId="0" fontId="5" fillId="0" borderId="131" xfId="0" applyFont="1" applyBorder="1" applyAlignment="1">
      <alignment horizontal="center" vertical="center" wrapText="1" readingOrder="1"/>
    </xf>
    <xf numFmtId="0" fontId="5" fillId="0" borderId="132" xfId="0" applyFont="1" applyBorder="1" applyAlignment="1">
      <alignment horizontal="center" vertical="center" wrapText="1" readingOrder="1"/>
    </xf>
    <xf numFmtId="0" fontId="139" fillId="0" borderId="4" xfId="0" applyFont="1" applyBorder="1" applyAlignment="1">
      <alignment horizontal="center" wrapText="1" readingOrder="1"/>
    </xf>
    <xf numFmtId="0" fontId="135" fillId="0" borderId="89" xfId="0" applyFont="1" applyBorder="1" applyAlignment="1">
      <alignment horizontal="center" vertical="center" wrapText="1" readingOrder="1"/>
    </xf>
    <xf numFmtId="0" fontId="135" fillId="0" borderId="90" xfId="0" applyFont="1" applyBorder="1" applyAlignment="1">
      <alignment horizontal="center" vertical="center" wrapText="1" readingOrder="1"/>
    </xf>
    <xf numFmtId="0" fontId="134" fillId="0" borderId="89" xfId="0" applyFont="1" applyBorder="1" applyAlignment="1">
      <alignment horizontal="center" vertical="center" wrapText="1" readingOrder="1"/>
    </xf>
    <xf numFmtId="0" fontId="134" fillId="0" borderId="90" xfId="0" applyFont="1" applyBorder="1" applyAlignment="1">
      <alignment horizontal="center" vertical="center" wrapText="1" readingOrder="1"/>
    </xf>
    <xf numFmtId="0" fontId="6" fillId="0" borderId="6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1" fillId="0" borderId="4" xfId="0" applyFont="1" applyBorder="1"/>
    <xf numFmtId="0" fontId="6" fillId="0" borderId="51" xfId="0" applyFont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13" xfId="0" applyFont="1" applyBorder="1" applyAlignment="1">
      <alignment horizontal="center"/>
    </xf>
    <xf numFmtId="0" fontId="102" fillId="0" borderId="4" xfId="0" applyFont="1" applyBorder="1" applyAlignment="1">
      <alignment vertical="center"/>
    </xf>
    <xf numFmtId="0" fontId="135" fillId="0" borderId="133" xfId="0" applyFont="1" applyBorder="1" applyAlignment="1">
      <alignment horizontal="left" vertical="center" wrapText="1" readingOrder="1"/>
    </xf>
    <xf numFmtId="0" fontId="135" fillId="0" borderId="134" xfId="0" applyFont="1" applyBorder="1" applyAlignment="1">
      <alignment horizontal="left" vertical="center" wrapText="1" readingOrder="1"/>
    </xf>
    <xf numFmtId="0" fontId="135" fillId="0" borderId="89" xfId="0" applyFont="1" applyBorder="1" applyAlignment="1">
      <alignment horizontal="left" vertical="center" wrapText="1" readingOrder="1"/>
    </xf>
    <xf numFmtId="0" fontId="135" fillId="0" borderId="90" xfId="0" applyFont="1" applyBorder="1" applyAlignment="1">
      <alignment horizontal="left" vertical="center" wrapText="1" readingOrder="1"/>
    </xf>
    <xf numFmtId="0" fontId="135" fillId="0" borderId="135" xfId="0" applyFont="1" applyBorder="1" applyAlignment="1">
      <alignment horizontal="center" wrapText="1" readingOrder="1"/>
    </xf>
    <xf numFmtId="0" fontId="135" fillId="0" borderId="136" xfId="0" applyFont="1" applyBorder="1" applyAlignment="1">
      <alignment horizontal="center" wrapText="1" readingOrder="1"/>
    </xf>
    <xf numFmtId="0" fontId="135" fillId="0" borderId="137" xfId="0" applyFont="1" applyBorder="1" applyAlignment="1">
      <alignment horizontal="center" wrapText="1" readingOrder="1"/>
    </xf>
    <xf numFmtId="0" fontId="135" fillId="0" borderId="138" xfId="0" applyFont="1" applyBorder="1" applyAlignment="1">
      <alignment horizontal="center" vertical="center" wrapText="1" readingOrder="1"/>
    </xf>
    <xf numFmtId="0" fontId="135" fillId="0" borderId="131" xfId="0" applyFont="1" applyBorder="1" applyAlignment="1">
      <alignment horizontal="center" vertical="center" wrapText="1" readingOrder="1"/>
    </xf>
    <xf numFmtId="0" fontId="135" fillId="0" borderId="132" xfId="0" applyFont="1" applyBorder="1" applyAlignment="1">
      <alignment horizontal="center" vertical="center" wrapText="1" readingOrder="1"/>
    </xf>
    <xf numFmtId="0" fontId="3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14" fontId="9" fillId="0" borderId="3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16" fillId="0" borderId="6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5" fillId="0" borderId="139" xfId="0" applyFont="1" applyBorder="1" applyAlignment="1">
      <alignment vertical="center" wrapText="1"/>
    </xf>
    <xf numFmtId="0" fontId="0" fillId="0" borderId="86" xfId="0" applyBorder="1" applyAlignment="1">
      <alignment vertical="center" wrapText="1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21" fillId="17" borderId="62" xfId="0" applyFont="1" applyFill="1" applyBorder="1" applyAlignment="1">
      <alignment horizontal="center"/>
    </xf>
    <xf numFmtId="0" fontId="121" fillId="17" borderId="1" xfId="0" applyFont="1" applyFill="1" applyBorder="1" applyAlignment="1">
      <alignment horizontal="center"/>
    </xf>
    <xf numFmtId="0" fontId="121" fillId="17" borderId="2" xfId="0" applyFont="1" applyFill="1" applyBorder="1" applyAlignment="1">
      <alignment horizontal="center"/>
    </xf>
    <xf numFmtId="0" fontId="121" fillId="0" borderId="4" xfId="0" applyFont="1" applyBorder="1" applyAlignment="1">
      <alignment horizontal="center"/>
    </xf>
    <xf numFmtId="0" fontId="121" fillId="0" borderId="17" xfId="0" applyFont="1" applyBorder="1" applyAlignment="1">
      <alignment horizontal="center"/>
    </xf>
    <xf numFmtId="0" fontId="121" fillId="0" borderId="56" xfId="0" applyFont="1" applyBorder="1" applyAlignment="1">
      <alignment horizontal="center"/>
    </xf>
    <xf numFmtId="1" fontId="29" fillId="0" borderId="4" xfId="0" quotePrefix="1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1" fontId="1" fillId="0" borderId="28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 applyProtection="1">
      <alignment horizontal="center" vertical="center"/>
      <protection locked="0"/>
    </xf>
    <xf numFmtId="166" fontId="1" fillId="0" borderId="6" xfId="0" applyNumberFormat="1" applyFont="1" applyBorder="1" applyAlignment="1" applyProtection="1">
      <alignment horizontal="fill" vertical="center"/>
      <protection locked="0"/>
    </xf>
    <xf numFmtId="166" fontId="28" fillId="0" borderId="31" xfId="0" applyNumberFormat="1" applyFont="1" applyBorder="1" applyAlignment="1" applyProtection="1">
      <alignment horizontal="fill" vertical="center"/>
      <protection locked="0"/>
    </xf>
    <xf numFmtId="166" fontId="2" fillId="0" borderId="12" xfId="0" applyNumberFormat="1" applyFont="1" applyBorder="1" applyAlignment="1">
      <alignment horizontal="center" vertical="center"/>
    </xf>
    <xf numFmtId="166" fontId="28" fillId="0" borderId="11" xfId="0" applyNumberFormat="1" applyFont="1" applyBorder="1" applyAlignment="1" applyProtection="1">
      <alignment horizontal="fill" vertical="center"/>
      <protection locked="0"/>
    </xf>
    <xf numFmtId="1" fontId="1" fillId="0" borderId="2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67" fontId="126" fillId="0" borderId="0" xfId="0" applyNumberFormat="1" applyFont="1" applyAlignment="1">
      <alignment vertical="center"/>
    </xf>
    <xf numFmtId="167" fontId="4" fillId="0" borderId="9" xfId="0" applyNumberFormat="1" applyFont="1" applyBorder="1" applyAlignment="1">
      <alignment vertical="center"/>
    </xf>
    <xf numFmtId="167" fontId="4" fillId="0" borderId="11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vertical="center"/>
    </xf>
    <xf numFmtId="166" fontId="4" fillId="0" borderId="6" xfId="0" applyNumberFormat="1" applyFont="1" applyBorder="1" applyAlignment="1">
      <alignment vertical="center"/>
    </xf>
    <xf numFmtId="1" fontId="3" fillId="0" borderId="17" xfId="0" applyNumberFormat="1" applyFont="1" applyBorder="1" applyAlignment="1">
      <alignment horizontal="center" vertical="center"/>
    </xf>
    <xf numFmtId="1" fontId="29" fillId="0" borderId="72" xfId="0" applyNumberFormat="1" applyFont="1" applyBorder="1" applyAlignment="1">
      <alignment horizontal="center" vertical="center" wrapText="1"/>
    </xf>
  </cellXfs>
  <cellStyles count="642">
    <cellStyle name="20% - Accent1 2" xfId="1"/>
    <cellStyle name="20% - Accent1 2 2" xfId="2"/>
    <cellStyle name="20% - Accent1 2 2 2" xfId="3"/>
    <cellStyle name="20% - Accent1 2 2 2 2" xfId="4"/>
    <cellStyle name="20% - Accent1 2 2 2 2 2" xfId="5"/>
    <cellStyle name="20% - Accent1 2 2 2 3" xfId="6"/>
    <cellStyle name="20% - Accent1 2 2 3" xfId="7"/>
    <cellStyle name="20% - Accent1 2 2 3 2" xfId="8"/>
    <cellStyle name="20% - Accent1 2 2 4" xfId="9"/>
    <cellStyle name="20% - Accent1 2 3" xfId="10"/>
    <cellStyle name="20% - Accent1 2 3 2" xfId="11"/>
    <cellStyle name="20% - Accent1 2 3 2 2" xfId="12"/>
    <cellStyle name="20% - Accent1 2 3 3" xfId="13"/>
    <cellStyle name="20% - Accent1 2 4" xfId="14"/>
    <cellStyle name="20% - Accent1 2 4 2" xfId="15"/>
    <cellStyle name="20% - Accent1 2 5" xfId="16"/>
    <cellStyle name="20% - Accent1 3" xfId="17"/>
    <cellStyle name="20% - Accent1 3 2" xfId="18"/>
    <cellStyle name="20% - Accent1 3 2 2" xfId="19"/>
    <cellStyle name="20% - Accent1 3 2 2 2" xfId="20"/>
    <cellStyle name="20% - Accent1 3 2 2 2 2" xfId="21"/>
    <cellStyle name="20% - Accent1 3 2 2 3" xfId="22"/>
    <cellStyle name="20% - Accent1 3 2 3" xfId="23"/>
    <cellStyle name="20% - Accent1 3 2 3 2" xfId="24"/>
    <cellStyle name="20% - Accent1 3 2 4" xfId="25"/>
    <cellStyle name="20% - Accent1 3 3" xfId="26"/>
    <cellStyle name="20% - Accent1 3 3 2" xfId="27"/>
    <cellStyle name="20% - Accent1 3 3 2 2" xfId="28"/>
    <cellStyle name="20% - Accent1 3 3 3" xfId="29"/>
    <cellStyle name="20% - Accent1 3 4" xfId="30"/>
    <cellStyle name="20% - Accent1 3 4 2" xfId="31"/>
    <cellStyle name="20% - Accent1 3 5" xfId="32"/>
    <cellStyle name="20% - Accent1 4" xfId="33"/>
    <cellStyle name="20% - Accent1 4 2" xfId="34"/>
    <cellStyle name="20% - Accent1 4 2 2" xfId="35"/>
    <cellStyle name="20% - Accent1 4 2 2 2" xfId="36"/>
    <cellStyle name="20% - Accent1 4 2 3" xfId="37"/>
    <cellStyle name="20% - Accent1 4 3" xfId="38"/>
    <cellStyle name="20% - Accent1 4 3 2" xfId="39"/>
    <cellStyle name="20% - Accent1 4 4" xfId="40"/>
    <cellStyle name="20% - Accent1 5" xfId="41"/>
    <cellStyle name="20% - Accent1 5 2" xfId="42"/>
    <cellStyle name="20% - Accent1 5 2 2" xfId="43"/>
    <cellStyle name="20% - Accent1 5 3" xfId="44"/>
    <cellStyle name="20% - Accent1 6" xfId="45"/>
    <cellStyle name="20% - Accent1 6 2" xfId="46"/>
    <cellStyle name="20% - Accent1 7" xfId="47"/>
    <cellStyle name="20% - Accent2 2" xfId="48"/>
    <cellStyle name="20% - Accent2 2 2" xfId="49"/>
    <cellStyle name="20% - Accent2 2 2 2" xfId="50"/>
    <cellStyle name="20% - Accent2 2 2 2 2" xfId="51"/>
    <cellStyle name="20% - Accent2 2 2 2 2 2" xfId="52"/>
    <cellStyle name="20% - Accent2 2 2 2 3" xfId="53"/>
    <cellStyle name="20% - Accent2 2 2 3" xfId="54"/>
    <cellStyle name="20% - Accent2 2 2 3 2" xfId="55"/>
    <cellStyle name="20% - Accent2 2 2 4" xfId="56"/>
    <cellStyle name="20% - Accent2 2 3" xfId="57"/>
    <cellStyle name="20% - Accent2 2 3 2" xfId="58"/>
    <cellStyle name="20% - Accent2 2 3 2 2" xfId="59"/>
    <cellStyle name="20% - Accent2 2 3 3" xfId="60"/>
    <cellStyle name="20% - Accent2 2 4" xfId="61"/>
    <cellStyle name="20% - Accent2 2 4 2" xfId="62"/>
    <cellStyle name="20% - Accent2 2 5" xfId="63"/>
    <cellStyle name="20% - Accent2 3" xfId="64"/>
    <cellStyle name="20% - Accent2 3 2" xfId="65"/>
    <cellStyle name="20% - Accent2 3 2 2" xfId="66"/>
    <cellStyle name="20% - Accent2 3 2 2 2" xfId="67"/>
    <cellStyle name="20% - Accent2 3 2 2 2 2" xfId="68"/>
    <cellStyle name="20% - Accent2 3 2 2 3" xfId="69"/>
    <cellStyle name="20% - Accent2 3 2 3" xfId="70"/>
    <cellStyle name="20% - Accent2 3 2 3 2" xfId="71"/>
    <cellStyle name="20% - Accent2 3 2 4" xfId="72"/>
    <cellStyle name="20% - Accent2 3 3" xfId="73"/>
    <cellStyle name="20% - Accent2 3 3 2" xfId="74"/>
    <cellStyle name="20% - Accent2 3 3 2 2" xfId="75"/>
    <cellStyle name="20% - Accent2 3 3 3" xfId="76"/>
    <cellStyle name="20% - Accent2 3 4" xfId="77"/>
    <cellStyle name="20% - Accent2 3 4 2" xfId="78"/>
    <cellStyle name="20% - Accent2 3 5" xfId="79"/>
    <cellStyle name="20% - Accent2 4" xfId="80"/>
    <cellStyle name="20% - Accent2 4 2" xfId="81"/>
    <cellStyle name="20% - Accent2 4 2 2" xfId="82"/>
    <cellStyle name="20% - Accent2 4 2 2 2" xfId="83"/>
    <cellStyle name="20% - Accent2 4 2 3" xfId="84"/>
    <cellStyle name="20% - Accent2 4 3" xfId="85"/>
    <cellStyle name="20% - Accent2 4 3 2" xfId="86"/>
    <cellStyle name="20% - Accent2 4 4" xfId="87"/>
    <cellStyle name="20% - Accent2 5" xfId="88"/>
    <cellStyle name="20% - Accent2 5 2" xfId="89"/>
    <cellStyle name="20% - Accent2 5 2 2" xfId="90"/>
    <cellStyle name="20% - Accent2 5 3" xfId="91"/>
    <cellStyle name="20% - Accent2 6" xfId="92"/>
    <cellStyle name="20% - Accent2 6 2" xfId="93"/>
    <cellStyle name="20% - Accent2 7" xfId="94"/>
    <cellStyle name="20% - Accent3 2" xfId="95"/>
    <cellStyle name="20% - Accent3 2 2" xfId="96"/>
    <cellStyle name="20% - Accent3 2 2 2" xfId="97"/>
    <cellStyle name="20% - Accent3 2 2 2 2" xfId="98"/>
    <cellStyle name="20% - Accent3 2 2 2 2 2" xfId="99"/>
    <cellStyle name="20% - Accent3 2 2 2 3" xfId="100"/>
    <cellStyle name="20% - Accent3 2 2 3" xfId="101"/>
    <cellStyle name="20% - Accent3 2 2 3 2" xfId="102"/>
    <cellStyle name="20% - Accent3 2 2 4" xfId="103"/>
    <cellStyle name="20% - Accent3 2 3" xfId="104"/>
    <cellStyle name="20% - Accent3 2 3 2" xfId="105"/>
    <cellStyle name="20% - Accent3 2 3 2 2" xfId="106"/>
    <cellStyle name="20% - Accent3 2 3 3" xfId="107"/>
    <cellStyle name="20% - Accent3 2 4" xfId="108"/>
    <cellStyle name="20% - Accent3 2 4 2" xfId="109"/>
    <cellStyle name="20% - Accent3 2 5" xfId="110"/>
    <cellStyle name="20% - Accent3 3" xfId="111"/>
    <cellStyle name="20% - Accent3 3 2" xfId="112"/>
    <cellStyle name="20% - Accent3 3 2 2" xfId="113"/>
    <cellStyle name="20% - Accent3 3 2 2 2" xfId="114"/>
    <cellStyle name="20% - Accent3 3 2 2 2 2" xfId="115"/>
    <cellStyle name="20% - Accent3 3 2 2 3" xfId="116"/>
    <cellStyle name="20% - Accent3 3 2 3" xfId="117"/>
    <cellStyle name="20% - Accent3 3 2 3 2" xfId="118"/>
    <cellStyle name="20% - Accent3 3 2 4" xfId="119"/>
    <cellStyle name="20% - Accent3 3 3" xfId="120"/>
    <cellStyle name="20% - Accent3 3 3 2" xfId="121"/>
    <cellStyle name="20% - Accent3 3 3 2 2" xfId="122"/>
    <cellStyle name="20% - Accent3 3 3 3" xfId="123"/>
    <cellStyle name="20% - Accent3 3 4" xfId="124"/>
    <cellStyle name="20% - Accent3 3 4 2" xfId="125"/>
    <cellStyle name="20% - Accent3 3 5" xfId="126"/>
    <cellStyle name="20% - Accent3 4" xfId="127"/>
    <cellStyle name="20% - Accent3 4 2" xfId="128"/>
    <cellStyle name="20% - Accent3 4 2 2" xfId="129"/>
    <cellStyle name="20% - Accent3 4 2 2 2" xfId="130"/>
    <cellStyle name="20% - Accent3 4 2 3" xfId="131"/>
    <cellStyle name="20% - Accent3 4 3" xfId="132"/>
    <cellStyle name="20% - Accent3 4 3 2" xfId="133"/>
    <cellStyle name="20% - Accent3 4 4" xfId="134"/>
    <cellStyle name="20% - Accent3 5" xfId="135"/>
    <cellStyle name="20% - Accent3 5 2" xfId="136"/>
    <cellStyle name="20% - Accent3 5 2 2" xfId="137"/>
    <cellStyle name="20% - Accent3 5 3" xfId="138"/>
    <cellStyle name="20% - Accent3 6" xfId="139"/>
    <cellStyle name="20% - Accent3 6 2" xfId="140"/>
    <cellStyle name="20% - Accent3 7" xfId="141"/>
    <cellStyle name="20% - Accent4 2" xfId="142"/>
    <cellStyle name="20% - Accent4 2 2" xfId="143"/>
    <cellStyle name="20% - Accent4 2 2 2" xfId="144"/>
    <cellStyle name="20% - Accent4 2 2 2 2" xfId="145"/>
    <cellStyle name="20% - Accent4 2 2 2 2 2" xfId="146"/>
    <cellStyle name="20% - Accent4 2 2 2 3" xfId="147"/>
    <cellStyle name="20% - Accent4 2 2 3" xfId="148"/>
    <cellStyle name="20% - Accent4 2 2 3 2" xfId="149"/>
    <cellStyle name="20% - Accent4 2 2 4" xfId="150"/>
    <cellStyle name="20% - Accent4 2 3" xfId="151"/>
    <cellStyle name="20% - Accent4 2 3 2" xfId="152"/>
    <cellStyle name="20% - Accent4 2 3 2 2" xfId="153"/>
    <cellStyle name="20% - Accent4 2 3 3" xfId="154"/>
    <cellStyle name="20% - Accent4 2 4" xfId="155"/>
    <cellStyle name="20% - Accent4 2 4 2" xfId="156"/>
    <cellStyle name="20% - Accent4 2 5" xfId="157"/>
    <cellStyle name="20% - Accent4 3" xfId="158"/>
    <cellStyle name="20% - Accent4 3 2" xfId="159"/>
    <cellStyle name="20% - Accent4 3 2 2" xfId="160"/>
    <cellStyle name="20% - Accent4 3 2 2 2" xfId="161"/>
    <cellStyle name="20% - Accent4 3 2 2 2 2" xfId="162"/>
    <cellStyle name="20% - Accent4 3 2 2 3" xfId="163"/>
    <cellStyle name="20% - Accent4 3 2 3" xfId="164"/>
    <cellStyle name="20% - Accent4 3 2 3 2" xfId="165"/>
    <cellStyle name="20% - Accent4 3 2 4" xfId="166"/>
    <cellStyle name="20% - Accent4 3 3" xfId="167"/>
    <cellStyle name="20% - Accent4 3 3 2" xfId="168"/>
    <cellStyle name="20% - Accent4 3 3 2 2" xfId="169"/>
    <cellStyle name="20% - Accent4 3 3 3" xfId="170"/>
    <cellStyle name="20% - Accent4 3 4" xfId="171"/>
    <cellStyle name="20% - Accent4 3 4 2" xfId="172"/>
    <cellStyle name="20% - Accent4 3 5" xfId="173"/>
    <cellStyle name="20% - Accent4 4" xfId="174"/>
    <cellStyle name="20% - Accent4 4 2" xfId="175"/>
    <cellStyle name="20% - Accent4 4 2 2" xfId="176"/>
    <cellStyle name="20% - Accent4 4 2 2 2" xfId="177"/>
    <cellStyle name="20% - Accent4 4 2 3" xfId="178"/>
    <cellStyle name="20% - Accent4 4 3" xfId="179"/>
    <cellStyle name="20% - Accent4 4 3 2" xfId="180"/>
    <cellStyle name="20% - Accent4 4 4" xfId="181"/>
    <cellStyle name="20% - Accent4 5" xfId="182"/>
    <cellStyle name="20% - Accent4 5 2" xfId="183"/>
    <cellStyle name="20% - Accent4 5 2 2" xfId="184"/>
    <cellStyle name="20% - Accent4 5 3" xfId="185"/>
    <cellStyle name="20% - Accent4 6" xfId="186"/>
    <cellStyle name="20% - Accent4 6 2" xfId="187"/>
    <cellStyle name="20% - Accent4 7" xfId="188"/>
    <cellStyle name="20% - Accent5 2" xfId="189"/>
    <cellStyle name="20% - Accent5 2 2" xfId="190"/>
    <cellStyle name="20% - Accent5 2 2 2" xfId="191"/>
    <cellStyle name="20% - Accent5 2 2 2 2" xfId="192"/>
    <cellStyle name="20% - Accent5 2 2 2 2 2" xfId="193"/>
    <cellStyle name="20% - Accent5 2 2 2 3" xfId="194"/>
    <cellStyle name="20% - Accent5 2 2 3" xfId="195"/>
    <cellStyle name="20% - Accent5 2 2 3 2" xfId="196"/>
    <cellStyle name="20% - Accent5 2 2 4" xfId="197"/>
    <cellStyle name="20% - Accent5 2 3" xfId="198"/>
    <cellStyle name="20% - Accent5 2 3 2" xfId="199"/>
    <cellStyle name="20% - Accent5 2 3 2 2" xfId="200"/>
    <cellStyle name="20% - Accent5 2 3 3" xfId="201"/>
    <cellStyle name="20% - Accent5 2 4" xfId="202"/>
    <cellStyle name="20% - Accent5 2 4 2" xfId="203"/>
    <cellStyle name="20% - Accent5 2 5" xfId="204"/>
    <cellStyle name="20% - Accent5 3" xfId="205"/>
    <cellStyle name="20% - Accent5 3 2" xfId="206"/>
    <cellStyle name="20% - Accent5 3 2 2" xfId="207"/>
    <cellStyle name="20% - Accent5 3 2 2 2" xfId="208"/>
    <cellStyle name="20% - Accent5 3 2 2 2 2" xfId="209"/>
    <cellStyle name="20% - Accent5 3 2 2 3" xfId="210"/>
    <cellStyle name="20% - Accent5 3 2 3" xfId="211"/>
    <cellStyle name="20% - Accent5 3 2 3 2" xfId="212"/>
    <cellStyle name="20% - Accent5 3 2 4" xfId="213"/>
    <cellStyle name="20% - Accent5 3 3" xfId="214"/>
    <cellStyle name="20% - Accent5 3 3 2" xfId="215"/>
    <cellStyle name="20% - Accent5 3 3 2 2" xfId="216"/>
    <cellStyle name="20% - Accent5 3 3 3" xfId="217"/>
    <cellStyle name="20% - Accent5 3 4" xfId="218"/>
    <cellStyle name="20% - Accent5 3 4 2" xfId="219"/>
    <cellStyle name="20% - Accent5 3 5" xfId="220"/>
    <cellStyle name="20% - Accent5 4" xfId="221"/>
    <cellStyle name="20% - Accent5 4 2" xfId="222"/>
    <cellStyle name="20% - Accent5 4 2 2" xfId="223"/>
    <cellStyle name="20% - Accent5 4 2 2 2" xfId="224"/>
    <cellStyle name="20% - Accent5 4 2 3" xfId="225"/>
    <cellStyle name="20% - Accent5 4 3" xfId="226"/>
    <cellStyle name="20% - Accent5 4 3 2" xfId="227"/>
    <cellStyle name="20% - Accent5 4 4" xfId="228"/>
    <cellStyle name="20% - Accent5 5" xfId="229"/>
    <cellStyle name="20% - Accent5 5 2" xfId="230"/>
    <cellStyle name="20% - Accent5 5 2 2" xfId="231"/>
    <cellStyle name="20% - Accent5 5 3" xfId="232"/>
    <cellStyle name="20% - Accent5 6" xfId="233"/>
    <cellStyle name="20% - Accent5 6 2" xfId="234"/>
    <cellStyle name="20% - Accent5 7" xfId="235"/>
    <cellStyle name="20% - Accent6 2" xfId="236"/>
    <cellStyle name="20% - Accent6 2 2" xfId="237"/>
    <cellStyle name="20% - Accent6 2 2 2" xfId="238"/>
    <cellStyle name="20% - Accent6 2 2 2 2" xfId="239"/>
    <cellStyle name="20% - Accent6 2 2 2 2 2" xfId="240"/>
    <cellStyle name="20% - Accent6 2 2 2 3" xfId="241"/>
    <cellStyle name="20% - Accent6 2 2 3" xfId="242"/>
    <cellStyle name="20% - Accent6 2 2 3 2" xfId="243"/>
    <cellStyle name="20% - Accent6 2 2 4" xfId="244"/>
    <cellStyle name="20% - Accent6 2 3" xfId="245"/>
    <cellStyle name="20% - Accent6 2 3 2" xfId="246"/>
    <cellStyle name="20% - Accent6 2 3 2 2" xfId="247"/>
    <cellStyle name="20% - Accent6 2 3 3" xfId="248"/>
    <cellStyle name="20% - Accent6 2 4" xfId="249"/>
    <cellStyle name="20% - Accent6 2 4 2" xfId="250"/>
    <cellStyle name="20% - Accent6 2 5" xfId="251"/>
    <cellStyle name="20% - Accent6 3" xfId="252"/>
    <cellStyle name="20% - Accent6 3 2" xfId="253"/>
    <cellStyle name="20% - Accent6 3 2 2" xfId="254"/>
    <cellStyle name="20% - Accent6 3 2 2 2" xfId="255"/>
    <cellStyle name="20% - Accent6 3 2 2 2 2" xfId="256"/>
    <cellStyle name="20% - Accent6 3 2 2 3" xfId="257"/>
    <cellStyle name="20% - Accent6 3 2 3" xfId="258"/>
    <cellStyle name="20% - Accent6 3 2 3 2" xfId="259"/>
    <cellStyle name="20% - Accent6 3 2 4" xfId="260"/>
    <cellStyle name="20% - Accent6 3 3" xfId="261"/>
    <cellStyle name="20% - Accent6 3 3 2" xfId="262"/>
    <cellStyle name="20% - Accent6 3 3 2 2" xfId="263"/>
    <cellStyle name="20% - Accent6 3 3 3" xfId="264"/>
    <cellStyle name="20% - Accent6 3 4" xfId="265"/>
    <cellStyle name="20% - Accent6 3 4 2" xfId="266"/>
    <cellStyle name="20% - Accent6 3 5" xfId="267"/>
    <cellStyle name="20% - Accent6 4" xfId="268"/>
    <cellStyle name="20% - Accent6 4 2" xfId="269"/>
    <cellStyle name="20% - Accent6 4 2 2" xfId="270"/>
    <cellStyle name="20% - Accent6 4 2 2 2" xfId="271"/>
    <cellStyle name="20% - Accent6 4 2 3" xfId="272"/>
    <cellStyle name="20% - Accent6 4 3" xfId="273"/>
    <cellStyle name="20% - Accent6 4 3 2" xfId="274"/>
    <cellStyle name="20% - Accent6 4 4" xfId="275"/>
    <cellStyle name="20% - Accent6 5" xfId="276"/>
    <cellStyle name="20% - Accent6 5 2" xfId="277"/>
    <cellStyle name="20% - Accent6 5 2 2" xfId="278"/>
    <cellStyle name="20% - Accent6 5 3" xfId="279"/>
    <cellStyle name="20% - Accent6 6" xfId="280"/>
    <cellStyle name="20% - Accent6 6 2" xfId="281"/>
    <cellStyle name="20% - Accent6 7" xfId="282"/>
    <cellStyle name="40% - Accent1 2" xfId="283"/>
    <cellStyle name="40% - Accent1 2 2" xfId="284"/>
    <cellStyle name="40% - Accent1 2 2 2" xfId="285"/>
    <cellStyle name="40% - Accent1 2 2 2 2" xfId="286"/>
    <cellStyle name="40% - Accent1 2 2 2 2 2" xfId="287"/>
    <cellStyle name="40% - Accent1 2 2 2 3" xfId="288"/>
    <cellStyle name="40% - Accent1 2 2 3" xfId="289"/>
    <cellStyle name="40% - Accent1 2 2 3 2" xfId="290"/>
    <cellStyle name="40% - Accent1 2 2 4" xfId="291"/>
    <cellStyle name="40% - Accent1 2 3" xfId="292"/>
    <cellStyle name="40% - Accent1 2 3 2" xfId="293"/>
    <cellStyle name="40% - Accent1 2 3 2 2" xfId="294"/>
    <cellStyle name="40% - Accent1 2 3 3" xfId="295"/>
    <cellStyle name="40% - Accent1 2 4" xfId="296"/>
    <cellStyle name="40% - Accent1 2 4 2" xfId="297"/>
    <cellStyle name="40% - Accent1 2 5" xfId="298"/>
    <cellStyle name="40% - Accent1 3" xfId="299"/>
    <cellStyle name="40% - Accent1 3 2" xfId="300"/>
    <cellStyle name="40% - Accent1 3 2 2" xfId="301"/>
    <cellStyle name="40% - Accent1 3 2 2 2" xfId="302"/>
    <cellStyle name="40% - Accent1 3 2 2 2 2" xfId="303"/>
    <cellStyle name="40% - Accent1 3 2 2 3" xfId="304"/>
    <cellStyle name="40% - Accent1 3 2 3" xfId="305"/>
    <cellStyle name="40% - Accent1 3 2 3 2" xfId="306"/>
    <cellStyle name="40% - Accent1 3 2 4" xfId="307"/>
    <cellStyle name="40% - Accent1 3 3" xfId="308"/>
    <cellStyle name="40% - Accent1 3 3 2" xfId="309"/>
    <cellStyle name="40% - Accent1 3 3 2 2" xfId="310"/>
    <cellStyle name="40% - Accent1 3 3 3" xfId="311"/>
    <cellStyle name="40% - Accent1 3 4" xfId="312"/>
    <cellStyle name="40% - Accent1 3 4 2" xfId="313"/>
    <cellStyle name="40% - Accent1 3 5" xfId="314"/>
    <cellStyle name="40% - Accent1 4" xfId="315"/>
    <cellStyle name="40% - Accent1 4 2" xfId="316"/>
    <cellStyle name="40% - Accent1 4 2 2" xfId="317"/>
    <cellStyle name="40% - Accent1 4 2 2 2" xfId="318"/>
    <cellStyle name="40% - Accent1 4 2 3" xfId="319"/>
    <cellStyle name="40% - Accent1 4 3" xfId="320"/>
    <cellStyle name="40% - Accent1 4 3 2" xfId="321"/>
    <cellStyle name="40% - Accent1 4 4" xfId="322"/>
    <cellStyle name="40% - Accent1 5" xfId="323"/>
    <cellStyle name="40% - Accent1 5 2" xfId="324"/>
    <cellStyle name="40% - Accent1 5 2 2" xfId="325"/>
    <cellStyle name="40% - Accent1 5 3" xfId="326"/>
    <cellStyle name="40% - Accent1 6" xfId="327"/>
    <cellStyle name="40% - Accent1 6 2" xfId="328"/>
    <cellStyle name="40% - Accent1 7" xfId="329"/>
    <cellStyle name="40% - Accent2 2" xfId="330"/>
    <cellStyle name="40% - Accent2 2 2" xfId="331"/>
    <cellStyle name="40% - Accent2 2 2 2" xfId="332"/>
    <cellStyle name="40% - Accent2 2 2 2 2" xfId="333"/>
    <cellStyle name="40% - Accent2 2 2 2 2 2" xfId="334"/>
    <cellStyle name="40% - Accent2 2 2 2 3" xfId="335"/>
    <cellStyle name="40% - Accent2 2 2 3" xfId="336"/>
    <cellStyle name="40% - Accent2 2 2 3 2" xfId="337"/>
    <cellStyle name="40% - Accent2 2 2 4" xfId="338"/>
    <cellStyle name="40% - Accent2 2 3" xfId="339"/>
    <cellStyle name="40% - Accent2 2 3 2" xfId="340"/>
    <cellStyle name="40% - Accent2 2 3 2 2" xfId="341"/>
    <cellStyle name="40% - Accent2 2 3 3" xfId="342"/>
    <cellStyle name="40% - Accent2 2 4" xfId="343"/>
    <cellStyle name="40% - Accent2 2 4 2" xfId="344"/>
    <cellStyle name="40% - Accent2 2 5" xfId="345"/>
    <cellStyle name="40% - Accent2 3" xfId="346"/>
    <cellStyle name="40% - Accent2 3 2" xfId="347"/>
    <cellStyle name="40% - Accent2 3 2 2" xfId="348"/>
    <cellStyle name="40% - Accent2 3 2 2 2" xfId="349"/>
    <cellStyle name="40% - Accent2 3 2 2 2 2" xfId="350"/>
    <cellStyle name="40% - Accent2 3 2 2 3" xfId="351"/>
    <cellStyle name="40% - Accent2 3 2 3" xfId="352"/>
    <cellStyle name="40% - Accent2 3 2 3 2" xfId="353"/>
    <cellStyle name="40% - Accent2 3 2 4" xfId="354"/>
    <cellStyle name="40% - Accent2 3 3" xfId="355"/>
    <cellStyle name="40% - Accent2 3 3 2" xfId="356"/>
    <cellStyle name="40% - Accent2 3 3 2 2" xfId="357"/>
    <cellStyle name="40% - Accent2 3 3 3" xfId="358"/>
    <cellStyle name="40% - Accent2 3 4" xfId="359"/>
    <cellStyle name="40% - Accent2 3 4 2" xfId="360"/>
    <cellStyle name="40% - Accent2 3 5" xfId="361"/>
    <cellStyle name="40% - Accent2 4" xfId="362"/>
    <cellStyle name="40% - Accent2 4 2" xfId="363"/>
    <cellStyle name="40% - Accent2 4 2 2" xfId="364"/>
    <cellStyle name="40% - Accent2 4 2 2 2" xfId="365"/>
    <cellStyle name="40% - Accent2 4 2 3" xfId="366"/>
    <cellStyle name="40% - Accent2 4 3" xfId="367"/>
    <cellStyle name="40% - Accent2 4 3 2" xfId="368"/>
    <cellStyle name="40% - Accent2 4 4" xfId="369"/>
    <cellStyle name="40% - Accent2 5" xfId="370"/>
    <cellStyle name="40% - Accent2 5 2" xfId="371"/>
    <cellStyle name="40% - Accent2 5 2 2" xfId="372"/>
    <cellStyle name="40% - Accent2 5 3" xfId="373"/>
    <cellStyle name="40% - Accent2 6" xfId="374"/>
    <cellStyle name="40% - Accent2 6 2" xfId="375"/>
    <cellStyle name="40% - Accent2 7" xfId="376"/>
    <cellStyle name="40% - Accent3 2" xfId="377"/>
    <cellStyle name="40% - Accent3 2 2" xfId="378"/>
    <cellStyle name="40% - Accent3 2 2 2" xfId="379"/>
    <cellStyle name="40% - Accent3 2 2 2 2" xfId="380"/>
    <cellStyle name="40% - Accent3 2 2 2 2 2" xfId="381"/>
    <cellStyle name="40% - Accent3 2 2 2 3" xfId="382"/>
    <cellStyle name="40% - Accent3 2 2 3" xfId="383"/>
    <cellStyle name="40% - Accent3 2 2 3 2" xfId="384"/>
    <cellStyle name="40% - Accent3 2 2 4" xfId="385"/>
    <cellStyle name="40% - Accent3 2 3" xfId="386"/>
    <cellStyle name="40% - Accent3 2 3 2" xfId="387"/>
    <cellStyle name="40% - Accent3 2 3 2 2" xfId="388"/>
    <cellStyle name="40% - Accent3 2 3 3" xfId="389"/>
    <cellStyle name="40% - Accent3 2 4" xfId="390"/>
    <cellStyle name="40% - Accent3 2 4 2" xfId="391"/>
    <cellStyle name="40% - Accent3 2 5" xfId="392"/>
    <cellStyle name="40% - Accent3 3" xfId="393"/>
    <cellStyle name="40% - Accent3 3 2" xfId="394"/>
    <cellStyle name="40% - Accent3 3 2 2" xfId="395"/>
    <cellStyle name="40% - Accent3 3 2 2 2" xfId="396"/>
    <cellStyle name="40% - Accent3 3 2 2 2 2" xfId="397"/>
    <cellStyle name="40% - Accent3 3 2 2 3" xfId="398"/>
    <cellStyle name="40% - Accent3 3 2 3" xfId="399"/>
    <cellStyle name="40% - Accent3 3 2 3 2" xfId="400"/>
    <cellStyle name="40% - Accent3 3 2 4" xfId="401"/>
    <cellStyle name="40% - Accent3 3 3" xfId="402"/>
    <cellStyle name="40% - Accent3 3 3 2" xfId="403"/>
    <cellStyle name="40% - Accent3 3 3 2 2" xfId="404"/>
    <cellStyle name="40% - Accent3 3 3 3" xfId="405"/>
    <cellStyle name="40% - Accent3 3 4" xfId="406"/>
    <cellStyle name="40% - Accent3 3 4 2" xfId="407"/>
    <cellStyle name="40% - Accent3 3 5" xfId="408"/>
    <cellStyle name="40% - Accent3 4" xfId="409"/>
    <cellStyle name="40% - Accent3 4 2" xfId="410"/>
    <cellStyle name="40% - Accent3 4 2 2" xfId="411"/>
    <cellStyle name="40% - Accent3 4 2 2 2" xfId="412"/>
    <cellStyle name="40% - Accent3 4 2 3" xfId="413"/>
    <cellStyle name="40% - Accent3 4 3" xfId="414"/>
    <cellStyle name="40% - Accent3 4 3 2" xfId="415"/>
    <cellStyle name="40% - Accent3 4 4" xfId="416"/>
    <cellStyle name="40% - Accent3 5" xfId="417"/>
    <cellStyle name="40% - Accent3 5 2" xfId="418"/>
    <cellStyle name="40% - Accent3 5 2 2" xfId="419"/>
    <cellStyle name="40% - Accent3 5 3" xfId="420"/>
    <cellStyle name="40% - Accent3 6" xfId="421"/>
    <cellStyle name="40% - Accent3 6 2" xfId="422"/>
    <cellStyle name="40% - Accent3 7" xfId="423"/>
    <cellStyle name="40% - Accent4 2" xfId="424"/>
    <cellStyle name="40% - Accent4 2 2" xfId="425"/>
    <cellStyle name="40% - Accent4 2 2 2" xfId="426"/>
    <cellStyle name="40% - Accent4 2 2 2 2" xfId="427"/>
    <cellStyle name="40% - Accent4 2 2 2 2 2" xfId="428"/>
    <cellStyle name="40% - Accent4 2 2 2 3" xfId="429"/>
    <cellStyle name="40% - Accent4 2 2 3" xfId="430"/>
    <cellStyle name="40% - Accent4 2 2 3 2" xfId="431"/>
    <cellStyle name="40% - Accent4 2 2 4" xfId="432"/>
    <cellStyle name="40% - Accent4 2 3" xfId="433"/>
    <cellStyle name="40% - Accent4 2 3 2" xfId="434"/>
    <cellStyle name="40% - Accent4 2 3 2 2" xfId="435"/>
    <cellStyle name="40% - Accent4 2 3 3" xfId="436"/>
    <cellStyle name="40% - Accent4 2 4" xfId="437"/>
    <cellStyle name="40% - Accent4 2 4 2" xfId="438"/>
    <cellStyle name="40% - Accent4 2 5" xfId="439"/>
    <cellStyle name="40% - Accent4 3" xfId="440"/>
    <cellStyle name="40% - Accent4 3 2" xfId="441"/>
    <cellStyle name="40% - Accent4 3 2 2" xfId="442"/>
    <cellStyle name="40% - Accent4 3 2 2 2" xfId="443"/>
    <cellStyle name="40% - Accent4 3 2 2 2 2" xfId="444"/>
    <cellStyle name="40% - Accent4 3 2 2 3" xfId="445"/>
    <cellStyle name="40% - Accent4 3 2 3" xfId="446"/>
    <cellStyle name="40% - Accent4 3 2 3 2" xfId="447"/>
    <cellStyle name="40% - Accent4 3 2 4" xfId="448"/>
    <cellStyle name="40% - Accent4 3 3" xfId="449"/>
    <cellStyle name="40% - Accent4 3 3 2" xfId="450"/>
    <cellStyle name="40% - Accent4 3 3 2 2" xfId="451"/>
    <cellStyle name="40% - Accent4 3 3 3" xfId="452"/>
    <cellStyle name="40% - Accent4 3 4" xfId="453"/>
    <cellStyle name="40% - Accent4 3 4 2" xfId="454"/>
    <cellStyle name="40% - Accent4 3 5" xfId="455"/>
    <cellStyle name="40% - Accent4 4" xfId="456"/>
    <cellStyle name="40% - Accent4 4 2" xfId="457"/>
    <cellStyle name="40% - Accent4 4 2 2" xfId="458"/>
    <cellStyle name="40% - Accent4 4 2 2 2" xfId="459"/>
    <cellStyle name="40% - Accent4 4 2 3" xfId="460"/>
    <cellStyle name="40% - Accent4 4 3" xfId="461"/>
    <cellStyle name="40% - Accent4 4 3 2" xfId="462"/>
    <cellStyle name="40% - Accent4 4 4" xfId="463"/>
    <cellStyle name="40% - Accent4 5" xfId="464"/>
    <cellStyle name="40% - Accent4 5 2" xfId="465"/>
    <cellStyle name="40% - Accent4 5 2 2" xfId="466"/>
    <cellStyle name="40% - Accent4 5 3" xfId="467"/>
    <cellStyle name="40% - Accent4 6" xfId="468"/>
    <cellStyle name="40% - Accent4 6 2" xfId="469"/>
    <cellStyle name="40% - Accent4 7" xfId="470"/>
    <cellStyle name="40% - Accent5 2" xfId="471"/>
    <cellStyle name="40% - Accent5 2 2" xfId="472"/>
    <cellStyle name="40% - Accent5 2 2 2" xfId="473"/>
    <cellStyle name="40% - Accent5 2 2 2 2" xfId="474"/>
    <cellStyle name="40% - Accent5 2 2 2 2 2" xfId="475"/>
    <cellStyle name="40% - Accent5 2 2 2 3" xfId="476"/>
    <cellStyle name="40% - Accent5 2 2 3" xfId="477"/>
    <cellStyle name="40% - Accent5 2 2 3 2" xfId="478"/>
    <cellStyle name="40% - Accent5 2 2 4" xfId="479"/>
    <cellStyle name="40% - Accent5 2 3" xfId="480"/>
    <cellStyle name="40% - Accent5 2 3 2" xfId="481"/>
    <cellStyle name="40% - Accent5 2 3 2 2" xfId="482"/>
    <cellStyle name="40% - Accent5 2 3 3" xfId="483"/>
    <cellStyle name="40% - Accent5 2 4" xfId="484"/>
    <cellStyle name="40% - Accent5 2 4 2" xfId="485"/>
    <cellStyle name="40% - Accent5 2 5" xfId="486"/>
    <cellStyle name="40% - Accent5 3" xfId="487"/>
    <cellStyle name="40% - Accent5 3 2" xfId="488"/>
    <cellStyle name="40% - Accent5 3 2 2" xfId="489"/>
    <cellStyle name="40% - Accent5 3 2 2 2" xfId="490"/>
    <cellStyle name="40% - Accent5 3 2 2 2 2" xfId="491"/>
    <cellStyle name="40% - Accent5 3 2 2 3" xfId="492"/>
    <cellStyle name="40% - Accent5 3 2 3" xfId="493"/>
    <cellStyle name="40% - Accent5 3 2 3 2" xfId="494"/>
    <cellStyle name="40% - Accent5 3 2 4" xfId="495"/>
    <cellStyle name="40% - Accent5 3 3" xfId="496"/>
    <cellStyle name="40% - Accent5 3 3 2" xfId="497"/>
    <cellStyle name="40% - Accent5 3 3 2 2" xfId="498"/>
    <cellStyle name="40% - Accent5 3 3 3" xfId="499"/>
    <cellStyle name="40% - Accent5 3 4" xfId="500"/>
    <cellStyle name="40% - Accent5 3 4 2" xfId="501"/>
    <cellStyle name="40% - Accent5 3 5" xfId="502"/>
    <cellStyle name="40% - Accent5 4" xfId="503"/>
    <cellStyle name="40% - Accent5 4 2" xfId="504"/>
    <cellStyle name="40% - Accent5 4 2 2" xfId="505"/>
    <cellStyle name="40% - Accent5 4 2 2 2" xfId="506"/>
    <cellStyle name="40% - Accent5 4 2 3" xfId="507"/>
    <cellStyle name="40% - Accent5 4 3" xfId="508"/>
    <cellStyle name="40% - Accent5 4 3 2" xfId="509"/>
    <cellStyle name="40% - Accent5 4 4" xfId="510"/>
    <cellStyle name="40% - Accent5 5" xfId="511"/>
    <cellStyle name="40% - Accent5 5 2" xfId="512"/>
    <cellStyle name="40% - Accent5 5 2 2" xfId="513"/>
    <cellStyle name="40% - Accent5 5 3" xfId="514"/>
    <cellStyle name="40% - Accent5 6" xfId="515"/>
    <cellStyle name="40% - Accent5 6 2" xfId="516"/>
    <cellStyle name="40% - Accent5 7" xfId="517"/>
    <cellStyle name="40% - Accent6 2" xfId="518"/>
    <cellStyle name="40% - Accent6 2 2" xfId="519"/>
    <cellStyle name="40% - Accent6 2 2 2" xfId="520"/>
    <cellStyle name="40% - Accent6 2 2 2 2" xfId="521"/>
    <cellStyle name="40% - Accent6 2 2 2 2 2" xfId="522"/>
    <cellStyle name="40% - Accent6 2 2 2 3" xfId="523"/>
    <cellStyle name="40% - Accent6 2 2 3" xfId="524"/>
    <cellStyle name="40% - Accent6 2 2 3 2" xfId="525"/>
    <cellStyle name="40% - Accent6 2 2 4" xfId="526"/>
    <cellStyle name="40% - Accent6 2 3" xfId="527"/>
    <cellStyle name="40% - Accent6 2 3 2" xfId="528"/>
    <cellStyle name="40% - Accent6 2 3 2 2" xfId="529"/>
    <cellStyle name="40% - Accent6 2 3 3" xfId="530"/>
    <cellStyle name="40% - Accent6 2 4" xfId="531"/>
    <cellStyle name="40% - Accent6 2 4 2" xfId="532"/>
    <cellStyle name="40% - Accent6 2 5" xfId="533"/>
    <cellStyle name="40% - Accent6 3" xfId="534"/>
    <cellStyle name="40% - Accent6 3 2" xfId="535"/>
    <cellStyle name="40% - Accent6 3 2 2" xfId="536"/>
    <cellStyle name="40% - Accent6 3 2 2 2" xfId="537"/>
    <cellStyle name="40% - Accent6 3 2 2 2 2" xfId="538"/>
    <cellStyle name="40% - Accent6 3 2 2 3" xfId="539"/>
    <cellStyle name="40% - Accent6 3 2 3" xfId="540"/>
    <cellStyle name="40% - Accent6 3 2 3 2" xfId="541"/>
    <cellStyle name="40% - Accent6 3 2 4" xfId="542"/>
    <cellStyle name="40% - Accent6 3 3" xfId="543"/>
    <cellStyle name="40% - Accent6 3 3 2" xfId="544"/>
    <cellStyle name="40% - Accent6 3 3 2 2" xfId="545"/>
    <cellStyle name="40% - Accent6 3 3 3" xfId="546"/>
    <cellStyle name="40% - Accent6 3 4" xfId="547"/>
    <cellStyle name="40% - Accent6 3 4 2" xfId="548"/>
    <cellStyle name="40% - Accent6 3 5" xfId="549"/>
    <cellStyle name="40% - Accent6 4" xfId="550"/>
    <cellStyle name="40% - Accent6 4 2" xfId="551"/>
    <cellStyle name="40% - Accent6 4 2 2" xfId="552"/>
    <cellStyle name="40% - Accent6 4 2 2 2" xfId="553"/>
    <cellStyle name="40% - Accent6 4 2 3" xfId="554"/>
    <cellStyle name="40% - Accent6 4 3" xfId="555"/>
    <cellStyle name="40% - Accent6 4 3 2" xfId="556"/>
    <cellStyle name="40% - Accent6 4 4" xfId="557"/>
    <cellStyle name="40% - Accent6 5" xfId="558"/>
    <cellStyle name="40% - Accent6 5 2" xfId="559"/>
    <cellStyle name="40% - Accent6 5 2 2" xfId="560"/>
    <cellStyle name="40% - Accent6 5 3" xfId="561"/>
    <cellStyle name="40% - Accent6 6" xfId="562"/>
    <cellStyle name="40% - Accent6 6 2" xfId="563"/>
    <cellStyle name="40% - Accent6 7" xfId="564"/>
    <cellStyle name="Comma" xfId="565" builtinId="3"/>
    <cellStyle name="Comma 2" xfId="566"/>
    <cellStyle name="Comma 2 2" xfId="567"/>
    <cellStyle name="Comma 2 2 2" xfId="568"/>
    <cellStyle name="Comma 2 2 2 2" xfId="569"/>
    <cellStyle name="Comma 2 2 2 2 2" xfId="570"/>
    <cellStyle name="Comma 2 2 2 2 2 2" xfId="611"/>
    <cellStyle name="Comma 2 2 2 2 3" xfId="610"/>
    <cellStyle name="Comma 2 2 2 3" xfId="571"/>
    <cellStyle name="Comma 2 2 2 3 2" xfId="612"/>
    <cellStyle name="Comma 2 2 2 4" xfId="609"/>
    <cellStyle name="Comma 2 2 3" xfId="572"/>
    <cellStyle name="Comma 2 2 3 2" xfId="573"/>
    <cellStyle name="Comma 2 2 3 2 2" xfId="614"/>
    <cellStyle name="Comma 2 2 3 3" xfId="613"/>
    <cellStyle name="Comma 2 2 4" xfId="574"/>
    <cellStyle name="Comma 2 2 4 2" xfId="615"/>
    <cellStyle name="Comma 2 2 5" xfId="608"/>
    <cellStyle name="Comma 2 3" xfId="575"/>
    <cellStyle name="Comma 2 3 2" xfId="576"/>
    <cellStyle name="Comma 2 3 2 2" xfId="577"/>
    <cellStyle name="Comma 2 3 2 2 2" xfId="618"/>
    <cellStyle name="Comma 2 3 2 3" xfId="617"/>
    <cellStyle name="Comma 2 3 3" xfId="578"/>
    <cellStyle name="Comma 2 3 3 2" xfId="619"/>
    <cellStyle name="Comma 2 3 4" xfId="616"/>
    <cellStyle name="Comma 2 4" xfId="579"/>
    <cellStyle name="Comma 2 4 2" xfId="580"/>
    <cellStyle name="Comma 2 4 2 2" xfId="621"/>
    <cellStyle name="Comma 2 4 3" xfId="620"/>
    <cellStyle name="Comma 2 5" xfId="581"/>
    <cellStyle name="Comma 2 5 2" xfId="622"/>
    <cellStyle name="Comma 2 6" xfId="607"/>
    <cellStyle name="Comma 3" xfId="582"/>
    <cellStyle name="Comma 3 2" xfId="583"/>
    <cellStyle name="Comma 3 2 2" xfId="584"/>
    <cellStyle name="Comma 3 2 2 2" xfId="585"/>
    <cellStyle name="Comma 3 2 2 2 2" xfId="626"/>
    <cellStyle name="Comma 3 2 2 3" xfId="625"/>
    <cellStyle name="Comma 3 2 3" xfId="586"/>
    <cellStyle name="Comma 3 2 3 2" xfId="627"/>
    <cellStyle name="Comma 3 2 4" xfId="624"/>
    <cellStyle name="Comma 3 3" xfId="587"/>
    <cellStyle name="Comma 3 3 2" xfId="588"/>
    <cellStyle name="Comma 3 3 2 2" xfId="629"/>
    <cellStyle name="Comma 3 3 3" xfId="628"/>
    <cellStyle name="Comma 3 4" xfId="589"/>
    <cellStyle name="Comma 3 4 2" xfId="630"/>
    <cellStyle name="Comma 3 5" xfId="623"/>
    <cellStyle name="Comma 4" xfId="590"/>
    <cellStyle name="Comma 4 2" xfId="591"/>
    <cellStyle name="Comma 4 2 2" xfId="592"/>
    <cellStyle name="Comma 4 2 2 2" xfId="593"/>
    <cellStyle name="Comma 4 2 2 2 2" xfId="634"/>
    <cellStyle name="Comma 4 2 2 3" xfId="633"/>
    <cellStyle name="Comma 4 2 3" xfId="594"/>
    <cellStyle name="Comma 4 2 3 2" xfId="635"/>
    <cellStyle name="Comma 4 2 4" xfId="632"/>
    <cellStyle name="Comma 4 3" xfId="595"/>
    <cellStyle name="Comma 4 3 2" xfId="596"/>
    <cellStyle name="Comma 4 3 2 2" xfId="637"/>
    <cellStyle name="Comma 4 3 3" xfId="636"/>
    <cellStyle name="Comma 4 4" xfId="597"/>
    <cellStyle name="Comma 4 4 2" xfId="638"/>
    <cellStyle name="Comma 4 5" xfId="631"/>
    <cellStyle name="Comma 5" xfId="598"/>
    <cellStyle name="Comma 5 2" xfId="599"/>
    <cellStyle name="Comma 5 2 2" xfId="640"/>
    <cellStyle name="Comma 5 3" xfId="639"/>
    <cellStyle name="Comma 6" xfId="600"/>
    <cellStyle name="Comma 6 2" xfId="641"/>
    <cellStyle name="Comma 7" xfId="606"/>
    <cellStyle name="Currency" xfId="601" builtinId="4"/>
    <cellStyle name="Currency 2" xfId="602"/>
    <cellStyle name="Good" xfId="603" builtinId="26"/>
    <cellStyle name="Hyperlink" xfId="604" builtinId="8"/>
    <cellStyle name="Normal" xfId="0" builtinId="0"/>
    <cellStyle name="Normal 2" xfId="60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http://site3.way2sms.com/content/index.html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423394</xdr:rowOff>
    </xdr:from>
    <xdr:to>
      <xdr:col>0</xdr:col>
      <xdr:colOff>742950</xdr:colOff>
      <xdr:row>2</xdr:row>
      <xdr:rowOff>30991</xdr:rowOff>
    </xdr:to>
    <xdr:pic>
      <xdr:nvPicPr>
        <xdr:cNvPr id="1038" name="Picture 26" descr="new_logo__acronym_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423394"/>
          <a:ext cx="742950" cy="6743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10</xdr:col>
      <xdr:colOff>9525</xdr:colOff>
      <xdr:row>8</xdr:row>
      <xdr:rowOff>9525</xdr:rowOff>
    </xdr:to>
    <xdr:pic>
      <xdr:nvPicPr>
        <xdr:cNvPr id="2061" name="Picture 1" descr="Yahoo! India">
          <a:extLst>
            <a:ext uri="{FF2B5EF4-FFF2-40B4-BE49-F238E27FC236}">
              <a16:creationId xmlns:a16="http://schemas.microsoft.com/office/drawing/2014/main" id="{00000000-0008-0000-04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286875" y="12573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685800</xdr:colOff>
      <xdr:row>4</xdr:row>
      <xdr:rowOff>19050</xdr:rowOff>
    </xdr:from>
    <xdr:to>
      <xdr:col>9</xdr:col>
      <xdr:colOff>1276350</xdr:colOff>
      <xdr:row>7</xdr:row>
      <xdr:rowOff>152400</xdr:rowOff>
    </xdr:to>
    <xdr:pic>
      <xdr:nvPicPr>
        <xdr:cNvPr id="2062" name="Picture 2" descr="Mobile%252520pho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172450" y="590550"/>
          <a:ext cx="5905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29" name="Line 47">
          <a:extLst>
            <a:ext uri="{FF2B5EF4-FFF2-40B4-BE49-F238E27FC236}">
              <a16:creationId xmlns:a16="http://schemas.microsoft.com/office/drawing/2014/main" id="{00000000-0008-0000-0600-0000C9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30" name="Line 48">
          <a:extLst>
            <a:ext uri="{FF2B5EF4-FFF2-40B4-BE49-F238E27FC236}">
              <a16:creationId xmlns:a16="http://schemas.microsoft.com/office/drawing/2014/main" id="{00000000-0008-0000-0600-0000CA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31" name="Line 53">
          <a:extLst>
            <a:ext uri="{FF2B5EF4-FFF2-40B4-BE49-F238E27FC236}">
              <a16:creationId xmlns:a16="http://schemas.microsoft.com/office/drawing/2014/main" id="{00000000-0008-0000-0600-0000CB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32" name="Line 56">
          <a:extLst>
            <a:ext uri="{FF2B5EF4-FFF2-40B4-BE49-F238E27FC236}">
              <a16:creationId xmlns:a16="http://schemas.microsoft.com/office/drawing/2014/main" id="{00000000-0008-0000-0600-0000CC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33" name="Line 57">
          <a:extLst>
            <a:ext uri="{FF2B5EF4-FFF2-40B4-BE49-F238E27FC236}">
              <a16:creationId xmlns:a16="http://schemas.microsoft.com/office/drawing/2014/main" id="{00000000-0008-0000-0600-0000CD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34" name="Line 59">
          <a:extLst>
            <a:ext uri="{FF2B5EF4-FFF2-40B4-BE49-F238E27FC236}">
              <a16:creationId xmlns:a16="http://schemas.microsoft.com/office/drawing/2014/main" id="{00000000-0008-0000-0600-0000CE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35" name="Line 76">
          <a:extLst>
            <a:ext uri="{FF2B5EF4-FFF2-40B4-BE49-F238E27FC236}">
              <a16:creationId xmlns:a16="http://schemas.microsoft.com/office/drawing/2014/main" id="{00000000-0008-0000-0600-0000CF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36" name="Line 77">
          <a:extLst>
            <a:ext uri="{FF2B5EF4-FFF2-40B4-BE49-F238E27FC236}">
              <a16:creationId xmlns:a16="http://schemas.microsoft.com/office/drawing/2014/main" id="{00000000-0008-0000-0600-0000D0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37" name="Line 78">
          <a:extLst>
            <a:ext uri="{FF2B5EF4-FFF2-40B4-BE49-F238E27FC236}">
              <a16:creationId xmlns:a16="http://schemas.microsoft.com/office/drawing/2014/main" id="{00000000-0008-0000-0600-0000D1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63</xdr:col>
      <xdr:colOff>400050</xdr:colOff>
      <xdr:row>13</xdr:row>
      <xdr:rowOff>28575</xdr:rowOff>
    </xdr:from>
    <xdr:to>
      <xdr:col>63</xdr:col>
      <xdr:colOff>419100</xdr:colOff>
      <xdr:row>24</xdr:row>
      <xdr:rowOff>219075</xdr:rowOff>
    </xdr:to>
    <xdr:sp macro="" textlink="">
      <xdr:nvSpPr>
        <xdr:cNvPr id="3538" name="Line 81">
          <a:extLst>
            <a:ext uri="{FF2B5EF4-FFF2-40B4-BE49-F238E27FC236}">
              <a16:creationId xmlns:a16="http://schemas.microsoft.com/office/drawing/2014/main" id="{00000000-0008-0000-0600-0000D20D0000}"/>
            </a:ext>
          </a:extLst>
        </xdr:cNvPr>
        <xdr:cNvSpPr>
          <a:spLocks noChangeShapeType="1"/>
        </xdr:cNvSpPr>
      </xdr:nvSpPr>
      <xdr:spPr bwMode="auto">
        <a:xfrm flipH="1">
          <a:off x="53911500" y="3429000"/>
          <a:ext cx="19050" cy="2971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39" name="Line 83">
          <a:extLst>
            <a:ext uri="{FF2B5EF4-FFF2-40B4-BE49-F238E27FC236}">
              <a16:creationId xmlns:a16="http://schemas.microsoft.com/office/drawing/2014/main" id="{00000000-0008-0000-0600-0000D3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40" name="Line 86">
          <a:extLst>
            <a:ext uri="{FF2B5EF4-FFF2-40B4-BE49-F238E27FC236}">
              <a16:creationId xmlns:a16="http://schemas.microsoft.com/office/drawing/2014/main" id="{00000000-0008-0000-0600-0000D4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41" name="Line 87">
          <a:extLst>
            <a:ext uri="{FF2B5EF4-FFF2-40B4-BE49-F238E27FC236}">
              <a16:creationId xmlns:a16="http://schemas.microsoft.com/office/drawing/2014/main" id="{00000000-0008-0000-0600-0000D5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42" name="Line 88">
          <a:extLst>
            <a:ext uri="{FF2B5EF4-FFF2-40B4-BE49-F238E27FC236}">
              <a16:creationId xmlns:a16="http://schemas.microsoft.com/office/drawing/2014/main" id="{00000000-0008-0000-0600-0000D6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43" name="Line 92">
          <a:extLst>
            <a:ext uri="{FF2B5EF4-FFF2-40B4-BE49-F238E27FC236}">
              <a16:creationId xmlns:a16="http://schemas.microsoft.com/office/drawing/2014/main" id="{00000000-0008-0000-0600-0000D7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44" name="Line 93">
          <a:extLst>
            <a:ext uri="{FF2B5EF4-FFF2-40B4-BE49-F238E27FC236}">
              <a16:creationId xmlns:a16="http://schemas.microsoft.com/office/drawing/2014/main" id="{00000000-0008-0000-0600-0000D8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45" name="Line 94">
          <a:extLst>
            <a:ext uri="{FF2B5EF4-FFF2-40B4-BE49-F238E27FC236}">
              <a16:creationId xmlns:a16="http://schemas.microsoft.com/office/drawing/2014/main" id="{00000000-0008-0000-0600-0000D9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46" name="Line 103">
          <a:extLst>
            <a:ext uri="{FF2B5EF4-FFF2-40B4-BE49-F238E27FC236}">
              <a16:creationId xmlns:a16="http://schemas.microsoft.com/office/drawing/2014/main" id="{00000000-0008-0000-0600-0000DA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47" name="Line 105">
          <a:extLst>
            <a:ext uri="{FF2B5EF4-FFF2-40B4-BE49-F238E27FC236}">
              <a16:creationId xmlns:a16="http://schemas.microsoft.com/office/drawing/2014/main" id="{00000000-0008-0000-0600-0000DB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48" name="Line 106">
          <a:extLst>
            <a:ext uri="{FF2B5EF4-FFF2-40B4-BE49-F238E27FC236}">
              <a16:creationId xmlns:a16="http://schemas.microsoft.com/office/drawing/2014/main" id="{00000000-0008-0000-0600-0000DC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49" name="Line 107">
          <a:extLst>
            <a:ext uri="{FF2B5EF4-FFF2-40B4-BE49-F238E27FC236}">
              <a16:creationId xmlns:a16="http://schemas.microsoft.com/office/drawing/2014/main" id="{00000000-0008-0000-0600-0000DD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50" name="Line 108">
          <a:extLst>
            <a:ext uri="{FF2B5EF4-FFF2-40B4-BE49-F238E27FC236}">
              <a16:creationId xmlns:a16="http://schemas.microsoft.com/office/drawing/2014/main" id="{00000000-0008-0000-0600-0000DE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51" name="Line 113">
          <a:extLst>
            <a:ext uri="{FF2B5EF4-FFF2-40B4-BE49-F238E27FC236}">
              <a16:creationId xmlns:a16="http://schemas.microsoft.com/office/drawing/2014/main" id="{00000000-0008-0000-0600-0000DF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52" name="Line 114">
          <a:extLst>
            <a:ext uri="{FF2B5EF4-FFF2-40B4-BE49-F238E27FC236}">
              <a16:creationId xmlns:a16="http://schemas.microsoft.com/office/drawing/2014/main" id="{00000000-0008-0000-0600-0000E0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53" name="Line 115">
          <a:extLst>
            <a:ext uri="{FF2B5EF4-FFF2-40B4-BE49-F238E27FC236}">
              <a16:creationId xmlns:a16="http://schemas.microsoft.com/office/drawing/2014/main" id="{00000000-0008-0000-0600-0000E1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152400</xdr:colOff>
      <xdr:row>0</xdr:row>
      <xdr:rowOff>0</xdr:rowOff>
    </xdr:from>
    <xdr:to>
      <xdr:col>0</xdr:col>
      <xdr:colOff>619125</xdr:colOff>
      <xdr:row>1</xdr:row>
      <xdr:rowOff>180975</xdr:rowOff>
    </xdr:to>
    <xdr:pic>
      <xdr:nvPicPr>
        <xdr:cNvPr id="3554" name="Picture 26" descr="new_logo__acronym_">
          <a:extLst>
            <a:ext uri="{FF2B5EF4-FFF2-40B4-BE49-F238E27FC236}">
              <a16:creationId xmlns:a16="http://schemas.microsoft.com/office/drawing/2014/main" id="{00000000-0008-0000-0600-0000E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52400" y="0"/>
          <a:ext cx="4667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55" name="Line 47">
          <a:extLst>
            <a:ext uri="{FF2B5EF4-FFF2-40B4-BE49-F238E27FC236}">
              <a16:creationId xmlns:a16="http://schemas.microsoft.com/office/drawing/2014/main" id="{00000000-0008-0000-0600-0000E3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56" name="Line 48">
          <a:extLst>
            <a:ext uri="{FF2B5EF4-FFF2-40B4-BE49-F238E27FC236}">
              <a16:creationId xmlns:a16="http://schemas.microsoft.com/office/drawing/2014/main" id="{00000000-0008-0000-0600-0000E4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57" name="Line 53">
          <a:extLst>
            <a:ext uri="{FF2B5EF4-FFF2-40B4-BE49-F238E27FC236}">
              <a16:creationId xmlns:a16="http://schemas.microsoft.com/office/drawing/2014/main" id="{00000000-0008-0000-0600-0000E5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58" name="Line 56">
          <a:extLst>
            <a:ext uri="{FF2B5EF4-FFF2-40B4-BE49-F238E27FC236}">
              <a16:creationId xmlns:a16="http://schemas.microsoft.com/office/drawing/2014/main" id="{00000000-0008-0000-0600-0000E6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59" name="Line 57">
          <a:extLst>
            <a:ext uri="{FF2B5EF4-FFF2-40B4-BE49-F238E27FC236}">
              <a16:creationId xmlns:a16="http://schemas.microsoft.com/office/drawing/2014/main" id="{00000000-0008-0000-0600-0000E7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60" name="Line 59">
          <a:extLst>
            <a:ext uri="{FF2B5EF4-FFF2-40B4-BE49-F238E27FC236}">
              <a16:creationId xmlns:a16="http://schemas.microsoft.com/office/drawing/2014/main" id="{00000000-0008-0000-0600-0000E8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61" name="Line 76">
          <a:extLst>
            <a:ext uri="{FF2B5EF4-FFF2-40B4-BE49-F238E27FC236}">
              <a16:creationId xmlns:a16="http://schemas.microsoft.com/office/drawing/2014/main" id="{00000000-0008-0000-0600-0000E9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62" name="Line 77">
          <a:extLst>
            <a:ext uri="{FF2B5EF4-FFF2-40B4-BE49-F238E27FC236}">
              <a16:creationId xmlns:a16="http://schemas.microsoft.com/office/drawing/2014/main" id="{00000000-0008-0000-0600-0000EA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63" name="Line 78">
          <a:extLst>
            <a:ext uri="{FF2B5EF4-FFF2-40B4-BE49-F238E27FC236}">
              <a16:creationId xmlns:a16="http://schemas.microsoft.com/office/drawing/2014/main" id="{00000000-0008-0000-0600-0000EB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64" name="Line 83">
          <a:extLst>
            <a:ext uri="{FF2B5EF4-FFF2-40B4-BE49-F238E27FC236}">
              <a16:creationId xmlns:a16="http://schemas.microsoft.com/office/drawing/2014/main" id="{00000000-0008-0000-0600-0000EC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65" name="Line 86">
          <a:extLst>
            <a:ext uri="{FF2B5EF4-FFF2-40B4-BE49-F238E27FC236}">
              <a16:creationId xmlns:a16="http://schemas.microsoft.com/office/drawing/2014/main" id="{00000000-0008-0000-0600-0000ED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66" name="Line 87">
          <a:extLst>
            <a:ext uri="{FF2B5EF4-FFF2-40B4-BE49-F238E27FC236}">
              <a16:creationId xmlns:a16="http://schemas.microsoft.com/office/drawing/2014/main" id="{00000000-0008-0000-0600-0000EE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67" name="Line 88">
          <a:extLst>
            <a:ext uri="{FF2B5EF4-FFF2-40B4-BE49-F238E27FC236}">
              <a16:creationId xmlns:a16="http://schemas.microsoft.com/office/drawing/2014/main" id="{00000000-0008-0000-0600-0000EF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68" name="Line 92">
          <a:extLst>
            <a:ext uri="{FF2B5EF4-FFF2-40B4-BE49-F238E27FC236}">
              <a16:creationId xmlns:a16="http://schemas.microsoft.com/office/drawing/2014/main" id="{00000000-0008-0000-0600-0000F0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69" name="Line 93">
          <a:extLst>
            <a:ext uri="{FF2B5EF4-FFF2-40B4-BE49-F238E27FC236}">
              <a16:creationId xmlns:a16="http://schemas.microsoft.com/office/drawing/2014/main" id="{00000000-0008-0000-0600-0000F1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70" name="Line 94">
          <a:extLst>
            <a:ext uri="{FF2B5EF4-FFF2-40B4-BE49-F238E27FC236}">
              <a16:creationId xmlns:a16="http://schemas.microsoft.com/office/drawing/2014/main" id="{00000000-0008-0000-0600-0000F2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71" name="Line 103">
          <a:extLst>
            <a:ext uri="{FF2B5EF4-FFF2-40B4-BE49-F238E27FC236}">
              <a16:creationId xmlns:a16="http://schemas.microsoft.com/office/drawing/2014/main" id="{00000000-0008-0000-0600-0000F3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72" name="Line 105">
          <a:extLst>
            <a:ext uri="{FF2B5EF4-FFF2-40B4-BE49-F238E27FC236}">
              <a16:creationId xmlns:a16="http://schemas.microsoft.com/office/drawing/2014/main" id="{00000000-0008-0000-0600-0000F4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73" name="Line 106">
          <a:extLst>
            <a:ext uri="{FF2B5EF4-FFF2-40B4-BE49-F238E27FC236}">
              <a16:creationId xmlns:a16="http://schemas.microsoft.com/office/drawing/2014/main" id="{00000000-0008-0000-0600-0000F5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74" name="Line 107">
          <a:extLst>
            <a:ext uri="{FF2B5EF4-FFF2-40B4-BE49-F238E27FC236}">
              <a16:creationId xmlns:a16="http://schemas.microsoft.com/office/drawing/2014/main" id="{00000000-0008-0000-0600-0000F6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75" name="Line 108">
          <a:extLst>
            <a:ext uri="{FF2B5EF4-FFF2-40B4-BE49-F238E27FC236}">
              <a16:creationId xmlns:a16="http://schemas.microsoft.com/office/drawing/2014/main" id="{00000000-0008-0000-0600-0000F7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76" name="Line 113">
          <a:extLst>
            <a:ext uri="{FF2B5EF4-FFF2-40B4-BE49-F238E27FC236}">
              <a16:creationId xmlns:a16="http://schemas.microsoft.com/office/drawing/2014/main" id="{00000000-0008-0000-0600-0000F8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77" name="Line 114">
          <a:extLst>
            <a:ext uri="{FF2B5EF4-FFF2-40B4-BE49-F238E27FC236}">
              <a16:creationId xmlns:a16="http://schemas.microsoft.com/office/drawing/2014/main" id="{00000000-0008-0000-0600-0000F9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78" name="Line 115">
          <a:extLst>
            <a:ext uri="{FF2B5EF4-FFF2-40B4-BE49-F238E27FC236}">
              <a16:creationId xmlns:a16="http://schemas.microsoft.com/office/drawing/2014/main" id="{00000000-0008-0000-0600-0000FA0D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79" name="Line 47">
          <a:extLst>
            <a:ext uri="{FF2B5EF4-FFF2-40B4-BE49-F238E27FC236}">
              <a16:creationId xmlns:a16="http://schemas.microsoft.com/office/drawing/2014/main" id="{00000000-0008-0000-0600-0000FB0D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80" name="Line 48">
          <a:extLst>
            <a:ext uri="{FF2B5EF4-FFF2-40B4-BE49-F238E27FC236}">
              <a16:creationId xmlns:a16="http://schemas.microsoft.com/office/drawing/2014/main" id="{00000000-0008-0000-0600-0000FC0D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81" name="Line 53">
          <a:extLst>
            <a:ext uri="{FF2B5EF4-FFF2-40B4-BE49-F238E27FC236}">
              <a16:creationId xmlns:a16="http://schemas.microsoft.com/office/drawing/2014/main" id="{00000000-0008-0000-0600-0000FD0D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82" name="Line 56">
          <a:extLst>
            <a:ext uri="{FF2B5EF4-FFF2-40B4-BE49-F238E27FC236}">
              <a16:creationId xmlns:a16="http://schemas.microsoft.com/office/drawing/2014/main" id="{00000000-0008-0000-0600-0000FE0D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83" name="Line 57">
          <a:extLst>
            <a:ext uri="{FF2B5EF4-FFF2-40B4-BE49-F238E27FC236}">
              <a16:creationId xmlns:a16="http://schemas.microsoft.com/office/drawing/2014/main" id="{00000000-0008-0000-0600-0000FF0D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84" name="Line 59">
          <a:extLst>
            <a:ext uri="{FF2B5EF4-FFF2-40B4-BE49-F238E27FC236}">
              <a16:creationId xmlns:a16="http://schemas.microsoft.com/office/drawing/2014/main" id="{00000000-0008-0000-0600-000000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85" name="Line 76">
          <a:extLst>
            <a:ext uri="{FF2B5EF4-FFF2-40B4-BE49-F238E27FC236}">
              <a16:creationId xmlns:a16="http://schemas.microsoft.com/office/drawing/2014/main" id="{00000000-0008-0000-0600-000001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86" name="Line 77">
          <a:extLst>
            <a:ext uri="{FF2B5EF4-FFF2-40B4-BE49-F238E27FC236}">
              <a16:creationId xmlns:a16="http://schemas.microsoft.com/office/drawing/2014/main" id="{00000000-0008-0000-0600-000002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87" name="Line 78">
          <a:extLst>
            <a:ext uri="{FF2B5EF4-FFF2-40B4-BE49-F238E27FC236}">
              <a16:creationId xmlns:a16="http://schemas.microsoft.com/office/drawing/2014/main" id="{00000000-0008-0000-0600-000003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97</xdr:row>
      <xdr:rowOff>190500</xdr:rowOff>
    </xdr:from>
    <xdr:to>
      <xdr:col>1</xdr:col>
      <xdr:colOff>723900</xdr:colOff>
      <xdr:row>97</xdr:row>
      <xdr:rowOff>190500</xdr:rowOff>
    </xdr:to>
    <xdr:sp macro="" textlink="">
      <xdr:nvSpPr>
        <xdr:cNvPr id="3588" name="Line 83">
          <a:extLst>
            <a:ext uri="{FF2B5EF4-FFF2-40B4-BE49-F238E27FC236}">
              <a16:creationId xmlns:a16="http://schemas.microsoft.com/office/drawing/2014/main" id="{00000000-0008-0000-0600-0000040E0000}"/>
            </a:ext>
          </a:extLst>
        </xdr:cNvPr>
        <xdr:cNvSpPr>
          <a:spLocks noChangeShapeType="1"/>
        </xdr:cNvSpPr>
      </xdr:nvSpPr>
      <xdr:spPr bwMode="auto">
        <a:xfrm>
          <a:off x="312420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89" name="Line 86">
          <a:extLst>
            <a:ext uri="{FF2B5EF4-FFF2-40B4-BE49-F238E27FC236}">
              <a16:creationId xmlns:a16="http://schemas.microsoft.com/office/drawing/2014/main" id="{00000000-0008-0000-0600-000005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90" name="Line 87">
          <a:extLst>
            <a:ext uri="{FF2B5EF4-FFF2-40B4-BE49-F238E27FC236}">
              <a16:creationId xmlns:a16="http://schemas.microsoft.com/office/drawing/2014/main" id="{00000000-0008-0000-0600-000006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91" name="Line 88">
          <a:extLst>
            <a:ext uri="{FF2B5EF4-FFF2-40B4-BE49-F238E27FC236}">
              <a16:creationId xmlns:a16="http://schemas.microsoft.com/office/drawing/2014/main" id="{00000000-0008-0000-0600-000007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92" name="Line 92">
          <a:extLst>
            <a:ext uri="{FF2B5EF4-FFF2-40B4-BE49-F238E27FC236}">
              <a16:creationId xmlns:a16="http://schemas.microsoft.com/office/drawing/2014/main" id="{00000000-0008-0000-0600-000008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93" name="Line 93">
          <a:extLst>
            <a:ext uri="{FF2B5EF4-FFF2-40B4-BE49-F238E27FC236}">
              <a16:creationId xmlns:a16="http://schemas.microsoft.com/office/drawing/2014/main" id="{00000000-0008-0000-0600-000009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94" name="Line 94">
          <a:extLst>
            <a:ext uri="{FF2B5EF4-FFF2-40B4-BE49-F238E27FC236}">
              <a16:creationId xmlns:a16="http://schemas.microsoft.com/office/drawing/2014/main" id="{00000000-0008-0000-0600-00000A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95" name="Line 103">
          <a:extLst>
            <a:ext uri="{FF2B5EF4-FFF2-40B4-BE49-F238E27FC236}">
              <a16:creationId xmlns:a16="http://schemas.microsoft.com/office/drawing/2014/main" id="{00000000-0008-0000-0600-00000B0E0000}"/>
            </a:ext>
          </a:extLst>
        </xdr:cNvPr>
        <xdr:cNvSpPr>
          <a:spLocks noChangeShapeType="1"/>
        </xdr:cNvSpPr>
      </xdr:nvSpPr>
      <xdr:spPr bwMode="auto">
        <a:xfrm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596" name="Line 105">
          <a:extLst>
            <a:ext uri="{FF2B5EF4-FFF2-40B4-BE49-F238E27FC236}">
              <a16:creationId xmlns:a16="http://schemas.microsoft.com/office/drawing/2014/main" id="{00000000-0008-0000-0600-00000C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597" name="Line 106">
          <a:extLst>
            <a:ext uri="{FF2B5EF4-FFF2-40B4-BE49-F238E27FC236}">
              <a16:creationId xmlns:a16="http://schemas.microsoft.com/office/drawing/2014/main" id="{00000000-0008-0000-0600-00000D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97</xdr:row>
      <xdr:rowOff>190500</xdr:rowOff>
    </xdr:from>
    <xdr:to>
      <xdr:col>12</xdr:col>
      <xdr:colOff>733425</xdr:colOff>
      <xdr:row>97</xdr:row>
      <xdr:rowOff>190500</xdr:rowOff>
    </xdr:to>
    <xdr:sp macro="" textlink="">
      <xdr:nvSpPr>
        <xdr:cNvPr id="3598" name="Line 107">
          <a:extLst>
            <a:ext uri="{FF2B5EF4-FFF2-40B4-BE49-F238E27FC236}">
              <a16:creationId xmlns:a16="http://schemas.microsoft.com/office/drawing/2014/main" id="{00000000-0008-0000-0600-00000E0E0000}"/>
            </a:ext>
          </a:extLst>
        </xdr:cNvPr>
        <xdr:cNvSpPr>
          <a:spLocks noChangeShapeType="1"/>
        </xdr:cNvSpPr>
      </xdr:nvSpPr>
      <xdr:spPr bwMode="auto">
        <a:xfrm flipH="1">
          <a:off x="135064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599" name="Line 108">
          <a:extLst>
            <a:ext uri="{FF2B5EF4-FFF2-40B4-BE49-F238E27FC236}">
              <a16:creationId xmlns:a16="http://schemas.microsoft.com/office/drawing/2014/main" id="{00000000-0008-0000-0600-00000F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666750</xdr:colOff>
      <xdr:row>97</xdr:row>
      <xdr:rowOff>190500</xdr:rowOff>
    </xdr:from>
    <xdr:to>
      <xdr:col>5</xdr:col>
      <xdr:colOff>666750</xdr:colOff>
      <xdr:row>97</xdr:row>
      <xdr:rowOff>190500</xdr:rowOff>
    </xdr:to>
    <xdr:sp macro="" textlink="">
      <xdr:nvSpPr>
        <xdr:cNvPr id="3600" name="Line 113">
          <a:extLst>
            <a:ext uri="{FF2B5EF4-FFF2-40B4-BE49-F238E27FC236}">
              <a16:creationId xmlns:a16="http://schemas.microsoft.com/office/drawing/2014/main" id="{00000000-0008-0000-0600-0000100E0000}"/>
            </a:ext>
          </a:extLst>
        </xdr:cNvPr>
        <xdr:cNvSpPr>
          <a:spLocks noChangeShapeType="1"/>
        </xdr:cNvSpPr>
      </xdr:nvSpPr>
      <xdr:spPr bwMode="auto">
        <a:xfrm>
          <a:off x="74485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523875</xdr:colOff>
      <xdr:row>97</xdr:row>
      <xdr:rowOff>190500</xdr:rowOff>
    </xdr:from>
    <xdr:to>
      <xdr:col>6</xdr:col>
      <xdr:colOff>523875</xdr:colOff>
      <xdr:row>97</xdr:row>
      <xdr:rowOff>190500</xdr:rowOff>
    </xdr:to>
    <xdr:sp macro="" textlink="">
      <xdr:nvSpPr>
        <xdr:cNvPr id="3601" name="Line 114">
          <a:extLst>
            <a:ext uri="{FF2B5EF4-FFF2-40B4-BE49-F238E27FC236}">
              <a16:creationId xmlns:a16="http://schemas.microsoft.com/office/drawing/2014/main" id="{00000000-0008-0000-0600-0000110E0000}"/>
            </a:ext>
          </a:extLst>
        </xdr:cNvPr>
        <xdr:cNvSpPr>
          <a:spLocks noChangeShapeType="1"/>
        </xdr:cNvSpPr>
      </xdr:nvSpPr>
      <xdr:spPr bwMode="auto">
        <a:xfrm>
          <a:off x="8286750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895350</xdr:colOff>
      <xdr:row>97</xdr:row>
      <xdr:rowOff>190500</xdr:rowOff>
    </xdr:from>
    <xdr:to>
      <xdr:col>3</xdr:col>
      <xdr:colOff>895350</xdr:colOff>
      <xdr:row>97</xdr:row>
      <xdr:rowOff>190500</xdr:rowOff>
    </xdr:to>
    <xdr:sp macro="" textlink="">
      <xdr:nvSpPr>
        <xdr:cNvPr id="3602" name="Line 115">
          <a:extLst>
            <a:ext uri="{FF2B5EF4-FFF2-40B4-BE49-F238E27FC236}">
              <a16:creationId xmlns:a16="http://schemas.microsoft.com/office/drawing/2014/main" id="{00000000-0008-0000-0600-0000120E0000}"/>
            </a:ext>
          </a:extLst>
        </xdr:cNvPr>
        <xdr:cNvSpPr>
          <a:spLocks noChangeShapeType="1"/>
        </xdr:cNvSpPr>
      </xdr:nvSpPr>
      <xdr:spPr bwMode="auto">
        <a:xfrm>
          <a:off x="5876925" y="24250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210</xdr:row>
      <xdr:rowOff>314325</xdr:rowOff>
    </xdr:from>
    <xdr:to>
      <xdr:col>18</xdr:col>
      <xdr:colOff>419100</xdr:colOff>
      <xdr:row>213</xdr:row>
      <xdr:rowOff>371475</xdr:rowOff>
    </xdr:to>
    <xdr:pic>
      <xdr:nvPicPr>
        <xdr:cNvPr id="3603" name="Picture 1">
          <a:extLst>
            <a:ext uri="{FF2B5EF4-FFF2-40B4-BE49-F238E27FC236}">
              <a16:creationId xmlns:a16="http://schemas.microsoft.com/office/drawing/2014/main" id="{00000000-0008-0000-06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91825" y="50730150"/>
          <a:ext cx="9486900" cy="285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0</xdr:colOff>
      <xdr:row>214</xdr:row>
      <xdr:rowOff>0</xdr:rowOff>
    </xdr:from>
    <xdr:to>
      <xdr:col>13</xdr:col>
      <xdr:colOff>624778</xdr:colOff>
      <xdr:row>214</xdr:row>
      <xdr:rowOff>487749</xdr:rowOff>
    </xdr:to>
    <xdr:sp macro="" textlink="">
      <xdr:nvSpPr>
        <xdr:cNvPr id="25601" name="Text Box 1025">
          <a:extLst>
            <a:ext uri="{FF2B5EF4-FFF2-40B4-BE49-F238E27FC236}">
              <a16:creationId xmlns:a16="http://schemas.microsoft.com/office/drawing/2014/main" id="{00000000-0008-0000-0600-000001640000}"/>
            </a:ext>
          </a:extLst>
        </xdr:cNvPr>
        <xdr:cNvSpPr txBox="1">
          <a:spLocks noChangeArrowheads="1"/>
        </xdr:cNvSpPr>
      </xdr:nvSpPr>
      <xdr:spPr>
        <a:xfrm>
          <a:off x="12127865" y="53179980"/>
          <a:ext cx="2739390" cy="47815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outsourcing for Assistance activities in PPCD statistical work, data up-keeping, inventory recording, plant control jobs and allied works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daspsail@gmail.com" TargetMode="External"/><Relationship Id="rId18" Type="http://schemas.openxmlformats.org/officeDocument/2006/relationships/hyperlink" Target="mailto:barik_somnath@rediffmail.com" TargetMode="External"/><Relationship Id="rId26" Type="http://schemas.openxmlformats.org/officeDocument/2006/relationships/hyperlink" Target="mailto:ajayakr_behera@rediffmail.com" TargetMode="External"/><Relationship Id="rId39" Type="http://schemas.openxmlformats.org/officeDocument/2006/relationships/hyperlink" Target="mailto:harshawardhan@sail.in" TargetMode="External"/><Relationship Id="rId21" Type="http://schemas.openxmlformats.org/officeDocument/2006/relationships/hyperlink" Target="mailto:drawani.sail@gmail.com" TargetMode="External"/><Relationship Id="rId34" Type="http://schemas.openxmlformats.org/officeDocument/2006/relationships/hyperlink" Target="mailto:malakarrajat@gmail.com" TargetMode="External"/><Relationship Id="rId42" Type="http://schemas.openxmlformats.org/officeDocument/2006/relationships/hyperlink" Target="mailto:sanjay.shaw@sail.in" TargetMode="External"/><Relationship Id="rId47" Type="http://schemas.openxmlformats.org/officeDocument/2006/relationships/hyperlink" Target="mailto:jayantap06@sail.in" TargetMode="External"/><Relationship Id="rId50" Type="http://schemas.openxmlformats.org/officeDocument/2006/relationships/hyperlink" Target="mailto:dattasarmistha931@gmail.com" TargetMode="External"/><Relationship Id="rId55" Type="http://schemas.openxmlformats.org/officeDocument/2006/relationships/hyperlink" Target="mailto:akmondal69@rediffmail.com" TargetMode="External"/><Relationship Id="rId63" Type="http://schemas.openxmlformats.org/officeDocument/2006/relationships/hyperlink" Target="mailto:tapaskrpaul.dgp@gmail.com" TargetMode="External"/><Relationship Id="rId68" Type="http://schemas.openxmlformats.org/officeDocument/2006/relationships/hyperlink" Target="mailto:tuhin.chakraborty@sail.in" TargetMode="External"/><Relationship Id="rId76" Type="http://schemas.openxmlformats.org/officeDocument/2006/relationships/hyperlink" Target="mailto:krishnendu.karmakar@sail.in" TargetMode="External"/><Relationship Id="rId84" Type="http://schemas.openxmlformats.org/officeDocument/2006/relationships/printerSettings" Target="../printerSettings/printerSettings5.bin"/><Relationship Id="rId7" Type="http://schemas.openxmlformats.org/officeDocument/2006/relationships/hyperlink" Target="mailto:malakarrajat@gmail.com" TargetMode="External"/><Relationship Id="rId71" Type="http://schemas.openxmlformats.org/officeDocument/2006/relationships/hyperlink" Target="mailto:subrata.sam@gmail.com" TargetMode="External"/><Relationship Id="rId2" Type="http://schemas.openxmlformats.org/officeDocument/2006/relationships/hyperlink" Target="mailto:1964asish@gmail.com" TargetMode="External"/><Relationship Id="rId16" Type="http://schemas.openxmlformats.org/officeDocument/2006/relationships/hyperlink" Target="mailto:A.CHAKRABORTY@Sail.in" TargetMode="External"/><Relationship Id="rId29" Type="http://schemas.openxmlformats.org/officeDocument/2006/relationships/hyperlink" Target="mailto:santosh196407@gmail.com" TargetMode="External"/><Relationship Id="rId11" Type="http://schemas.openxmlformats.org/officeDocument/2006/relationships/hyperlink" Target="mailto:bijaya.misra@sail.in" TargetMode="External"/><Relationship Id="rId24" Type="http://schemas.openxmlformats.org/officeDocument/2006/relationships/hyperlink" Target="mailto:anirbandas.rana@gmail.com" TargetMode="External"/><Relationship Id="rId32" Type="http://schemas.openxmlformats.org/officeDocument/2006/relationships/hyperlink" Target="mailto:SAMIR.MAJUMDAR@sail.in" TargetMode="External"/><Relationship Id="rId37" Type="http://schemas.openxmlformats.org/officeDocument/2006/relationships/hyperlink" Target="mailto:GOUTAM.MONDAL@sail.in" TargetMode="External"/><Relationship Id="rId40" Type="http://schemas.openxmlformats.org/officeDocument/2006/relationships/hyperlink" Target="mailto:rajesh.khakha@sail.in" TargetMode="External"/><Relationship Id="rId45" Type="http://schemas.openxmlformats.org/officeDocument/2006/relationships/hyperlink" Target="mailto:edaspsail@gmail.com" TargetMode="External"/><Relationship Id="rId53" Type="http://schemas.openxmlformats.org/officeDocument/2006/relationships/hyperlink" Target="mailto:ajayakr_behera@rediffmail.com" TargetMode="External"/><Relationship Id="rId58" Type="http://schemas.openxmlformats.org/officeDocument/2006/relationships/hyperlink" Target="mailto:somnath.34@rediffmail.com" TargetMode="External"/><Relationship Id="rId66" Type="http://schemas.openxmlformats.org/officeDocument/2006/relationships/hyperlink" Target="mailto:ranaswiss4751@gmail.com" TargetMode="External"/><Relationship Id="rId74" Type="http://schemas.openxmlformats.org/officeDocument/2006/relationships/hyperlink" Target="mailto:saubhik.banerjee@sail.in" TargetMode="External"/><Relationship Id="rId79" Type="http://schemas.openxmlformats.org/officeDocument/2006/relationships/hyperlink" Target="mailto:hodrclasp@gmail.com" TargetMode="External"/><Relationship Id="rId5" Type="http://schemas.openxmlformats.org/officeDocument/2006/relationships/hyperlink" Target="mailto:tapaskrpaul.dgp@gmail.com" TargetMode="External"/><Relationship Id="rId61" Type="http://schemas.openxmlformats.org/officeDocument/2006/relationships/hyperlink" Target="mailto:arabinda2015das@gmail.com" TargetMode="External"/><Relationship Id="rId82" Type="http://schemas.openxmlformats.org/officeDocument/2006/relationships/hyperlink" Target="mailto:sinhasadhan@gmail.com" TargetMode="External"/><Relationship Id="rId19" Type="http://schemas.openxmlformats.org/officeDocument/2006/relationships/hyperlink" Target="mailto:sajal.das208@gmail.com" TargetMode="External"/><Relationship Id="rId4" Type="http://schemas.openxmlformats.org/officeDocument/2006/relationships/hyperlink" Target="mailto:somnath.34@rediffmail.com" TargetMode="External"/><Relationship Id="rId9" Type="http://schemas.openxmlformats.org/officeDocument/2006/relationships/hyperlink" Target="mailto:sinhasadhan@gmail.com" TargetMode="External"/><Relationship Id="rId14" Type="http://schemas.openxmlformats.org/officeDocument/2006/relationships/hyperlink" Target="mailto:rkpradhan68@gmail.com" TargetMode="External"/><Relationship Id="rId22" Type="http://schemas.openxmlformats.org/officeDocument/2006/relationships/hyperlink" Target="mailto:supriyo.meghna@gmail.com" TargetMode="External"/><Relationship Id="rId27" Type="http://schemas.openxmlformats.org/officeDocument/2006/relationships/hyperlink" Target="mailto:santanu.ghosh@sail.in" TargetMode="External"/><Relationship Id="rId30" Type="http://schemas.openxmlformats.org/officeDocument/2006/relationships/hyperlink" Target="mailto:asp.santosh@sail.in" TargetMode="External"/><Relationship Id="rId35" Type="http://schemas.openxmlformats.org/officeDocument/2006/relationships/hyperlink" Target="mailto:samir_mondal90@rediffmail.com" TargetMode="External"/><Relationship Id="rId43" Type="http://schemas.openxmlformats.org/officeDocument/2006/relationships/hyperlink" Target="mailto:s.chakraborty83@sail.in" TargetMode="External"/><Relationship Id="rId48" Type="http://schemas.openxmlformats.org/officeDocument/2006/relationships/hyperlink" Target="mailto:msrakhra.sail@gmail.com" TargetMode="External"/><Relationship Id="rId56" Type="http://schemas.openxmlformats.org/officeDocument/2006/relationships/hyperlink" Target="mailto:bhaskar.chakraborty@sail.in" TargetMode="External"/><Relationship Id="rId64" Type="http://schemas.openxmlformats.org/officeDocument/2006/relationships/hyperlink" Target="mailto:kunalgt66@gmail.com" TargetMode="External"/><Relationship Id="rId69" Type="http://schemas.openxmlformats.org/officeDocument/2006/relationships/hyperlink" Target="mailto:malakarrajat@gmail.com" TargetMode="External"/><Relationship Id="rId77" Type="http://schemas.openxmlformats.org/officeDocument/2006/relationships/hyperlink" Target="mailto:rugu1981@gmail.com" TargetMode="External"/><Relationship Id="rId8" Type="http://schemas.openxmlformats.org/officeDocument/2006/relationships/hyperlink" Target="mailto:mondalgoutam67@gmail.com" TargetMode="External"/><Relationship Id="rId51" Type="http://schemas.openxmlformats.org/officeDocument/2006/relationships/hyperlink" Target="mailto:drawani.sail@gmail.com" TargetMode="External"/><Relationship Id="rId72" Type="http://schemas.openxmlformats.org/officeDocument/2006/relationships/hyperlink" Target="mailto:kumar.satyajit@sail.in" TargetMode="External"/><Relationship Id="rId80" Type="http://schemas.openxmlformats.org/officeDocument/2006/relationships/hyperlink" Target="mailto:santosh196407@gmail.com" TargetMode="External"/><Relationship Id="rId85" Type="http://schemas.openxmlformats.org/officeDocument/2006/relationships/drawing" Target="../drawings/drawing2.xml"/><Relationship Id="rId3" Type="http://schemas.openxmlformats.org/officeDocument/2006/relationships/hyperlink" Target="mailto:A.CHAKRABORTY@Sail.in" TargetMode="External"/><Relationship Id="rId12" Type="http://schemas.openxmlformats.org/officeDocument/2006/relationships/hyperlink" Target="mailto:sanjay.shaw@sail.in" TargetMode="External"/><Relationship Id="rId17" Type="http://schemas.openxmlformats.org/officeDocument/2006/relationships/hyperlink" Target="mailto:msrakhra.sail@gmail.com" TargetMode="External"/><Relationship Id="rId25" Type="http://schemas.openxmlformats.org/officeDocument/2006/relationships/hyperlink" Target="mailto:dmodak@rediffmail.com" TargetMode="External"/><Relationship Id="rId33" Type="http://schemas.openxmlformats.org/officeDocument/2006/relationships/hyperlink" Target="mailto:kunalgt66@gmail.com" TargetMode="External"/><Relationship Id="rId38" Type="http://schemas.openxmlformats.org/officeDocument/2006/relationships/hyperlink" Target="mailto:harshsail010@gmail.com" TargetMode="External"/><Relationship Id="rId46" Type="http://schemas.openxmlformats.org/officeDocument/2006/relationships/hyperlink" Target="mailto:rkpradhan68@gmail.com" TargetMode="External"/><Relationship Id="rId59" Type="http://schemas.openxmlformats.org/officeDocument/2006/relationships/hyperlink" Target="mailto:nihar62151@gmail.com" TargetMode="External"/><Relationship Id="rId67" Type="http://schemas.openxmlformats.org/officeDocument/2006/relationships/hyperlink" Target="mailto:rana.mondal@sail.in" TargetMode="External"/><Relationship Id="rId20" Type="http://schemas.openxmlformats.org/officeDocument/2006/relationships/hyperlink" Target="mailto:dattasarmistha931@gmail.com" TargetMode="External"/><Relationship Id="rId41" Type="http://schemas.openxmlformats.org/officeDocument/2006/relationships/hyperlink" Target="mailto:sinhasadhan@gmail.com" TargetMode="External"/><Relationship Id="rId54" Type="http://schemas.openxmlformats.org/officeDocument/2006/relationships/hyperlink" Target="mailto:dmodak@rediffmail.com" TargetMode="External"/><Relationship Id="rId62" Type="http://schemas.openxmlformats.org/officeDocument/2006/relationships/hyperlink" Target="mailto:joydebpal14@gmail.com" TargetMode="External"/><Relationship Id="rId70" Type="http://schemas.openxmlformats.org/officeDocument/2006/relationships/hyperlink" Target="mailto:saratxlx1984@gmail.com" TargetMode="External"/><Relationship Id="rId75" Type="http://schemas.openxmlformats.org/officeDocument/2006/relationships/hyperlink" Target="mailto:samir_mondal90@rediffmail.com" TargetMode="External"/><Relationship Id="rId83" Type="http://schemas.openxmlformats.org/officeDocument/2006/relationships/hyperlink" Target="mailto:asprsharmamm@gmail.com" TargetMode="External"/><Relationship Id="rId1" Type="http://schemas.openxmlformats.org/officeDocument/2006/relationships/hyperlink" Target="mailto:edaspsail@gmail.com" TargetMode="External"/><Relationship Id="rId6" Type="http://schemas.openxmlformats.org/officeDocument/2006/relationships/hyperlink" Target="mailto:kunalgt66@gmail.com" TargetMode="External"/><Relationship Id="rId15" Type="http://schemas.openxmlformats.org/officeDocument/2006/relationships/hyperlink" Target="mailto:1964asish@gmail.com" TargetMode="External"/><Relationship Id="rId23" Type="http://schemas.openxmlformats.org/officeDocument/2006/relationships/hyperlink" Target="mailto:SUPRIYO.SARKAR@sail.in" TargetMode="External"/><Relationship Id="rId28" Type="http://schemas.openxmlformats.org/officeDocument/2006/relationships/hyperlink" Target="mailto:somnath.34@rediffmail.com" TargetMode="External"/><Relationship Id="rId36" Type="http://schemas.openxmlformats.org/officeDocument/2006/relationships/hyperlink" Target="mailto:mondalgoutam67@gmail.com" TargetMode="External"/><Relationship Id="rId49" Type="http://schemas.openxmlformats.org/officeDocument/2006/relationships/hyperlink" Target="mailto:sajal.das208@gmail.com" TargetMode="External"/><Relationship Id="rId57" Type="http://schemas.openxmlformats.org/officeDocument/2006/relationships/hyperlink" Target="mailto:akuli87@gmail.com" TargetMode="External"/><Relationship Id="rId10" Type="http://schemas.openxmlformats.org/officeDocument/2006/relationships/hyperlink" Target="mailto:bijayamisra65@gmail.com" TargetMode="External"/><Relationship Id="rId31" Type="http://schemas.openxmlformats.org/officeDocument/2006/relationships/hyperlink" Target="mailto:tapaskrpaul.dgp@gmail.com" TargetMode="External"/><Relationship Id="rId44" Type="http://schemas.openxmlformats.org/officeDocument/2006/relationships/hyperlink" Target="mailto:rk.singh1@sail.in" TargetMode="External"/><Relationship Id="rId52" Type="http://schemas.openxmlformats.org/officeDocument/2006/relationships/hyperlink" Target="mailto:supriyo.meghna@gmail.com" TargetMode="External"/><Relationship Id="rId60" Type="http://schemas.openxmlformats.org/officeDocument/2006/relationships/hyperlink" Target="mailto:ravishankar55121@gmail.com" TargetMode="External"/><Relationship Id="rId65" Type="http://schemas.openxmlformats.org/officeDocument/2006/relationships/hyperlink" Target="mailto:ravi.anand@sail.in" TargetMode="External"/><Relationship Id="rId73" Type="http://schemas.openxmlformats.org/officeDocument/2006/relationships/hyperlink" Target="mailto:s4soubhik@gmail.com" TargetMode="External"/><Relationship Id="rId78" Type="http://schemas.openxmlformats.org/officeDocument/2006/relationships/hyperlink" Target="mailto:debjitm72@gmail.com" TargetMode="External"/><Relationship Id="rId81" Type="http://schemas.openxmlformats.org/officeDocument/2006/relationships/hyperlink" Target="mailto:harshsail010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asp.ppcd@yahoo.i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I455"/>
  <sheetViews>
    <sheetView topLeftCell="A462" zoomScaleSheetLayoutView="100" workbookViewId="0">
      <selection activeCell="A390" sqref="A390:O396"/>
    </sheetView>
  </sheetViews>
  <sheetFormatPr defaultColWidth="9" defaultRowHeight="12.75"/>
  <cols>
    <col min="1" max="1" width="27.7109375" style="18" customWidth="1"/>
    <col min="2" max="3" width="17.85546875" style="27" customWidth="1"/>
    <col min="4" max="4" width="18.7109375" style="27" customWidth="1"/>
    <col min="5" max="5" width="15.5703125" style="27" customWidth="1"/>
    <col min="6" max="6" width="19.140625" style="27" customWidth="1"/>
    <col min="7" max="7" width="16.140625" style="27" customWidth="1"/>
    <col min="8" max="8" width="15.28515625" style="27" customWidth="1"/>
    <col min="9" max="9" width="14.28515625" style="27" customWidth="1"/>
    <col min="10" max="10" width="15.85546875" style="27" customWidth="1"/>
    <col min="11" max="11" width="13.5703125" style="27" customWidth="1"/>
    <col min="12" max="12" width="14.28515625" style="27" customWidth="1"/>
    <col min="13" max="13" width="13.42578125" style="27" customWidth="1"/>
    <col min="14" max="14" width="18.140625" style="27" customWidth="1"/>
    <col min="15" max="15" width="18.5703125" style="27" customWidth="1"/>
  </cols>
  <sheetData>
    <row r="2" spans="1:61" ht="15.75">
      <c r="A2" s="2774" t="s">
        <v>0</v>
      </c>
      <c r="B2" s="2775"/>
      <c r="C2" s="2775"/>
      <c r="D2" s="2775"/>
      <c r="E2" s="2775"/>
      <c r="F2" s="2775"/>
      <c r="G2" s="2775"/>
      <c r="H2" s="2775"/>
      <c r="I2" s="2775"/>
      <c r="J2" s="2775"/>
      <c r="K2" s="2775"/>
      <c r="L2" s="2775"/>
      <c r="M2" s="2775"/>
      <c r="N2" s="2775"/>
      <c r="O2" s="2776"/>
    </row>
    <row r="3" spans="1:61" s="84" customFormat="1">
      <c r="A3" s="2345" t="s">
        <v>1</v>
      </c>
      <c r="B3" s="2346" t="s">
        <v>2</v>
      </c>
      <c r="C3" s="2346"/>
      <c r="D3" s="2347" t="s">
        <v>3</v>
      </c>
      <c r="E3" s="1445" t="s">
        <v>4</v>
      </c>
      <c r="F3" s="2347" t="s">
        <v>5</v>
      </c>
      <c r="G3" s="2347" t="s">
        <v>6</v>
      </c>
      <c r="H3" s="2347" t="s">
        <v>7</v>
      </c>
      <c r="I3" s="2347" t="s">
        <v>8</v>
      </c>
      <c r="J3" s="2347" t="s">
        <v>9</v>
      </c>
      <c r="K3" s="1445" t="s">
        <v>10</v>
      </c>
      <c r="L3" s="2347" t="s">
        <v>11</v>
      </c>
      <c r="M3" s="1445" t="s">
        <v>12</v>
      </c>
      <c r="N3" s="2347" t="s">
        <v>13</v>
      </c>
      <c r="O3" s="64" t="s">
        <v>14</v>
      </c>
    </row>
    <row r="4" spans="1:61">
      <c r="A4" s="528" t="s">
        <v>15</v>
      </c>
      <c r="B4" s="2348">
        <v>4218.38</v>
      </c>
      <c r="C4" s="2348"/>
      <c r="D4" s="2349">
        <v>4763.1940000000004</v>
      </c>
      <c r="E4" s="2350">
        <v>4615.2700000000004</v>
      </c>
      <c r="F4" s="2349">
        <v>4540.125</v>
      </c>
      <c r="G4" s="2349">
        <v>4047.08</v>
      </c>
      <c r="H4" s="2349">
        <v>4494.8040000000001</v>
      </c>
      <c r="I4" s="2349">
        <v>5032.3620000000001</v>
      </c>
      <c r="J4" s="2349">
        <v>5505.7129999999997</v>
      </c>
      <c r="K4" s="2350">
        <v>4782.9040000000005</v>
      </c>
      <c r="L4" s="2349">
        <v>4385.4750000000004</v>
      </c>
      <c r="M4" s="2350">
        <v>5238.7439999999997</v>
      </c>
      <c r="N4" s="2349">
        <v>5486.0510000000004</v>
      </c>
      <c r="O4" s="2351">
        <f>SUM(B4:N4)</f>
        <v>57110.101999999999</v>
      </c>
      <c r="T4">
        <v>384</v>
      </c>
      <c r="AL4" t="s">
        <v>16</v>
      </c>
      <c r="BI4">
        <v>0</v>
      </c>
    </row>
    <row r="5" spans="1:61">
      <c r="A5" s="528" t="s">
        <v>17</v>
      </c>
      <c r="B5" s="2351">
        <v>958.80799999999999</v>
      </c>
      <c r="C5" s="2351"/>
      <c r="D5" s="2352">
        <v>1385.374</v>
      </c>
      <c r="E5" s="2350">
        <v>1369.2829999999999</v>
      </c>
      <c r="F5" s="2352">
        <v>1730.1120000000001</v>
      </c>
      <c r="G5" s="2352">
        <v>2022.85</v>
      </c>
      <c r="H5" s="2352">
        <v>1675.41</v>
      </c>
      <c r="I5" s="2352">
        <v>1410.4480000000001</v>
      </c>
      <c r="J5" s="2352">
        <v>725.51599999999996</v>
      </c>
      <c r="K5" s="2350">
        <v>1760.0830000000001</v>
      </c>
      <c r="L5" s="2352">
        <v>1868.442</v>
      </c>
      <c r="M5" s="2350">
        <v>1188.8610000000001</v>
      </c>
      <c r="N5" s="2352">
        <v>701.18799999999999</v>
      </c>
      <c r="O5" s="2351">
        <f>SUM(B5:N5)</f>
        <v>16796.375</v>
      </c>
      <c r="T5">
        <v>900</v>
      </c>
    </row>
    <row r="6" spans="1:61">
      <c r="A6" s="528" t="s">
        <v>18</v>
      </c>
      <c r="B6" s="2351">
        <v>81.34</v>
      </c>
      <c r="C6" s="2351"/>
      <c r="D6" s="2352">
        <v>88.39</v>
      </c>
      <c r="E6" s="2350">
        <v>70.31</v>
      </c>
      <c r="F6" s="2352">
        <v>21.88</v>
      </c>
      <c r="G6" s="2352">
        <v>11.95</v>
      </c>
      <c r="H6" s="2352">
        <v>91.83</v>
      </c>
      <c r="I6" s="2352">
        <v>131.489</v>
      </c>
      <c r="J6" s="2352">
        <v>6.68</v>
      </c>
      <c r="K6" s="2350">
        <v>3.351</v>
      </c>
      <c r="L6" s="2352">
        <v>13.44</v>
      </c>
      <c r="M6" s="2350">
        <v>28.89</v>
      </c>
      <c r="N6" s="2352">
        <v>11.49</v>
      </c>
      <c r="O6" s="2351">
        <f>SUM(B6:N6)</f>
        <v>561.04</v>
      </c>
      <c r="T6">
        <v>120</v>
      </c>
    </row>
    <row r="7" spans="1:61" ht="16.5" customHeight="1">
      <c r="A7" s="528" t="s">
        <v>19</v>
      </c>
      <c r="B7" s="2351">
        <f>6061.414-5258.528</f>
        <v>802.88599999999951</v>
      </c>
      <c r="C7" s="2351"/>
      <c r="D7" s="2352">
        <f>7029.995-6236.958</f>
        <v>793.03700000000026</v>
      </c>
      <c r="E7" s="2350">
        <f>7040.803-6054.863</f>
        <v>985.9399999999996</v>
      </c>
      <c r="F7" s="2352">
        <f>7166.965-6292.117</f>
        <v>874.84799999999996</v>
      </c>
      <c r="G7" s="2352">
        <f>7169.078-6081.88</f>
        <v>1087.1980000000003</v>
      </c>
      <c r="H7" s="2352">
        <f>7167.21-6262.044</f>
        <v>905.16600000000017</v>
      </c>
      <c r="I7" s="2352">
        <f>7234.295-6574.299</f>
        <v>659.99600000000009</v>
      </c>
      <c r="J7" s="2352">
        <f>7227.105-6237.909</f>
        <v>989.19599999999991</v>
      </c>
      <c r="K7" s="2350">
        <f>7359.97-6546.338</f>
        <v>813.63200000000052</v>
      </c>
      <c r="L7" s="2352">
        <f>7342.006-6267.357</f>
        <v>1074.6490000000003</v>
      </c>
      <c r="M7" s="2350">
        <f>7225.223-6456.495</f>
        <v>768.72800000000007</v>
      </c>
      <c r="N7" s="2352">
        <f>7340.383-6198.729</f>
        <v>1141.6539999999995</v>
      </c>
      <c r="O7" s="2351">
        <f>SUM(B7:N7)</f>
        <v>10896.93</v>
      </c>
      <c r="T7">
        <v>6946</v>
      </c>
    </row>
    <row r="8" spans="1:61" s="84" customFormat="1">
      <c r="A8" s="2353" t="s">
        <v>20</v>
      </c>
      <c r="B8" s="2354">
        <f t="shared" ref="B8:N8" si="0">SUM(B3:B7)</f>
        <v>6061.4139999999998</v>
      </c>
      <c r="C8" s="2354"/>
      <c r="D8" s="2355">
        <f t="shared" si="0"/>
        <v>7029.9950000000008</v>
      </c>
      <c r="E8" s="2356">
        <f t="shared" si="0"/>
        <v>7040.8029999999999</v>
      </c>
      <c r="F8" s="2355">
        <f t="shared" si="0"/>
        <v>7166.9650000000001</v>
      </c>
      <c r="G8" s="2355">
        <f t="shared" si="0"/>
        <v>7169.0780000000004</v>
      </c>
      <c r="H8" s="2355">
        <f t="shared" si="0"/>
        <v>7167.21</v>
      </c>
      <c r="I8" s="2355">
        <f t="shared" si="0"/>
        <v>7234.2950000000001</v>
      </c>
      <c r="J8" s="2355">
        <f t="shared" si="0"/>
        <v>7227.1049999999996</v>
      </c>
      <c r="K8" s="2356">
        <f t="shared" si="0"/>
        <v>7359.9700000000012</v>
      </c>
      <c r="L8" s="2355">
        <f t="shared" si="0"/>
        <v>7342.0060000000003</v>
      </c>
      <c r="M8" s="2356">
        <f t="shared" si="0"/>
        <v>7225.223</v>
      </c>
      <c r="N8" s="2355">
        <f t="shared" si="0"/>
        <v>7340.3829999999998</v>
      </c>
      <c r="O8" s="2354">
        <f>SUM(B8:N8)</f>
        <v>85364.446999999986</v>
      </c>
      <c r="T8" s="84">
        <v>2100</v>
      </c>
    </row>
    <row r="9" spans="1:61">
      <c r="T9">
        <v>2400</v>
      </c>
    </row>
    <row r="10" spans="1:61" ht="18">
      <c r="A10" s="2777" t="s">
        <v>21</v>
      </c>
      <c r="B10" s="2777"/>
      <c r="C10" s="257"/>
      <c r="D10"/>
      <c r="E10"/>
      <c r="F10"/>
      <c r="G10"/>
      <c r="H10"/>
      <c r="T10">
        <f>SUM(T4:T9)</f>
        <v>12850</v>
      </c>
    </row>
    <row r="11" spans="1:61" ht="18">
      <c r="A11" s="269" t="s">
        <v>22</v>
      </c>
      <c r="B11" s="269" t="s">
        <v>23</v>
      </c>
      <c r="C11" s="257"/>
      <c r="T11">
        <v>643</v>
      </c>
    </row>
    <row r="12" spans="1:61" ht="18">
      <c r="A12" s="1056" t="s">
        <v>15</v>
      </c>
      <c r="B12" s="278">
        <v>57110</v>
      </c>
      <c r="C12" s="257"/>
    </row>
    <row r="13" spans="1:61" ht="18">
      <c r="A13" s="1056" t="s">
        <v>18</v>
      </c>
      <c r="B13" s="278">
        <v>561</v>
      </c>
      <c r="C13" s="257"/>
    </row>
    <row r="14" spans="1:61" ht="18">
      <c r="A14" s="1055" t="s">
        <v>24</v>
      </c>
      <c r="B14" s="278">
        <f>10897+16796</f>
        <v>27693</v>
      </c>
      <c r="C14" s="257"/>
      <c r="BB14">
        <v>1</v>
      </c>
    </row>
    <row r="15" spans="1:61" ht="18">
      <c r="A15" s="278"/>
      <c r="B15" s="278">
        <f>SUM(B12:B14)</f>
        <v>85364</v>
      </c>
      <c r="C15" s="257"/>
    </row>
    <row r="18" spans="1:54" ht="15.75">
      <c r="A18" s="2774" t="s">
        <v>25</v>
      </c>
      <c r="B18" s="2775"/>
      <c r="C18" s="2775"/>
      <c r="D18" s="2775"/>
      <c r="E18" s="2775"/>
      <c r="F18" s="2775"/>
      <c r="G18" s="2775"/>
      <c r="H18" s="2775"/>
      <c r="I18" s="2775"/>
      <c r="J18" s="2775"/>
      <c r="K18" s="2775"/>
      <c r="L18" s="2775"/>
      <c r="M18" s="2775"/>
      <c r="N18" s="2775"/>
      <c r="O18" s="2776"/>
    </row>
    <row r="19" spans="1:54">
      <c r="A19" s="2345" t="s">
        <v>1</v>
      </c>
      <c r="B19" s="2346" t="s">
        <v>2</v>
      </c>
      <c r="C19" s="2346"/>
      <c r="D19" s="2347" t="s">
        <v>3</v>
      </c>
      <c r="E19" s="1445" t="s">
        <v>4</v>
      </c>
      <c r="F19" s="2347" t="s">
        <v>5</v>
      </c>
      <c r="G19" s="2347" t="s">
        <v>6</v>
      </c>
      <c r="H19" s="2347" t="s">
        <v>7</v>
      </c>
      <c r="I19" s="2347" t="s">
        <v>8</v>
      </c>
      <c r="J19" s="2347" t="s">
        <v>9</v>
      </c>
      <c r="K19" s="1445" t="s">
        <v>10</v>
      </c>
      <c r="L19" s="2347" t="s">
        <v>11</v>
      </c>
      <c r="M19" s="1445" t="s">
        <v>12</v>
      </c>
      <c r="N19" s="2347" t="s">
        <v>13</v>
      </c>
      <c r="O19" s="64" t="s">
        <v>14</v>
      </c>
    </row>
    <row r="20" spans="1:54">
      <c r="A20" s="528" t="s">
        <v>15</v>
      </c>
      <c r="B20" s="2348">
        <v>5667</v>
      </c>
      <c r="C20" s="2348"/>
      <c r="D20" s="2349">
        <v>4523</v>
      </c>
      <c r="E20" s="2350">
        <v>3386</v>
      </c>
      <c r="F20" s="2352">
        <v>3687</v>
      </c>
      <c r="G20" s="2352">
        <v>4741</v>
      </c>
      <c r="H20" s="2352">
        <v>5176</v>
      </c>
      <c r="I20" s="2352">
        <v>5147</v>
      </c>
      <c r="J20" s="2352">
        <v>5090</v>
      </c>
      <c r="K20" s="2352">
        <v>4272</v>
      </c>
      <c r="L20" s="2352">
        <v>4136</v>
      </c>
      <c r="M20" s="2352">
        <v>5891</v>
      </c>
      <c r="N20" s="2352">
        <v>4769</v>
      </c>
      <c r="O20" s="2351">
        <f>SUM(B20:N20)</f>
        <v>56485</v>
      </c>
    </row>
    <row r="21" spans="1:54">
      <c r="A21" s="528" t="s">
        <v>18</v>
      </c>
      <c r="B21" s="2351">
        <v>0</v>
      </c>
      <c r="C21" s="2351"/>
      <c r="D21" s="2352">
        <v>0</v>
      </c>
      <c r="E21" s="2350">
        <v>271</v>
      </c>
      <c r="F21" s="2352">
        <v>0</v>
      </c>
      <c r="G21" s="2352">
        <v>208</v>
      </c>
      <c r="H21" s="2352">
        <v>0</v>
      </c>
      <c r="I21" s="2352">
        <v>41</v>
      </c>
      <c r="J21" s="2352">
        <v>0</v>
      </c>
      <c r="K21" s="2352">
        <v>0</v>
      </c>
      <c r="L21" s="2352">
        <v>0</v>
      </c>
      <c r="M21" s="2352">
        <v>0</v>
      </c>
      <c r="N21" s="2352">
        <v>0</v>
      </c>
      <c r="O21" s="2351">
        <f>SUM(B21:N21)</f>
        <v>520</v>
      </c>
    </row>
    <row r="22" spans="1:54">
      <c r="A22" s="528" t="s">
        <v>26</v>
      </c>
      <c r="B22" s="2351">
        <f>7603-5667</f>
        <v>1936</v>
      </c>
      <c r="C22" s="2351"/>
      <c r="D22" s="2352">
        <f>7061-4523</f>
        <v>2538</v>
      </c>
      <c r="E22" s="2350">
        <f>7592-3657</f>
        <v>3935</v>
      </c>
      <c r="F22" s="2352">
        <f>7397-3687</f>
        <v>3710</v>
      </c>
      <c r="G22" s="2352">
        <f>7827-4949</f>
        <v>2878</v>
      </c>
      <c r="H22" s="2352">
        <f>7409-5176</f>
        <v>2233</v>
      </c>
      <c r="I22" s="2352">
        <f>7487-5188</f>
        <v>2299</v>
      </c>
      <c r="J22" s="2352">
        <f>7853-5090</f>
        <v>2763</v>
      </c>
      <c r="K22" s="2352">
        <f>7344-4272</f>
        <v>3072</v>
      </c>
      <c r="L22" s="2352">
        <f>7565-4136</f>
        <v>3429</v>
      </c>
      <c r="M22" s="2352">
        <f>7736-5891</f>
        <v>1845</v>
      </c>
      <c r="N22" s="2352">
        <f>7405-4769</f>
        <v>2636</v>
      </c>
      <c r="O22" s="2351">
        <f>SUM(B22:N22)</f>
        <v>33274</v>
      </c>
      <c r="BB22">
        <v>1</v>
      </c>
    </row>
    <row r="23" spans="1:54">
      <c r="A23" s="2353" t="s">
        <v>20</v>
      </c>
      <c r="B23" s="2354">
        <f t="shared" ref="B23:N23" si="1">SUM(B19:B22)</f>
        <v>7603</v>
      </c>
      <c r="C23" s="2354"/>
      <c r="D23" s="2355">
        <f t="shared" si="1"/>
        <v>7061</v>
      </c>
      <c r="E23" s="2356">
        <f t="shared" si="1"/>
        <v>7592</v>
      </c>
      <c r="F23" s="2356">
        <f t="shared" si="1"/>
        <v>7397</v>
      </c>
      <c r="G23" s="2356">
        <f t="shared" si="1"/>
        <v>7827</v>
      </c>
      <c r="H23" s="2356">
        <f t="shared" si="1"/>
        <v>7409</v>
      </c>
      <c r="I23" s="2356">
        <f t="shared" si="1"/>
        <v>7487</v>
      </c>
      <c r="J23" s="2356">
        <f t="shared" si="1"/>
        <v>7853</v>
      </c>
      <c r="K23" s="2356">
        <f t="shared" si="1"/>
        <v>7344</v>
      </c>
      <c r="L23" s="2356">
        <f t="shared" si="1"/>
        <v>7565</v>
      </c>
      <c r="M23" s="2356">
        <f t="shared" si="1"/>
        <v>7736</v>
      </c>
      <c r="N23" s="2356">
        <f t="shared" si="1"/>
        <v>7405</v>
      </c>
      <c r="O23" s="2354">
        <f>SUM(B23:N23)</f>
        <v>90279</v>
      </c>
    </row>
    <row r="25" spans="1:54" ht="18">
      <c r="A25" s="2777" t="s">
        <v>21</v>
      </c>
      <c r="B25" s="2777"/>
      <c r="C25" s="257"/>
    </row>
    <row r="26" spans="1:54" ht="18">
      <c r="A26" s="269" t="s">
        <v>22</v>
      </c>
      <c r="B26" s="269" t="s">
        <v>23</v>
      </c>
      <c r="C26" s="257"/>
      <c r="BB26">
        <v>0</v>
      </c>
    </row>
    <row r="27" spans="1:54" ht="18">
      <c r="A27" s="1056" t="s">
        <v>15</v>
      </c>
      <c r="B27" s="1074">
        <f>+O20</f>
        <v>56485</v>
      </c>
      <c r="C27" s="620"/>
    </row>
    <row r="28" spans="1:54" ht="18">
      <c r="A28" s="1056" t="s">
        <v>18</v>
      </c>
      <c r="B28" s="1074">
        <f>O21</f>
        <v>520</v>
      </c>
      <c r="C28" s="620"/>
    </row>
    <row r="29" spans="1:54" ht="18">
      <c r="A29" s="1055" t="s">
        <v>24</v>
      </c>
      <c r="B29" s="1074">
        <f>O22</f>
        <v>33274</v>
      </c>
      <c r="C29" s="620"/>
    </row>
    <row r="30" spans="1:54" ht="18">
      <c r="A30" s="278"/>
      <c r="B30" s="278">
        <f>SUM(B27:B29)</f>
        <v>90279</v>
      </c>
      <c r="C30" s="257"/>
    </row>
    <row r="34" spans="1:15">
      <c r="A34" s="18" t="s">
        <v>27</v>
      </c>
    </row>
    <row r="36" spans="1:15" ht="15.75">
      <c r="A36" s="2774" t="s">
        <v>28</v>
      </c>
      <c r="B36" s="2775"/>
      <c r="C36" s="2775"/>
      <c r="D36" s="2775"/>
      <c r="E36" s="2775"/>
      <c r="F36" s="2775"/>
      <c r="G36" s="2775"/>
      <c r="H36" s="2775"/>
      <c r="I36" s="2775"/>
      <c r="J36" s="2775"/>
      <c r="K36" s="2775"/>
      <c r="L36" s="2775"/>
      <c r="M36" s="2775"/>
      <c r="N36" s="2775"/>
      <c r="O36" s="2776"/>
    </row>
    <row r="37" spans="1:15">
      <c r="A37" s="2345" t="s">
        <v>1</v>
      </c>
      <c r="B37" s="2346" t="s">
        <v>29</v>
      </c>
      <c r="C37" s="2346"/>
      <c r="D37" s="2347" t="s">
        <v>30</v>
      </c>
      <c r="E37" s="1445" t="s">
        <v>31</v>
      </c>
      <c r="F37" s="2347" t="s">
        <v>32</v>
      </c>
      <c r="G37" s="2347" t="s">
        <v>33</v>
      </c>
      <c r="H37" s="2347" t="s">
        <v>34</v>
      </c>
      <c r="I37" s="2347" t="s">
        <v>35</v>
      </c>
      <c r="J37" s="2347"/>
      <c r="K37" s="1445"/>
      <c r="L37" s="2347"/>
      <c r="M37" s="1445"/>
      <c r="N37" s="2347"/>
      <c r="O37" s="64"/>
    </row>
    <row r="38" spans="1:15">
      <c r="A38" s="528" t="s">
        <v>36</v>
      </c>
      <c r="B38" s="2348">
        <v>68883</v>
      </c>
      <c r="C38" s="2348"/>
      <c r="D38" s="2349">
        <v>31660</v>
      </c>
      <c r="E38" s="2350">
        <v>862</v>
      </c>
      <c r="F38" s="2352">
        <v>1088</v>
      </c>
      <c r="G38" s="2352">
        <v>1114</v>
      </c>
      <c r="H38" s="2352">
        <v>1148</v>
      </c>
      <c r="I38" s="2352">
        <v>296</v>
      </c>
      <c r="J38" s="2352"/>
      <c r="K38" s="2352"/>
      <c r="L38" s="2352"/>
      <c r="M38" s="2352"/>
      <c r="N38" s="2352"/>
      <c r="O38" s="2351"/>
    </row>
    <row r="39" spans="1:15">
      <c r="A39" s="528" t="s">
        <v>37</v>
      </c>
      <c r="B39" s="2351">
        <v>66706</v>
      </c>
      <c r="C39" s="2351"/>
      <c r="D39" s="2352">
        <v>29160</v>
      </c>
      <c r="E39" s="2350">
        <v>1019</v>
      </c>
      <c r="F39" s="2352">
        <v>545</v>
      </c>
      <c r="G39" s="2352">
        <v>647</v>
      </c>
      <c r="H39" s="2352">
        <v>776</v>
      </c>
      <c r="I39" s="2352">
        <v>400</v>
      </c>
      <c r="J39" s="2352"/>
      <c r="K39" s="2352"/>
      <c r="L39" s="2352"/>
      <c r="M39" s="2352"/>
      <c r="N39" s="2352"/>
      <c r="O39" s="2351"/>
    </row>
    <row r="41" spans="1:15" ht="15.75">
      <c r="A41" s="2774" t="s">
        <v>38</v>
      </c>
      <c r="B41" s="2778"/>
      <c r="C41" s="2778"/>
      <c r="D41" s="2778"/>
      <c r="E41" s="2778"/>
      <c r="F41" s="2778"/>
      <c r="G41" s="2778"/>
      <c r="H41" s="2357"/>
    </row>
    <row r="42" spans="1:15" ht="15.75">
      <c r="A42" s="105" t="s">
        <v>39</v>
      </c>
      <c r="B42" s="2358" t="s">
        <v>31</v>
      </c>
      <c r="C42" s="2358"/>
      <c r="D42" s="2358" t="s">
        <v>32</v>
      </c>
      <c r="E42" s="2358" t="s">
        <v>33</v>
      </c>
      <c r="F42" s="2358" t="s">
        <v>34</v>
      </c>
      <c r="G42" s="2358" t="s">
        <v>40</v>
      </c>
      <c r="H42" s="950" t="s">
        <v>41</v>
      </c>
    </row>
    <row r="43" spans="1:15">
      <c r="A43" s="473" t="s">
        <v>42</v>
      </c>
      <c r="B43" s="886" t="s">
        <v>43</v>
      </c>
      <c r="C43" s="886"/>
      <c r="D43" s="886" t="s">
        <v>43</v>
      </c>
      <c r="E43" s="886" t="s">
        <v>43</v>
      </c>
      <c r="F43" s="886" t="s">
        <v>43</v>
      </c>
      <c r="G43" s="886" t="s">
        <v>43</v>
      </c>
      <c r="H43" s="887">
        <v>87.16</v>
      </c>
    </row>
    <row r="45" spans="1:15">
      <c r="D45"/>
    </row>
    <row r="48" spans="1:15" ht="15.75">
      <c r="A48" s="2774" t="s">
        <v>44</v>
      </c>
      <c r="B48" s="2775"/>
      <c r="C48" s="2775"/>
      <c r="D48" s="2775"/>
      <c r="E48" s="2775"/>
      <c r="F48" s="2775"/>
      <c r="G48" s="2775"/>
      <c r="H48" s="2775"/>
      <c r="I48" s="2775"/>
      <c r="J48" s="2775"/>
      <c r="K48" s="2775"/>
      <c r="L48" s="2775"/>
      <c r="M48" s="2775"/>
      <c r="N48" s="2775"/>
      <c r="O48" s="2776"/>
    </row>
    <row r="49" spans="1:15">
      <c r="A49" s="2345" t="s">
        <v>1</v>
      </c>
      <c r="B49" s="2346" t="s">
        <v>45</v>
      </c>
      <c r="C49" s="2346"/>
      <c r="D49" s="2347" t="s">
        <v>46</v>
      </c>
      <c r="E49" s="1445" t="s">
        <v>47</v>
      </c>
      <c r="F49" s="2347" t="s">
        <v>48</v>
      </c>
      <c r="G49" s="2347" t="s">
        <v>49</v>
      </c>
      <c r="H49" s="2347" t="s">
        <v>50</v>
      </c>
      <c r="I49" s="2347" t="s">
        <v>51</v>
      </c>
      <c r="J49" s="2347" t="s">
        <v>52</v>
      </c>
      <c r="K49" s="1445" t="s">
        <v>53</v>
      </c>
      <c r="L49" s="2347" t="s">
        <v>54</v>
      </c>
      <c r="M49" s="1445" t="s">
        <v>55</v>
      </c>
      <c r="N49" s="2347" t="s">
        <v>56</v>
      </c>
      <c r="O49" s="64" t="s">
        <v>57</v>
      </c>
    </row>
    <row r="50" spans="1:15">
      <c r="A50" s="528" t="s">
        <v>15</v>
      </c>
      <c r="B50" s="2348">
        <v>4548</v>
      </c>
      <c r="C50" s="2348"/>
      <c r="D50" s="2349">
        <v>3708</v>
      </c>
      <c r="E50" s="2350">
        <v>2542</v>
      </c>
      <c r="F50" s="2352">
        <v>4089</v>
      </c>
      <c r="G50" s="2352">
        <v>5748</v>
      </c>
      <c r="H50" s="2352">
        <v>5296</v>
      </c>
      <c r="I50" s="2352">
        <v>5661</v>
      </c>
      <c r="J50" s="2352">
        <v>5240</v>
      </c>
      <c r="K50" s="2352">
        <v>6235</v>
      </c>
      <c r="L50" s="2352">
        <v>4693</v>
      </c>
      <c r="M50" s="2352">
        <v>4182</v>
      </c>
      <c r="N50" s="2352">
        <v>4493</v>
      </c>
      <c r="O50" s="2351">
        <f>SUM(B50:N50)</f>
        <v>56435</v>
      </c>
    </row>
    <row r="51" spans="1:15">
      <c r="A51" s="528" t="s">
        <v>18</v>
      </c>
      <c r="B51" s="2351">
        <v>47</v>
      </c>
      <c r="C51" s="2351"/>
      <c r="D51" s="2352">
        <v>0</v>
      </c>
      <c r="E51" s="2350">
        <v>0</v>
      </c>
      <c r="F51" s="2352">
        <v>0</v>
      </c>
      <c r="G51" s="2352">
        <v>0</v>
      </c>
      <c r="H51" s="2352">
        <v>0</v>
      </c>
      <c r="I51" s="2352">
        <v>0</v>
      </c>
      <c r="J51" s="2352">
        <v>100</v>
      </c>
      <c r="K51" s="2352">
        <v>0</v>
      </c>
      <c r="L51" s="2352">
        <v>0</v>
      </c>
      <c r="M51" s="2352">
        <v>0</v>
      </c>
      <c r="N51" s="2352">
        <v>45</v>
      </c>
      <c r="O51" s="2351">
        <f>SUM(B51:N51)</f>
        <v>192</v>
      </c>
    </row>
    <row r="52" spans="1:15">
      <c r="A52" s="528" t="s">
        <v>26</v>
      </c>
      <c r="B52" s="2351">
        <f>7396-4548-47</f>
        <v>2801</v>
      </c>
      <c r="C52" s="2351"/>
      <c r="D52" s="2352">
        <f>7019-3708</f>
        <v>3311</v>
      </c>
      <c r="E52" s="2350">
        <f>5669-2542</f>
        <v>3127</v>
      </c>
      <c r="F52" s="2352">
        <f>7314-4089</f>
        <v>3225</v>
      </c>
      <c r="G52" s="2352">
        <f>7975-5748</f>
        <v>2227</v>
      </c>
      <c r="H52" s="2352">
        <f>7903-5296</f>
        <v>2607</v>
      </c>
      <c r="I52" s="2352">
        <f>8016-5661</f>
        <v>2355</v>
      </c>
      <c r="J52" s="2352">
        <f>8221-5340</f>
        <v>2881</v>
      </c>
      <c r="K52" s="2352">
        <f>8572-6235</f>
        <v>2337</v>
      </c>
      <c r="L52" s="2352">
        <f>7136-4693</f>
        <v>2443</v>
      </c>
      <c r="M52" s="2352">
        <f>6610-4182</f>
        <v>2428</v>
      </c>
      <c r="N52" s="2352">
        <f>8203-4493-45</f>
        <v>3665</v>
      </c>
      <c r="O52" s="2351">
        <f>SUM(B52:N52)</f>
        <v>33407</v>
      </c>
    </row>
    <row r="53" spans="1:15">
      <c r="A53" s="2353" t="s">
        <v>20</v>
      </c>
      <c r="B53" s="2354">
        <f t="shared" ref="B53:N53" si="2">SUM(B49:B52)</f>
        <v>7396</v>
      </c>
      <c r="C53" s="2354"/>
      <c r="D53" s="2355">
        <f t="shared" si="2"/>
        <v>7019</v>
      </c>
      <c r="E53" s="2356">
        <f t="shared" si="2"/>
        <v>5669</v>
      </c>
      <c r="F53" s="2356">
        <f t="shared" si="2"/>
        <v>7314</v>
      </c>
      <c r="G53" s="2356">
        <f t="shared" si="2"/>
        <v>7975</v>
      </c>
      <c r="H53" s="2356">
        <f t="shared" si="2"/>
        <v>7903</v>
      </c>
      <c r="I53" s="2356">
        <f t="shared" si="2"/>
        <v>8016</v>
      </c>
      <c r="J53" s="2356">
        <f t="shared" si="2"/>
        <v>8221</v>
      </c>
      <c r="K53" s="2356">
        <f t="shared" si="2"/>
        <v>8572</v>
      </c>
      <c r="L53" s="2356">
        <f t="shared" si="2"/>
        <v>7136</v>
      </c>
      <c r="M53" s="2356">
        <f t="shared" si="2"/>
        <v>6610</v>
      </c>
      <c r="N53" s="2356">
        <f t="shared" si="2"/>
        <v>8203</v>
      </c>
      <c r="O53" s="2354">
        <f>SUM(B53:N53)</f>
        <v>90034</v>
      </c>
    </row>
    <row r="54" spans="1:15">
      <c r="A54" s="17"/>
      <c r="H54" s="27" t="s">
        <v>58</v>
      </c>
      <c r="O54" s="1322"/>
    </row>
    <row r="55" spans="1:15" ht="18">
      <c r="A55" s="2779" t="s">
        <v>21</v>
      </c>
      <c r="B55" s="2777"/>
      <c r="C55" s="257"/>
      <c r="O55" s="1322"/>
    </row>
    <row r="56" spans="1:15" ht="18">
      <c r="A56" s="269" t="s">
        <v>22</v>
      </c>
      <c r="B56" s="269" t="s">
        <v>23</v>
      </c>
      <c r="C56" s="257"/>
      <c r="O56" s="1322"/>
    </row>
    <row r="57" spans="1:15" ht="18">
      <c r="A57" s="1056" t="s">
        <v>15</v>
      </c>
      <c r="B57" s="1074">
        <f>+O50</f>
        <v>56435</v>
      </c>
      <c r="C57" s="620"/>
      <c r="O57" s="1322"/>
    </row>
    <row r="58" spans="1:15" ht="18">
      <c r="A58" s="1056" t="s">
        <v>18</v>
      </c>
      <c r="B58" s="1074">
        <f>O51</f>
        <v>192</v>
      </c>
      <c r="C58" s="620"/>
      <c r="O58" s="1322"/>
    </row>
    <row r="59" spans="1:15" ht="18">
      <c r="A59" s="1055" t="s">
        <v>24</v>
      </c>
      <c r="B59" s="1074">
        <f>O52</f>
        <v>33407</v>
      </c>
      <c r="C59" s="620"/>
      <c r="O59" s="1322"/>
    </row>
    <row r="60" spans="1:15" ht="18">
      <c r="A60" s="278"/>
      <c r="B60" s="1074">
        <f>SUM(B57:B59)</f>
        <v>90034</v>
      </c>
      <c r="C60" s="620"/>
      <c r="O60" s="1322"/>
    </row>
    <row r="61" spans="1:15">
      <c r="A61" s="21"/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1324"/>
    </row>
    <row r="70" spans="1:15" ht="16.5" customHeight="1"/>
    <row r="71" spans="1:15" ht="13.5" customHeight="1"/>
    <row r="72" spans="1:15" ht="15.75">
      <c r="A72" s="1390" t="s">
        <v>59</v>
      </c>
      <c r="B72" s="2359"/>
      <c r="C72" s="2359"/>
      <c r="D72" s="2359"/>
      <c r="E72" s="2359"/>
      <c r="F72" s="2359"/>
      <c r="G72" s="2359"/>
      <c r="H72" s="2359"/>
      <c r="I72" s="2359"/>
      <c r="J72" s="2359"/>
      <c r="K72" s="2359"/>
      <c r="L72" s="2359"/>
      <c r="M72" s="2359"/>
      <c r="N72" s="2359"/>
      <c r="O72" s="2357"/>
    </row>
    <row r="73" spans="1:15" ht="18">
      <c r="A73" s="17"/>
      <c r="D73" s="2780" t="s">
        <v>60</v>
      </c>
      <c r="E73" s="2780"/>
      <c r="F73" s="2780"/>
      <c r="G73" s="2780"/>
      <c r="H73" s="2780"/>
      <c r="O73" s="1322"/>
    </row>
    <row r="74" spans="1:15" ht="18">
      <c r="A74" s="17"/>
      <c r="D74" s="2780" t="s">
        <v>61</v>
      </c>
      <c r="E74" s="2780"/>
      <c r="F74" s="2780"/>
      <c r="G74" s="2780"/>
      <c r="H74" s="257"/>
      <c r="O74" s="1322"/>
    </row>
    <row r="75" spans="1:15" ht="18">
      <c r="A75" s="17"/>
      <c r="D75" s="2780" t="s">
        <v>62</v>
      </c>
      <c r="E75" s="2780"/>
      <c r="F75" s="2780"/>
      <c r="G75" s="2780"/>
      <c r="H75" s="257"/>
      <c r="O75" s="1322"/>
    </row>
    <row r="76" spans="1:15" ht="18">
      <c r="A76" s="17"/>
      <c r="D76" s="2409" t="s">
        <v>63</v>
      </c>
      <c r="E76" s="2780" t="s">
        <v>64</v>
      </c>
      <c r="F76" s="2780"/>
      <c r="G76" s="257"/>
      <c r="H76" s="257"/>
      <c r="O76" s="1322"/>
    </row>
    <row r="77" spans="1:15">
      <c r="A77" s="17"/>
      <c r="O77" s="1322"/>
    </row>
    <row r="78" spans="1:15" ht="15.75">
      <c r="A78" s="2774" t="s">
        <v>65</v>
      </c>
      <c r="B78" s="2775"/>
      <c r="C78" s="2775"/>
      <c r="D78" s="2775"/>
      <c r="E78" s="2775"/>
      <c r="F78" s="2775"/>
      <c r="G78" s="2775"/>
      <c r="H78" s="2775"/>
      <c r="I78" s="2775"/>
      <c r="J78" s="2775"/>
      <c r="K78" s="2775"/>
      <c r="L78" s="2775"/>
      <c r="M78" s="2775"/>
      <c r="N78" s="2775"/>
      <c r="O78" s="2776"/>
    </row>
    <row r="79" spans="1:15">
      <c r="A79" s="2360" t="s">
        <v>1</v>
      </c>
      <c r="B79" s="1445" t="s">
        <v>66</v>
      </c>
      <c r="C79" s="1445"/>
      <c r="D79" s="1445" t="s">
        <v>67</v>
      </c>
      <c r="E79" s="1445" t="s">
        <v>68</v>
      </c>
      <c r="F79" s="1445" t="s">
        <v>69</v>
      </c>
      <c r="G79" s="1445" t="s">
        <v>70</v>
      </c>
      <c r="H79" s="1445" t="s">
        <v>71</v>
      </c>
      <c r="I79" s="1445" t="s">
        <v>72</v>
      </c>
      <c r="J79" s="1445" t="s">
        <v>73</v>
      </c>
      <c r="K79" s="1445" t="s">
        <v>74</v>
      </c>
      <c r="L79" s="1445" t="s">
        <v>75</v>
      </c>
      <c r="M79" s="1445" t="s">
        <v>76</v>
      </c>
      <c r="N79" s="1445" t="s">
        <v>77</v>
      </c>
      <c r="O79" s="64" t="s">
        <v>78</v>
      </c>
    </row>
    <row r="80" spans="1:15">
      <c r="A80" s="522" t="s">
        <v>15</v>
      </c>
      <c r="B80" s="30">
        <v>4583</v>
      </c>
      <c r="C80" s="30"/>
      <c r="D80" s="30">
        <v>4778</v>
      </c>
      <c r="E80" s="30">
        <v>7095</v>
      </c>
      <c r="F80" s="30">
        <v>4349</v>
      </c>
      <c r="G80" s="30">
        <v>4234</v>
      </c>
      <c r="H80" s="30">
        <v>4226</v>
      </c>
      <c r="I80" s="30">
        <v>4187</v>
      </c>
      <c r="J80" s="30">
        <v>5814</v>
      </c>
      <c r="K80" s="30">
        <v>4538</v>
      </c>
      <c r="L80" s="30">
        <v>5828</v>
      </c>
      <c r="M80" s="30">
        <v>5434</v>
      </c>
      <c r="N80" s="30">
        <v>5853</v>
      </c>
      <c r="O80" s="2369">
        <f>SUM(B80:N80)</f>
        <v>60919</v>
      </c>
    </row>
    <row r="81" spans="1:15">
      <c r="A81" s="522" t="s">
        <v>18</v>
      </c>
      <c r="B81" s="30">
        <v>215</v>
      </c>
      <c r="C81" s="30"/>
      <c r="D81" s="30"/>
      <c r="E81" s="30">
        <v>57</v>
      </c>
      <c r="F81" s="30">
        <v>0</v>
      </c>
      <c r="G81" s="30">
        <v>0</v>
      </c>
      <c r="H81" s="30">
        <v>109</v>
      </c>
      <c r="I81" s="30">
        <v>105</v>
      </c>
      <c r="J81" s="30">
        <v>0</v>
      </c>
      <c r="K81" s="30">
        <v>0</v>
      </c>
      <c r="L81" s="30">
        <v>105</v>
      </c>
      <c r="M81" s="30">
        <v>104</v>
      </c>
      <c r="N81" s="30">
        <v>93</v>
      </c>
      <c r="O81" s="2369">
        <f>SUM(B81:N81)</f>
        <v>788</v>
      </c>
    </row>
    <row r="82" spans="1:15">
      <c r="A82" s="522" t="s">
        <v>26</v>
      </c>
      <c r="B82" s="30">
        <f>8212-4798</f>
        <v>3414</v>
      </c>
      <c r="C82" s="30"/>
      <c r="D82" s="30">
        <f>7923-4778</f>
        <v>3145</v>
      </c>
      <c r="E82" s="30">
        <f>9197-7152</f>
        <v>2045</v>
      </c>
      <c r="F82" s="30">
        <f>7898-4349</f>
        <v>3549</v>
      </c>
      <c r="G82" s="30">
        <f>7710-4234</f>
        <v>3476</v>
      </c>
      <c r="H82" s="30">
        <f>7830-4335</f>
        <v>3495</v>
      </c>
      <c r="I82" s="30">
        <f>7876-4292</f>
        <v>3584</v>
      </c>
      <c r="J82" s="30">
        <f>8786-5814</f>
        <v>2972</v>
      </c>
      <c r="K82" s="30">
        <f>7777-4538</f>
        <v>3239</v>
      </c>
      <c r="L82" s="30">
        <f>9493-5933</f>
        <v>3560</v>
      </c>
      <c r="M82" s="30">
        <f>8888-5538</f>
        <v>3350</v>
      </c>
      <c r="N82" s="30">
        <f>8710-5946</f>
        <v>2764</v>
      </c>
      <c r="O82" s="2369">
        <f>SUM(B82:N82)</f>
        <v>38593</v>
      </c>
    </row>
    <row r="83" spans="1:15">
      <c r="A83" s="523" t="s">
        <v>20</v>
      </c>
      <c r="B83" s="89">
        <f t="shared" ref="B83:N83" si="3">SUM(B79:B82)</f>
        <v>8212</v>
      </c>
      <c r="C83" s="89"/>
      <c r="D83" s="89">
        <f t="shared" si="3"/>
        <v>7923</v>
      </c>
      <c r="E83" s="89">
        <f t="shared" si="3"/>
        <v>9197</v>
      </c>
      <c r="F83" s="89">
        <f t="shared" si="3"/>
        <v>7898</v>
      </c>
      <c r="G83" s="89">
        <f t="shared" si="3"/>
        <v>7710</v>
      </c>
      <c r="H83" s="89">
        <f t="shared" si="3"/>
        <v>7830</v>
      </c>
      <c r="I83" s="89">
        <f t="shared" si="3"/>
        <v>7876</v>
      </c>
      <c r="J83" s="89">
        <f t="shared" si="3"/>
        <v>8786</v>
      </c>
      <c r="K83" s="89">
        <f t="shared" si="3"/>
        <v>7777</v>
      </c>
      <c r="L83" s="89">
        <f t="shared" si="3"/>
        <v>9493</v>
      </c>
      <c r="M83" s="89">
        <f t="shared" si="3"/>
        <v>8888</v>
      </c>
      <c r="N83" s="89">
        <f t="shared" si="3"/>
        <v>8710</v>
      </c>
      <c r="O83" s="982">
        <f>SUM(B83:N83)</f>
        <v>100300</v>
      </c>
    </row>
    <row r="84" spans="1:15">
      <c r="A84" s="17"/>
      <c r="O84" s="1322"/>
    </row>
    <row r="85" spans="1:15" ht="18">
      <c r="A85" s="2779" t="s">
        <v>21</v>
      </c>
      <c r="B85" s="2777"/>
      <c r="C85" s="257"/>
      <c r="O85" s="1322"/>
    </row>
    <row r="86" spans="1:15" ht="18">
      <c r="A86" s="269" t="s">
        <v>22</v>
      </c>
      <c r="B86" s="269" t="s">
        <v>23</v>
      </c>
      <c r="C86" s="257"/>
      <c r="O86" s="1322"/>
    </row>
    <row r="87" spans="1:15" ht="18">
      <c r="A87" s="1056" t="s">
        <v>15</v>
      </c>
      <c r="B87" s="1074">
        <f>+O80</f>
        <v>60919</v>
      </c>
      <c r="C87" s="620"/>
      <c r="O87" s="1322"/>
    </row>
    <row r="88" spans="1:15" ht="18">
      <c r="A88" s="1056" t="s">
        <v>18</v>
      </c>
      <c r="B88" s="1074">
        <f>O81</f>
        <v>788</v>
      </c>
      <c r="C88" s="620"/>
      <c r="O88" s="1322"/>
    </row>
    <row r="89" spans="1:15" ht="18">
      <c r="A89" s="1055" t="s">
        <v>24</v>
      </c>
      <c r="B89" s="1074">
        <f>O82</f>
        <v>38593</v>
      </c>
      <c r="C89" s="620"/>
      <c r="O89" s="1322"/>
    </row>
    <row r="90" spans="1:15" ht="18">
      <c r="A90" s="278"/>
      <c r="B90" s="1074">
        <f>SUM(B87:B89)</f>
        <v>100300</v>
      </c>
      <c r="C90" s="620"/>
      <c r="O90" s="1322"/>
    </row>
    <row r="91" spans="1:15">
      <c r="A91" s="21"/>
      <c r="B91" s="424"/>
      <c r="C91" s="424"/>
      <c r="D91" s="424"/>
      <c r="E91" s="424"/>
      <c r="F91" s="424"/>
      <c r="G91" s="424"/>
      <c r="H91" s="424"/>
      <c r="I91" s="424"/>
      <c r="J91" s="424"/>
      <c r="K91" s="424"/>
      <c r="L91" s="424"/>
      <c r="M91" s="424"/>
      <c r="N91" s="424"/>
      <c r="O91" s="1324"/>
    </row>
    <row r="94" spans="1:15" ht="15.75">
      <c r="A94" s="2774" t="s">
        <v>65</v>
      </c>
      <c r="B94" s="2778"/>
      <c r="C94" s="2778"/>
      <c r="D94" s="2778"/>
      <c r="E94" s="2778"/>
      <c r="F94" s="2778"/>
      <c r="G94" s="2778"/>
      <c r="H94" s="2778"/>
      <c r="I94" s="2778"/>
      <c r="J94" s="2778"/>
      <c r="K94" s="2778"/>
      <c r="L94" s="2778"/>
      <c r="M94" s="2775"/>
      <c r="N94" s="2775"/>
      <c r="O94" s="2781"/>
    </row>
    <row r="95" spans="1:15">
      <c r="A95" s="2360" t="s">
        <v>79</v>
      </c>
      <c r="B95" s="2361" t="s">
        <v>66</v>
      </c>
      <c r="C95" s="2361"/>
      <c r="D95" s="2361" t="s">
        <v>67</v>
      </c>
      <c r="E95" s="2361" t="s">
        <v>68</v>
      </c>
      <c r="F95" s="2361" t="s">
        <v>69</v>
      </c>
      <c r="G95" s="2361" t="s">
        <v>70</v>
      </c>
      <c r="H95" s="2362" t="s">
        <v>71</v>
      </c>
      <c r="I95" s="2361" t="s">
        <v>72</v>
      </c>
      <c r="J95" s="2370" t="s">
        <v>73</v>
      </c>
      <c r="K95" s="2361" t="s">
        <v>74</v>
      </c>
      <c r="L95" s="2361" t="s">
        <v>75</v>
      </c>
      <c r="M95" s="2371" t="s">
        <v>76</v>
      </c>
      <c r="N95" s="2372" t="s">
        <v>77</v>
      </c>
      <c r="O95" s="2345" t="s">
        <v>78</v>
      </c>
    </row>
    <row r="96" spans="1:15">
      <c r="A96" s="522" t="s">
        <v>80</v>
      </c>
      <c r="B96" s="528">
        <v>6736</v>
      </c>
      <c r="C96" s="528"/>
      <c r="D96" s="528">
        <v>7667</v>
      </c>
      <c r="E96" s="528">
        <v>7624</v>
      </c>
      <c r="F96" s="528">
        <v>6531</v>
      </c>
      <c r="G96" s="528">
        <v>6577</v>
      </c>
      <c r="H96" s="522">
        <v>7133</v>
      </c>
      <c r="I96" s="528">
        <v>6499</v>
      </c>
      <c r="J96" s="2373">
        <v>8125</v>
      </c>
      <c r="K96" s="528">
        <v>7444</v>
      </c>
      <c r="L96" s="528">
        <v>8857</v>
      </c>
      <c r="M96" s="2374">
        <v>8888</v>
      </c>
      <c r="N96" s="320">
        <v>8279</v>
      </c>
      <c r="O96" s="2375">
        <f>SUM(B96:N96)</f>
        <v>90360</v>
      </c>
    </row>
    <row r="97" spans="1:15">
      <c r="A97" s="522" t="s">
        <v>81</v>
      </c>
      <c r="B97" s="528">
        <f>8212-6736</f>
        <v>1476</v>
      </c>
      <c r="C97" s="528"/>
      <c r="D97" s="528">
        <f>7923-7667</f>
        <v>256</v>
      </c>
      <c r="E97" s="528">
        <f>9197-7624</f>
        <v>1573</v>
      </c>
      <c r="F97" s="528">
        <f>7898-6531</f>
        <v>1367</v>
      </c>
      <c r="G97" s="528">
        <f>7710-6577</f>
        <v>1133</v>
      </c>
      <c r="H97" s="522">
        <f>7830-7133</f>
        <v>697</v>
      </c>
      <c r="I97" s="528">
        <f>7876-6499</f>
        <v>1377</v>
      </c>
      <c r="J97" s="2373">
        <f>8786-8125</f>
        <v>661</v>
      </c>
      <c r="K97" s="528">
        <f>7777-7444</f>
        <v>333</v>
      </c>
      <c r="L97" s="528">
        <f>9493-8857</f>
        <v>636</v>
      </c>
      <c r="M97" s="2374">
        <v>0</v>
      </c>
      <c r="N97" s="320">
        <f>8710-8279</f>
        <v>431</v>
      </c>
      <c r="O97" s="2375">
        <f>SUM(B97:N97)</f>
        <v>9940</v>
      </c>
    </row>
    <row r="98" spans="1:15">
      <c r="A98" s="522" t="s">
        <v>36</v>
      </c>
      <c r="B98" s="2353">
        <f>+B96+B97</f>
        <v>8212</v>
      </c>
      <c r="C98" s="2353"/>
      <c r="D98" s="2353">
        <f t="shared" ref="D98:N98" si="4">+D96+D97</f>
        <v>7923</v>
      </c>
      <c r="E98" s="2353">
        <f t="shared" si="4"/>
        <v>9197</v>
      </c>
      <c r="F98" s="2353">
        <f t="shared" si="4"/>
        <v>7898</v>
      </c>
      <c r="G98" s="2353">
        <f t="shared" si="4"/>
        <v>7710</v>
      </c>
      <c r="H98" s="523">
        <f t="shared" si="4"/>
        <v>7830</v>
      </c>
      <c r="I98" s="2353">
        <f t="shared" si="4"/>
        <v>7876</v>
      </c>
      <c r="J98" s="2376">
        <f t="shared" si="4"/>
        <v>8786</v>
      </c>
      <c r="K98" s="2353">
        <f t="shared" si="4"/>
        <v>7777</v>
      </c>
      <c r="L98" s="2353">
        <f t="shared" si="4"/>
        <v>9493</v>
      </c>
      <c r="M98" s="2374">
        <f t="shared" si="4"/>
        <v>8888</v>
      </c>
      <c r="N98" s="320">
        <f t="shared" si="4"/>
        <v>8710</v>
      </c>
      <c r="O98" s="2355">
        <f>SUM(B98:N98)</f>
        <v>100300</v>
      </c>
    </row>
    <row r="101" spans="1:15">
      <c r="A101" s="2782" t="s">
        <v>82</v>
      </c>
      <c r="B101" s="2783"/>
      <c r="C101" s="2783"/>
      <c r="D101" s="2783"/>
      <c r="E101" s="2783"/>
      <c r="F101" s="2783"/>
      <c r="G101" s="2783"/>
      <c r="H101" s="2783"/>
      <c r="I101" s="2784"/>
    </row>
    <row r="102" spans="1:15">
      <c r="A102" s="764" t="s">
        <v>79</v>
      </c>
      <c r="B102" s="2363" t="s">
        <v>83</v>
      </c>
      <c r="C102" s="2363"/>
      <c r="D102" s="2363" t="s">
        <v>84</v>
      </c>
      <c r="E102" s="2363" t="s">
        <v>85</v>
      </c>
      <c r="F102" s="2363" t="s">
        <v>86</v>
      </c>
      <c r="G102" s="2363" t="s">
        <v>87</v>
      </c>
      <c r="H102" s="2363" t="s">
        <v>88</v>
      </c>
      <c r="I102" s="2377" t="s">
        <v>89</v>
      </c>
    </row>
    <row r="103" spans="1:15">
      <c r="A103" s="522" t="s">
        <v>80</v>
      </c>
      <c r="B103" s="41">
        <v>7074</v>
      </c>
      <c r="C103" s="41"/>
      <c r="D103" s="41">
        <v>8789</v>
      </c>
      <c r="E103" s="41">
        <v>8910</v>
      </c>
      <c r="F103" s="41">
        <v>10055</v>
      </c>
      <c r="G103" s="41">
        <v>10298</v>
      </c>
      <c r="H103" s="41">
        <v>9843</v>
      </c>
      <c r="I103" s="1322">
        <f>+B103+D103+E103+F103+G103+H103</f>
        <v>54969</v>
      </c>
    </row>
    <row r="104" spans="1:15">
      <c r="A104" s="522" t="s">
        <v>81</v>
      </c>
      <c r="B104" s="41">
        <f>7775-7074</f>
        <v>701</v>
      </c>
      <c r="C104" s="41"/>
      <c r="D104" s="41">
        <f>9001-8789</f>
        <v>212</v>
      </c>
      <c r="E104" s="41">
        <f>9193-8910</f>
        <v>283</v>
      </c>
      <c r="F104" s="41">
        <f>10225-10055</f>
        <v>170</v>
      </c>
      <c r="G104" s="41">
        <v>0</v>
      </c>
      <c r="H104" s="41">
        <v>0</v>
      </c>
      <c r="I104" s="1322">
        <f>+B104+D104+E104+F104+G104+H104</f>
        <v>1366</v>
      </c>
    </row>
    <row r="105" spans="1:15">
      <c r="A105" s="523" t="s">
        <v>36</v>
      </c>
      <c r="B105" s="886">
        <f t="shared" ref="B105:H105" si="5">+B103+B104</f>
        <v>7775</v>
      </c>
      <c r="C105" s="886"/>
      <c r="D105" s="886">
        <f t="shared" si="5"/>
        <v>9001</v>
      </c>
      <c r="E105" s="886">
        <f t="shared" si="5"/>
        <v>9193</v>
      </c>
      <c r="F105" s="886">
        <f t="shared" si="5"/>
        <v>10225</v>
      </c>
      <c r="G105" s="886">
        <f t="shared" si="5"/>
        <v>10298</v>
      </c>
      <c r="H105" s="886">
        <f t="shared" si="5"/>
        <v>9843</v>
      </c>
      <c r="I105" s="1324">
        <f>+B105+D105+E105+F105+G105+H105</f>
        <v>56335</v>
      </c>
    </row>
    <row r="108" spans="1:15" ht="15.75">
      <c r="A108" s="2774" t="s">
        <v>90</v>
      </c>
      <c r="B108" s="2778"/>
      <c r="C108" s="2778"/>
      <c r="D108" s="2778"/>
      <c r="E108" s="2778"/>
      <c r="F108" s="2778"/>
      <c r="G108" s="2778"/>
      <c r="H108" s="2778"/>
      <c r="I108" s="2778"/>
      <c r="J108" s="2778"/>
      <c r="K108" s="2778"/>
      <c r="L108" s="2778"/>
      <c r="M108" s="2775"/>
      <c r="N108" s="2775"/>
      <c r="O108" s="2781"/>
    </row>
    <row r="109" spans="1:15">
      <c r="A109" s="2360" t="s">
        <v>79</v>
      </c>
      <c r="B109" s="2361" t="s">
        <v>91</v>
      </c>
      <c r="C109" s="2361"/>
      <c r="D109" s="2361" t="s">
        <v>92</v>
      </c>
      <c r="E109" s="2361" t="s">
        <v>93</v>
      </c>
      <c r="F109" s="2361" t="s">
        <v>94</v>
      </c>
      <c r="G109" s="2361" t="s">
        <v>84</v>
      </c>
      <c r="H109" s="2362" t="s">
        <v>85</v>
      </c>
      <c r="I109" s="2361" t="s">
        <v>86</v>
      </c>
      <c r="J109" s="2370" t="s">
        <v>87</v>
      </c>
      <c r="K109" s="2361" t="s">
        <v>88</v>
      </c>
      <c r="L109" s="2361" t="s">
        <v>95</v>
      </c>
      <c r="M109" s="2371" t="s">
        <v>96</v>
      </c>
      <c r="N109" s="2372" t="s">
        <v>97</v>
      </c>
      <c r="O109" s="2345" t="s">
        <v>98</v>
      </c>
    </row>
    <row r="110" spans="1:15">
      <c r="A110" s="522" t="s">
        <v>81</v>
      </c>
      <c r="B110" s="528">
        <v>7352</v>
      </c>
      <c r="C110" s="528"/>
      <c r="D110" s="528">
        <v>4698</v>
      </c>
      <c r="E110" s="528">
        <v>6905</v>
      </c>
      <c r="F110" s="528">
        <v>4969</v>
      </c>
      <c r="G110" s="528">
        <v>5594</v>
      </c>
      <c r="H110" s="528">
        <v>6585</v>
      </c>
      <c r="I110" s="528">
        <v>8131</v>
      </c>
      <c r="J110" s="528">
        <v>7465</v>
      </c>
      <c r="K110" s="528">
        <v>6674</v>
      </c>
      <c r="L110" s="528">
        <v>6741</v>
      </c>
      <c r="M110" s="528">
        <v>7521</v>
      </c>
      <c r="N110" s="528">
        <v>5471</v>
      </c>
      <c r="O110" s="2375">
        <f>SUM(B110:N110)</f>
        <v>78106</v>
      </c>
    </row>
    <row r="111" spans="1:15">
      <c r="A111" s="522" t="s">
        <v>26</v>
      </c>
      <c r="B111" s="528">
        <f>9826-7352</f>
        <v>2474</v>
      </c>
      <c r="C111" s="528"/>
      <c r="D111" s="528">
        <f>7212-4698-204</f>
        <v>2310</v>
      </c>
      <c r="E111" s="528">
        <f>9151-6905</f>
        <v>2246</v>
      </c>
      <c r="F111" s="528">
        <f>7775-4969-304</f>
        <v>2502</v>
      </c>
      <c r="G111" s="528">
        <f>9001-5594</f>
        <v>3407</v>
      </c>
      <c r="H111" s="528">
        <f>9193-6585-210</f>
        <v>2398</v>
      </c>
      <c r="I111" s="528">
        <f>10225-8131-52</f>
        <v>2042</v>
      </c>
      <c r="J111" s="528">
        <f>10298-7465</f>
        <v>2833</v>
      </c>
      <c r="K111" s="528">
        <f>9843-6674-53</f>
        <v>3116</v>
      </c>
      <c r="L111" s="528">
        <f>9579-6741</f>
        <v>2838</v>
      </c>
      <c r="M111" s="528">
        <f>9937-7521</f>
        <v>2416</v>
      </c>
      <c r="N111" s="528">
        <f>8186-5471-101</f>
        <v>2614</v>
      </c>
      <c r="O111" s="2375">
        <f>SUM(B111:N111)</f>
        <v>31196</v>
      </c>
    </row>
    <row r="112" spans="1:15">
      <c r="A112" s="522" t="s">
        <v>99</v>
      </c>
      <c r="B112" s="2364">
        <v>0</v>
      </c>
      <c r="C112" s="2364"/>
      <c r="D112" s="2364">
        <v>204</v>
      </c>
      <c r="E112" s="2364"/>
      <c r="F112" s="2364">
        <v>304</v>
      </c>
      <c r="G112" s="2364"/>
      <c r="H112" s="2364">
        <v>210</v>
      </c>
      <c r="I112" s="2364">
        <v>52</v>
      </c>
      <c r="J112" s="2364"/>
      <c r="K112" s="2364">
        <v>53</v>
      </c>
      <c r="L112" s="2364"/>
      <c r="M112" s="2364"/>
      <c r="N112" s="2364">
        <v>101</v>
      </c>
      <c r="O112" s="2375">
        <f>SUM(B112:N112)</f>
        <v>924</v>
      </c>
    </row>
    <row r="113" spans="1:15">
      <c r="A113" s="522" t="s">
        <v>36</v>
      </c>
      <c r="B113" s="2353">
        <f t="shared" ref="B113:N113" si="6">+B110+B111+B112</f>
        <v>9826</v>
      </c>
      <c r="C113" s="2353"/>
      <c r="D113" s="2353">
        <f t="shared" si="6"/>
        <v>7212</v>
      </c>
      <c r="E113" s="2353">
        <f t="shared" si="6"/>
        <v>9151</v>
      </c>
      <c r="F113" s="2353">
        <f t="shared" si="6"/>
        <v>7775</v>
      </c>
      <c r="G113" s="2353">
        <f t="shared" si="6"/>
        <v>9001</v>
      </c>
      <c r="H113" s="2353">
        <f t="shared" si="6"/>
        <v>9193</v>
      </c>
      <c r="I113" s="2353">
        <f t="shared" si="6"/>
        <v>10225</v>
      </c>
      <c r="J113" s="2353">
        <f t="shared" si="6"/>
        <v>10298</v>
      </c>
      <c r="K113" s="2353">
        <f t="shared" si="6"/>
        <v>9843</v>
      </c>
      <c r="L113" s="2353">
        <f t="shared" si="6"/>
        <v>9579</v>
      </c>
      <c r="M113" s="2353">
        <f t="shared" si="6"/>
        <v>9937</v>
      </c>
      <c r="N113" s="2353">
        <f t="shared" si="6"/>
        <v>8186</v>
      </c>
      <c r="O113" s="2355">
        <f>SUM(B113:N113)</f>
        <v>110226</v>
      </c>
    </row>
    <row r="114" spans="1:15" s="2344" customFormat="1" ht="16.5" customHeight="1">
      <c r="A114" s="2344" t="s">
        <v>100</v>
      </c>
    </row>
    <row r="115" spans="1:15" ht="13.5" customHeight="1">
      <c r="A115" s="2365"/>
      <c r="B115" s="2365"/>
      <c r="C115" s="2365"/>
      <c r="D115" s="852"/>
      <c r="E115" s="852"/>
      <c r="F115" s="852"/>
      <c r="G115" s="852"/>
      <c r="H115" s="852"/>
      <c r="I115" s="852"/>
      <c r="J115" s="852"/>
      <c r="K115" s="852"/>
      <c r="L115" s="852"/>
      <c r="M115" s="853"/>
    </row>
    <row r="116" spans="1:15" ht="16.5">
      <c r="A116" s="2366" t="s">
        <v>101</v>
      </c>
      <c r="B116" s="2367"/>
      <c r="C116" s="2368"/>
      <c r="D116" s="2368"/>
      <c r="E116" s="2368"/>
      <c r="F116" s="2368"/>
      <c r="G116" s="2368"/>
      <c r="H116" s="2368"/>
      <c r="I116" s="2368"/>
      <c r="J116" s="2368"/>
      <c r="K116" s="2368"/>
      <c r="L116" s="2368"/>
      <c r="M116" s="2367"/>
    </row>
    <row r="119" spans="1:15" ht="15.75">
      <c r="A119" s="2785"/>
      <c r="B119" s="2785"/>
      <c r="C119" s="535"/>
      <c r="D119" s="84"/>
      <c r="E119" s="84"/>
    </row>
    <row r="120" spans="1:15" ht="18">
      <c r="A120" s="2779" t="s">
        <v>21</v>
      </c>
      <c r="B120" s="2777"/>
      <c r="C120" s="257"/>
    </row>
    <row r="121" spans="1:15" ht="18">
      <c r="A121" s="269" t="s">
        <v>22</v>
      </c>
      <c r="B121" s="269" t="s">
        <v>102</v>
      </c>
      <c r="C121" s="257"/>
    </row>
    <row r="122" spans="1:15" ht="18">
      <c r="A122" s="1056" t="s">
        <v>15</v>
      </c>
      <c r="B122" s="1074">
        <f>O110</f>
        <v>78106</v>
      </c>
      <c r="C122" s="620"/>
    </row>
    <row r="123" spans="1:15" ht="18">
      <c r="A123" s="1056" t="s">
        <v>24</v>
      </c>
      <c r="B123" s="1074">
        <f>O111</f>
        <v>31196</v>
      </c>
      <c r="C123" s="620"/>
    </row>
    <row r="124" spans="1:15" ht="18">
      <c r="A124" s="1055" t="s">
        <v>99</v>
      </c>
      <c r="B124" s="1074">
        <f>O112</f>
        <v>924</v>
      </c>
      <c r="C124" s="620"/>
    </row>
    <row r="125" spans="1:15" ht="18">
      <c r="A125" s="278" t="s">
        <v>103</v>
      </c>
      <c r="B125" s="1074">
        <f>SUM(B122:B124)</f>
        <v>110226</v>
      </c>
      <c r="C125" s="620"/>
    </row>
    <row r="126" spans="1:15" ht="15">
      <c r="A126" s="463"/>
      <c r="B126" s="62"/>
      <c r="C126" s="420"/>
    </row>
    <row r="129" spans="1:13" ht="15.75">
      <c r="A129" s="2785" t="s">
        <v>104</v>
      </c>
      <c r="B129" s="2785"/>
      <c r="C129" s="535"/>
    </row>
    <row r="130" spans="1:13" ht="15">
      <c r="A130" s="37" t="s">
        <v>39</v>
      </c>
      <c r="B130" s="39" t="s">
        <v>105</v>
      </c>
      <c r="C130" s="420"/>
    </row>
    <row r="131" spans="1:13" ht="15">
      <c r="A131" s="460" t="s">
        <v>34</v>
      </c>
      <c r="B131" s="54">
        <v>6378</v>
      </c>
      <c r="C131" s="420"/>
    </row>
    <row r="132" spans="1:13" ht="15">
      <c r="A132" s="460" t="s">
        <v>40</v>
      </c>
      <c r="B132" s="54">
        <v>16860</v>
      </c>
      <c r="C132" s="420"/>
    </row>
    <row r="133" spans="1:13" ht="15">
      <c r="A133" s="463" t="s">
        <v>41</v>
      </c>
      <c r="B133" s="62">
        <v>20409</v>
      </c>
      <c r="C133" s="420"/>
    </row>
    <row r="134" spans="1:13" ht="15">
      <c r="A134" s="463" t="s">
        <v>106</v>
      </c>
      <c r="B134" s="62">
        <v>20409</v>
      </c>
      <c r="C134" s="420"/>
    </row>
    <row r="135" spans="1:13" ht="15">
      <c r="A135" s="420"/>
      <c r="B135" s="420"/>
      <c r="C135" s="420"/>
    </row>
    <row r="136" spans="1:13" ht="15">
      <c r="A136" s="420"/>
      <c r="B136" s="420"/>
      <c r="C136" s="420"/>
    </row>
    <row r="137" spans="1:13" ht="15">
      <c r="A137" s="420"/>
      <c r="B137" s="420"/>
      <c r="C137" s="420"/>
    </row>
    <row r="138" spans="1:13" ht="15">
      <c r="A138" s="420"/>
      <c r="B138" s="420"/>
      <c r="C138" s="420"/>
    </row>
    <row r="139" spans="1:13" ht="17.25" customHeight="1">
      <c r="A139" s="2795" t="s">
        <v>107</v>
      </c>
      <c r="B139" s="2796"/>
      <c r="C139" s="2796"/>
      <c r="D139" s="2796"/>
      <c r="E139" s="2796"/>
      <c r="F139" s="2796"/>
      <c r="G139" s="2796"/>
      <c r="H139" s="2797"/>
      <c r="I139" s="2394"/>
      <c r="J139" s="2395"/>
      <c r="K139" s="2394"/>
      <c r="L139" s="2394"/>
      <c r="M139" s="2396"/>
    </row>
    <row r="140" spans="1:13" ht="16.5">
      <c r="A140" s="2798"/>
      <c r="B140" s="2799"/>
      <c r="C140" s="2799"/>
      <c r="D140" s="2799"/>
      <c r="E140" s="2799"/>
      <c r="F140" s="2799"/>
      <c r="G140" s="2799"/>
      <c r="H140" s="2800"/>
      <c r="I140" s="2344"/>
      <c r="J140" s="2344"/>
      <c r="K140" s="2344"/>
      <c r="L140" s="2344"/>
      <c r="M140" s="2344"/>
    </row>
    <row r="141" spans="1:13">
      <c r="A141" s="2795" t="s">
        <v>108</v>
      </c>
      <c r="B141" s="2796"/>
      <c r="C141" s="2796"/>
      <c r="D141" s="2796"/>
      <c r="E141" s="2796"/>
      <c r="F141" s="2796"/>
      <c r="G141" s="2796"/>
      <c r="H141" s="2797"/>
    </row>
    <row r="142" spans="1:13">
      <c r="A142" s="2798"/>
      <c r="B142" s="2799"/>
      <c r="C142" s="2799"/>
      <c r="D142" s="2799"/>
      <c r="E142" s="2799"/>
      <c r="F142" s="2799"/>
      <c r="G142" s="2799"/>
      <c r="H142" s="2800"/>
    </row>
    <row r="143" spans="1:13" ht="15">
      <c r="A143" s="384"/>
      <c r="B143" s="420"/>
      <c r="C143" s="420"/>
      <c r="H143" s="1322"/>
    </row>
    <row r="144" spans="1:13" ht="15">
      <c r="A144" s="384"/>
      <c r="B144" s="420"/>
      <c r="C144" s="420"/>
      <c r="H144" s="1322"/>
    </row>
    <row r="145" spans="1:8" ht="15.75">
      <c r="A145" s="2774" t="s">
        <v>109</v>
      </c>
      <c r="B145" s="2778"/>
      <c r="C145" s="2778"/>
      <c r="D145" s="2778"/>
      <c r="E145" s="2778"/>
      <c r="F145" s="2778"/>
      <c r="G145" s="2778"/>
      <c r="H145" s="2357"/>
    </row>
    <row r="146" spans="1:8" ht="15.75">
      <c r="A146" s="105" t="s">
        <v>39</v>
      </c>
      <c r="B146" s="2358" t="s">
        <v>31</v>
      </c>
      <c r="C146" s="2358"/>
      <c r="D146" s="2358" t="s">
        <v>32</v>
      </c>
      <c r="E146" s="2358" t="s">
        <v>33</v>
      </c>
      <c r="F146" s="2358" t="s">
        <v>34</v>
      </c>
      <c r="G146" s="2358" t="s">
        <v>40</v>
      </c>
      <c r="H146" s="950" t="s">
        <v>41</v>
      </c>
    </row>
    <row r="147" spans="1:8" ht="15.75">
      <c r="A147" s="2378" t="s">
        <v>110</v>
      </c>
      <c r="B147" s="606">
        <v>1308</v>
      </c>
      <c r="C147" s="606"/>
      <c r="D147" s="606">
        <v>1225</v>
      </c>
      <c r="E147" s="606">
        <v>1096</v>
      </c>
      <c r="F147" s="606">
        <v>608</v>
      </c>
      <c r="G147" s="606">
        <v>830</v>
      </c>
      <c r="H147" s="2379">
        <v>1107</v>
      </c>
    </row>
    <row r="148" spans="1:8">
      <c r="A148" s="473" t="s">
        <v>111</v>
      </c>
      <c r="B148" s="886">
        <v>566</v>
      </c>
      <c r="C148" s="886"/>
      <c r="D148" s="886">
        <v>288</v>
      </c>
      <c r="E148" s="886">
        <v>82</v>
      </c>
      <c r="F148" s="886">
        <v>10</v>
      </c>
      <c r="G148" s="886" t="s">
        <v>43</v>
      </c>
      <c r="H148" s="887" t="s">
        <v>112</v>
      </c>
    </row>
    <row r="149" spans="1:8">
      <c r="A149" s="17"/>
      <c r="H149" s="1322"/>
    </row>
    <row r="150" spans="1:8">
      <c r="A150" s="17"/>
      <c r="H150" s="1322"/>
    </row>
    <row r="151" spans="1:8" ht="15.75">
      <c r="A151" s="2786" t="s">
        <v>113</v>
      </c>
      <c r="B151" s="2787"/>
      <c r="C151" s="2787"/>
      <c r="D151" s="2787"/>
      <c r="E151" s="2787"/>
      <c r="F151" s="2788"/>
      <c r="G151" s="353"/>
      <c r="H151" s="1322"/>
    </row>
    <row r="152" spans="1:8" ht="15.75">
      <c r="A152" s="105" t="s">
        <v>39</v>
      </c>
      <c r="B152" s="2358" t="s">
        <v>33</v>
      </c>
      <c r="C152" s="2358"/>
      <c r="D152" s="2358" t="s">
        <v>34</v>
      </c>
      <c r="E152" s="2358" t="s">
        <v>40</v>
      </c>
      <c r="F152" s="950" t="s">
        <v>41</v>
      </c>
      <c r="G152" s="535"/>
      <c r="H152" s="2380"/>
    </row>
    <row r="153" spans="1:8" ht="15.75">
      <c r="A153" s="2378" t="s">
        <v>110</v>
      </c>
      <c r="B153" s="606">
        <v>56163</v>
      </c>
      <c r="C153" s="606"/>
      <c r="D153" s="606">
        <v>32415</v>
      </c>
      <c r="E153" s="606">
        <v>43862</v>
      </c>
      <c r="F153" s="2379">
        <v>57595</v>
      </c>
      <c r="G153" s="535"/>
      <c r="H153" s="2380"/>
    </row>
    <row r="154" spans="1:8">
      <c r="A154" s="473" t="s">
        <v>111</v>
      </c>
      <c r="B154" s="886">
        <v>4225</v>
      </c>
      <c r="C154" s="886"/>
      <c r="D154" s="886">
        <v>521</v>
      </c>
      <c r="E154" s="886" t="s">
        <v>43</v>
      </c>
      <c r="F154" s="887" t="s">
        <v>43</v>
      </c>
      <c r="G154" s="18"/>
      <c r="H154" s="24"/>
    </row>
    <row r="155" spans="1:8">
      <c r="A155" s="17"/>
      <c r="H155" s="1322"/>
    </row>
    <row r="156" spans="1:8">
      <c r="A156" s="17"/>
      <c r="H156" s="1322"/>
    </row>
    <row r="157" spans="1:8" ht="17.25">
      <c r="A157" s="2789" t="s">
        <v>114</v>
      </c>
      <c r="B157" s="2790"/>
      <c r="C157" s="2790"/>
      <c r="D157" s="2790"/>
      <c r="E157" s="2790"/>
      <c r="F157" s="2790"/>
      <c r="G157" s="2790"/>
      <c r="H157" s="1322"/>
    </row>
    <row r="158" spans="1:8">
      <c r="A158" s="17"/>
      <c r="H158" s="1322"/>
    </row>
    <row r="159" spans="1:8">
      <c r="A159" s="17"/>
      <c r="H159" s="1322"/>
    </row>
    <row r="160" spans="1:8">
      <c r="A160" s="17"/>
      <c r="H160" s="1322"/>
    </row>
    <row r="161" spans="1:15">
      <c r="A161" s="21"/>
      <c r="B161" s="424"/>
      <c r="C161" s="424"/>
      <c r="D161" s="424"/>
      <c r="E161" s="424"/>
      <c r="F161" s="424"/>
      <c r="G161" s="424"/>
      <c r="H161" s="1324"/>
    </row>
    <row r="164" spans="1:15" ht="23.25">
      <c r="A164" s="6"/>
      <c r="B164" s="6" t="s">
        <v>34</v>
      </c>
      <c r="C164" s="6"/>
      <c r="D164" s="6" t="s">
        <v>40</v>
      </c>
      <c r="E164" s="6" t="s">
        <v>41</v>
      </c>
      <c r="F164" s="2381" t="s">
        <v>115</v>
      </c>
      <c r="G164" s="2381" t="s">
        <v>116</v>
      </c>
    </row>
    <row r="165" spans="1:15" ht="18">
      <c r="A165" s="547" t="s">
        <v>117</v>
      </c>
      <c r="B165" s="4">
        <v>6386</v>
      </c>
      <c r="C165" s="4"/>
      <c r="D165" s="4">
        <v>16860</v>
      </c>
      <c r="E165" s="4">
        <v>20400</v>
      </c>
      <c r="F165" s="4">
        <v>33292</v>
      </c>
      <c r="G165" s="1077">
        <v>22519</v>
      </c>
    </row>
    <row r="166" spans="1:15" ht="18">
      <c r="A166" s="547" t="s">
        <v>118</v>
      </c>
      <c r="B166" s="4">
        <v>22442</v>
      </c>
      <c r="C166" s="4"/>
      <c r="D166" s="4">
        <v>16552</v>
      </c>
      <c r="E166" s="4">
        <v>10685</v>
      </c>
      <c r="F166" s="4">
        <v>13646</v>
      </c>
      <c r="G166" s="1077">
        <v>7099</v>
      </c>
    </row>
    <row r="167" spans="1:15" ht="23.25">
      <c r="A167" s="2791" t="s">
        <v>119</v>
      </c>
      <c r="B167" s="2792"/>
      <c r="C167" s="2792"/>
      <c r="D167" s="2792"/>
      <c r="E167" s="2792"/>
      <c r="F167" s="2792"/>
      <c r="G167" s="2382"/>
    </row>
    <row r="168" spans="1:15" ht="23.25">
      <c r="A168" s="2383"/>
      <c r="B168" s="2384" t="s">
        <v>33</v>
      </c>
      <c r="C168" s="2384" t="s">
        <v>34</v>
      </c>
      <c r="D168" s="2384" t="s">
        <v>40</v>
      </c>
      <c r="E168" s="2384" t="s">
        <v>41</v>
      </c>
      <c r="F168" s="2385" t="s">
        <v>115</v>
      </c>
      <c r="G168" s="2386" t="s">
        <v>120</v>
      </c>
      <c r="H168" s="2386" t="s">
        <v>121</v>
      </c>
    </row>
    <row r="169" spans="1:15" ht="23.25">
      <c r="A169" s="2387" t="s">
        <v>122</v>
      </c>
      <c r="B169" s="6">
        <v>678</v>
      </c>
      <c r="C169" s="6">
        <v>2872</v>
      </c>
      <c r="D169" s="727">
        <f>2514.41+329.43</f>
        <v>2843.8399999999997</v>
      </c>
      <c r="E169" s="727">
        <f>2270.74+620</f>
        <v>2890.74</v>
      </c>
      <c r="F169" s="727">
        <v>1715</v>
      </c>
      <c r="G169" s="2388">
        <v>1101</v>
      </c>
      <c r="H169" s="2389">
        <v>457</v>
      </c>
      <c r="I169" s="27">
        <v>0</v>
      </c>
    </row>
    <row r="170" spans="1:15" ht="23.25">
      <c r="A170" s="2390" t="s">
        <v>123</v>
      </c>
      <c r="B170" s="2391">
        <v>835</v>
      </c>
      <c r="C170" s="2391">
        <v>1857.3</v>
      </c>
      <c r="D170" s="2391">
        <v>1053.31</v>
      </c>
      <c r="E170" s="2391">
        <f>986.78+46.45</f>
        <v>1033.23</v>
      </c>
      <c r="F170" s="2391">
        <v>427</v>
      </c>
      <c r="G170" s="2392">
        <v>49.78</v>
      </c>
      <c r="H170" s="2393">
        <v>108</v>
      </c>
    </row>
    <row r="171" spans="1:15">
      <c r="A171" s="18" t="s">
        <v>124</v>
      </c>
      <c r="H171" s="27">
        <v>97</v>
      </c>
      <c r="I171" s="27">
        <v>0</v>
      </c>
    </row>
    <row r="173" spans="1:15">
      <c r="E173" s="441"/>
    </row>
    <row r="174" spans="1:15" ht="15.75">
      <c r="A174" s="2774" t="s">
        <v>65</v>
      </c>
      <c r="B174" s="2775"/>
      <c r="C174" s="2775"/>
      <c r="D174" s="2775"/>
      <c r="E174" s="2775"/>
      <c r="F174" s="2775"/>
      <c r="G174" s="2775"/>
      <c r="H174" s="2775"/>
      <c r="I174" s="2775"/>
      <c r="J174" s="2775"/>
      <c r="K174" s="2775"/>
      <c r="L174" s="2775"/>
      <c r="M174" s="2775"/>
      <c r="N174" s="2775"/>
      <c r="O174" s="2776"/>
    </row>
    <row r="175" spans="1:15">
      <c r="A175" s="2345" t="s">
        <v>1</v>
      </c>
      <c r="B175" s="2346" t="s">
        <v>66</v>
      </c>
      <c r="C175" s="2346"/>
      <c r="D175" s="2347" t="s">
        <v>67</v>
      </c>
      <c r="E175" s="1445" t="s">
        <v>68</v>
      </c>
      <c r="F175" s="2347" t="s">
        <v>69</v>
      </c>
      <c r="G175" s="2347" t="s">
        <v>70</v>
      </c>
      <c r="H175" s="2347" t="s">
        <v>71</v>
      </c>
      <c r="I175" s="2347" t="s">
        <v>72</v>
      </c>
      <c r="J175" s="2347" t="s">
        <v>73</v>
      </c>
      <c r="K175" s="1445" t="s">
        <v>74</v>
      </c>
      <c r="L175" s="2347" t="s">
        <v>75</v>
      </c>
      <c r="M175" s="1445" t="s">
        <v>76</v>
      </c>
      <c r="N175" s="2347" t="s">
        <v>77</v>
      </c>
      <c r="O175" s="64" t="s">
        <v>78</v>
      </c>
    </row>
    <row r="176" spans="1:15">
      <c r="A176" s="528" t="s">
        <v>15</v>
      </c>
      <c r="B176" s="27">
        <v>4583</v>
      </c>
      <c r="D176" s="27">
        <v>4778</v>
      </c>
      <c r="E176" s="27">
        <v>7085</v>
      </c>
      <c r="F176" s="27">
        <v>4349</v>
      </c>
      <c r="G176" s="27">
        <v>4234</v>
      </c>
      <c r="H176" s="27">
        <v>4226</v>
      </c>
      <c r="I176" s="27">
        <v>4187</v>
      </c>
      <c r="J176" s="27">
        <v>5814</v>
      </c>
      <c r="K176" s="27">
        <v>4538</v>
      </c>
      <c r="L176" s="27">
        <v>5828</v>
      </c>
      <c r="M176" s="27">
        <v>5434</v>
      </c>
      <c r="N176" s="27">
        <v>5853</v>
      </c>
      <c r="O176" s="2351">
        <f>SUM(B176:N176)</f>
        <v>60909</v>
      </c>
    </row>
    <row r="177" spans="1:15">
      <c r="A177" s="528" t="s">
        <v>18</v>
      </c>
      <c r="B177" s="27">
        <v>215</v>
      </c>
      <c r="E177" s="27">
        <v>57</v>
      </c>
      <c r="F177" s="27">
        <v>0</v>
      </c>
      <c r="G177" s="27">
        <v>0</v>
      </c>
      <c r="H177" s="27">
        <v>109</v>
      </c>
      <c r="I177" s="27">
        <v>105</v>
      </c>
      <c r="J177" s="27">
        <v>0</v>
      </c>
      <c r="K177" s="27">
        <v>0</v>
      </c>
      <c r="L177" s="27">
        <v>105</v>
      </c>
      <c r="M177" s="27">
        <v>104</v>
      </c>
      <c r="N177" s="27">
        <v>93</v>
      </c>
      <c r="O177" s="2351">
        <f>SUM(B177:N177)</f>
        <v>788</v>
      </c>
    </row>
    <row r="178" spans="1:15">
      <c r="A178" s="528" t="s">
        <v>26</v>
      </c>
      <c r="B178" s="27">
        <f>8212-4798</f>
        <v>3414</v>
      </c>
      <c r="D178" s="27">
        <f>7923-4778</f>
        <v>3145</v>
      </c>
      <c r="E178" s="27">
        <f>9197-7142</f>
        <v>2055</v>
      </c>
      <c r="F178" s="27">
        <f>7898-4349</f>
        <v>3549</v>
      </c>
      <c r="G178" s="27">
        <f>7710-4234</f>
        <v>3476</v>
      </c>
      <c r="H178" s="27">
        <f>7830-4335</f>
        <v>3495</v>
      </c>
      <c r="I178" s="27">
        <f>7876-4292</f>
        <v>3584</v>
      </c>
      <c r="J178" s="27">
        <f>8786-5814</f>
        <v>2972</v>
      </c>
      <c r="K178" s="27">
        <f>7777-4538</f>
        <v>3239</v>
      </c>
      <c r="L178" s="27">
        <f>9493-5933</f>
        <v>3560</v>
      </c>
      <c r="M178" s="27">
        <f>8888-5538</f>
        <v>3350</v>
      </c>
      <c r="N178" s="27">
        <f>8710-5946</f>
        <v>2764</v>
      </c>
      <c r="O178" s="2351">
        <f>SUM(B178:N178)</f>
        <v>38603</v>
      </c>
    </row>
    <row r="179" spans="1:15">
      <c r="A179" s="2353" t="s">
        <v>20</v>
      </c>
      <c r="B179" s="2354">
        <f t="shared" ref="B179:N179" si="7">SUM(B175:B178)</f>
        <v>8212</v>
      </c>
      <c r="C179" s="2354"/>
      <c r="D179" s="2355">
        <f t="shared" si="7"/>
        <v>7923</v>
      </c>
      <c r="E179" s="2356">
        <f t="shared" si="7"/>
        <v>9197</v>
      </c>
      <c r="F179" s="2356">
        <f t="shared" si="7"/>
        <v>7898</v>
      </c>
      <c r="G179" s="2356">
        <f t="shared" si="7"/>
        <v>7710</v>
      </c>
      <c r="H179" s="2356">
        <f t="shared" si="7"/>
        <v>7830</v>
      </c>
      <c r="I179" s="2356">
        <f t="shared" si="7"/>
        <v>7876</v>
      </c>
      <c r="J179" s="2356">
        <f t="shared" si="7"/>
        <v>8786</v>
      </c>
      <c r="K179" s="2356">
        <f t="shared" si="7"/>
        <v>7777</v>
      </c>
      <c r="L179" s="2356">
        <f t="shared" si="7"/>
        <v>9493</v>
      </c>
      <c r="M179" s="2356">
        <f t="shared" si="7"/>
        <v>8888</v>
      </c>
      <c r="N179" s="2356">
        <f t="shared" si="7"/>
        <v>8710</v>
      </c>
      <c r="O179" s="2354">
        <f>SUM(B179:N179)</f>
        <v>100300</v>
      </c>
    </row>
    <row r="183" spans="1:15" ht="15.75">
      <c r="A183" s="2774" t="s">
        <v>125</v>
      </c>
      <c r="B183" s="2775"/>
      <c r="C183" s="2775"/>
      <c r="D183" s="2775"/>
      <c r="E183" s="2775"/>
      <c r="F183" s="2775"/>
      <c r="G183" s="2775"/>
      <c r="H183" s="2775"/>
      <c r="I183" s="2775"/>
      <c r="J183" s="2775"/>
      <c r="K183" s="2775"/>
      <c r="L183" s="2775"/>
      <c r="M183" s="2775"/>
      <c r="N183" s="2775"/>
      <c r="O183" s="2776"/>
    </row>
    <row r="184" spans="1:15">
      <c r="A184" s="2345" t="s">
        <v>1</v>
      </c>
      <c r="B184" s="2346" t="s">
        <v>66</v>
      </c>
      <c r="C184" s="2346"/>
      <c r="D184" s="2347" t="s">
        <v>67</v>
      </c>
      <c r="E184" s="1445" t="s">
        <v>68</v>
      </c>
      <c r="F184" s="2347" t="s">
        <v>69</v>
      </c>
      <c r="G184" s="2347" t="s">
        <v>70</v>
      </c>
      <c r="H184" s="2347" t="s">
        <v>71</v>
      </c>
      <c r="I184" s="2347" t="s">
        <v>72</v>
      </c>
      <c r="J184" s="2347" t="s">
        <v>73</v>
      </c>
      <c r="K184" s="1445" t="s">
        <v>74</v>
      </c>
      <c r="L184" s="2347" t="s">
        <v>75</v>
      </c>
      <c r="M184" s="1445" t="s">
        <v>76</v>
      </c>
      <c r="N184" s="2347" t="s">
        <v>77</v>
      </c>
      <c r="O184" s="64" t="s">
        <v>78</v>
      </c>
    </row>
    <row r="185" spans="1:15">
      <c r="A185" s="528" t="s">
        <v>15</v>
      </c>
      <c r="B185" s="2348">
        <v>5795.1610000000001</v>
      </c>
      <c r="C185" s="2348"/>
      <c r="D185" s="2348">
        <v>5442.6329999999998</v>
      </c>
      <c r="E185" s="2348">
        <v>6973.02</v>
      </c>
      <c r="F185" s="2348">
        <v>6665.4459999999999</v>
      </c>
      <c r="G185" s="2348">
        <v>5803.009</v>
      </c>
      <c r="H185" s="2348">
        <v>7059.43</v>
      </c>
      <c r="I185" s="2348">
        <v>7968.5349999999999</v>
      </c>
      <c r="J185" s="2348">
        <v>6749.3549999999996</v>
      </c>
      <c r="K185" s="2348">
        <v>7160.8549999999996</v>
      </c>
      <c r="L185" s="2348">
        <v>7479.6959999999999</v>
      </c>
      <c r="M185" s="2348">
        <v>6906.8360000000002</v>
      </c>
      <c r="N185" s="2348">
        <v>7276.4</v>
      </c>
      <c r="O185" s="2351">
        <f>SUM(B185:N185)</f>
        <v>81280.375999999975</v>
      </c>
    </row>
    <row r="186" spans="1:15">
      <c r="A186" s="528" t="s">
        <v>17</v>
      </c>
      <c r="B186" s="2351">
        <v>1642.9549999999999</v>
      </c>
      <c r="C186" s="2351"/>
      <c r="D186" s="2351">
        <v>1192.9369999999999</v>
      </c>
      <c r="E186" s="2351">
        <v>743.44</v>
      </c>
      <c r="F186" s="2351">
        <v>1724.91</v>
      </c>
      <c r="G186" s="2351">
        <v>2243.11</v>
      </c>
      <c r="H186" s="2351">
        <v>1409.12</v>
      </c>
      <c r="I186" s="2351">
        <v>1436.27</v>
      </c>
      <c r="J186" s="2351">
        <v>892.36</v>
      </c>
      <c r="K186" s="2351">
        <v>613.80999999999995</v>
      </c>
      <c r="L186" s="2351">
        <v>1036.1099999999999</v>
      </c>
      <c r="M186" s="2351">
        <v>1415.15</v>
      </c>
      <c r="N186" s="2351">
        <v>1234.7159999999999</v>
      </c>
      <c r="O186" s="2351">
        <f>SUM(B186:N186)</f>
        <v>15584.888000000003</v>
      </c>
    </row>
    <row r="187" spans="1:15">
      <c r="A187" s="528" t="s">
        <v>18</v>
      </c>
      <c r="B187" s="2351">
        <v>20.669</v>
      </c>
      <c r="C187" s="2351"/>
      <c r="D187" s="2351">
        <v>160.63300000000001</v>
      </c>
      <c r="E187" s="2351">
        <v>17.89</v>
      </c>
      <c r="F187" s="2351">
        <v>369.02699999999999</v>
      </c>
      <c r="G187" s="2351">
        <v>31.8</v>
      </c>
      <c r="H187" s="2351">
        <v>71.239999999999995</v>
      </c>
      <c r="I187" s="2351">
        <v>44.77</v>
      </c>
      <c r="J187" s="2351">
        <v>65.099999999999994</v>
      </c>
      <c r="K187" s="2351">
        <v>18.37</v>
      </c>
      <c r="L187" s="2351">
        <v>0</v>
      </c>
      <c r="M187" s="2351">
        <v>83.31</v>
      </c>
      <c r="N187" s="2351">
        <v>43.850999999999999</v>
      </c>
      <c r="O187" s="2351">
        <f>SUM(B187:N187)</f>
        <v>926.66</v>
      </c>
    </row>
    <row r="188" spans="1:15">
      <c r="A188" s="528" t="s">
        <v>19</v>
      </c>
      <c r="B188" s="2351">
        <v>1064.5609999999999</v>
      </c>
      <c r="C188" s="2351"/>
      <c r="D188" s="2351">
        <v>863.65499999999997</v>
      </c>
      <c r="E188" s="2351">
        <v>909.96100000000001</v>
      </c>
      <c r="F188" s="2351">
        <v>1350.2660000000001</v>
      </c>
      <c r="G188" s="2351">
        <v>1210.136</v>
      </c>
      <c r="H188" s="2351">
        <v>1567.607</v>
      </c>
      <c r="I188" s="2351">
        <v>1067.115</v>
      </c>
      <c r="J188" s="2351">
        <v>1627.8389999999999</v>
      </c>
      <c r="K188" s="2351">
        <v>1816.56</v>
      </c>
      <c r="L188" s="2351">
        <v>1835.125</v>
      </c>
      <c r="M188" s="2351">
        <v>1220.663</v>
      </c>
      <c r="N188" s="2351">
        <v>1290.0719999999999</v>
      </c>
      <c r="O188" s="2351">
        <f>SUM(B188:N188)</f>
        <v>15823.56</v>
      </c>
    </row>
    <row r="189" spans="1:15">
      <c r="A189" s="2353" t="s">
        <v>20</v>
      </c>
      <c r="B189" s="2354">
        <f>SUM(B184:B188)</f>
        <v>8523.3459999999995</v>
      </c>
      <c r="C189" s="2354"/>
      <c r="D189" s="2354">
        <f t="shared" ref="D189:N189" si="8">SUM(D184:D188)</f>
        <v>7659.8579999999993</v>
      </c>
      <c r="E189" s="2354">
        <f t="shared" si="8"/>
        <v>8644.3110000000015</v>
      </c>
      <c r="F189" s="2354">
        <f t="shared" si="8"/>
        <v>10109.648999999999</v>
      </c>
      <c r="G189" s="2354">
        <f t="shared" si="8"/>
        <v>9288.0550000000003</v>
      </c>
      <c r="H189" s="2354">
        <f t="shared" si="8"/>
        <v>10107.396999999999</v>
      </c>
      <c r="I189" s="2354">
        <f t="shared" si="8"/>
        <v>10516.69</v>
      </c>
      <c r="J189" s="2354">
        <f t="shared" si="8"/>
        <v>9334.6539999999986</v>
      </c>
      <c r="K189" s="2354">
        <f t="shared" si="8"/>
        <v>9609.5949999999993</v>
      </c>
      <c r="L189" s="2354">
        <f t="shared" si="8"/>
        <v>10350.931</v>
      </c>
      <c r="M189" s="2354">
        <f t="shared" si="8"/>
        <v>9625.9590000000007</v>
      </c>
      <c r="N189" s="2354">
        <f t="shared" si="8"/>
        <v>9845.0390000000007</v>
      </c>
      <c r="O189" s="2354">
        <f>SUM(B189:N189)</f>
        <v>113615.484</v>
      </c>
    </row>
    <row r="193" spans="1:26" ht="15.75">
      <c r="A193" s="2774" t="s">
        <v>126</v>
      </c>
      <c r="B193" s="2775"/>
      <c r="C193" s="2775"/>
      <c r="D193" s="2775"/>
      <c r="E193" s="2775"/>
      <c r="F193" s="2775"/>
      <c r="G193" s="2775"/>
      <c r="H193" s="2775"/>
      <c r="I193" s="2775"/>
      <c r="J193" s="2775"/>
      <c r="K193" s="2775"/>
      <c r="L193" s="2775"/>
      <c r="M193" s="2775"/>
      <c r="N193" s="2775"/>
      <c r="O193" s="2776"/>
    </row>
    <row r="194" spans="1:26">
      <c r="A194" s="2345" t="s">
        <v>1</v>
      </c>
      <c r="B194" s="2361" t="s">
        <v>91</v>
      </c>
      <c r="C194" s="2361"/>
      <c r="D194" s="2361" t="s">
        <v>92</v>
      </c>
      <c r="E194" s="2361" t="s">
        <v>93</v>
      </c>
      <c r="F194" s="2361" t="s">
        <v>94</v>
      </c>
      <c r="G194" s="2361" t="s">
        <v>84</v>
      </c>
      <c r="H194" s="2362" t="s">
        <v>85</v>
      </c>
      <c r="I194" s="2361" t="s">
        <v>86</v>
      </c>
      <c r="J194" s="2370" t="s">
        <v>87</v>
      </c>
      <c r="K194" s="2361" t="s">
        <v>88</v>
      </c>
      <c r="L194" s="2361" t="s">
        <v>95</v>
      </c>
      <c r="M194" s="2371" t="s">
        <v>96</v>
      </c>
      <c r="N194" s="2372" t="s">
        <v>97</v>
      </c>
      <c r="O194" s="2345" t="s">
        <v>98</v>
      </c>
    </row>
    <row r="195" spans="1:26">
      <c r="A195" s="528" t="s">
        <v>15</v>
      </c>
      <c r="B195" s="2348">
        <v>6203</v>
      </c>
      <c r="C195" s="2348"/>
      <c r="D195" s="2348">
        <v>6441</v>
      </c>
      <c r="E195" s="2348">
        <v>8424</v>
      </c>
      <c r="F195" s="2348">
        <v>5026</v>
      </c>
      <c r="G195" s="2348">
        <v>6216</v>
      </c>
      <c r="H195" s="2348">
        <v>6625</v>
      </c>
      <c r="I195" s="2348">
        <v>8176</v>
      </c>
      <c r="J195" s="2348">
        <v>6912</v>
      </c>
      <c r="K195" s="2348">
        <v>6328</v>
      </c>
      <c r="L195" s="2348">
        <v>6981</v>
      </c>
      <c r="M195" s="2348">
        <v>8105</v>
      </c>
      <c r="N195" s="2348">
        <v>5435</v>
      </c>
      <c r="O195" s="2351">
        <f>SUM(B195:N195)</f>
        <v>80872</v>
      </c>
    </row>
    <row r="196" spans="1:26">
      <c r="A196" s="528" t="s">
        <v>17</v>
      </c>
      <c r="B196" s="2351">
        <v>662</v>
      </c>
      <c r="C196" s="2351"/>
      <c r="D196" s="2351">
        <v>755</v>
      </c>
      <c r="E196" s="2351">
        <v>1153</v>
      </c>
      <c r="F196" s="2351">
        <v>1516</v>
      </c>
      <c r="G196" s="2351">
        <v>1530</v>
      </c>
      <c r="H196" s="2351">
        <v>930</v>
      </c>
      <c r="I196" s="2351">
        <v>873</v>
      </c>
      <c r="J196" s="2351">
        <v>874</v>
      </c>
      <c r="K196" s="2351">
        <v>923</v>
      </c>
      <c r="L196" s="2351">
        <v>689</v>
      </c>
      <c r="M196" s="2351">
        <v>489</v>
      </c>
      <c r="N196" s="2351">
        <v>411</v>
      </c>
      <c r="O196" s="2351">
        <f>SUM(B196:N196)</f>
        <v>10805</v>
      </c>
    </row>
    <row r="197" spans="1:26">
      <c r="A197" s="528" t="s">
        <v>18</v>
      </c>
      <c r="B197" s="2351">
        <v>81</v>
      </c>
      <c r="C197" s="2351"/>
      <c r="D197" s="2351">
        <v>95</v>
      </c>
      <c r="E197" s="2351">
        <v>64</v>
      </c>
      <c r="F197" s="2351">
        <v>7</v>
      </c>
      <c r="G197" s="2351">
        <v>148</v>
      </c>
      <c r="H197" s="2351">
        <v>7</v>
      </c>
      <c r="I197" s="2351">
        <v>85</v>
      </c>
      <c r="J197" s="2351">
        <v>130</v>
      </c>
      <c r="K197" s="2351">
        <v>19</v>
      </c>
      <c r="L197" s="2351">
        <v>40</v>
      </c>
      <c r="M197" s="2351">
        <v>0</v>
      </c>
      <c r="N197" s="2351">
        <v>21</v>
      </c>
      <c r="O197" s="2351">
        <f>SUM(B197:N197)</f>
        <v>697</v>
      </c>
    </row>
    <row r="198" spans="1:26">
      <c r="A198" s="528" t="s">
        <v>19</v>
      </c>
      <c r="B198" s="2351">
        <f>8218.839-6203-662-81</f>
        <v>1272.8389999999999</v>
      </c>
      <c r="C198" s="2351"/>
      <c r="D198" s="2351">
        <f>8016-95-6441-755</f>
        <v>725</v>
      </c>
      <c r="E198" s="2351">
        <f>10569-9641</f>
        <v>928</v>
      </c>
      <c r="F198" s="2351">
        <f>7047-6549</f>
        <v>498</v>
      </c>
      <c r="G198" s="2351">
        <f>9195-7894</f>
        <v>1301</v>
      </c>
      <c r="H198" s="2351">
        <f>8767-7562</f>
        <v>1205</v>
      </c>
      <c r="I198" s="2351">
        <f>10079-9134</f>
        <v>945</v>
      </c>
      <c r="J198" s="2351">
        <f>9224-7916</f>
        <v>1308</v>
      </c>
      <c r="K198" s="2351">
        <f>8532-7270</f>
        <v>1262</v>
      </c>
      <c r="L198" s="2351">
        <f>9031-7710</f>
        <v>1321</v>
      </c>
      <c r="M198" s="2351">
        <f>10037-8594</f>
        <v>1443</v>
      </c>
      <c r="N198" s="2351">
        <f>7126-5867</f>
        <v>1259</v>
      </c>
      <c r="O198" s="2351">
        <f>SUM(B198:N198)</f>
        <v>13467.839</v>
      </c>
    </row>
    <row r="199" spans="1:26">
      <c r="A199" s="2353" t="s">
        <v>20</v>
      </c>
      <c r="B199" s="2354">
        <f>SUM(B194:B198)</f>
        <v>8218.8389999999999</v>
      </c>
      <c r="C199" s="2354"/>
      <c r="D199" s="2354">
        <f t="shared" ref="D199:N199" si="9">SUM(D194:D198)</f>
        <v>8016</v>
      </c>
      <c r="E199" s="2354">
        <f t="shared" si="9"/>
        <v>10569</v>
      </c>
      <c r="F199" s="2354">
        <f t="shared" si="9"/>
        <v>7047</v>
      </c>
      <c r="G199" s="2354">
        <f t="shared" si="9"/>
        <v>9195</v>
      </c>
      <c r="H199" s="2354">
        <f t="shared" si="9"/>
        <v>8767</v>
      </c>
      <c r="I199" s="2354">
        <f t="shared" si="9"/>
        <v>10079</v>
      </c>
      <c r="J199" s="2354">
        <f t="shared" si="9"/>
        <v>9224</v>
      </c>
      <c r="K199" s="2354">
        <f t="shared" si="9"/>
        <v>8532</v>
      </c>
      <c r="L199" s="2354">
        <f t="shared" si="9"/>
        <v>9031</v>
      </c>
      <c r="M199" s="2354">
        <f t="shared" si="9"/>
        <v>10037</v>
      </c>
      <c r="N199" s="2354">
        <f t="shared" si="9"/>
        <v>7126</v>
      </c>
      <c r="O199" s="2354">
        <f>SUM(B199:N199)</f>
        <v>105841.83900000001</v>
      </c>
    </row>
    <row r="200" spans="1:26">
      <c r="W200">
        <v>1</v>
      </c>
      <c r="X200">
        <v>5</v>
      </c>
      <c r="Y200">
        <f>+Z200*X200/100</f>
        <v>8548.5</v>
      </c>
      <c r="Z200">
        <v>170970</v>
      </c>
    </row>
    <row r="201" spans="1:26">
      <c r="W201">
        <v>2</v>
      </c>
      <c r="X201">
        <v>4</v>
      </c>
      <c r="Y201">
        <f t="shared" ref="Y201:Y208" si="10">+Z201*X201/100</f>
        <v>6838.8</v>
      </c>
      <c r="Z201">
        <v>170970</v>
      </c>
    </row>
    <row r="202" spans="1:26" ht="15.75">
      <c r="A202" s="2803"/>
      <c r="B202" s="2803"/>
      <c r="C202" s="2803"/>
      <c r="D202" s="2803"/>
      <c r="E202" s="2803"/>
      <c r="F202" s="2803"/>
      <c r="G202" s="2803"/>
      <c r="H202" s="2803"/>
      <c r="I202" s="2803"/>
      <c r="J202" s="2803"/>
      <c r="K202" s="2803"/>
      <c r="L202" s="2803"/>
      <c r="M202" s="2803"/>
      <c r="N202" s="2803"/>
      <c r="O202" s="2803"/>
      <c r="W202">
        <v>3</v>
      </c>
      <c r="X202">
        <v>2</v>
      </c>
      <c r="Y202">
        <f t="shared" si="10"/>
        <v>3419.4</v>
      </c>
      <c r="Z202">
        <v>170970</v>
      </c>
    </row>
    <row r="203" spans="1:26" ht="15.75">
      <c r="A203" s="2774" t="s">
        <v>127</v>
      </c>
      <c r="B203" s="2775"/>
      <c r="C203" s="2775"/>
      <c r="D203" s="2775"/>
      <c r="E203" s="2775"/>
      <c r="F203" s="2775"/>
      <c r="G203" s="2775"/>
      <c r="H203" s="2775"/>
      <c r="I203" s="2775"/>
      <c r="J203" s="2775"/>
      <c r="K203" s="2775"/>
      <c r="L203" s="2775"/>
      <c r="M203" s="2775"/>
      <c r="N203" s="2775"/>
      <c r="O203" s="2776"/>
      <c r="W203">
        <v>4</v>
      </c>
      <c r="X203">
        <v>4</v>
      </c>
      <c r="Y203">
        <f t="shared" si="10"/>
        <v>6838.8</v>
      </c>
      <c r="Z203">
        <v>170970</v>
      </c>
    </row>
    <row r="204" spans="1:26">
      <c r="A204" s="2345" t="s">
        <v>1</v>
      </c>
      <c r="B204" s="2361" t="s">
        <v>91</v>
      </c>
      <c r="C204" s="2361"/>
      <c r="D204" s="2361" t="s">
        <v>92</v>
      </c>
      <c r="E204" s="2361" t="s">
        <v>93</v>
      </c>
      <c r="F204" s="2361" t="s">
        <v>94</v>
      </c>
      <c r="G204" s="2361" t="s">
        <v>84</v>
      </c>
      <c r="H204" s="2362" t="s">
        <v>85</v>
      </c>
      <c r="I204" s="2361" t="s">
        <v>86</v>
      </c>
      <c r="J204" s="2370" t="s">
        <v>87</v>
      </c>
      <c r="K204" s="2361" t="s">
        <v>88</v>
      </c>
      <c r="L204" s="2361" t="s">
        <v>95</v>
      </c>
      <c r="M204" s="2371" t="s">
        <v>96</v>
      </c>
      <c r="N204" s="2372" t="s">
        <v>97</v>
      </c>
      <c r="O204" s="2345" t="s">
        <v>98</v>
      </c>
      <c r="W204">
        <v>5</v>
      </c>
      <c r="X204">
        <v>5</v>
      </c>
      <c r="Y204">
        <f t="shared" si="10"/>
        <v>8548.5</v>
      </c>
      <c r="Z204">
        <v>170970</v>
      </c>
    </row>
    <row r="205" spans="1:26">
      <c r="A205" s="528" t="s">
        <v>15</v>
      </c>
      <c r="B205" s="2348">
        <v>6797</v>
      </c>
      <c r="C205" s="2348"/>
      <c r="D205" s="2348">
        <v>4920</v>
      </c>
      <c r="E205" s="2348">
        <v>11260</v>
      </c>
      <c r="F205" s="2348">
        <v>6132</v>
      </c>
      <c r="G205" s="2348">
        <v>6718</v>
      </c>
      <c r="H205" s="2348">
        <v>7031</v>
      </c>
      <c r="I205" s="2348">
        <v>7912</v>
      </c>
      <c r="J205" s="2348">
        <v>6018</v>
      </c>
      <c r="K205" s="2348">
        <v>7396</v>
      </c>
      <c r="L205" s="2348">
        <v>6456</v>
      </c>
      <c r="M205" s="2348">
        <v>6186</v>
      </c>
      <c r="N205" s="2348">
        <v>5962</v>
      </c>
      <c r="O205" s="2351">
        <f>SUM(B205:N205)</f>
        <v>82788</v>
      </c>
      <c r="W205">
        <v>6</v>
      </c>
      <c r="X205">
        <v>5</v>
      </c>
      <c r="Y205">
        <f t="shared" si="10"/>
        <v>8548.5</v>
      </c>
      <c r="Z205">
        <v>170970</v>
      </c>
    </row>
    <row r="206" spans="1:26">
      <c r="A206" s="528" t="s">
        <v>17</v>
      </c>
      <c r="B206" s="2351">
        <v>809</v>
      </c>
      <c r="C206" s="2351"/>
      <c r="D206" s="2351">
        <v>839</v>
      </c>
      <c r="E206" s="2351">
        <v>1100</v>
      </c>
      <c r="F206" s="2351">
        <v>1375</v>
      </c>
      <c r="G206" s="2351">
        <v>1923</v>
      </c>
      <c r="H206" s="2351">
        <v>847</v>
      </c>
      <c r="I206" s="2351">
        <v>1139</v>
      </c>
      <c r="J206" s="2351">
        <v>678</v>
      </c>
      <c r="K206" s="2351">
        <v>873</v>
      </c>
      <c r="L206" s="2351">
        <v>691</v>
      </c>
      <c r="M206" s="2351">
        <v>651</v>
      </c>
      <c r="N206" s="2351">
        <v>372</v>
      </c>
      <c r="O206" s="2351">
        <f>SUM(B206:N206)</f>
        <v>11297</v>
      </c>
      <c r="W206">
        <v>7</v>
      </c>
      <c r="X206">
        <v>4</v>
      </c>
      <c r="Y206">
        <f t="shared" si="10"/>
        <v>6838.8</v>
      </c>
      <c r="Z206">
        <v>170970</v>
      </c>
    </row>
    <row r="207" spans="1:26">
      <c r="A207" s="528" t="s">
        <v>18</v>
      </c>
      <c r="B207" s="2351">
        <v>12</v>
      </c>
      <c r="C207" s="2351"/>
      <c r="D207" s="2351">
        <v>93</v>
      </c>
      <c r="E207" s="2351">
        <v>136</v>
      </c>
      <c r="F207" s="2351">
        <v>29</v>
      </c>
      <c r="G207" s="2351">
        <v>29</v>
      </c>
      <c r="H207" s="2351">
        <v>48</v>
      </c>
      <c r="I207" s="2351">
        <v>26</v>
      </c>
      <c r="J207" s="2351">
        <v>30</v>
      </c>
      <c r="K207" s="2351">
        <v>27</v>
      </c>
      <c r="L207" s="2351">
        <v>126</v>
      </c>
      <c r="M207" s="2351">
        <v>25</v>
      </c>
      <c r="N207" s="2351">
        <v>9</v>
      </c>
      <c r="O207" s="2351">
        <f>SUM(B207:N207)</f>
        <v>590</v>
      </c>
      <c r="W207">
        <v>8</v>
      </c>
      <c r="X207">
        <v>2</v>
      </c>
      <c r="Y207">
        <f t="shared" si="10"/>
        <v>3419.4</v>
      </c>
      <c r="Z207">
        <v>170970</v>
      </c>
    </row>
    <row r="208" spans="1:26">
      <c r="A208" s="528" t="s">
        <v>19</v>
      </c>
      <c r="B208" s="2351">
        <f>8809-7618</f>
        <v>1191</v>
      </c>
      <c r="C208" s="2351"/>
      <c r="D208" s="2351">
        <f>6820-5852</f>
        <v>968</v>
      </c>
      <c r="E208" s="2351">
        <f>13546-12496</f>
        <v>1050</v>
      </c>
      <c r="F208" s="2351">
        <f>8215-7536</f>
        <v>679</v>
      </c>
      <c r="G208" s="2351">
        <f>9839-8670</f>
        <v>1169</v>
      </c>
      <c r="H208" s="2351">
        <f>9003-7926</f>
        <v>1077</v>
      </c>
      <c r="I208" s="2351">
        <f>10245-9077</f>
        <v>1168</v>
      </c>
      <c r="J208" s="2351">
        <f>8044-6726</f>
        <v>1318</v>
      </c>
      <c r="K208" s="2351">
        <f>9485-8296</f>
        <v>1189</v>
      </c>
      <c r="L208" s="2351">
        <f>8522-7273</f>
        <v>1249</v>
      </c>
      <c r="M208" s="2351">
        <f>8314-6862</f>
        <v>1452</v>
      </c>
      <c r="N208" s="2351">
        <f>7407-6343</f>
        <v>1064</v>
      </c>
      <c r="O208" s="2351">
        <f>SUM(B208:N208)</f>
        <v>13574</v>
      </c>
      <c r="W208">
        <v>9</v>
      </c>
      <c r="X208">
        <v>5</v>
      </c>
      <c r="Y208">
        <f t="shared" si="10"/>
        <v>8548.5</v>
      </c>
      <c r="Z208">
        <v>170970</v>
      </c>
    </row>
    <row r="209" spans="1:26">
      <c r="A209" s="2353" t="s">
        <v>20</v>
      </c>
      <c r="B209" s="2354">
        <f>SUM(B204:B208)</f>
        <v>8809</v>
      </c>
      <c r="C209" s="2354"/>
      <c r="D209" s="2354">
        <f t="shared" ref="D209:N209" si="11">SUM(D204:D208)</f>
        <v>6820</v>
      </c>
      <c r="E209" s="2354">
        <f t="shared" si="11"/>
        <v>13546</v>
      </c>
      <c r="F209" s="2354">
        <f t="shared" si="11"/>
        <v>8215</v>
      </c>
      <c r="G209" s="2354">
        <f t="shared" si="11"/>
        <v>9839</v>
      </c>
      <c r="H209" s="2354">
        <f t="shared" si="11"/>
        <v>9003</v>
      </c>
      <c r="I209" s="2354">
        <f t="shared" si="11"/>
        <v>10245</v>
      </c>
      <c r="J209" s="2354">
        <f t="shared" si="11"/>
        <v>8044</v>
      </c>
      <c r="K209" s="2354">
        <f t="shared" si="11"/>
        <v>9485</v>
      </c>
      <c r="L209" s="2354">
        <f t="shared" si="11"/>
        <v>8522</v>
      </c>
      <c r="M209" s="2354">
        <f t="shared" si="11"/>
        <v>8314</v>
      </c>
      <c r="N209" s="2354">
        <f t="shared" si="11"/>
        <v>7407</v>
      </c>
      <c r="O209" s="2354">
        <f>SUM(B209:N209)</f>
        <v>108249</v>
      </c>
      <c r="W209">
        <v>10</v>
      </c>
      <c r="Z209">
        <v>170970</v>
      </c>
    </row>
    <row r="210" spans="1:26">
      <c r="W210">
        <v>11</v>
      </c>
      <c r="Z210">
        <v>170970</v>
      </c>
    </row>
    <row r="211" spans="1:26">
      <c r="W211">
        <v>12</v>
      </c>
      <c r="X211">
        <v>15</v>
      </c>
      <c r="Y211">
        <f>+Z211*X211/100</f>
        <v>25645.5</v>
      </c>
      <c r="Z211">
        <v>170970</v>
      </c>
    </row>
    <row r="212" spans="1:26" ht="15.75">
      <c r="A212" s="2774" t="s">
        <v>90</v>
      </c>
      <c r="B212" s="2778"/>
      <c r="C212" s="2778"/>
      <c r="D212" s="2778"/>
      <c r="E212" s="2778"/>
      <c r="F212" s="2778"/>
      <c r="G212" s="2778"/>
      <c r="H212" s="2778"/>
      <c r="I212" s="2778"/>
      <c r="J212" s="2778"/>
      <c r="K212" s="2778"/>
      <c r="L212" s="2778"/>
      <c r="M212" s="2775"/>
      <c r="N212" s="2775"/>
      <c r="O212" s="2781"/>
      <c r="W212">
        <v>13</v>
      </c>
      <c r="X212">
        <v>10</v>
      </c>
      <c r="Y212">
        <f>+Z212*X212/100</f>
        <v>17097</v>
      </c>
      <c r="Z212">
        <v>170970</v>
      </c>
    </row>
    <row r="213" spans="1:26">
      <c r="A213" s="2360" t="s">
        <v>79</v>
      </c>
      <c r="B213" s="2361" t="s">
        <v>91</v>
      </c>
      <c r="C213" s="2361"/>
      <c r="D213" s="2361" t="s">
        <v>92</v>
      </c>
      <c r="E213" s="2361" t="s">
        <v>93</v>
      </c>
      <c r="F213" s="2361" t="s">
        <v>94</v>
      </c>
      <c r="G213" s="2361" t="s">
        <v>84</v>
      </c>
      <c r="H213" s="2362" t="s">
        <v>85</v>
      </c>
      <c r="I213" s="2361" t="s">
        <v>86</v>
      </c>
      <c r="J213" s="2370" t="s">
        <v>87</v>
      </c>
      <c r="K213" s="2361" t="s">
        <v>88</v>
      </c>
      <c r="L213" s="2361" t="s">
        <v>95</v>
      </c>
      <c r="M213" s="2371" t="s">
        <v>96</v>
      </c>
      <c r="N213" s="2372" t="s">
        <v>97</v>
      </c>
      <c r="O213" s="2345" t="s">
        <v>98</v>
      </c>
    </row>
    <row r="214" spans="1:26">
      <c r="A214" s="522" t="s">
        <v>81</v>
      </c>
      <c r="B214" s="528">
        <v>7352</v>
      </c>
      <c r="C214" s="528"/>
      <c r="D214" s="528">
        <v>4698</v>
      </c>
      <c r="E214" s="528">
        <v>6905</v>
      </c>
      <c r="F214" s="528">
        <v>4969</v>
      </c>
      <c r="G214" s="528">
        <v>5594</v>
      </c>
      <c r="H214" s="528">
        <v>6585</v>
      </c>
      <c r="I214" s="528">
        <v>8131</v>
      </c>
      <c r="J214" s="528">
        <v>7465</v>
      </c>
      <c r="K214" s="528">
        <v>6674</v>
      </c>
      <c r="L214" s="528">
        <v>6741</v>
      </c>
      <c r="M214" s="528">
        <v>7521</v>
      </c>
      <c r="N214" s="528">
        <v>5471</v>
      </c>
      <c r="O214" s="2375">
        <f>SUM(B214:N214)</f>
        <v>78106</v>
      </c>
    </row>
    <row r="215" spans="1:26">
      <c r="A215" s="522" t="s">
        <v>26</v>
      </c>
      <c r="B215" s="528">
        <f>9826-7352</f>
        <v>2474</v>
      </c>
      <c r="C215" s="528"/>
      <c r="D215" s="528">
        <f>7212-4698-204</f>
        <v>2310</v>
      </c>
      <c r="E215" s="528">
        <f>9151-6905</f>
        <v>2246</v>
      </c>
      <c r="F215" s="528">
        <f>7775-4969-304</f>
        <v>2502</v>
      </c>
      <c r="G215" s="528">
        <f>9001-5594</f>
        <v>3407</v>
      </c>
      <c r="H215" s="528">
        <f>9193-6585-210</f>
        <v>2398</v>
      </c>
      <c r="I215" s="528">
        <f>10225-8131-52</f>
        <v>2042</v>
      </c>
      <c r="J215" s="528">
        <f>10298-7465</f>
        <v>2833</v>
      </c>
      <c r="K215" s="528">
        <f>9843-6674-53</f>
        <v>3116</v>
      </c>
      <c r="L215" s="528">
        <f>9579-6741</f>
        <v>2838</v>
      </c>
      <c r="M215" s="528">
        <f>9937-7521</f>
        <v>2416</v>
      </c>
      <c r="N215" s="528">
        <f>8186-5471-101</f>
        <v>2614</v>
      </c>
      <c r="O215" s="2375">
        <f>SUM(B215:N215)</f>
        <v>31196</v>
      </c>
    </row>
    <row r="216" spans="1:26">
      <c r="A216" s="522" t="s">
        <v>99</v>
      </c>
      <c r="B216" s="2364">
        <v>0</v>
      </c>
      <c r="C216" s="2364"/>
      <c r="D216" s="2364">
        <v>204</v>
      </c>
      <c r="E216" s="2364"/>
      <c r="F216" s="2364">
        <v>304</v>
      </c>
      <c r="G216" s="2364"/>
      <c r="H216" s="2364">
        <v>210</v>
      </c>
      <c r="I216" s="2364">
        <v>52</v>
      </c>
      <c r="J216" s="2364"/>
      <c r="K216" s="2364">
        <v>53</v>
      </c>
      <c r="L216" s="2364"/>
      <c r="M216" s="2364"/>
      <c r="N216" s="2364">
        <v>101</v>
      </c>
      <c r="O216" s="2375">
        <f>SUM(B216:N216)</f>
        <v>924</v>
      </c>
    </row>
    <row r="217" spans="1:26">
      <c r="A217" s="522" t="s">
        <v>36</v>
      </c>
      <c r="B217" s="2353">
        <f t="shared" ref="B217:N217" si="12">+B214+B215+B216</f>
        <v>9826</v>
      </c>
      <c r="C217" s="2353"/>
      <c r="D217" s="2353">
        <f t="shared" si="12"/>
        <v>7212</v>
      </c>
      <c r="E217" s="2353">
        <f t="shared" si="12"/>
        <v>9151</v>
      </c>
      <c r="F217" s="2353">
        <f t="shared" si="12"/>
        <v>7775</v>
      </c>
      <c r="G217" s="2353">
        <f t="shared" si="12"/>
        <v>9001</v>
      </c>
      <c r="H217" s="2353">
        <f t="shared" si="12"/>
        <v>9193</v>
      </c>
      <c r="I217" s="2353">
        <f t="shared" si="12"/>
        <v>10225</v>
      </c>
      <c r="J217" s="2353">
        <f t="shared" si="12"/>
        <v>10298</v>
      </c>
      <c r="K217" s="2353">
        <f t="shared" si="12"/>
        <v>9843</v>
      </c>
      <c r="L217" s="2353">
        <f t="shared" si="12"/>
        <v>9579</v>
      </c>
      <c r="M217" s="2353">
        <f t="shared" si="12"/>
        <v>9937</v>
      </c>
      <c r="N217" s="2353">
        <f t="shared" si="12"/>
        <v>8186</v>
      </c>
      <c r="O217" s="2355">
        <f>SUM(B217:N217)</f>
        <v>110226</v>
      </c>
    </row>
    <row r="220" spans="1:26">
      <c r="A220" s="102" t="s">
        <v>128</v>
      </c>
      <c r="B220" s="103" t="s">
        <v>129</v>
      </c>
      <c r="C220" s="103"/>
      <c r="D220" s="103"/>
      <c r="E220" s="103"/>
      <c r="F220" s="103"/>
      <c r="G220" s="2359"/>
      <c r="H220" s="2359"/>
      <c r="I220" s="2359"/>
      <c r="J220" s="2359"/>
      <c r="K220" s="2357"/>
    </row>
    <row r="221" spans="1:26">
      <c r="A221" s="17"/>
      <c r="B221" s="18"/>
      <c r="C221" s="18"/>
      <c r="D221" s="18"/>
      <c r="E221" s="18"/>
      <c r="F221" s="18"/>
      <c r="J221" s="2793"/>
      <c r="K221" s="2802"/>
    </row>
    <row r="222" spans="1:26">
      <c r="A222" s="17"/>
      <c r="B222" s="18" t="s">
        <v>130</v>
      </c>
      <c r="C222" s="18"/>
      <c r="D222" s="2793" t="s">
        <v>131</v>
      </c>
      <c r="E222" s="2793"/>
      <c r="F222" s="2793" t="s">
        <v>132</v>
      </c>
      <c r="G222" s="2793"/>
      <c r="H222" s="2793" t="s">
        <v>133</v>
      </c>
      <c r="I222" s="2793"/>
      <c r="J222" s="2793" t="s">
        <v>134</v>
      </c>
      <c r="K222" s="2802"/>
    </row>
    <row r="223" spans="1:26">
      <c r="A223" s="17" t="s">
        <v>135</v>
      </c>
      <c r="B223" s="18"/>
      <c r="C223" s="18"/>
      <c r="D223" s="18" t="s">
        <v>136</v>
      </c>
      <c r="E223" s="18" t="s">
        <v>137</v>
      </c>
      <c r="F223" s="18" t="s">
        <v>136</v>
      </c>
      <c r="G223" s="18" t="s">
        <v>137</v>
      </c>
      <c r="H223" s="18" t="s">
        <v>136</v>
      </c>
      <c r="I223" s="18" t="s">
        <v>137</v>
      </c>
      <c r="J223" s="18" t="s">
        <v>136</v>
      </c>
      <c r="K223" s="24" t="s">
        <v>137</v>
      </c>
    </row>
    <row r="224" spans="1:26">
      <c r="A224" s="17" t="s">
        <v>36</v>
      </c>
      <c r="B224" s="18"/>
      <c r="C224" s="18"/>
      <c r="D224" s="18">
        <v>208</v>
      </c>
      <c r="E224" s="2397">
        <v>43974</v>
      </c>
      <c r="F224" s="18" t="s">
        <v>138</v>
      </c>
      <c r="G224" s="2397">
        <v>43989</v>
      </c>
      <c r="H224" s="18">
        <v>262</v>
      </c>
      <c r="I224" s="2397">
        <v>44042</v>
      </c>
      <c r="J224" s="18">
        <v>267</v>
      </c>
      <c r="K224" s="1417">
        <v>43989</v>
      </c>
    </row>
    <row r="225" spans="1:11">
      <c r="A225" s="17" t="s">
        <v>139</v>
      </c>
      <c r="B225" s="18"/>
      <c r="C225" s="18"/>
      <c r="D225" s="18">
        <v>295</v>
      </c>
      <c r="E225" s="2397">
        <v>43974</v>
      </c>
      <c r="F225" s="18">
        <v>388</v>
      </c>
      <c r="G225" s="2397">
        <v>43990</v>
      </c>
      <c r="H225" s="18">
        <v>328</v>
      </c>
      <c r="I225" s="2397">
        <v>44043</v>
      </c>
      <c r="J225" s="18" t="s">
        <v>140</v>
      </c>
      <c r="K225" s="1417">
        <v>43990</v>
      </c>
    </row>
    <row r="226" spans="1:11">
      <c r="A226" s="17" t="s">
        <v>141</v>
      </c>
      <c r="B226" s="18">
        <v>96</v>
      </c>
      <c r="C226" s="1414">
        <v>43950</v>
      </c>
      <c r="D226" s="18">
        <v>266</v>
      </c>
      <c r="E226" s="2397">
        <v>43981</v>
      </c>
      <c r="F226" s="18">
        <v>273</v>
      </c>
      <c r="G226" s="2397">
        <v>44002</v>
      </c>
      <c r="H226" s="18">
        <v>300</v>
      </c>
      <c r="I226" s="2397">
        <v>44042</v>
      </c>
      <c r="J226" s="18">
        <v>300</v>
      </c>
      <c r="K226" s="1417">
        <v>44042</v>
      </c>
    </row>
    <row r="227" spans="1:11">
      <c r="A227" s="17" t="s">
        <v>142</v>
      </c>
      <c r="B227" s="18">
        <v>104</v>
      </c>
      <c r="C227" s="1414">
        <v>43949</v>
      </c>
      <c r="D227" s="18">
        <v>577</v>
      </c>
      <c r="E227" s="2397">
        <v>43959</v>
      </c>
      <c r="F227" s="18">
        <v>406</v>
      </c>
      <c r="G227" s="2397">
        <v>44006</v>
      </c>
      <c r="H227" s="18">
        <v>424</v>
      </c>
      <c r="I227" s="2397">
        <v>44036</v>
      </c>
      <c r="J227" s="18">
        <v>577</v>
      </c>
      <c r="K227" s="1417">
        <v>43959</v>
      </c>
    </row>
    <row r="228" spans="1:11">
      <c r="A228" s="17" t="s">
        <v>143</v>
      </c>
      <c r="B228" s="18"/>
      <c r="C228" s="18"/>
      <c r="D228" s="18"/>
      <c r="F228" s="18"/>
      <c r="H228" s="18"/>
      <c r="J228" s="18"/>
      <c r="K228" s="24"/>
    </row>
    <row r="229" spans="1:11">
      <c r="A229" s="17" t="s">
        <v>36</v>
      </c>
      <c r="B229" s="18"/>
      <c r="C229" s="18"/>
      <c r="D229" s="18">
        <v>2272</v>
      </c>
      <c r="F229" s="18">
        <v>3808</v>
      </c>
      <c r="H229" s="18">
        <v>5164</v>
      </c>
      <c r="J229" s="18">
        <v>5164</v>
      </c>
      <c r="K229" s="24" t="s">
        <v>133</v>
      </c>
    </row>
    <row r="230" spans="1:11">
      <c r="A230" s="17" t="s">
        <v>139</v>
      </c>
      <c r="B230" s="18"/>
      <c r="C230" s="18"/>
      <c r="D230" s="18">
        <v>2025</v>
      </c>
      <c r="F230" s="18">
        <v>3718</v>
      </c>
      <c r="H230" s="18">
        <v>5391</v>
      </c>
      <c r="J230" s="18">
        <v>5391</v>
      </c>
      <c r="K230" s="24" t="s">
        <v>133</v>
      </c>
    </row>
    <row r="231" spans="1:11">
      <c r="A231" s="17" t="s">
        <v>37</v>
      </c>
      <c r="B231" s="18"/>
      <c r="C231" s="18"/>
      <c r="D231" s="18">
        <v>1221</v>
      </c>
      <c r="F231" s="18">
        <v>4219</v>
      </c>
      <c r="H231" s="18">
        <v>5147</v>
      </c>
      <c r="J231" s="18">
        <v>5147</v>
      </c>
      <c r="K231" s="24" t="s">
        <v>133</v>
      </c>
    </row>
    <row r="232" spans="1:11">
      <c r="A232" s="17" t="s">
        <v>144</v>
      </c>
      <c r="B232" s="18"/>
      <c r="C232" s="18"/>
      <c r="D232" s="18">
        <v>3182</v>
      </c>
      <c r="F232" s="18">
        <v>4702</v>
      </c>
      <c r="H232" s="18">
        <v>4404</v>
      </c>
      <c r="J232" s="18">
        <v>4702</v>
      </c>
      <c r="K232" s="24" t="s">
        <v>132</v>
      </c>
    </row>
    <row r="233" spans="1:11">
      <c r="A233" s="21"/>
      <c r="B233" s="22"/>
      <c r="C233" s="22"/>
      <c r="D233" s="22"/>
      <c r="E233" s="22"/>
      <c r="F233" s="22"/>
      <c r="G233" s="22"/>
      <c r="H233" s="22"/>
      <c r="I233" s="424"/>
      <c r="J233" s="424"/>
      <c r="K233" s="1324"/>
    </row>
    <row r="234" spans="1:11">
      <c r="A234" s="102"/>
      <c r="B234" s="103"/>
      <c r="C234" s="2801" t="s">
        <v>145</v>
      </c>
      <c r="D234" s="2801"/>
      <c r="E234" s="2801"/>
      <c r="F234" s="103"/>
      <c r="G234" s="103"/>
      <c r="H234" s="103" t="s">
        <v>146</v>
      </c>
      <c r="I234" s="103"/>
      <c r="J234" s="103"/>
      <c r="K234" s="104"/>
    </row>
    <row r="235" spans="1:11">
      <c r="A235" s="2794" t="s">
        <v>147</v>
      </c>
      <c r="B235" s="2793"/>
      <c r="C235" s="2793" t="s">
        <v>143</v>
      </c>
      <c r="D235" s="2793"/>
      <c r="E235" s="2793" t="s">
        <v>148</v>
      </c>
      <c r="F235" s="2793"/>
      <c r="G235" s="2793" t="s">
        <v>143</v>
      </c>
      <c r="H235" s="2793"/>
      <c r="I235" s="2793" t="s">
        <v>148</v>
      </c>
      <c r="J235" s="2793"/>
      <c r="K235" s="24"/>
    </row>
    <row r="236" spans="1:11">
      <c r="A236" s="17"/>
      <c r="B236" s="18"/>
      <c r="C236" s="18" t="s">
        <v>149</v>
      </c>
      <c r="D236" s="18" t="s">
        <v>150</v>
      </c>
      <c r="E236" s="18" t="s">
        <v>149</v>
      </c>
      <c r="F236" s="18" t="s">
        <v>39</v>
      </c>
      <c r="G236" s="18" t="s">
        <v>149</v>
      </c>
      <c r="H236" s="18" t="s">
        <v>150</v>
      </c>
      <c r="I236" s="18" t="s">
        <v>149</v>
      </c>
      <c r="J236" s="18" t="s">
        <v>39</v>
      </c>
      <c r="K236" s="24"/>
    </row>
    <row r="237" spans="1:11">
      <c r="A237" s="17" t="s">
        <v>36</v>
      </c>
      <c r="B237" s="18"/>
      <c r="C237" s="18">
        <v>24735</v>
      </c>
      <c r="D237" s="2398">
        <v>35490</v>
      </c>
      <c r="E237" s="18">
        <v>248175</v>
      </c>
      <c r="F237" s="18" t="s">
        <v>151</v>
      </c>
      <c r="G237" s="18">
        <v>22402</v>
      </c>
      <c r="H237" s="2398">
        <v>35125</v>
      </c>
      <c r="I237" s="18">
        <v>230535</v>
      </c>
      <c r="J237" s="18" t="s">
        <v>152</v>
      </c>
      <c r="K237" s="24"/>
    </row>
    <row r="238" spans="1:11">
      <c r="A238" s="17" t="s">
        <v>153</v>
      </c>
      <c r="B238" s="18"/>
      <c r="C238" s="18">
        <v>13036</v>
      </c>
      <c r="D238" s="2398" t="s">
        <v>154</v>
      </c>
      <c r="E238" s="18">
        <v>112288</v>
      </c>
      <c r="F238" s="2410" t="s">
        <v>155</v>
      </c>
      <c r="G238" s="18">
        <v>11753</v>
      </c>
      <c r="H238" s="2398">
        <v>40513</v>
      </c>
      <c r="I238" s="18">
        <v>110394</v>
      </c>
      <c r="J238" s="1414" t="s">
        <v>151</v>
      </c>
      <c r="K238" s="24"/>
    </row>
    <row r="239" spans="1:11">
      <c r="A239" s="17" t="s">
        <v>156</v>
      </c>
      <c r="B239" s="18"/>
      <c r="C239" s="18">
        <v>15089</v>
      </c>
      <c r="D239" s="18" t="s">
        <v>157</v>
      </c>
      <c r="E239" s="18">
        <v>151556</v>
      </c>
      <c r="F239" s="18" t="s">
        <v>158</v>
      </c>
      <c r="G239" s="18">
        <v>15029</v>
      </c>
      <c r="H239" s="18" t="s">
        <v>159</v>
      </c>
      <c r="I239" s="18">
        <v>120320</v>
      </c>
      <c r="J239" s="18" t="s">
        <v>160</v>
      </c>
      <c r="K239" s="24"/>
    </row>
    <row r="240" spans="1:11">
      <c r="A240" s="17" t="s">
        <v>37</v>
      </c>
      <c r="B240" s="18"/>
      <c r="C240" s="18">
        <v>20030</v>
      </c>
      <c r="D240" s="18" t="s">
        <v>161</v>
      </c>
      <c r="E240" s="18">
        <v>202913</v>
      </c>
      <c r="F240" s="2410" t="s">
        <v>155</v>
      </c>
      <c r="G240" s="18">
        <v>17233</v>
      </c>
      <c r="H240" s="18" t="s">
        <v>162</v>
      </c>
      <c r="I240" s="18">
        <v>200682</v>
      </c>
      <c r="J240" s="1414" t="s">
        <v>151</v>
      </c>
      <c r="K240" s="24"/>
    </row>
    <row r="241" spans="1:11">
      <c r="A241" s="17" t="s">
        <v>142</v>
      </c>
      <c r="B241" s="18"/>
      <c r="C241" s="18">
        <v>22652</v>
      </c>
      <c r="D241" s="18" t="s">
        <v>161</v>
      </c>
      <c r="E241" s="18">
        <v>200529</v>
      </c>
      <c r="F241" s="2410" t="s">
        <v>155</v>
      </c>
      <c r="G241" s="18">
        <v>22022</v>
      </c>
      <c r="H241" s="18" t="s">
        <v>163</v>
      </c>
      <c r="I241" s="18">
        <v>200052</v>
      </c>
      <c r="J241" s="1414" t="s">
        <v>152</v>
      </c>
      <c r="K241" s="24"/>
    </row>
    <row r="242" spans="1:11">
      <c r="A242" s="17" t="s">
        <v>164</v>
      </c>
      <c r="B242" s="18"/>
      <c r="C242" s="18">
        <v>5672</v>
      </c>
      <c r="D242" s="18" t="s">
        <v>165</v>
      </c>
      <c r="E242" s="18">
        <v>48895</v>
      </c>
      <c r="F242" s="2411" t="s">
        <v>166</v>
      </c>
      <c r="G242" s="18">
        <v>5503</v>
      </c>
      <c r="H242" s="18" t="s">
        <v>167</v>
      </c>
      <c r="I242" s="18">
        <v>42335</v>
      </c>
      <c r="J242" s="2411" t="s">
        <v>168</v>
      </c>
      <c r="K242" s="24"/>
    </row>
    <row r="243" spans="1:11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6"/>
    </row>
    <row r="248" spans="1:11">
      <c r="A248" s="2793" t="s">
        <v>169</v>
      </c>
      <c r="B248" s="2793"/>
      <c r="C248" s="2793"/>
      <c r="D248" s="2793"/>
      <c r="E248" s="2793"/>
      <c r="F248" s="2793"/>
    </row>
    <row r="249" spans="1:11">
      <c r="A249" s="102"/>
      <c r="B249" s="106" t="s">
        <v>34</v>
      </c>
      <c r="C249" s="106" t="s">
        <v>40</v>
      </c>
      <c r="D249" s="106" t="s">
        <v>41</v>
      </c>
      <c r="E249" s="106" t="s">
        <v>170</v>
      </c>
      <c r="F249" s="119" t="s">
        <v>171</v>
      </c>
    </row>
    <row r="250" spans="1:11">
      <c r="A250" s="17" t="s">
        <v>172</v>
      </c>
      <c r="B250" s="41">
        <v>58678</v>
      </c>
      <c r="C250" s="41">
        <v>56457</v>
      </c>
      <c r="D250" s="41">
        <v>56913</v>
      </c>
      <c r="E250" s="41">
        <v>89850</v>
      </c>
      <c r="F250" s="64">
        <v>83248</v>
      </c>
    </row>
    <row r="251" spans="1:11">
      <c r="A251" s="17" t="s">
        <v>173</v>
      </c>
      <c r="B251" s="41">
        <v>3253</v>
      </c>
      <c r="C251" s="41">
        <v>4690</v>
      </c>
      <c r="D251" s="41">
        <v>11527</v>
      </c>
      <c r="E251" s="41">
        <v>16955</v>
      </c>
      <c r="F251" s="64">
        <v>1237</v>
      </c>
    </row>
    <row r="252" spans="1:11">
      <c r="A252" s="21" t="s">
        <v>23</v>
      </c>
      <c r="B252" s="886">
        <f>+B251+B250</f>
        <v>61931</v>
      </c>
      <c r="C252" s="886">
        <f>+C251+C250</f>
        <v>61147</v>
      </c>
      <c r="D252" s="886">
        <f>+D251+D250</f>
        <v>68440</v>
      </c>
      <c r="E252" s="886">
        <f>+E251+E250</f>
        <v>106805</v>
      </c>
      <c r="F252" s="887">
        <f>+F251+F250</f>
        <v>84485</v>
      </c>
    </row>
    <row r="259" spans="1:15" ht="15.75">
      <c r="A259" s="2774" t="s">
        <v>174</v>
      </c>
      <c r="B259" s="2778"/>
      <c r="C259" s="2778"/>
      <c r="D259" s="2778"/>
      <c r="E259" s="2778"/>
      <c r="F259" s="2778"/>
      <c r="G259" s="2778"/>
      <c r="H259" s="2778"/>
      <c r="I259" s="2778"/>
      <c r="J259" s="2778"/>
      <c r="K259" s="2778"/>
      <c r="L259" s="2778"/>
      <c r="M259" s="2775"/>
      <c r="N259" s="2775"/>
      <c r="O259" s="2781"/>
    </row>
    <row r="260" spans="1:15">
      <c r="A260" s="2360" t="s">
        <v>79</v>
      </c>
      <c r="B260" s="2361" t="s">
        <v>175</v>
      </c>
      <c r="C260" s="2361" t="s">
        <v>176</v>
      </c>
      <c r="D260" s="2361" t="s">
        <v>177</v>
      </c>
      <c r="E260" s="2361" t="s">
        <v>178</v>
      </c>
      <c r="F260" s="2361" t="s">
        <v>131</v>
      </c>
      <c r="G260" s="2362" t="s">
        <v>132</v>
      </c>
      <c r="H260" s="2361" t="s">
        <v>133</v>
      </c>
      <c r="I260" s="2370" t="s">
        <v>179</v>
      </c>
      <c r="J260" s="2361" t="s">
        <v>180</v>
      </c>
      <c r="K260" s="2361" t="s">
        <v>181</v>
      </c>
      <c r="L260" s="2371" t="s">
        <v>182</v>
      </c>
      <c r="M260" s="2372" t="s">
        <v>183</v>
      </c>
      <c r="N260" s="2345" t="s">
        <v>184</v>
      </c>
    </row>
    <row r="261" spans="1:15">
      <c r="A261" s="522" t="s">
        <v>81</v>
      </c>
      <c r="B261" s="528">
        <v>5689</v>
      </c>
      <c r="C261" s="528">
        <v>4576</v>
      </c>
      <c r="D261" s="528">
        <v>3259</v>
      </c>
      <c r="E261" s="528">
        <v>0</v>
      </c>
      <c r="F261" s="528">
        <v>451</v>
      </c>
      <c r="G261" s="528">
        <v>2207</v>
      </c>
      <c r="H261" s="528">
        <v>3045</v>
      </c>
      <c r="I261" s="528">
        <v>3789</v>
      </c>
      <c r="J261" s="528">
        <v>3180</v>
      </c>
      <c r="K261" s="528">
        <v>3870</v>
      </c>
      <c r="L261" s="528">
        <v>2301</v>
      </c>
      <c r="M261" s="528">
        <v>3867</v>
      </c>
      <c r="N261" s="2375">
        <f>SUM(B261:M261)</f>
        <v>36234</v>
      </c>
    </row>
    <row r="262" spans="1:15">
      <c r="A262" s="522" t="s">
        <v>26</v>
      </c>
      <c r="B262" s="528">
        <v>348</v>
      </c>
      <c r="C262" s="528">
        <v>805</v>
      </c>
      <c r="D262" s="528">
        <v>443</v>
      </c>
      <c r="E262" s="528">
        <v>0</v>
      </c>
      <c r="F262" s="528">
        <v>414</v>
      </c>
      <c r="G262" s="528">
        <v>873</v>
      </c>
      <c r="H262" s="528">
        <v>857</v>
      </c>
      <c r="I262" s="528">
        <v>149</v>
      </c>
      <c r="J262" s="528">
        <v>925</v>
      </c>
      <c r="K262" s="528">
        <v>572</v>
      </c>
      <c r="L262" s="528">
        <v>1107</v>
      </c>
      <c r="M262" s="528">
        <v>1409</v>
      </c>
      <c r="N262" s="2375">
        <f>SUM(B262:M262)</f>
        <v>7902</v>
      </c>
    </row>
    <row r="263" spans="1:15">
      <c r="A263" s="522" t="s">
        <v>99</v>
      </c>
      <c r="B263" s="2364">
        <v>0</v>
      </c>
      <c r="C263" s="2364">
        <v>154</v>
      </c>
      <c r="D263" s="2364">
        <v>261</v>
      </c>
      <c r="E263" s="2364">
        <v>0</v>
      </c>
      <c r="F263" s="2364">
        <v>0</v>
      </c>
      <c r="G263" s="2364">
        <v>0</v>
      </c>
      <c r="H263" s="2364">
        <v>53</v>
      </c>
      <c r="I263" s="2364">
        <v>0</v>
      </c>
      <c r="J263" s="2364">
        <v>0</v>
      </c>
      <c r="K263" s="2364">
        <v>0</v>
      </c>
      <c r="L263" s="2364">
        <v>0</v>
      </c>
      <c r="M263" s="2364">
        <v>203</v>
      </c>
      <c r="N263" s="2375">
        <f>SUM(B263:M263)</f>
        <v>671</v>
      </c>
    </row>
    <row r="264" spans="1:15">
      <c r="A264" s="522" t="s">
        <v>185</v>
      </c>
      <c r="B264" s="2364">
        <f>7844-348-5689</f>
        <v>1807</v>
      </c>
      <c r="C264" s="2364">
        <f>7194-5535</f>
        <v>1659</v>
      </c>
      <c r="D264" s="2364">
        <f>4582-3963</f>
        <v>619</v>
      </c>
      <c r="E264" s="2364"/>
      <c r="F264" s="2364">
        <f>2272-865</f>
        <v>1407</v>
      </c>
      <c r="G264" s="2364">
        <f>3808-3080</f>
        <v>728</v>
      </c>
      <c r="H264" s="2364">
        <f>5147-3955</f>
        <v>1192</v>
      </c>
      <c r="I264" s="2364">
        <f>4597-3938</f>
        <v>659</v>
      </c>
      <c r="J264" s="2364">
        <f>4684-4105</f>
        <v>579</v>
      </c>
      <c r="K264" s="2364">
        <f>5341-4442</f>
        <v>899</v>
      </c>
      <c r="L264" s="2364">
        <f>4300-3408</f>
        <v>892</v>
      </c>
      <c r="M264" s="2364">
        <f>7117-5479</f>
        <v>1638</v>
      </c>
      <c r="N264" s="2375">
        <f>SUM(B264:M264)</f>
        <v>12079</v>
      </c>
    </row>
    <row r="265" spans="1:15">
      <c r="A265" s="522" t="s">
        <v>36</v>
      </c>
      <c r="B265" s="2353">
        <f>+B261+B262+B263+B264</f>
        <v>7844</v>
      </c>
      <c r="C265" s="2353">
        <f t="shared" ref="C265:N265" si="13">+C261+C262+C263+C264</f>
        <v>7194</v>
      </c>
      <c r="D265" s="2353">
        <f t="shared" si="13"/>
        <v>4582</v>
      </c>
      <c r="E265" s="2353">
        <f t="shared" si="13"/>
        <v>0</v>
      </c>
      <c r="F265" s="2353">
        <f t="shared" si="13"/>
        <v>2272</v>
      </c>
      <c r="G265" s="2353">
        <f t="shared" si="13"/>
        <v>3808</v>
      </c>
      <c r="H265" s="2353">
        <f t="shared" si="13"/>
        <v>5147</v>
      </c>
      <c r="I265" s="2353">
        <f t="shared" si="13"/>
        <v>4597</v>
      </c>
      <c r="J265" s="2353">
        <f t="shared" si="13"/>
        <v>4684</v>
      </c>
      <c r="K265" s="2353">
        <f t="shared" si="13"/>
        <v>5341</v>
      </c>
      <c r="L265" s="2353">
        <f t="shared" si="13"/>
        <v>4300</v>
      </c>
      <c r="M265" s="2353">
        <f t="shared" si="13"/>
        <v>7117</v>
      </c>
      <c r="N265" s="2353">
        <f t="shared" si="13"/>
        <v>56886</v>
      </c>
    </row>
    <row r="266" spans="1:15">
      <c r="A266" s="18" t="s">
        <v>186</v>
      </c>
      <c r="B266" s="27">
        <f t="shared" ref="B266:H266" si="14">+B265-B261-B263</f>
        <v>2155</v>
      </c>
      <c r="C266" s="27">
        <f t="shared" si="14"/>
        <v>2464</v>
      </c>
      <c r="D266" s="27">
        <f t="shared" si="14"/>
        <v>1062</v>
      </c>
      <c r="E266" s="27">
        <f t="shared" si="14"/>
        <v>0</v>
      </c>
      <c r="F266" s="27">
        <f t="shared" si="14"/>
        <v>1821</v>
      </c>
      <c r="G266" s="27">
        <f t="shared" si="14"/>
        <v>1601</v>
      </c>
      <c r="H266" s="27">
        <f t="shared" si="14"/>
        <v>2049</v>
      </c>
      <c r="I266" s="27">
        <f t="shared" ref="I266:N266" si="15">+I265-I261-I263</f>
        <v>808</v>
      </c>
      <c r="J266" s="27">
        <f t="shared" si="15"/>
        <v>1504</v>
      </c>
      <c r="K266" s="27">
        <f t="shared" si="15"/>
        <v>1471</v>
      </c>
      <c r="L266" s="27">
        <f t="shared" si="15"/>
        <v>1999</v>
      </c>
      <c r="M266" s="27">
        <f t="shared" si="15"/>
        <v>3047</v>
      </c>
      <c r="N266" s="27">
        <f t="shared" si="15"/>
        <v>19981</v>
      </c>
    </row>
    <row r="267" spans="1:15">
      <c r="B267" s="27">
        <f t="shared" ref="B267:N267" si="16">+B266+B261+B263</f>
        <v>7844</v>
      </c>
      <c r="C267" s="27">
        <f t="shared" si="16"/>
        <v>7194</v>
      </c>
      <c r="D267" s="27">
        <f t="shared" si="16"/>
        <v>4582</v>
      </c>
      <c r="E267" s="27">
        <f t="shared" si="16"/>
        <v>0</v>
      </c>
      <c r="F267" s="27">
        <f t="shared" si="16"/>
        <v>2272</v>
      </c>
      <c r="G267" s="27">
        <f t="shared" si="16"/>
        <v>3808</v>
      </c>
      <c r="H267" s="27">
        <f t="shared" si="16"/>
        <v>5147</v>
      </c>
      <c r="I267" s="27">
        <f t="shared" si="16"/>
        <v>4597</v>
      </c>
      <c r="J267" s="27">
        <f t="shared" si="16"/>
        <v>4684</v>
      </c>
      <c r="K267" s="27">
        <f t="shared" si="16"/>
        <v>5341</v>
      </c>
      <c r="L267" s="27">
        <f t="shared" si="16"/>
        <v>4300</v>
      </c>
      <c r="M267" s="27">
        <f t="shared" si="16"/>
        <v>7117</v>
      </c>
      <c r="N267" s="27">
        <f t="shared" si="16"/>
        <v>56886</v>
      </c>
    </row>
    <row r="269" spans="1:15" ht="15.75">
      <c r="A269" s="2774" t="s">
        <v>187</v>
      </c>
      <c r="B269" s="2778"/>
      <c r="C269" s="2778"/>
      <c r="D269" s="2778"/>
      <c r="E269" s="2778"/>
      <c r="F269" s="2778"/>
      <c r="G269" s="2778"/>
      <c r="H269" s="2778"/>
      <c r="I269" s="2778"/>
      <c r="J269" s="2778"/>
      <c r="K269" s="2778"/>
      <c r="L269" s="2778"/>
      <c r="M269" s="2775"/>
      <c r="N269" s="2775"/>
      <c r="O269" s="2781"/>
    </row>
    <row r="270" spans="1:15">
      <c r="A270" s="2360" t="s">
        <v>79</v>
      </c>
      <c r="B270" s="2361" t="s">
        <v>188</v>
      </c>
      <c r="C270" s="2361" t="s">
        <v>189</v>
      </c>
      <c r="D270" s="2361" t="s">
        <v>190</v>
      </c>
      <c r="E270" s="2361" t="s">
        <v>191</v>
      </c>
      <c r="F270" s="2361" t="s">
        <v>192</v>
      </c>
      <c r="G270" s="2362" t="s">
        <v>193</v>
      </c>
      <c r="H270" s="2361" t="s">
        <v>194</v>
      </c>
      <c r="I270" s="2370" t="s">
        <v>195</v>
      </c>
      <c r="J270" s="2361" t="s">
        <v>196</v>
      </c>
      <c r="K270" s="2361" t="s">
        <v>197</v>
      </c>
      <c r="L270" s="2371" t="s">
        <v>198</v>
      </c>
      <c r="M270" s="2372" t="s">
        <v>199</v>
      </c>
      <c r="N270" s="2345" t="s">
        <v>200</v>
      </c>
    </row>
    <row r="271" spans="1:15">
      <c r="A271" s="522" t="s">
        <v>81</v>
      </c>
      <c r="B271" s="528">
        <v>2678</v>
      </c>
      <c r="C271" s="528">
        <v>4219</v>
      </c>
      <c r="D271" s="528">
        <v>5794</v>
      </c>
      <c r="E271" s="528">
        <v>4111</v>
      </c>
      <c r="F271" s="528">
        <v>5086</v>
      </c>
      <c r="G271" s="528">
        <v>5568</v>
      </c>
      <c r="H271" s="528">
        <v>6204</v>
      </c>
      <c r="I271" s="528">
        <v>5684</v>
      </c>
      <c r="J271" s="528">
        <v>4306</v>
      </c>
      <c r="K271" s="528">
        <v>5211</v>
      </c>
      <c r="L271" s="528">
        <v>5048</v>
      </c>
      <c r="M271" s="528">
        <v>5133</v>
      </c>
      <c r="N271" s="2375">
        <f>SUM(B271:M271)</f>
        <v>59042</v>
      </c>
    </row>
    <row r="272" spans="1:15">
      <c r="A272" s="522" t="s">
        <v>26</v>
      </c>
      <c r="B272" s="528">
        <v>1705</v>
      </c>
      <c r="C272" s="528">
        <v>1160</v>
      </c>
      <c r="D272" s="528">
        <v>1220</v>
      </c>
      <c r="E272" s="528">
        <v>1058</v>
      </c>
      <c r="F272" s="528">
        <v>1019</v>
      </c>
      <c r="G272" s="528">
        <v>1120</v>
      </c>
      <c r="H272" s="528">
        <v>1174</v>
      </c>
      <c r="I272" s="528">
        <v>1000</v>
      </c>
      <c r="J272" s="528">
        <v>1753</v>
      </c>
      <c r="K272" s="528">
        <v>782</v>
      </c>
      <c r="L272" s="528">
        <v>1018</v>
      </c>
      <c r="M272" s="528">
        <v>1236</v>
      </c>
      <c r="N272" s="2375">
        <f>SUM(B272:M272)</f>
        <v>14245</v>
      </c>
    </row>
    <row r="273" spans="1:15">
      <c r="A273" s="522" t="s">
        <v>99</v>
      </c>
      <c r="B273" s="2364">
        <v>0</v>
      </c>
      <c r="C273" s="2364">
        <v>0</v>
      </c>
      <c r="D273" s="2364">
        <v>0</v>
      </c>
      <c r="E273" s="2364">
        <v>105</v>
      </c>
      <c r="F273" s="2364">
        <v>0</v>
      </c>
      <c r="G273" s="2364">
        <v>155</v>
      </c>
      <c r="H273" s="2364">
        <v>0</v>
      </c>
      <c r="I273" s="2364">
        <v>160</v>
      </c>
      <c r="J273" s="2364">
        <v>105</v>
      </c>
      <c r="K273" s="2364">
        <v>116</v>
      </c>
      <c r="L273" s="2364">
        <v>53</v>
      </c>
      <c r="M273" s="2364">
        <v>45</v>
      </c>
      <c r="N273" s="2375">
        <f>SUM(B273:M273)</f>
        <v>739</v>
      </c>
    </row>
    <row r="274" spans="1:15">
      <c r="A274" s="522" t="s">
        <v>185</v>
      </c>
      <c r="B274" s="2364">
        <f>6477-4383</f>
        <v>2094</v>
      </c>
      <c r="C274" s="2364">
        <f>6410-5379</f>
        <v>1031</v>
      </c>
      <c r="D274" s="2364">
        <f>7999-7014</f>
        <v>985</v>
      </c>
      <c r="E274" s="2364">
        <f>6341-5274</f>
        <v>1067</v>
      </c>
      <c r="F274" s="2364">
        <f>7511-6105</f>
        <v>1406</v>
      </c>
      <c r="G274" s="2364">
        <f>8191-6843</f>
        <v>1348</v>
      </c>
      <c r="H274" s="2364">
        <f>8723-7378</f>
        <v>1345</v>
      </c>
      <c r="I274" s="2364">
        <f>8199-6844</f>
        <v>1355</v>
      </c>
      <c r="J274" s="2364">
        <f>7415-6164</f>
        <v>1251</v>
      </c>
      <c r="K274" s="2364">
        <f>7392-6109</f>
        <v>1283</v>
      </c>
      <c r="L274" s="2364">
        <f>7800-6119</f>
        <v>1681</v>
      </c>
      <c r="M274" s="2364">
        <f>7590-6414</f>
        <v>1176</v>
      </c>
      <c r="N274" s="2375">
        <f>SUM(B274:M274)</f>
        <v>16022</v>
      </c>
    </row>
    <row r="275" spans="1:15">
      <c r="A275" s="522" t="s">
        <v>36</v>
      </c>
      <c r="B275" s="2353">
        <f>+B271+B272+B273+B274</f>
        <v>6477</v>
      </c>
      <c r="C275" s="2353">
        <f t="shared" ref="C275:N275" si="17">+C271+C272+C273+C274</f>
        <v>6410</v>
      </c>
      <c r="D275" s="2353">
        <f t="shared" si="17"/>
        <v>7999</v>
      </c>
      <c r="E275" s="2353">
        <f t="shared" si="17"/>
        <v>6341</v>
      </c>
      <c r="F275" s="2353">
        <f t="shared" si="17"/>
        <v>7511</v>
      </c>
      <c r="G275" s="2353">
        <f t="shared" si="17"/>
        <v>8191</v>
      </c>
      <c r="H275" s="2353">
        <f t="shared" si="17"/>
        <v>8723</v>
      </c>
      <c r="I275" s="2353">
        <f t="shared" si="17"/>
        <v>8199</v>
      </c>
      <c r="J275" s="2353">
        <f t="shared" si="17"/>
        <v>7415</v>
      </c>
      <c r="K275" s="2353">
        <f t="shared" si="17"/>
        <v>7392</v>
      </c>
      <c r="L275" s="2353">
        <f t="shared" si="17"/>
        <v>7800</v>
      </c>
      <c r="M275" s="2353">
        <f t="shared" si="17"/>
        <v>7590</v>
      </c>
      <c r="N275" s="2353">
        <f t="shared" si="17"/>
        <v>90048</v>
      </c>
    </row>
    <row r="279" spans="1:15" ht="15.75">
      <c r="A279" s="2774" t="s">
        <v>201</v>
      </c>
      <c r="B279" s="2778"/>
      <c r="C279" s="2778"/>
      <c r="D279" s="2778"/>
      <c r="E279" s="2778"/>
      <c r="F279" s="2778"/>
      <c r="G279" s="2778"/>
      <c r="H279" s="2778"/>
      <c r="I279" s="2778"/>
      <c r="J279" s="2778"/>
      <c r="K279" s="2778"/>
      <c r="L279" s="2778"/>
      <c r="M279" s="2775"/>
      <c r="N279" s="2775"/>
      <c r="O279" s="2781"/>
    </row>
    <row r="280" spans="1:15">
      <c r="A280" s="2360" t="s">
        <v>79</v>
      </c>
      <c r="B280" s="2361" t="s">
        <v>202</v>
      </c>
      <c r="C280" s="2361" t="s">
        <v>203</v>
      </c>
      <c r="D280" s="2361" t="s">
        <v>204</v>
      </c>
      <c r="E280" s="2361" t="s">
        <v>205</v>
      </c>
      <c r="F280" s="2361" t="s">
        <v>206</v>
      </c>
      <c r="G280" s="2362" t="s">
        <v>207</v>
      </c>
      <c r="H280" s="2361" t="s">
        <v>208</v>
      </c>
      <c r="I280" s="2370" t="s">
        <v>209</v>
      </c>
      <c r="J280" s="2361" t="s">
        <v>210</v>
      </c>
      <c r="K280" s="2361" t="s">
        <v>211</v>
      </c>
      <c r="L280" s="2371" t="s">
        <v>212</v>
      </c>
      <c r="M280" s="2372" t="s">
        <v>213</v>
      </c>
      <c r="N280" s="2345" t="s">
        <v>214</v>
      </c>
    </row>
    <row r="281" spans="1:15">
      <c r="A281" s="522" t="s">
        <v>81</v>
      </c>
      <c r="B281" s="528">
        <v>5803</v>
      </c>
      <c r="C281" s="528">
        <v>5277</v>
      </c>
      <c r="D281" s="528">
        <v>6195</v>
      </c>
      <c r="E281" s="528">
        <v>5150</v>
      </c>
      <c r="F281" s="528">
        <v>5019</v>
      </c>
      <c r="G281" s="528">
        <v>5710</v>
      </c>
      <c r="H281" s="528">
        <v>6398</v>
      </c>
      <c r="I281" s="528">
        <v>6677</v>
      </c>
      <c r="J281" s="528">
        <v>5935</v>
      </c>
      <c r="K281" s="528">
        <v>6810</v>
      </c>
      <c r="L281" s="528">
        <v>5427</v>
      </c>
      <c r="M281" s="528">
        <v>5844</v>
      </c>
      <c r="N281" s="2375">
        <f>SUM(B281:M281)</f>
        <v>70245</v>
      </c>
    </row>
    <row r="282" spans="1:15">
      <c r="A282" s="522" t="s">
        <v>26</v>
      </c>
      <c r="B282" s="528">
        <v>1193</v>
      </c>
      <c r="C282" s="528">
        <v>908</v>
      </c>
      <c r="D282" s="528">
        <v>1167</v>
      </c>
      <c r="E282" s="528">
        <v>1179</v>
      </c>
      <c r="F282" s="528">
        <v>1025</v>
      </c>
      <c r="G282" s="528">
        <v>611</v>
      </c>
      <c r="H282" s="528">
        <v>1277</v>
      </c>
      <c r="I282" s="528">
        <v>1169</v>
      </c>
      <c r="J282" s="528">
        <v>1134</v>
      </c>
      <c r="K282" s="528">
        <v>665</v>
      </c>
      <c r="L282" s="528">
        <v>1202</v>
      </c>
      <c r="M282" s="528">
        <v>1522</v>
      </c>
      <c r="N282" s="2375">
        <f>SUM(B282:M282)</f>
        <v>13052</v>
      </c>
    </row>
    <row r="283" spans="1:15">
      <c r="A283" s="522" t="s">
        <v>99</v>
      </c>
      <c r="B283" s="2364">
        <v>0</v>
      </c>
      <c r="C283" s="2364">
        <v>49</v>
      </c>
      <c r="D283" s="2364">
        <v>0</v>
      </c>
      <c r="E283" s="2364">
        <v>109</v>
      </c>
      <c r="F283" s="2364">
        <v>99</v>
      </c>
      <c r="G283" s="2364">
        <v>0</v>
      </c>
      <c r="H283" s="2364">
        <v>0</v>
      </c>
      <c r="I283" s="2364">
        <v>0</v>
      </c>
      <c r="J283" s="2364">
        <v>105</v>
      </c>
      <c r="K283" s="2364">
        <v>45</v>
      </c>
      <c r="L283" s="2364">
        <v>100</v>
      </c>
      <c r="M283" s="2364">
        <v>105</v>
      </c>
      <c r="N283" s="2375">
        <f>SUM(B283:M283)</f>
        <v>612</v>
      </c>
    </row>
    <row r="284" spans="1:15">
      <c r="A284" s="522" t="s">
        <v>185</v>
      </c>
      <c r="B284" s="2364">
        <f>8294-6996</f>
        <v>1298</v>
      </c>
      <c r="C284" s="2364">
        <f>7066-6234</f>
        <v>832</v>
      </c>
      <c r="D284" s="2364">
        <f>7710-7362</f>
        <v>348</v>
      </c>
      <c r="E284" s="2364">
        <f>6901-6438</f>
        <v>463</v>
      </c>
      <c r="F284" s="2364">
        <f>6807-6143</f>
        <v>664</v>
      </c>
      <c r="G284" s="2364">
        <f>6526-6321</f>
        <v>205</v>
      </c>
      <c r="H284" s="2364">
        <f>8170-7675</f>
        <v>495</v>
      </c>
      <c r="I284" s="2364">
        <f>8657-7846</f>
        <v>811</v>
      </c>
      <c r="J284" s="2364">
        <f>7666-7174</f>
        <v>492</v>
      </c>
      <c r="K284" s="2364">
        <f>7934-7520</f>
        <v>414</v>
      </c>
      <c r="L284" s="2364">
        <f>7798-6729</f>
        <v>1069</v>
      </c>
      <c r="M284" s="2364">
        <f>8579-7471</f>
        <v>1108</v>
      </c>
      <c r="N284" s="2375">
        <f>SUM(B284:M284)</f>
        <v>8199</v>
      </c>
    </row>
    <row r="285" spans="1:15">
      <c r="A285" s="522" t="s">
        <v>36</v>
      </c>
      <c r="B285" s="2353">
        <f>+B281+B282+B283+B284</f>
        <v>8294</v>
      </c>
      <c r="C285" s="2353">
        <f t="shared" ref="C285:N285" si="18">+C281+C282+C283+C284</f>
        <v>7066</v>
      </c>
      <c r="D285" s="2353">
        <f t="shared" si="18"/>
        <v>7710</v>
      </c>
      <c r="E285" s="2353">
        <f t="shared" si="18"/>
        <v>6901</v>
      </c>
      <c r="F285" s="2353">
        <f t="shared" si="18"/>
        <v>6807</v>
      </c>
      <c r="G285" s="2353">
        <f t="shared" si="18"/>
        <v>6526</v>
      </c>
      <c r="H285" s="2353">
        <f t="shared" si="18"/>
        <v>8170</v>
      </c>
      <c r="I285" s="2353">
        <f t="shared" si="18"/>
        <v>8657</v>
      </c>
      <c r="J285" s="2353">
        <f t="shared" si="18"/>
        <v>7666</v>
      </c>
      <c r="K285" s="2353">
        <f t="shared" si="18"/>
        <v>7934</v>
      </c>
      <c r="L285" s="2353">
        <f t="shared" si="18"/>
        <v>7798</v>
      </c>
      <c r="M285" s="2353">
        <f t="shared" si="18"/>
        <v>8579</v>
      </c>
      <c r="N285" s="2353">
        <f t="shared" si="18"/>
        <v>92108</v>
      </c>
    </row>
    <row r="286" spans="1:15" ht="15.75">
      <c r="A286" s="2774" t="s">
        <v>215</v>
      </c>
      <c r="B286" s="2778"/>
      <c r="C286" s="2778"/>
      <c r="D286" s="2778"/>
      <c r="E286" s="2778"/>
      <c r="F286" s="2778"/>
      <c r="G286" s="2778"/>
      <c r="H286" s="2778"/>
      <c r="I286" s="2778"/>
      <c r="J286" s="2778"/>
      <c r="K286" s="2778"/>
      <c r="L286" s="2778"/>
      <c r="M286" s="2775"/>
      <c r="N286" s="2775"/>
      <c r="O286" s="2781"/>
    </row>
    <row r="287" spans="1:15">
      <c r="A287" s="2360" t="s">
        <v>79</v>
      </c>
      <c r="B287" s="2361" t="s">
        <v>216</v>
      </c>
      <c r="C287" s="2361" t="s">
        <v>217</v>
      </c>
      <c r="D287" s="2361" t="s">
        <v>218</v>
      </c>
      <c r="E287" s="2361" t="s">
        <v>219</v>
      </c>
      <c r="F287" s="2361" t="s">
        <v>220</v>
      </c>
      <c r="G287" s="2362" t="s">
        <v>221</v>
      </c>
      <c r="H287" s="2361" t="s">
        <v>222</v>
      </c>
      <c r="I287" s="2412" t="s">
        <v>223</v>
      </c>
      <c r="J287" s="2361" t="s">
        <v>224</v>
      </c>
      <c r="K287" s="2361" t="s">
        <v>225</v>
      </c>
      <c r="L287" s="2371" t="s">
        <v>226</v>
      </c>
      <c r="M287" s="2372" t="s">
        <v>227</v>
      </c>
      <c r="N287" s="2345" t="s">
        <v>228</v>
      </c>
    </row>
    <row r="288" spans="1:15">
      <c r="A288" s="522" t="s">
        <v>81</v>
      </c>
      <c r="B288" s="528">
        <v>6219</v>
      </c>
      <c r="C288" s="528">
        <v>5968</v>
      </c>
      <c r="D288" s="528">
        <v>6482</v>
      </c>
      <c r="E288" s="528">
        <v>6378</v>
      </c>
      <c r="F288" s="528">
        <v>5922</v>
      </c>
      <c r="G288" s="528">
        <v>5620</v>
      </c>
      <c r="H288" s="528">
        <v>6826</v>
      </c>
      <c r="I288" s="528">
        <v>6141</v>
      </c>
      <c r="J288" s="528">
        <v>5780</v>
      </c>
      <c r="K288" s="528">
        <v>6233</v>
      </c>
      <c r="L288" s="528">
        <v>6456</v>
      </c>
      <c r="M288" s="528">
        <v>7165</v>
      </c>
      <c r="N288" s="2375">
        <f>SUM(B288:M288)</f>
        <v>75190</v>
      </c>
    </row>
    <row r="289" spans="1:15">
      <c r="A289" s="522" t="s">
        <v>26</v>
      </c>
      <c r="B289" s="528">
        <v>1458</v>
      </c>
      <c r="C289" s="528">
        <v>1213</v>
      </c>
      <c r="D289" s="528">
        <v>1064</v>
      </c>
      <c r="E289" s="528">
        <v>1948</v>
      </c>
      <c r="F289" s="528">
        <v>1556</v>
      </c>
      <c r="G289" s="528">
        <v>1878</v>
      </c>
      <c r="H289" s="528">
        <v>1709</v>
      </c>
      <c r="I289" s="528">
        <v>1456</v>
      </c>
      <c r="J289" s="528">
        <v>1345</v>
      </c>
      <c r="K289" s="528">
        <v>1898</v>
      </c>
      <c r="L289" s="528">
        <v>1578</v>
      </c>
      <c r="M289" s="528">
        <v>1344</v>
      </c>
      <c r="N289" s="2375">
        <f>SUM(B289:M289)</f>
        <v>18447</v>
      </c>
    </row>
    <row r="290" spans="1:15">
      <c r="A290" s="522" t="s">
        <v>99</v>
      </c>
      <c r="B290" s="2364">
        <v>101</v>
      </c>
      <c r="C290" s="2364">
        <v>53</v>
      </c>
      <c r="D290" s="2364">
        <v>101</v>
      </c>
      <c r="E290" s="2364">
        <v>0</v>
      </c>
      <c r="F290" s="2364">
        <v>0</v>
      </c>
      <c r="G290" s="2364">
        <v>53</v>
      </c>
      <c r="H290" s="2364">
        <v>101</v>
      </c>
      <c r="I290" s="2364">
        <v>45</v>
      </c>
      <c r="J290" s="2364">
        <v>0</v>
      </c>
      <c r="K290" s="2364">
        <v>210</v>
      </c>
      <c r="L290" s="2364">
        <v>49</v>
      </c>
      <c r="M290" s="2364">
        <v>49</v>
      </c>
      <c r="N290" s="2375">
        <f>SUM(B290:M290)</f>
        <v>762</v>
      </c>
    </row>
    <row r="291" spans="1:15">
      <c r="A291" s="522" t="s">
        <v>185</v>
      </c>
      <c r="B291" s="2364">
        <f>9082-7778</f>
        <v>1304</v>
      </c>
      <c r="C291" s="2364">
        <f>8600-7234</f>
        <v>1366</v>
      </c>
      <c r="D291" s="2364">
        <f>9327-7647</f>
        <v>1680</v>
      </c>
      <c r="E291" s="2364">
        <f>9374-8326</f>
        <v>1048</v>
      </c>
      <c r="F291" s="2364">
        <f>8765-7478</f>
        <v>1287</v>
      </c>
      <c r="G291" s="2364">
        <f>9087-7551</f>
        <v>1536</v>
      </c>
      <c r="H291" s="2364">
        <f>9356-8636</f>
        <v>720</v>
      </c>
      <c r="I291" s="2364">
        <f>8896-7642</f>
        <v>1254</v>
      </c>
      <c r="J291" s="2364">
        <f>8336-7125</f>
        <v>1211</v>
      </c>
      <c r="K291" s="2364">
        <f>8981-8341</f>
        <v>640</v>
      </c>
      <c r="L291" s="2364">
        <f>9150-8083</f>
        <v>1067</v>
      </c>
      <c r="M291" s="2364">
        <f>9867-8558</f>
        <v>1309</v>
      </c>
      <c r="N291" s="2375">
        <f>SUM(B291:M291)</f>
        <v>14422</v>
      </c>
    </row>
    <row r="292" spans="1:15">
      <c r="A292" s="522" t="s">
        <v>36</v>
      </c>
      <c r="B292" s="2353">
        <f>+B288+B289+B290+B291</f>
        <v>9082</v>
      </c>
      <c r="C292" s="2353">
        <f t="shared" ref="C292:N292" si="19">+C288+C289+C290+C291</f>
        <v>8600</v>
      </c>
      <c r="D292" s="2353">
        <f t="shared" si="19"/>
        <v>9327</v>
      </c>
      <c r="E292" s="2353">
        <f t="shared" si="19"/>
        <v>9374</v>
      </c>
      <c r="F292" s="2353">
        <f t="shared" si="19"/>
        <v>8765</v>
      </c>
      <c r="G292" s="2353">
        <f t="shared" si="19"/>
        <v>9087</v>
      </c>
      <c r="H292" s="2353">
        <f t="shared" si="19"/>
        <v>9356</v>
      </c>
      <c r="I292" s="2353">
        <f t="shared" si="19"/>
        <v>8896</v>
      </c>
      <c r="J292" s="2353">
        <f t="shared" si="19"/>
        <v>8336</v>
      </c>
      <c r="K292" s="2353">
        <f t="shared" si="19"/>
        <v>8981</v>
      </c>
      <c r="L292" s="2353">
        <f t="shared" si="19"/>
        <v>9150</v>
      </c>
      <c r="M292" s="2353">
        <f t="shared" si="19"/>
        <v>9867</v>
      </c>
      <c r="N292" s="2353">
        <f t="shared" si="19"/>
        <v>108821</v>
      </c>
    </row>
    <row r="295" spans="1:15" ht="15.75">
      <c r="A295" s="2774" t="s">
        <v>229</v>
      </c>
      <c r="B295" s="2775"/>
      <c r="C295" s="2775"/>
      <c r="D295" s="2775"/>
      <c r="E295" s="2775"/>
      <c r="F295" s="2775"/>
      <c r="G295" s="2775"/>
      <c r="H295" s="2775"/>
      <c r="I295" s="2775"/>
      <c r="J295" s="2775"/>
      <c r="K295" s="2775"/>
      <c r="L295" s="2775"/>
      <c r="M295" s="2775"/>
      <c r="N295" s="2775"/>
      <c r="O295" s="2776"/>
    </row>
    <row r="296" spans="1:15">
      <c r="A296" s="2345" t="s">
        <v>1</v>
      </c>
      <c r="B296" s="2361" t="s">
        <v>175</v>
      </c>
      <c r="C296" s="2361" t="s">
        <v>176</v>
      </c>
      <c r="D296" s="2361" t="s">
        <v>177</v>
      </c>
      <c r="E296" s="2361" t="s">
        <v>178</v>
      </c>
      <c r="F296" s="2361" t="s">
        <v>131</v>
      </c>
      <c r="G296" s="2362" t="s">
        <v>132</v>
      </c>
      <c r="H296" s="2361" t="s">
        <v>133</v>
      </c>
      <c r="I296" s="2370" t="s">
        <v>179</v>
      </c>
      <c r="J296" s="2361" t="s">
        <v>180</v>
      </c>
      <c r="K296" s="2361" t="s">
        <v>181</v>
      </c>
      <c r="L296" s="2371" t="s">
        <v>182</v>
      </c>
      <c r="M296" s="2372" t="s">
        <v>183</v>
      </c>
      <c r="N296" s="2345" t="s">
        <v>184</v>
      </c>
    </row>
    <row r="297" spans="1:15">
      <c r="A297" s="528" t="s">
        <v>15</v>
      </c>
      <c r="B297" s="2348">
        <v>7205</v>
      </c>
      <c r="C297" s="2348">
        <v>6777</v>
      </c>
      <c r="D297" s="2348">
        <v>4437</v>
      </c>
      <c r="E297" s="2348">
        <v>974</v>
      </c>
      <c r="F297" s="2348">
        <v>656</v>
      </c>
      <c r="G297" s="2348">
        <v>2203</v>
      </c>
      <c r="H297" s="2348">
        <v>2668</v>
      </c>
      <c r="I297" s="2348">
        <v>5230</v>
      </c>
      <c r="J297" s="2348">
        <v>5445</v>
      </c>
      <c r="K297" s="2348">
        <v>5193</v>
      </c>
      <c r="L297" s="2348">
        <v>4666</v>
      </c>
      <c r="M297" s="2348">
        <v>5917</v>
      </c>
      <c r="N297" s="2351">
        <f>SUM(B297:M297)</f>
        <v>51371</v>
      </c>
    </row>
    <row r="298" spans="1:15">
      <c r="A298" s="528" t="s">
        <v>17</v>
      </c>
      <c r="B298" s="2351">
        <v>222</v>
      </c>
      <c r="C298" s="2351">
        <v>785</v>
      </c>
      <c r="D298" s="2351">
        <v>245</v>
      </c>
      <c r="E298" s="2351">
        <v>61</v>
      </c>
      <c r="F298" s="2351">
        <v>166</v>
      </c>
      <c r="G298" s="2351">
        <v>845</v>
      </c>
      <c r="H298" s="2351">
        <v>840</v>
      </c>
      <c r="I298" s="2351">
        <v>226</v>
      </c>
      <c r="J298" s="2351">
        <v>629</v>
      </c>
      <c r="K298" s="2351">
        <v>537</v>
      </c>
      <c r="L298" s="2351">
        <v>644</v>
      </c>
      <c r="M298" s="2351">
        <v>975</v>
      </c>
      <c r="N298" s="2351">
        <f>SUM(B298:M298)</f>
        <v>6175</v>
      </c>
    </row>
    <row r="299" spans="1:15">
      <c r="A299" s="528" t="s">
        <v>18</v>
      </c>
      <c r="B299" s="2351">
        <v>58</v>
      </c>
      <c r="C299" s="2351">
        <v>81</v>
      </c>
      <c r="D299" s="2351">
        <v>97</v>
      </c>
      <c r="E299" s="2351">
        <v>63</v>
      </c>
      <c r="F299" s="2351">
        <v>10</v>
      </c>
      <c r="G299" s="2351">
        <v>0</v>
      </c>
      <c r="H299" s="2351">
        <v>9</v>
      </c>
      <c r="I299" s="2351">
        <v>41</v>
      </c>
      <c r="J299" s="2351">
        <v>15</v>
      </c>
      <c r="K299" s="2351">
        <v>8</v>
      </c>
      <c r="L299" s="2351">
        <v>4</v>
      </c>
      <c r="M299" s="2351">
        <v>32</v>
      </c>
      <c r="N299" s="2351">
        <f>SUM(B299:M299)</f>
        <v>418</v>
      </c>
    </row>
    <row r="300" spans="1:15">
      <c r="A300" s="528" t="s">
        <v>19</v>
      </c>
      <c r="B300" s="2351">
        <f>9116-7485</f>
        <v>1631</v>
      </c>
      <c r="C300" s="2351">
        <f>9001-7643</f>
        <v>1358</v>
      </c>
      <c r="D300" s="2351">
        <f>5427-4779</f>
        <v>648</v>
      </c>
      <c r="E300" s="2351">
        <f>1287-1098</f>
        <v>189</v>
      </c>
      <c r="F300" s="2351">
        <f>1221-832</f>
        <v>389</v>
      </c>
      <c r="G300" s="2351">
        <f>4219-3048</f>
        <v>1171</v>
      </c>
      <c r="H300" s="2351">
        <f>4404-3517</f>
        <v>887</v>
      </c>
      <c r="I300" s="2351">
        <f>6124-5497</f>
        <v>627</v>
      </c>
      <c r="J300" s="2351">
        <f>6707-6089</f>
        <v>618</v>
      </c>
      <c r="K300" s="2351">
        <f>6610-5738</f>
        <v>872</v>
      </c>
      <c r="L300" s="2351">
        <f>5991-5314</f>
        <v>677</v>
      </c>
      <c r="M300" s="2351">
        <f>8110-6924</f>
        <v>1186</v>
      </c>
      <c r="N300" s="2351">
        <f>SUM(B300:M300)</f>
        <v>10253</v>
      </c>
    </row>
    <row r="301" spans="1:15">
      <c r="A301" s="2353" t="s">
        <v>20</v>
      </c>
      <c r="B301" s="2354">
        <f>SUM(B296:B300)</f>
        <v>9116</v>
      </c>
      <c r="C301" s="2354">
        <f t="shared" ref="C301:M301" si="20">SUM(C296:C300)</f>
        <v>9001</v>
      </c>
      <c r="D301" s="2354">
        <f t="shared" si="20"/>
        <v>5427</v>
      </c>
      <c r="E301" s="2354">
        <f t="shared" si="20"/>
        <v>1287</v>
      </c>
      <c r="F301" s="2354">
        <f t="shared" si="20"/>
        <v>1221</v>
      </c>
      <c r="G301" s="2354">
        <f t="shared" si="20"/>
        <v>4219</v>
      </c>
      <c r="H301" s="2354">
        <f t="shared" si="20"/>
        <v>4404</v>
      </c>
      <c r="I301" s="2354">
        <f t="shared" si="20"/>
        <v>6124</v>
      </c>
      <c r="J301" s="2354">
        <f t="shared" si="20"/>
        <v>6707</v>
      </c>
      <c r="K301" s="2354">
        <f t="shared" si="20"/>
        <v>6610</v>
      </c>
      <c r="L301" s="2354">
        <f t="shared" si="20"/>
        <v>5991</v>
      </c>
      <c r="M301" s="2354">
        <f t="shared" si="20"/>
        <v>8110</v>
      </c>
      <c r="N301" s="2354">
        <f>SUM(B301:M301)</f>
        <v>68217</v>
      </c>
    </row>
    <row r="304" spans="1:15" ht="15.75">
      <c r="A304" s="2774" t="s">
        <v>230</v>
      </c>
      <c r="B304" s="2775"/>
      <c r="C304" s="2775"/>
      <c r="D304" s="2775"/>
      <c r="E304" s="2775"/>
      <c r="F304" s="2775"/>
      <c r="G304" s="2775"/>
      <c r="H304" s="2775"/>
      <c r="I304" s="2775"/>
      <c r="J304" s="2775"/>
      <c r="K304" s="2775"/>
      <c r="L304" s="2775"/>
      <c r="M304" s="2775"/>
      <c r="N304" s="2775"/>
      <c r="O304" s="2776"/>
    </row>
    <row r="305" spans="1:15">
      <c r="A305" s="2345" t="s">
        <v>1</v>
      </c>
      <c r="B305" s="2361" t="s">
        <v>188</v>
      </c>
      <c r="C305" s="2361" t="s">
        <v>189</v>
      </c>
      <c r="D305" s="2361" t="s">
        <v>190</v>
      </c>
      <c r="E305" s="2361" t="s">
        <v>191</v>
      </c>
      <c r="F305" s="2361" t="s">
        <v>192</v>
      </c>
      <c r="G305" s="2362" t="s">
        <v>193</v>
      </c>
      <c r="H305" s="2361" t="s">
        <v>194</v>
      </c>
      <c r="I305" s="2370" t="s">
        <v>195</v>
      </c>
      <c r="J305" s="2361" t="s">
        <v>196</v>
      </c>
      <c r="K305" s="2361" t="s">
        <v>197</v>
      </c>
      <c r="L305" s="2371" t="s">
        <v>198</v>
      </c>
      <c r="M305" s="2372" t="s">
        <v>199</v>
      </c>
      <c r="N305" s="2345" t="s">
        <v>200</v>
      </c>
    </row>
    <row r="306" spans="1:15">
      <c r="A306" s="528" t="s">
        <v>15</v>
      </c>
      <c r="B306" s="2348">
        <v>5072.0550000000003</v>
      </c>
      <c r="C306" s="2348">
        <v>6073.1109999999999</v>
      </c>
      <c r="D306" s="2348">
        <v>6435.8360000000002</v>
      </c>
      <c r="E306" s="2348">
        <v>6456.3289999999997</v>
      </c>
      <c r="F306" s="2348">
        <v>6640.03</v>
      </c>
      <c r="G306" s="2348">
        <v>7430.7960000000003</v>
      </c>
      <c r="H306" s="2348">
        <v>7603.3789999999999</v>
      </c>
      <c r="I306" s="2348">
        <v>7291.4290000000001</v>
      </c>
      <c r="J306" s="2348">
        <v>5858.9979999999996</v>
      </c>
      <c r="K306" s="2348">
        <v>6282.08</v>
      </c>
      <c r="L306" s="2348">
        <v>7238.68</v>
      </c>
      <c r="M306" s="2348">
        <v>6718.7640000000001</v>
      </c>
      <c r="N306" s="2351">
        <f>SUM(B306:M306)</f>
        <v>79101.486999999994</v>
      </c>
    </row>
    <row r="307" spans="1:15">
      <c r="A307" s="528" t="s">
        <v>17</v>
      </c>
      <c r="B307" s="2351">
        <v>1081.31</v>
      </c>
      <c r="C307" s="2351">
        <v>1140.5719999999999</v>
      </c>
      <c r="D307" s="2351">
        <v>985.59500000000003</v>
      </c>
      <c r="E307" s="2351">
        <v>1028.94</v>
      </c>
      <c r="F307" s="2351">
        <v>1254.336</v>
      </c>
      <c r="G307" s="2351">
        <v>881.39</v>
      </c>
      <c r="H307" s="2351">
        <v>798.35</v>
      </c>
      <c r="I307" s="2351">
        <v>1056.4839999999999</v>
      </c>
      <c r="J307" s="2351">
        <v>1283.72</v>
      </c>
      <c r="K307" s="2351">
        <v>846.68</v>
      </c>
      <c r="L307" s="2351">
        <v>700.19799999999998</v>
      </c>
      <c r="M307" s="2351">
        <v>899.42</v>
      </c>
      <c r="N307" s="2351">
        <f>SUM(B307:M307)</f>
        <v>11956.995000000001</v>
      </c>
    </row>
    <row r="308" spans="1:15">
      <c r="A308" s="528" t="s">
        <v>18</v>
      </c>
      <c r="B308" s="2351">
        <v>57.93</v>
      </c>
      <c r="C308" s="2351">
        <v>49.65</v>
      </c>
      <c r="D308" s="2351">
        <v>1</v>
      </c>
      <c r="E308" s="2351">
        <v>20.6</v>
      </c>
      <c r="F308" s="2351">
        <v>59.22</v>
      </c>
      <c r="G308" s="2351">
        <v>109.63</v>
      </c>
      <c r="H308" s="2351">
        <v>6.9</v>
      </c>
      <c r="I308" s="2351">
        <v>89.01</v>
      </c>
      <c r="J308" s="2351">
        <v>73.722999999999999</v>
      </c>
      <c r="K308" s="2351">
        <v>106.35</v>
      </c>
      <c r="L308" s="2351">
        <v>25.024999999999999</v>
      </c>
      <c r="M308" s="2351">
        <v>46.17</v>
      </c>
      <c r="N308" s="2351">
        <f>SUM(B308:M308)</f>
        <v>645.20799999999986</v>
      </c>
    </row>
    <row r="309" spans="1:15">
      <c r="A309" s="528" t="s">
        <v>19</v>
      </c>
      <c r="B309" s="2351">
        <f>8026.831-5211</f>
        <v>2815.8310000000001</v>
      </c>
      <c r="C309" s="2351">
        <f>8051.975-7263</f>
        <v>788.97500000000036</v>
      </c>
      <c r="D309" s="2351">
        <f>8221.432-7422</f>
        <v>799.4320000000007</v>
      </c>
      <c r="E309" s="2351">
        <f>8321.928-7506</f>
        <v>815.92799999999988</v>
      </c>
      <c r="F309" s="2351">
        <f>9405.368-7954</f>
        <v>1451.3680000000004</v>
      </c>
      <c r="G309" s="2351">
        <f>9411.706-8422</f>
        <v>989.70600000000013</v>
      </c>
      <c r="H309" s="2351">
        <f>9523.108-8408.629</f>
        <v>1114.4789999999994</v>
      </c>
      <c r="I309" s="2351">
        <f>9415.52-8436.923</f>
        <v>978.59699999999975</v>
      </c>
      <c r="J309" s="2351">
        <f>8508.485-7216.441</f>
        <v>1292.0440000000008</v>
      </c>
      <c r="K309" s="2351">
        <f>8301.484-7235.11</f>
        <v>1066.3740000000007</v>
      </c>
      <c r="L309" s="2351">
        <f>9100.628-7963.903</f>
        <v>1136.7250000000004</v>
      </c>
      <c r="M309" s="2351">
        <f>8720.023-7664.354</f>
        <v>1055.668999999999</v>
      </c>
      <c r="N309" s="2351">
        <f>SUM(B309:M309)</f>
        <v>14305.128000000001</v>
      </c>
    </row>
    <row r="310" spans="1:15">
      <c r="A310" s="2353" t="s">
        <v>20</v>
      </c>
      <c r="B310" s="2354">
        <f>SUM(B305:B309)</f>
        <v>9027.1260000000002</v>
      </c>
      <c r="C310" s="2354">
        <f>SUM(C305:C309)</f>
        <v>8052.308</v>
      </c>
      <c r="D310" s="2354">
        <f t="shared" ref="D310:M310" si="21">SUM(D305:D309)</f>
        <v>8221.8630000000012</v>
      </c>
      <c r="E310" s="2354">
        <f t="shared" si="21"/>
        <v>8321.7970000000005</v>
      </c>
      <c r="F310" s="2354">
        <f t="shared" si="21"/>
        <v>9404.9540000000015</v>
      </c>
      <c r="G310" s="2354">
        <f t="shared" si="21"/>
        <v>9411.521999999999</v>
      </c>
      <c r="H310" s="2354">
        <f t="shared" si="21"/>
        <v>9523.1079999999984</v>
      </c>
      <c r="I310" s="2354">
        <f t="shared" si="21"/>
        <v>9415.52</v>
      </c>
      <c r="J310" s="2354">
        <f t="shared" si="21"/>
        <v>8508.4850000000006</v>
      </c>
      <c r="K310" s="2354">
        <f t="shared" si="21"/>
        <v>8301.4840000000004</v>
      </c>
      <c r="L310" s="2354">
        <f t="shared" si="21"/>
        <v>9100.6280000000006</v>
      </c>
      <c r="M310" s="2354">
        <f t="shared" si="21"/>
        <v>8720.0229999999992</v>
      </c>
      <c r="N310" s="2354">
        <f>SUM(B310:M310)</f>
        <v>106008.818</v>
      </c>
    </row>
    <row r="311" spans="1:15" ht="15.75">
      <c r="A311" s="535"/>
      <c r="B311" s="535"/>
      <c r="C311" s="535"/>
      <c r="D311" s="535"/>
      <c r="E311" s="535"/>
      <c r="F311" s="535"/>
      <c r="G311" s="535"/>
      <c r="H311" s="535"/>
      <c r="I311" s="535"/>
      <c r="J311" s="535"/>
      <c r="K311" s="535"/>
      <c r="L311" s="535"/>
      <c r="M311" s="535"/>
      <c r="N311" s="535"/>
      <c r="O311" s="535"/>
    </row>
    <row r="312" spans="1:15" ht="15.75">
      <c r="A312" s="535"/>
      <c r="B312" s="535"/>
      <c r="C312" s="535"/>
      <c r="D312" s="535"/>
      <c r="E312" s="535"/>
      <c r="F312" s="535"/>
      <c r="G312" s="535"/>
      <c r="H312" s="535"/>
      <c r="I312" s="535"/>
      <c r="J312" s="535"/>
      <c r="K312" s="535"/>
      <c r="L312" s="535"/>
      <c r="M312" s="535"/>
      <c r="N312" s="535"/>
      <c r="O312" s="535"/>
    </row>
    <row r="313" spans="1:15" ht="15.75">
      <c r="A313" s="2774" t="s">
        <v>231</v>
      </c>
      <c r="B313" s="2775"/>
      <c r="C313" s="2775"/>
      <c r="D313" s="2775"/>
      <c r="E313" s="2775"/>
      <c r="F313" s="2775"/>
      <c r="G313" s="2775"/>
      <c r="H313" s="2775"/>
      <c r="I313" s="2775"/>
      <c r="J313" s="2775"/>
      <c r="K313" s="2775"/>
      <c r="L313" s="2775"/>
      <c r="M313" s="2775"/>
      <c r="N313" s="2775"/>
      <c r="O313" s="2776"/>
    </row>
    <row r="314" spans="1:15">
      <c r="A314" s="2345" t="s">
        <v>1</v>
      </c>
      <c r="B314" s="2361" t="s">
        <v>202</v>
      </c>
      <c r="C314" s="2361" t="s">
        <v>203</v>
      </c>
      <c r="D314" s="2361" t="s">
        <v>204</v>
      </c>
      <c r="E314" s="2361" t="s">
        <v>205</v>
      </c>
      <c r="F314" s="2361" t="s">
        <v>206</v>
      </c>
      <c r="G314" s="2362" t="s">
        <v>207</v>
      </c>
      <c r="H314" s="2361" t="s">
        <v>208</v>
      </c>
      <c r="I314" s="2370" t="s">
        <v>209</v>
      </c>
      <c r="J314" s="2361" t="s">
        <v>210</v>
      </c>
      <c r="K314" s="2361" t="s">
        <v>211</v>
      </c>
      <c r="L314" s="2371" t="s">
        <v>212</v>
      </c>
      <c r="M314" s="2372" t="s">
        <v>213</v>
      </c>
      <c r="N314" s="2345" t="s">
        <v>214</v>
      </c>
    </row>
    <row r="315" spans="1:15">
      <c r="A315" s="528" t="s">
        <v>15</v>
      </c>
      <c r="B315" s="2348">
        <v>7662.5010000000002</v>
      </c>
      <c r="C315" s="2348">
        <v>7205.4759999999997</v>
      </c>
      <c r="D315" s="2348">
        <v>8174.2</v>
      </c>
      <c r="E315" s="2348">
        <v>3227.98</v>
      </c>
      <c r="F315" s="2348">
        <v>5516.6409999999996</v>
      </c>
      <c r="G315" s="2348">
        <v>6592.0150000000003</v>
      </c>
      <c r="H315" s="2348">
        <v>7673.43</v>
      </c>
      <c r="I315" s="2348">
        <v>8396.9699999999993</v>
      </c>
      <c r="J315" s="2348">
        <v>7623.02</v>
      </c>
      <c r="K315" s="2399">
        <v>7538.36</v>
      </c>
      <c r="L315" s="2348">
        <v>5546.58</v>
      </c>
      <c r="M315" s="2348">
        <v>6657.8810000000003</v>
      </c>
      <c r="N315" s="2351">
        <f>SUM(B315:M315)</f>
        <v>81815.054000000004</v>
      </c>
    </row>
    <row r="316" spans="1:15">
      <c r="A316" s="528" t="s">
        <v>17</v>
      </c>
      <c r="B316" s="2351">
        <v>799.43</v>
      </c>
      <c r="C316" s="2351">
        <v>907.1</v>
      </c>
      <c r="D316" s="2351">
        <v>1097.135</v>
      </c>
      <c r="E316" s="2351">
        <v>1077.95</v>
      </c>
      <c r="F316" s="2351">
        <v>855.84</v>
      </c>
      <c r="G316" s="2351">
        <v>545.745</v>
      </c>
      <c r="H316" s="2351">
        <v>1034.05</v>
      </c>
      <c r="I316" s="2351">
        <v>1022.03</v>
      </c>
      <c r="J316" s="2351">
        <v>805.45</v>
      </c>
      <c r="K316" s="2400">
        <v>621.66999999999996</v>
      </c>
      <c r="L316" s="2351">
        <v>910.68</v>
      </c>
      <c r="M316" s="2351">
        <v>1312.41</v>
      </c>
      <c r="N316" s="2351">
        <f>SUM(B316:M316)</f>
        <v>10989.49</v>
      </c>
    </row>
    <row r="317" spans="1:15">
      <c r="A317" s="528" t="s">
        <v>18</v>
      </c>
      <c r="B317" s="2351">
        <v>3</v>
      </c>
      <c r="C317" s="2351">
        <v>19.940000000000001</v>
      </c>
      <c r="D317" s="2351">
        <v>35.648000000000003</v>
      </c>
      <c r="E317" s="2351">
        <v>79.02</v>
      </c>
      <c r="F317" s="2351">
        <v>4.2</v>
      </c>
      <c r="G317" s="2351">
        <v>57.109000000000002</v>
      </c>
      <c r="H317" s="2351">
        <v>24.488</v>
      </c>
      <c r="I317" s="2351">
        <v>0.96</v>
      </c>
      <c r="J317" s="2351">
        <v>4.3499999999999996</v>
      </c>
      <c r="K317" s="2400">
        <v>90.86</v>
      </c>
      <c r="L317" s="2351">
        <v>32.93</v>
      </c>
      <c r="M317" s="2351">
        <v>98.763000000000005</v>
      </c>
      <c r="N317" s="2351">
        <f>SUM(B317:M317)</f>
        <v>451.26800000000003</v>
      </c>
    </row>
    <row r="318" spans="1:15">
      <c r="A318" s="528" t="s">
        <v>19</v>
      </c>
      <c r="B318" s="2351">
        <f>9425.702-8465</f>
        <v>960.70199999999932</v>
      </c>
      <c r="C318" s="2351">
        <f>9054.795-8133</f>
        <v>921.79500000000007</v>
      </c>
      <c r="D318" s="2351">
        <f>9710.3-9307</f>
        <v>403.29999999999927</v>
      </c>
      <c r="E318" s="2351">
        <f>7513.452-4384.95</f>
        <v>3128.5020000000004</v>
      </c>
      <c r="F318" s="2351">
        <f>7045.846-6376.681</f>
        <v>669.16499999999996</v>
      </c>
      <c r="G318" s="2351">
        <f>7506.665-7194.869</f>
        <v>311.79600000000028</v>
      </c>
      <c r="H318" s="2351">
        <f>9002.775-8731.968</f>
        <v>270.80699999999888</v>
      </c>
      <c r="I318" s="2351">
        <f>9819.316-9419.96</f>
        <v>399.35600000000159</v>
      </c>
      <c r="J318" s="2351">
        <f>9204.534-8432.82</f>
        <v>771.71399999999994</v>
      </c>
      <c r="K318" s="2400">
        <f>8609.298-8250.89</f>
        <v>358.40800000000127</v>
      </c>
      <c r="L318" s="2351">
        <f>7010.006-6490.19</f>
        <v>519.81600000000071</v>
      </c>
      <c r="M318" s="2351">
        <f>9063.562-8069.054</f>
        <v>994.50799999999981</v>
      </c>
      <c r="N318" s="2351">
        <f>SUM(B318:M318)</f>
        <v>9709.8690000000024</v>
      </c>
    </row>
    <row r="319" spans="1:15">
      <c r="A319" s="2353" t="s">
        <v>20</v>
      </c>
      <c r="B319" s="2354">
        <f>SUM(B314:B318)</f>
        <v>9425.6329999999998</v>
      </c>
      <c r="C319" s="2354">
        <f>SUM(C314:C318)</f>
        <v>9054.3109999999997</v>
      </c>
      <c r="D319" s="2354">
        <f t="shared" ref="D319:M319" si="22">SUM(D314:D318)</f>
        <v>9710.2829999999976</v>
      </c>
      <c r="E319" s="2354">
        <f t="shared" si="22"/>
        <v>7513.4520000000011</v>
      </c>
      <c r="F319" s="2354">
        <f t="shared" si="22"/>
        <v>7045.8459999999995</v>
      </c>
      <c r="G319" s="2354">
        <f t="shared" si="22"/>
        <v>7506.6650000000009</v>
      </c>
      <c r="H319" s="2354">
        <f t="shared" si="22"/>
        <v>9002.7749999999978</v>
      </c>
      <c r="I319" s="2354">
        <f t="shared" si="22"/>
        <v>9819.3160000000007</v>
      </c>
      <c r="J319" s="2354">
        <f t="shared" si="22"/>
        <v>9204.5340000000015</v>
      </c>
      <c r="K319" s="2401">
        <f t="shared" si="22"/>
        <v>8609.2980000000007</v>
      </c>
      <c r="L319" s="2354">
        <f t="shared" si="22"/>
        <v>7010.0060000000012</v>
      </c>
      <c r="M319" s="2354">
        <f t="shared" si="22"/>
        <v>9063.5619999999999</v>
      </c>
      <c r="N319" s="2354">
        <f>SUM(B319:M319)</f>
        <v>102965.68100000001</v>
      </c>
    </row>
    <row r="320" spans="1:15" ht="15.75">
      <c r="A320" s="535"/>
      <c r="B320" s="535"/>
      <c r="C320" s="535"/>
      <c r="D320" s="535"/>
      <c r="E320" s="535"/>
      <c r="F320" s="535"/>
      <c r="G320" s="535"/>
      <c r="H320" s="535"/>
      <c r="I320" s="535"/>
      <c r="J320" s="535"/>
      <c r="K320" s="535"/>
      <c r="L320" s="535"/>
      <c r="M320" s="535"/>
      <c r="N320" s="535"/>
      <c r="O320" s="535"/>
    </row>
    <row r="321" spans="1:15" ht="15.75">
      <c r="A321" s="2774" t="s">
        <v>232</v>
      </c>
      <c r="B321" s="2775"/>
      <c r="C321" s="2775"/>
      <c r="D321" s="2775"/>
      <c r="E321" s="2775"/>
      <c r="F321" s="2775"/>
      <c r="G321" s="2775"/>
      <c r="H321" s="2775"/>
      <c r="I321" s="2775"/>
      <c r="J321" s="2775"/>
      <c r="K321" s="2775"/>
      <c r="L321" s="2775"/>
      <c r="M321" s="2775"/>
      <c r="N321" s="2775"/>
      <c r="O321" s="2776"/>
    </row>
    <row r="322" spans="1:15">
      <c r="A322" s="2345" t="s">
        <v>1</v>
      </c>
      <c r="B322" s="2361" t="s">
        <v>216</v>
      </c>
      <c r="C322" s="2361" t="s">
        <v>217</v>
      </c>
      <c r="D322" s="2361" t="s">
        <v>218</v>
      </c>
      <c r="E322" s="2361" t="s">
        <v>219</v>
      </c>
      <c r="F322" s="2361" t="s">
        <v>220</v>
      </c>
      <c r="G322" s="2362" t="s">
        <v>221</v>
      </c>
      <c r="H322" s="2361" t="s">
        <v>222</v>
      </c>
      <c r="I322" s="2412" t="s">
        <v>223</v>
      </c>
      <c r="J322" s="2361" t="s">
        <v>224</v>
      </c>
      <c r="K322" s="2361" t="s">
        <v>225</v>
      </c>
      <c r="L322" s="2371" t="s">
        <v>226</v>
      </c>
      <c r="M322" s="2372" t="s">
        <v>213</v>
      </c>
      <c r="N322" s="2345" t="s">
        <v>233</v>
      </c>
    </row>
    <row r="323" spans="1:15">
      <c r="A323" s="528" t="s">
        <v>15</v>
      </c>
      <c r="B323" s="2348">
        <v>6843.1</v>
      </c>
      <c r="C323" s="2348">
        <v>5573.43</v>
      </c>
      <c r="D323" s="2348">
        <v>8666.2099999999991</v>
      </c>
      <c r="E323" s="2348">
        <v>7871.28</v>
      </c>
      <c r="F323" s="2348">
        <v>7830.63</v>
      </c>
      <c r="G323" s="2348">
        <v>8264.8799999999992</v>
      </c>
      <c r="H323" s="2348">
        <v>8074.84</v>
      </c>
      <c r="I323" s="2348">
        <v>8270.11</v>
      </c>
      <c r="J323" s="2348">
        <v>7400.38</v>
      </c>
      <c r="K323" s="2348">
        <v>6947.22</v>
      </c>
      <c r="L323" s="2348">
        <v>7368.54</v>
      </c>
      <c r="M323" s="2348">
        <v>7489.0249999999996</v>
      </c>
      <c r="N323" s="2351">
        <f>SUM(B323:M323)</f>
        <v>90599.64499999999</v>
      </c>
    </row>
    <row r="324" spans="1:15">
      <c r="A324" s="528" t="s">
        <v>17</v>
      </c>
      <c r="B324" s="2351">
        <v>1131.6099999999999</v>
      </c>
      <c r="C324" s="2351">
        <v>1013.06</v>
      </c>
      <c r="D324" s="2351">
        <v>777.5</v>
      </c>
      <c r="E324" s="2351">
        <v>1268.5</v>
      </c>
      <c r="F324" s="2351">
        <v>1572.87</v>
      </c>
      <c r="G324" s="2351">
        <v>1857.51</v>
      </c>
      <c r="H324" s="2351">
        <v>1302.5899999999999</v>
      </c>
      <c r="I324" s="2351">
        <v>1455.6</v>
      </c>
      <c r="J324" s="2351">
        <v>1413.89</v>
      </c>
      <c r="K324" s="2351">
        <v>1527.32</v>
      </c>
      <c r="L324" s="2351">
        <v>1665.61</v>
      </c>
      <c r="M324" s="2351">
        <v>1432.0730000000001</v>
      </c>
      <c r="N324" s="2351">
        <f>SUM(B324:M324)</f>
        <v>16418.132999999998</v>
      </c>
    </row>
    <row r="325" spans="1:15">
      <c r="A325" s="528" t="s">
        <v>18</v>
      </c>
      <c r="B325" s="2351">
        <v>66.180000000000007</v>
      </c>
      <c r="C325" s="2351">
        <v>23.67</v>
      </c>
      <c r="D325" s="2351">
        <v>71.599999999999994</v>
      </c>
      <c r="E325" s="2351">
        <v>62.05</v>
      </c>
      <c r="F325" s="2351">
        <v>6.4</v>
      </c>
      <c r="G325" s="2351">
        <v>93.78</v>
      </c>
      <c r="H325" s="2351">
        <v>33</v>
      </c>
      <c r="I325" s="2351">
        <v>2.25</v>
      </c>
      <c r="J325" s="2351">
        <v>39.450000000000003</v>
      </c>
      <c r="K325" s="2351">
        <v>33.35</v>
      </c>
      <c r="L325" s="2351">
        <v>32.44</v>
      </c>
      <c r="M325" s="2351">
        <v>38.979999999999997</v>
      </c>
      <c r="N325" s="2351">
        <f>SUM(B325:M325)</f>
        <v>503.15000000000003</v>
      </c>
    </row>
    <row r="326" spans="1:15">
      <c r="A326" s="528" t="s">
        <v>19</v>
      </c>
      <c r="B326" s="2351">
        <f>9010.98-8041</f>
        <v>969.97999999999956</v>
      </c>
      <c r="C326" s="2351">
        <f>7420.78-6610</f>
        <v>810.77999999999975</v>
      </c>
      <c r="D326" s="2351">
        <f>10632.56-9515</f>
        <v>1117.5599999999995</v>
      </c>
      <c r="E326" s="2351">
        <f>10077-9202</f>
        <v>875</v>
      </c>
      <c r="F326" s="2351">
        <f>10293.49-9409.9</f>
        <v>883.59000000000015</v>
      </c>
      <c r="G326" s="2351">
        <f>11214.84-10216.17</f>
        <v>998.67000000000007</v>
      </c>
      <c r="H326" s="2351">
        <f>10178.75-9410.43</f>
        <v>768.31999999999971</v>
      </c>
      <c r="I326" s="2351">
        <f>10670.59-9727.96</f>
        <v>942.63000000000102</v>
      </c>
      <c r="J326" s="2351">
        <f>9911.4-8853.72</f>
        <v>1057.6800000000003</v>
      </c>
      <c r="K326" s="2351">
        <f>9020.24-8507.89</f>
        <v>512.35000000000036</v>
      </c>
      <c r="L326" s="2351">
        <f>10001.67-9066.59</f>
        <v>935.07999999999993</v>
      </c>
      <c r="M326" s="2351">
        <f>10004.06-8960</f>
        <v>1044.0599999999995</v>
      </c>
      <c r="N326" s="2351">
        <f>SUM(B326:M326)</f>
        <v>10915.699999999999</v>
      </c>
    </row>
    <row r="327" spans="1:15">
      <c r="A327" s="2353" t="s">
        <v>20</v>
      </c>
      <c r="B327" s="2354">
        <f>SUM(B322:B326)</f>
        <v>9010.869999999999</v>
      </c>
      <c r="C327" s="2354">
        <f>SUM(C322:C326)</f>
        <v>7420.94</v>
      </c>
      <c r="D327" s="2354">
        <f t="shared" ref="D327:M327" si="23">SUM(D322:D326)</f>
        <v>10632.869999999999</v>
      </c>
      <c r="E327" s="2354">
        <f t="shared" si="23"/>
        <v>10076.829999999998</v>
      </c>
      <c r="F327" s="2354">
        <f t="shared" si="23"/>
        <v>10293.49</v>
      </c>
      <c r="G327" s="2354">
        <f t="shared" si="23"/>
        <v>11214.84</v>
      </c>
      <c r="H327" s="2354">
        <f t="shared" si="23"/>
        <v>10178.75</v>
      </c>
      <c r="I327" s="2354">
        <f t="shared" si="23"/>
        <v>10670.590000000002</v>
      </c>
      <c r="J327" s="2354">
        <f t="shared" si="23"/>
        <v>9911.4000000000015</v>
      </c>
      <c r="K327" s="2401">
        <f t="shared" si="23"/>
        <v>9020.2400000000016</v>
      </c>
      <c r="L327" s="2354">
        <f t="shared" si="23"/>
        <v>10001.67</v>
      </c>
      <c r="M327" s="2354">
        <f t="shared" si="23"/>
        <v>10004.137999999999</v>
      </c>
      <c r="N327" s="2354">
        <f>SUM(B327:M327)</f>
        <v>118436.628</v>
      </c>
    </row>
    <row r="328" spans="1:15" ht="15.75">
      <c r="A328" s="535"/>
      <c r="B328" s="535"/>
      <c r="C328" s="535"/>
      <c r="D328" s="535"/>
      <c r="E328" s="535"/>
      <c r="F328" s="535"/>
      <c r="G328" s="535"/>
      <c r="H328" s="535"/>
      <c r="I328" s="535"/>
      <c r="J328" s="535"/>
      <c r="K328" s="535"/>
      <c r="L328" s="535"/>
      <c r="M328" s="535"/>
      <c r="N328" s="535"/>
      <c r="O328" s="535"/>
    </row>
    <row r="329" spans="1:15" ht="15.75">
      <c r="A329" s="2774" t="s">
        <v>234</v>
      </c>
      <c r="B329" s="2778"/>
      <c r="C329" s="2778"/>
      <c r="D329" s="2778"/>
      <c r="E329" s="2778"/>
      <c r="F329" s="2778"/>
      <c r="G329" s="2778"/>
      <c r="H329" s="2778"/>
      <c r="I329" s="2778"/>
      <c r="J329" s="2778"/>
      <c r="K329" s="2778"/>
      <c r="L329" s="2778"/>
      <c r="M329" s="2778"/>
      <c r="N329" s="2778"/>
      <c r="O329" s="2781"/>
    </row>
    <row r="330" spans="1:15">
      <c r="A330" s="2345" t="s">
        <v>1</v>
      </c>
      <c r="B330" s="2361" t="s">
        <v>175</v>
      </c>
      <c r="C330" s="2361" t="s">
        <v>176</v>
      </c>
      <c r="D330" s="2361" t="s">
        <v>177</v>
      </c>
      <c r="E330" s="2361" t="s">
        <v>178</v>
      </c>
      <c r="F330" s="2361" t="s">
        <v>131</v>
      </c>
      <c r="G330" s="2362" t="s">
        <v>132</v>
      </c>
      <c r="H330" s="2361" t="s">
        <v>133</v>
      </c>
      <c r="I330" s="2370" t="s">
        <v>179</v>
      </c>
      <c r="J330" s="2361" t="s">
        <v>180</v>
      </c>
      <c r="K330" s="2361" t="s">
        <v>181</v>
      </c>
      <c r="L330" s="2371" t="s">
        <v>182</v>
      </c>
      <c r="M330" s="2413" t="s">
        <v>183</v>
      </c>
      <c r="N330" s="2345" t="s">
        <v>184</v>
      </c>
    </row>
    <row r="331" spans="1:15">
      <c r="A331" s="528" t="s">
        <v>15</v>
      </c>
      <c r="B331" s="2348">
        <v>5735</v>
      </c>
      <c r="C331" s="2348">
        <v>5928</v>
      </c>
      <c r="D331" s="2348">
        <v>2303</v>
      </c>
      <c r="E331" s="2348">
        <v>221</v>
      </c>
      <c r="F331" s="2348">
        <v>2480</v>
      </c>
      <c r="G331" s="2348">
        <v>2805</v>
      </c>
      <c r="H331" s="2348">
        <v>3363</v>
      </c>
      <c r="I331" s="2348">
        <v>5047</v>
      </c>
      <c r="J331" s="2348">
        <v>5652</v>
      </c>
      <c r="K331" s="2348">
        <v>5516</v>
      </c>
      <c r="L331" s="2348">
        <v>5548</v>
      </c>
      <c r="M331" s="2348">
        <v>5778</v>
      </c>
      <c r="N331" s="2351">
        <f>SUM(B331:M331)</f>
        <v>50376</v>
      </c>
    </row>
    <row r="332" spans="1:15">
      <c r="A332" s="528" t="s">
        <v>17</v>
      </c>
      <c r="B332" s="2351">
        <v>408</v>
      </c>
      <c r="C332" s="2351">
        <v>576</v>
      </c>
      <c r="D332" s="2351">
        <v>295</v>
      </c>
      <c r="E332" s="2351">
        <v>113</v>
      </c>
      <c r="F332" s="2351">
        <v>191</v>
      </c>
      <c r="G332" s="2351">
        <v>789</v>
      </c>
      <c r="H332" s="2351">
        <v>458</v>
      </c>
      <c r="I332" s="2351">
        <v>385</v>
      </c>
      <c r="J332" s="2351">
        <v>461</v>
      </c>
      <c r="K332" s="2351">
        <v>776</v>
      </c>
      <c r="L332" s="2351">
        <v>509</v>
      </c>
      <c r="M332" s="2351">
        <v>842</v>
      </c>
      <c r="N332" s="2351">
        <f>SUM(B332:M332)</f>
        <v>5803</v>
      </c>
    </row>
    <row r="333" spans="1:15">
      <c r="A333" s="528" t="s">
        <v>18</v>
      </c>
      <c r="B333" s="2351">
        <v>23</v>
      </c>
      <c r="C333" s="2351">
        <v>42</v>
      </c>
      <c r="D333" s="2351">
        <v>40</v>
      </c>
      <c r="E333" s="2351">
        <v>0</v>
      </c>
      <c r="F333" s="2351">
        <v>3</v>
      </c>
      <c r="G333" s="2351">
        <v>91</v>
      </c>
      <c r="H333" s="2351">
        <v>59</v>
      </c>
      <c r="I333" s="2351">
        <v>100</v>
      </c>
      <c r="J333" s="2351">
        <v>51</v>
      </c>
      <c r="K333" s="2351">
        <v>58</v>
      </c>
      <c r="L333" s="2351">
        <v>24</v>
      </c>
      <c r="M333" s="2351">
        <v>50</v>
      </c>
      <c r="N333" s="2351">
        <f>SUM(B333:M333)</f>
        <v>541</v>
      </c>
    </row>
    <row r="334" spans="1:15">
      <c r="A334" s="528" t="s">
        <v>19</v>
      </c>
      <c r="B334" s="2351">
        <f>7825-6166</f>
        <v>1659</v>
      </c>
      <c r="C334" s="2351">
        <f>7882-6546</f>
        <v>1336</v>
      </c>
      <c r="D334" s="2351">
        <f>2995-2638</f>
        <v>357</v>
      </c>
      <c r="E334" s="2351">
        <f>501-334</f>
        <v>167</v>
      </c>
      <c r="F334" s="2351">
        <f>3182-2674</f>
        <v>508</v>
      </c>
      <c r="G334" s="2351">
        <f>4702-3685</f>
        <v>1017</v>
      </c>
      <c r="H334" s="2351">
        <f>5165-3880</f>
        <v>1285</v>
      </c>
      <c r="I334" s="2351">
        <f>6266-5532</f>
        <v>734</v>
      </c>
      <c r="J334" s="2351">
        <f>7016-6164</f>
        <v>852</v>
      </c>
      <c r="K334" s="2351">
        <f>7114-6350</f>
        <v>764</v>
      </c>
      <c r="L334" s="2351">
        <f>6665-6081</f>
        <v>584</v>
      </c>
      <c r="M334" s="2351">
        <f>7653-6670</f>
        <v>983</v>
      </c>
      <c r="N334" s="2351">
        <f>SUM(B334:M334)</f>
        <v>10246</v>
      </c>
    </row>
    <row r="335" spans="1:15">
      <c r="A335" s="2353" t="s">
        <v>20</v>
      </c>
      <c r="B335" s="2354">
        <f>SUM(B330:B334)</f>
        <v>7825</v>
      </c>
      <c r="C335" s="2354">
        <f t="shared" ref="C335:M335" si="24">SUM(C330:C334)</f>
        <v>7882</v>
      </c>
      <c r="D335" s="2354">
        <f t="shared" si="24"/>
        <v>2995</v>
      </c>
      <c r="E335" s="2354">
        <f t="shared" si="24"/>
        <v>501</v>
      </c>
      <c r="F335" s="2354">
        <f t="shared" si="24"/>
        <v>3182</v>
      </c>
      <c r="G335" s="2354">
        <f t="shared" si="24"/>
        <v>4702</v>
      </c>
      <c r="H335" s="2354">
        <f t="shared" si="24"/>
        <v>5165</v>
      </c>
      <c r="I335" s="2354">
        <f t="shared" si="24"/>
        <v>6266</v>
      </c>
      <c r="J335" s="2354">
        <f t="shared" si="24"/>
        <v>7016</v>
      </c>
      <c r="K335" s="2354">
        <f t="shared" si="24"/>
        <v>7114</v>
      </c>
      <c r="L335" s="2354">
        <f t="shared" si="24"/>
        <v>6665</v>
      </c>
      <c r="M335" s="2354">
        <f t="shared" si="24"/>
        <v>7653</v>
      </c>
      <c r="N335" s="2354">
        <f>SUM(B335:M335)</f>
        <v>66966</v>
      </c>
    </row>
    <row r="337" spans="1:15" ht="15.75">
      <c r="A337" s="2774" t="s">
        <v>235</v>
      </c>
      <c r="B337" s="2775"/>
      <c r="C337" s="2775"/>
      <c r="D337" s="2775"/>
      <c r="E337" s="2775"/>
      <c r="F337" s="2775"/>
      <c r="G337" s="2775"/>
      <c r="H337" s="2775"/>
      <c r="I337" s="2775"/>
      <c r="J337" s="2775"/>
      <c r="K337" s="2775"/>
      <c r="L337" s="2775"/>
      <c r="M337" s="2775"/>
      <c r="N337" s="2775"/>
      <c r="O337" s="2776"/>
    </row>
    <row r="338" spans="1:15">
      <c r="A338" s="2345" t="s">
        <v>1</v>
      </c>
      <c r="B338" s="2361" t="s">
        <v>188</v>
      </c>
      <c r="C338" s="2361" t="s">
        <v>189</v>
      </c>
      <c r="D338" s="2361" t="s">
        <v>190</v>
      </c>
      <c r="E338" s="2361" t="s">
        <v>191</v>
      </c>
      <c r="F338" s="2361" t="s">
        <v>192</v>
      </c>
      <c r="G338" s="2362" t="s">
        <v>193</v>
      </c>
      <c r="H338" s="2361" t="s">
        <v>194</v>
      </c>
      <c r="I338" s="2370" t="s">
        <v>195</v>
      </c>
      <c r="J338" s="2361" t="s">
        <v>196</v>
      </c>
      <c r="K338" s="2361" t="s">
        <v>197</v>
      </c>
      <c r="L338" s="2371" t="s">
        <v>198</v>
      </c>
      <c r="M338" s="2372" t="s">
        <v>199</v>
      </c>
      <c r="N338" s="2345" t="s">
        <v>200</v>
      </c>
    </row>
    <row r="339" spans="1:15">
      <c r="A339" s="528" t="s">
        <v>15</v>
      </c>
      <c r="B339" s="2348">
        <v>5587.9129999999996</v>
      </c>
      <c r="C339" s="2348">
        <v>7340.9889999999996</v>
      </c>
      <c r="D339" s="2348">
        <v>6219.2650000000003</v>
      </c>
      <c r="E339" s="2348">
        <v>7390.4170000000004</v>
      </c>
      <c r="F339" s="2348">
        <v>5444.9319999999998</v>
      </c>
      <c r="G339" s="2348">
        <v>7468.41</v>
      </c>
      <c r="H339" s="2348">
        <v>7342.11</v>
      </c>
      <c r="I339" s="2348">
        <v>7838.6170000000002</v>
      </c>
      <c r="J339" s="2348">
        <v>7196.52</v>
      </c>
      <c r="K339" s="2403">
        <v>5083.7650000000003</v>
      </c>
      <c r="L339" s="2348">
        <v>7904.99</v>
      </c>
      <c r="M339" s="2348">
        <v>7048.73</v>
      </c>
      <c r="N339" s="2351">
        <f>SUM(B339:M339)</f>
        <v>81866.657999999996</v>
      </c>
    </row>
    <row r="340" spans="1:15">
      <c r="A340" s="528" t="s">
        <v>17</v>
      </c>
      <c r="B340" s="2351">
        <v>987.49</v>
      </c>
      <c r="C340" s="2351">
        <v>947.68</v>
      </c>
      <c r="D340" s="2351">
        <v>1467.91</v>
      </c>
      <c r="E340" s="2351">
        <v>765.33799999999997</v>
      </c>
      <c r="F340" s="2351">
        <v>1366.63</v>
      </c>
      <c r="G340" s="2351">
        <v>879.91</v>
      </c>
      <c r="H340" s="2351">
        <v>766.34</v>
      </c>
      <c r="I340" s="2351">
        <v>1228.145</v>
      </c>
      <c r="J340" s="2351">
        <v>801.27</v>
      </c>
      <c r="K340" s="2404">
        <v>992.33299999999997</v>
      </c>
      <c r="L340" s="2351">
        <v>926.93499999999995</v>
      </c>
      <c r="M340" s="2351">
        <v>958.41</v>
      </c>
      <c r="N340" s="2351">
        <f>SUM(B340:M340)</f>
        <v>12088.391</v>
      </c>
    </row>
    <row r="341" spans="1:15">
      <c r="A341" s="528" t="s">
        <v>18</v>
      </c>
      <c r="B341" s="2351">
        <v>65.316999999999993</v>
      </c>
      <c r="C341" s="2351">
        <v>59.97</v>
      </c>
      <c r="D341" s="2351">
        <v>16.739999999999998</v>
      </c>
      <c r="E341" s="2351">
        <v>3.7</v>
      </c>
      <c r="F341" s="2351">
        <v>73.62</v>
      </c>
      <c r="G341" s="2351">
        <v>5.65</v>
      </c>
      <c r="H341" s="2351">
        <v>63.1</v>
      </c>
      <c r="I341" s="2351">
        <v>39.86</v>
      </c>
      <c r="J341" s="2351">
        <v>23.24</v>
      </c>
      <c r="K341" s="2404">
        <v>74.239999999999995</v>
      </c>
      <c r="L341" s="2351">
        <v>96.56</v>
      </c>
      <c r="M341" s="2351">
        <v>10.4</v>
      </c>
      <c r="N341" s="2351">
        <f>SUM(B341:M341)</f>
        <v>532.39700000000005</v>
      </c>
    </row>
    <row r="342" spans="1:15">
      <c r="A342" s="528" t="s">
        <v>19</v>
      </c>
      <c r="B342" s="2351">
        <f>7866.85-6641</f>
        <v>1225.8500000000004</v>
      </c>
      <c r="C342" s="2351">
        <f>9356.29-8349</f>
        <v>1007.2900000000009</v>
      </c>
      <c r="D342" s="2351">
        <f>8849.535-7704</f>
        <v>1145.5349999999999</v>
      </c>
      <c r="E342" s="2351">
        <f>9140.428-8159</f>
        <v>981.42799999999988</v>
      </c>
      <c r="F342" s="2351">
        <f>7903.167-6885</f>
        <v>1018.1670000000004</v>
      </c>
      <c r="G342" s="2351">
        <f>9611.34-8354</f>
        <v>1257.3400000000001</v>
      </c>
      <c r="H342" s="2351">
        <f>9322.25-8171.55</f>
        <v>1150.6999999999998</v>
      </c>
      <c r="I342" s="2351">
        <f>10285.725-9106.622</f>
        <v>1179.103000000001</v>
      </c>
      <c r="J342" s="2351">
        <f>8916.59-8021.03</f>
        <v>895.5600000000004</v>
      </c>
      <c r="K342" s="2404">
        <f>7590.755-6150.338</f>
        <v>1440.4170000000004</v>
      </c>
      <c r="L342" s="2351">
        <f>9131.805-8928.485</f>
        <v>203.31999999999971</v>
      </c>
      <c r="M342" s="2351">
        <f>8965-8017.54</f>
        <v>947.46</v>
      </c>
      <c r="N342" s="2351">
        <f>SUM(B342:M342)</f>
        <v>12452.170000000002</v>
      </c>
    </row>
    <row r="343" spans="1:15">
      <c r="A343" s="2353" t="s">
        <v>20</v>
      </c>
      <c r="B343" s="2354">
        <f>SUM(B338:B342)</f>
        <v>7866.57</v>
      </c>
      <c r="C343" s="2354">
        <f>SUM(C338:C342)</f>
        <v>9355.9290000000001</v>
      </c>
      <c r="D343" s="2354">
        <f t="shared" ref="D343:M343" si="25">SUM(D338:D342)</f>
        <v>8849.4500000000007</v>
      </c>
      <c r="E343" s="2354">
        <f t="shared" si="25"/>
        <v>9140.8829999999998</v>
      </c>
      <c r="F343" s="2354">
        <f t="shared" si="25"/>
        <v>7903.3490000000002</v>
      </c>
      <c r="G343" s="2354">
        <f t="shared" si="25"/>
        <v>9611.31</v>
      </c>
      <c r="H343" s="2354">
        <f t="shared" si="25"/>
        <v>9322.25</v>
      </c>
      <c r="I343" s="2354">
        <f t="shared" si="25"/>
        <v>10285.725000000002</v>
      </c>
      <c r="J343" s="2354">
        <f t="shared" si="25"/>
        <v>8916.59</v>
      </c>
      <c r="K343" s="2405">
        <f t="shared" si="25"/>
        <v>7590.7550000000001</v>
      </c>
      <c r="L343" s="2354">
        <f t="shared" si="25"/>
        <v>9131.8049999999985</v>
      </c>
      <c r="M343" s="2354">
        <f t="shared" si="25"/>
        <v>8965</v>
      </c>
      <c r="N343" s="2354">
        <f>SUM(B343:M343)</f>
        <v>106939.61599999999</v>
      </c>
    </row>
    <row r="344" spans="1:15">
      <c r="B344" s="86">
        <f>+B339+B340+B341</f>
        <v>6640.7199999999993</v>
      </c>
      <c r="C344" s="86">
        <f t="shared" ref="C344:N344" si="26">+C339+C340+C341</f>
        <v>8348.6389999999992</v>
      </c>
      <c r="D344" s="86">
        <f t="shared" si="26"/>
        <v>7703.915</v>
      </c>
      <c r="E344" s="86">
        <f t="shared" si="26"/>
        <v>8159.4549999999999</v>
      </c>
      <c r="F344" s="86">
        <f t="shared" si="26"/>
        <v>6885.1819999999998</v>
      </c>
      <c r="G344" s="86">
        <f t="shared" si="26"/>
        <v>8353.9699999999993</v>
      </c>
      <c r="H344" s="86">
        <f t="shared" si="26"/>
        <v>8171.55</v>
      </c>
      <c r="I344" s="86">
        <f t="shared" si="26"/>
        <v>9106.6220000000012</v>
      </c>
      <c r="J344" s="86">
        <f t="shared" si="26"/>
        <v>8021.0300000000007</v>
      </c>
      <c r="K344" s="86">
        <f t="shared" si="26"/>
        <v>6150.3379999999997</v>
      </c>
      <c r="L344" s="86">
        <f t="shared" si="26"/>
        <v>8928.4849999999988</v>
      </c>
      <c r="M344" s="86">
        <f t="shared" si="26"/>
        <v>8017.5399999999991</v>
      </c>
      <c r="N344" s="86">
        <f t="shared" si="26"/>
        <v>94487.445999999996</v>
      </c>
    </row>
    <row r="346" spans="1:15" ht="15.75">
      <c r="A346" s="2774" t="s">
        <v>236</v>
      </c>
      <c r="B346" s="2775"/>
      <c r="C346" s="2775"/>
      <c r="D346" s="2775"/>
      <c r="E346" s="2775"/>
      <c r="F346" s="2775"/>
      <c r="G346" s="2775"/>
      <c r="H346" s="2775"/>
      <c r="I346" s="2775"/>
      <c r="J346" s="2775"/>
      <c r="K346" s="2775"/>
      <c r="L346" s="2775"/>
      <c r="M346" s="2775"/>
      <c r="N346" s="2775"/>
      <c r="O346" s="2776"/>
    </row>
    <row r="347" spans="1:15">
      <c r="A347" s="2345" t="s">
        <v>1</v>
      </c>
      <c r="B347" s="2361" t="s">
        <v>202</v>
      </c>
      <c r="C347" s="2361" t="s">
        <v>203</v>
      </c>
      <c r="D347" s="2361" t="s">
        <v>204</v>
      </c>
      <c r="E347" s="2361" t="s">
        <v>205</v>
      </c>
      <c r="F347" s="2361" t="s">
        <v>206</v>
      </c>
      <c r="G347" s="2362" t="s">
        <v>207</v>
      </c>
      <c r="H347" s="2361" t="s">
        <v>208</v>
      </c>
      <c r="I347" s="2370" t="s">
        <v>209</v>
      </c>
      <c r="J347" s="2361" t="s">
        <v>210</v>
      </c>
      <c r="K347" s="2361" t="s">
        <v>211</v>
      </c>
      <c r="L347" s="2371" t="s">
        <v>212</v>
      </c>
      <c r="M347" s="2372" t="s">
        <v>213</v>
      </c>
      <c r="N347" s="2345" t="s">
        <v>214</v>
      </c>
    </row>
    <row r="348" spans="1:15">
      <c r="A348" s="528" t="s">
        <v>15</v>
      </c>
      <c r="B348" s="2348">
        <v>7455.48</v>
      </c>
      <c r="C348" s="2348">
        <v>7047.375</v>
      </c>
      <c r="D348" s="2348">
        <v>8044.0169999999998</v>
      </c>
      <c r="E348" s="2348">
        <v>6394.4279999999999</v>
      </c>
      <c r="F348" s="2348">
        <v>5553.54</v>
      </c>
      <c r="G348" s="2348">
        <v>6926.4409999999998</v>
      </c>
      <c r="H348" s="2348">
        <v>7864.2560000000003</v>
      </c>
      <c r="I348" s="2348">
        <v>6933.4650000000001</v>
      </c>
      <c r="J348" s="2348">
        <v>8322.6769999999997</v>
      </c>
      <c r="K348" s="2406">
        <v>6896.1040000000003</v>
      </c>
      <c r="L348" s="2348">
        <v>7200.768</v>
      </c>
      <c r="M348" s="2348">
        <v>6852.88</v>
      </c>
      <c r="N348" s="2351">
        <f>SUM(B348:M348)</f>
        <v>85491.430999999997</v>
      </c>
    </row>
    <row r="349" spans="1:15">
      <c r="A349" s="528" t="s">
        <v>17</v>
      </c>
      <c r="B349" s="2351">
        <v>765.45</v>
      </c>
      <c r="C349" s="2351">
        <v>734.89</v>
      </c>
      <c r="D349" s="2351">
        <v>1081.03</v>
      </c>
      <c r="E349" s="2351">
        <v>938.41200000000003</v>
      </c>
      <c r="F349" s="2351">
        <v>1128.1099999999999</v>
      </c>
      <c r="G349" s="2351">
        <v>733.95</v>
      </c>
      <c r="H349" s="2351">
        <v>924.32</v>
      </c>
      <c r="I349" s="2351">
        <v>1080.0150000000001</v>
      </c>
      <c r="J349" s="2351">
        <v>967.33399999999995</v>
      </c>
      <c r="K349" s="2407">
        <v>617.27</v>
      </c>
      <c r="L349" s="2351">
        <v>837.69200000000001</v>
      </c>
      <c r="M349" s="2351">
        <v>1271.29</v>
      </c>
      <c r="N349" s="2351">
        <f>SUM(B349:M349)</f>
        <v>11079.763000000003</v>
      </c>
    </row>
    <row r="350" spans="1:15">
      <c r="A350" s="528" t="s">
        <v>18</v>
      </c>
      <c r="B350" s="2351">
        <v>34.17</v>
      </c>
      <c r="C350" s="2351">
        <v>30.545000000000002</v>
      </c>
      <c r="D350" s="2351">
        <v>29.85</v>
      </c>
      <c r="E350" s="2351">
        <v>0</v>
      </c>
      <c r="F350" s="2351">
        <v>116.7</v>
      </c>
      <c r="G350" s="2351">
        <v>53.975000000000001</v>
      </c>
      <c r="H350" s="2351">
        <v>3.4</v>
      </c>
      <c r="I350" s="2351">
        <v>30.8</v>
      </c>
      <c r="J350" s="2351">
        <v>17.89</v>
      </c>
      <c r="K350" s="2407">
        <v>27.02</v>
      </c>
      <c r="L350" s="2351">
        <v>41.322000000000003</v>
      </c>
      <c r="M350" s="2351">
        <v>124.495</v>
      </c>
      <c r="N350" s="2351">
        <f>SUM(B350:M350)</f>
        <v>510.16699999999997</v>
      </c>
    </row>
    <row r="351" spans="1:15">
      <c r="A351" s="528" t="s">
        <v>19</v>
      </c>
      <c r="B351" s="2351">
        <f>9256.19-8255</f>
        <v>1001.1900000000005</v>
      </c>
      <c r="C351" s="2351">
        <f>8814.68-7813</f>
        <v>1001.6800000000003</v>
      </c>
      <c r="D351" s="2351">
        <f>9657.631-9155</f>
        <v>502.6309999999994</v>
      </c>
      <c r="E351" s="2351">
        <f>7603.03-7332.84</f>
        <v>270.1899999999996</v>
      </c>
      <c r="F351" s="2351">
        <f>7489.94-6798.35</f>
        <v>691.58999999999924</v>
      </c>
      <c r="G351" s="2351">
        <f>8077.546-7714.336</f>
        <v>363.21000000000004</v>
      </c>
      <c r="H351" s="2351">
        <f>10356.37-8791.976</f>
        <v>1564.3940000000002</v>
      </c>
      <c r="I351" s="2351">
        <f>8555.51-8044.28</f>
        <v>511.23000000000047</v>
      </c>
      <c r="J351" s="2351">
        <f>10019.343-9307.901</f>
        <v>711.44200000000092</v>
      </c>
      <c r="K351" s="2407">
        <f>8029.739-7540.394</f>
        <v>489.34499999999935</v>
      </c>
      <c r="L351" s="2351">
        <f>8349.31-8079.782</f>
        <v>269.52799999999934</v>
      </c>
      <c r="M351" s="2351">
        <f>9350.335-8248.665</f>
        <v>1101.6699999999983</v>
      </c>
      <c r="N351" s="2351">
        <f>SUM(B351:M351)</f>
        <v>8478.0999999999985</v>
      </c>
    </row>
    <row r="352" spans="1:15">
      <c r="A352" s="2353" t="s">
        <v>20</v>
      </c>
      <c r="B352" s="2354">
        <f>SUM(B347:B351)</f>
        <v>9256.2900000000009</v>
      </c>
      <c r="C352" s="2354">
        <f>SUM(C347:C351)</f>
        <v>8814.4900000000016</v>
      </c>
      <c r="D352" s="2354">
        <f t="shared" ref="D352:M352" si="27">SUM(D347:D351)</f>
        <v>9657.5280000000002</v>
      </c>
      <c r="E352" s="2354">
        <f t="shared" si="27"/>
        <v>7603.03</v>
      </c>
      <c r="F352" s="2354">
        <f t="shared" si="27"/>
        <v>7489.9399999999987</v>
      </c>
      <c r="G352" s="2354">
        <f t="shared" si="27"/>
        <v>8077.576</v>
      </c>
      <c r="H352" s="2354">
        <f t="shared" si="27"/>
        <v>10356.370000000001</v>
      </c>
      <c r="I352" s="2354">
        <f t="shared" si="27"/>
        <v>8555.510000000002</v>
      </c>
      <c r="J352" s="2354">
        <f t="shared" si="27"/>
        <v>10019.343000000001</v>
      </c>
      <c r="K352" s="2408">
        <f t="shared" si="27"/>
        <v>8029.7389999999996</v>
      </c>
      <c r="L352" s="2354">
        <f t="shared" si="27"/>
        <v>8349.31</v>
      </c>
      <c r="M352" s="2354">
        <f t="shared" si="27"/>
        <v>9350.3349999999991</v>
      </c>
      <c r="N352" s="2354">
        <f>SUM(B352:M352)</f>
        <v>105559.46100000001</v>
      </c>
    </row>
    <row r="353" spans="1:15" ht="15.75">
      <c r="A353" s="535"/>
      <c r="B353" s="535"/>
      <c r="C353" s="535"/>
      <c r="D353" s="535"/>
      <c r="E353" s="535"/>
      <c r="F353" s="535"/>
      <c r="G353" s="535"/>
      <c r="H353" s="535"/>
      <c r="I353" s="535"/>
      <c r="J353" s="535"/>
      <c r="K353" s="535"/>
      <c r="L353" s="535"/>
      <c r="M353" s="535"/>
      <c r="N353" s="535"/>
      <c r="O353" s="535"/>
    </row>
    <row r="354" spans="1:15" ht="15.75">
      <c r="A354" s="2774" t="s">
        <v>237</v>
      </c>
      <c r="B354" s="2775"/>
      <c r="C354" s="2775"/>
      <c r="D354" s="2775"/>
      <c r="E354" s="2775"/>
      <c r="F354" s="2775"/>
      <c r="G354" s="2775"/>
      <c r="H354" s="2775"/>
      <c r="I354" s="2775"/>
      <c r="J354" s="2775"/>
      <c r="K354" s="2775"/>
      <c r="L354" s="2775"/>
      <c r="M354" s="2775"/>
      <c r="N354" s="2775"/>
      <c r="O354" s="2776"/>
    </row>
    <row r="355" spans="1:15">
      <c r="A355" s="2345" t="s">
        <v>1</v>
      </c>
      <c r="B355" s="2361" t="s">
        <v>216</v>
      </c>
      <c r="C355" s="2361" t="s">
        <v>217</v>
      </c>
      <c r="D355" s="2361" t="s">
        <v>218</v>
      </c>
      <c r="E355" s="2361" t="s">
        <v>219</v>
      </c>
      <c r="F355" s="2361" t="s">
        <v>220</v>
      </c>
      <c r="G355" s="2362" t="s">
        <v>221</v>
      </c>
      <c r="H355" s="2361" t="s">
        <v>222</v>
      </c>
      <c r="I355" s="2412" t="s">
        <v>223</v>
      </c>
      <c r="J355" s="2361" t="s">
        <v>224</v>
      </c>
      <c r="K355" s="2361" t="s">
        <v>225</v>
      </c>
      <c r="L355" s="2371" t="s">
        <v>226</v>
      </c>
      <c r="M355" s="2372" t="s">
        <v>227</v>
      </c>
      <c r="N355" s="2345" t="s">
        <v>233</v>
      </c>
    </row>
    <row r="356" spans="1:15">
      <c r="A356" s="528" t="s">
        <v>15</v>
      </c>
      <c r="B356" s="2348">
        <v>5962.1</v>
      </c>
      <c r="C356" s="2348">
        <v>5942.93</v>
      </c>
      <c r="D356" s="2348">
        <v>7321.88</v>
      </c>
      <c r="E356" s="2348">
        <v>7510.18</v>
      </c>
      <c r="F356" s="2348">
        <v>8364.4699999999993</v>
      </c>
      <c r="G356" s="2348">
        <v>8649.67</v>
      </c>
      <c r="H356" s="2348">
        <v>7668.52</v>
      </c>
      <c r="I356" s="2348">
        <v>10061.870000000001</v>
      </c>
      <c r="J356" s="2348">
        <v>6881.6</v>
      </c>
      <c r="K356" s="2348">
        <v>6866.27</v>
      </c>
      <c r="L356" s="2348">
        <v>6431.28</v>
      </c>
      <c r="M356" s="2348">
        <v>6983.51</v>
      </c>
      <c r="N356" s="2351">
        <f>SUM(B356:M356)</f>
        <v>88644.28</v>
      </c>
    </row>
    <row r="357" spans="1:15">
      <c r="A357" s="528" t="s">
        <v>17</v>
      </c>
      <c r="B357" s="2351">
        <v>1035.4000000000001</v>
      </c>
      <c r="C357" s="2351">
        <v>1003.5</v>
      </c>
      <c r="D357" s="2351">
        <v>867.22</v>
      </c>
      <c r="E357" s="2351">
        <v>964.81</v>
      </c>
      <c r="F357" s="2351">
        <v>1679.62</v>
      </c>
      <c r="G357" s="2351">
        <v>1804.15</v>
      </c>
      <c r="H357" s="2351">
        <v>1361.7</v>
      </c>
      <c r="I357" s="2351">
        <v>1393.66</v>
      </c>
      <c r="J357" s="2351">
        <v>1021.89</v>
      </c>
      <c r="K357" s="2351">
        <v>1932.69</v>
      </c>
      <c r="L357" s="2351">
        <v>1501.8</v>
      </c>
      <c r="M357" s="2351">
        <v>1447.925</v>
      </c>
      <c r="N357" s="2351">
        <f>SUM(B357:M357)</f>
        <v>16014.364999999998</v>
      </c>
    </row>
    <row r="358" spans="1:15">
      <c r="A358" s="528" t="s">
        <v>18</v>
      </c>
      <c r="B358" s="2351">
        <v>29.91</v>
      </c>
      <c r="C358" s="2351">
        <v>41.59</v>
      </c>
      <c r="D358" s="2351">
        <v>54.24</v>
      </c>
      <c r="E358" s="2351">
        <v>109</v>
      </c>
      <c r="F358" s="2351">
        <v>15.02</v>
      </c>
      <c r="G358" s="2351">
        <v>8</v>
      </c>
      <c r="H358" s="2351">
        <v>84.03</v>
      </c>
      <c r="I358" s="2351">
        <v>48.61</v>
      </c>
      <c r="J358" s="2351">
        <v>28.3</v>
      </c>
      <c r="K358" s="2351">
        <v>13.78</v>
      </c>
      <c r="L358" s="2351">
        <v>64.05</v>
      </c>
      <c r="M358" s="2351">
        <v>13.72</v>
      </c>
      <c r="N358" s="2351">
        <f>SUM(B358:M358)</f>
        <v>510.25</v>
      </c>
    </row>
    <row r="359" spans="1:15">
      <c r="A359" s="528" t="s">
        <v>19</v>
      </c>
      <c r="B359" s="2351">
        <f>7726.48-7027.41</f>
        <v>699.06999999999971</v>
      </c>
      <c r="C359" s="2351">
        <f>8050.21-6988.02</f>
        <v>1062.1899999999996</v>
      </c>
      <c r="D359" s="2351">
        <f>9249.46-8243.34</f>
        <v>1006.119999999999</v>
      </c>
      <c r="E359" s="2351">
        <f>9449.05-8583.99</f>
        <v>865.05999999999949</v>
      </c>
      <c r="F359" s="2351">
        <f>10893.57-10059</f>
        <v>834.56999999999971</v>
      </c>
      <c r="G359" s="2351">
        <f>11279.23-10462</f>
        <v>817.22999999999956</v>
      </c>
      <c r="H359" s="2351">
        <f>9942.97-9114</f>
        <v>828.96999999999935</v>
      </c>
      <c r="I359" s="2351">
        <f>12514.08-11504</f>
        <v>1010.0799999999999</v>
      </c>
      <c r="J359" s="2351">
        <f>8619.55-7932</f>
        <v>687.54999999999927</v>
      </c>
      <c r="K359" s="2351">
        <f>9459.59-8813</f>
        <v>646.59000000000015</v>
      </c>
      <c r="L359" s="2351">
        <f>8859.2-7997</f>
        <v>862.20000000000073</v>
      </c>
      <c r="M359" s="2351">
        <f>9347.075-8445</f>
        <v>902.07500000000073</v>
      </c>
      <c r="N359" s="2351">
        <f>SUM(B359:M359)</f>
        <v>10221.704999999998</v>
      </c>
    </row>
    <row r="360" spans="1:15">
      <c r="A360" s="2353" t="s">
        <v>20</v>
      </c>
      <c r="B360" s="2354">
        <f>SUM(B355:B359)</f>
        <v>7726.48</v>
      </c>
      <c r="C360" s="2354">
        <f>SUM(C355:C359)</f>
        <v>8050.21</v>
      </c>
      <c r="D360" s="2354">
        <f t="shared" ref="D360:M360" si="28">SUM(D355:D359)</f>
        <v>9249.4599999999991</v>
      </c>
      <c r="E360" s="2354">
        <f t="shared" si="28"/>
        <v>9449.0499999999993</v>
      </c>
      <c r="F360" s="2354">
        <f t="shared" si="28"/>
        <v>10893.68</v>
      </c>
      <c r="G360" s="2354">
        <f t="shared" si="28"/>
        <v>11279.05</v>
      </c>
      <c r="H360" s="2354">
        <f t="shared" si="28"/>
        <v>9943.2200000000012</v>
      </c>
      <c r="I360" s="2354">
        <f t="shared" si="28"/>
        <v>12514.220000000001</v>
      </c>
      <c r="J360" s="2354">
        <f t="shared" si="28"/>
        <v>8619.34</v>
      </c>
      <c r="K360" s="2354">
        <f t="shared" si="28"/>
        <v>9459.3300000000017</v>
      </c>
      <c r="L360" s="2354">
        <f t="shared" si="28"/>
        <v>8859.3300000000017</v>
      </c>
      <c r="M360" s="2354">
        <f t="shared" si="28"/>
        <v>9347.23</v>
      </c>
      <c r="N360" s="2354">
        <f>SUM(B360:M360)</f>
        <v>115390.59999999999</v>
      </c>
    </row>
    <row r="362" spans="1:15" ht="15.75">
      <c r="A362" s="2774" t="s">
        <v>238</v>
      </c>
      <c r="B362" s="2778"/>
      <c r="C362" s="2778"/>
      <c r="D362" s="2778"/>
      <c r="E362" s="2778"/>
      <c r="F362" s="2778"/>
      <c r="G362" s="2778"/>
      <c r="H362" s="2778"/>
      <c r="I362" s="2778"/>
      <c r="J362" s="2778"/>
      <c r="K362" s="2778"/>
      <c r="L362" s="2778"/>
      <c r="M362" s="2775"/>
      <c r="N362" s="2775"/>
      <c r="O362" s="2781"/>
    </row>
    <row r="363" spans="1:15">
      <c r="A363" s="2360" t="s">
        <v>79</v>
      </c>
      <c r="B363" s="2361" t="s">
        <v>239</v>
      </c>
      <c r="C363" s="2361" t="s">
        <v>240</v>
      </c>
      <c r="D363" s="2361" t="s">
        <v>241</v>
      </c>
      <c r="E363" s="2361" t="s">
        <v>242</v>
      </c>
      <c r="F363" s="2361" t="s">
        <v>243</v>
      </c>
      <c r="G363" s="2362" t="s">
        <v>244</v>
      </c>
      <c r="H363" s="2361" t="s">
        <v>245</v>
      </c>
      <c r="I363" s="2412" t="s">
        <v>246</v>
      </c>
      <c r="J363" s="2361" t="s">
        <v>247</v>
      </c>
      <c r="K363" s="2361" t="s">
        <v>248</v>
      </c>
      <c r="L363" s="2371" t="s">
        <v>249</v>
      </c>
      <c r="M363" s="2372" t="s">
        <v>250</v>
      </c>
      <c r="N363" s="2345" t="s">
        <v>3973</v>
      </c>
    </row>
    <row r="364" spans="1:15">
      <c r="A364" s="522" t="s">
        <v>81</v>
      </c>
      <c r="B364" s="528">
        <v>7106</v>
      </c>
      <c r="C364" s="528">
        <v>6487</v>
      </c>
      <c r="D364" s="528">
        <v>5524</v>
      </c>
      <c r="E364" s="528">
        <v>5968</v>
      </c>
      <c r="F364" s="528">
        <v>6713</v>
      </c>
      <c r="G364" s="528">
        <v>5680</v>
      </c>
      <c r="H364" s="528">
        <v>5228</v>
      </c>
      <c r="I364" s="528">
        <v>6622</v>
      </c>
      <c r="J364" s="528">
        <v>7161</v>
      </c>
      <c r="K364" s="528">
        <v>6529</v>
      </c>
      <c r="L364" s="528">
        <v>6565</v>
      </c>
      <c r="M364" s="528">
        <v>7801</v>
      </c>
      <c r="N364" s="2375">
        <f>SUM(B364:M364)</f>
        <v>77384</v>
      </c>
    </row>
    <row r="365" spans="1:15">
      <c r="A365" s="522" t="s">
        <v>26</v>
      </c>
      <c r="B365" s="528">
        <v>1581</v>
      </c>
      <c r="C365" s="528">
        <v>1499</v>
      </c>
      <c r="D365" s="528">
        <v>1541</v>
      </c>
      <c r="E365" s="528">
        <v>1233</v>
      </c>
      <c r="F365" s="528">
        <v>1913</v>
      </c>
      <c r="G365" s="528">
        <v>1379</v>
      </c>
      <c r="H365" s="528">
        <v>889</v>
      </c>
      <c r="I365" s="528">
        <v>1270</v>
      </c>
      <c r="J365" s="528">
        <v>802</v>
      </c>
      <c r="K365" s="528">
        <v>935</v>
      </c>
      <c r="L365" s="528">
        <v>1551</v>
      </c>
      <c r="M365" s="528">
        <v>618</v>
      </c>
      <c r="N365" s="2375">
        <f>SUM(B365:M365)</f>
        <v>15211</v>
      </c>
    </row>
    <row r="366" spans="1:15">
      <c r="A366" s="522" t="s">
        <v>99</v>
      </c>
      <c r="B366" s="2364">
        <v>49</v>
      </c>
      <c r="C366" s="2364">
        <v>49</v>
      </c>
      <c r="D366" s="2364">
        <v>0</v>
      </c>
      <c r="E366" s="2364">
        <v>52</v>
      </c>
      <c r="F366" s="2364">
        <v>150</v>
      </c>
      <c r="G366" s="2364">
        <v>0</v>
      </c>
      <c r="H366" s="2364">
        <v>0</v>
      </c>
      <c r="I366" s="2364">
        <v>49</v>
      </c>
      <c r="J366" s="2364">
        <v>101</v>
      </c>
      <c r="K366" s="2364">
        <v>0</v>
      </c>
      <c r="L366" s="2364">
        <v>97</v>
      </c>
      <c r="M366" s="2364">
        <v>0</v>
      </c>
      <c r="N366" s="2375">
        <f>SUM(B366:M366)</f>
        <v>547</v>
      </c>
    </row>
    <row r="367" spans="1:15">
      <c r="A367" s="522" t="s">
        <v>185</v>
      </c>
      <c r="B367" s="2364">
        <f>9845-8736</f>
        <v>1109</v>
      </c>
      <c r="C367" s="2364">
        <f>9580-8035</f>
        <v>1545</v>
      </c>
      <c r="D367" s="2364">
        <f>7216-7065</f>
        <v>151</v>
      </c>
      <c r="E367" s="2364">
        <f>8667-7253</f>
        <v>1414</v>
      </c>
      <c r="F367" s="2364">
        <f>9335-8776</f>
        <v>559</v>
      </c>
      <c r="G367" s="2364">
        <f>7517-7059</f>
        <v>458</v>
      </c>
      <c r="H367" s="2364">
        <f>7063-6117</f>
        <v>946</v>
      </c>
      <c r="I367" s="2364">
        <f>9113-7941</f>
        <v>1172</v>
      </c>
      <c r="J367" s="2364">
        <f>8908-8064</f>
        <v>844</v>
      </c>
      <c r="K367" s="2364">
        <f>9584-7464</f>
        <v>2120</v>
      </c>
      <c r="L367" s="2364">
        <f>9720-8213</f>
        <v>1507</v>
      </c>
      <c r="M367" s="2364">
        <f>10248-8419</f>
        <v>1829</v>
      </c>
      <c r="N367" s="2375">
        <f>SUM(B367:M367)</f>
        <v>13654</v>
      </c>
    </row>
    <row r="368" spans="1:15">
      <c r="A368" s="522" t="s">
        <v>36</v>
      </c>
      <c r="B368" s="2353">
        <f>+B364+B365+B366+B367</f>
        <v>9845</v>
      </c>
      <c r="C368" s="2353">
        <f t="shared" ref="C368:N368" si="29">+C364+C365+C366+C367</f>
        <v>9580</v>
      </c>
      <c r="D368" s="2353">
        <f t="shared" si="29"/>
        <v>7216</v>
      </c>
      <c r="E368" s="2353">
        <f t="shared" si="29"/>
        <v>8667</v>
      </c>
      <c r="F368" s="2353">
        <f t="shared" si="29"/>
        <v>9335</v>
      </c>
      <c r="G368" s="2353">
        <f t="shared" si="29"/>
        <v>7517</v>
      </c>
      <c r="H368" s="2353">
        <f t="shared" si="29"/>
        <v>7063</v>
      </c>
      <c r="I368" s="2353">
        <f t="shared" si="29"/>
        <v>9113</v>
      </c>
      <c r="J368" s="2353">
        <f t="shared" si="29"/>
        <v>8908</v>
      </c>
      <c r="K368" s="2353">
        <f t="shared" si="29"/>
        <v>9584</v>
      </c>
      <c r="L368" s="2353">
        <f t="shared" si="29"/>
        <v>9720</v>
      </c>
      <c r="M368" s="2353">
        <f t="shared" si="29"/>
        <v>10248</v>
      </c>
      <c r="N368" s="2353">
        <f t="shared" si="29"/>
        <v>106796</v>
      </c>
    </row>
    <row r="371" spans="1:15" ht="15.75">
      <c r="A371" s="2774" t="s">
        <v>251</v>
      </c>
      <c r="B371" s="2778"/>
      <c r="C371" s="2778"/>
      <c r="D371" s="2778"/>
      <c r="E371" s="2778"/>
      <c r="F371" s="2778"/>
      <c r="G371" s="2778"/>
      <c r="H371" s="2778"/>
      <c r="I371" s="2778"/>
      <c r="J371" s="2778"/>
      <c r="K371" s="2778"/>
      <c r="L371" s="2778"/>
      <c r="M371" s="2778"/>
      <c r="N371" s="2778"/>
      <c r="O371" s="2781"/>
    </row>
    <row r="372" spans="1:15">
      <c r="A372" s="2345" t="s">
        <v>1</v>
      </c>
      <c r="B372" s="2361" t="s">
        <v>239</v>
      </c>
      <c r="C372" s="2361" t="s">
        <v>240</v>
      </c>
      <c r="D372" s="2361" t="s">
        <v>241</v>
      </c>
      <c r="E372" s="2361" t="s">
        <v>242</v>
      </c>
      <c r="F372" s="2361" t="s">
        <v>243</v>
      </c>
      <c r="G372" s="2362" t="s">
        <v>244</v>
      </c>
      <c r="H372" s="2361" t="s">
        <v>245</v>
      </c>
      <c r="I372" s="2412" t="s">
        <v>246</v>
      </c>
      <c r="J372" s="2361" t="s">
        <v>247</v>
      </c>
      <c r="K372" s="2361" t="s">
        <v>248</v>
      </c>
      <c r="L372" s="2371" t="s">
        <v>249</v>
      </c>
      <c r="M372" s="2372" t="s">
        <v>250</v>
      </c>
      <c r="N372" s="2345" t="s">
        <v>3972</v>
      </c>
    </row>
    <row r="373" spans="1:15">
      <c r="A373" s="528" t="s">
        <v>15</v>
      </c>
      <c r="B373" s="2375">
        <v>1935.71</v>
      </c>
      <c r="C373" s="2375">
        <v>1351.65</v>
      </c>
      <c r="D373" s="2375">
        <v>1595.51</v>
      </c>
      <c r="E373" s="2375">
        <v>1476.1</v>
      </c>
      <c r="F373" s="2375">
        <v>1746.49</v>
      </c>
      <c r="G373" s="2375">
        <v>2211.9299999999998</v>
      </c>
      <c r="H373" s="2375">
        <v>6826.0129999999999</v>
      </c>
      <c r="I373" s="2375">
        <v>7364.42</v>
      </c>
      <c r="J373" s="2375">
        <v>6768.64</v>
      </c>
      <c r="K373" s="2375">
        <v>8173.84</v>
      </c>
      <c r="L373" s="2375">
        <v>7276.57</v>
      </c>
      <c r="M373" s="2375">
        <v>7813.33</v>
      </c>
      <c r="N373" s="2351">
        <f>SUM(B373:M373)</f>
        <v>54540.203000000001</v>
      </c>
    </row>
    <row r="374" spans="1:15">
      <c r="A374" s="528" t="s">
        <v>17</v>
      </c>
      <c r="B374" s="2375">
        <v>7257.92</v>
      </c>
      <c r="C374" s="2375">
        <v>6600.83</v>
      </c>
      <c r="D374" s="2375">
        <v>6491.22</v>
      </c>
      <c r="E374" s="2375">
        <v>7589.06</v>
      </c>
      <c r="F374" s="2375">
        <v>4584.1899999999996</v>
      </c>
      <c r="G374" s="2375">
        <v>7707.23</v>
      </c>
      <c r="H374" s="2375">
        <v>1394.617</v>
      </c>
      <c r="I374" s="2375">
        <v>1643.47</v>
      </c>
      <c r="J374" s="2375">
        <v>1018.05</v>
      </c>
      <c r="K374" s="2375">
        <v>1083.54</v>
      </c>
      <c r="L374" s="2375">
        <v>1469.23</v>
      </c>
      <c r="M374" s="2375">
        <v>1346.64</v>
      </c>
      <c r="N374" s="2351">
        <f>SUM(B374:M374)</f>
        <v>48185.997000000003</v>
      </c>
    </row>
    <row r="375" spans="1:15">
      <c r="A375" s="528" t="s">
        <v>18</v>
      </c>
      <c r="B375" s="2402">
        <v>37.54</v>
      </c>
      <c r="C375" s="2402">
        <v>0</v>
      </c>
      <c r="D375" s="2402">
        <v>37.619999999999997</v>
      </c>
      <c r="E375" s="2402">
        <v>36.22</v>
      </c>
      <c r="F375" s="2402">
        <v>10</v>
      </c>
      <c r="G375" s="2402">
        <v>79.930000000000007</v>
      </c>
      <c r="H375" s="2402">
        <v>3.85</v>
      </c>
      <c r="I375" s="2402">
        <v>37.479999999999997</v>
      </c>
      <c r="J375" s="2402">
        <v>38</v>
      </c>
      <c r="K375" s="2402">
        <v>39.299999999999997</v>
      </c>
      <c r="L375" s="2402">
        <v>72.88</v>
      </c>
      <c r="M375" s="2402">
        <v>0</v>
      </c>
      <c r="N375" s="2351">
        <f>SUM(B375:M375)</f>
        <v>392.82</v>
      </c>
    </row>
    <row r="376" spans="1:15">
      <c r="A376" s="528" t="s">
        <v>19</v>
      </c>
      <c r="B376" s="2402">
        <f>10006.95-9231.17</f>
        <v>775.78000000000065</v>
      </c>
      <c r="C376" s="2402">
        <f>9062.03-7952.48</f>
        <v>1109.5500000000011</v>
      </c>
      <c r="D376" s="2402">
        <f>8544.16-8124.35</f>
        <v>419.80999999999949</v>
      </c>
      <c r="E376" s="2402">
        <f>10000.75-9101.38</f>
        <v>899.3700000000008</v>
      </c>
      <c r="F376" s="2402">
        <f>6750.02-6340.68</f>
        <v>409.34000000000015</v>
      </c>
      <c r="G376" s="2402">
        <f>10369.93-9999.09</f>
        <v>370.84000000000015</v>
      </c>
      <c r="H376" s="2402">
        <f>9042.777-8224.48</f>
        <v>818.29700000000048</v>
      </c>
      <c r="I376" s="2402">
        <f>10030-9045.37</f>
        <v>984.6299999999992</v>
      </c>
      <c r="J376" s="2402">
        <f>8545.52-7824.69</f>
        <v>720.83000000000084</v>
      </c>
      <c r="K376" s="2402">
        <f>10481.88-9296.68</f>
        <v>1185.1999999999989</v>
      </c>
      <c r="L376" s="2402">
        <f>10138.35-8818.68</f>
        <v>1319.67</v>
      </c>
      <c r="M376" s="2402">
        <f>10445.15-9159.97</f>
        <v>1285.1800000000003</v>
      </c>
      <c r="N376" s="2351">
        <f>SUM(B376:M376)</f>
        <v>10298.497000000003</v>
      </c>
    </row>
    <row r="377" spans="1:15">
      <c r="A377" s="2353" t="s">
        <v>20</v>
      </c>
      <c r="B377" s="2355">
        <f t="shared" ref="B377:M377" si="30">+B373+B374+B375+B376</f>
        <v>10006.950000000003</v>
      </c>
      <c r="C377" s="2355">
        <f t="shared" si="30"/>
        <v>9062.0300000000007</v>
      </c>
      <c r="D377" s="2355">
        <f t="shared" si="30"/>
        <v>8544.16</v>
      </c>
      <c r="E377" s="2355">
        <f t="shared" si="30"/>
        <v>10000.75</v>
      </c>
      <c r="F377" s="2355">
        <f t="shared" si="30"/>
        <v>6750.0199999999995</v>
      </c>
      <c r="G377" s="2355">
        <f t="shared" si="30"/>
        <v>10369.93</v>
      </c>
      <c r="H377" s="2355">
        <f t="shared" si="30"/>
        <v>9042.777</v>
      </c>
      <c r="I377" s="2353">
        <f t="shared" si="30"/>
        <v>10029.999999999998</v>
      </c>
      <c r="J377" s="2355">
        <f t="shared" si="30"/>
        <v>8545.52</v>
      </c>
      <c r="K377" s="2355">
        <f t="shared" si="30"/>
        <v>10481.879999999999</v>
      </c>
      <c r="L377" s="2355">
        <f t="shared" si="30"/>
        <v>10138.349999999999</v>
      </c>
      <c r="M377" s="2355">
        <f t="shared" si="30"/>
        <v>10445.15</v>
      </c>
      <c r="N377" s="2354">
        <f>SUM(B377:M377)</f>
        <v>113417.51699999999</v>
      </c>
    </row>
    <row r="380" spans="1:15" ht="15.75">
      <c r="A380" s="2774" t="s">
        <v>252</v>
      </c>
      <c r="B380" s="2775"/>
      <c r="C380" s="2775"/>
      <c r="D380" s="2775"/>
      <c r="E380" s="2775"/>
      <c r="F380" s="2775"/>
      <c r="G380" s="2775"/>
      <c r="H380" s="2775"/>
      <c r="I380" s="2775"/>
      <c r="J380" s="2775"/>
      <c r="K380" s="2775"/>
      <c r="L380" s="2775"/>
      <c r="M380" s="2775"/>
      <c r="N380" s="2775"/>
      <c r="O380" s="2776"/>
    </row>
    <row r="381" spans="1:15">
      <c r="A381" s="2345" t="s">
        <v>1</v>
      </c>
      <c r="B381" s="2361" t="s">
        <v>239</v>
      </c>
      <c r="C381" s="2361" t="s">
        <v>240</v>
      </c>
      <c r="D381" s="2361" t="s">
        <v>241</v>
      </c>
      <c r="E381" s="2361" t="s">
        <v>242</v>
      </c>
      <c r="F381" s="2361" t="s">
        <v>243</v>
      </c>
      <c r="G381" s="2362" t="s">
        <v>244</v>
      </c>
      <c r="H381" s="2361" t="s">
        <v>245</v>
      </c>
      <c r="I381" s="2412" t="s">
        <v>246</v>
      </c>
      <c r="J381" s="2361" t="s">
        <v>247</v>
      </c>
      <c r="K381" s="2361" t="s">
        <v>248</v>
      </c>
      <c r="L381" s="2371" t="s">
        <v>249</v>
      </c>
      <c r="M381" s="2372" t="s">
        <v>250</v>
      </c>
      <c r="N381" s="2345" t="s">
        <v>3972</v>
      </c>
    </row>
    <row r="382" spans="1:15">
      <c r="A382" s="528" t="s">
        <v>15</v>
      </c>
      <c r="B382" s="2375">
        <v>1520.47</v>
      </c>
      <c r="C382" s="2375">
        <v>1357.41</v>
      </c>
      <c r="D382" s="2375">
        <v>1516.54</v>
      </c>
      <c r="E382" s="2375">
        <v>1853.65</v>
      </c>
      <c r="F382" s="2375">
        <v>1943.79</v>
      </c>
      <c r="G382" s="2375">
        <v>1786.72</v>
      </c>
      <c r="H382" s="2375">
        <v>8088.7719999999999</v>
      </c>
      <c r="I382" s="2375">
        <v>7693.83</v>
      </c>
      <c r="J382" s="2375">
        <v>7268.02</v>
      </c>
      <c r="K382" s="2375">
        <v>7233.42</v>
      </c>
      <c r="L382" s="2375">
        <v>6573.68</v>
      </c>
      <c r="M382" s="2375">
        <v>7934.09</v>
      </c>
      <c r="N382" s="2351">
        <f>SUM(B382:M382)</f>
        <v>54770.392000000007</v>
      </c>
    </row>
    <row r="383" spans="1:15">
      <c r="A383" s="528" t="s">
        <v>17</v>
      </c>
      <c r="B383" s="2375">
        <v>7783.12</v>
      </c>
      <c r="C383" s="2375">
        <v>4031.48</v>
      </c>
      <c r="D383" s="2375">
        <v>9113.25</v>
      </c>
      <c r="E383" s="2375">
        <v>7903.9</v>
      </c>
      <c r="F383" s="2375">
        <v>6680.34</v>
      </c>
      <c r="G383" s="2375">
        <v>7680.13</v>
      </c>
      <c r="H383" s="2375">
        <v>1357.0350000000001</v>
      </c>
      <c r="I383" s="2375">
        <v>1417.4</v>
      </c>
      <c r="J383" s="2375">
        <v>1615.53</v>
      </c>
      <c r="K383" s="2375">
        <v>1103.51</v>
      </c>
      <c r="L383" s="2375">
        <v>1710.48</v>
      </c>
      <c r="M383" s="2375">
        <v>1662.55</v>
      </c>
      <c r="N383" s="2351">
        <f>SUM(B383:M383)</f>
        <v>52058.725000000006</v>
      </c>
    </row>
    <row r="384" spans="1:15">
      <c r="A384" s="528" t="s">
        <v>18</v>
      </c>
      <c r="B384" s="2402">
        <v>8.6300000000000008</v>
      </c>
      <c r="C384" s="2402">
        <v>87.18</v>
      </c>
      <c r="D384" s="2402">
        <v>50.57</v>
      </c>
      <c r="E384" s="2402">
        <v>9.9499999999999993</v>
      </c>
      <c r="F384" s="2402">
        <v>33.14</v>
      </c>
      <c r="G384" s="2402">
        <v>6.1</v>
      </c>
      <c r="H384" s="2402">
        <v>54.037999999999997</v>
      </c>
      <c r="I384" s="2402">
        <v>64.14</v>
      </c>
      <c r="J384" s="2402">
        <v>86.69</v>
      </c>
      <c r="K384" s="2402">
        <v>38.700000000000003</v>
      </c>
      <c r="L384" s="2402">
        <v>37.42</v>
      </c>
      <c r="M384" s="2402">
        <v>103.56</v>
      </c>
      <c r="N384" s="2351">
        <f>SUM(B384:M384)</f>
        <v>580.11799999999994</v>
      </c>
    </row>
    <row r="385" spans="1:15">
      <c r="A385" s="528" t="s">
        <v>19</v>
      </c>
      <c r="B385" s="2402">
        <f>10346.96-9312.22</f>
        <v>1034.7399999999998</v>
      </c>
      <c r="C385" s="2402">
        <f>6546.39-5476.07</f>
        <v>1070.3200000000006</v>
      </c>
      <c r="D385" s="2402">
        <f>11250.11-10680.36</f>
        <v>569.75</v>
      </c>
      <c r="E385" s="2402">
        <f>10610.6-9767.5</f>
        <v>843.10000000000036</v>
      </c>
      <c r="F385" s="2402">
        <f>9163.25-8657.27</f>
        <v>505.97999999999956</v>
      </c>
      <c r="G385" s="2402">
        <f>9846.14-9472.95</f>
        <v>373.18999999999869</v>
      </c>
      <c r="H385" s="2402">
        <f>10084.52-9499.845</f>
        <v>584.67500000000109</v>
      </c>
      <c r="I385" s="2402">
        <f>10197.8-9175.37</f>
        <v>1022.4299999999985</v>
      </c>
      <c r="J385" s="2402">
        <f>9920.44-8970.24</f>
        <v>950.20000000000073</v>
      </c>
      <c r="K385" s="2402">
        <f>9466.5-8375.63</f>
        <v>1090.8700000000008</v>
      </c>
      <c r="L385" s="2402">
        <f>9615.41-5321.58</f>
        <v>4293.83</v>
      </c>
      <c r="M385" s="2402">
        <f>10949.62-9700.2</f>
        <v>1249.42</v>
      </c>
      <c r="N385" s="2351">
        <f>SUM(B385:M385)</f>
        <v>13588.504999999999</v>
      </c>
    </row>
    <row r="386" spans="1:15">
      <c r="A386" s="2353" t="s">
        <v>20</v>
      </c>
      <c r="B386" s="2355">
        <f t="shared" ref="B386:M386" si="31">+B382+B383+B384+B385</f>
        <v>10346.959999999999</v>
      </c>
      <c r="C386" s="2355">
        <f t="shared" si="31"/>
        <v>6546.3900000000012</v>
      </c>
      <c r="D386" s="2355">
        <f t="shared" si="31"/>
        <v>11250.11</v>
      </c>
      <c r="E386" s="2355">
        <f t="shared" si="31"/>
        <v>10610.6</v>
      </c>
      <c r="F386" s="2355">
        <f t="shared" si="31"/>
        <v>9163.25</v>
      </c>
      <c r="G386" s="2355">
        <f t="shared" si="31"/>
        <v>9846.14</v>
      </c>
      <c r="H386" s="2353">
        <f t="shared" si="31"/>
        <v>10084.520000000002</v>
      </c>
      <c r="I386" s="2355">
        <f t="shared" si="31"/>
        <v>10197.799999999997</v>
      </c>
      <c r="J386" s="2355">
        <f t="shared" si="31"/>
        <v>9920.4400000000023</v>
      </c>
      <c r="K386" s="2355">
        <f t="shared" si="31"/>
        <v>9466.5000000000018</v>
      </c>
      <c r="L386" s="2355">
        <f t="shared" si="31"/>
        <v>12615.41</v>
      </c>
      <c r="M386" s="2355">
        <f t="shared" si="31"/>
        <v>10949.619999999999</v>
      </c>
      <c r="N386" s="2354">
        <f>SUM(B386:M386)</f>
        <v>120997.74</v>
      </c>
    </row>
    <row r="389" spans="1:15" ht="13.5" thickBot="1"/>
    <row r="390" spans="1:15" ht="24" thickBot="1">
      <c r="A390" s="2804" t="s">
        <v>3970</v>
      </c>
      <c r="B390" s="2805"/>
      <c r="C390" s="2805"/>
      <c r="D390" s="2805"/>
      <c r="E390" s="2805"/>
      <c r="F390" s="2805"/>
      <c r="G390" s="2805"/>
      <c r="H390" s="2805"/>
      <c r="I390" s="2805"/>
      <c r="J390" s="2805"/>
      <c r="K390" s="2805"/>
      <c r="L390" s="2805"/>
      <c r="M390" s="2806"/>
      <c r="N390" s="2806"/>
      <c r="O390" s="2807"/>
    </row>
    <row r="391" spans="1:15" ht="23.25">
      <c r="A391" s="2586" t="s">
        <v>79</v>
      </c>
      <c r="B391" s="2591" t="s">
        <v>861</v>
      </c>
      <c r="C391" s="2591" t="s">
        <v>862</v>
      </c>
      <c r="D391" s="2591" t="s">
        <v>863</v>
      </c>
      <c r="E391" s="2591" t="s">
        <v>864</v>
      </c>
      <c r="F391" s="2591" t="s">
        <v>865</v>
      </c>
      <c r="G391" s="2592" t="s">
        <v>866</v>
      </c>
      <c r="H391" s="2591" t="s">
        <v>867</v>
      </c>
      <c r="I391" s="2593" t="s">
        <v>868</v>
      </c>
      <c r="J391" s="2591" t="s">
        <v>315</v>
      </c>
      <c r="K391" s="2591" t="s">
        <v>305</v>
      </c>
      <c r="L391" s="2594" t="s">
        <v>3886</v>
      </c>
      <c r="M391" s="2595" t="s">
        <v>3941</v>
      </c>
      <c r="N391" s="2596" t="s">
        <v>3976</v>
      </c>
      <c r="O391" s="2382"/>
    </row>
    <row r="392" spans="1:15" ht="23.25">
      <c r="A392" s="825" t="s">
        <v>81</v>
      </c>
      <c r="B392" s="2597">
        <v>8565</v>
      </c>
      <c r="C392" s="2597">
        <v>9377</v>
      </c>
      <c r="D392" s="2597">
        <v>8787</v>
      </c>
      <c r="E392" s="2597">
        <v>7062</v>
      </c>
      <c r="F392" s="2597">
        <v>7967</v>
      </c>
      <c r="G392" s="2597">
        <v>6852</v>
      </c>
      <c r="H392" s="2597">
        <v>6829</v>
      </c>
      <c r="I392" s="2597">
        <v>10300</v>
      </c>
      <c r="J392" s="2597">
        <v>9567</v>
      </c>
      <c r="K392" s="2597">
        <v>8756</v>
      </c>
      <c r="L392" s="2597">
        <v>5545</v>
      </c>
      <c r="M392" s="2597">
        <v>4752</v>
      </c>
      <c r="N392" s="2598">
        <f>SUM(B392:M392)</f>
        <v>94359</v>
      </c>
      <c r="O392" s="2382"/>
    </row>
    <row r="393" spans="1:15" ht="23.25">
      <c r="A393" s="825" t="s">
        <v>26</v>
      </c>
      <c r="B393" s="2597">
        <v>1066</v>
      </c>
      <c r="C393" s="2597">
        <v>753</v>
      </c>
      <c r="D393" s="2597">
        <v>835</v>
      </c>
      <c r="E393" s="2597">
        <v>1396</v>
      </c>
      <c r="F393" s="2597">
        <v>1937</v>
      </c>
      <c r="G393" s="2597">
        <v>1522</v>
      </c>
      <c r="H393" s="2597">
        <v>2452</v>
      </c>
      <c r="I393" s="2597">
        <v>1624</v>
      </c>
      <c r="J393" s="2597">
        <v>1249</v>
      </c>
      <c r="K393" s="2597">
        <v>1276</v>
      </c>
      <c r="L393" s="2597">
        <v>2278</v>
      </c>
      <c r="M393" s="2597">
        <v>1248</v>
      </c>
      <c r="N393" s="2598">
        <f>SUM(B393:M393)</f>
        <v>17636</v>
      </c>
      <c r="O393" s="2382"/>
    </row>
    <row r="394" spans="1:15" ht="23.25">
      <c r="A394" s="825" t="s">
        <v>99</v>
      </c>
      <c r="B394" s="2599">
        <v>53</v>
      </c>
      <c r="C394" s="2599">
        <v>97</v>
      </c>
      <c r="D394" s="2599">
        <v>49</v>
      </c>
      <c r="E394" s="2599">
        <v>48</v>
      </c>
      <c r="F394" s="2599">
        <v>49</v>
      </c>
      <c r="G394" s="2599">
        <v>0</v>
      </c>
      <c r="H394" s="2599">
        <v>126</v>
      </c>
      <c r="I394" s="2599">
        <v>32</v>
      </c>
      <c r="J394" s="2599">
        <v>41</v>
      </c>
      <c r="K394" s="2599">
        <v>99</v>
      </c>
      <c r="L394" s="2599">
        <v>0</v>
      </c>
      <c r="M394" s="2599">
        <v>0</v>
      </c>
      <c r="N394" s="2598">
        <f>SUM(B394:M394)</f>
        <v>594</v>
      </c>
      <c r="O394" s="2382"/>
    </row>
    <row r="395" spans="1:15" ht="23.25">
      <c r="A395" s="825" t="s">
        <v>185</v>
      </c>
      <c r="B395" s="2599">
        <f>11258-9684</f>
        <v>1574</v>
      </c>
      <c r="C395" s="2599">
        <f>10848-10227</f>
        <v>621</v>
      </c>
      <c r="D395" s="2599">
        <f>10947-9671</f>
        <v>1276</v>
      </c>
      <c r="E395" s="2599">
        <f>9223-8506</f>
        <v>717</v>
      </c>
      <c r="F395" s="2599">
        <f>10785-9953</f>
        <v>832</v>
      </c>
      <c r="G395" s="2599">
        <f>9834-8374</f>
        <v>1460</v>
      </c>
      <c r="H395" s="2599">
        <f>11055-9407</f>
        <v>1648</v>
      </c>
      <c r="I395" s="2599">
        <f>13476-11956</f>
        <v>1520</v>
      </c>
      <c r="J395" s="2599">
        <f>12087-10857</f>
        <v>1230</v>
      </c>
      <c r="K395" s="2599">
        <f>11404-10131</f>
        <v>1273</v>
      </c>
      <c r="L395" s="2599">
        <f>9483-7823</f>
        <v>1660</v>
      </c>
      <c r="M395" s="2599">
        <f>7656-6000</f>
        <v>1656</v>
      </c>
      <c r="N395" s="2598">
        <f>SUM(B395:M395)</f>
        <v>15467</v>
      </c>
      <c r="O395" s="2382"/>
    </row>
    <row r="396" spans="1:15" ht="24" thickBot="1">
      <c r="A396" s="2601" t="s">
        <v>36</v>
      </c>
      <c r="B396" s="2600">
        <f>+B392+B393+B394+B395</f>
        <v>11258</v>
      </c>
      <c r="C396" s="2600">
        <f t="shared" ref="C396:M396" si="32">+C392+C393+C394+C395</f>
        <v>10848</v>
      </c>
      <c r="D396" s="2600">
        <f t="shared" si="32"/>
        <v>10947</v>
      </c>
      <c r="E396" s="2600">
        <f t="shared" si="32"/>
        <v>9223</v>
      </c>
      <c r="F396" s="2600">
        <f t="shared" si="32"/>
        <v>10785</v>
      </c>
      <c r="G396" s="2600">
        <f t="shared" si="32"/>
        <v>9834</v>
      </c>
      <c r="H396" s="2600">
        <f t="shared" si="32"/>
        <v>11055</v>
      </c>
      <c r="I396" s="2600">
        <f t="shared" si="32"/>
        <v>13476</v>
      </c>
      <c r="J396" s="2600">
        <f t="shared" si="32"/>
        <v>12087</v>
      </c>
      <c r="K396" s="2600">
        <f t="shared" si="32"/>
        <v>11404</v>
      </c>
      <c r="L396" s="2600">
        <f t="shared" si="32"/>
        <v>9483</v>
      </c>
      <c r="M396" s="2600">
        <f t="shared" si="32"/>
        <v>7656</v>
      </c>
      <c r="N396" s="2600">
        <f t="shared" ref="N396" si="33">+N392+N393+N394+N395</f>
        <v>128056</v>
      </c>
      <c r="O396" s="2602"/>
    </row>
    <row r="397" spans="1:15" ht="24" thickBot="1">
      <c r="A397" s="274"/>
      <c r="B397" s="2587"/>
      <c r="C397" s="2587"/>
      <c r="D397" s="2587"/>
      <c r="E397" s="2587"/>
      <c r="F397" s="2587"/>
      <c r="G397" s="2587"/>
      <c r="H397" s="2587"/>
      <c r="I397" s="2587"/>
      <c r="J397" s="2587"/>
      <c r="K397" s="2587"/>
      <c r="L397" s="2587"/>
      <c r="M397" s="2587"/>
      <c r="N397" s="2587"/>
      <c r="O397" s="2587"/>
    </row>
    <row r="398" spans="1:15" ht="16.5" thickBot="1">
      <c r="A398" s="2774" t="s">
        <v>3974</v>
      </c>
      <c r="B398" s="2778"/>
      <c r="C398" s="2778"/>
      <c r="D398" s="2778"/>
      <c r="E398" s="2778"/>
      <c r="F398" s="2778"/>
      <c r="G398" s="2778"/>
      <c r="H398" s="2778"/>
      <c r="I398" s="2778"/>
      <c r="J398" s="2778"/>
      <c r="K398" s="2778"/>
      <c r="L398" s="2778"/>
      <c r="M398" s="2778"/>
      <c r="N398" s="2778"/>
      <c r="O398" s="2781"/>
    </row>
    <row r="399" spans="1:15">
      <c r="A399" s="2360" t="s">
        <v>79</v>
      </c>
      <c r="B399" s="2361" t="s">
        <v>861</v>
      </c>
      <c r="C399" s="2361" t="s">
        <v>862</v>
      </c>
      <c r="D399" s="2361" t="s">
        <v>863</v>
      </c>
      <c r="E399" s="2361" t="s">
        <v>864</v>
      </c>
      <c r="F399" s="2361" t="s">
        <v>865</v>
      </c>
      <c r="G399" s="2362" t="s">
        <v>866</v>
      </c>
      <c r="H399" s="2361" t="s">
        <v>867</v>
      </c>
      <c r="I399" s="2412" t="s">
        <v>868</v>
      </c>
      <c r="J399" s="2361" t="s">
        <v>315</v>
      </c>
      <c r="K399" s="2361" t="s">
        <v>305</v>
      </c>
      <c r="L399" s="2589" t="s">
        <v>3886</v>
      </c>
      <c r="M399" s="2590" t="s">
        <v>3941</v>
      </c>
      <c r="N399" s="2345" t="s">
        <v>3971</v>
      </c>
    </row>
    <row r="400" spans="1:15">
      <c r="A400" s="522" t="s">
        <v>81</v>
      </c>
      <c r="B400" s="2375">
        <v>8320.92</v>
      </c>
      <c r="C400" s="2375">
        <v>8564.2389999999996</v>
      </c>
      <c r="D400" s="2375">
        <v>8962.35</v>
      </c>
      <c r="E400" s="2375">
        <v>6333.8549999999996</v>
      </c>
      <c r="F400" s="2375">
        <v>8037.24</v>
      </c>
      <c r="G400" s="2375">
        <v>6697.15</v>
      </c>
      <c r="H400" s="2375">
        <v>6818.04</v>
      </c>
      <c r="I400" s="2375">
        <v>9140.6209999999992</v>
      </c>
      <c r="J400" s="2375">
        <v>8706.48</v>
      </c>
      <c r="K400" s="2375">
        <v>8500.4230000000007</v>
      </c>
      <c r="L400" s="2375">
        <v>5983.7969999999996</v>
      </c>
      <c r="M400" s="2375">
        <v>4622.0959999999995</v>
      </c>
      <c r="N400" s="2588">
        <f>SUM(B400:M400)</f>
        <v>90687.21100000001</v>
      </c>
    </row>
    <row r="401" spans="1:15">
      <c r="A401" s="522" t="s">
        <v>26</v>
      </c>
      <c r="B401" s="2375">
        <v>1309.6199999999999</v>
      </c>
      <c r="C401" s="2375">
        <v>1442.99</v>
      </c>
      <c r="D401" s="2375">
        <v>1500.134</v>
      </c>
      <c r="E401" s="2375">
        <v>1442.287</v>
      </c>
      <c r="F401" s="2375">
        <v>2289.8829999999998</v>
      </c>
      <c r="G401" s="2375">
        <v>1505.556</v>
      </c>
      <c r="H401" s="2375">
        <v>2490.54</v>
      </c>
      <c r="I401" s="2375">
        <v>1627.0350000000001</v>
      </c>
      <c r="J401" s="2375">
        <v>2079.7139999999999</v>
      </c>
      <c r="K401" s="2375">
        <v>1385.7049999999999</v>
      </c>
      <c r="L401" s="2375">
        <v>2052.5790000000002</v>
      </c>
      <c r="M401" s="2375">
        <v>1587.52</v>
      </c>
      <c r="N401" s="2588">
        <f>SUM(B401:M401)</f>
        <v>20713.563000000002</v>
      </c>
    </row>
    <row r="402" spans="1:15">
      <c r="A402" s="522" t="s">
        <v>99</v>
      </c>
      <c r="B402" s="2375">
        <v>34.49</v>
      </c>
      <c r="C402" s="2375">
        <v>33.85</v>
      </c>
      <c r="D402" s="2375">
        <v>74.78</v>
      </c>
      <c r="E402" s="2375">
        <v>0</v>
      </c>
      <c r="F402" s="2375">
        <v>33.295000000000002</v>
      </c>
      <c r="G402" s="2375">
        <v>29.54</v>
      </c>
      <c r="H402" s="2375">
        <v>60.47</v>
      </c>
      <c r="I402" s="2375">
        <v>24.05</v>
      </c>
      <c r="J402" s="2375">
        <v>26.3</v>
      </c>
      <c r="K402" s="2375">
        <v>29.95</v>
      </c>
      <c r="L402" s="2375">
        <v>34.72</v>
      </c>
      <c r="M402" s="2375">
        <v>0</v>
      </c>
      <c r="N402" s="2588">
        <f>SUM(B402:M402)</f>
        <v>381.44500000000005</v>
      </c>
    </row>
    <row r="403" spans="1:15">
      <c r="A403" s="522" t="s">
        <v>185</v>
      </c>
      <c r="B403" s="2375">
        <f>10802.813-9665</f>
        <v>1137.8130000000001</v>
      </c>
      <c r="C403" s="2375">
        <f>10673.386-10041</f>
        <v>632.38600000000042</v>
      </c>
      <c r="D403" s="2375">
        <v>11364.091</v>
      </c>
      <c r="E403" s="2375">
        <f>8366.933-7776</f>
        <v>590.9330000000009</v>
      </c>
      <c r="F403" s="2375">
        <f>10884.679-10360</f>
        <v>524.67900000000009</v>
      </c>
      <c r="G403" s="2375">
        <f>9409.288-8232</f>
        <v>1177.2880000000005</v>
      </c>
      <c r="H403" s="2375">
        <f>10306.564-9369</f>
        <v>937.56400000000031</v>
      </c>
      <c r="I403" s="2375">
        <f>12004.07-10792</f>
        <v>1212.0699999999997</v>
      </c>
      <c r="J403" s="2375">
        <f>11774.2-10812</f>
        <v>962.20000000000073</v>
      </c>
      <c r="K403" s="2375">
        <f>10762.926-9916</f>
        <v>846.92599999999948</v>
      </c>
      <c r="L403" s="2375">
        <f>9329.995-8071</f>
        <v>1258.9950000000008</v>
      </c>
      <c r="M403" s="2375">
        <f>7264.03-6210</f>
        <v>1054.0299999999997</v>
      </c>
      <c r="N403" s="2588">
        <f>SUM(B403:M403)</f>
        <v>21698.974999999999</v>
      </c>
    </row>
    <row r="404" spans="1:15" ht="13.5" thickBot="1">
      <c r="A404" s="522" t="s">
        <v>36</v>
      </c>
      <c r="B404" s="2375">
        <f>+B400+B401+B402+B403</f>
        <v>10802.843000000001</v>
      </c>
      <c r="C404" s="2375">
        <f t="shared" ref="C404:M404" si="34">+C400+C401+C402+C403</f>
        <v>10673.465</v>
      </c>
      <c r="D404" s="2375">
        <f t="shared" si="34"/>
        <v>21901.355000000003</v>
      </c>
      <c r="E404" s="2375">
        <f t="shared" si="34"/>
        <v>8367.0750000000007</v>
      </c>
      <c r="F404" s="2375">
        <f t="shared" si="34"/>
        <v>10885.097</v>
      </c>
      <c r="G404" s="2375">
        <f t="shared" si="34"/>
        <v>9409.5340000000015</v>
      </c>
      <c r="H404" s="2375">
        <f t="shared" si="34"/>
        <v>10306.614</v>
      </c>
      <c r="I404" s="2375">
        <f t="shared" si="34"/>
        <v>12003.775999999998</v>
      </c>
      <c r="J404" s="2375">
        <f t="shared" si="34"/>
        <v>11774.694</v>
      </c>
      <c r="K404" s="2375">
        <f t="shared" si="34"/>
        <v>10763.004000000001</v>
      </c>
      <c r="L404" s="2375">
        <f t="shared" si="34"/>
        <v>9330.0910000000003</v>
      </c>
      <c r="M404" s="2375">
        <f t="shared" si="34"/>
        <v>7263.6459999999997</v>
      </c>
      <c r="N404" s="2355">
        <f t="shared" ref="N404" si="35">+N400+N401+N402+N403</f>
        <v>133481.19400000002</v>
      </c>
    </row>
    <row r="405" spans="1:15" ht="13.5" thickBot="1"/>
    <row r="406" spans="1:15" ht="16.5" thickBot="1">
      <c r="A406" s="2774" t="s">
        <v>3975</v>
      </c>
      <c r="B406" s="2778"/>
      <c r="C406" s="2778"/>
      <c r="D406" s="2778"/>
      <c r="E406" s="2778"/>
      <c r="F406" s="2778"/>
      <c r="G406" s="2778"/>
      <c r="H406" s="2778"/>
      <c r="I406" s="2778"/>
      <c r="J406" s="2778"/>
      <c r="K406" s="2778"/>
      <c r="L406" s="2778"/>
      <c r="M406" s="2778"/>
      <c r="N406" s="2778"/>
      <c r="O406" s="2781"/>
    </row>
    <row r="407" spans="1:15">
      <c r="A407" s="2360" t="s">
        <v>79</v>
      </c>
      <c r="B407" s="2361" t="s">
        <v>861</v>
      </c>
      <c r="C407" s="2361" t="s">
        <v>862</v>
      </c>
      <c r="D407" s="2361" t="s">
        <v>863</v>
      </c>
      <c r="E407" s="2361" t="s">
        <v>864</v>
      </c>
      <c r="F407" s="2361" t="s">
        <v>865</v>
      </c>
      <c r="G407" s="2362" t="s">
        <v>866</v>
      </c>
      <c r="H407" s="2361" t="s">
        <v>867</v>
      </c>
      <c r="I407" s="2412" t="s">
        <v>868</v>
      </c>
      <c r="J407" s="2361" t="s">
        <v>315</v>
      </c>
      <c r="K407" s="2361" t="s">
        <v>305</v>
      </c>
      <c r="L407" s="2371" t="s">
        <v>3886</v>
      </c>
      <c r="M407" s="2372" t="s">
        <v>3941</v>
      </c>
      <c r="N407" s="2345" t="s">
        <v>3971</v>
      </c>
    </row>
    <row r="408" spans="1:15">
      <c r="A408" s="522" t="s">
        <v>81</v>
      </c>
      <c r="B408" s="2375">
        <v>7651.2</v>
      </c>
      <c r="C408" s="2375">
        <v>8411.08</v>
      </c>
      <c r="D408" s="2375">
        <v>9111.16</v>
      </c>
      <c r="E408" s="2375">
        <v>6418.52</v>
      </c>
      <c r="F408" s="2375">
        <v>8024.95</v>
      </c>
      <c r="G408" s="2375">
        <v>6055.71</v>
      </c>
      <c r="H408" s="2375">
        <v>7796.26</v>
      </c>
      <c r="I408" s="2375">
        <v>8486.9500000000007</v>
      </c>
      <c r="J408" s="2375">
        <v>7575.32</v>
      </c>
      <c r="K408" s="2375">
        <v>4785.74</v>
      </c>
      <c r="L408" s="2375">
        <v>3938.47</v>
      </c>
      <c r="M408" s="2375">
        <v>4287.82</v>
      </c>
      <c r="N408" s="2375">
        <f>SUM(B408:M408)</f>
        <v>82543.179999999993</v>
      </c>
    </row>
    <row r="409" spans="1:15">
      <c r="A409" s="522" t="s">
        <v>26</v>
      </c>
      <c r="B409" s="2375">
        <v>1013.62</v>
      </c>
      <c r="C409" s="2375">
        <v>1143.1099999999999</v>
      </c>
      <c r="D409" s="2375">
        <v>1575.6</v>
      </c>
      <c r="E409" s="2375">
        <v>1240.06</v>
      </c>
      <c r="F409" s="2375">
        <v>2044.25</v>
      </c>
      <c r="G409" s="2375">
        <v>1683.91</v>
      </c>
      <c r="H409" s="2375">
        <v>1925.0350000000001</v>
      </c>
      <c r="I409" s="2375">
        <v>2193.36</v>
      </c>
      <c r="J409" s="2375">
        <v>1913.61</v>
      </c>
      <c r="K409" s="2375">
        <v>1396.11</v>
      </c>
      <c r="L409" s="2375">
        <v>1946.3</v>
      </c>
      <c r="M409" s="2375">
        <v>1086.51</v>
      </c>
      <c r="N409" s="2375">
        <f>SUM(B409:M409)</f>
        <v>19161.474999999999</v>
      </c>
    </row>
    <row r="410" spans="1:15">
      <c r="A410" s="522" t="s">
        <v>99</v>
      </c>
      <c r="B410" s="2375">
        <v>0</v>
      </c>
      <c r="C410" s="2375">
        <v>0</v>
      </c>
      <c r="D410" s="2375">
        <v>103.13</v>
      </c>
      <c r="E410" s="2375">
        <v>18.690000000000001</v>
      </c>
      <c r="F410" s="2375">
        <v>0.49</v>
      </c>
      <c r="G410" s="2375">
        <v>31.43</v>
      </c>
      <c r="H410" s="2375">
        <v>112.04900000000001</v>
      </c>
      <c r="I410" s="2375">
        <v>2.44</v>
      </c>
      <c r="J410" s="2375">
        <v>0.45</v>
      </c>
      <c r="K410" s="2375">
        <v>17.7</v>
      </c>
      <c r="L410" s="2375">
        <v>56.37</v>
      </c>
      <c r="M410" s="2375">
        <v>3.02</v>
      </c>
      <c r="N410" s="2375">
        <f>SUM(B410:M410)</f>
        <v>345.76899999999995</v>
      </c>
    </row>
    <row r="411" spans="1:15">
      <c r="A411" s="522" t="s">
        <v>185</v>
      </c>
      <c r="B411" s="2375">
        <f>9929.93-8664.93</f>
        <v>1265</v>
      </c>
      <c r="C411" s="2375">
        <f>10233.01-9594.19</f>
        <v>638.81999999999971</v>
      </c>
      <c r="D411" s="2375">
        <f>11910.16-10789.89</f>
        <v>1120.2700000000004</v>
      </c>
      <c r="E411" s="2375">
        <f>8118.91-7677.27</f>
        <v>441.63999999999942</v>
      </c>
      <c r="F411" s="2375">
        <f>10643.65-10070</f>
        <v>573.64999999999964</v>
      </c>
      <c r="G411" s="2375">
        <f>8807.75-7771.05</f>
        <v>1036.6999999999998</v>
      </c>
      <c r="H411" s="2375">
        <f>10757-9833</f>
        <v>924</v>
      </c>
      <c r="I411" s="2375">
        <f>11385.58-10682.75</f>
        <v>702.82999999999993</v>
      </c>
      <c r="J411" s="2375">
        <f>10417.07-9618.2</f>
        <v>798.86999999999898</v>
      </c>
      <c r="K411" s="2375">
        <f>7542.22-6199.55</f>
        <v>1342.67</v>
      </c>
      <c r="L411" s="2375">
        <f>6773.39-5941.14</f>
        <v>832.25</v>
      </c>
      <c r="M411" s="2375">
        <f>6452.98-5377.35</f>
        <v>1075.6299999999992</v>
      </c>
      <c r="N411" s="2375">
        <f>SUM(B411:M411)</f>
        <v>10752.329999999996</v>
      </c>
    </row>
    <row r="412" spans="1:15">
      <c r="A412" s="522" t="s">
        <v>36</v>
      </c>
      <c r="B412" s="2375">
        <f>+B408+B409+B410+B411</f>
        <v>9929.82</v>
      </c>
      <c r="C412" s="2375">
        <f t="shared" ref="C412" si="36">+C408+C409+C410+C411</f>
        <v>10193.01</v>
      </c>
      <c r="D412" s="2375">
        <f t="shared" ref="D412" si="37">+D408+D409+D410+D411</f>
        <v>11910.16</v>
      </c>
      <c r="E412" s="2375">
        <f t="shared" ref="E412" si="38">+E408+E409+E410+E411</f>
        <v>8118.9099999999989</v>
      </c>
      <c r="F412" s="2375">
        <f t="shared" ref="F412" si="39">+F408+F409+F410+F411</f>
        <v>10643.34</v>
      </c>
      <c r="G412" s="2375">
        <f t="shared" ref="G412" si="40">+G408+G409+G410+G411</f>
        <v>8807.75</v>
      </c>
      <c r="H412" s="2375">
        <f t="shared" ref="H412" si="41">+H408+H409+H410+H411</f>
        <v>10757.344000000001</v>
      </c>
      <c r="I412" s="2375">
        <f t="shared" ref="I412" si="42">+I408+I409+I410+I411</f>
        <v>11385.580000000002</v>
      </c>
      <c r="J412" s="2375">
        <f t="shared" ref="J412" si="43">+J408+J409+J410+J411</f>
        <v>10288.25</v>
      </c>
      <c r="K412" s="2375">
        <f t="shared" ref="K412" si="44">+K408+K409+K410+K411</f>
        <v>7542.2199999999993</v>
      </c>
      <c r="L412" s="2375">
        <f t="shared" ref="L412" si="45">+L408+L409+L410+L411</f>
        <v>6773.3899999999994</v>
      </c>
      <c r="M412" s="2375">
        <f t="shared" ref="M412:N412" si="46">+M408+M409+M410+M411</f>
        <v>6452.98</v>
      </c>
      <c r="N412" s="2375">
        <f t="shared" si="46"/>
        <v>112802.754</v>
      </c>
    </row>
    <row r="417" spans="1:12">
      <c r="G417" s="441" t="s">
        <v>41</v>
      </c>
      <c r="H417" s="441" t="s">
        <v>255</v>
      </c>
      <c r="I417" s="441" t="s">
        <v>256</v>
      </c>
      <c r="J417" s="441" t="s">
        <v>257</v>
      </c>
      <c r="K417" s="441" t="s">
        <v>258</v>
      </c>
      <c r="L417" s="441" t="s">
        <v>80</v>
      </c>
    </row>
    <row r="419" spans="1:12">
      <c r="G419" s="441" t="s">
        <v>259</v>
      </c>
      <c r="H419" s="27">
        <f>E412</f>
        <v>8118.9099999999989</v>
      </c>
    </row>
    <row r="420" spans="1:12">
      <c r="A420" s="81" t="s">
        <v>41</v>
      </c>
      <c r="B420" s="81" t="s">
        <v>260</v>
      </c>
      <c r="C420" s="81" t="s">
        <v>256</v>
      </c>
      <c r="D420" s="80">
        <v>2284</v>
      </c>
      <c r="E420" s="80">
        <v>86.784999999999997</v>
      </c>
    </row>
    <row r="421" spans="1:12">
      <c r="A421" s="81" t="s">
        <v>41</v>
      </c>
      <c r="B421" s="81" t="s">
        <v>260</v>
      </c>
      <c r="C421" s="81" t="s">
        <v>254</v>
      </c>
      <c r="D421" s="80">
        <v>7881</v>
      </c>
      <c r="E421" s="80">
        <v>3864.19</v>
      </c>
    </row>
    <row r="422" spans="1:12">
      <c r="A422" s="81" t="s">
        <v>41</v>
      </c>
      <c r="B422" s="81" t="s">
        <v>260</v>
      </c>
      <c r="C422" s="81" t="s">
        <v>258</v>
      </c>
      <c r="D422" s="80">
        <v>390</v>
      </c>
      <c r="E422" s="80">
        <v>261.995</v>
      </c>
    </row>
    <row r="423" spans="1:12">
      <c r="A423" s="81" t="s">
        <v>41</v>
      </c>
      <c r="B423" s="81" t="s">
        <v>260</v>
      </c>
      <c r="C423" s="81" t="s">
        <v>261</v>
      </c>
      <c r="D423" s="80">
        <v>507</v>
      </c>
      <c r="E423" s="80">
        <v>136.07</v>
      </c>
      <c r="G423" s="441" t="s">
        <v>262</v>
      </c>
      <c r="H423" s="27">
        <f>E421+E424</f>
        <v>6132.68</v>
      </c>
      <c r="I423" s="27">
        <f>E420</f>
        <v>86.784999999999997</v>
      </c>
      <c r="J423" s="27">
        <f>+E423+E426</f>
        <v>218.89499999999998</v>
      </c>
      <c r="K423" s="27">
        <f>E422+E425</f>
        <v>375.66500000000002</v>
      </c>
    </row>
    <row r="424" spans="1:12">
      <c r="A424" s="81" t="s">
        <v>41</v>
      </c>
      <c r="B424" s="81" t="s">
        <v>263</v>
      </c>
      <c r="C424" s="81" t="s">
        <v>254</v>
      </c>
      <c r="D424" s="80">
        <v>2253</v>
      </c>
      <c r="E424" s="80">
        <v>2268.4899999999998</v>
      </c>
      <c r="G424" s="441" t="s">
        <v>264</v>
      </c>
    </row>
    <row r="425" spans="1:12">
      <c r="A425" s="81" t="s">
        <v>41</v>
      </c>
      <c r="B425" s="81" t="s">
        <v>263</v>
      </c>
      <c r="C425" s="81" t="s">
        <v>258</v>
      </c>
      <c r="D425" s="80">
        <v>31</v>
      </c>
      <c r="E425" s="80">
        <v>113.67</v>
      </c>
    </row>
    <row r="426" spans="1:12">
      <c r="A426" s="81" t="s">
        <v>41</v>
      </c>
      <c r="B426" s="81" t="s">
        <v>263</v>
      </c>
      <c r="C426" s="81" t="s">
        <v>261</v>
      </c>
      <c r="D426" s="80">
        <v>1033</v>
      </c>
      <c r="E426" s="80">
        <v>82.825000000000003</v>
      </c>
    </row>
    <row r="430" spans="1:12">
      <c r="A430" s="81" t="s">
        <v>41</v>
      </c>
      <c r="B430" s="81" t="s">
        <v>264</v>
      </c>
      <c r="C430" s="81" t="s">
        <v>256</v>
      </c>
      <c r="D430" s="80">
        <v>29000</v>
      </c>
      <c r="E430" s="80">
        <v>403.64</v>
      </c>
    </row>
    <row r="431" spans="1:12">
      <c r="A431" s="81" t="s">
        <v>41</v>
      </c>
      <c r="B431" s="81" t="s">
        <v>264</v>
      </c>
      <c r="C431" s="81" t="s">
        <v>254</v>
      </c>
      <c r="D431" s="80">
        <v>12422</v>
      </c>
      <c r="E431" s="80">
        <v>8804.6360000000004</v>
      </c>
    </row>
    <row r="432" spans="1:12">
      <c r="A432" s="81" t="s">
        <v>41</v>
      </c>
      <c r="B432" s="81" t="s">
        <v>264</v>
      </c>
      <c r="C432" s="81" t="s">
        <v>258</v>
      </c>
      <c r="D432" s="80">
        <v>2828</v>
      </c>
      <c r="E432" s="80">
        <v>3473.8440000000001</v>
      </c>
    </row>
    <row r="433" spans="1:5">
      <c r="A433" s="81" t="s">
        <v>41</v>
      </c>
      <c r="B433" s="81" t="s">
        <v>264</v>
      </c>
      <c r="C433" s="81" t="s">
        <v>265</v>
      </c>
      <c r="D433" s="80">
        <v>46</v>
      </c>
      <c r="E433" s="80">
        <v>524.19000000000005</v>
      </c>
    </row>
    <row r="434" spans="1:5">
      <c r="A434" s="81" t="s">
        <v>41</v>
      </c>
      <c r="B434" s="81" t="s">
        <v>264</v>
      </c>
      <c r="C434" s="81" t="s">
        <v>266</v>
      </c>
      <c r="D434" s="80">
        <v>926</v>
      </c>
      <c r="E434" s="80">
        <v>3525.04</v>
      </c>
    </row>
    <row r="435" spans="1:5">
      <c r="A435" s="81" t="s">
        <v>41</v>
      </c>
      <c r="B435" s="81" t="s">
        <v>264</v>
      </c>
      <c r="C435" s="81" t="s">
        <v>261</v>
      </c>
      <c r="D435" s="80">
        <v>1759</v>
      </c>
      <c r="E435" s="80">
        <v>466.11399999999998</v>
      </c>
    </row>
    <row r="436" spans="1:5">
      <c r="A436" s="81" t="s">
        <v>41</v>
      </c>
      <c r="B436" s="81" t="s">
        <v>267</v>
      </c>
      <c r="C436" s="81" t="s">
        <v>254</v>
      </c>
      <c r="D436" s="80">
        <v>32335</v>
      </c>
      <c r="E436" s="80">
        <v>26179.37</v>
      </c>
    </row>
    <row r="437" spans="1:5">
      <c r="A437" s="81" t="s">
        <v>41</v>
      </c>
      <c r="B437" s="81" t="s">
        <v>267</v>
      </c>
      <c r="C437" s="81" t="s">
        <v>258</v>
      </c>
      <c r="D437" s="80">
        <v>174</v>
      </c>
      <c r="E437" s="80">
        <v>338.36</v>
      </c>
    </row>
    <row r="438" spans="1:5">
      <c r="A438" s="81" t="s">
        <v>41</v>
      </c>
      <c r="B438" s="81" t="s">
        <v>267</v>
      </c>
      <c r="C438" s="81" t="s">
        <v>265</v>
      </c>
      <c r="D438" s="80">
        <v>170</v>
      </c>
      <c r="E438" s="80">
        <v>1117.07</v>
      </c>
    </row>
    <row r="439" spans="1:5">
      <c r="A439" s="81" t="s">
        <v>41</v>
      </c>
      <c r="B439" s="81" t="s">
        <v>267</v>
      </c>
      <c r="C439" s="81" t="s">
        <v>266</v>
      </c>
      <c r="D439" s="80">
        <v>1017</v>
      </c>
      <c r="E439" s="80">
        <v>8069.6949999999997</v>
      </c>
    </row>
    <row r="440" spans="1:5">
      <c r="A440" s="81" t="s">
        <v>41</v>
      </c>
      <c r="B440" s="81" t="s">
        <v>267</v>
      </c>
      <c r="C440" s="81" t="s">
        <v>261</v>
      </c>
      <c r="D440" s="80">
        <v>2487</v>
      </c>
      <c r="E440" s="80">
        <v>395.53899999999999</v>
      </c>
    </row>
    <row r="447" spans="1:5">
      <c r="A447" s="81" t="s">
        <v>41</v>
      </c>
      <c r="B447" s="81" t="s">
        <v>268</v>
      </c>
      <c r="C447" s="81" t="s">
        <v>269</v>
      </c>
      <c r="D447" s="80">
        <v>1988</v>
      </c>
      <c r="E447" s="80">
        <v>258.85000000000002</v>
      </c>
    </row>
    <row r="448" spans="1:5">
      <c r="A448" s="81" t="s">
        <v>41</v>
      </c>
      <c r="B448" s="81" t="s">
        <v>268</v>
      </c>
      <c r="C448" s="81" t="s">
        <v>254</v>
      </c>
      <c r="D448" s="80">
        <v>348032</v>
      </c>
      <c r="E448" s="80">
        <v>11944.332</v>
      </c>
    </row>
    <row r="449" spans="1:13">
      <c r="A449" s="81" t="s">
        <v>41</v>
      </c>
      <c r="B449" s="81" t="s">
        <v>268</v>
      </c>
      <c r="C449" s="81" t="s">
        <v>258</v>
      </c>
      <c r="D449" s="80">
        <v>2861</v>
      </c>
      <c r="E449" s="80">
        <v>478.90800000000002</v>
      </c>
    </row>
    <row r="450" spans="1:13">
      <c r="A450" s="81" t="s">
        <v>41</v>
      </c>
      <c r="B450" s="81" t="s">
        <v>268</v>
      </c>
      <c r="C450" s="81" t="s">
        <v>265</v>
      </c>
      <c r="D450" s="80">
        <v>44</v>
      </c>
      <c r="E450" s="80">
        <v>375.16</v>
      </c>
    </row>
    <row r="451" spans="1:13">
      <c r="A451" s="81" t="s">
        <v>41</v>
      </c>
      <c r="B451" s="81" t="s">
        <v>268</v>
      </c>
      <c r="C451" s="81" t="s">
        <v>266</v>
      </c>
      <c r="D451" s="80">
        <v>4</v>
      </c>
      <c r="E451" s="80">
        <v>52.54</v>
      </c>
    </row>
    <row r="452" spans="1:13">
      <c r="A452" s="81" t="s">
        <v>41</v>
      </c>
      <c r="B452" s="81" t="s">
        <v>268</v>
      </c>
      <c r="C452" s="81" t="s">
        <v>261</v>
      </c>
      <c r="D452" s="80">
        <v>5964</v>
      </c>
      <c r="E452" s="80">
        <v>543.78700000000003</v>
      </c>
    </row>
    <row r="455" spans="1:13">
      <c r="B455" s="2375">
        <v>1013.62</v>
      </c>
      <c r="C455" s="2375">
        <v>1143.1099999999999</v>
      </c>
      <c r="D455" s="2375">
        <v>1575.6</v>
      </c>
      <c r="E455" s="2375">
        <v>1240.06</v>
      </c>
      <c r="F455" s="2375">
        <v>2044.25</v>
      </c>
      <c r="G455" s="2375">
        <v>1683.91</v>
      </c>
      <c r="H455" s="2375">
        <v>1925.0350000000001</v>
      </c>
      <c r="I455" s="2375">
        <v>2193.36</v>
      </c>
      <c r="J455" s="2375">
        <v>1913.61</v>
      </c>
      <c r="K455" s="2375">
        <v>1396.11</v>
      </c>
      <c r="L455" s="2375">
        <v>1946.3</v>
      </c>
      <c r="M455" s="2375">
        <v>1086.51</v>
      </c>
    </row>
  </sheetData>
  <mergeCells count="62">
    <mergeCell ref="A390:O390"/>
    <mergeCell ref="A398:O398"/>
    <mergeCell ref="A406:O406"/>
    <mergeCell ref="A362:O362"/>
    <mergeCell ref="A371:O371"/>
    <mergeCell ref="A380:O380"/>
    <mergeCell ref="A139:H140"/>
    <mergeCell ref="A141:H142"/>
    <mergeCell ref="A313:O313"/>
    <mergeCell ref="A321:O321"/>
    <mergeCell ref="A329:O329"/>
    <mergeCell ref="C234:E234"/>
    <mergeCell ref="J221:K221"/>
    <mergeCell ref="D222:E222"/>
    <mergeCell ref="F222:G222"/>
    <mergeCell ref="H222:I222"/>
    <mergeCell ref="J222:K222"/>
    <mergeCell ref="A183:O183"/>
    <mergeCell ref="A193:O193"/>
    <mergeCell ref="A202:O202"/>
    <mergeCell ref="A203:O203"/>
    <mergeCell ref="A212:O212"/>
    <mergeCell ref="A337:O337"/>
    <mergeCell ref="A346:O346"/>
    <mergeCell ref="I235:J235"/>
    <mergeCell ref="A248:F248"/>
    <mergeCell ref="A354:O354"/>
    <mergeCell ref="A259:O259"/>
    <mergeCell ref="A269:O269"/>
    <mergeCell ref="A279:O279"/>
    <mergeCell ref="A286:O286"/>
    <mergeCell ref="A295:O295"/>
    <mergeCell ref="A304:O304"/>
    <mergeCell ref="A235:B235"/>
    <mergeCell ref="C235:D235"/>
    <mergeCell ref="E235:F235"/>
    <mergeCell ref="G235:H235"/>
    <mergeCell ref="A145:G145"/>
    <mergeCell ref="A151:F151"/>
    <mergeCell ref="A157:G157"/>
    <mergeCell ref="A167:F167"/>
    <mergeCell ref="A174:O174"/>
    <mergeCell ref="A101:I101"/>
    <mergeCell ref="A108:O108"/>
    <mergeCell ref="A119:B119"/>
    <mergeCell ref="A120:B120"/>
    <mergeCell ref="A129:B129"/>
    <mergeCell ref="D75:G75"/>
    <mergeCell ref="E76:F76"/>
    <mergeCell ref="A78:O78"/>
    <mergeCell ref="A85:B85"/>
    <mergeCell ref="A94:O94"/>
    <mergeCell ref="A41:G41"/>
    <mergeCell ref="A48:O48"/>
    <mergeCell ref="A55:B55"/>
    <mergeCell ref="D73:H73"/>
    <mergeCell ref="D74:G74"/>
    <mergeCell ref="A2:O2"/>
    <mergeCell ref="A10:B10"/>
    <mergeCell ref="A18:O18"/>
    <mergeCell ref="A25:B25"/>
    <mergeCell ref="A36:O36"/>
  </mergeCells>
  <pageMargins left="1.8110236220472442" right="0.70866141732283472" top="0.6692913385826772" bottom="0.74803149606299213" header="0.31496062992125984" footer="0.31496062992125984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227"/>
  <sheetViews>
    <sheetView showRuler="0" topLeftCell="AD88" zoomScale="75" zoomScaleNormal="75" zoomScaleSheetLayoutView="100" workbookViewId="0">
      <pane xSplit="16935" topLeftCell="BE1"/>
      <selection activeCell="AL110" sqref="AL110"/>
      <selection pane="topRight" activeCell="BJ35" sqref="BJ35"/>
    </sheetView>
  </sheetViews>
  <sheetFormatPr defaultColWidth="9.140625" defaultRowHeight="23.25"/>
  <cols>
    <col min="1" max="1" width="13.42578125" style="1940" customWidth="1"/>
    <col min="2" max="2" width="12.85546875" style="1941" customWidth="1"/>
    <col min="3" max="3" width="16.42578125" style="1940" customWidth="1"/>
    <col min="4" max="4" width="16.28515625" style="1940" customWidth="1"/>
    <col min="5" max="5" width="12.42578125" style="1940" customWidth="1"/>
    <col min="6" max="6" width="12.7109375" style="1940" customWidth="1"/>
    <col min="7" max="7" width="13.28515625" style="1940" customWidth="1"/>
    <col min="8" max="8" width="11.85546875" style="1940" customWidth="1"/>
    <col min="9" max="9" width="14.42578125" style="1940" customWidth="1"/>
    <col min="10" max="10" width="12.28515625" style="1942" customWidth="1"/>
    <col min="11" max="11" width="13" style="1940" customWidth="1"/>
    <col min="12" max="12" width="16.140625" style="1940" customWidth="1"/>
    <col min="13" max="13" width="15.140625" style="1940" customWidth="1"/>
    <col min="14" max="14" width="12.28515625" style="133" customWidth="1"/>
    <col min="15" max="15" width="12.42578125" style="1940" customWidth="1"/>
    <col min="16" max="16" width="14" style="1940" customWidth="1"/>
    <col min="17" max="31" width="12.7109375" style="1940" customWidth="1"/>
    <col min="32" max="32" width="14.28515625" style="1940" customWidth="1"/>
    <col min="33" max="33" width="19.42578125" style="1940" customWidth="1"/>
    <col min="34" max="34" width="20" style="1940" customWidth="1"/>
    <col min="35" max="35" width="17.42578125" style="1940" customWidth="1"/>
    <col min="36" max="36" width="24.85546875" style="1940" customWidth="1"/>
    <col min="37" max="37" width="17.140625" style="1940" customWidth="1"/>
    <col min="38" max="38" width="26.5703125" style="1333" customWidth="1"/>
    <col min="39" max="39" width="14.42578125" style="32" customWidth="1"/>
    <col min="40" max="40" width="20.42578125" style="133" customWidth="1"/>
    <col min="41" max="41" width="16.5703125" style="32" customWidth="1"/>
    <col min="42" max="42" width="22.28515625" style="32" customWidth="1"/>
    <col min="43" max="43" width="14.140625" style="32" customWidth="1"/>
    <col min="44" max="44" width="16.42578125" style="32" customWidth="1"/>
    <col min="45" max="45" width="20.85546875" style="32" customWidth="1"/>
    <col min="46" max="46" width="23" style="133" customWidth="1"/>
    <col min="47" max="47" width="20.85546875" style="32" customWidth="1"/>
    <col min="48" max="48" width="17" style="32" customWidth="1"/>
    <col min="49" max="49" width="15.42578125" style="32" customWidth="1"/>
    <col min="50" max="50" width="13.140625" style="32" customWidth="1"/>
    <col min="51" max="51" width="13.42578125" style="32" customWidth="1"/>
    <col min="52" max="52" width="11.5703125" style="32" customWidth="1"/>
    <col min="53" max="53" width="17.42578125" style="32" customWidth="1"/>
    <col min="54" max="54" width="19.42578125" style="32" customWidth="1"/>
    <col min="55" max="55" width="17.42578125" style="133" customWidth="1"/>
    <col min="56" max="56" width="12.85546875" style="1940" customWidth="1"/>
    <col min="57" max="57" width="15" style="1940" customWidth="1"/>
    <col min="58" max="58" width="14" style="1940" customWidth="1"/>
    <col min="59" max="59" width="12.5703125" style="1940" customWidth="1"/>
    <col min="60" max="60" width="10.7109375" style="131" customWidth="1"/>
    <col min="61" max="62" width="12.7109375" style="131" customWidth="1"/>
    <col min="63" max="63" width="12.7109375" style="1943" customWidth="1"/>
    <col min="64" max="64" width="9.140625" style="1940"/>
    <col min="65" max="65" width="12.7109375" style="131" customWidth="1"/>
    <col min="66" max="16384" width="9.140625" style="1940"/>
  </cols>
  <sheetData>
    <row r="1" spans="1:71" ht="20.100000000000001" customHeight="1" thickBot="1">
      <c r="B1" s="1944"/>
      <c r="E1" s="1945"/>
      <c r="I1" s="1945"/>
      <c r="K1" s="1948"/>
      <c r="N1" s="1968"/>
      <c r="S1" s="1145"/>
      <c r="U1" s="1976"/>
      <c r="V1" s="1977"/>
      <c r="W1" s="32"/>
      <c r="Y1" s="1948"/>
      <c r="AC1" s="1985"/>
      <c r="AG1" s="1957"/>
      <c r="AH1" s="1997" t="s">
        <v>270</v>
      </c>
      <c r="AI1" s="1997" t="str">
        <f>AL5</f>
        <v>01.06.2026</v>
      </c>
      <c r="AJ1" s="2808" t="s">
        <v>271</v>
      </c>
      <c r="AK1" s="2809"/>
      <c r="AL1" s="2673" t="s">
        <v>271</v>
      </c>
      <c r="AM1" s="2701" t="s">
        <v>271</v>
      </c>
      <c r="AN1" s="2701"/>
      <c r="AO1" s="2701"/>
      <c r="AP1" s="2701" t="s">
        <v>271</v>
      </c>
      <c r="AQ1" s="2064" t="s">
        <v>272</v>
      </c>
      <c r="AR1" s="2064"/>
      <c r="AS1" s="1999"/>
      <c r="AT1" s="2701"/>
      <c r="AU1" s="2701"/>
      <c r="AV1" s="2701"/>
      <c r="AW1" s="2111" t="s">
        <v>273</v>
      </c>
      <c r="AX1" s="2810" t="s">
        <v>4132</v>
      </c>
      <c r="AY1" s="2811"/>
      <c r="AZ1" s="1130" t="s">
        <v>275</v>
      </c>
      <c r="BA1" s="1130" t="s">
        <v>276</v>
      </c>
      <c r="BB1" s="1131" t="s">
        <v>277</v>
      </c>
      <c r="BC1" s="1130" t="s">
        <v>278</v>
      </c>
      <c r="BD1" s="133"/>
      <c r="BE1" s="133" t="s">
        <v>279</v>
      </c>
      <c r="BF1" s="133" t="s">
        <v>280</v>
      </c>
      <c r="BG1" s="133"/>
      <c r="BL1" s="1948"/>
    </row>
    <row r="2" spans="1:71" ht="20.100000000000001" customHeight="1" thickBot="1">
      <c r="A2" s="1945"/>
      <c r="H2" s="1942"/>
      <c r="I2" s="1945"/>
      <c r="O2" s="1942"/>
      <c r="U2" s="1976"/>
      <c r="W2" s="32"/>
      <c r="X2" s="1145"/>
      <c r="AG2" s="981" t="s">
        <v>281</v>
      </c>
      <c r="AH2" s="2000">
        <v>5809565.1210000003</v>
      </c>
      <c r="AI2" s="2001"/>
      <c r="AJ2" s="1220" t="s">
        <v>282</v>
      </c>
      <c r="AK2" s="2002">
        <f>AP14</f>
        <v>20339.809999999998</v>
      </c>
      <c r="AL2" s="2812" t="s">
        <v>101</v>
      </c>
      <c r="AM2" s="2813"/>
      <c r="AN2" s="2813"/>
      <c r="AO2" s="2813"/>
      <c r="AP2" s="2813"/>
      <c r="AQ2" s="2813"/>
      <c r="AR2" s="2813"/>
      <c r="AS2" s="2813"/>
      <c r="AT2" s="2813"/>
      <c r="AU2" s="2813"/>
      <c r="AV2" s="2813"/>
      <c r="AW2" s="2814"/>
      <c r="AX2" s="2051" t="s">
        <v>283</v>
      </c>
      <c r="AY2" s="2113"/>
      <c r="AZ2" s="2114">
        <v>150797</v>
      </c>
      <c r="BA2" s="2006">
        <f>AI20+AN20</f>
        <v>21246.990999999998</v>
      </c>
      <c r="BB2" s="1968">
        <f>BA2/BK2*BH2</f>
        <v>127133.63467213113</v>
      </c>
      <c r="BC2" s="2010">
        <f>+BB2/AZ2%</f>
        <v>84.307800998780564</v>
      </c>
      <c r="BD2" s="1968"/>
      <c r="BE2" s="1968">
        <v>7085976</v>
      </c>
      <c r="BF2" s="1968">
        <f>7085976+3918+10848+8007</f>
        <v>7108749</v>
      </c>
      <c r="BG2" s="1968"/>
      <c r="BH2" s="131">
        <f>306+28+31</f>
        <v>365</v>
      </c>
      <c r="BI2" s="131">
        <v>1</v>
      </c>
      <c r="BJ2" s="2700">
        <v>60</v>
      </c>
      <c r="BK2" s="2157">
        <f>BJ2+BI2</f>
        <v>61</v>
      </c>
      <c r="BL2" s="1948">
        <f>30+31+30+31+31+30+31+30+31+15</f>
        <v>290</v>
      </c>
    </row>
    <row r="3" spans="1:71" ht="20.100000000000001" customHeight="1">
      <c r="J3" s="1145"/>
      <c r="O3" s="1945"/>
      <c r="S3" s="1145"/>
      <c r="T3" s="1974"/>
      <c r="U3" s="1976"/>
      <c r="W3" s="32"/>
      <c r="X3" s="1978"/>
      <c r="AC3" s="1986"/>
      <c r="AG3" s="2005" t="s">
        <v>284</v>
      </c>
      <c r="AH3" s="2000">
        <v>5809310.852</v>
      </c>
      <c r="AI3" s="2001"/>
      <c r="AJ3" s="2006" t="s">
        <v>285</v>
      </c>
      <c r="AK3" s="2006">
        <f>AP19</f>
        <v>907.18100000000004</v>
      </c>
      <c r="AL3" s="2815" t="s">
        <v>286</v>
      </c>
      <c r="AM3" s="2815"/>
      <c r="AN3" s="2815"/>
      <c r="AO3" s="2815"/>
      <c r="AP3" s="2815"/>
      <c r="AQ3" s="2815"/>
      <c r="AR3" s="2815"/>
      <c r="AS3" s="2815"/>
      <c r="AT3" s="2815"/>
      <c r="AU3" s="2815"/>
      <c r="AV3" s="2815"/>
      <c r="AW3" s="2816"/>
      <c r="AX3" s="2051" t="s">
        <v>287</v>
      </c>
      <c r="AY3" s="2113"/>
      <c r="AZ3" s="2114">
        <v>146285</v>
      </c>
      <c r="BA3" s="2006">
        <f>AI56+AN56</f>
        <v>22620.088</v>
      </c>
      <c r="BB3" s="1968">
        <f>BA3/BK3*BH3</f>
        <v>133159.76332075472</v>
      </c>
      <c r="BC3" s="2010">
        <f>+BB3/AZ3%</f>
        <v>91.027626428379349</v>
      </c>
      <c r="BD3" s="1968"/>
      <c r="BE3" s="1968">
        <v>5656023</v>
      </c>
      <c r="BF3" s="1968">
        <f>5656023+3800+10677+7788</f>
        <v>5678288</v>
      </c>
      <c r="BG3" s="1968"/>
      <c r="BH3" s="131">
        <v>312</v>
      </c>
      <c r="BI3" s="131">
        <v>1</v>
      </c>
      <c r="BJ3" s="131">
        <v>52</v>
      </c>
      <c r="BK3" s="2157">
        <f>BJ3+BI3</f>
        <v>53</v>
      </c>
      <c r="BL3" s="1948">
        <f>27+27+25+27+26+26+27+25+27+13</f>
        <v>250</v>
      </c>
      <c r="BR3" s="1940">
        <f>30+31+30-13</f>
        <v>78</v>
      </c>
    </row>
    <row r="4" spans="1:71" ht="20.100000000000001" customHeight="1" thickBot="1">
      <c r="J4" s="1145"/>
      <c r="O4" s="1945"/>
      <c r="P4" s="1940">
        <v>131470</v>
      </c>
      <c r="S4" s="1145"/>
      <c r="T4" s="1974"/>
      <c r="U4" s="1976"/>
      <c r="W4" s="32"/>
      <c r="X4" s="1978"/>
      <c r="AC4" s="1986"/>
      <c r="AG4" s="2007"/>
      <c r="AI4" s="2001"/>
      <c r="AJ4" s="2006"/>
      <c r="AK4" s="2006"/>
      <c r="AL4" s="739"/>
      <c r="AM4" s="1968"/>
      <c r="AN4" s="739" t="s">
        <v>288</v>
      </c>
      <c r="AO4" s="739"/>
      <c r="AP4" s="739" t="s">
        <v>289</v>
      </c>
      <c r="AQ4" s="739"/>
      <c r="AR4" s="2065" t="s">
        <v>36</v>
      </c>
      <c r="AS4" s="2066">
        <f>+AH2+AL20</f>
        <v>5810130.2710000006</v>
      </c>
      <c r="AT4" s="2067" t="s">
        <v>37</v>
      </c>
      <c r="AU4" s="2065">
        <f>AH3+AL56</f>
        <v>5809770.0970000001</v>
      </c>
      <c r="AV4" s="1968"/>
      <c r="AW4" s="2022"/>
      <c r="AX4" s="2051" t="s">
        <v>290</v>
      </c>
      <c r="AY4" s="2113"/>
      <c r="AZ4" s="2114">
        <v>160480</v>
      </c>
      <c r="BA4" s="2006">
        <f>AP31</f>
        <v>25549.398999999998</v>
      </c>
      <c r="BB4" s="1968">
        <f>BA4/BK4*BH4</f>
        <v>151349.77312380951</v>
      </c>
      <c r="BC4" s="2010">
        <f>+BB4/AZ4%</f>
        <v>94.310676173859378</v>
      </c>
      <c r="BD4" s="1968"/>
      <c r="BE4" s="1968"/>
      <c r="BF4" s="1968"/>
      <c r="BG4" s="1968"/>
      <c r="BH4" s="131">
        <v>311</v>
      </c>
      <c r="BI4" s="131">
        <v>0.5</v>
      </c>
      <c r="BJ4" s="131">
        <v>52</v>
      </c>
      <c r="BK4" s="2157">
        <f>BJ4+BI4</f>
        <v>52.5</v>
      </c>
      <c r="BL4" s="1948">
        <f>26+26.5+25.5+26+27+26+25.5+25.5+27+24.5+2.5</f>
        <v>262</v>
      </c>
    </row>
    <row r="5" spans="1:71" ht="20.100000000000001" customHeight="1" thickBot="1">
      <c r="G5" s="1942"/>
      <c r="H5" s="1942"/>
      <c r="K5" s="1948"/>
      <c r="M5" s="1948"/>
      <c r="N5" s="1968">
        <v>50.666666666666664</v>
      </c>
      <c r="O5" s="1942"/>
      <c r="P5" s="1145">
        <f>262-46.55</f>
        <v>215.45</v>
      </c>
      <c r="S5" s="1145"/>
      <c r="U5" s="1979"/>
      <c r="V5" s="32"/>
      <c r="X5" s="1145"/>
      <c r="Y5" s="1940" t="s">
        <v>271</v>
      </c>
      <c r="Z5" s="1145"/>
      <c r="AG5" s="1948"/>
      <c r="AH5" s="2008"/>
      <c r="AI5" s="32"/>
      <c r="AJ5" s="132" t="s">
        <v>291</v>
      </c>
      <c r="AK5" s="2006">
        <f>AP12</f>
        <v>22090.47</v>
      </c>
      <c r="AL5" s="2817" t="s">
        <v>4217</v>
      </c>
      <c r="AM5" s="2818"/>
      <c r="AN5" s="2818"/>
      <c r="AO5" s="2818"/>
      <c r="AP5" s="2818"/>
      <c r="AQ5" s="2818"/>
      <c r="AR5" s="2818"/>
      <c r="AS5" s="2818"/>
      <c r="AT5" s="2818"/>
      <c r="AU5" s="2818"/>
      <c r="AV5" s="2818"/>
      <c r="AW5" s="2819"/>
      <c r="AX5" s="2051" t="s">
        <v>292</v>
      </c>
      <c r="AY5" s="2113"/>
      <c r="AZ5" s="2114">
        <v>148285</v>
      </c>
      <c r="BA5" s="2006">
        <f>AP58</f>
        <v>23199.71</v>
      </c>
      <c r="BB5" s="1968">
        <f>BA5/BK5*BH5</f>
        <v>136571.87773584906</v>
      </c>
      <c r="BC5" s="2010">
        <f>+BB5/AZ5%</f>
        <v>92.100939229085256</v>
      </c>
      <c r="BD5" s="1968"/>
      <c r="BE5" s="1968"/>
      <c r="BF5" s="1968" t="s">
        <v>271</v>
      </c>
      <c r="BG5" s="1968"/>
      <c r="BH5" s="131">
        <v>312</v>
      </c>
      <c r="BI5" s="131">
        <v>1</v>
      </c>
      <c r="BJ5" s="131">
        <v>52</v>
      </c>
      <c r="BK5" s="2157">
        <f>BJ5+BI5</f>
        <v>53</v>
      </c>
      <c r="BL5" s="1948"/>
    </row>
    <row r="6" spans="1:71" ht="18.75" customHeight="1" thickBot="1">
      <c r="A6" s="1946"/>
      <c r="B6" s="1947"/>
      <c r="C6" s="1948"/>
      <c r="G6" s="1942"/>
      <c r="H6" s="1949"/>
      <c r="K6" s="1145"/>
      <c r="L6" s="1948"/>
      <c r="M6" s="1946"/>
      <c r="N6" s="1968"/>
      <c r="O6" s="1948"/>
      <c r="P6" s="1940">
        <f>+P4/P5</f>
        <v>610.21118588999775</v>
      </c>
      <c r="Q6" s="1145"/>
      <c r="T6" s="1945"/>
      <c r="U6" s="1979"/>
      <c r="W6" s="32"/>
      <c r="X6" s="1145"/>
      <c r="Y6" s="1145"/>
      <c r="AG6" s="1948"/>
      <c r="AI6" s="2009"/>
      <c r="AJ6" s="132" t="s">
        <v>293</v>
      </c>
      <c r="AK6" s="2010">
        <f>AP79</f>
        <v>879.53</v>
      </c>
      <c r="AL6" s="739"/>
      <c r="AM6" s="133"/>
      <c r="AO6" s="133"/>
      <c r="AP6" s="133"/>
      <c r="AQ6" s="2820" t="s">
        <v>294</v>
      </c>
      <c r="AR6" s="2820"/>
      <c r="AS6" s="133"/>
      <c r="AU6" s="133"/>
      <c r="AV6" s="133"/>
      <c r="AW6" s="133"/>
      <c r="AX6" s="2115" t="s">
        <v>295</v>
      </c>
      <c r="AY6" s="2116"/>
      <c r="AZ6" s="2117">
        <v>6500</v>
      </c>
      <c r="BA6" s="2118">
        <f>AP72</f>
        <v>585</v>
      </c>
      <c r="BB6" s="2119">
        <f>BA6/BK6*BH6</f>
        <v>3500.4098360655735</v>
      </c>
      <c r="BC6" s="2120">
        <f>+BB6/AZ6%</f>
        <v>53.852459016393439</v>
      </c>
      <c r="BD6" s="1968"/>
      <c r="BE6" s="1968"/>
      <c r="BF6" s="1968" t="s">
        <v>271</v>
      </c>
      <c r="BG6" s="1968"/>
      <c r="BH6" s="131">
        <f>306+28+31</f>
        <v>365</v>
      </c>
      <c r="BI6" s="131">
        <v>1</v>
      </c>
      <c r="BJ6" s="2700">
        <v>60</v>
      </c>
      <c r="BK6" s="2157">
        <f>BJ6+BI6</f>
        <v>61</v>
      </c>
      <c r="BL6" s="1948"/>
    </row>
    <row r="7" spans="1:71" ht="28.5" customHeight="1" thickBot="1">
      <c r="A7" s="1948"/>
      <c r="B7" s="1950"/>
      <c r="C7" s="1948"/>
      <c r="G7" s="1942"/>
      <c r="K7" s="1948"/>
      <c r="L7" s="1946"/>
      <c r="M7" s="1948"/>
      <c r="N7" s="1968"/>
      <c r="O7" s="1948"/>
      <c r="P7" s="1969"/>
      <c r="Q7" s="1980"/>
      <c r="R7" s="1969"/>
      <c r="S7" s="1969"/>
      <c r="T7" s="1981"/>
      <c r="U7" s="1982"/>
      <c r="V7" s="1969"/>
      <c r="W7" s="1983"/>
      <c r="X7" s="1984"/>
      <c r="Y7" s="1980"/>
      <c r="Z7" s="1969"/>
      <c r="AG7" s="1949">
        <f>+V12/7</f>
        <v>59.74285714285714</v>
      </c>
      <c r="AH7" s="1942"/>
      <c r="AI7" s="2011">
        <f>407-465</f>
        <v>-58</v>
      </c>
      <c r="AJ7" s="2012" t="s">
        <v>296</v>
      </c>
      <c r="AK7" s="1132">
        <f>AP80</f>
        <v>21206.945</v>
      </c>
      <c r="AL7" s="2821"/>
      <c r="AM7" s="2822"/>
      <c r="AN7" s="2822"/>
      <c r="AO7" s="2822"/>
      <c r="AP7" s="2822"/>
      <c r="AQ7" s="2822"/>
      <c r="AR7" s="2822"/>
      <c r="AS7" s="2822"/>
      <c r="AT7" s="2822"/>
      <c r="AU7" s="2822"/>
      <c r="AV7" s="2822"/>
      <c r="AW7" s="2823"/>
      <c r="AX7" s="2017"/>
      <c r="AY7" s="1130"/>
      <c r="AZ7" s="132"/>
      <c r="BA7" s="2121"/>
      <c r="BB7" s="2119"/>
      <c r="BC7" s="2015"/>
      <c r="BD7" s="1968" t="s">
        <v>297</v>
      </c>
      <c r="BE7" s="1968"/>
      <c r="BF7" s="1968"/>
      <c r="BG7" s="1968"/>
      <c r="BK7" s="2157"/>
      <c r="BL7" s="1948"/>
      <c r="BN7" s="1940">
        <f>30+31+30+31</f>
        <v>122</v>
      </c>
      <c r="BQ7" s="1940">
        <f>13+9</f>
        <v>22</v>
      </c>
    </row>
    <row r="8" spans="1:71" ht="20.100000000000001" customHeight="1" thickBot="1">
      <c r="A8" s="1951" t="s">
        <v>298</v>
      </c>
      <c r="B8" s="1952" t="s">
        <v>298</v>
      </c>
      <c r="C8" s="1951" t="s">
        <v>298</v>
      </c>
      <c r="D8" s="1951" t="s">
        <v>298</v>
      </c>
      <c r="E8" s="1951" t="s">
        <v>298</v>
      </c>
      <c r="F8" s="1951" t="s">
        <v>298</v>
      </c>
      <c r="G8" s="1951" t="s">
        <v>298</v>
      </c>
      <c r="H8" s="1951" t="s">
        <v>298</v>
      </c>
      <c r="I8" s="1951" t="s">
        <v>298</v>
      </c>
      <c r="J8" s="1970" t="s">
        <v>298</v>
      </c>
      <c r="K8" s="1951" t="s">
        <v>298</v>
      </c>
      <c r="L8" s="1951" t="s">
        <v>298</v>
      </c>
      <c r="M8" s="1951" t="s">
        <v>298</v>
      </c>
      <c r="N8" s="1951" t="s">
        <v>298</v>
      </c>
      <c r="O8" s="1951" t="s">
        <v>298</v>
      </c>
      <c r="P8" s="1951" t="s">
        <v>298</v>
      </c>
      <c r="Q8" s="1951" t="s">
        <v>298</v>
      </c>
      <c r="R8" s="1951" t="s">
        <v>298</v>
      </c>
      <c r="S8" s="1951" t="s">
        <v>298</v>
      </c>
      <c r="T8" s="1951" t="s">
        <v>298</v>
      </c>
      <c r="U8" s="1951" t="s">
        <v>298</v>
      </c>
      <c r="V8" s="1951" t="s">
        <v>298</v>
      </c>
      <c r="W8" s="1951" t="s">
        <v>298</v>
      </c>
      <c r="X8" s="1951"/>
      <c r="Y8" s="1951" t="s">
        <v>298</v>
      </c>
      <c r="Z8" s="1951" t="s">
        <v>298</v>
      </c>
      <c r="AA8" s="1951" t="s">
        <v>298</v>
      </c>
      <c r="AB8" s="1951" t="s">
        <v>298</v>
      </c>
      <c r="AC8" s="1951" t="s">
        <v>298</v>
      </c>
      <c r="AD8" s="1951" t="s">
        <v>298</v>
      </c>
      <c r="AE8" s="1951" t="s">
        <v>298</v>
      </c>
      <c r="AF8" s="1951" t="s">
        <v>298</v>
      </c>
      <c r="AG8" s="1951" t="s">
        <v>298</v>
      </c>
      <c r="AH8" s="2008"/>
      <c r="AJ8" s="2013" t="s">
        <v>271</v>
      </c>
      <c r="AK8" s="2003" t="s">
        <v>299</v>
      </c>
      <c r="AL8" s="2014" t="s">
        <v>300</v>
      </c>
      <c r="AM8" s="2812" t="s">
        <v>301</v>
      </c>
      <c r="AN8" s="2824"/>
      <c r="AO8" s="2013" t="s">
        <v>302</v>
      </c>
      <c r="AP8" s="2012" t="s">
        <v>271</v>
      </c>
      <c r="AQ8" s="2068" t="s">
        <v>271</v>
      </c>
      <c r="AR8" s="1130"/>
      <c r="AS8" s="2002" t="s">
        <v>271</v>
      </c>
      <c r="AT8" s="2069" t="s">
        <v>271</v>
      </c>
      <c r="AU8" s="2002" t="s">
        <v>271</v>
      </c>
      <c r="AV8" s="2002" t="s">
        <v>303</v>
      </c>
      <c r="AW8" s="2002"/>
      <c r="AX8" s="2002"/>
      <c r="AY8" s="2002"/>
      <c r="AZ8" s="1220"/>
      <c r="BA8" s="2812" t="s">
        <v>304</v>
      </c>
      <c r="BB8" s="2813"/>
      <c r="BC8" s="2814"/>
      <c r="BD8" s="2112"/>
      <c r="BE8" s="1968"/>
      <c r="BF8" s="1968"/>
      <c r="BG8" s="1968"/>
      <c r="BH8" s="131" t="s">
        <v>271</v>
      </c>
      <c r="BK8" s="2157"/>
      <c r="BM8" s="131">
        <f>30+30+31+3</f>
        <v>94</v>
      </c>
    </row>
    <row r="9" spans="1:71" ht="20.100000000000001" customHeight="1" thickBot="1">
      <c r="A9" s="1953">
        <v>1</v>
      </c>
      <c r="B9" s="1954">
        <f t="shared" ref="B9:AE9" si="0">A9+1</f>
        <v>2</v>
      </c>
      <c r="C9" s="1955">
        <f t="shared" si="0"/>
        <v>3</v>
      </c>
      <c r="D9" s="1955">
        <f t="shared" si="0"/>
        <v>4</v>
      </c>
      <c r="E9" s="1955">
        <f t="shared" si="0"/>
        <v>5</v>
      </c>
      <c r="F9" s="1955">
        <f t="shared" si="0"/>
        <v>6</v>
      </c>
      <c r="G9" s="1955">
        <f t="shared" si="0"/>
        <v>7</v>
      </c>
      <c r="H9" s="1955">
        <f t="shared" si="0"/>
        <v>8</v>
      </c>
      <c r="I9" s="1955">
        <f t="shared" si="0"/>
        <v>9</v>
      </c>
      <c r="J9" s="1971">
        <f t="shared" si="0"/>
        <v>10</v>
      </c>
      <c r="K9" s="1955">
        <f t="shared" si="0"/>
        <v>11</v>
      </c>
      <c r="L9" s="1972">
        <f t="shared" si="0"/>
        <v>12</v>
      </c>
      <c r="M9" s="1955">
        <f t="shared" si="0"/>
        <v>13</v>
      </c>
      <c r="N9" s="1973">
        <f t="shared" si="0"/>
        <v>14</v>
      </c>
      <c r="O9" s="1955">
        <f t="shared" si="0"/>
        <v>15</v>
      </c>
      <c r="P9" s="1955">
        <f t="shared" si="0"/>
        <v>16</v>
      </c>
      <c r="Q9" s="1955">
        <f t="shared" si="0"/>
        <v>17</v>
      </c>
      <c r="R9" s="1955">
        <f t="shared" si="0"/>
        <v>18</v>
      </c>
      <c r="S9" s="1955">
        <f t="shared" si="0"/>
        <v>19</v>
      </c>
      <c r="T9" s="1955">
        <f t="shared" si="0"/>
        <v>20</v>
      </c>
      <c r="U9" s="1955">
        <f t="shared" si="0"/>
        <v>21</v>
      </c>
      <c r="V9" s="1955">
        <f t="shared" si="0"/>
        <v>22</v>
      </c>
      <c r="W9" s="1955">
        <f t="shared" si="0"/>
        <v>23</v>
      </c>
      <c r="X9" s="1955">
        <f t="shared" si="0"/>
        <v>24</v>
      </c>
      <c r="Y9" s="1955">
        <f t="shared" si="0"/>
        <v>25</v>
      </c>
      <c r="Z9" s="1955">
        <f t="shared" si="0"/>
        <v>26</v>
      </c>
      <c r="AA9" s="1955">
        <f t="shared" si="0"/>
        <v>27</v>
      </c>
      <c r="AB9" s="1955">
        <f t="shared" si="0"/>
        <v>28</v>
      </c>
      <c r="AC9" s="1955">
        <f t="shared" si="0"/>
        <v>29</v>
      </c>
      <c r="AD9" s="1955">
        <f t="shared" si="0"/>
        <v>30</v>
      </c>
      <c r="AE9" s="1987">
        <f t="shared" si="0"/>
        <v>31</v>
      </c>
      <c r="AF9" s="1988" t="s">
        <v>134</v>
      </c>
      <c r="AG9" s="2016" t="s">
        <v>4173</v>
      </c>
      <c r="AJ9" s="2017" t="s">
        <v>306</v>
      </c>
      <c r="AK9" s="1744"/>
      <c r="AL9" s="2018"/>
      <c r="AM9" s="2002" t="s">
        <v>271</v>
      </c>
      <c r="AN9" s="1220"/>
      <c r="AO9" s="474" t="s">
        <v>271</v>
      </c>
      <c r="AP9" s="132"/>
      <c r="AQ9" s="1431"/>
      <c r="AR9" s="1220"/>
      <c r="AS9" s="132"/>
      <c r="AT9" s="166"/>
      <c r="AU9" s="132"/>
      <c r="AV9" s="2006" t="s">
        <v>307</v>
      </c>
      <c r="AW9" s="2006" t="s">
        <v>143</v>
      </c>
      <c r="AX9" s="2006" t="s">
        <v>308</v>
      </c>
      <c r="AY9" s="2006" t="s">
        <v>309</v>
      </c>
      <c r="AZ9" s="132" t="s">
        <v>39</v>
      </c>
      <c r="BA9" s="1968"/>
      <c r="BB9" s="2013" t="s">
        <v>271</v>
      </c>
      <c r="BC9" s="2002" t="s">
        <v>271</v>
      </c>
      <c r="BD9" s="1968"/>
      <c r="BE9" s="1968"/>
      <c r="BF9" s="1968"/>
      <c r="BG9" s="1968"/>
      <c r="BH9" s="131" t="s">
        <v>271</v>
      </c>
      <c r="BK9" s="2157"/>
      <c r="BQ9" s="1940">
        <f>30+30+31-11+3</f>
        <v>83</v>
      </c>
    </row>
    <row r="10" spans="1:71" ht="20.100000000000001" customHeight="1" thickBot="1">
      <c r="A10" s="1956"/>
      <c r="D10" s="1957"/>
      <c r="G10" s="1940" t="s">
        <v>271</v>
      </c>
      <c r="H10" s="1957"/>
      <c r="I10" s="1957" t="s">
        <v>271</v>
      </c>
      <c r="J10" s="1974" t="s">
        <v>271</v>
      </c>
      <c r="K10" s="1948" t="str">
        <f>J10</f>
        <v xml:space="preserve"> </v>
      </c>
      <c r="L10" s="1957" t="s">
        <v>310</v>
      </c>
      <c r="M10" s="1945" t="s">
        <v>271</v>
      </c>
      <c r="N10" s="133" t="s">
        <v>271</v>
      </c>
      <c r="P10" s="1957" t="s">
        <v>310</v>
      </c>
      <c r="T10" s="1957" t="s">
        <v>310</v>
      </c>
      <c r="X10" s="1957" t="s">
        <v>310</v>
      </c>
      <c r="AB10" s="1957" t="s">
        <v>271</v>
      </c>
      <c r="AC10" s="1988" t="s">
        <v>310</v>
      </c>
      <c r="AE10" s="1989"/>
      <c r="AG10" s="2016" t="s">
        <v>311</v>
      </c>
      <c r="AJ10" s="474"/>
      <c r="AK10" s="2006" t="s">
        <v>275</v>
      </c>
      <c r="AL10" s="2019" t="s">
        <v>312</v>
      </c>
      <c r="AM10" s="2006" t="s">
        <v>275</v>
      </c>
      <c r="AN10" s="2006" t="s">
        <v>312</v>
      </c>
      <c r="AO10" s="2012" t="s">
        <v>313</v>
      </c>
      <c r="AP10" s="2006" t="s">
        <v>312</v>
      </c>
      <c r="AQ10" s="2022" t="s">
        <v>275</v>
      </c>
      <c r="AR10" s="2006" t="s">
        <v>277</v>
      </c>
      <c r="AS10" s="2006" t="s">
        <v>314</v>
      </c>
      <c r="AT10" s="2022" t="s">
        <v>4170</v>
      </c>
      <c r="AU10" s="2006" t="s">
        <v>4117</v>
      </c>
      <c r="AV10" s="2006" t="s">
        <v>316</v>
      </c>
      <c r="AW10" s="132" t="s">
        <v>317</v>
      </c>
      <c r="AX10" s="132" t="s">
        <v>39</v>
      </c>
      <c r="AY10" s="132" t="s">
        <v>317</v>
      </c>
      <c r="AZ10" s="132" t="s">
        <v>271</v>
      </c>
      <c r="BA10" s="133" t="s">
        <v>318</v>
      </c>
      <c r="BB10" s="474" t="s">
        <v>319</v>
      </c>
      <c r="BC10" s="132" t="s">
        <v>311</v>
      </c>
      <c r="BD10" s="1968"/>
      <c r="BE10" s="133"/>
      <c r="BF10" s="1968"/>
      <c r="BG10" s="133"/>
      <c r="BH10" s="131" t="s">
        <v>271</v>
      </c>
      <c r="BK10" s="2157"/>
    </row>
    <row r="11" spans="1:71" ht="20.100000000000001" customHeight="1" thickBot="1">
      <c r="A11" s="1958" t="s">
        <v>298</v>
      </c>
      <c r="B11" s="1958" t="s">
        <v>298</v>
      </c>
      <c r="C11" s="1958" t="s">
        <v>298</v>
      </c>
      <c r="D11" s="1958" t="s">
        <v>298</v>
      </c>
      <c r="E11" s="1958" t="s">
        <v>298</v>
      </c>
      <c r="F11" s="1958" t="s">
        <v>298</v>
      </c>
      <c r="G11" s="1958" t="s">
        <v>298</v>
      </c>
      <c r="H11" s="1958" t="s">
        <v>298</v>
      </c>
      <c r="I11" s="1958" t="s">
        <v>298</v>
      </c>
      <c r="J11" s="1975" t="s">
        <v>298</v>
      </c>
      <c r="K11" s="1958" t="s">
        <v>298</v>
      </c>
      <c r="L11" s="1958" t="s">
        <v>298</v>
      </c>
      <c r="M11" s="1958" t="s">
        <v>298</v>
      </c>
      <c r="N11" s="1951" t="s">
        <v>298</v>
      </c>
      <c r="O11" s="1958" t="s">
        <v>298</v>
      </c>
      <c r="P11" s="1958" t="s">
        <v>298</v>
      </c>
      <c r="Q11" s="1958" t="s">
        <v>298</v>
      </c>
      <c r="R11" s="1958" t="s">
        <v>298</v>
      </c>
      <c r="S11" s="1958" t="s">
        <v>298</v>
      </c>
      <c r="T11" s="1958" t="s">
        <v>298</v>
      </c>
      <c r="U11" s="1958" t="s">
        <v>298</v>
      </c>
      <c r="V11" s="1958" t="s">
        <v>298</v>
      </c>
      <c r="W11" s="1958" t="s">
        <v>298</v>
      </c>
      <c r="X11" s="1958" t="s">
        <v>298</v>
      </c>
      <c r="Y11" s="1958" t="s">
        <v>298</v>
      </c>
      <c r="Z11" s="1958" t="s">
        <v>298</v>
      </c>
      <c r="AA11" s="1958" t="s">
        <v>298</v>
      </c>
      <c r="AB11" s="1958" t="s">
        <v>298</v>
      </c>
      <c r="AC11" s="1958" t="s">
        <v>298</v>
      </c>
      <c r="AD11" s="1958" t="s">
        <v>298</v>
      </c>
      <c r="AE11" s="1990" t="s">
        <v>298</v>
      </c>
      <c r="AF11" s="1951" t="s">
        <v>298</v>
      </c>
      <c r="AG11" s="1951" t="s">
        <v>298</v>
      </c>
      <c r="AH11" s="2020"/>
      <c r="AJ11" s="2017" t="s">
        <v>271</v>
      </c>
      <c r="AK11" s="2006" t="s">
        <v>271</v>
      </c>
      <c r="AL11" s="2021"/>
      <c r="AM11" s="2022" t="s">
        <v>271</v>
      </c>
      <c r="AN11" s="2006" t="s">
        <v>271</v>
      </c>
      <c r="AO11" s="2017" t="s">
        <v>320</v>
      </c>
      <c r="AP11" s="132" t="s">
        <v>321</v>
      </c>
      <c r="AQ11" s="2022" t="s">
        <v>271</v>
      </c>
      <c r="AR11" s="2006" t="s">
        <v>271</v>
      </c>
      <c r="AS11" s="2006" t="s">
        <v>271</v>
      </c>
      <c r="AT11" s="2006"/>
      <c r="AU11" s="2006" t="s">
        <v>322</v>
      </c>
      <c r="AV11" s="2006" t="s">
        <v>298</v>
      </c>
      <c r="AW11" s="132" t="s">
        <v>323</v>
      </c>
      <c r="AX11" s="132"/>
      <c r="AY11" s="132" t="s">
        <v>323</v>
      </c>
      <c r="AZ11" s="2017" t="s">
        <v>271</v>
      </c>
      <c r="BA11" s="2122"/>
      <c r="BB11" s="2123" t="s">
        <v>271</v>
      </c>
      <c r="BC11" s="612"/>
      <c r="BD11" s="1968"/>
      <c r="BE11" s="133"/>
      <c r="BF11" s="133"/>
      <c r="BG11" s="133"/>
      <c r="BK11" s="2157"/>
    </row>
    <row r="12" spans="1:71" ht="23.25" customHeight="1" thickBot="1">
      <c r="A12" s="1959">
        <v>211</v>
      </c>
      <c r="B12" s="1959">
        <v>320</v>
      </c>
      <c r="C12" s="1959">
        <f>369</f>
        <v>369</v>
      </c>
      <c r="D12" s="1959">
        <f>315-0.45</f>
        <v>314.55</v>
      </c>
      <c r="E12" s="1959">
        <v>367.2</v>
      </c>
      <c r="F12" s="1959">
        <f>306+0.65</f>
        <v>306.64999999999998</v>
      </c>
      <c r="G12" s="1959">
        <v>368.55</v>
      </c>
      <c r="H12" s="1959">
        <f>362</f>
        <v>362</v>
      </c>
      <c r="I12" s="1959">
        <f>371+0.78-0.27</f>
        <v>371.51</v>
      </c>
      <c r="J12" s="1959">
        <f>152</f>
        <v>152</v>
      </c>
      <c r="K12" s="1959">
        <f>411.12</f>
        <v>411.12</v>
      </c>
      <c r="L12" s="1959">
        <f>364</f>
        <v>364</v>
      </c>
      <c r="M12" s="1959">
        <f>424</f>
        <v>424</v>
      </c>
      <c r="N12" s="1959">
        <f>369+0.9</f>
        <v>369.9</v>
      </c>
      <c r="O12" s="1959">
        <v>200.35</v>
      </c>
      <c r="P12" s="1959">
        <f>306</f>
        <v>306</v>
      </c>
      <c r="Q12" s="1959">
        <f>303</f>
        <v>303</v>
      </c>
      <c r="R12" s="1959">
        <v>365.2</v>
      </c>
      <c r="S12" s="1959">
        <v>425.2</v>
      </c>
      <c r="T12" s="1959">
        <f>321</f>
        <v>321</v>
      </c>
      <c r="U12" s="1959">
        <f>267</f>
        <v>267</v>
      </c>
      <c r="V12" s="1959">
        <f>418+0.2</f>
        <v>418.2</v>
      </c>
      <c r="W12" s="1959">
        <f>413</f>
        <v>413</v>
      </c>
      <c r="X12" s="1959">
        <f>349</f>
        <v>349</v>
      </c>
      <c r="Y12" s="1959">
        <f>352.4</f>
        <v>352.4</v>
      </c>
      <c r="Z12" s="1959">
        <f>369</f>
        <v>369</v>
      </c>
      <c r="AA12" s="1959">
        <f>315</f>
        <v>315</v>
      </c>
      <c r="AB12" s="1959">
        <f>522</f>
        <v>522</v>
      </c>
      <c r="AC12" s="1959">
        <f>463</f>
        <v>463</v>
      </c>
      <c r="AD12" s="1959">
        <v>515</v>
      </c>
      <c r="AE12" s="3163">
        <f>585</f>
        <v>585</v>
      </c>
      <c r="AF12" s="1991">
        <f t="shared" ref="AF12:AF27" si="1">MAX(A12:AE12)</f>
        <v>585</v>
      </c>
      <c r="AG12" s="2023">
        <f t="shared" ref="AG12:AG17" si="2">SUM(A12:AE12)</f>
        <v>11200.83</v>
      </c>
      <c r="AH12" s="2024"/>
      <c r="AI12" s="1940">
        <v>10889.640000000001</v>
      </c>
      <c r="AJ12" s="2002" t="s">
        <v>291</v>
      </c>
      <c r="AK12" s="2025">
        <f>AQ12/BH12*BI12</f>
        <v>385.80645161290323</v>
      </c>
      <c r="AL12" s="574">
        <f>AE12</f>
        <v>585</v>
      </c>
      <c r="AM12" s="2026">
        <f t="shared" ref="AM12:AM20" si="3">SUM(AQ12/BH12*BK12)</f>
        <v>11960</v>
      </c>
      <c r="AN12" s="2025">
        <f>AG12</f>
        <v>11200.83</v>
      </c>
      <c r="AO12" s="2070">
        <f>+AN12/AM12*100</f>
        <v>93.65242474916387</v>
      </c>
      <c r="AP12" s="2058">
        <f>+AN12+AI12</f>
        <v>22090.47</v>
      </c>
      <c r="AQ12" s="2026">
        <v>11960</v>
      </c>
      <c r="AR12" s="2071">
        <f>AN12*BH12/BK12</f>
        <v>11200.83</v>
      </c>
      <c r="AS12" s="2035">
        <f>SUM(AR12*100/AQ12)</f>
        <v>93.652424749163885</v>
      </c>
      <c r="AT12" s="2072">
        <v>10885.645</v>
      </c>
      <c r="AU12" s="2073">
        <v>11206.969999999998</v>
      </c>
      <c r="AV12" s="2074">
        <f>AD12</f>
        <v>515</v>
      </c>
      <c r="AW12" s="2069">
        <v>26716</v>
      </c>
      <c r="AX12" s="2002" t="s">
        <v>324</v>
      </c>
      <c r="AY12" s="1973">
        <v>268353</v>
      </c>
      <c r="AZ12" s="2414" t="s">
        <v>151</v>
      </c>
      <c r="BA12" s="2124" t="s">
        <v>325</v>
      </c>
      <c r="BB12" s="2125">
        <v>0</v>
      </c>
      <c r="BC12" s="2125">
        <f>BD12+BB12</f>
        <v>10</v>
      </c>
      <c r="BD12" s="2690">
        <v>10</v>
      </c>
      <c r="BE12" s="133"/>
      <c r="BF12" s="1968"/>
      <c r="BG12" s="1968">
        <f>+BH12-BK12</f>
        <v>0</v>
      </c>
      <c r="BH12" s="2158">
        <v>31</v>
      </c>
      <c r="BI12" s="131">
        <f>BI2</f>
        <v>1</v>
      </c>
      <c r="BJ12" s="2700">
        <v>30</v>
      </c>
      <c r="BK12" s="2157">
        <f t="shared" ref="BK12:BK21" si="4">BJ12+BI12</f>
        <v>31</v>
      </c>
      <c r="BL12" s="1957"/>
    </row>
    <row r="13" spans="1:71" ht="20.25" customHeight="1" thickBot="1">
      <c r="A13" s="1959">
        <v>0</v>
      </c>
      <c r="B13" s="1959">
        <v>0</v>
      </c>
      <c r="C13" s="1959">
        <v>0</v>
      </c>
      <c r="D13" s="1959">
        <v>0</v>
      </c>
      <c r="E13" s="1959">
        <v>0</v>
      </c>
      <c r="F13" s="1959">
        <f>53+54.15</f>
        <v>107.15</v>
      </c>
      <c r="G13" s="1959">
        <v>0</v>
      </c>
      <c r="H13" s="1959">
        <v>0</v>
      </c>
      <c r="I13" s="1959">
        <v>0</v>
      </c>
      <c r="J13" s="1959">
        <v>0</v>
      </c>
      <c r="K13" s="1959">
        <v>0</v>
      </c>
      <c r="L13" s="1959">
        <v>0</v>
      </c>
      <c r="M13" s="1959">
        <v>0</v>
      </c>
      <c r="N13" s="1959">
        <v>0</v>
      </c>
      <c r="O13" s="1959">
        <v>0</v>
      </c>
      <c r="P13" s="1959">
        <v>0</v>
      </c>
      <c r="Q13" s="1959">
        <v>0</v>
      </c>
      <c r="R13" s="1959">
        <v>0</v>
      </c>
      <c r="S13" s="1959">
        <v>0</v>
      </c>
      <c r="T13" s="1959">
        <v>0</v>
      </c>
      <c r="U13" s="1959">
        <v>0</v>
      </c>
      <c r="V13" s="1959">
        <v>0</v>
      </c>
      <c r="W13" s="1959">
        <v>0</v>
      </c>
      <c r="X13" s="1959">
        <v>0</v>
      </c>
      <c r="Y13" s="1959">
        <v>0</v>
      </c>
      <c r="Z13" s="1959">
        <v>0</v>
      </c>
      <c r="AA13" s="1959">
        <v>0</v>
      </c>
      <c r="AB13" s="1959">
        <v>0</v>
      </c>
      <c r="AC13" s="1959">
        <v>0</v>
      </c>
      <c r="AD13" s="1959">
        <v>0</v>
      </c>
      <c r="AE13" s="3163">
        <v>0</v>
      </c>
      <c r="AF13" s="1991">
        <f t="shared" si="1"/>
        <v>107.15</v>
      </c>
      <c r="AG13" s="2023">
        <f t="shared" si="2"/>
        <v>107.15</v>
      </c>
      <c r="AH13" s="2024"/>
      <c r="AI13" s="1940">
        <v>0</v>
      </c>
      <c r="AJ13" s="2027" t="s">
        <v>326</v>
      </c>
      <c r="AK13" s="2025">
        <f t="shared" ref="AK13:AK20" si="5">AQ13/BH13*BI13</f>
        <v>0</v>
      </c>
      <c r="AL13" s="574">
        <f t="shared" ref="AL13:AL76" si="6">AE13</f>
        <v>0</v>
      </c>
      <c r="AM13" s="2026">
        <f t="shared" si="3"/>
        <v>0</v>
      </c>
      <c r="AN13" s="2025">
        <f t="shared" ref="AN13:AN76" si="7">AG13</f>
        <v>107.15</v>
      </c>
      <c r="AO13" s="2415" t="s">
        <v>63</v>
      </c>
      <c r="AP13" s="2076">
        <f>+AN13+AI13</f>
        <v>107.15</v>
      </c>
      <c r="AQ13" s="2026">
        <v>0</v>
      </c>
      <c r="AR13" s="2077"/>
      <c r="AS13" s="2035" t="e">
        <f t="shared" ref="AS13:AS14" si="8">SUM(AR13*100/AQ13)</f>
        <v>#DIV/0!</v>
      </c>
      <c r="AT13" s="744">
        <v>0</v>
      </c>
      <c r="AU13" s="2079">
        <v>51.6</v>
      </c>
      <c r="AV13" s="2074">
        <f t="shared" ref="AV13:AV76" si="9">AD13</f>
        <v>0</v>
      </c>
      <c r="AW13" s="166">
        <v>8768</v>
      </c>
      <c r="AX13" s="132" t="s">
        <v>327</v>
      </c>
      <c r="AY13" s="133"/>
      <c r="AZ13" s="132" t="s">
        <v>271</v>
      </c>
      <c r="BA13" s="2126" t="s">
        <v>328</v>
      </c>
      <c r="BB13" s="2125">
        <v>0</v>
      </c>
      <c r="BC13" s="2125">
        <f t="shared" ref="BC13:BC30" si="10">BD13+BB13</f>
        <v>0</v>
      </c>
      <c r="BD13" s="2690">
        <v>0</v>
      </c>
      <c r="BE13" s="133"/>
      <c r="BF13" s="133"/>
      <c r="BG13" s="1968">
        <f>+BH13-BK13</f>
        <v>0</v>
      </c>
      <c r="BH13" s="2158">
        <f>+BH12</f>
        <v>31</v>
      </c>
      <c r="BI13" s="131">
        <f>BI12</f>
        <v>1</v>
      </c>
      <c r="BJ13" s="2700">
        <v>30</v>
      </c>
      <c r="BK13" s="2157">
        <f t="shared" si="4"/>
        <v>31</v>
      </c>
      <c r="BS13" s="1940">
        <f>30+30+31+4</f>
        <v>95</v>
      </c>
    </row>
    <row r="14" spans="1:71" ht="18.95" customHeight="1" thickBot="1">
      <c r="A14" s="1959">
        <v>204.4</v>
      </c>
      <c r="B14" s="1959">
        <f>308.15</f>
        <v>308.14999999999998</v>
      </c>
      <c r="C14" s="1959">
        <f>357.15</f>
        <v>357.15</v>
      </c>
      <c r="D14" s="1959">
        <f>304.1</f>
        <v>304.10000000000002</v>
      </c>
      <c r="E14" s="1959">
        <v>355.2</v>
      </c>
      <c r="F14" s="1959">
        <f>295.65</f>
        <v>295.64999999999998</v>
      </c>
      <c r="G14" s="1959">
        <v>349.8</v>
      </c>
      <c r="H14" s="1959">
        <v>349.85</v>
      </c>
      <c r="I14" s="1959">
        <f>309.15</f>
        <v>309.14999999999998</v>
      </c>
      <c r="J14" s="1959">
        <f>146</f>
        <v>146</v>
      </c>
      <c r="K14" s="1959">
        <v>338.22</v>
      </c>
      <c r="L14" s="1959">
        <f>352.55</f>
        <v>352.55</v>
      </c>
      <c r="M14" s="1959">
        <f>409</f>
        <v>409</v>
      </c>
      <c r="N14" s="1959">
        <f>357.15+0.8</f>
        <v>357.95</v>
      </c>
      <c r="O14" s="1959">
        <v>192.85</v>
      </c>
      <c r="P14" s="1959">
        <f>246.85</f>
        <v>246.85</v>
      </c>
      <c r="Q14" s="1959">
        <v>293.14999999999998</v>
      </c>
      <c r="R14" s="1959">
        <v>302.39999999999998</v>
      </c>
      <c r="S14" s="1959">
        <v>359.2</v>
      </c>
      <c r="T14" s="1959">
        <f>309.7</f>
        <v>309.7</v>
      </c>
      <c r="U14" s="1959">
        <f>258.45</f>
        <v>258.45</v>
      </c>
      <c r="V14" s="1959">
        <f>405.5+0.05</f>
        <v>405.55</v>
      </c>
      <c r="W14" s="1959">
        <f>349.65</f>
        <v>349.65</v>
      </c>
      <c r="X14" s="1959">
        <f>287.5</f>
        <v>287.5</v>
      </c>
      <c r="Y14" s="1959">
        <v>340</v>
      </c>
      <c r="Z14" s="1959">
        <f>359.25</f>
        <v>359.25</v>
      </c>
      <c r="AA14" s="1959">
        <f>304</f>
        <v>304</v>
      </c>
      <c r="AB14" s="1959">
        <f>453.45</f>
        <v>453.45</v>
      </c>
      <c r="AC14" s="1959">
        <v>446.45</v>
      </c>
      <c r="AD14" s="1959">
        <f>448.95</f>
        <v>448.95</v>
      </c>
      <c r="AE14" s="3163">
        <f>565.15</f>
        <v>565.15</v>
      </c>
      <c r="AF14" s="1991">
        <f t="shared" si="1"/>
        <v>565.15</v>
      </c>
      <c r="AG14" s="2023">
        <f>SUM(A14:AE14)</f>
        <v>10359.720000000001</v>
      </c>
      <c r="AH14" s="2024"/>
      <c r="AI14" s="1940">
        <v>9980.0899999999965</v>
      </c>
      <c r="AJ14" s="2027" t="s">
        <v>80</v>
      </c>
      <c r="AK14" s="2025">
        <f t="shared" si="5"/>
        <v>355</v>
      </c>
      <c r="AL14" s="574">
        <f t="shared" si="6"/>
        <v>565.15</v>
      </c>
      <c r="AM14" s="2026">
        <f t="shared" si="3"/>
        <v>11005</v>
      </c>
      <c r="AN14" s="2025">
        <f t="shared" si="7"/>
        <v>10359.720000000001</v>
      </c>
      <c r="AO14" s="2075">
        <f>+AN14/AM14*100</f>
        <v>94.136483416628806</v>
      </c>
      <c r="AP14" s="2076">
        <f>AN14+AI14</f>
        <v>20339.809999999998</v>
      </c>
      <c r="AQ14" s="2026">
        <v>11005</v>
      </c>
      <c r="AR14" s="2071">
        <f>AN14*BH14/BK14</f>
        <v>10359.720000000003</v>
      </c>
      <c r="AS14" s="2035">
        <f t="shared" si="8"/>
        <v>94.136483416628835</v>
      </c>
      <c r="AT14" s="744">
        <v>9977.0699999999979</v>
      </c>
      <c r="AU14" s="2079">
        <v>10052.6</v>
      </c>
      <c r="AV14" s="2074">
        <f t="shared" si="9"/>
        <v>448.95</v>
      </c>
      <c r="AW14" s="2022">
        <v>15089</v>
      </c>
      <c r="AX14" s="2006" t="s">
        <v>329</v>
      </c>
      <c r="AY14" s="1968">
        <v>151556</v>
      </c>
      <c r="AZ14" s="2416" t="s">
        <v>158</v>
      </c>
      <c r="BA14" s="2126" t="s">
        <v>330</v>
      </c>
      <c r="BB14" s="2125">
        <v>0</v>
      </c>
      <c r="BC14" s="2125">
        <f t="shared" si="10"/>
        <v>0</v>
      </c>
      <c r="BD14" s="2690">
        <v>0</v>
      </c>
      <c r="BE14" s="133"/>
      <c r="BF14" s="1968"/>
      <c r="BG14" s="1968">
        <f>+BH14-BK14</f>
        <v>0</v>
      </c>
      <c r="BH14" s="2158">
        <f t="shared" ref="BH14:BH19" si="11">+BH13</f>
        <v>31</v>
      </c>
      <c r="BI14" s="131">
        <f t="shared" ref="BI14:BI21" si="12">BI13</f>
        <v>1</v>
      </c>
      <c r="BJ14" s="2700">
        <v>30</v>
      </c>
      <c r="BK14" s="2157">
        <f t="shared" si="4"/>
        <v>31</v>
      </c>
    </row>
    <row r="15" spans="1:71" ht="24.75" customHeight="1" thickBot="1">
      <c r="A15" s="1959">
        <v>0</v>
      </c>
      <c r="B15" s="1959">
        <v>0</v>
      </c>
      <c r="C15" s="1959">
        <v>0</v>
      </c>
      <c r="D15" s="1959">
        <v>0</v>
      </c>
      <c r="E15" s="1959">
        <v>0</v>
      </c>
      <c r="F15" s="1959">
        <f>43.75+52.65</f>
        <v>96.4</v>
      </c>
      <c r="G15" s="1959">
        <v>0</v>
      </c>
      <c r="H15" s="1959">
        <v>0</v>
      </c>
      <c r="I15" s="1959">
        <v>0</v>
      </c>
      <c r="J15" s="1959">
        <v>0</v>
      </c>
      <c r="K15" s="1959">
        <v>0</v>
      </c>
      <c r="L15" s="1959">
        <v>0</v>
      </c>
      <c r="M15" s="1959">
        <v>0</v>
      </c>
      <c r="N15" s="1959">
        <v>0</v>
      </c>
      <c r="O15" s="1959">
        <v>0</v>
      </c>
      <c r="P15" s="1959">
        <v>0</v>
      </c>
      <c r="Q15" s="1959">
        <v>0</v>
      </c>
      <c r="R15" s="1959">
        <v>0</v>
      </c>
      <c r="S15" s="1959">
        <v>0</v>
      </c>
      <c r="T15" s="1959">
        <v>0</v>
      </c>
      <c r="U15" s="1959">
        <v>0</v>
      </c>
      <c r="V15" s="1959">
        <v>0</v>
      </c>
      <c r="W15" s="1959">
        <v>0</v>
      </c>
      <c r="X15" s="1959">
        <v>0</v>
      </c>
      <c r="Y15" s="1959">
        <v>0</v>
      </c>
      <c r="Z15" s="1959">
        <v>0</v>
      </c>
      <c r="AA15" s="1959">
        <v>0</v>
      </c>
      <c r="AB15" s="1959">
        <v>0</v>
      </c>
      <c r="AC15" s="1959">
        <v>0</v>
      </c>
      <c r="AD15" s="1959">
        <v>0</v>
      </c>
      <c r="AE15" s="3163">
        <v>0</v>
      </c>
      <c r="AF15" s="1991">
        <f t="shared" si="1"/>
        <v>96.4</v>
      </c>
      <c r="AG15" s="2028">
        <f t="shared" si="2"/>
        <v>96.4</v>
      </c>
      <c r="AH15" s="2024">
        <f>+AH16/AH17*100</f>
        <v>97.418055301226886</v>
      </c>
      <c r="AI15" s="1940">
        <v>0</v>
      </c>
      <c r="AJ15" s="2027" t="s">
        <v>331</v>
      </c>
      <c r="AK15" s="2025">
        <f t="shared" si="5"/>
        <v>0</v>
      </c>
      <c r="AL15" s="574">
        <f t="shared" si="6"/>
        <v>0</v>
      </c>
      <c r="AM15" s="2026">
        <f t="shared" si="3"/>
        <v>0</v>
      </c>
      <c r="AN15" s="2025">
        <f t="shared" si="7"/>
        <v>96.4</v>
      </c>
      <c r="AO15" s="2075"/>
      <c r="AP15" s="2076">
        <v>0</v>
      </c>
      <c r="AQ15" s="2037">
        <v>0</v>
      </c>
      <c r="AR15" s="2071">
        <f>AN15*BH15/BK15</f>
        <v>96.4</v>
      </c>
      <c r="AS15" s="2078"/>
      <c r="AT15" s="744">
        <v>0</v>
      </c>
      <c r="AU15" s="2079">
        <v>48.6</v>
      </c>
      <c r="AV15" s="2074">
        <f t="shared" si="9"/>
        <v>0</v>
      </c>
      <c r="AW15" s="2022"/>
      <c r="AX15" s="2006"/>
      <c r="AY15" s="1968"/>
      <c r="AZ15" s="132" t="s">
        <v>271</v>
      </c>
      <c r="BA15" s="2127" t="s">
        <v>332</v>
      </c>
      <c r="BB15" s="2125">
        <v>0</v>
      </c>
      <c r="BC15" s="2125">
        <f t="shared" si="10"/>
        <v>0</v>
      </c>
      <c r="BD15" s="2690">
        <v>0</v>
      </c>
      <c r="BE15" s="133"/>
      <c r="BF15" s="1968"/>
      <c r="BG15" s="1968">
        <f>+BH15-BK15</f>
        <v>0</v>
      </c>
      <c r="BH15" s="2158">
        <f t="shared" si="11"/>
        <v>31</v>
      </c>
      <c r="BI15" s="131">
        <f t="shared" si="12"/>
        <v>1</v>
      </c>
      <c r="BJ15" s="2700">
        <v>30</v>
      </c>
      <c r="BK15" s="2157">
        <f t="shared" si="4"/>
        <v>31</v>
      </c>
      <c r="BP15" s="1940">
        <f>150/23*29</f>
        <v>189.13043478260869</v>
      </c>
    </row>
    <row r="16" spans="1:71" ht="21.75" customHeight="1" thickBot="1">
      <c r="A16" s="1959">
        <v>0</v>
      </c>
      <c r="B16" s="1959">
        <v>0</v>
      </c>
      <c r="C16" s="1959">
        <v>0</v>
      </c>
      <c r="D16" s="1959">
        <v>0</v>
      </c>
      <c r="E16" s="1959">
        <v>0</v>
      </c>
      <c r="F16" s="1959">
        <v>0</v>
      </c>
      <c r="G16" s="1959">
        <v>0</v>
      </c>
      <c r="H16" s="1959">
        <v>0</v>
      </c>
      <c r="I16" s="1959">
        <v>51.04</v>
      </c>
      <c r="J16" s="1959">
        <v>0</v>
      </c>
      <c r="K16" s="1959">
        <v>47.39</v>
      </c>
      <c r="L16" s="1959">
        <v>0</v>
      </c>
      <c r="M16" s="1959">
        <v>0</v>
      </c>
      <c r="N16" s="1959">
        <v>0</v>
      </c>
      <c r="O16" s="1959">
        <v>0</v>
      </c>
      <c r="P16" s="1959">
        <v>0</v>
      </c>
      <c r="Q16" s="1959">
        <v>0</v>
      </c>
      <c r="R16" s="1959">
        <f>50.9-0.04</f>
        <v>50.86</v>
      </c>
      <c r="S16" s="1959">
        <v>52.01</v>
      </c>
      <c r="T16" s="1959">
        <v>0</v>
      </c>
      <c r="U16" s="1959">
        <v>0</v>
      </c>
      <c r="V16" s="1959">
        <v>0</v>
      </c>
      <c r="W16" s="1959">
        <f>49.5-0.34</f>
        <v>49.16</v>
      </c>
      <c r="X16" s="1959">
        <v>49.6</v>
      </c>
      <c r="Y16" s="1959">
        <v>0</v>
      </c>
      <c r="Z16" s="1959">
        <v>0</v>
      </c>
      <c r="AA16" s="1959">
        <v>0</v>
      </c>
      <c r="AB16" s="1959">
        <v>48.79</v>
      </c>
      <c r="AC16" s="1959">
        <v>0</v>
      </c>
      <c r="AD16" s="1959">
        <v>50.621000000000002</v>
      </c>
      <c r="AE16" s="3163">
        <v>0</v>
      </c>
      <c r="AF16" s="1991"/>
      <c r="AG16" s="2029">
        <f t="shared" si="2"/>
        <v>399.471</v>
      </c>
      <c r="AH16" s="2024">
        <f>3.65+49.55</f>
        <v>53.199999999999996</v>
      </c>
      <c r="AI16" s="1940">
        <v>507.71</v>
      </c>
      <c r="AJ16" s="2027" t="s">
        <v>333</v>
      </c>
      <c r="AK16" s="2025">
        <f t="shared" si="5"/>
        <v>19.580645161290324</v>
      </c>
      <c r="AL16" s="574">
        <f t="shared" si="6"/>
        <v>0</v>
      </c>
      <c r="AM16" s="2026">
        <f t="shared" si="3"/>
        <v>607</v>
      </c>
      <c r="AN16" s="2025">
        <f t="shared" si="7"/>
        <v>399.471</v>
      </c>
      <c r="AO16" s="2075"/>
      <c r="AP16" s="2076">
        <f>AN16+AI16</f>
        <v>907.18100000000004</v>
      </c>
      <c r="AQ16" s="2026">
        <v>607</v>
      </c>
      <c r="AR16" s="2071">
        <f>AN16*BH16/BK16</f>
        <v>399.471</v>
      </c>
      <c r="AS16" s="2078">
        <f>SUM(AR16*100/AQ16)</f>
        <v>65.810708401976939</v>
      </c>
      <c r="AT16" s="744">
        <v>507.08</v>
      </c>
      <c r="AU16" s="2079">
        <v>733.06</v>
      </c>
      <c r="AV16" s="2074">
        <f t="shared" si="9"/>
        <v>50.621000000000002</v>
      </c>
      <c r="AW16" s="2022">
        <v>13036</v>
      </c>
      <c r="AX16" s="2006" t="s">
        <v>334</v>
      </c>
      <c r="AY16" s="1968">
        <v>112288</v>
      </c>
      <c r="AZ16" s="2416" t="s">
        <v>155</v>
      </c>
      <c r="BA16" s="2124"/>
      <c r="BB16" s="2125">
        <v>0</v>
      </c>
      <c r="BC16" s="2125">
        <f t="shared" si="10"/>
        <v>0</v>
      </c>
      <c r="BD16" s="2690">
        <v>0</v>
      </c>
      <c r="BE16" s="133"/>
      <c r="BF16" s="2159"/>
      <c r="BG16" s="1968">
        <f>+BH16-BK16</f>
        <v>0</v>
      </c>
      <c r="BH16" s="2158">
        <f>++BH15</f>
        <v>31</v>
      </c>
      <c r="BI16" s="131">
        <f t="shared" si="12"/>
        <v>1</v>
      </c>
      <c r="BJ16" s="2700">
        <v>30</v>
      </c>
      <c r="BK16" s="2157">
        <f t="shared" si="4"/>
        <v>31</v>
      </c>
    </row>
    <row r="17" spans="1:66" ht="18.95" customHeight="1" thickBot="1">
      <c r="A17" s="1959">
        <v>0</v>
      </c>
      <c r="B17" s="1959">
        <v>0</v>
      </c>
      <c r="C17" s="1959">
        <v>0</v>
      </c>
      <c r="D17" s="1959">
        <v>0</v>
      </c>
      <c r="E17" s="1959">
        <v>0</v>
      </c>
      <c r="F17" s="1959">
        <v>0</v>
      </c>
      <c r="G17" s="1959">
        <v>0</v>
      </c>
      <c r="H17" s="1959">
        <v>0</v>
      </c>
      <c r="I17" s="1959">
        <v>0</v>
      </c>
      <c r="J17" s="1959">
        <v>0</v>
      </c>
      <c r="K17" s="1959">
        <v>0</v>
      </c>
      <c r="L17" s="1959">
        <v>0</v>
      </c>
      <c r="M17" s="1959">
        <v>0</v>
      </c>
      <c r="N17" s="1959">
        <v>0</v>
      </c>
      <c r="O17" s="1959">
        <v>0</v>
      </c>
      <c r="P17" s="1959">
        <v>0</v>
      </c>
      <c r="Q17" s="1959">
        <v>0</v>
      </c>
      <c r="R17" s="1959">
        <v>0</v>
      </c>
      <c r="S17" s="1959">
        <v>0</v>
      </c>
      <c r="T17" s="1959">
        <v>0</v>
      </c>
      <c r="U17" s="1959">
        <v>0</v>
      </c>
      <c r="V17" s="1959">
        <v>0</v>
      </c>
      <c r="W17" s="1959">
        <v>0</v>
      </c>
      <c r="X17" s="1959">
        <v>0</v>
      </c>
      <c r="Y17" s="1959">
        <v>0</v>
      </c>
      <c r="Z17" s="1959">
        <v>0</v>
      </c>
      <c r="AA17" s="1959">
        <v>0</v>
      </c>
      <c r="AB17" s="1959">
        <v>0</v>
      </c>
      <c r="AC17" s="1959">
        <v>0</v>
      </c>
      <c r="AD17" s="1959">
        <v>0</v>
      </c>
      <c r="AE17" s="3163">
        <v>0</v>
      </c>
      <c r="AF17" s="1991">
        <v>0</v>
      </c>
      <c r="AG17" s="2023">
        <f t="shared" si="2"/>
        <v>0</v>
      </c>
      <c r="AH17" s="2024">
        <f>3.65+50.96</f>
        <v>54.61</v>
      </c>
      <c r="AI17" s="1940">
        <v>0</v>
      </c>
      <c r="AJ17" s="2027" t="s">
        <v>335</v>
      </c>
      <c r="AK17" s="2025">
        <v>0</v>
      </c>
      <c r="AL17" s="574">
        <f t="shared" si="6"/>
        <v>0</v>
      </c>
      <c r="AM17" s="2026">
        <f t="shared" si="3"/>
        <v>0</v>
      </c>
      <c r="AN17" s="2025">
        <f t="shared" si="7"/>
        <v>0</v>
      </c>
      <c r="AO17" s="2075"/>
      <c r="AP17" s="2076">
        <f>AN17+AI17</f>
        <v>0</v>
      </c>
      <c r="AQ17" s="2026">
        <v>0</v>
      </c>
      <c r="AR17" s="2077">
        <f>SUM(AN17*BH17/BK17)</f>
        <v>0</v>
      </c>
      <c r="AS17" s="2078">
        <v>0</v>
      </c>
      <c r="AT17" s="744">
        <v>0</v>
      </c>
      <c r="AU17" s="2079">
        <v>0</v>
      </c>
      <c r="AV17" s="2074">
        <f t="shared" si="9"/>
        <v>0</v>
      </c>
      <c r="AW17" s="2022"/>
      <c r="AX17" s="2006"/>
      <c r="AY17" s="1968"/>
      <c r="AZ17" s="132"/>
      <c r="BA17" s="2128" t="s">
        <v>336</v>
      </c>
      <c r="BB17" s="2125">
        <f>SUM(BB12:BB15)</f>
        <v>0</v>
      </c>
      <c r="BC17" s="2125">
        <f t="shared" si="10"/>
        <v>11</v>
      </c>
      <c r="BD17" s="2690">
        <v>11</v>
      </c>
      <c r="BE17" s="133"/>
      <c r="BF17" s="2159"/>
      <c r="BG17" s="2159"/>
      <c r="BH17" s="2158">
        <f t="shared" si="11"/>
        <v>31</v>
      </c>
      <c r="BI17" s="131">
        <f t="shared" si="12"/>
        <v>1</v>
      </c>
      <c r="BJ17" s="2700">
        <v>30</v>
      </c>
      <c r="BK17" s="2157">
        <f t="shared" si="4"/>
        <v>31</v>
      </c>
    </row>
    <row r="18" spans="1:66" ht="21.75" customHeight="1" thickBot="1">
      <c r="A18" s="1959">
        <v>0</v>
      </c>
      <c r="B18" s="1959">
        <v>0</v>
      </c>
      <c r="C18" s="1959">
        <v>0</v>
      </c>
      <c r="D18" s="1959">
        <v>0</v>
      </c>
      <c r="E18" s="1959">
        <v>0</v>
      </c>
      <c r="F18" s="1959">
        <v>0</v>
      </c>
      <c r="G18" s="1959">
        <v>0</v>
      </c>
      <c r="H18" s="1959">
        <v>0</v>
      </c>
      <c r="I18" s="1959">
        <v>0</v>
      </c>
      <c r="J18" s="1959">
        <v>0</v>
      </c>
      <c r="K18" s="1959">
        <v>0</v>
      </c>
      <c r="L18" s="1959">
        <v>0</v>
      </c>
      <c r="M18" s="1959">
        <v>0</v>
      </c>
      <c r="N18" s="1959">
        <v>0</v>
      </c>
      <c r="O18" s="1959">
        <v>0</v>
      </c>
      <c r="P18" s="1959">
        <v>0</v>
      </c>
      <c r="Q18" s="1959">
        <v>0</v>
      </c>
      <c r="R18" s="1959">
        <v>0</v>
      </c>
      <c r="S18" s="1959">
        <v>0</v>
      </c>
      <c r="T18" s="1959">
        <v>0</v>
      </c>
      <c r="U18" s="1959">
        <v>0</v>
      </c>
      <c r="V18" s="1959">
        <v>0</v>
      </c>
      <c r="W18" s="1959">
        <v>0</v>
      </c>
      <c r="X18" s="1959">
        <v>0</v>
      </c>
      <c r="Y18" s="1959">
        <v>0</v>
      </c>
      <c r="Z18" s="1959">
        <v>0</v>
      </c>
      <c r="AA18" s="1959">
        <v>0</v>
      </c>
      <c r="AB18" s="1959">
        <v>0</v>
      </c>
      <c r="AC18" s="1959">
        <v>0</v>
      </c>
      <c r="AD18" s="1959">
        <v>0</v>
      </c>
      <c r="AE18" s="3163">
        <v>0</v>
      </c>
      <c r="AF18" s="1991"/>
      <c r="AG18" s="2030">
        <v>0</v>
      </c>
      <c r="AH18" s="2024">
        <f>+AH19-AG18</f>
        <v>1254.1400000000001</v>
      </c>
      <c r="AI18" s="1940">
        <v>0</v>
      </c>
      <c r="AJ18" s="2027"/>
      <c r="AK18" s="2025">
        <v>0</v>
      </c>
      <c r="AL18" s="574">
        <f t="shared" si="6"/>
        <v>0</v>
      </c>
      <c r="AM18" s="2026">
        <f t="shared" si="3"/>
        <v>0</v>
      </c>
      <c r="AN18" s="2025">
        <f t="shared" si="7"/>
        <v>0</v>
      </c>
      <c r="AO18" s="2075"/>
      <c r="AQ18" s="2080">
        <v>0</v>
      </c>
      <c r="AR18" s="2077">
        <f>SUM(AN18*BH18/BK18)</f>
        <v>0</v>
      </c>
      <c r="AS18" s="2078"/>
      <c r="AT18" s="744">
        <v>0</v>
      </c>
      <c r="AU18" s="2079">
        <v>0</v>
      </c>
      <c r="AV18" s="2074">
        <f t="shared" si="9"/>
        <v>0</v>
      </c>
      <c r="AY18" s="1968"/>
      <c r="AZ18" s="132" t="s">
        <v>271</v>
      </c>
      <c r="BA18" s="2126" t="s">
        <v>337</v>
      </c>
      <c r="BB18" s="2125">
        <v>0</v>
      </c>
      <c r="BC18" s="2125">
        <f t="shared" si="10"/>
        <v>3</v>
      </c>
      <c r="BD18" s="2690">
        <v>3</v>
      </c>
      <c r="BE18" s="133">
        <f>1+2+3+14+49+17+4</f>
        <v>90</v>
      </c>
      <c r="BF18" s="1968"/>
      <c r="BG18" s="1968"/>
      <c r="BH18" s="2158">
        <f t="shared" si="11"/>
        <v>31</v>
      </c>
      <c r="BI18" s="131">
        <f t="shared" si="12"/>
        <v>1</v>
      </c>
      <c r="BJ18" s="2700">
        <v>30</v>
      </c>
      <c r="BK18" s="2157">
        <f t="shared" si="4"/>
        <v>31</v>
      </c>
    </row>
    <row r="19" spans="1:66" ht="22.5" customHeight="1" thickBot="1">
      <c r="A19" s="1959">
        <f>A17+A16</f>
        <v>0</v>
      </c>
      <c r="B19" s="1959">
        <f t="shared" ref="B19:AE19" si="13">B17+B16</f>
        <v>0</v>
      </c>
      <c r="C19" s="1959">
        <f t="shared" si="13"/>
        <v>0</v>
      </c>
      <c r="D19" s="1959">
        <f t="shared" si="13"/>
        <v>0</v>
      </c>
      <c r="E19" s="1959">
        <f t="shared" si="13"/>
        <v>0</v>
      </c>
      <c r="F19" s="1959">
        <f t="shared" si="13"/>
        <v>0</v>
      </c>
      <c r="G19" s="1959">
        <f t="shared" si="13"/>
        <v>0</v>
      </c>
      <c r="H19" s="1959">
        <f t="shared" si="13"/>
        <v>0</v>
      </c>
      <c r="I19" s="1959">
        <f t="shared" si="13"/>
        <v>51.04</v>
      </c>
      <c r="J19" s="1959">
        <f t="shared" si="13"/>
        <v>0</v>
      </c>
      <c r="K19" s="1959">
        <f t="shared" si="13"/>
        <v>47.39</v>
      </c>
      <c r="L19" s="1959">
        <f t="shared" si="13"/>
        <v>0</v>
      </c>
      <c r="M19" s="1959">
        <f t="shared" si="13"/>
        <v>0</v>
      </c>
      <c r="N19" s="1959">
        <f t="shared" si="13"/>
        <v>0</v>
      </c>
      <c r="O19" s="1959">
        <f t="shared" si="13"/>
        <v>0</v>
      </c>
      <c r="P19" s="1959">
        <f t="shared" si="13"/>
        <v>0</v>
      </c>
      <c r="Q19" s="1959">
        <f t="shared" si="13"/>
        <v>0</v>
      </c>
      <c r="R19" s="1959">
        <f t="shared" si="13"/>
        <v>50.86</v>
      </c>
      <c r="S19" s="1959">
        <f t="shared" si="13"/>
        <v>52.01</v>
      </c>
      <c r="T19" s="1959">
        <f t="shared" si="13"/>
        <v>0</v>
      </c>
      <c r="U19" s="1959">
        <f t="shared" si="13"/>
        <v>0</v>
      </c>
      <c r="V19" s="1959">
        <f t="shared" si="13"/>
        <v>0</v>
      </c>
      <c r="W19" s="1959">
        <f t="shared" si="13"/>
        <v>49.16</v>
      </c>
      <c r="X19" s="1959">
        <f t="shared" si="13"/>
        <v>49.6</v>
      </c>
      <c r="Y19" s="1959">
        <f t="shared" si="13"/>
        <v>0</v>
      </c>
      <c r="Z19" s="1959">
        <f t="shared" si="13"/>
        <v>0</v>
      </c>
      <c r="AA19" s="1959">
        <f t="shared" si="13"/>
        <v>0</v>
      </c>
      <c r="AB19" s="1959">
        <f t="shared" si="13"/>
        <v>48.79</v>
      </c>
      <c r="AC19" s="1959">
        <f t="shared" si="13"/>
        <v>0</v>
      </c>
      <c r="AD19" s="1959">
        <f t="shared" si="13"/>
        <v>50.621000000000002</v>
      </c>
      <c r="AE19" s="3163">
        <f t="shared" si="13"/>
        <v>0</v>
      </c>
      <c r="AF19" s="1991">
        <f t="shared" si="1"/>
        <v>52.01</v>
      </c>
      <c r="AG19" s="2031">
        <f>+AG16+AG17</f>
        <v>399.471</v>
      </c>
      <c r="AH19" s="2024">
        <v>1254.1400000000001</v>
      </c>
      <c r="AI19" s="1940">
        <v>507.71</v>
      </c>
      <c r="AJ19" s="2027" t="s">
        <v>338</v>
      </c>
      <c r="AK19" s="2025">
        <f t="shared" si="5"/>
        <v>19.580645161290324</v>
      </c>
      <c r="AL19" s="574">
        <f t="shared" si="6"/>
        <v>0</v>
      </c>
      <c r="AM19" s="2026">
        <f t="shared" si="3"/>
        <v>607</v>
      </c>
      <c r="AN19" s="2025">
        <f t="shared" si="7"/>
        <v>399.471</v>
      </c>
      <c r="AO19" s="2075"/>
      <c r="AP19" s="2076">
        <f>AN19+AI19</f>
        <v>907.18100000000004</v>
      </c>
      <c r="AQ19" s="2026">
        <f>+AQ16</f>
        <v>607</v>
      </c>
      <c r="AR19" s="2071">
        <f>AN19*BH19/BK19</f>
        <v>399.471</v>
      </c>
      <c r="AS19" s="2078">
        <f>SUM(AR19*100/AQ19)</f>
        <v>65.810708401976939</v>
      </c>
      <c r="AT19" s="744">
        <v>507.08</v>
      </c>
      <c r="AU19" s="2079">
        <v>733.06</v>
      </c>
      <c r="AV19" s="2074">
        <f t="shared" si="9"/>
        <v>50.621000000000002</v>
      </c>
      <c r="AW19" s="2022">
        <v>8488</v>
      </c>
      <c r="AX19" s="2006" t="s">
        <v>327</v>
      </c>
      <c r="AY19" s="1968">
        <v>112288</v>
      </c>
      <c r="AZ19" s="2416" t="s">
        <v>155</v>
      </c>
      <c r="BA19" s="2126" t="s">
        <v>339</v>
      </c>
      <c r="BB19" s="2125">
        <v>0</v>
      </c>
      <c r="BC19" s="2125">
        <f t="shared" si="10"/>
        <v>0</v>
      </c>
      <c r="BD19" s="2690">
        <v>0</v>
      </c>
      <c r="BE19" s="133"/>
      <c r="BF19" s="2069"/>
      <c r="BG19" s="1968"/>
      <c r="BH19" s="2158">
        <f t="shared" si="11"/>
        <v>31</v>
      </c>
      <c r="BI19" s="131">
        <f t="shared" si="12"/>
        <v>1</v>
      </c>
      <c r="BJ19" s="2700">
        <v>30</v>
      </c>
      <c r="BK19" s="2157">
        <f t="shared" si="4"/>
        <v>31</v>
      </c>
    </row>
    <row r="20" spans="1:66" ht="18.95" customHeight="1" thickBot="1">
      <c r="A20" s="1959">
        <f t="shared" ref="A20:AE20" si="14">+A19+A14</f>
        <v>204.4</v>
      </c>
      <c r="B20" s="1959">
        <f t="shared" si="14"/>
        <v>308.14999999999998</v>
      </c>
      <c r="C20" s="1959">
        <f t="shared" si="14"/>
        <v>357.15</v>
      </c>
      <c r="D20" s="1959">
        <f t="shared" si="14"/>
        <v>304.10000000000002</v>
      </c>
      <c r="E20" s="1959">
        <f t="shared" si="14"/>
        <v>355.2</v>
      </c>
      <c r="F20" s="1959">
        <f t="shared" si="14"/>
        <v>295.64999999999998</v>
      </c>
      <c r="G20" s="1959">
        <f t="shared" si="14"/>
        <v>349.8</v>
      </c>
      <c r="H20" s="1959">
        <f t="shared" si="14"/>
        <v>349.85</v>
      </c>
      <c r="I20" s="1959">
        <f t="shared" si="14"/>
        <v>360.19</v>
      </c>
      <c r="J20" s="1959">
        <f t="shared" si="14"/>
        <v>146</v>
      </c>
      <c r="K20" s="1959">
        <f t="shared" si="14"/>
        <v>385.61</v>
      </c>
      <c r="L20" s="1959">
        <f t="shared" si="14"/>
        <v>352.55</v>
      </c>
      <c r="M20" s="1959">
        <f t="shared" si="14"/>
        <v>409</v>
      </c>
      <c r="N20" s="1959">
        <f t="shared" si="14"/>
        <v>357.95</v>
      </c>
      <c r="O20" s="1959">
        <f t="shared" si="14"/>
        <v>192.85</v>
      </c>
      <c r="P20" s="1959">
        <f t="shared" si="14"/>
        <v>246.85</v>
      </c>
      <c r="Q20" s="1959">
        <f t="shared" si="14"/>
        <v>293.14999999999998</v>
      </c>
      <c r="R20" s="1959">
        <f t="shared" si="14"/>
        <v>353.26</v>
      </c>
      <c r="S20" s="1959">
        <f t="shared" si="14"/>
        <v>411.21</v>
      </c>
      <c r="T20" s="1959">
        <f t="shared" si="14"/>
        <v>309.7</v>
      </c>
      <c r="U20" s="1959">
        <f t="shared" si="14"/>
        <v>258.45</v>
      </c>
      <c r="V20" s="1959">
        <f t="shared" si="14"/>
        <v>405.55</v>
      </c>
      <c r="W20" s="1959">
        <f t="shared" si="14"/>
        <v>398.80999999999995</v>
      </c>
      <c r="X20" s="1959">
        <f t="shared" si="14"/>
        <v>337.1</v>
      </c>
      <c r="Y20" s="1959">
        <f t="shared" si="14"/>
        <v>340</v>
      </c>
      <c r="Z20" s="1959">
        <f t="shared" si="14"/>
        <v>359.25</v>
      </c>
      <c r="AA20" s="1959">
        <f t="shared" si="14"/>
        <v>304</v>
      </c>
      <c r="AB20" s="1959">
        <f t="shared" si="14"/>
        <v>502.24</v>
      </c>
      <c r="AC20" s="1959">
        <f t="shared" si="14"/>
        <v>446.45</v>
      </c>
      <c r="AD20" s="1959">
        <f t="shared" si="14"/>
        <v>499.57099999999997</v>
      </c>
      <c r="AE20" s="3163">
        <f t="shared" si="14"/>
        <v>565.15</v>
      </c>
      <c r="AF20" s="1991">
        <f t="shared" si="1"/>
        <v>565.15</v>
      </c>
      <c r="AG20" s="2023">
        <f t="shared" ref="AG20:AG42" si="15">SUM(A20:AE20)</f>
        <v>10759.191000000001</v>
      </c>
      <c r="AH20" s="2032"/>
      <c r="AI20" s="1940">
        <v>10487.799999999997</v>
      </c>
      <c r="AJ20" s="2033" t="s">
        <v>36</v>
      </c>
      <c r="AK20" s="2025">
        <f t="shared" si="5"/>
        <v>374.58064516129031</v>
      </c>
      <c r="AL20" s="574">
        <f t="shared" si="6"/>
        <v>565.15</v>
      </c>
      <c r="AM20" s="2026">
        <f t="shared" si="3"/>
        <v>11612</v>
      </c>
      <c r="AN20" s="2025">
        <f t="shared" si="7"/>
        <v>10759.191000000001</v>
      </c>
      <c r="AO20" s="2081">
        <f>+AN20/AM20*100</f>
        <v>92.655795728556669</v>
      </c>
      <c r="AP20" s="2076">
        <f>AN20+AI20</f>
        <v>21246.990999999998</v>
      </c>
      <c r="AQ20" s="2048">
        <f>+AQ19+AQ14</f>
        <v>11612</v>
      </c>
      <c r="AR20" s="2082">
        <f>AN20*BH20/BK20</f>
        <v>10759.191000000001</v>
      </c>
      <c r="AS20" s="2035">
        <f>SUM(AR20*100/AQ20)</f>
        <v>92.655795728556669</v>
      </c>
      <c r="AT20" s="2083">
        <v>10484.15</v>
      </c>
      <c r="AU20" s="2084">
        <v>10785.66</v>
      </c>
      <c r="AV20" s="2074">
        <f t="shared" si="9"/>
        <v>499.57099999999997</v>
      </c>
      <c r="AW20" s="2015">
        <v>24735</v>
      </c>
      <c r="AX20" s="2118" t="s">
        <v>324</v>
      </c>
      <c r="AY20" s="2119">
        <v>248175</v>
      </c>
      <c r="AZ20" s="2417" t="s">
        <v>151</v>
      </c>
      <c r="BA20" s="2126">
        <v>9260</v>
      </c>
      <c r="BB20" s="2125">
        <v>0</v>
      </c>
      <c r="BC20" s="2125">
        <f t="shared" si="10"/>
        <v>0</v>
      </c>
      <c r="BD20" s="2690">
        <v>0</v>
      </c>
      <c r="BE20" s="133"/>
      <c r="BF20" s="2069"/>
      <c r="BG20" s="1968">
        <f>BH20-BK20</f>
        <v>0</v>
      </c>
      <c r="BH20" s="2158">
        <f>BH21</f>
        <v>31</v>
      </c>
      <c r="BI20" s="131">
        <f t="shared" si="12"/>
        <v>1</v>
      </c>
      <c r="BJ20" s="2700">
        <v>30</v>
      </c>
      <c r="BK20" s="2157">
        <f t="shared" si="4"/>
        <v>31</v>
      </c>
    </row>
    <row r="21" spans="1:66" ht="18.95" customHeight="1" thickBot="1">
      <c r="A21" s="1960">
        <v>5</v>
      </c>
      <c r="B21" s="1960">
        <v>7</v>
      </c>
      <c r="C21" s="1960">
        <v>7</v>
      </c>
      <c r="D21" s="1960">
        <v>6</v>
      </c>
      <c r="E21" s="1960">
        <v>7</v>
      </c>
      <c r="F21" s="1960">
        <v>7</v>
      </c>
      <c r="G21" s="1960">
        <v>6</v>
      </c>
      <c r="H21" s="1960">
        <v>7</v>
      </c>
      <c r="I21" s="1960">
        <v>7</v>
      </c>
      <c r="J21" s="1960">
        <v>4</v>
      </c>
      <c r="K21" s="1960">
        <v>6</v>
      </c>
      <c r="L21" s="1960">
        <v>9</v>
      </c>
      <c r="M21" s="1960">
        <v>7</v>
      </c>
      <c r="N21" s="1960">
        <v>8</v>
      </c>
      <c r="O21" s="1960">
        <v>4</v>
      </c>
      <c r="P21" s="1960">
        <v>6</v>
      </c>
      <c r="Q21" s="1960">
        <v>5</v>
      </c>
      <c r="R21" s="1960">
        <v>7</v>
      </c>
      <c r="S21" s="1960">
        <v>7</v>
      </c>
      <c r="T21" s="1960">
        <v>7</v>
      </c>
      <c r="U21" s="1960">
        <v>7</v>
      </c>
      <c r="V21" s="1960">
        <v>6</v>
      </c>
      <c r="W21" s="1960">
        <v>9</v>
      </c>
      <c r="X21" s="1960">
        <v>7</v>
      </c>
      <c r="Y21" s="1960">
        <v>6</v>
      </c>
      <c r="Z21" s="1960">
        <v>8</v>
      </c>
      <c r="AA21" s="1960">
        <v>8</v>
      </c>
      <c r="AB21" s="1960">
        <v>9</v>
      </c>
      <c r="AC21" s="1960">
        <v>9</v>
      </c>
      <c r="AD21" s="1960">
        <v>9</v>
      </c>
      <c r="AE21" s="3164">
        <v>8</v>
      </c>
      <c r="AF21" s="1991">
        <f t="shared" si="1"/>
        <v>9</v>
      </c>
      <c r="AG21" s="2023">
        <f t="shared" si="15"/>
        <v>215</v>
      </c>
      <c r="AH21" s="2032" t="s">
        <v>340</v>
      </c>
      <c r="AI21" s="1940">
        <v>209</v>
      </c>
      <c r="AJ21" s="2034" t="s">
        <v>341</v>
      </c>
      <c r="AK21" s="2025">
        <v>8</v>
      </c>
      <c r="AL21" s="574">
        <f t="shared" si="6"/>
        <v>8</v>
      </c>
      <c r="AM21" s="2035">
        <f>AM12/53</f>
        <v>225.66037735849056</v>
      </c>
      <c r="AN21" s="2025">
        <f t="shared" si="7"/>
        <v>215</v>
      </c>
      <c r="AO21" s="2035"/>
      <c r="AP21" s="2075">
        <f t="shared" ref="AP21:AP30" si="16">AN21+AI21</f>
        <v>424</v>
      </c>
      <c r="AQ21" s="2080">
        <f>AQ12/52</f>
        <v>230</v>
      </c>
      <c r="AR21" s="2082">
        <f>AN21*BH21/BK21</f>
        <v>215</v>
      </c>
      <c r="AS21" s="2035">
        <f>SUM(AR21*100/AQ21)</f>
        <v>93.478260869565219</v>
      </c>
      <c r="AT21" s="2072">
        <v>209</v>
      </c>
      <c r="AU21" s="2073">
        <v>217</v>
      </c>
      <c r="AV21" s="2074">
        <f t="shared" si="9"/>
        <v>9</v>
      </c>
      <c r="AW21" s="166"/>
      <c r="AX21" s="166"/>
      <c r="AY21" s="132"/>
      <c r="AZ21" s="474" t="s">
        <v>271</v>
      </c>
      <c r="BA21" s="2126" t="s">
        <v>342</v>
      </c>
      <c r="BB21" s="2125">
        <v>0</v>
      </c>
      <c r="BC21" s="2125">
        <f t="shared" si="10"/>
        <v>0</v>
      </c>
      <c r="BD21" s="2690">
        <v>0</v>
      </c>
      <c r="BE21" s="133"/>
      <c r="BF21" s="2069"/>
      <c r="BG21" s="133"/>
      <c r="BH21" s="2158">
        <f>BH15</f>
        <v>31</v>
      </c>
      <c r="BI21" s="131">
        <f t="shared" si="12"/>
        <v>1</v>
      </c>
      <c r="BJ21" s="2700">
        <v>30</v>
      </c>
      <c r="BK21" s="2157">
        <f t="shared" si="4"/>
        <v>31</v>
      </c>
    </row>
    <row r="22" spans="1:66" ht="18.95" customHeight="1" thickBot="1">
      <c r="A22" s="1959">
        <v>1</v>
      </c>
      <c r="B22" s="1959">
        <v>0</v>
      </c>
      <c r="C22" s="1959">
        <v>0</v>
      </c>
      <c r="D22" s="1959">
        <v>0</v>
      </c>
      <c r="E22" s="1959">
        <v>0</v>
      </c>
      <c r="F22" s="1959">
        <v>0</v>
      </c>
      <c r="G22" s="1959">
        <v>1</v>
      </c>
      <c r="H22" s="1959">
        <v>1</v>
      </c>
      <c r="I22" s="1959">
        <v>2</v>
      </c>
      <c r="J22" s="1959">
        <v>1</v>
      </c>
      <c r="K22" s="1959">
        <v>1</v>
      </c>
      <c r="L22" s="1959">
        <v>2</v>
      </c>
      <c r="M22" s="1959">
        <v>1</v>
      </c>
      <c r="N22" s="1959">
        <v>1</v>
      </c>
      <c r="O22" s="1959">
        <v>2</v>
      </c>
      <c r="P22" s="1959">
        <v>1</v>
      </c>
      <c r="Q22" s="1959">
        <v>1</v>
      </c>
      <c r="R22" s="1959">
        <v>1</v>
      </c>
      <c r="S22" s="1959">
        <v>1</v>
      </c>
      <c r="T22" s="1959">
        <v>0</v>
      </c>
      <c r="U22" s="1959">
        <v>1</v>
      </c>
      <c r="V22" s="1959">
        <v>1</v>
      </c>
      <c r="W22" s="1959">
        <v>2</v>
      </c>
      <c r="X22" s="1959">
        <v>2</v>
      </c>
      <c r="Y22" s="1959">
        <v>1</v>
      </c>
      <c r="Z22" s="1959">
        <v>2</v>
      </c>
      <c r="AA22" s="1959">
        <v>2</v>
      </c>
      <c r="AB22" s="1959">
        <v>2</v>
      </c>
      <c r="AC22" s="1959">
        <v>2</v>
      </c>
      <c r="AD22" s="1959">
        <v>2</v>
      </c>
      <c r="AE22" s="3163">
        <v>2</v>
      </c>
      <c r="AF22" s="1991">
        <f t="shared" si="1"/>
        <v>2</v>
      </c>
      <c r="AG22" s="2023">
        <f t="shared" si="15"/>
        <v>36</v>
      </c>
      <c r="AH22" s="2032"/>
      <c r="AI22" s="1940">
        <v>39</v>
      </c>
      <c r="AJ22" s="2036" t="s">
        <v>343</v>
      </c>
      <c r="AK22" s="2025">
        <v>2</v>
      </c>
      <c r="AL22" s="574">
        <f t="shared" si="6"/>
        <v>2</v>
      </c>
      <c r="AM22" s="2037"/>
      <c r="AN22" s="2025">
        <f t="shared" si="7"/>
        <v>36</v>
      </c>
      <c r="AO22" s="2078"/>
      <c r="AP22" s="2075">
        <f t="shared" si="16"/>
        <v>75</v>
      </c>
      <c r="AQ22" s="2085"/>
      <c r="AR22" s="2071"/>
      <c r="AS22" s="2078"/>
      <c r="AT22" s="744">
        <v>39</v>
      </c>
      <c r="AU22" s="2079">
        <v>63</v>
      </c>
      <c r="AV22" s="2074">
        <f t="shared" si="9"/>
        <v>2</v>
      </c>
      <c r="AW22" s="166"/>
      <c r="AX22" s="166"/>
      <c r="AY22" s="132"/>
      <c r="AZ22" s="474"/>
      <c r="BA22" s="2126" t="s">
        <v>344</v>
      </c>
      <c r="BB22" s="2125">
        <v>0</v>
      </c>
      <c r="BC22" s="2125">
        <f t="shared" si="10"/>
        <v>1</v>
      </c>
      <c r="BD22" s="2690">
        <v>1</v>
      </c>
      <c r="BE22" s="133"/>
      <c r="BF22" s="2069"/>
      <c r="BG22" s="133"/>
      <c r="BJ22" s="2698"/>
      <c r="BK22" s="2157"/>
    </row>
    <row r="23" spans="1:66" ht="18.95" customHeight="1" thickBot="1">
      <c r="A23" s="1959">
        <v>4</v>
      </c>
      <c r="B23" s="1959">
        <v>6</v>
      </c>
      <c r="C23" s="1959">
        <v>7</v>
      </c>
      <c r="D23" s="1959">
        <v>6</v>
      </c>
      <c r="E23" s="1959">
        <v>7</v>
      </c>
      <c r="F23" s="1959">
        <v>6</v>
      </c>
      <c r="G23" s="1959">
        <v>7</v>
      </c>
      <c r="H23" s="1959">
        <v>7</v>
      </c>
      <c r="I23" s="1959">
        <v>7</v>
      </c>
      <c r="J23" s="1959">
        <v>3</v>
      </c>
      <c r="K23" s="1959">
        <v>8</v>
      </c>
      <c r="L23" s="1959">
        <v>7</v>
      </c>
      <c r="M23" s="1959">
        <v>8</v>
      </c>
      <c r="N23" s="1959">
        <v>7</v>
      </c>
      <c r="O23" s="1959">
        <v>4</v>
      </c>
      <c r="P23" s="1959">
        <v>6</v>
      </c>
      <c r="Q23" s="1959">
        <v>6</v>
      </c>
      <c r="R23" s="1959">
        <v>7</v>
      </c>
      <c r="S23" s="1959">
        <v>8</v>
      </c>
      <c r="T23" s="1959">
        <v>6</v>
      </c>
      <c r="U23" s="1959">
        <v>5</v>
      </c>
      <c r="V23" s="1959">
        <v>8</v>
      </c>
      <c r="W23" s="1959">
        <v>8</v>
      </c>
      <c r="X23" s="1959">
        <v>7</v>
      </c>
      <c r="Y23" s="1959">
        <v>7</v>
      </c>
      <c r="Z23" s="1959">
        <v>7</v>
      </c>
      <c r="AA23" s="1959">
        <v>6</v>
      </c>
      <c r="AB23" s="1959">
        <v>10</v>
      </c>
      <c r="AC23" s="1959">
        <v>9</v>
      </c>
      <c r="AD23" s="1959">
        <v>10</v>
      </c>
      <c r="AE23" s="3163">
        <v>11</v>
      </c>
      <c r="AF23" s="1991"/>
      <c r="AG23" s="2023">
        <f t="shared" si="15"/>
        <v>215</v>
      </c>
      <c r="AH23" s="2032"/>
      <c r="AI23" s="1940">
        <v>209</v>
      </c>
      <c r="AJ23" s="2036" t="s">
        <v>346</v>
      </c>
      <c r="AK23" s="2025"/>
      <c r="AL23" s="574">
        <f t="shared" si="6"/>
        <v>11</v>
      </c>
      <c r="AM23" s="2037"/>
      <c r="AN23" s="2025">
        <f t="shared" si="7"/>
        <v>215</v>
      </c>
      <c r="AO23" s="2078"/>
      <c r="AP23" s="2075"/>
      <c r="AQ23" s="2085"/>
      <c r="AR23" s="2086"/>
      <c r="AS23" s="2078"/>
      <c r="AT23" s="744">
        <v>209</v>
      </c>
      <c r="AU23" s="2079">
        <v>217</v>
      </c>
      <c r="AV23" s="2074">
        <f t="shared" si="9"/>
        <v>10</v>
      </c>
      <c r="AW23" s="166"/>
      <c r="AX23" s="166"/>
      <c r="AY23" s="132"/>
      <c r="AZ23" s="474"/>
      <c r="BA23" s="2126" t="s">
        <v>347</v>
      </c>
      <c r="BB23" s="2125">
        <v>0</v>
      </c>
      <c r="BC23" s="2125">
        <f t="shared" si="10"/>
        <v>14</v>
      </c>
      <c r="BD23" s="2690">
        <v>14</v>
      </c>
      <c r="BE23" s="133"/>
      <c r="BF23" s="2069"/>
      <c r="BG23" s="133"/>
      <c r="BJ23" s="2698"/>
      <c r="BK23" s="2157"/>
    </row>
    <row r="24" spans="1:66" ht="24.75" customHeight="1" thickBot="1">
      <c r="A24" s="1959">
        <v>0</v>
      </c>
      <c r="B24" s="1959">
        <v>0</v>
      </c>
      <c r="C24" s="1959">
        <v>0</v>
      </c>
      <c r="D24" s="1959">
        <v>0</v>
      </c>
      <c r="E24" s="1959">
        <v>0</v>
      </c>
      <c r="F24" s="1959">
        <v>0</v>
      </c>
      <c r="G24" s="1959">
        <v>0</v>
      </c>
      <c r="H24" s="1959">
        <v>0</v>
      </c>
      <c r="I24" s="1959">
        <v>1</v>
      </c>
      <c r="J24" s="1959">
        <v>0</v>
      </c>
      <c r="K24" s="1959">
        <v>1</v>
      </c>
      <c r="L24" s="1959">
        <v>0</v>
      </c>
      <c r="M24" s="1959">
        <v>0</v>
      </c>
      <c r="N24" s="1959">
        <v>0</v>
      </c>
      <c r="O24" s="1959">
        <v>0</v>
      </c>
      <c r="P24" s="1959">
        <v>0</v>
      </c>
      <c r="Q24" s="1959">
        <v>0</v>
      </c>
      <c r="R24" s="1959">
        <v>1</v>
      </c>
      <c r="S24" s="1959">
        <v>1</v>
      </c>
      <c r="T24" s="1959">
        <v>0</v>
      </c>
      <c r="U24" s="1959">
        <v>0</v>
      </c>
      <c r="V24" s="1959">
        <v>0</v>
      </c>
      <c r="W24" s="1959">
        <v>1</v>
      </c>
      <c r="X24" s="1959">
        <v>1</v>
      </c>
      <c r="Y24" s="1959">
        <v>0</v>
      </c>
      <c r="Z24" s="1959">
        <v>0</v>
      </c>
      <c r="AA24" s="1959">
        <v>0</v>
      </c>
      <c r="AB24" s="1959">
        <v>1</v>
      </c>
      <c r="AC24" s="1959">
        <v>0</v>
      </c>
      <c r="AD24" s="1959">
        <v>1</v>
      </c>
      <c r="AE24" s="3163">
        <v>0</v>
      </c>
      <c r="AF24" s="1991">
        <f>MAX(A24:AE24)</f>
        <v>1</v>
      </c>
      <c r="AG24" s="2023">
        <f t="shared" si="15"/>
        <v>8</v>
      </c>
      <c r="AH24" s="2032">
        <f>770.573-47.73</f>
        <v>722.84299999999996</v>
      </c>
      <c r="AI24" s="1940">
        <v>10</v>
      </c>
      <c r="AJ24" s="2036" t="s">
        <v>348</v>
      </c>
      <c r="AK24" s="2025">
        <v>3</v>
      </c>
      <c r="AL24" s="574">
        <f t="shared" si="6"/>
        <v>0</v>
      </c>
      <c r="AM24" s="2037"/>
      <c r="AN24" s="2025">
        <f t="shared" si="7"/>
        <v>8</v>
      </c>
      <c r="AO24" s="2078"/>
      <c r="AP24" s="2075">
        <f t="shared" si="16"/>
        <v>18</v>
      </c>
      <c r="AQ24" s="2087"/>
      <c r="AR24" s="2086"/>
      <c r="AS24" s="2078"/>
      <c r="AT24" s="744">
        <v>10</v>
      </c>
      <c r="AU24" s="2079">
        <v>14</v>
      </c>
      <c r="AV24" s="2074">
        <f t="shared" si="9"/>
        <v>1</v>
      </c>
      <c r="AW24" s="2022" t="s">
        <v>271</v>
      </c>
      <c r="AX24" s="2022"/>
      <c r="AY24" s="2006"/>
      <c r="AZ24" s="474" t="s">
        <v>271</v>
      </c>
      <c r="BA24" s="2126" t="s">
        <v>349</v>
      </c>
      <c r="BB24" s="2125">
        <v>0</v>
      </c>
      <c r="BC24" s="2125">
        <f t="shared" si="10"/>
        <v>0</v>
      </c>
      <c r="BD24" s="2690">
        <v>0</v>
      </c>
      <c r="BE24" s="133"/>
      <c r="BF24" s="2069"/>
      <c r="BG24" s="133"/>
      <c r="BH24" s="2159" t="s">
        <v>271</v>
      </c>
      <c r="BJ24" s="2698"/>
      <c r="BK24" s="2157"/>
      <c r="BN24" s="1940">
        <f>30-8</f>
        <v>22</v>
      </c>
    </row>
    <row r="25" spans="1:66" ht="22.5" customHeight="1" thickBot="1">
      <c r="A25" s="1959">
        <v>2</v>
      </c>
      <c r="B25" s="1959">
        <v>7</v>
      </c>
      <c r="C25" s="1959">
        <v>7</v>
      </c>
      <c r="D25" s="1959">
        <v>6</v>
      </c>
      <c r="E25" s="1959">
        <v>7</v>
      </c>
      <c r="F25" s="1959">
        <v>6</v>
      </c>
      <c r="G25" s="1959">
        <v>2</v>
      </c>
      <c r="H25" s="1959">
        <v>4</v>
      </c>
      <c r="I25" s="1959">
        <v>6</v>
      </c>
      <c r="J25" s="1959">
        <v>3</v>
      </c>
      <c r="K25" s="1959">
        <v>5</v>
      </c>
      <c r="L25" s="1959">
        <v>5</v>
      </c>
      <c r="M25" s="1959">
        <v>6</v>
      </c>
      <c r="N25" s="1959">
        <v>4</v>
      </c>
      <c r="O25" s="1959">
        <v>2</v>
      </c>
      <c r="P25" s="1959">
        <v>4</v>
      </c>
      <c r="Q25" s="1959">
        <v>2</v>
      </c>
      <c r="R25" s="1959">
        <v>6</v>
      </c>
      <c r="S25" s="1959">
        <v>4</v>
      </c>
      <c r="T25" s="1959">
        <v>5</v>
      </c>
      <c r="U25" s="1959">
        <v>2</v>
      </c>
      <c r="V25" s="1959">
        <v>2</v>
      </c>
      <c r="W25" s="1959">
        <v>5</v>
      </c>
      <c r="X25" s="1959">
        <v>4</v>
      </c>
      <c r="Y25" s="1959">
        <v>1</v>
      </c>
      <c r="Z25" s="1959">
        <v>5</v>
      </c>
      <c r="AA25" s="1959">
        <v>4</v>
      </c>
      <c r="AB25" s="1959">
        <v>2</v>
      </c>
      <c r="AC25" s="1959">
        <v>4</v>
      </c>
      <c r="AD25" s="1959">
        <v>4</v>
      </c>
      <c r="AE25" s="3163">
        <v>5</v>
      </c>
      <c r="AF25" s="1991">
        <f t="shared" si="1"/>
        <v>7</v>
      </c>
      <c r="AG25" s="2023">
        <f t="shared" si="15"/>
        <v>131</v>
      </c>
      <c r="AH25" s="2032"/>
      <c r="AI25" s="1940">
        <v>108</v>
      </c>
      <c r="AJ25" s="2036" t="s">
        <v>350</v>
      </c>
      <c r="AK25" s="2025">
        <v>0</v>
      </c>
      <c r="AL25" s="574">
        <f t="shared" si="6"/>
        <v>5</v>
      </c>
      <c r="AM25" s="2037"/>
      <c r="AN25" s="2025">
        <f t="shared" si="7"/>
        <v>131</v>
      </c>
      <c r="AO25" s="2078"/>
      <c r="AP25" s="2075">
        <f t="shared" si="16"/>
        <v>239</v>
      </c>
      <c r="AQ25" s="2085"/>
      <c r="AR25" s="2086"/>
      <c r="AS25" s="2078"/>
      <c r="AT25" s="744">
        <v>108</v>
      </c>
      <c r="AU25" s="2079">
        <v>114</v>
      </c>
      <c r="AV25" s="2074">
        <f t="shared" si="9"/>
        <v>4</v>
      </c>
      <c r="AW25" s="2022"/>
      <c r="AX25" s="2022"/>
      <c r="AY25" s="2006"/>
      <c r="AZ25" s="474" t="s">
        <v>271</v>
      </c>
      <c r="BA25" s="2126" t="s">
        <v>351</v>
      </c>
      <c r="BB25" s="2125">
        <v>0</v>
      </c>
      <c r="BC25" s="2125">
        <f t="shared" si="10"/>
        <v>11</v>
      </c>
      <c r="BD25" s="2690">
        <v>11</v>
      </c>
      <c r="BE25" s="133"/>
      <c r="BF25" s="2114"/>
      <c r="BG25" s="1968"/>
      <c r="BJ25" s="2698"/>
      <c r="BK25" s="2157"/>
    </row>
    <row r="26" spans="1:66" ht="23.25" customHeight="1" thickBot="1">
      <c r="A26" s="1959">
        <v>0</v>
      </c>
      <c r="B26" s="1959">
        <v>0</v>
      </c>
      <c r="C26" s="1959">
        <v>0</v>
      </c>
      <c r="D26" s="1959">
        <v>0</v>
      </c>
      <c r="E26" s="1959">
        <v>0</v>
      </c>
      <c r="F26" s="1959">
        <v>1</v>
      </c>
      <c r="G26" s="1959">
        <v>2</v>
      </c>
      <c r="H26" s="1959">
        <v>2</v>
      </c>
      <c r="I26" s="1959">
        <v>1</v>
      </c>
      <c r="J26" s="1959">
        <v>1</v>
      </c>
      <c r="K26" s="1959">
        <v>1</v>
      </c>
      <c r="L26" s="1959">
        <v>2</v>
      </c>
      <c r="M26" s="1959">
        <v>1</v>
      </c>
      <c r="N26" s="1959">
        <v>2</v>
      </c>
      <c r="O26" s="1959">
        <v>1</v>
      </c>
      <c r="P26" s="1959">
        <v>2</v>
      </c>
      <c r="Q26" s="1959">
        <v>3</v>
      </c>
      <c r="R26" s="1959">
        <v>2</v>
      </c>
      <c r="S26" s="1959">
        <v>3</v>
      </c>
      <c r="T26" s="1959">
        <v>2</v>
      </c>
      <c r="U26" s="1959">
        <v>4</v>
      </c>
      <c r="V26" s="1959">
        <v>5</v>
      </c>
      <c r="W26" s="1959">
        <v>9</v>
      </c>
      <c r="X26" s="1959">
        <v>3</v>
      </c>
      <c r="Y26" s="1959">
        <v>4</v>
      </c>
      <c r="Z26" s="1959">
        <v>3</v>
      </c>
      <c r="AA26" s="1959">
        <v>5</v>
      </c>
      <c r="AB26" s="1959">
        <v>3</v>
      </c>
      <c r="AC26" s="1959">
        <v>3</v>
      </c>
      <c r="AD26" s="1959">
        <v>5</v>
      </c>
      <c r="AE26" s="3163">
        <v>3</v>
      </c>
      <c r="AF26" s="1991"/>
      <c r="AG26" s="2023">
        <f t="shared" si="15"/>
        <v>73</v>
      </c>
      <c r="AH26" s="2032"/>
      <c r="AI26" s="1940">
        <v>83</v>
      </c>
      <c r="AJ26" s="2036" t="s">
        <v>352</v>
      </c>
      <c r="AK26" s="2025">
        <v>0</v>
      </c>
      <c r="AL26" s="574">
        <f t="shared" si="6"/>
        <v>3</v>
      </c>
      <c r="AM26" s="2037"/>
      <c r="AN26" s="2025">
        <f t="shared" si="7"/>
        <v>73</v>
      </c>
      <c r="AO26" s="2078"/>
      <c r="AP26" s="2075">
        <f t="shared" si="16"/>
        <v>156</v>
      </c>
      <c r="AQ26" s="2085"/>
      <c r="AR26" s="2086"/>
      <c r="AS26" s="2078"/>
      <c r="AT26" s="744">
        <v>83</v>
      </c>
      <c r="AU26" s="2079">
        <v>81</v>
      </c>
      <c r="AV26" s="2074">
        <f t="shared" si="9"/>
        <v>5</v>
      </c>
      <c r="AW26" s="2022" t="s">
        <v>271</v>
      </c>
      <c r="AX26" s="2022"/>
      <c r="AY26" s="2006" t="s">
        <v>271</v>
      </c>
      <c r="AZ26" s="474" t="s">
        <v>271</v>
      </c>
      <c r="BA26" s="2126" t="s">
        <v>353</v>
      </c>
      <c r="BB26" s="2125">
        <v>0</v>
      </c>
      <c r="BC26" s="2125">
        <f t="shared" si="10"/>
        <v>0</v>
      </c>
      <c r="BD26" s="2690">
        <v>0</v>
      </c>
      <c r="BE26" s="133"/>
      <c r="BF26" s="2069"/>
      <c r="BG26" s="1968"/>
      <c r="BJ26" s="2698"/>
      <c r="BK26" s="2157"/>
    </row>
    <row r="27" spans="1:66" ht="23.25" customHeight="1" thickBot="1">
      <c r="A27" s="1959">
        <v>1</v>
      </c>
      <c r="B27" s="1959">
        <v>0</v>
      </c>
      <c r="C27" s="1959">
        <v>0</v>
      </c>
      <c r="D27" s="1959">
        <v>0</v>
      </c>
      <c r="E27" s="1959">
        <v>0</v>
      </c>
      <c r="F27" s="1959">
        <v>0</v>
      </c>
      <c r="G27" s="1959">
        <v>2</v>
      </c>
      <c r="H27" s="1959">
        <v>0</v>
      </c>
      <c r="I27" s="1959">
        <v>0</v>
      </c>
      <c r="J27" s="1959">
        <v>2</v>
      </c>
      <c r="K27" s="1959">
        <v>0</v>
      </c>
      <c r="L27" s="1959">
        <v>0</v>
      </c>
      <c r="M27" s="1959">
        <v>1</v>
      </c>
      <c r="N27" s="1959">
        <v>1</v>
      </c>
      <c r="O27" s="1959">
        <v>0</v>
      </c>
      <c r="P27" s="1959">
        <v>1</v>
      </c>
      <c r="Q27" s="1959">
        <v>2</v>
      </c>
      <c r="R27" s="1959">
        <v>0</v>
      </c>
      <c r="S27" s="1959">
        <v>1</v>
      </c>
      <c r="T27" s="1959">
        <v>0</v>
      </c>
      <c r="U27" s="1959">
        <v>2</v>
      </c>
      <c r="V27" s="1959">
        <v>2</v>
      </c>
      <c r="W27" s="1959">
        <v>3</v>
      </c>
      <c r="X27" s="1959">
        <v>2</v>
      </c>
      <c r="Y27" s="1959">
        <v>1</v>
      </c>
      <c r="Z27" s="1959">
        <v>1</v>
      </c>
      <c r="AA27" s="1959">
        <v>4</v>
      </c>
      <c r="AB27" s="1959">
        <v>3</v>
      </c>
      <c r="AC27" s="1959">
        <v>2</v>
      </c>
      <c r="AD27" s="1959">
        <v>2</v>
      </c>
      <c r="AE27" s="3163">
        <v>3</v>
      </c>
      <c r="AF27" s="1991">
        <f t="shared" si="1"/>
        <v>4</v>
      </c>
      <c r="AG27" s="2023">
        <f t="shared" si="15"/>
        <v>36</v>
      </c>
      <c r="AH27" s="2032">
        <v>0</v>
      </c>
      <c r="AI27" s="1940">
        <v>62</v>
      </c>
      <c r="AJ27" s="2036" t="s">
        <v>354</v>
      </c>
      <c r="AK27" s="2025">
        <v>0</v>
      </c>
      <c r="AL27" s="574">
        <f t="shared" si="6"/>
        <v>3</v>
      </c>
      <c r="AM27" s="2037"/>
      <c r="AN27" s="2025">
        <f t="shared" si="7"/>
        <v>36</v>
      </c>
      <c r="AO27" s="2078"/>
      <c r="AP27" s="2075">
        <f t="shared" si="16"/>
        <v>98</v>
      </c>
      <c r="AQ27" s="2085"/>
      <c r="AR27" s="2086"/>
      <c r="AS27" s="2078"/>
      <c r="AT27" s="744">
        <v>62</v>
      </c>
      <c r="AU27" s="2079">
        <v>64</v>
      </c>
      <c r="AV27" s="2074">
        <f t="shared" si="9"/>
        <v>2</v>
      </c>
      <c r="AW27" s="2022"/>
      <c r="AX27" s="2022"/>
      <c r="AY27" s="2006"/>
      <c r="AZ27" s="474"/>
      <c r="BA27" s="2126" t="s">
        <v>2272</v>
      </c>
      <c r="BB27" s="2125">
        <v>0</v>
      </c>
      <c r="BC27" s="2125">
        <f t="shared" si="10"/>
        <v>11</v>
      </c>
      <c r="BD27" s="2690">
        <v>11</v>
      </c>
      <c r="BE27" s="133"/>
      <c r="BF27" s="2069"/>
      <c r="BG27" s="1968"/>
      <c r="BJ27" s="2698"/>
      <c r="BK27" s="2157"/>
    </row>
    <row r="28" spans="1:66" ht="23.25" customHeight="1" thickBot="1">
      <c r="A28" s="1959">
        <v>3</v>
      </c>
      <c r="B28" s="1959">
        <v>7</v>
      </c>
      <c r="C28" s="1959">
        <v>6</v>
      </c>
      <c r="D28" s="1959">
        <v>6</v>
      </c>
      <c r="E28" s="1959">
        <v>5</v>
      </c>
      <c r="F28" s="1959">
        <v>6</v>
      </c>
      <c r="G28" s="1959">
        <v>4</v>
      </c>
      <c r="H28" s="1959">
        <v>4</v>
      </c>
      <c r="I28" s="1959">
        <v>6</v>
      </c>
      <c r="J28" s="1959">
        <v>4</v>
      </c>
      <c r="K28" s="1959">
        <v>4</v>
      </c>
      <c r="L28" s="1959">
        <v>5</v>
      </c>
      <c r="M28" s="1959">
        <v>5</v>
      </c>
      <c r="N28" s="1959">
        <v>5</v>
      </c>
      <c r="O28" s="1959">
        <v>2</v>
      </c>
      <c r="P28" s="1959">
        <v>4</v>
      </c>
      <c r="Q28" s="1959">
        <v>3</v>
      </c>
      <c r="R28" s="1959">
        <v>5</v>
      </c>
      <c r="S28" s="1959">
        <v>3</v>
      </c>
      <c r="T28" s="1959">
        <v>5</v>
      </c>
      <c r="U28" s="1959">
        <v>2</v>
      </c>
      <c r="V28" s="1959">
        <v>2</v>
      </c>
      <c r="W28" s="1959">
        <v>4</v>
      </c>
      <c r="X28" s="1959">
        <v>5</v>
      </c>
      <c r="Y28" s="1959">
        <v>5</v>
      </c>
      <c r="Z28" s="1959">
        <v>3</v>
      </c>
      <c r="AA28" s="1959">
        <v>5</v>
      </c>
      <c r="AB28" s="1959">
        <v>2</v>
      </c>
      <c r="AC28" s="1959">
        <v>5</v>
      </c>
      <c r="AD28" s="1959">
        <v>6</v>
      </c>
      <c r="AE28" s="3163">
        <v>6</v>
      </c>
      <c r="AF28" s="1991">
        <f>MAX(B28:AE28)</f>
        <v>7</v>
      </c>
      <c r="AG28" s="2023">
        <f t="shared" si="15"/>
        <v>137</v>
      </c>
      <c r="AH28" s="2032">
        <f>717-467</f>
        <v>250</v>
      </c>
      <c r="AI28" s="1940">
        <v>106</v>
      </c>
      <c r="AJ28" s="2036" t="s">
        <v>355</v>
      </c>
      <c r="AK28" s="2025">
        <v>0</v>
      </c>
      <c r="AL28" s="574">
        <f t="shared" si="6"/>
        <v>6</v>
      </c>
      <c r="AM28" s="2037"/>
      <c r="AN28" s="2025">
        <f t="shared" si="7"/>
        <v>137</v>
      </c>
      <c r="AO28" s="2078"/>
      <c r="AP28" s="2075">
        <f t="shared" si="16"/>
        <v>243</v>
      </c>
      <c r="AQ28" s="2085"/>
      <c r="AR28" s="2086"/>
      <c r="AS28" s="2078"/>
      <c r="AT28" s="744">
        <v>106</v>
      </c>
      <c r="AU28" s="2079">
        <v>132</v>
      </c>
      <c r="AV28" s="2074">
        <f t="shared" si="9"/>
        <v>6</v>
      </c>
      <c r="AW28" s="2022" t="s">
        <v>271</v>
      </c>
      <c r="AX28" s="2022"/>
      <c r="AY28" s="2006"/>
      <c r="AZ28" s="474" t="s">
        <v>271</v>
      </c>
      <c r="BA28" s="2126" t="s">
        <v>356</v>
      </c>
      <c r="BB28" s="2125">
        <v>7</v>
      </c>
      <c r="BC28" s="2125">
        <f t="shared" si="10"/>
        <v>138</v>
      </c>
      <c r="BD28" s="2690">
        <v>131</v>
      </c>
      <c r="BE28" s="133"/>
      <c r="BF28" s="2069"/>
      <c r="BG28" s="1968"/>
      <c r="BH28" s="2159" t="s">
        <v>271</v>
      </c>
      <c r="BJ28" s="2698"/>
      <c r="BK28" s="2157"/>
    </row>
    <row r="29" spans="1:66" ht="22.5" customHeight="1" thickBot="1">
      <c r="A29" s="1959">
        <f>A22</f>
        <v>1</v>
      </c>
      <c r="B29" s="1959">
        <f t="shared" ref="B29:AE29" si="17">B22</f>
        <v>0</v>
      </c>
      <c r="C29" s="1959">
        <f t="shared" si="17"/>
        <v>0</v>
      </c>
      <c r="D29" s="1959">
        <f t="shared" si="17"/>
        <v>0</v>
      </c>
      <c r="E29" s="1959">
        <f t="shared" si="17"/>
        <v>0</v>
      </c>
      <c r="F29" s="1959">
        <v>2</v>
      </c>
      <c r="G29" s="1959">
        <f t="shared" si="17"/>
        <v>1</v>
      </c>
      <c r="H29" s="1959">
        <f t="shared" si="17"/>
        <v>1</v>
      </c>
      <c r="I29" s="1959">
        <f t="shared" si="17"/>
        <v>2</v>
      </c>
      <c r="J29" s="1959">
        <f t="shared" si="17"/>
        <v>1</v>
      </c>
      <c r="K29" s="1959">
        <f t="shared" si="17"/>
        <v>1</v>
      </c>
      <c r="L29" s="1959">
        <f t="shared" si="17"/>
        <v>2</v>
      </c>
      <c r="M29" s="1959">
        <f t="shared" si="17"/>
        <v>1</v>
      </c>
      <c r="N29" s="1959">
        <f t="shared" si="17"/>
        <v>1</v>
      </c>
      <c r="O29" s="1959">
        <f t="shared" si="17"/>
        <v>2</v>
      </c>
      <c r="P29" s="1959">
        <f t="shared" si="17"/>
        <v>1</v>
      </c>
      <c r="Q29" s="1959">
        <f t="shared" si="17"/>
        <v>1</v>
      </c>
      <c r="R29" s="1959">
        <f t="shared" si="17"/>
        <v>1</v>
      </c>
      <c r="S29" s="1959">
        <f t="shared" si="17"/>
        <v>1</v>
      </c>
      <c r="T29" s="1959">
        <f t="shared" si="17"/>
        <v>0</v>
      </c>
      <c r="U29" s="1959">
        <f t="shared" si="17"/>
        <v>1</v>
      </c>
      <c r="V29" s="1959">
        <f t="shared" si="17"/>
        <v>1</v>
      </c>
      <c r="W29" s="1959">
        <f t="shared" si="17"/>
        <v>2</v>
      </c>
      <c r="X29" s="1959">
        <f t="shared" si="17"/>
        <v>2</v>
      </c>
      <c r="Y29" s="1959">
        <f t="shared" si="17"/>
        <v>1</v>
      </c>
      <c r="Z29" s="1959">
        <f t="shared" si="17"/>
        <v>2</v>
      </c>
      <c r="AA29" s="1959">
        <f t="shared" si="17"/>
        <v>2</v>
      </c>
      <c r="AB29" s="1959">
        <f t="shared" si="17"/>
        <v>2</v>
      </c>
      <c r="AC29" s="1959">
        <f t="shared" si="17"/>
        <v>2</v>
      </c>
      <c r="AD29" s="1959">
        <f t="shared" si="17"/>
        <v>2</v>
      </c>
      <c r="AE29" s="3163">
        <f t="shared" si="17"/>
        <v>2</v>
      </c>
      <c r="AF29" s="1991">
        <f>MAX(B29:AE29)</f>
        <v>2</v>
      </c>
      <c r="AG29" s="2023">
        <f t="shared" si="15"/>
        <v>38</v>
      </c>
      <c r="AH29" s="1145">
        <f>326-19.6</f>
        <v>306.39999999999998</v>
      </c>
      <c r="AI29" s="1940">
        <v>39</v>
      </c>
      <c r="AJ29" s="2036" t="s">
        <v>357</v>
      </c>
      <c r="AK29" s="2025">
        <v>0</v>
      </c>
      <c r="AL29" s="574">
        <f t="shared" si="6"/>
        <v>2</v>
      </c>
      <c r="AM29" s="2037"/>
      <c r="AN29" s="2025">
        <f t="shared" si="7"/>
        <v>38</v>
      </c>
      <c r="AO29" s="2078"/>
      <c r="AP29" s="2075">
        <v>69</v>
      </c>
      <c r="AQ29" s="2088"/>
      <c r="AR29" s="2086"/>
      <c r="AS29" s="2078"/>
      <c r="AT29" s="744">
        <v>39</v>
      </c>
      <c r="AU29" s="2089">
        <v>62</v>
      </c>
      <c r="AV29" s="2074">
        <f t="shared" si="9"/>
        <v>2</v>
      </c>
      <c r="AW29" s="2022" t="s">
        <v>271</v>
      </c>
      <c r="AX29" s="2022"/>
      <c r="AY29" s="2006"/>
      <c r="AZ29" s="474" t="s">
        <v>271</v>
      </c>
      <c r="BA29" s="2129" t="s">
        <v>358</v>
      </c>
      <c r="BB29" s="2125">
        <v>1</v>
      </c>
      <c r="BC29" s="2125">
        <v>15</v>
      </c>
      <c r="BD29" s="2690">
        <v>15</v>
      </c>
      <c r="BE29" s="1145">
        <f>SUM(BC18:BC28)</f>
        <v>178</v>
      </c>
      <c r="BF29" s="2069"/>
      <c r="BG29" s="133"/>
      <c r="BH29" s="2158">
        <f>+BH21</f>
        <v>31</v>
      </c>
      <c r="BI29" s="131">
        <f>BI21</f>
        <v>1</v>
      </c>
      <c r="BJ29" s="2700">
        <v>30</v>
      </c>
      <c r="BK29" s="2157">
        <f>BJ29+BI29</f>
        <v>31</v>
      </c>
    </row>
    <row r="30" spans="1:66" ht="22.5" customHeight="1" thickBot="1">
      <c r="A30" s="1961">
        <v>0</v>
      </c>
      <c r="B30" s="1961">
        <v>0</v>
      </c>
      <c r="C30" s="1961">
        <v>0</v>
      </c>
      <c r="D30" s="1961">
        <v>0</v>
      </c>
      <c r="E30" s="1961">
        <v>0</v>
      </c>
      <c r="F30" s="1961">
        <v>2</v>
      </c>
      <c r="G30" s="1961">
        <v>0</v>
      </c>
      <c r="H30" s="1961">
        <v>0</v>
      </c>
      <c r="I30" s="1961">
        <v>0</v>
      </c>
      <c r="J30" s="1961">
        <v>0</v>
      </c>
      <c r="K30" s="1961">
        <v>0</v>
      </c>
      <c r="L30" s="1961">
        <v>0</v>
      </c>
      <c r="M30" s="1961">
        <v>0</v>
      </c>
      <c r="N30" s="1961">
        <v>0</v>
      </c>
      <c r="O30" s="1961">
        <v>0</v>
      </c>
      <c r="P30" s="1961">
        <v>0</v>
      </c>
      <c r="Q30" s="1961">
        <v>0</v>
      </c>
      <c r="R30" s="1961">
        <v>0</v>
      </c>
      <c r="S30" s="1961">
        <v>0</v>
      </c>
      <c r="T30" s="1961">
        <v>0</v>
      </c>
      <c r="U30" s="1961">
        <v>0</v>
      </c>
      <c r="V30" s="1961">
        <v>0</v>
      </c>
      <c r="W30" s="1961">
        <v>0</v>
      </c>
      <c r="X30" s="1961">
        <v>0</v>
      </c>
      <c r="Y30" s="1961">
        <v>0</v>
      </c>
      <c r="Z30" s="1961">
        <v>0</v>
      </c>
      <c r="AA30" s="1961">
        <v>0</v>
      </c>
      <c r="AB30" s="1961">
        <v>0</v>
      </c>
      <c r="AC30" s="1961">
        <v>0</v>
      </c>
      <c r="AD30" s="1961">
        <v>0</v>
      </c>
      <c r="AE30" s="3165">
        <v>0</v>
      </c>
      <c r="AF30" s="1992">
        <f t="shared" ref="AF30:AF36" si="18">MAX(A30:AE30)</f>
        <v>2</v>
      </c>
      <c r="AG30" s="2038">
        <f t="shared" si="15"/>
        <v>2</v>
      </c>
      <c r="AH30" s="2039">
        <f>+AH33-AG32</f>
        <v>4063.8</v>
      </c>
      <c r="AI30" s="1940">
        <v>0</v>
      </c>
      <c r="AJ30" s="2040" t="s">
        <v>359</v>
      </c>
      <c r="AK30" s="2025">
        <v>1</v>
      </c>
      <c r="AL30" s="574">
        <f t="shared" si="6"/>
        <v>0</v>
      </c>
      <c r="AM30" s="2041" t="s">
        <v>271</v>
      </c>
      <c r="AN30" s="2025">
        <f t="shared" si="7"/>
        <v>2</v>
      </c>
      <c r="AO30" s="2090"/>
      <c r="AP30" s="2075">
        <f t="shared" si="16"/>
        <v>2</v>
      </c>
      <c r="AQ30" s="2091" t="s">
        <v>271</v>
      </c>
      <c r="AR30" s="2092" t="s">
        <v>271</v>
      </c>
      <c r="AS30" s="2090" t="s">
        <v>271</v>
      </c>
      <c r="AT30" s="2083">
        <v>0</v>
      </c>
      <c r="AU30" s="2093">
        <v>1</v>
      </c>
      <c r="AV30" s="2074">
        <f t="shared" si="9"/>
        <v>0</v>
      </c>
      <c r="AW30" s="2015" t="s">
        <v>271</v>
      </c>
      <c r="AX30" s="2015"/>
      <c r="AY30" s="2118"/>
      <c r="AZ30" s="2130" t="s">
        <v>271</v>
      </c>
      <c r="BA30" s="2126" t="s">
        <v>360</v>
      </c>
      <c r="BB30" s="3160">
        <f>SUM(BB18:BB29)</f>
        <v>8</v>
      </c>
      <c r="BC30" s="2125">
        <f t="shared" si="10"/>
        <v>204</v>
      </c>
      <c r="BD30" s="2690">
        <v>196</v>
      </c>
      <c r="BE30" s="133"/>
      <c r="BF30" s="2069"/>
      <c r="BG30" s="1968"/>
      <c r="BH30" s="2159" t="s">
        <v>271</v>
      </c>
      <c r="BJ30" s="2700"/>
      <c r="BK30" s="2157"/>
    </row>
    <row r="31" spans="1:66" ht="21.75" customHeight="1" thickBot="1">
      <c r="A31" s="1959">
        <v>500.18599999999998</v>
      </c>
      <c r="B31" s="1959">
        <v>488.60599999999999</v>
      </c>
      <c r="C31" s="1959">
        <v>260.5</v>
      </c>
      <c r="D31" s="1959">
        <v>457.4</v>
      </c>
      <c r="E31" s="1959">
        <v>526.86199999999997</v>
      </c>
      <c r="F31" s="1959">
        <v>458.10599999999999</v>
      </c>
      <c r="G31" s="1959">
        <v>300</v>
      </c>
      <c r="H31" s="1959">
        <v>460.10599999999999</v>
      </c>
      <c r="I31" s="1959">
        <v>602.67100000000005</v>
      </c>
      <c r="J31" s="1959">
        <v>244.60599999999999</v>
      </c>
      <c r="K31" s="1959">
        <v>462.35599999999999</v>
      </c>
      <c r="L31" s="1959">
        <v>452</v>
      </c>
      <c r="M31" s="1959">
        <v>476.56200000000001</v>
      </c>
      <c r="N31" s="1959">
        <v>266.64999999999998</v>
      </c>
      <c r="O31" s="1959">
        <v>502.31200000000001</v>
      </c>
      <c r="P31" s="1959">
        <v>463.01799999999997</v>
      </c>
      <c r="Q31" s="1959">
        <v>192.1</v>
      </c>
      <c r="R31" s="1959">
        <v>503.72399999999999</v>
      </c>
      <c r="S31" s="1959">
        <v>376.85599999999999</v>
      </c>
      <c r="T31" s="1959">
        <v>342.37299999999999</v>
      </c>
      <c r="U31" s="1959">
        <v>229.7</v>
      </c>
      <c r="V31" s="1959">
        <v>457.37</v>
      </c>
      <c r="W31" s="1959">
        <v>214.51499999999999</v>
      </c>
      <c r="X31" s="1959">
        <v>179.6</v>
      </c>
      <c r="Y31" s="1959">
        <v>528.85</v>
      </c>
      <c r="Z31" s="1959">
        <v>569.30999999999995</v>
      </c>
      <c r="AA31" s="1959">
        <v>471.512</v>
      </c>
      <c r="AB31" s="1959">
        <v>300.60599999999999</v>
      </c>
      <c r="AC31" s="1959">
        <v>440.99099999999999</v>
      </c>
      <c r="AD31" s="1959">
        <v>652.98</v>
      </c>
      <c r="AE31" s="3163">
        <v>361.28100000000001</v>
      </c>
      <c r="AF31" s="1993">
        <f t="shared" si="18"/>
        <v>652.98</v>
      </c>
      <c r="AG31" s="2028">
        <f t="shared" si="15"/>
        <v>12743.709000000001</v>
      </c>
      <c r="AH31" s="2032">
        <f>4413.8+1820.6</f>
        <v>6234.4</v>
      </c>
      <c r="AI31" s="1940">
        <v>12805.689999999997</v>
      </c>
      <c r="AJ31" s="2042" t="s">
        <v>361</v>
      </c>
      <c r="AK31" s="2025">
        <f>AQ31/BH31*BI31</f>
        <v>230.69811320754718</v>
      </c>
      <c r="AL31" s="574">
        <f t="shared" si="6"/>
        <v>361.28100000000001</v>
      </c>
      <c r="AM31" s="2037">
        <f>SUM(AQ31/BH31*BK31)</f>
        <v>12227</v>
      </c>
      <c r="AN31" s="2025">
        <f t="shared" si="7"/>
        <v>12743.709000000001</v>
      </c>
      <c r="AO31" s="2035">
        <f>+AN31/AM31*100</f>
        <v>104.22596712194326</v>
      </c>
      <c r="AP31" s="2094">
        <f>AI31+AN31</f>
        <v>25549.398999999998</v>
      </c>
      <c r="AQ31" s="2026">
        <v>12227</v>
      </c>
      <c r="AR31" s="2071">
        <f>AN31*BH31/BK31</f>
        <v>12743.709000000001</v>
      </c>
      <c r="AS31" s="2035">
        <f>SUM(AR31*100/AQ31)</f>
        <v>104.22596712194326</v>
      </c>
      <c r="AT31" s="2072">
        <v>12805.689999999997</v>
      </c>
      <c r="AU31" s="2073">
        <v>12737.397999999999</v>
      </c>
      <c r="AV31" s="2074">
        <f t="shared" si="9"/>
        <v>652.98</v>
      </c>
      <c r="AW31" s="2069">
        <v>15538</v>
      </c>
      <c r="AX31" s="1973" t="s">
        <v>362</v>
      </c>
      <c r="AY31" s="2002">
        <v>154538</v>
      </c>
      <c r="AZ31" s="2414" t="s">
        <v>158</v>
      </c>
      <c r="BA31" s="2129" t="s">
        <v>363</v>
      </c>
      <c r="BB31" s="2125">
        <f>BB30+BB17</f>
        <v>8</v>
      </c>
      <c r="BC31" s="2125">
        <f>+BC30+BC17</f>
        <v>215</v>
      </c>
      <c r="BD31" s="2690">
        <v>207</v>
      </c>
      <c r="BE31" s="133">
        <f>SUM(BD12:BD29)</f>
        <v>207</v>
      </c>
      <c r="BF31" s="2069"/>
      <c r="BG31" s="1968">
        <f>BH31-BK31</f>
        <v>0</v>
      </c>
      <c r="BH31" s="2160">
        <v>26.5</v>
      </c>
      <c r="BI31" s="131">
        <f>+BI4</f>
        <v>0.5</v>
      </c>
      <c r="BJ31" s="2700">
        <v>26</v>
      </c>
      <c r="BK31" s="2157">
        <f>BJ31+BI31</f>
        <v>26.5</v>
      </c>
    </row>
    <row r="32" spans="1:66" ht="24" customHeight="1" thickBot="1">
      <c r="A32" s="1959">
        <v>175</v>
      </c>
      <c r="B32" s="1959">
        <v>138</v>
      </c>
      <c r="C32" s="1959">
        <v>70</v>
      </c>
      <c r="D32" s="1959">
        <v>123</v>
      </c>
      <c r="E32" s="1959">
        <v>153</v>
      </c>
      <c r="F32" s="1959">
        <v>128</v>
      </c>
      <c r="G32" s="1959">
        <v>80</v>
      </c>
      <c r="H32" s="1959">
        <v>128</v>
      </c>
      <c r="I32" s="1959">
        <v>177</v>
      </c>
      <c r="J32" s="1959">
        <v>81</v>
      </c>
      <c r="K32" s="1959">
        <v>172</v>
      </c>
      <c r="L32" s="1959">
        <v>164</v>
      </c>
      <c r="M32" s="1959">
        <v>136</v>
      </c>
      <c r="N32" s="1959">
        <v>70</v>
      </c>
      <c r="O32" s="1959">
        <v>146</v>
      </c>
      <c r="P32" s="1959">
        <v>142</v>
      </c>
      <c r="Q32" s="1959">
        <v>50</v>
      </c>
      <c r="R32" s="1959">
        <v>162</v>
      </c>
      <c r="S32" s="1959">
        <v>127</v>
      </c>
      <c r="T32" s="1959">
        <v>115</v>
      </c>
      <c r="U32" s="1959">
        <v>68</v>
      </c>
      <c r="V32" s="1959">
        <v>163</v>
      </c>
      <c r="W32" s="1959">
        <v>76</v>
      </c>
      <c r="X32" s="1959">
        <v>56</v>
      </c>
      <c r="Y32" s="1959">
        <v>169</v>
      </c>
      <c r="Z32" s="1959">
        <v>175</v>
      </c>
      <c r="AA32" s="1959">
        <v>136</v>
      </c>
      <c r="AB32" s="1959">
        <v>88</v>
      </c>
      <c r="AC32" s="1959">
        <v>136</v>
      </c>
      <c r="AD32" s="1959">
        <v>190</v>
      </c>
      <c r="AE32" s="3163">
        <v>113</v>
      </c>
      <c r="AF32" s="1993">
        <f t="shared" si="18"/>
        <v>190</v>
      </c>
      <c r="AG32" s="2023">
        <f t="shared" si="15"/>
        <v>3907</v>
      </c>
      <c r="AH32" s="2043">
        <v>7531.7</v>
      </c>
      <c r="AI32" s="1940">
        <v>4003</v>
      </c>
      <c r="AJ32" s="2027" t="s">
        <v>364</v>
      </c>
      <c r="AK32" s="2025"/>
      <c r="AL32" s="574">
        <f t="shared" si="6"/>
        <v>113</v>
      </c>
      <c r="AM32" s="2037"/>
      <c r="AN32" s="2025">
        <f t="shared" si="7"/>
        <v>3907</v>
      </c>
      <c r="AO32" s="2078"/>
      <c r="AP32" s="2094">
        <f t="shared" ref="AP32:AP42" si="19">AI32+AN32</f>
        <v>7910</v>
      </c>
      <c r="AQ32" s="2085"/>
      <c r="AR32" s="2077"/>
      <c r="AS32" s="2078"/>
      <c r="AT32" s="2074">
        <v>4003</v>
      </c>
      <c r="AU32" s="2079">
        <v>3727</v>
      </c>
      <c r="AV32" s="2074">
        <f t="shared" si="9"/>
        <v>190</v>
      </c>
      <c r="AW32" s="2022" t="s">
        <v>271</v>
      </c>
      <c r="AX32" s="1968"/>
      <c r="AY32" s="2006"/>
      <c r="AZ32" s="132" t="s">
        <v>271</v>
      </c>
      <c r="BA32" s="344"/>
      <c r="BB32" s="366"/>
      <c r="BC32" s="2131"/>
      <c r="BD32" s="1968"/>
      <c r="BE32" s="133"/>
      <c r="BF32" s="2069"/>
      <c r="BG32" s="1968"/>
      <c r="BH32" s="2159"/>
      <c r="BJ32" s="2700"/>
      <c r="BK32" s="2157"/>
    </row>
    <row r="33" spans="1:66" ht="18.95" customHeight="1" thickBot="1">
      <c r="A33" s="1961">
        <v>0</v>
      </c>
      <c r="B33" s="1961">
        <v>437</v>
      </c>
      <c r="C33" s="1961">
        <v>0</v>
      </c>
      <c r="D33" s="1961">
        <v>435</v>
      </c>
      <c r="E33" s="1961">
        <v>383</v>
      </c>
      <c r="F33" s="1961">
        <v>600</v>
      </c>
      <c r="G33" s="1961">
        <v>680</v>
      </c>
      <c r="H33" s="1961">
        <f>3021.4-2535</f>
        <v>486.40000000000009</v>
      </c>
      <c r="I33" s="1961">
        <v>425</v>
      </c>
      <c r="J33" s="1961">
        <v>0</v>
      </c>
      <c r="K33" s="1961">
        <f>4825.3-4274.4</f>
        <v>550.90000000000055</v>
      </c>
      <c r="L33" s="1961">
        <v>413</v>
      </c>
      <c r="M33" s="1961">
        <v>415</v>
      </c>
      <c r="N33" s="1961">
        <v>368</v>
      </c>
      <c r="O33" s="1961">
        <v>393</v>
      </c>
      <c r="P33" s="1961">
        <v>434</v>
      </c>
      <c r="Q33" s="1961">
        <v>0</v>
      </c>
      <c r="R33" s="1961">
        <v>416</v>
      </c>
      <c r="S33" s="1961">
        <v>375</v>
      </c>
      <c r="T33" s="1961">
        <v>261</v>
      </c>
      <c r="U33" s="1961">
        <v>318</v>
      </c>
      <c r="V33" s="1961">
        <v>0</v>
      </c>
      <c r="W33" s="1961">
        <v>334</v>
      </c>
      <c r="X33" s="1961">
        <f>10289.4-9202.3</f>
        <v>1087.1000000000004</v>
      </c>
      <c r="Y33" s="1961">
        <v>355</v>
      </c>
      <c r="Z33" s="1961">
        <v>363</v>
      </c>
      <c r="AA33" s="1961">
        <v>418</v>
      </c>
      <c r="AB33" s="1961">
        <v>342</v>
      </c>
      <c r="AC33" s="1961">
        <v>475</v>
      </c>
      <c r="AD33" s="1961">
        <v>465</v>
      </c>
      <c r="AE33" s="3165">
        <v>454</v>
      </c>
      <c r="AF33" s="1991">
        <f t="shared" si="18"/>
        <v>1087.1000000000004</v>
      </c>
      <c r="AG33" s="2028">
        <f t="shared" si="15"/>
        <v>11683.400000000001</v>
      </c>
      <c r="AH33" s="2032">
        <v>7970.8</v>
      </c>
      <c r="AI33" s="1940">
        <v>10724.6</v>
      </c>
      <c r="AJ33" s="2033" t="s">
        <v>365</v>
      </c>
      <c r="AK33" s="2025">
        <v>259</v>
      </c>
      <c r="AL33" s="574">
        <f t="shared" si="6"/>
        <v>454</v>
      </c>
      <c r="AM33" s="2041" t="s">
        <v>271</v>
      </c>
      <c r="AN33" s="2025">
        <f t="shared" si="7"/>
        <v>11683.400000000001</v>
      </c>
      <c r="AO33" s="2090"/>
      <c r="AP33" s="2094">
        <f t="shared" si="19"/>
        <v>22408</v>
      </c>
      <c r="AQ33" s="2091" t="s">
        <v>271</v>
      </c>
      <c r="AR33" s="2095"/>
      <c r="AS33" s="2090"/>
      <c r="AT33" s="2083">
        <v>10724.6</v>
      </c>
      <c r="AU33" s="2093">
        <v>11072.8</v>
      </c>
      <c r="AV33" s="2074">
        <f t="shared" si="9"/>
        <v>465</v>
      </c>
      <c r="AW33" s="2015"/>
      <c r="AX33" s="2119"/>
      <c r="AY33" s="2118"/>
      <c r="AZ33" s="138" t="s">
        <v>271</v>
      </c>
      <c r="BA33" s="2825" t="s">
        <v>366</v>
      </c>
      <c r="BB33" s="2826"/>
      <c r="BC33" s="2824"/>
      <c r="BD33" s="1968"/>
      <c r="BE33" s="133"/>
      <c r="BF33" s="2069"/>
      <c r="BG33" s="2161"/>
      <c r="BH33" s="2159" t="s">
        <v>271</v>
      </c>
      <c r="BJ33" s="2700"/>
      <c r="BK33" s="2157"/>
      <c r="BN33" s="1940">
        <f>10539/18*26.5</f>
        <v>15515.75</v>
      </c>
    </row>
    <row r="34" spans="1:66" ht="18.95" customHeight="1" thickBot="1">
      <c r="A34" s="1959">
        <v>429.02100000000002</v>
      </c>
      <c r="B34" s="1959">
        <v>425.65899999999999</v>
      </c>
      <c r="C34" s="1959">
        <v>226.596</v>
      </c>
      <c r="D34" s="1959">
        <v>395.48</v>
      </c>
      <c r="E34" s="1959">
        <v>470.15100000000001</v>
      </c>
      <c r="F34" s="1959">
        <v>403.26600000000002</v>
      </c>
      <c r="G34" s="1959">
        <v>259.51900000000001</v>
      </c>
      <c r="H34" s="1959">
        <v>323.00700000000001</v>
      </c>
      <c r="I34" s="1959">
        <v>494.63200000000001</v>
      </c>
      <c r="J34" s="1959">
        <v>209.922</v>
      </c>
      <c r="K34" s="1959">
        <v>415.95299999999997</v>
      </c>
      <c r="L34" s="1959">
        <v>402.94299999999998</v>
      </c>
      <c r="M34" s="1959">
        <v>423.76400000000001</v>
      </c>
      <c r="N34" s="1959">
        <v>229.946</v>
      </c>
      <c r="O34" s="1959">
        <v>442.15899999999999</v>
      </c>
      <c r="P34" s="1959">
        <v>414.81900000000002</v>
      </c>
      <c r="Q34" s="1959">
        <v>165.50800000000001</v>
      </c>
      <c r="R34" s="1959">
        <v>448.07900000000001</v>
      </c>
      <c r="S34" s="1959">
        <v>337.18299999999999</v>
      </c>
      <c r="T34" s="1959">
        <v>308.38400000000001</v>
      </c>
      <c r="U34" s="1959">
        <v>193.17500000000001</v>
      </c>
      <c r="V34" s="1959">
        <v>363.06599999999997</v>
      </c>
      <c r="W34" s="1959">
        <v>191</v>
      </c>
      <c r="X34" s="1959">
        <v>159.678</v>
      </c>
      <c r="Y34" s="1959">
        <v>469.11200000000002</v>
      </c>
      <c r="Z34" s="1959">
        <v>504.839</v>
      </c>
      <c r="AA34" s="1959">
        <v>417.48200000000003</v>
      </c>
      <c r="AB34" s="1959">
        <v>266.08300000000003</v>
      </c>
      <c r="AC34" s="1959">
        <v>321.91199999999998</v>
      </c>
      <c r="AD34" s="1959">
        <v>532.83100000000002</v>
      </c>
      <c r="AE34" s="3163">
        <v>321.48899999999998</v>
      </c>
      <c r="AF34" s="1991">
        <f t="shared" si="18"/>
        <v>532.83100000000002</v>
      </c>
      <c r="AG34" s="2028">
        <f t="shared" si="15"/>
        <v>10966.657999999999</v>
      </c>
      <c r="AH34" s="2032">
        <f>AG35+AG36</f>
        <v>315</v>
      </c>
      <c r="AI34" s="1940">
        <v>11198.83</v>
      </c>
      <c r="AJ34" s="2034" t="s">
        <v>367</v>
      </c>
      <c r="AK34" s="2025">
        <f t="shared" ref="AK34:AK40" si="20">AQ34/BH34*BI34</f>
        <v>197.79245283018867</v>
      </c>
      <c r="AL34" s="574">
        <f t="shared" si="6"/>
        <v>321.48899999999998</v>
      </c>
      <c r="AM34" s="2026">
        <f t="shared" ref="AM34:AM40" si="21">SUM(AQ34/BH34*BK34)</f>
        <v>10483</v>
      </c>
      <c r="AN34" s="2025">
        <f t="shared" si="7"/>
        <v>10966.657999999999</v>
      </c>
      <c r="AO34" s="2035">
        <f>+AN34/AM34*100</f>
        <v>104.61373652580367</v>
      </c>
      <c r="AP34" s="2094">
        <f t="shared" si="19"/>
        <v>22165.487999999998</v>
      </c>
      <c r="AQ34" s="2026">
        <v>10483</v>
      </c>
      <c r="AR34" s="2071">
        <f t="shared" ref="AR34:AR39" si="22">AN34*BH34/BK34</f>
        <v>10966.657999999999</v>
      </c>
      <c r="AS34" s="2035">
        <f>SUM(AR34*100/AQ34)</f>
        <v>104.61373652580369</v>
      </c>
      <c r="AT34" s="2072">
        <v>11198.83</v>
      </c>
      <c r="AU34" s="2073">
        <v>10869.644</v>
      </c>
      <c r="AV34" s="2074">
        <f t="shared" si="9"/>
        <v>532.83100000000002</v>
      </c>
      <c r="AW34" s="2069">
        <v>12883</v>
      </c>
      <c r="AX34" s="1973" t="s">
        <v>362</v>
      </c>
      <c r="AY34" s="2002">
        <v>119996</v>
      </c>
      <c r="AZ34" s="2414" t="s">
        <v>166</v>
      </c>
      <c r="BA34" s="2013"/>
      <c r="BB34" s="610">
        <v>0</v>
      </c>
      <c r="BC34" s="2069">
        <f>+BD34+BB34</f>
        <v>0</v>
      </c>
      <c r="BD34" s="1968">
        <v>0</v>
      </c>
      <c r="BE34" s="133"/>
      <c r="BF34" s="2069"/>
      <c r="BG34" s="1968">
        <f>BH34-BK34</f>
        <v>0</v>
      </c>
      <c r="BH34" s="2160">
        <f>+BH31</f>
        <v>26.5</v>
      </c>
      <c r="BI34" s="131">
        <f>BI31</f>
        <v>0.5</v>
      </c>
      <c r="BJ34" s="2700">
        <v>26</v>
      </c>
      <c r="BK34" s="2157">
        <f t="shared" ref="BK34:BM40" si="23">BJ34+BI34</f>
        <v>26.5</v>
      </c>
    </row>
    <row r="35" spans="1:66" ht="18" customHeight="1" thickBot="1">
      <c r="A35" s="1959">
        <v>16</v>
      </c>
      <c r="B35" s="1959">
        <v>18.8</v>
      </c>
      <c r="C35" s="1959">
        <v>0</v>
      </c>
      <c r="D35" s="1959">
        <v>18.8</v>
      </c>
      <c r="E35" s="1959">
        <v>16</v>
      </c>
      <c r="F35" s="1959">
        <v>24</v>
      </c>
      <c r="G35" s="1959">
        <v>5.5750000000000002</v>
      </c>
      <c r="H35" s="1959">
        <v>5.2249999999999996</v>
      </c>
      <c r="I35" s="1959">
        <v>0</v>
      </c>
      <c r="J35" s="1959">
        <v>0</v>
      </c>
      <c r="K35" s="1959">
        <v>0</v>
      </c>
      <c r="L35" s="1959">
        <v>0</v>
      </c>
      <c r="M35" s="1959">
        <v>0</v>
      </c>
      <c r="N35" s="1959">
        <v>9.0299999999999994</v>
      </c>
      <c r="O35" s="1959">
        <v>0</v>
      </c>
      <c r="P35" s="1959">
        <v>0</v>
      </c>
      <c r="Q35" s="1959">
        <v>19.79</v>
      </c>
      <c r="R35" s="1959">
        <v>0</v>
      </c>
      <c r="S35" s="1959">
        <v>0</v>
      </c>
      <c r="T35" s="1959">
        <v>0</v>
      </c>
      <c r="U35" s="1959">
        <v>0</v>
      </c>
      <c r="V35" s="1959">
        <v>0</v>
      </c>
      <c r="W35" s="1959">
        <v>18.8</v>
      </c>
      <c r="X35" s="1959">
        <v>0</v>
      </c>
      <c r="Y35" s="1959">
        <v>19.2</v>
      </c>
      <c r="Z35" s="1959">
        <v>19.8</v>
      </c>
      <c r="AA35" s="1959">
        <v>20.399999999999999</v>
      </c>
      <c r="AB35" s="1959">
        <v>20.399999999999999</v>
      </c>
      <c r="AC35" s="1959">
        <v>19.2</v>
      </c>
      <c r="AD35" s="1959">
        <v>19.8</v>
      </c>
      <c r="AE35" s="3163">
        <v>0</v>
      </c>
      <c r="AF35" s="1991">
        <f t="shared" si="18"/>
        <v>24</v>
      </c>
      <c r="AG35" s="2023">
        <f t="shared" si="15"/>
        <v>270.82</v>
      </c>
      <c r="AH35" s="2032">
        <f>458.55-455.09</f>
        <v>3.4600000000000364</v>
      </c>
      <c r="AI35" s="1940">
        <v>296.79000000000002</v>
      </c>
      <c r="AJ35" s="2036" t="s">
        <v>368</v>
      </c>
      <c r="AK35" s="2025">
        <f t="shared" si="20"/>
        <v>15.384615384615385</v>
      </c>
      <c r="AL35" s="574">
        <f t="shared" si="6"/>
        <v>0</v>
      </c>
      <c r="AM35" s="2026">
        <f t="shared" si="21"/>
        <v>400</v>
      </c>
      <c r="AN35" s="2025">
        <f t="shared" si="7"/>
        <v>270.82</v>
      </c>
      <c r="AO35" s="2078">
        <f t="shared" ref="AO35:AO42" si="24">+AN35/AM35*100</f>
        <v>67.704999999999998</v>
      </c>
      <c r="AP35" s="2094">
        <f t="shared" si="19"/>
        <v>567.61</v>
      </c>
      <c r="AQ35" s="2026">
        <v>400</v>
      </c>
      <c r="AR35" s="2071">
        <f t="shared" si="22"/>
        <v>270.82</v>
      </c>
      <c r="AS35" s="2035">
        <f>SUM(AR35*100/AQ35)</f>
        <v>67.704999999999998</v>
      </c>
      <c r="AT35" s="744">
        <v>296.79000000000002</v>
      </c>
      <c r="AU35" s="2079">
        <v>332.81899999999985</v>
      </c>
      <c r="AV35" s="2074">
        <f t="shared" si="9"/>
        <v>19.8</v>
      </c>
      <c r="AW35" s="2022" t="s">
        <v>271</v>
      </c>
      <c r="AX35" s="2132"/>
      <c r="AY35" s="2006"/>
      <c r="AZ35" s="132"/>
      <c r="BA35" s="2017" t="s">
        <v>369</v>
      </c>
      <c r="BB35" s="1968">
        <v>222.22</v>
      </c>
      <c r="BC35" s="2133">
        <f>BB35+BD35</f>
        <v>5161.1000000000013</v>
      </c>
      <c r="BD35" s="2690">
        <v>4938.880000000001</v>
      </c>
      <c r="BE35" s="133"/>
      <c r="BF35" s="2069"/>
      <c r="BG35" s="2132"/>
      <c r="BH35" s="2160">
        <v>26</v>
      </c>
      <c r="BI35" s="131">
        <v>1</v>
      </c>
      <c r="BJ35" s="2700">
        <v>25</v>
      </c>
      <c r="BK35" s="2157">
        <f t="shared" si="23"/>
        <v>26</v>
      </c>
      <c r="BM35" s="2157">
        <f>BL35+BK35</f>
        <v>26</v>
      </c>
    </row>
    <row r="36" spans="1:66" ht="18.95" customHeight="1" thickBot="1">
      <c r="A36" s="1959">
        <v>8.75</v>
      </c>
      <c r="B36" s="1959">
        <v>5.94</v>
      </c>
      <c r="C36" s="1959">
        <v>0</v>
      </c>
      <c r="D36" s="1959">
        <v>0</v>
      </c>
      <c r="E36" s="1959">
        <v>0</v>
      </c>
      <c r="F36" s="1959">
        <v>0</v>
      </c>
      <c r="G36" s="1959">
        <v>0</v>
      </c>
      <c r="H36" s="1959">
        <v>0</v>
      </c>
      <c r="I36" s="1959">
        <v>0</v>
      </c>
      <c r="J36" s="1959">
        <v>0</v>
      </c>
      <c r="K36" s="1959">
        <v>9.81</v>
      </c>
      <c r="L36" s="1959">
        <v>8.2579999999999991</v>
      </c>
      <c r="M36" s="1959">
        <v>0</v>
      </c>
      <c r="N36" s="1959">
        <v>0</v>
      </c>
      <c r="O36" s="1959">
        <v>5.4320000000000004</v>
      </c>
      <c r="P36" s="1959">
        <v>5.99</v>
      </c>
      <c r="Q36" s="1959">
        <v>0</v>
      </c>
      <c r="R36" s="1959">
        <v>0</v>
      </c>
      <c r="S36" s="1959">
        <v>0</v>
      </c>
      <c r="T36" s="1959">
        <v>0</v>
      </c>
      <c r="U36" s="1959">
        <v>0</v>
      </c>
      <c r="V36" s="1959">
        <v>0</v>
      </c>
      <c r="W36" s="1959">
        <v>0</v>
      </c>
      <c r="X36" s="1959">
        <v>0</v>
      </c>
      <c r="Y36" s="1959">
        <v>0</v>
      </c>
      <c r="Z36" s="1959">
        <v>0</v>
      </c>
      <c r="AA36" s="1959">
        <v>0</v>
      </c>
      <c r="AB36" s="1959">
        <v>0</v>
      </c>
      <c r="AC36" s="1959">
        <v>0</v>
      </c>
      <c r="AD36" s="1959">
        <v>0</v>
      </c>
      <c r="AE36" s="3163">
        <v>0</v>
      </c>
      <c r="AF36" s="1991">
        <f t="shared" si="18"/>
        <v>9.81</v>
      </c>
      <c r="AG36" s="2023">
        <f t="shared" si="15"/>
        <v>44.18</v>
      </c>
      <c r="AH36" s="2044">
        <f>+AG35+AG36</f>
        <v>315</v>
      </c>
      <c r="AI36" s="1940">
        <v>34.719999999999992</v>
      </c>
      <c r="AJ36" s="2036" t="s">
        <v>370</v>
      </c>
      <c r="AK36" s="2025">
        <f t="shared" si="20"/>
        <v>8.7307692307692299</v>
      </c>
      <c r="AL36" s="574">
        <f t="shared" si="6"/>
        <v>0</v>
      </c>
      <c r="AM36" s="2026">
        <f t="shared" si="21"/>
        <v>226.99999999999997</v>
      </c>
      <c r="AN36" s="2025">
        <f t="shared" si="7"/>
        <v>44.18</v>
      </c>
      <c r="AO36" s="2078">
        <f t="shared" si="24"/>
        <v>19.462555066079297</v>
      </c>
      <c r="AP36" s="2094">
        <f t="shared" si="19"/>
        <v>78.899999999999991</v>
      </c>
      <c r="AQ36" s="2026">
        <v>227</v>
      </c>
      <c r="AR36" s="2071">
        <f t="shared" si="22"/>
        <v>44.18</v>
      </c>
      <c r="AS36" s="2035">
        <f>SUM(AR36*100/AQ36)</f>
        <v>19.462555066079297</v>
      </c>
      <c r="AT36" s="744">
        <v>34.719999999999992</v>
      </c>
      <c r="AU36" s="2096">
        <v>44.76</v>
      </c>
      <c r="AV36" s="2074">
        <f t="shared" si="9"/>
        <v>0</v>
      </c>
      <c r="AW36" s="2022">
        <v>1113</v>
      </c>
      <c r="AX36" s="2132" t="s">
        <v>371</v>
      </c>
      <c r="AY36" s="2006">
        <v>10524</v>
      </c>
      <c r="AZ36" s="2418" t="s">
        <v>372</v>
      </c>
      <c r="BA36" s="2017" t="s">
        <v>373</v>
      </c>
      <c r="BB36" s="1968">
        <v>0</v>
      </c>
      <c r="BC36" s="2133">
        <f>+BD36+BB36</f>
        <v>187.68</v>
      </c>
      <c r="BD36" s="2690">
        <v>187.68</v>
      </c>
      <c r="BE36" s="133"/>
      <c r="BF36" s="2069"/>
      <c r="BG36" s="2132"/>
      <c r="BH36" s="2160">
        <v>26</v>
      </c>
      <c r="BI36" s="131">
        <v>1</v>
      </c>
      <c r="BJ36" s="2773">
        <v>25</v>
      </c>
      <c r="BK36" s="2157">
        <f t="shared" si="23"/>
        <v>26</v>
      </c>
      <c r="BL36" s="1945"/>
      <c r="BM36" s="2157"/>
    </row>
    <row r="37" spans="1:66" ht="18.95" customHeight="1" thickBot="1">
      <c r="A37" s="1959">
        <v>0</v>
      </c>
      <c r="B37" s="1959">
        <v>0</v>
      </c>
      <c r="C37" s="1959">
        <v>0</v>
      </c>
      <c r="D37" s="1959">
        <v>0</v>
      </c>
      <c r="E37" s="1959">
        <v>0</v>
      </c>
      <c r="F37" s="1959">
        <v>0</v>
      </c>
      <c r="G37" s="1959">
        <v>0</v>
      </c>
      <c r="H37" s="1959">
        <v>0</v>
      </c>
      <c r="I37" s="1959">
        <v>0</v>
      </c>
      <c r="J37" s="1959">
        <v>0</v>
      </c>
      <c r="K37" s="1959">
        <v>0</v>
      </c>
      <c r="L37" s="1959">
        <v>0</v>
      </c>
      <c r="M37" s="1959">
        <v>0</v>
      </c>
      <c r="N37" s="1959">
        <v>0</v>
      </c>
      <c r="O37" s="1959">
        <v>0</v>
      </c>
      <c r="P37" s="1959">
        <v>0</v>
      </c>
      <c r="Q37" s="1959">
        <v>0</v>
      </c>
      <c r="R37" s="1959">
        <v>0</v>
      </c>
      <c r="S37" s="1959">
        <v>0</v>
      </c>
      <c r="T37" s="1959">
        <v>0</v>
      </c>
      <c r="U37" s="1959">
        <v>0</v>
      </c>
      <c r="V37" s="1959">
        <v>0</v>
      </c>
      <c r="W37" s="1959">
        <v>0</v>
      </c>
      <c r="X37" s="1959">
        <v>0</v>
      </c>
      <c r="Y37" s="1959">
        <v>0</v>
      </c>
      <c r="Z37" s="1959">
        <v>0</v>
      </c>
      <c r="AA37" s="1959">
        <v>0</v>
      </c>
      <c r="AB37" s="1959">
        <v>0</v>
      </c>
      <c r="AC37" s="1959">
        <v>0</v>
      </c>
      <c r="AD37" s="1959">
        <v>0</v>
      </c>
      <c r="AE37" s="3163">
        <v>0</v>
      </c>
      <c r="AF37" s="1991">
        <f>MAX(A37:AE37)</f>
        <v>0</v>
      </c>
      <c r="AG37" s="2023">
        <f t="shared" si="15"/>
        <v>0</v>
      </c>
      <c r="AH37" s="2045">
        <f>+AH36+8.47</f>
        <v>323.47000000000003</v>
      </c>
      <c r="AI37" s="1940">
        <v>0</v>
      </c>
      <c r="AJ37" s="2036" t="s">
        <v>374</v>
      </c>
      <c r="AK37" s="2025">
        <f t="shared" si="20"/>
        <v>0</v>
      </c>
      <c r="AL37" s="574">
        <f t="shared" si="6"/>
        <v>0</v>
      </c>
      <c r="AM37" s="2026">
        <f t="shared" si="21"/>
        <v>0</v>
      </c>
      <c r="AN37" s="2025">
        <f t="shared" si="7"/>
        <v>0</v>
      </c>
      <c r="AO37" s="2078"/>
      <c r="AP37" s="2094">
        <f t="shared" si="19"/>
        <v>0</v>
      </c>
      <c r="AQ37" s="2026"/>
      <c r="AR37" s="2071">
        <f t="shared" si="22"/>
        <v>0</v>
      </c>
      <c r="AS37" s="2078"/>
      <c r="AT37" s="744">
        <v>0</v>
      </c>
      <c r="AU37" s="2079">
        <v>0</v>
      </c>
      <c r="AV37" s="2074">
        <f t="shared" si="9"/>
        <v>0</v>
      </c>
      <c r="AW37" s="2022"/>
      <c r="AX37" s="2132"/>
      <c r="AY37" s="2006"/>
      <c r="AZ37" s="2134"/>
      <c r="BA37" s="474" t="s">
        <v>344</v>
      </c>
      <c r="BB37" s="1968"/>
      <c r="BC37" s="2133">
        <f>+BD37+BB37</f>
        <v>0</v>
      </c>
      <c r="BD37" s="2690">
        <v>0</v>
      </c>
      <c r="BE37" s="133"/>
      <c r="BF37" s="2069"/>
      <c r="BG37" s="2132"/>
      <c r="BH37" s="2160">
        <v>26</v>
      </c>
      <c r="BI37" s="131">
        <f>+BI36</f>
        <v>1</v>
      </c>
      <c r="BJ37" s="2773">
        <v>25</v>
      </c>
      <c r="BK37" s="2157">
        <f t="shared" si="23"/>
        <v>26</v>
      </c>
      <c r="BL37" s="1945"/>
      <c r="BM37" s="2157"/>
    </row>
    <row r="38" spans="1:66" ht="21.75" customHeight="1" thickBot="1">
      <c r="A38" s="1959">
        <v>0</v>
      </c>
      <c r="B38" s="1959">
        <v>0</v>
      </c>
      <c r="C38" s="1959">
        <v>0</v>
      </c>
      <c r="D38" s="1959">
        <v>0</v>
      </c>
      <c r="E38" s="1959">
        <v>0</v>
      </c>
      <c r="F38" s="1959">
        <v>30</v>
      </c>
      <c r="G38" s="1959">
        <v>0</v>
      </c>
      <c r="H38" s="1959">
        <v>34</v>
      </c>
      <c r="I38" s="1959">
        <v>0</v>
      </c>
      <c r="J38" s="1959">
        <v>0</v>
      </c>
      <c r="K38" s="1959">
        <v>0</v>
      </c>
      <c r="L38" s="1959">
        <v>0</v>
      </c>
      <c r="M38" s="1959">
        <v>0</v>
      </c>
      <c r="N38" s="1959">
        <v>0</v>
      </c>
      <c r="O38" s="1959">
        <v>44</v>
      </c>
      <c r="P38" s="1959">
        <v>0</v>
      </c>
      <c r="Q38" s="1959">
        <v>0</v>
      </c>
      <c r="R38" s="1959">
        <v>0</v>
      </c>
      <c r="S38" s="1959">
        <v>0</v>
      </c>
      <c r="T38" s="1959">
        <v>0</v>
      </c>
      <c r="U38" s="1959">
        <v>0</v>
      </c>
      <c r="V38" s="1959">
        <v>0</v>
      </c>
      <c r="W38" s="1959">
        <v>0</v>
      </c>
      <c r="X38" s="1959">
        <v>0</v>
      </c>
      <c r="Y38" s="1959">
        <v>32</v>
      </c>
      <c r="Z38" s="1959">
        <v>0</v>
      </c>
      <c r="AA38" s="1959">
        <v>32</v>
      </c>
      <c r="AB38" s="1959">
        <v>0</v>
      </c>
      <c r="AC38" s="1959">
        <v>0</v>
      </c>
      <c r="AD38" s="1959">
        <v>0</v>
      </c>
      <c r="AE38" s="3163">
        <v>0</v>
      </c>
      <c r="AF38" s="1994">
        <v>0</v>
      </c>
      <c r="AG38" s="2023">
        <f t="shared" si="15"/>
        <v>172</v>
      </c>
      <c r="AH38" s="2046">
        <f>+AH37+AH36</f>
        <v>638.47</v>
      </c>
      <c r="AI38" s="1940">
        <v>94</v>
      </c>
      <c r="AJ38" s="2036" t="s">
        <v>375</v>
      </c>
      <c r="AK38" s="2025">
        <f t="shared" si="20"/>
        <v>8.2307692307692299</v>
      </c>
      <c r="AL38" s="574">
        <f t="shared" si="6"/>
        <v>0</v>
      </c>
      <c r="AM38" s="2026">
        <f t="shared" si="21"/>
        <v>213.99999999999997</v>
      </c>
      <c r="AN38" s="2025">
        <f t="shared" si="7"/>
        <v>172</v>
      </c>
      <c r="AO38" s="2078">
        <f t="shared" si="24"/>
        <v>80.37383177570095</v>
      </c>
      <c r="AP38" s="2094">
        <f t="shared" si="19"/>
        <v>266</v>
      </c>
      <c r="AQ38" s="2026">
        <v>214</v>
      </c>
      <c r="AR38" s="2071">
        <f t="shared" si="22"/>
        <v>172</v>
      </c>
      <c r="AS38" s="2078">
        <f>SUM(AR38*100/AQ38)</f>
        <v>80.373831775700936</v>
      </c>
      <c r="AT38" s="744">
        <v>94</v>
      </c>
      <c r="AU38" s="2096">
        <v>160</v>
      </c>
      <c r="AV38" s="2074">
        <f t="shared" si="9"/>
        <v>0</v>
      </c>
      <c r="AW38" s="2022">
        <v>1534</v>
      </c>
      <c r="AX38" s="2132" t="s">
        <v>376</v>
      </c>
      <c r="AY38" s="2006">
        <v>14564</v>
      </c>
      <c r="AZ38" s="2416" t="s">
        <v>152</v>
      </c>
      <c r="BA38" s="2017" t="s">
        <v>23</v>
      </c>
      <c r="BB38" s="1968"/>
      <c r="BC38" s="2133">
        <f>+BC37+BC36+BC35</f>
        <v>5348.7800000000016</v>
      </c>
      <c r="BD38" s="2690">
        <v>5126.5600000000013</v>
      </c>
      <c r="BE38" s="133"/>
      <c r="BF38" s="2012"/>
      <c r="BG38" s="2132"/>
      <c r="BH38" s="2160">
        <f t="shared" ref="BH38" si="25">+BH35</f>
        <v>26</v>
      </c>
      <c r="BI38" s="131">
        <v>1</v>
      </c>
      <c r="BJ38" s="2773">
        <v>25</v>
      </c>
      <c r="BK38" s="2157">
        <f t="shared" si="23"/>
        <v>26</v>
      </c>
      <c r="BM38" s="2157">
        <f t="shared" si="23"/>
        <v>26</v>
      </c>
    </row>
    <row r="39" spans="1:66" ht="17.25" customHeight="1" thickBot="1">
      <c r="A39" s="1959">
        <f>A55</f>
        <v>0</v>
      </c>
      <c r="B39" s="1959">
        <f t="shared" ref="B39:AE39" si="26">B55</f>
        <v>0</v>
      </c>
      <c r="C39" s="1959">
        <f t="shared" si="26"/>
        <v>0</v>
      </c>
      <c r="D39" s="1959">
        <f t="shared" si="26"/>
        <v>0</v>
      </c>
      <c r="E39" s="1959">
        <f t="shared" si="26"/>
        <v>52.65</v>
      </c>
      <c r="F39" s="1959">
        <f t="shared" si="26"/>
        <v>0</v>
      </c>
      <c r="G39" s="1959">
        <f t="shared" si="26"/>
        <v>0</v>
      </c>
      <c r="H39" s="1959">
        <f t="shared" si="26"/>
        <v>52.65</v>
      </c>
      <c r="I39" s="1959">
        <f t="shared" si="26"/>
        <v>0</v>
      </c>
      <c r="J39" s="1959">
        <f t="shared" si="26"/>
        <v>0</v>
      </c>
      <c r="K39" s="1959">
        <f t="shared" si="26"/>
        <v>0</v>
      </c>
      <c r="L39" s="1959">
        <f t="shared" si="26"/>
        <v>0</v>
      </c>
      <c r="M39" s="1959">
        <f t="shared" si="26"/>
        <v>0</v>
      </c>
      <c r="N39" s="1959">
        <f t="shared" si="26"/>
        <v>0</v>
      </c>
      <c r="O39" s="1959">
        <f t="shared" si="26"/>
        <v>0</v>
      </c>
      <c r="P39" s="1959">
        <f t="shared" si="26"/>
        <v>0</v>
      </c>
      <c r="Q39" s="1959">
        <f t="shared" si="26"/>
        <v>0</v>
      </c>
      <c r="R39" s="1959">
        <f t="shared" si="26"/>
        <v>0</v>
      </c>
      <c r="S39" s="1959">
        <f t="shared" si="26"/>
        <v>0</v>
      </c>
      <c r="T39" s="1959">
        <f t="shared" si="26"/>
        <v>0</v>
      </c>
      <c r="U39" s="1959">
        <f t="shared" si="26"/>
        <v>0</v>
      </c>
      <c r="V39" s="1959">
        <f t="shared" si="26"/>
        <v>0</v>
      </c>
      <c r="W39" s="1959">
        <f t="shared" si="26"/>
        <v>0</v>
      </c>
      <c r="X39" s="1959">
        <f t="shared" si="26"/>
        <v>0</v>
      </c>
      <c r="Y39" s="1959">
        <f t="shared" si="26"/>
        <v>0</v>
      </c>
      <c r="Z39" s="1959">
        <f t="shared" si="26"/>
        <v>0</v>
      </c>
      <c r="AA39" s="1959">
        <f t="shared" si="26"/>
        <v>0</v>
      </c>
      <c r="AB39" s="1959">
        <f t="shared" si="26"/>
        <v>0</v>
      </c>
      <c r="AC39" s="1959">
        <f t="shared" si="26"/>
        <v>0</v>
      </c>
      <c r="AD39" s="1959">
        <f t="shared" si="26"/>
        <v>0</v>
      </c>
      <c r="AE39" s="3163">
        <f t="shared" si="26"/>
        <v>0</v>
      </c>
      <c r="AF39" s="1991">
        <f>MAX(A39:AE39)</f>
        <v>52.65</v>
      </c>
      <c r="AG39" s="2023">
        <f t="shared" si="15"/>
        <v>105.3</v>
      </c>
      <c r="AH39" s="2032">
        <v>28.3</v>
      </c>
      <c r="AI39" s="1940">
        <v>76.95</v>
      </c>
      <c r="AJ39" s="2036" t="s">
        <v>377</v>
      </c>
      <c r="AK39" s="2025">
        <f t="shared" si="20"/>
        <v>9.67741935483871</v>
      </c>
      <c r="AL39" s="574">
        <f t="shared" si="6"/>
        <v>0</v>
      </c>
      <c r="AM39" s="2026">
        <f t="shared" si="21"/>
        <v>300</v>
      </c>
      <c r="AN39" s="2025">
        <f t="shared" si="7"/>
        <v>105.3</v>
      </c>
      <c r="AO39" s="2078">
        <f t="shared" si="24"/>
        <v>35.099999999999994</v>
      </c>
      <c r="AP39" s="2094">
        <f t="shared" si="19"/>
        <v>182.25</v>
      </c>
      <c r="AQ39" s="2026">
        <v>300</v>
      </c>
      <c r="AR39" s="2071">
        <f t="shared" si="22"/>
        <v>105.3</v>
      </c>
      <c r="AS39" s="2035">
        <f>SUM(AR39*100/AQ39)</f>
        <v>35.1</v>
      </c>
      <c r="AT39" s="744">
        <v>76.95</v>
      </c>
      <c r="AU39" s="2097">
        <v>100.3</v>
      </c>
      <c r="AV39" s="2074">
        <f t="shared" si="9"/>
        <v>0</v>
      </c>
      <c r="AW39" s="2022" t="s">
        <v>271</v>
      </c>
      <c r="AX39" s="2132" t="s">
        <v>271</v>
      </c>
      <c r="AY39" s="2006">
        <v>12593</v>
      </c>
      <c r="AZ39" s="2416" t="s">
        <v>378</v>
      </c>
      <c r="BA39" s="474" t="s">
        <v>379</v>
      </c>
      <c r="BB39" s="1968">
        <v>0</v>
      </c>
      <c r="BC39" s="2133">
        <f>+BD39+BB39</f>
        <v>489.08000000000004</v>
      </c>
      <c r="BD39" s="2690">
        <v>489.08000000000004</v>
      </c>
      <c r="BE39" s="133"/>
      <c r="BF39" s="2012"/>
      <c r="BG39" s="1282"/>
      <c r="BH39" s="2158">
        <f>BH20</f>
        <v>31</v>
      </c>
      <c r="BI39" s="131">
        <v>1</v>
      </c>
      <c r="BJ39" s="2700">
        <v>30</v>
      </c>
      <c r="BK39" s="2157">
        <f t="shared" si="23"/>
        <v>31</v>
      </c>
    </row>
    <row r="40" spans="1:66" ht="20.25" customHeight="1" thickBot="1">
      <c r="A40" s="1962">
        <v>0</v>
      </c>
      <c r="B40" s="1962">
        <v>0</v>
      </c>
      <c r="C40" s="1962">
        <v>0</v>
      </c>
      <c r="D40" s="1962">
        <v>0</v>
      </c>
      <c r="E40" s="1962">
        <v>0</v>
      </c>
      <c r="F40" s="1962">
        <v>0</v>
      </c>
      <c r="G40" s="1962">
        <v>0</v>
      </c>
      <c r="H40" s="1962">
        <v>0</v>
      </c>
      <c r="I40" s="1962">
        <v>0</v>
      </c>
      <c r="J40" s="1962">
        <v>0</v>
      </c>
      <c r="K40" s="1962">
        <v>0</v>
      </c>
      <c r="L40" s="1962">
        <v>0</v>
      </c>
      <c r="M40" s="1962">
        <v>0</v>
      </c>
      <c r="N40" s="1962">
        <v>0</v>
      </c>
      <c r="O40" s="1962">
        <v>0</v>
      </c>
      <c r="P40" s="1962">
        <v>0</v>
      </c>
      <c r="Q40" s="1962">
        <v>0</v>
      </c>
      <c r="R40" s="1962">
        <v>0</v>
      </c>
      <c r="S40" s="1962">
        <v>0</v>
      </c>
      <c r="T40" s="1962">
        <v>0</v>
      </c>
      <c r="U40" s="1962">
        <v>0</v>
      </c>
      <c r="V40" s="1962">
        <v>0</v>
      </c>
      <c r="W40" s="1962">
        <v>0</v>
      </c>
      <c r="X40" s="1962">
        <v>0</v>
      </c>
      <c r="Y40" s="1962">
        <v>0</v>
      </c>
      <c r="Z40" s="1962">
        <v>0</v>
      </c>
      <c r="AA40" s="1962">
        <v>0</v>
      </c>
      <c r="AB40" s="1962">
        <v>0</v>
      </c>
      <c r="AC40" s="1962">
        <v>0</v>
      </c>
      <c r="AD40" s="1962">
        <v>0</v>
      </c>
      <c r="AE40" s="3166">
        <v>0</v>
      </c>
      <c r="AF40" s="1991"/>
      <c r="AG40" s="2023">
        <f t="shared" si="15"/>
        <v>0</v>
      </c>
      <c r="AH40" s="2032">
        <v>103.2</v>
      </c>
      <c r="AI40" s="1940">
        <v>0</v>
      </c>
      <c r="AJ40" s="2036" t="s">
        <v>380</v>
      </c>
      <c r="AK40" s="2025">
        <f t="shared" si="20"/>
        <v>19.483870967741936</v>
      </c>
      <c r="AL40" s="574">
        <f t="shared" si="6"/>
        <v>0</v>
      </c>
      <c r="AM40" s="2026">
        <f t="shared" si="21"/>
        <v>604</v>
      </c>
      <c r="AN40" s="2025">
        <f t="shared" si="7"/>
        <v>0</v>
      </c>
      <c r="AO40" s="2078">
        <f t="shared" si="24"/>
        <v>0</v>
      </c>
      <c r="AP40" s="2094">
        <f t="shared" si="19"/>
        <v>0</v>
      </c>
      <c r="AQ40" s="2026">
        <v>604</v>
      </c>
      <c r="AR40" s="2071">
        <f>+AN40/BK40*BH40</f>
        <v>0</v>
      </c>
      <c r="AS40" s="2078">
        <f>SUM(AR40*100/AQ40)</f>
        <v>0</v>
      </c>
      <c r="AT40" s="744">
        <v>0</v>
      </c>
      <c r="AU40" s="2096">
        <v>733.06</v>
      </c>
      <c r="AV40" s="2074">
        <f t="shared" si="9"/>
        <v>0</v>
      </c>
      <c r="AW40" s="2022">
        <v>12549</v>
      </c>
      <c r="AX40" s="2132" t="s">
        <v>334</v>
      </c>
      <c r="AY40" s="2006">
        <v>111575</v>
      </c>
      <c r="AZ40" s="2416" t="s">
        <v>155</v>
      </c>
      <c r="BA40" s="2130" t="s">
        <v>381</v>
      </c>
      <c r="BB40" s="1968">
        <v>0</v>
      </c>
      <c r="BC40" s="2135">
        <f>+BD40+BB40</f>
        <v>0</v>
      </c>
      <c r="BD40" s="2690">
        <v>0</v>
      </c>
      <c r="BE40" s="133"/>
      <c r="BF40" s="2132"/>
      <c r="BG40" s="2132"/>
      <c r="BH40" s="2158">
        <f>BH20</f>
        <v>31</v>
      </c>
      <c r="BI40" s="131">
        <v>1</v>
      </c>
      <c r="BJ40" s="2700">
        <v>30</v>
      </c>
      <c r="BK40" s="2157">
        <f t="shared" si="23"/>
        <v>31</v>
      </c>
    </row>
    <row r="41" spans="1:66" ht="18.95" customHeight="1" thickBot="1">
      <c r="A41" s="1962">
        <v>0</v>
      </c>
      <c r="B41" s="1962">
        <v>0</v>
      </c>
      <c r="C41" s="1962">
        <v>0</v>
      </c>
      <c r="D41" s="1962">
        <v>0</v>
      </c>
      <c r="E41" s="1962">
        <v>0</v>
      </c>
      <c r="F41" s="1962">
        <v>0</v>
      </c>
      <c r="G41" s="1962">
        <v>0</v>
      </c>
      <c r="H41" s="1962">
        <v>0</v>
      </c>
      <c r="I41" s="1962">
        <v>0</v>
      </c>
      <c r="J41" s="1962">
        <v>0</v>
      </c>
      <c r="K41" s="1962">
        <v>0</v>
      </c>
      <c r="L41" s="1962">
        <v>0</v>
      </c>
      <c r="M41" s="1962">
        <v>0</v>
      </c>
      <c r="N41" s="1962">
        <v>0</v>
      </c>
      <c r="O41" s="1962">
        <v>0</v>
      </c>
      <c r="P41" s="1962">
        <v>0</v>
      </c>
      <c r="Q41" s="1962">
        <v>0</v>
      </c>
      <c r="R41" s="1962">
        <v>0</v>
      </c>
      <c r="S41" s="1962">
        <v>0</v>
      </c>
      <c r="T41" s="1962">
        <v>0</v>
      </c>
      <c r="U41" s="1962">
        <v>0</v>
      </c>
      <c r="V41" s="1962">
        <v>0</v>
      </c>
      <c r="W41" s="1962">
        <v>0</v>
      </c>
      <c r="X41" s="1962">
        <v>0</v>
      </c>
      <c r="Y41" s="1962">
        <v>0</v>
      </c>
      <c r="Z41" s="1962">
        <v>0</v>
      </c>
      <c r="AA41" s="1962">
        <v>0</v>
      </c>
      <c r="AB41" s="1962">
        <v>0</v>
      </c>
      <c r="AC41" s="1962">
        <v>0</v>
      </c>
      <c r="AD41" s="1962">
        <v>0</v>
      </c>
      <c r="AE41" s="3166">
        <v>0</v>
      </c>
      <c r="AF41" s="1991">
        <f>MAX(A41:AE41)</f>
        <v>0</v>
      </c>
      <c r="AG41" s="2023">
        <f t="shared" si="15"/>
        <v>0</v>
      </c>
      <c r="AH41" s="2032">
        <v>159.9</v>
      </c>
      <c r="AI41" s="1940">
        <v>0</v>
      </c>
      <c r="AJ41" s="2036" t="s">
        <v>382</v>
      </c>
      <c r="AK41" s="2025"/>
      <c r="AL41" s="574">
        <f t="shared" si="6"/>
        <v>0</v>
      </c>
      <c r="AM41" s="2026">
        <f>SUM(AQ41/BH40*BK40)</f>
        <v>0</v>
      </c>
      <c r="AN41" s="2025">
        <f t="shared" si="7"/>
        <v>0</v>
      </c>
      <c r="AO41" s="2078"/>
      <c r="AP41" s="2094">
        <f t="shared" si="19"/>
        <v>0</v>
      </c>
      <c r="AQ41" s="2026">
        <f>+AQ17</f>
        <v>0</v>
      </c>
      <c r="AR41" s="2077"/>
      <c r="AS41" s="2078"/>
      <c r="AT41" s="744">
        <v>0</v>
      </c>
      <c r="AU41" s="2096">
        <v>0</v>
      </c>
      <c r="AV41" s="2074">
        <f t="shared" si="9"/>
        <v>0</v>
      </c>
      <c r="AW41" s="2022"/>
      <c r="AX41" s="2132"/>
      <c r="AY41" s="2419" t="s">
        <v>383</v>
      </c>
      <c r="AZ41" s="2416" t="s">
        <v>378</v>
      </c>
      <c r="BA41" s="378" t="s">
        <v>4013</v>
      </c>
      <c r="BB41" s="2420">
        <v>0</v>
      </c>
      <c r="BC41" s="2135">
        <f>+BD41+BB41</f>
        <v>0</v>
      </c>
      <c r="BD41" s="2690">
        <v>0</v>
      </c>
      <c r="BE41" s="133"/>
      <c r="BF41" s="2132"/>
      <c r="BG41" s="2132"/>
      <c r="BH41" s="2158"/>
      <c r="BI41" s="131" t="s">
        <v>271</v>
      </c>
      <c r="BJ41" s="2700" t="s">
        <v>271</v>
      </c>
      <c r="BK41" s="2157" t="s">
        <v>271</v>
      </c>
    </row>
    <row r="42" spans="1:66" ht="18" customHeight="1" thickBot="1">
      <c r="A42" s="1963">
        <f t="shared" ref="A42:AE42" si="27">SUM(A34:A41)</f>
        <v>453.77100000000002</v>
      </c>
      <c r="B42" s="1963">
        <f t="shared" si="27"/>
        <v>450.399</v>
      </c>
      <c r="C42" s="1963">
        <f t="shared" si="27"/>
        <v>226.596</v>
      </c>
      <c r="D42" s="1963">
        <f t="shared" si="27"/>
        <v>414.28000000000003</v>
      </c>
      <c r="E42" s="1963">
        <f t="shared" si="27"/>
        <v>538.80100000000004</v>
      </c>
      <c r="F42" s="1963">
        <f t="shared" si="27"/>
        <v>457.26600000000002</v>
      </c>
      <c r="G42" s="1963">
        <f t="shared" si="27"/>
        <v>265.09399999999999</v>
      </c>
      <c r="H42" s="1963">
        <f t="shared" si="27"/>
        <v>414.88200000000001</v>
      </c>
      <c r="I42" s="1963">
        <f t="shared" si="27"/>
        <v>494.63200000000001</v>
      </c>
      <c r="J42" s="1963">
        <f t="shared" si="27"/>
        <v>209.922</v>
      </c>
      <c r="K42" s="1963">
        <f t="shared" si="27"/>
        <v>425.76299999999998</v>
      </c>
      <c r="L42" s="1963">
        <f t="shared" si="27"/>
        <v>411.20099999999996</v>
      </c>
      <c r="M42" s="1963">
        <f t="shared" si="27"/>
        <v>423.76400000000001</v>
      </c>
      <c r="N42" s="1963">
        <f t="shared" si="27"/>
        <v>238.976</v>
      </c>
      <c r="O42" s="1963">
        <f t="shared" si="27"/>
        <v>491.59100000000001</v>
      </c>
      <c r="P42" s="1963">
        <f t="shared" si="27"/>
        <v>420.80900000000003</v>
      </c>
      <c r="Q42" s="1963">
        <f t="shared" si="27"/>
        <v>185.298</v>
      </c>
      <c r="R42" s="1963">
        <f t="shared" si="27"/>
        <v>448.07900000000001</v>
      </c>
      <c r="S42" s="1963">
        <f t="shared" si="27"/>
        <v>337.18299999999999</v>
      </c>
      <c r="T42" s="1963">
        <f t="shared" si="27"/>
        <v>308.38400000000001</v>
      </c>
      <c r="U42" s="1963">
        <f t="shared" si="27"/>
        <v>193.17500000000001</v>
      </c>
      <c r="V42" s="1963">
        <f t="shared" si="27"/>
        <v>363.06599999999997</v>
      </c>
      <c r="W42" s="1963">
        <f t="shared" si="27"/>
        <v>209.8</v>
      </c>
      <c r="X42" s="1963">
        <f t="shared" si="27"/>
        <v>159.678</v>
      </c>
      <c r="Y42" s="1963">
        <f t="shared" si="27"/>
        <v>520.31200000000001</v>
      </c>
      <c r="Z42" s="1963">
        <f t="shared" si="27"/>
        <v>524.63900000000001</v>
      </c>
      <c r="AA42" s="1963">
        <f t="shared" si="27"/>
        <v>469.88200000000001</v>
      </c>
      <c r="AB42" s="1963">
        <f t="shared" si="27"/>
        <v>286.483</v>
      </c>
      <c r="AC42" s="1963">
        <f t="shared" si="27"/>
        <v>341.11199999999997</v>
      </c>
      <c r="AD42" s="1963">
        <f t="shared" si="27"/>
        <v>552.63099999999997</v>
      </c>
      <c r="AE42" s="3167">
        <f t="shared" si="27"/>
        <v>321.48899999999998</v>
      </c>
      <c r="AF42" s="1995"/>
      <c r="AG42" s="2023">
        <f t="shared" si="15"/>
        <v>11558.957999999997</v>
      </c>
      <c r="AH42" s="2047">
        <v>130.55000000000001</v>
      </c>
      <c r="AI42" s="1940">
        <v>11701.29</v>
      </c>
      <c r="AJ42" s="2040" t="s">
        <v>384</v>
      </c>
      <c r="AK42" s="2025">
        <f>+AQ42/BH42</f>
        <v>394.45161290322579</v>
      </c>
      <c r="AL42" s="574">
        <f t="shared" si="6"/>
        <v>321.48899999999998</v>
      </c>
      <c r="AM42" s="2048">
        <f>SUM(AQ42/BH40*BK40)</f>
        <v>12228</v>
      </c>
      <c r="AN42" s="2025">
        <f t="shared" si="7"/>
        <v>11558.957999999997</v>
      </c>
      <c r="AO42" s="2090">
        <f t="shared" si="24"/>
        <v>94.528606476938151</v>
      </c>
      <c r="AP42" s="2094">
        <f t="shared" si="19"/>
        <v>23260.248</v>
      </c>
      <c r="AQ42" s="2048">
        <f>SUM(AQ34:AQ41)</f>
        <v>12228</v>
      </c>
      <c r="AR42" s="2082">
        <f>+AN42/BK42*BH42</f>
        <v>11558.957999999997</v>
      </c>
      <c r="AS42" s="2035">
        <f>SUM(AR42*100/AQ42)</f>
        <v>94.528606476938137</v>
      </c>
      <c r="AT42" s="2083">
        <v>11701.29</v>
      </c>
      <c r="AU42" s="2098">
        <v>12240.582999999999</v>
      </c>
      <c r="AV42" s="2074">
        <f t="shared" si="9"/>
        <v>552.63099999999997</v>
      </c>
      <c r="AW42" s="2015" t="s">
        <v>271</v>
      </c>
      <c r="AX42" s="2136"/>
      <c r="AY42" s="2118">
        <v>215409</v>
      </c>
      <c r="AZ42" s="2417" t="s">
        <v>155</v>
      </c>
      <c r="BA42" s="133"/>
      <c r="BB42" s="613"/>
      <c r="BC42" s="2069"/>
      <c r="BD42" s="2690"/>
      <c r="BE42" s="133"/>
      <c r="BF42" s="2132"/>
      <c r="BG42" s="2132"/>
      <c r="BH42" s="2158">
        <f>+BH40</f>
        <v>31</v>
      </c>
      <c r="BI42" s="131">
        <f>BI40</f>
        <v>1</v>
      </c>
      <c r="BJ42" s="2700">
        <v>30</v>
      </c>
      <c r="BK42" s="2157">
        <f>BJ42+BI42</f>
        <v>31</v>
      </c>
    </row>
    <row r="43" spans="1:66" ht="18.95" customHeight="1" thickBot="1">
      <c r="A43" s="1962"/>
      <c r="B43" s="1962"/>
      <c r="C43" s="1962"/>
      <c r="D43" s="1962"/>
      <c r="E43" s="1962"/>
      <c r="F43" s="1962"/>
      <c r="G43" s="1962"/>
      <c r="H43" s="1962"/>
      <c r="I43" s="1962"/>
      <c r="J43" s="1962"/>
      <c r="K43" s="1962"/>
      <c r="L43" s="1962"/>
      <c r="M43" s="1962"/>
      <c r="N43" s="1962"/>
      <c r="O43" s="1962"/>
      <c r="P43" s="1962"/>
      <c r="Q43" s="1962"/>
      <c r="R43" s="1962"/>
      <c r="S43" s="1962"/>
      <c r="T43" s="1962"/>
      <c r="U43" s="1962"/>
      <c r="V43" s="1962"/>
      <c r="W43" s="1962"/>
      <c r="X43" s="1962"/>
      <c r="Y43" s="1962"/>
      <c r="Z43" s="1962"/>
      <c r="AA43" s="1962"/>
      <c r="AB43" s="1962"/>
      <c r="AC43" s="1962"/>
      <c r="AD43" s="1962"/>
      <c r="AE43" s="3166"/>
      <c r="AF43" s="1991">
        <f t="shared" ref="AF43:AF49" si="28">MAX(A43:AE43)</f>
        <v>0</v>
      </c>
      <c r="AG43" s="2023"/>
      <c r="AH43" s="2032"/>
      <c r="AI43" s="1940">
        <v>0</v>
      </c>
      <c r="AJ43" s="2034"/>
      <c r="AK43" s="2025"/>
      <c r="AL43" s="574">
        <f t="shared" si="6"/>
        <v>0</v>
      </c>
      <c r="AM43" s="2026"/>
      <c r="AN43" s="2025">
        <f t="shared" si="7"/>
        <v>0</v>
      </c>
      <c r="AO43" s="2035"/>
      <c r="AP43" s="2070">
        <v>0</v>
      </c>
      <c r="AQ43" s="2099"/>
      <c r="AR43" s="2071"/>
      <c r="AS43" s="2035"/>
      <c r="AT43" s="2072">
        <v>0</v>
      </c>
      <c r="AU43" s="2100">
        <v>0</v>
      </c>
      <c r="AV43" s="2074">
        <f t="shared" si="9"/>
        <v>0</v>
      </c>
      <c r="AW43" s="2069" t="s">
        <v>271</v>
      </c>
      <c r="AX43" s="2137"/>
      <c r="AY43" s="2138"/>
      <c r="AZ43" s="1220" t="s">
        <v>271</v>
      </c>
      <c r="BA43" s="1128" t="s">
        <v>385</v>
      </c>
      <c r="BB43" s="1968">
        <v>0</v>
      </c>
      <c r="BC43" s="2069">
        <f>+BB43+BD43</f>
        <v>805.03</v>
      </c>
      <c r="BD43" s="2690">
        <f>78.3+272.83+453.9</f>
        <v>805.03</v>
      </c>
      <c r="BE43" s="133">
        <f>213.4+73.02+479.98+253.5</f>
        <v>1019.9000000000001</v>
      </c>
      <c r="BF43" s="2162"/>
      <c r="BG43" s="2162"/>
      <c r="BH43" s="2158"/>
      <c r="BJ43" s="2700"/>
      <c r="BK43" s="2157"/>
    </row>
    <row r="44" spans="1:66" ht="23.25" customHeight="1" thickBot="1">
      <c r="A44" s="1959">
        <v>147.46</v>
      </c>
      <c r="B44" s="1959">
        <v>559.29</v>
      </c>
      <c r="C44" s="1959">
        <v>0</v>
      </c>
      <c r="D44" s="1959">
        <v>516.38</v>
      </c>
      <c r="E44" s="1959">
        <v>365.12</v>
      </c>
      <c r="F44" s="1959">
        <v>395.01</v>
      </c>
      <c r="G44" s="1959">
        <v>324.17</v>
      </c>
      <c r="H44" s="1959">
        <f>284.76</f>
        <v>284.76</v>
      </c>
      <c r="I44" s="1959">
        <v>318.45</v>
      </c>
      <c r="J44" s="1959">
        <v>0</v>
      </c>
      <c r="K44" s="1959">
        <v>508.78</v>
      </c>
      <c r="L44" s="1959">
        <v>475.28</v>
      </c>
      <c r="M44" s="1959">
        <v>398.36</v>
      </c>
      <c r="N44" s="1959">
        <f>4744.01-4293.06</f>
        <v>450.94999999999982</v>
      </c>
      <c r="O44" s="1959">
        <v>493.88</v>
      </c>
      <c r="P44" s="1959">
        <f>409.38-33.09</f>
        <v>376.28999999999996</v>
      </c>
      <c r="Q44" s="1959">
        <v>0</v>
      </c>
      <c r="R44" s="1959">
        <v>471.31</v>
      </c>
      <c r="S44" s="1959">
        <v>361.53</v>
      </c>
      <c r="T44" s="1959">
        <v>402.96</v>
      </c>
      <c r="U44" s="1959">
        <v>381.73</v>
      </c>
      <c r="V44" s="1959">
        <v>416.24</v>
      </c>
      <c r="W44" s="1959">
        <v>400.78</v>
      </c>
      <c r="X44" s="1959">
        <v>0</v>
      </c>
      <c r="Y44" s="1959">
        <v>319.2</v>
      </c>
      <c r="Z44" s="1959">
        <v>291.26</v>
      </c>
      <c r="AA44" s="1959">
        <v>255.68</v>
      </c>
      <c r="AB44" s="1959">
        <v>182.06</v>
      </c>
      <c r="AC44" s="1959">
        <f>9535.05-9096.93</f>
        <v>438.11999999999898</v>
      </c>
      <c r="AD44" s="1959">
        <v>358.69</v>
      </c>
      <c r="AE44" s="3163">
        <v>324.62</v>
      </c>
      <c r="AF44" s="1991">
        <f t="shared" si="28"/>
        <v>559.29</v>
      </c>
      <c r="AG44" s="2028">
        <f t="shared" ref="AG44:AG55" si="29">SUM(A44:AE44)</f>
        <v>10218.359999999999</v>
      </c>
      <c r="AH44" s="2032">
        <f>276.01+19.2*2</f>
        <v>314.40999999999997</v>
      </c>
      <c r="AI44" s="1940">
        <v>10111.76</v>
      </c>
      <c r="AJ44" s="2036" t="s">
        <v>386</v>
      </c>
      <c r="AK44" s="2025">
        <f>AQ44/BH44*BI44</f>
        <v>351.85185185185185</v>
      </c>
      <c r="AL44" s="574">
        <f t="shared" si="6"/>
        <v>324.62</v>
      </c>
      <c r="AM44" s="2026">
        <f t="shared" ref="AM44:AM50" si="30">SUM(AQ44/BH44*BK44)</f>
        <v>9500</v>
      </c>
      <c r="AN44" s="2025">
        <f t="shared" si="7"/>
        <v>10218.359999999999</v>
      </c>
      <c r="AO44" s="2078">
        <f>+AN45/AM44*100</f>
        <v>2.0956842105263154</v>
      </c>
      <c r="AP44" s="2094">
        <f t="shared" ref="AP44:AP56" si="31">AI44+AN44</f>
        <v>20330.12</v>
      </c>
      <c r="AQ44" s="2026">
        <v>9500</v>
      </c>
      <c r="AR44" s="2071">
        <f t="shared" ref="AR44:AR50" si="32">+AN44/BK44*BH44</f>
        <v>10218.359999999999</v>
      </c>
      <c r="AS44" s="2035">
        <f>SUM(AR44*100/AQ44)</f>
        <v>107.56168421052631</v>
      </c>
      <c r="AT44" s="744">
        <v>10111.76</v>
      </c>
      <c r="AU44" s="2096">
        <v>9716.2950000000019</v>
      </c>
      <c r="AV44" s="2074">
        <f t="shared" si="9"/>
        <v>358.69</v>
      </c>
      <c r="AW44" s="2022">
        <v>9925</v>
      </c>
      <c r="AX44" s="1282" t="s">
        <v>387</v>
      </c>
      <c r="AY44" s="2010">
        <v>92912</v>
      </c>
      <c r="AZ44" s="2418" t="s">
        <v>388</v>
      </c>
      <c r="BA44" s="2130" t="s">
        <v>339</v>
      </c>
      <c r="BB44" s="1968">
        <v>30.5</v>
      </c>
      <c r="BC44" s="2069">
        <f>+BB44+BD44</f>
        <v>30.5</v>
      </c>
      <c r="BD44" s="2690">
        <v>0</v>
      </c>
      <c r="BE44" s="1282"/>
      <c r="BF44" s="2162"/>
      <c r="BG44" s="2162"/>
      <c r="BH44" s="2160">
        <v>27</v>
      </c>
      <c r="BI44" s="131">
        <f>BI3</f>
        <v>1</v>
      </c>
      <c r="BJ44" s="2700">
        <v>26</v>
      </c>
      <c r="BK44" s="2157">
        <f t="shared" ref="BK44:BK49" si="33">BJ44+BI44</f>
        <v>27</v>
      </c>
    </row>
    <row r="45" spans="1:66" ht="19.5" customHeight="1" thickBot="1">
      <c r="A45" s="1959">
        <v>0</v>
      </c>
      <c r="B45" s="1959">
        <v>0</v>
      </c>
      <c r="C45" s="1959">
        <v>0</v>
      </c>
      <c r="D45" s="1959">
        <v>0</v>
      </c>
      <c r="E45" s="1959">
        <v>0</v>
      </c>
      <c r="F45" s="1959">
        <v>0</v>
      </c>
      <c r="G45" s="1959">
        <v>0</v>
      </c>
      <c r="H45" s="1959">
        <v>51.77</v>
      </c>
      <c r="I45" s="1959">
        <v>19.95</v>
      </c>
      <c r="J45" s="1959">
        <v>0</v>
      </c>
      <c r="K45" s="1959">
        <v>0</v>
      </c>
      <c r="L45" s="1959">
        <v>0</v>
      </c>
      <c r="M45" s="1959">
        <v>0</v>
      </c>
      <c r="N45" s="1959">
        <v>0</v>
      </c>
      <c r="O45" s="1959">
        <v>52.58</v>
      </c>
      <c r="P45" s="1959">
        <v>31.65</v>
      </c>
      <c r="Q45" s="1959">
        <v>0</v>
      </c>
      <c r="R45" s="1959">
        <v>0</v>
      </c>
      <c r="S45" s="1959">
        <v>0</v>
      </c>
      <c r="T45" s="1959">
        <v>0</v>
      </c>
      <c r="U45" s="1959">
        <v>0</v>
      </c>
      <c r="V45" s="1959">
        <v>0</v>
      </c>
      <c r="W45" s="1959">
        <v>0</v>
      </c>
      <c r="X45" s="1959">
        <v>0</v>
      </c>
      <c r="Y45" s="1959">
        <v>0</v>
      </c>
      <c r="Z45" s="1959">
        <v>0</v>
      </c>
      <c r="AA45" s="1959">
        <v>0</v>
      </c>
      <c r="AB45" s="1959">
        <v>0</v>
      </c>
      <c r="AC45" s="1959">
        <v>0</v>
      </c>
      <c r="AD45" s="1959">
        <v>0</v>
      </c>
      <c r="AE45" s="3163">
        <v>43.14</v>
      </c>
      <c r="AF45" s="1991">
        <f t="shared" si="28"/>
        <v>52.58</v>
      </c>
      <c r="AG45" s="2028">
        <f t="shared" si="29"/>
        <v>199.08999999999997</v>
      </c>
      <c r="AH45" s="2032"/>
      <c r="AI45" s="1940">
        <v>54.7</v>
      </c>
      <c r="AJ45" s="2036" t="s">
        <v>389</v>
      </c>
      <c r="AK45" s="2025">
        <f t="shared" ref="AK45:AK58" si="34">AQ45/BH45*BI45</f>
        <v>1.4814814814814814</v>
      </c>
      <c r="AL45" s="574">
        <f t="shared" si="6"/>
        <v>43.14</v>
      </c>
      <c r="AM45" s="2026">
        <f t="shared" si="30"/>
        <v>40</v>
      </c>
      <c r="AN45" s="2025">
        <f t="shared" si="7"/>
        <v>199.08999999999997</v>
      </c>
      <c r="AO45" s="2078">
        <f>+AN46/AM45*100</f>
        <v>807</v>
      </c>
      <c r="AP45" s="2094">
        <f t="shared" si="31"/>
        <v>253.78999999999996</v>
      </c>
      <c r="AQ45" s="2026">
        <v>40</v>
      </c>
      <c r="AR45" s="2071">
        <f t="shared" si="32"/>
        <v>199.08999999999997</v>
      </c>
      <c r="AS45" s="2078">
        <f>SUM(AR45*100/AQ45)</f>
        <v>497.72499999999991</v>
      </c>
      <c r="AT45" s="744">
        <v>54.7</v>
      </c>
      <c r="AU45" s="2101">
        <v>0</v>
      </c>
      <c r="AV45" s="2074">
        <f t="shared" si="9"/>
        <v>0</v>
      </c>
      <c r="AW45" s="2022">
        <v>2481</v>
      </c>
      <c r="AX45" s="1282" t="s">
        <v>390</v>
      </c>
      <c r="AY45" s="2010">
        <v>10013</v>
      </c>
      <c r="AZ45" s="2006" t="s">
        <v>391</v>
      </c>
      <c r="BA45" s="2130" t="s">
        <v>325</v>
      </c>
      <c r="BB45" s="1968">
        <v>49.24</v>
      </c>
      <c r="BC45" s="2069">
        <f>+BB45+BD45</f>
        <v>350.86</v>
      </c>
      <c r="BD45" s="2690">
        <v>301.62</v>
      </c>
      <c r="BE45" s="1282"/>
      <c r="BF45" s="1282"/>
      <c r="BG45" s="1282"/>
      <c r="BH45" s="2160">
        <f>+BH44</f>
        <v>27</v>
      </c>
      <c r="BI45" s="2160">
        <f t="shared" ref="BI45:BI50" si="35">BI44</f>
        <v>1</v>
      </c>
      <c r="BJ45" s="2700">
        <v>26</v>
      </c>
      <c r="BK45" s="2157">
        <f t="shared" si="33"/>
        <v>27</v>
      </c>
    </row>
    <row r="46" spans="1:66" ht="18.95" customHeight="1" thickBot="1">
      <c r="A46" s="1959">
        <v>0</v>
      </c>
      <c r="B46" s="1959">
        <v>4.55</v>
      </c>
      <c r="C46" s="1959">
        <v>0</v>
      </c>
      <c r="D46" s="1959">
        <v>16.600000000000001</v>
      </c>
      <c r="E46" s="1959">
        <v>5.2</v>
      </c>
      <c r="F46" s="1959">
        <v>13.95</v>
      </c>
      <c r="G46" s="1959">
        <v>16.600000000000001</v>
      </c>
      <c r="H46" s="1959">
        <v>9</v>
      </c>
      <c r="I46" s="1959">
        <v>10.4</v>
      </c>
      <c r="J46" s="1959">
        <v>0</v>
      </c>
      <c r="K46" s="1959">
        <v>24</v>
      </c>
      <c r="L46" s="1959">
        <v>8</v>
      </c>
      <c r="M46" s="1959">
        <v>13.45</v>
      </c>
      <c r="N46" s="1959">
        <v>14</v>
      </c>
      <c r="O46" s="1959">
        <v>9.6</v>
      </c>
      <c r="P46" s="1959">
        <v>6.45</v>
      </c>
      <c r="Q46" s="1959">
        <v>0</v>
      </c>
      <c r="R46" s="1959">
        <v>20</v>
      </c>
      <c r="S46" s="1959">
        <v>5</v>
      </c>
      <c r="T46" s="1959">
        <v>32.299999999999997</v>
      </c>
      <c r="U46" s="1959">
        <v>12.4</v>
      </c>
      <c r="V46" s="1959">
        <v>10.75</v>
      </c>
      <c r="W46" s="1959">
        <v>11.1</v>
      </c>
      <c r="X46" s="1959">
        <v>0</v>
      </c>
      <c r="Y46" s="1959">
        <v>3.85</v>
      </c>
      <c r="Z46" s="1959">
        <v>12.3</v>
      </c>
      <c r="AA46" s="1959">
        <v>24.2</v>
      </c>
      <c r="AB46" s="1959">
        <v>11.1</v>
      </c>
      <c r="AC46" s="1959">
        <v>12.8</v>
      </c>
      <c r="AD46" s="1959">
        <v>9.6</v>
      </c>
      <c r="AE46" s="3163">
        <v>5.6</v>
      </c>
      <c r="AF46" s="1991">
        <f t="shared" si="28"/>
        <v>32.299999999999997</v>
      </c>
      <c r="AG46" s="2028">
        <f t="shared" si="29"/>
        <v>322.8</v>
      </c>
      <c r="AH46" s="2032"/>
      <c r="AI46" s="1940">
        <v>273.35000000000002</v>
      </c>
      <c r="AJ46" s="2036" t="s">
        <v>392</v>
      </c>
      <c r="AK46" s="2025">
        <f t="shared" si="34"/>
        <v>14.814814814814815</v>
      </c>
      <c r="AL46" s="574">
        <f t="shared" si="6"/>
        <v>5.6</v>
      </c>
      <c r="AM46" s="2026">
        <f t="shared" si="30"/>
        <v>400</v>
      </c>
      <c r="AN46" s="2025">
        <f t="shared" si="7"/>
        <v>322.8</v>
      </c>
      <c r="AO46" s="2078">
        <f>+AN47/AM46*100</f>
        <v>43.81924999999999</v>
      </c>
      <c r="AP46" s="2094">
        <f t="shared" si="31"/>
        <v>596.15000000000009</v>
      </c>
      <c r="AQ46" s="2026">
        <v>400</v>
      </c>
      <c r="AR46" s="2071">
        <f t="shared" si="32"/>
        <v>322.8</v>
      </c>
      <c r="AS46" s="2035">
        <f>SUM(AR46*100/AQ46)</f>
        <v>80.7</v>
      </c>
      <c r="AT46" s="744">
        <v>273.35000000000002</v>
      </c>
      <c r="AU46" s="2101">
        <v>242.28999999999996</v>
      </c>
      <c r="AV46" s="2074">
        <f t="shared" si="9"/>
        <v>9.6</v>
      </c>
      <c r="AW46" s="2022">
        <v>845</v>
      </c>
      <c r="AX46" s="2132" t="s">
        <v>393</v>
      </c>
      <c r="AY46" s="2010">
        <v>8152</v>
      </c>
      <c r="AZ46" s="2418" t="s">
        <v>394</v>
      </c>
      <c r="BA46" s="2130" t="s">
        <v>123</v>
      </c>
      <c r="BB46" s="1968">
        <v>0</v>
      </c>
      <c r="BC46" s="2069">
        <f>+BB46+BD46</f>
        <v>0</v>
      </c>
      <c r="BD46" s="2690">
        <v>0</v>
      </c>
      <c r="BE46" s="2132"/>
      <c r="BF46" s="2132"/>
      <c r="BG46" s="1968">
        <f>BH46-BK46</f>
        <v>0</v>
      </c>
      <c r="BH46" s="2160">
        <f t="shared" ref="BH46:BH56" si="36">BH45</f>
        <v>27</v>
      </c>
      <c r="BI46" s="2160">
        <f t="shared" si="35"/>
        <v>1</v>
      </c>
      <c r="BJ46" s="2700">
        <v>26</v>
      </c>
      <c r="BK46" s="2157">
        <f t="shared" si="33"/>
        <v>27</v>
      </c>
    </row>
    <row r="47" spans="1:66" ht="21.75" customHeight="1" thickBot="1">
      <c r="A47" s="1959">
        <v>3.35</v>
      </c>
      <c r="B47" s="1959">
        <v>4.2300000000000004</v>
      </c>
      <c r="C47" s="1959">
        <v>0</v>
      </c>
      <c r="D47" s="1959">
        <v>3.2410000000000001</v>
      </c>
      <c r="E47" s="1959">
        <v>4.13</v>
      </c>
      <c r="F47" s="1959">
        <v>0</v>
      </c>
      <c r="G47" s="1959">
        <v>5.68</v>
      </c>
      <c r="H47" s="1959">
        <v>3.78</v>
      </c>
      <c r="I47" s="1959">
        <v>7.25</v>
      </c>
      <c r="J47" s="1959">
        <v>0</v>
      </c>
      <c r="K47" s="1959">
        <v>7.415</v>
      </c>
      <c r="L47" s="1959">
        <v>3.11</v>
      </c>
      <c r="M47" s="1959">
        <v>5.4939999999999998</v>
      </c>
      <c r="N47" s="1959">
        <v>7.0549999999999997</v>
      </c>
      <c r="O47" s="1959">
        <v>7.19</v>
      </c>
      <c r="P47" s="1959">
        <v>7.22</v>
      </c>
      <c r="Q47" s="1959">
        <v>0</v>
      </c>
      <c r="R47" s="1959">
        <v>6.3680000000000003</v>
      </c>
      <c r="S47" s="1959">
        <v>10.72</v>
      </c>
      <c r="T47" s="1959">
        <v>9.6999999999999993</v>
      </c>
      <c r="U47" s="1959">
        <v>12.89</v>
      </c>
      <c r="V47" s="1959">
        <v>2.37</v>
      </c>
      <c r="W47" s="1959">
        <v>8.5150000000000006</v>
      </c>
      <c r="X47" s="1959">
        <v>0</v>
      </c>
      <c r="Y47" s="1959">
        <v>0</v>
      </c>
      <c r="Z47" s="1959">
        <v>6.4809999999999999</v>
      </c>
      <c r="AA47" s="1959">
        <v>9.4979999999999993</v>
      </c>
      <c r="AB47" s="1959">
        <f>158.48-144.947</f>
        <v>13.532999999999987</v>
      </c>
      <c r="AC47" s="1959">
        <v>9.26</v>
      </c>
      <c r="AD47" s="1959">
        <v>10.651999999999999</v>
      </c>
      <c r="AE47" s="3163">
        <v>6.1449999999999996</v>
      </c>
      <c r="AF47" s="1991">
        <f t="shared" si="28"/>
        <v>13.532999999999987</v>
      </c>
      <c r="AG47" s="2028">
        <f t="shared" si="29"/>
        <v>175.27699999999996</v>
      </c>
      <c r="AH47" s="2032"/>
      <c r="AI47" s="1940">
        <v>144.34100000000001</v>
      </c>
      <c r="AJ47" s="2036" t="s">
        <v>395</v>
      </c>
      <c r="AK47" s="2025">
        <f t="shared" si="34"/>
        <v>7.4074074074074074</v>
      </c>
      <c r="AL47" s="574">
        <f t="shared" si="6"/>
        <v>6.1449999999999996</v>
      </c>
      <c r="AM47" s="2026">
        <f t="shared" si="30"/>
        <v>200</v>
      </c>
      <c r="AN47" s="2025">
        <f t="shared" si="7"/>
        <v>175.27699999999996</v>
      </c>
      <c r="AO47" s="2078">
        <f>+AN48/AM47*100</f>
        <v>175.43</v>
      </c>
      <c r="AP47" s="2094">
        <f t="shared" si="31"/>
        <v>319.61799999999994</v>
      </c>
      <c r="AQ47" s="2026">
        <v>200</v>
      </c>
      <c r="AR47" s="2071">
        <f t="shared" si="32"/>
        <v>175.27699999999996</v>
      </c>
      <c r="AS47" s="2035">
        <f>SUM(AR47*100/AQ47)</f>
        <v>87.638499999999979</v>
      </c>
      <c r="AT47" s="744">
        <v>144.34100000000001</v>
      </c>
      <c r="AU47" s="2101">
        <v>179.529</v>
      </c>
      <c r="AV47" s="2074">
        <f t="shared" si="9"/>
        <v>10.651999999999999</v>
      </c>
      <c r="AW47" s="2022">
        <v>1150</v>
      </c>
      <c r="AX47" s="2132" t="s">
        <v>396</v>
      </c>
      <c r="AY47" s="2010">
        <v>11717</v>
      </c>
      <c r="AZ47" s="2419" t="s">
        <v>152</v>
      </c>
      <c r="BA47" s="474" t="s">
        <v>3915</v>
      </c>
      <c r="BB47" s="258">
        <v>0</v>
      </c>
      <c r="BC47" s="2069">
        <f>+BB47+BD47</f>
        <v>0</v>
      </c>
      <c r="BD47" s="2690">
        <v>0</v>
      </c>
      <c r="BE47" s="1282">
        <f>552.05-572.03</f>
        <v>-19.980000000000018</v>
      </c>
      <c r="BF47" s="1282"/>
      <c r="BG47" s="1282"/>
      <c r="BH47" s="2160">
        <f t="shared" si="36"/>
        <v>27</v>
      </c>
      <c r="BI47" s="2160">
        <f t="shared" si="35"/>
        <v>1</v>
      </c>
      <c r="BJ47" s="2700">
        <v>26</v>
      </c>
      <c r="BK47" s="2157">
        <f t="shared" si="33"/>
        <v>27</v>
      </c>
      <c r="BL47" s="1948"/>
    </row>
    <row r="48" spans="1:66" ht="24" customHeight="1" thickBot="1">
      <c r="A48" s="1959">
        <v>0</v>
      </c>
      <c r="B48" s="1959">
        <v>0</v>
      </c>
      <c r="C48" s="1959">
        <v>0</v>
      </c>
      <c r="D48" s="1959">
        <v>0</v>
      </c>
      <c r="E48" s="1959">
        <v>0</v>
      </c>
      <c r="F48" s="1959">
        <v>0</v>
      </c>
      <c r="G48" s="1959">
        <v>0</v>
      </c>
      <c r="H48" s="1959">
        <v>0</v>
      </c>
      <c r="I48" s="1959">
        <v>0</v>
      </c>
      <c r="J48" s="1959">
        <v>0</v>
      </c>
      <c r="K48" s="1959">
        <v>0</v>
      </c>
      <c r="L48" s="1959">
        <v>0</v>
      </c>
      <c r="M48" s="1959">
        <v>0</v>
      </c>
      <c r="N48" s="1959">
        <v>0</v>
      </c>
      <c r="O48" s="1959">
        <v>0</v>
      </c>
      <c r="P48" s="1959">
        <v>96.4</v>
      </c>
      <c r="Q48" s="1959">
        <v>0</v>
      </c>
      <c r="R48" s="1959">
        <v>0</v>
      </c>
      <c r="S48" s="1959">
        <v>0</v>
      </c>
      <c r="T48" s="1959">
        <v>0</v>
      </c>
      <c r="U48" s="1959">
        <v>0</v>
      </c>
      <c r="V48" s="1959">
        <v>0</v>
      </c>
      <c r="W48" s="1959">
        <v>51.92</v>
      </c>
      <c r="X48" s="1959">
        <v>0</v>
      </c>
      <c r="Y48" s="1959">
        <v>52.68</v>
      </c>
      <c r="Z48" s="1959">
        <v>0</v>
      </c>
      <c r="AA48" s="1959">
        <v>0</v>
      </c>
      <c r="AB48" s="1959">
        <v>50.32</v>
      </c>
      <c r="AC48" s="1959">
        <v>50.3</v>
      </c>
      <c r="AD48" s="1959">
        <v>0</v>
      </c>
      <c r="AE48" s="3163">
        <v>49.24</v>
      </c>
      <c r="AF48" s="1991">
        <f t="shared" si="28"/>
        <v>96.4</v>
      </c>
      <c r="AG48" s="2028">
        <f t="shared" si="29"/>
        <v>350.86</v>
      </c>
      <c r="AH48" s="32"/>
      <c r="AI48" s="1940">
        <v>556.79999999999995</v>
      </c>
      <c r="AJ48" s="2036" t="s">
        <v>397</v>
      </c>
      <c r="AK48" s="2025">
        <f t="shared" si="34"/>
        <v>24.074074074074073</v>
      </c>
      <c r="AL48" s="574">
        <f t="shared" si="6"/>
        <v>49.24</v>
      </c>
      <c r="AM48" s="2026">
        <f t="shared" si="30"/>
        <v>650</v>
      </c>
      <c r="AN48" s="2025">
        <f t="shared" si="7"/>
        <v>350.86</v>
      </c>
      <c r="AO48" s="2078">
        <f>+AN49/AM48*100</f>
        <v>0</v>
      </c>
      <c r="AP48" s="2094">
        <f t="shared" si="31"/>
        <v>907.66</v>
      </c>
      <c r="AQ48" s="2026">
        <v>650</v>
      </c>
      <c r="AR48" s="2071">
        <f t="shared" si="32"/>
        <v>350.86</v>
      </c>
      <c r="AS48" s="2078">
        <f>SUM(AR48*100/AQ48)</f>
        <v>53.978461538461538</v>
      </c>
      <c r="AT48" s="744">
        <v>556.79999999999995</v>
      </c>
      <c r="AU48" s="2101">
        <v>591.87</v>
      </c>
      <c r="AV48" s="2074">
        <f t="shared" si="9"/>
        <v>0</v>
      </c>
      <c r="AW48" s="2022"/>
      <c r="AX48" s="2132"/>
      <c r="AY48" s="2010"/>
      <c r="AZ48" s="2006" t="s">
        <v>271</v>
      </c>
      <c r="BA48" s="2003"/>
      <c r="BB48" s="2069">
        <f>+BA48+BC48</f>
        <v>0</v>
      </c>
      <c r="BC48" s="2002"/>
      <c r="BD48" s="2690"/>
      <c r="BE48" s="2163"/>
      <c r="BF48" s="2163"/>
      <c r="BG48" s="2163"/>
      <c r="BH48" s="2160">
        <f t="shared" si="36"/>
        <v>27</v>
      </c>
      <c r="BI48" s="2160">
        <f t="shared" si="35"/>
        <v>1</v>
      </c>
      <c r="BJ48" s="2700">
        <v>26</v>
      </c>
      <c r="BK48" s="2157">
        <f t="shared" si="33"/>
        <v>27</v>
      </c>
    </row>
    <row r="49" spans="1:87" ht="18.95" customHeight="1" thickBot="1">
      <c r="A49" s="1959">
        <v>0</v>
      </c>
      <c r="B49" s="1959">
        <v>0</v>
      </c>
      <c r="C49" s="1959">
        <v>0</v>
      </c>
      <c r="D49" s="1959">
        <v>0</v>
      </c>
      <c r="E49" s="1959">
        <v>0</v>
      </c>
      <c r="F49" s="1959">
        <v>0</v>
      </c>
      <c r="G49" s="1959">
        <v>0</v>
      </c>
      <c r="H49" s="1959">
        <v>0</v>
      </c>
      <c r="I49" s="1959">
        <v>0</v>
      </c>
      <c r="J49" s="1959">
        <v>0</v>
      </c>
      <c r="K49" s="1959">
        <v>0</v>
      </c>
      <c r="L49" s="1959">
        <v>0</v>
      </c>
      <c r="M49" s="1959">
        <v>0</v>
      </c>
      <c r="N49" s="1959">
        <v>0</v>
      </c>
      <c r="O49" s="1959">
        <v>0</v>
      </c>
      <c r="P49" s="1959">
        <v>0</v>
      </c>
      <c r="Q49" s="1959">
        <v>0</v>
      </c>
      <c r="R49" s="1959">
        <v>0</v>
      </c>
      <c r="S49" s="1959">
        <v>0</v>
      </c>
      <c r="T49" s="1959">
        <v>0</v>
      </c>
      <c r="U49" s="1959">
        <v>0</v>
      </c>
      <c r="V49" s="1959">
        <v>0</v>
      </c>
      <c r="W49" s="1959">
        <v>0</v>
      </c>
      <c r="X49" s="1959">
        <v>0</v>
      </c>
      <c r="Y49" s="1959">
        <v>0</v>
      </c>
      <c r="Z49" s="1959">
        <v>0</v>
      </c>
      <c r="AA49" s="1959">
        <v>0</v>
      </c>
      <c r="AB49" s="1959">
        <v>0</v>
      </c>
      <c r="AC49" s="1959">
        <v>0</v>
      </c>
      <c r="AD49" s="1959">
        <v>0</v>
      </c>
      <c r="AE49" s="3163">
        <v>0</v>
      </c>
      <c r="AF49" s="1991">
        <f t="shared" si="28"/>
        <v>0</v>
      </c>
      <c r="AG49" s="2023">
        <f t="shared" si="29"/>
        <v>0</v>
      </c>
      <c r="AH49" s="2049" t="s">
        <v>398</v>
      </c>
      <c r="AI49" s="1940">
        <v>0</v>
      </c>
      <c r="AJ49" s="2036" t="s">
        <v>399</v>
      </c>
      <c r="AK49" s="2025">
        <f t="shared" si="34"/>
        <v>0</v>
      </c>
      <c r="AL49" s="574">
        <f t="shared" si="6"/>
        <v>0</v>
      </c>
      <c r="AM49" s="2026">
        <f t="shared" si="30"/>
        <v>0</v>
      </c>
      <c r="AN49" s="2025">
        <f t="shared" si="7"/>
        <v>0</v>
      </c>
      <c r="AO49" s="2017" t="s">
        <v>271</v>
      </c>
      <c r="AP49" s="2094">
        <f t="shared" si="31"/>
        <v>0</v>
      </c>
      <c r="AQ49" s="2026">
        <v>0</v>
      </c>
      <c r="AR49" s="2071">
        <f t="shared" si="32"/>
        <v>0</v>
      </c>
      <c r="AS49" s="474"/>
      <c r="AT49" s="744">
        <v>0</v>
      </c>
      <c r="AU49" s="2101">
        <v>0</v>
      </c>
      <c r="AV49" s="2074">
        <f t="shared" si="9"/>
        <v>0</v>
      </c>
      <c r="AW49" s="2022"/>
      <c r="AX49" s="2132"/>
      <c r="AY49" s="2010"/>
      <c r="AZ49" s="2006" t="s">
        <v>271</v>
      </c>
      <c r="BA49" s="2017" t="s">
        <v>400</v>
      </c>
      <c r="BB49" s="2139">
        <f>'SAL STOCK'!F6</f>
        <v>305.8700000000008</v>
      </c>
      <c r="BC49" s="3172">
        <f>44.53+485.28+430.06+115.12+336.49+531.3+347.27+697.06+324.72+267.78+418.482+355.03+501.8+636.13+518.13+199.32+666.16+187.56+291.2+321.3+168.58+684.7+120.92+295.31+172.74+540.31+305.87</f>
        <v>9963.152</v>
      </c>
      <c r="BD49" s="2690"/>
      <c r="BE49" s="2164">
        <v>2752.95</v>
      </c>
      <c r="BF49" s="2165"/>
      <c r="BG49" s="2165"/>
      <c r="BH49" s="2160">
        <f t="shared" si="36"/>
        <v>27</v>
      </c>
      <c r="BI49" s="2160">
        <f t="shared" si="35"/>
        <v>1</v>
      </c>
      <c r="BJ49" s="2700">
        <v>26</v>
      </c>
      <c r="BK49" s="2157">
        <f t="shared" si="33"/>
        <v>27</v>
      </c>
    </row>
    <row r="50" spans="1:87" ht="21" customHeight="1" thickBot="1">
      <c r="A50" s="1959">
        <v>0</v>
      </c>
      <c r="B50" s="1959">
        <v>0</v>
      </c>
      <c r="C50" s="1959">
        <v>0</v>
      </c>
      <c r="D50" s="1959">
        <v>0</v>
      </c>
      <c r="E50" s="1959">
        <v>0</v>
      </c>
      <c r="F50" s="1959">
        <v>0</v>
      </c>
      <c r="G50" s="1959">
        <v>0</v>
      </c>
      <c r="H50" s="1959">
        <v>0</v>
      </c>
      <c r="I50" s="1959">
        <v>0</v>
      </c>
      <c r="J50" s="1959">
        <v>0</v>
      </c>
      <c r="K50" s="1959">
        <v>0</v>
      </c>
      <c r="L50" s="1959">
        <v>0</v>
      </c>
      <c r="M50" s="1959">
        <v>0</v>
      </c>
      <c r="N50" s="1959">
        <v>0</v>
      </c>
      <c r="O50" s="1959">
        <v>0</v>
      </c>
      <c r="P50" s="1959">
        <v>0</v>
      </c>
      <c r="Q50" s="1959">
        <v>0</v>
      </c>
      <c r="R50" s="1959">
        <v>0</v>
      </c>
      <c r="S50" s="1959">
        <v>0</v>
      </c>
      <c r="T50" s="1959">
        <v>0</v>
      </c>
      <c r="U50" s="1959">
        <v>0</v>
      </c>
      <c r="V50" s="1959">
        <v>0</v>
      </c>
      <c r="W50" s="1959">
        <v>0</v>
      </c>
      <c r="X50" s="1959">
        <v>0</v>
      </c>
      <c r="Y50" s="1959">
        <v>0</v>
      </c>
      <c r="Z50" s="1959">
        <v>0</v>
      </c>
      <c r="AA50" s="1959">
        <v>0</v>
      </c>
      <c r="AB50" s="1959">
        <v>0</v>
      </c>
      <c r="AC50" s="1959">
        <v>0</v>
      </c>
      <c r="AD50" s="1959">
        <v>0</v>
      </c>
      <c r="AE50" s="3163">
        <v>0</v>
      </c>
      <c r="AF50" s="1991"/>
      <c r="AG50" s="2023">
        <f t="shared" si="29"/>
        <v>0</v>
      </c>
      <c r="AH50" s="2050">
        <f>+AG48+AG49+AG50</f>
        <v>350.86</v>
      </c>
      <c r="AI50" s="1940">
        <v>0</v>
      </c>
      <c r="AJ50" s="2036" t="s">
        <v>401</v>
      </c>
      <c r="AK50" s="2025"/>
      <c r="AL50" s="574">
        <f t="shared" si="6"/>
        <v>0</v>
      </c>
      <c r="AM50" s="2026">
        <f t="shared" si="30"/>
        <v>0</v>
      </c>
      <c r="AN50" s="2025">
        <f t="shared" si="7"/>
        <v>0</v>
      </c>
      <c r="AO50" s="2017"/>
      <c r="AP50" s="2094">
        <v>0</v>
      </c>
      <c r="AQ50" s="2026">
        <v>0</v>
      </c>
      <c r="AR50" s="2071">
        <f t="shared" si="32"/>
        <v>0</v>
      </c>
      <c r="AS50" s="474"/>
      <c r="AT50" s="744">
        <v>0</v>
      </c>
      <c r="AU50" s="2096">
        <v>0</v>
      </c>
      <c r="AV50" s="2074">
        <f t="shared" si="9"/>
        <v>0</v>
      </c>
      <c r="AW50" s="2022"/>
      <c r="AX50" s="2132"/>
      <c r="AY50" s="2010"/>
      <c r="AZ50" s="2006"/>
      <c r="BA50" s="132" t="s">
        <v>256</v>
      </c>
      <c r="BB50" s="2139">
        <f>'SAL STOCK'!F7</f>
        <v>0</v>
      </c>
      <c r="BC50" s="3172">
        <f>1.8+24.07+31.92+15.88+37.63+8.3+26.46</f>
        <v>146.06</v>
      </c>
      <c r="BD50" s="2690"/>
      <c r="BE50" s="2164"/>
      <c r="BF50" s="2165"/>
      <c r="BG50" s="2165"/>
      <c r="BH50" s="2160">
        <f t="shared" si="36"/>
        <v>27</v>
      </c>
      <c r="BI50" s="2160">
        <f t="shared" si="35"/>
        <v>1</v>
      </c>
      <c r="BJ50" s="2700">
        <v>26</v>
      </c>
      <c r="BK50" s="2166">
        <f>+BK49</f>
        <v>27</v>
      </c>
    </row>
    <row r="51" spans="1:87" ht="18.95" customHeight="1" thickBot="1">
      <c r="A51" s="1959">
        <v>0</v>
      </c>
      <c r="B51" s="1959">
        <v>0</v>
      </c>
      <c r="C51" s="1959">
        <v>0</v>
      </c>
      <c r="D51" s="1959">
        <v>0</v>
      </c>
      <c r="E51" s="1959">
        <v>0</v>
      </c>
      <c r="F51" s="1959">
        <v>0</v>
      </c>
      <c r="G51" s="1959">
        <v>0</v>
      </c>
      <c r="H51" s="1959">
        <v>0</v>
      </c>
      <c r="I51" s="1959">
        <v>0</v>
      </c>
      <c r="J51" s="1959">
        <v>0</v>
      </c>
      <c r="K51" s="1959">
        <v>0</v>
      </c>
      <c r="L51" s="1959">
        <v>0</v>
      </c>
      <c r="M51" s="1959">
        <v>0</v>
      </c>
      <c r="N51" s="1959">
        <v>0</v>
      </c>
      <c r="O51" s="1959">
        <v>0</v>
      </c>
      <c r="P51" s="1959">
        <v>0</v>
      </c>
      <c r="Q51" s="1959">
        <v>0</v>
      </c>
      <c r="R51" s="1959">
        <v>0</v>
      </c>
      <c r="S51" s="1959">
        <v>0</v>
      </c>
      <c r="T51" s="1959">
        <v>0</v>
      </c>
      <c r="U51" s="1959">
        <v>0</v>
      </c>
      <c r="V51" s="1959">
        <v>0</v>
      </c>
      <c r="W51" s="1959">
        <v>0</v>
      </c>
      <c r="X51" s="1959">
        <v>0</v>
      </c>
      <c r="Y51" s="1959">
        <v>0</v>
      </c>
      <c r="Z51" s="1959">
        <v>0</v>
      </c>
      <c r="AA51" s="1959">
        <v>0</v>
      </c>
      <c r="AB51" s="1959">
        <v>0</v>
      </c>
      <c r="AC51" s="1959">
        <v>0</v>
      </c>
      <c r="AD51" s="1959">
        <v>0</v>
      </c>
      <c r="AE51" s="3163">
        <v>30.5</v>
      </c>
      <c r="AF51" s="1991">
        <f>MAX(A51:AE51)</f>
        <v>30.5</v>
      </c>
      <c r="AG51" s="2023">
        <f t="shared" si="29"/>
        <v>30.5</v>
      </c>
      <c r="AH51" s="2051"/>
      <c r="AI51" s="1940">
        <v>0</v>
      </c>
      <c r="AJ51" s="2036" t="s">
        <v>402</v>
      </c>
      <c r="AK51" s="2025"/>
      <c r="AL51" s="574">
        <f t="shared" si="6"/>
        <v>30.5</v>
      </c>
      <c r="AM51" s="2026"/>
      <c r="AN51" s="2025">
        <f t="shared" si="7"/>
        <v>30.5</v>
      </c>
      <c r="AO51" s="2017"/>
      <c r="AP51" s="2094">
        <f t="shared" si="31"/>
        <v>30.5</v>
      </c>
      <c r="AQ51" s="2026"/>
      <c r="AR51" s="2071"/>
      <c r="AS51" s="474"/>
      <c r="AT51" s="744">
        <v>0</v>
      </c>
      <c r="AU51" s="2096">
        <v>54.4</v>
      </c>
      <c r="AV51" s="2074">
        <f t="shared" si="9"/>
        <v>0</v>
      </c>
      <c r="AW51" s="2022"/>
      <c r="AX51" s="2132"/>
      <c r="AY51" s="2010"/>
      <c r="AZ51" s="2006"/>
      <c r="BA51" s="474"/>
      <c r="BB51" s="2139"/>
      <c r="BC51" s="3172">
        <v>0</v>
      </c>
      <c r="BD51" s="2690"/>
      <c r="BE51" s="2164"/>
      <c r="BF51" s="2165"/>
      <c r="BG51" s="2165"/>
      <c r="BH51" s="2160">
        <f t="shared" si="36"/>
        <v>27</v>
      </c>
      <c r="BJ51" s="2700"/>
      <c r="BK51" s="2166"/>
    </row>
    <row r="52" spans="1:87" ht="18.95" customHeight="1" thickBot="1">
      <c r="A52" s="1959">
        <v>0</v>
      </c>
      <c r="B52" s="1959">
        <v>0</v>
      </c>
      <c r="C52" s="1959">
        <v>0</v>
      </c>
      <c r="D52" s="1959">
        <v>0</v>
      </c>
      <c r="E52" s="1959">
        <v>0</v>
      </c>
      <c r="F52" s="1959">
        <v>0</v>
      </c>
      <c r="G52" s="1959">
        <v>0</v>
      </c>
      <c r="H52" s="1959">
        <v>0</v>
      </c>
      <c r="I52" s="1959">
        <v>0</v>
      </c>
      <c r="J52" s="1959">
        <v>0</v>
      </c>
      <c r="K52" s="1959">
        <v>0</v>
      </c>
      <c r="L52" s="1959">
        <v>0</v>
      </c>
      <c r="M52" s="1959">
        <v>0</v>
      </c>
      <c r="N52" s="1959">
        <v>0</v>
      </c>
      <c r="O52" s="1959">
        <v>0</v>
      </c>
      <c r="P52" s="1959">
        <v>0</v>
      </c>
      <c r="Q52" s="1959">
        <v>0</v>
      </c>
      <c r="R52" s="1959">
        <v>0</v>
      </c>
      <c r="S52" s="1959">
        <v>0</v>
      </c>
      <c r="T52" s="1959">
        <v>0</v>
      </c>
      <c r="U52" s="1959">
        <v>0</v>
      </c>
      <c r="V52" s="1959">
        <v>0</v>
      </c>
      <c r="W52" s="1959">
        <v>0</v>
      </c>
      <c r="X52" s="1959">
        <v>0</v>
      </c>
      <c r="Y52" s="1959">
        <v>0</v>
      </c>
      <c r="Z52" s="1959">
        <v>0</v>
      </c>
      <c r="AA52" s="1959">
        <v>0</v>
      </c>
      <c r="AB52" s="1959">
        <v>0</v>
      </c>
      <c r="AC52" s="1959">
        <v>0</v>
      </c>
      <c r="AD52" s="1959">
        <v>0</v>
      </c>
      <c r="AE52" s="3163">
        <v>0</v>
      </c>
      <c r="AF52" s="1991">
        <f>MAX(A52:AE52)</f>
        <v>0</v>
      </c>
      <c r="AG52" s="2023">
        <f t="shared" si="29"/>
        <v>0</v>
      </c>
      <c r="AH52" s="2051"/>
      <c r="AI52" s="1940">
        <v>0</v>
      </c>
      <c r="AJ52" s="2036" t="s">
        <v>403</v>
      </c>
      <c r="AK52" s="2025">
        <f t="shared" si="34"/>
        <v>0</v>
      </c>
      <c r="AL52" s="574">
        <f t="shared" si="6"/>
        <v>0</v>
      </c>
      <c r="AM52" s="2026">
        <f>SUM(AQ52/BH52*BK52)</f>
        <v>0</v>
      </c>
      <c r="AN52" s="2025">
        <f t="shared" si="7"/>
        <v>0</v>
      </c>
      <c r="AO52" s="474"/>
      <c r="AP52" s="2094">
        <f t="shared" si="31"/>
        <v>0</v>
      </c>
      <c r="AQ52" s="2026">
        <v>0</v>
      </c>
      <c r="AR52" s="2071">
        <f>+AN52/BK52*BH52</f>
        <v>0</v>
      </c>
      <c r="AS52" s="2078"/>
      <c r="AT52" s="744">
        <v>0</v>
      </c>
      <c r="AU52" s="2079">
        <v>0</v>
      </c>
      <c r="AV52" s="2074">
        <f t="shared" si="9"/>
        <v>0</v>
      </c>
      <c r="AW52" s="2022"/>
      <c r="AX52" s="2132"/>
      <c r="AY52" s="2010">
        <v>7513</v>
      </c>
      <c r="AZ52" s="2419" t="s">
        <v>378</v>
      </c>
      <c r="BA52" s="2017" t="s">
        <v>404</v>
      </c>
      <c r="BB52" s="2139">
        <f>'SAL STOCK'!F8</f>
        <v>0</v>
      </c>
      <c r="BC52" s="3172">
        <f>11.27+18.43+5.7+20.28+15.5+2+20.22+2.55+16.23+19.95+30.74+8.355+17.4+68.01</f>
        <v>256.63499999999999</v>
      </c>
      <c r="BD52" s="2690"/>
      <c r="BE52" s="2164"/>
      <c r="BF52" s="2165"/>
      <c r="BG52" s="2165"/>
      <c r="BH52" s="2160">
        <f t="shared" si="36"/>
        <v>27</v>
      </c>
      <c r="BI52" s="2158">
        <f>+BI49</f>
        <v>1</v>
      </c>
      <c r="BJ52" s="2700">
        <v>26</v>
      </c>
      <c r="BK52" s="2157">
        <f>BJ52+BI52</f>
        <v>27</v>
      </c>
    </row>
    <row r="53" spans="1:87" ht="18.95" customHeight="1" thickBot="1">
      <c r="A53" s="1959">
        <v>6.25</v>
      </c>
      <c r="B53" s="1959">
        <v>38.85</v>
      </c>
      <c r="C53" s="1959">
        <v>0</v>
      </c>
      <c r="D53" s="1959">
        <v>44.35</v>
      </c>
      <c r="E53" s="1959">
        <v>0</v>
      </c>
      <c r="F53" s="1959">
        <v>79.459999999999994</v>
      </c>
      <c r="G53" s="1959">
        <v>40.96</v>
      </c>
      <c r="H53" s="1959">
        <v>1.6</v>
      </c>
      <c r="I53" s="1959">
        <v>40.86</v>
      </c>
      <c r="J53" s="1959">
        <v>0</v>
      </c>
      <c r="K53" s="1959">
        <v>80.37</v>
      </c>
      <c r="L53" s="1959">
        <v>33.299999999999997</v>
      </c>
      <c r="M53" s="1959">
        <v>6.2</v>
      </c>
      <c r="N53" s="1959">
        <v>39.909999999999997</v>
      </c>
      <c r="O53" s="1959">
        <v>38.46</v>
      </c>
      <c r="P53" s="1959">
        <f>113.66-33.6</f>
        <v>80.06</v>
      </c>
      <c r="Q53" s="1959">
        <v>0</v>
      </c>
      <c r="R53" s="1959">
        <v>103.42</v>
      </c>
      <c r="S53" s="1959">
        <v>21.96</v>
      </c>
      <c r="T53" s="1959">
        <v>0</v>
      </c>
      <c r="U53" s="1959">
        <v>0</v>
      </c>
      <c r="V53" s="1959">
        <v>0</v>
      </c>
      <c r="W53" s="1959">
        <v>0</v>
      </c>
      <c r="X53" s="1959">
        <v>0</v>
      </c>
      <c r="Y53" s="1959">
        <v>0</v>
      </c>
      <c r="Z53" s="1959">
        <v>0</v>
      </c>
      <c r="AA53" s="1959">
        <v>0</v>
      </c>
      <c r="AB53" s="1959">
        <v>0</v>
      </c>
      <c r="AC53" s="1959">
        <v>0</v>
      </c>
      <c r="AD53" s="1959">
        <v>0</v>
      </c>
      <c r="AE53" s="3163">
        <v>38.9</v>
      </c>
      <c r="AF53" s="1991">
        <f>MAX(A53:AE53)</f>
        <v>103.42</v>
      </c>
      <c r="AG53" s="2023">
        <f t="shared" si="29"/>
        <v>694.91</v>
      </c>
      <c r="AH53" s="2051"/>
      <c r="AI53" s="1940">
        <v>652.74</v>
      </c>
      <c r="AJ53" s="2036" t="s">
        <v>405</v>
      </c>
      <c r="AK53" s="2025"/>
      <c r="AL53" s="574">
        <f t="shared" si="6"/>
        <v>38.9</v>
      </c>
      <c r="AM53" s="2026">
        <f>SUM(AQ53/BH53*BK53)</f>
        <v>250</v>
      </c>
      <c r="AN53" s="2025">
        <f t="shared" si="7"/>
        <v>694.91</v>
      </c>
      <c r="AO53" s="474"/>
      <c r="AP53" s="2094">
        <f t="shared" si="31"/>
        <v>1347.65</v>
      </c>
      <c r="AQ53" s="2026">
        <v>250</v>
      </c>
      <c r="AR53" s="2071">
        <f>+AN53/BK53*BH53</f>
        <v>694.91</v>
      </c>
      <c r="AS53" s="474"/>
      <c r="AT53" s="744">
        <v>652.74</v>
      </c>
      <c r="AU53" s="2089">
        <v>390.63600000000008</v>
      </c>
      <c r="AV53" s="2074">
        <f t="shared" si="9"/>
        <v>0</v>
      </c>
      <c r="AW53" s="2022"/>
      <c r="AX53" s="2132"/>
      <c r="AY53" s="2010"/>
      <c r="AZ53" s="2006"/>
      <c r="BA53" s="2017"/>
      <c r="BB53" s="2139"/>
      <c r="BC53" s="3172">
        <v>0</v>
      </c>
      <c r="BD53" s="2690"/>
      <c r="BE53" s="2164"/>
      <c r="BF53" s="2165"/>
      <c r="BG53" s="2165"/>
      <c r="BH53" s="2160">
        <f t="shared" si="36"/>
        <v>27</v>
      </c>
      <c r="BI53" s="2158">
        <f>+BI52</f>
        <v>1</v>
      </c>
      <c r="BJ53" s="2700">
        <v>26</v>
      </c>
      <c r="BK53" s="2157">
        <f>BJ53+BI53</f>
        <v>27</v>
      </c>
    </row>
    <row r="54" spans="1:87" s="1939" customFormat="1" ht="24.75" customHeight="1" thickBot="1">
      <c r="A54" s="1959">
        <v>0</v>
      </c>
      <c r="B54" s="1959">
        <v>0</v>
      </c>
      <c r="C54" s="1959">
        <v>0</v>
      </c>
      <c r="D54" s="1959">
        <v>0</v>
      </c>
      <c r="E54" s="1959">
        <v>0</v>
      </c>
      <c r="F54" s="1959">
        <v>0</v>
      </c>
      <c r="G54" s="1959">
        <v>0</v>
      </c>
      <c r="H54" s="1959">
        <v>0</v>
      </c>
      <c r="I54" s="1959">
        <v>0</v>
      </c>
      <c r="J54" s="1959">
        <v>0</v>
      </c>
      <c r="K54" s="1959">
        <v>0</v>
      </c>
      <c r="L54" s="1959">
        <v>0</v>
      </c>
      <c r="M54" s="1959">
        <v>0</v>
      </c>
      <c r="N54" s="1959">
        <v>0</v>
      </c>
      <c r="O54" s="1959">
        <v>0</v>
      </c>
      <c r="P54" s="1959">
        <v>0</v>
      </c>
      <c r="Q54" s="1959">
        <v>0</v>
      </c>
      <c r="R54" s="1959">
        <v>0</v>
      </c>
      <c r="S54" s="1959">
        <v>0</v>
      </c>
      <c r="T54" s="1959">
        <v>0</v>
      </c>
      <c r="U54" s="1959">
        <v>0</v>
      </c>
      <c r="V54" s="1959">
        <v>0</v>
      </c>
      <c r="W54" s="1959">
        <v>0</v>
      </c>
      <c r="X54" s="1959">
        <v>0</v>
      </c>
      <c r="Y54" s="1959">
        <v>0</v>
      </c>
      <c r="Z54" s="1959">
        <v>0</v>
      </c>
      <c r="AA54" s="1959">
        <v>0</v>
      </c>
      <c r="AB54" s="1959">
        <v>0</v>
      </c>
      <c r="AC54" s="1959">
        <v>0</v>
      </c>
      <c r="AD54" s="1959">
        <v>0</v>
      </c>
      <c r="AE54" s="3163">
        <v>0</v>
      </c>
      <c r="AF54" s="1991">
        <f>MAX(A54:AE54)</f>
        <v>0</v>
      </c>
      <c r="AG54" s="2023">
        <f t="shared" si="29"/>
        <v>0</v>
      </c>
      <c r="AH54" s="2050">
        <f>+AG44+AG46+AG47+AG48</f>
        <v>11067.296999999999</v>
      </c>
      <c r="AI54" s="1940">
        <v>0</v>
      </c>
      <c r="AJ54" s="2036" t="s">
        <v>406</v>
      </c>
      <c r="AK54" s="2025">
        <f t="shared" si="34"/>
        <v>0</v>
      </c>
      <c r="AL54" s="574">
        <f t="shared" si="6"/>
        <v>0</v>
      </c>
      <c r="AM54" s="2026">
        <f>SUM(AQ54/BH54*BK54)</f>
        <v>0</v>
      </c>
      <c r="AN54" s="2025">
        <f t="shared" si="7"/>
        <v>0</v>
      </c>
      <c r="AO54" s="2078" t="s">
        <v>271</v>
      </c>
      <c r="AP54" s="2094">
        <f t="shared" si="31"/>
        <v>0</v>
      </c>
      <c r="AQ54" s="2026">
        <v>0</v>
      </c>
      <c r="AR54" s="2071">
        <f>+AN54/BK54*BH54</f>
        <v>0</v>
      </c>
      <c r="AS54" s="2017" t="s">
        <v>298</v>
      </c>
      <c r="AT54" s="744">
        <v>0</v>
      </c>
      <c r="AU54" s="32">
        <v>0</v>
      </c>
      <c r="AV54" s="2074">
        <f t="shared" si="9"/>
        <v>0</v>
      </c>
      <c r="AW54" s="2141" t="s">
        <v>271</v>
      </c>
      <c r="AX54" s="2132"/>
      <c r="AY54" s="2010"/>
      <c r="AZ54" s="2006" t="s">
        <v>271</v>
      </c>
      <c r="BA54" s="2017" t="s">
        <v>407</v>
      </c>
      <c r="BB54" s="2139">
        <f>'SAL STOCK'!F9</f>
        <v>50.234000000000009</v>
      </c>
      <c r="BC54" s="3172">
        <f>27.8+8.5+7.628+29+8.87+2.55+59.71+4.105+50.234</f>
        <v>198.39699999999999</v>
      </c>
      <c r="BD54" s="2690"/>
      <c r="BE54" s="2164"/>
      <c r="BF54" s="2165"/>
      <c r="BG54" s="2165"/>
      <c r="BH54" s="2160">
        <f t="shared" si="36"/>
        <v>27</v>
      </c>
      <c r="BI54" s="2158">
        <f>BI44</f>
        <v>1</v>
      </c>
      <c r="BJ54" s="2700">
        <v>26</v>
      </c>
      <c r="BK54" s="2157">
        <f>BJ54+BI54</f>
        <v>27</v>
      </c>
      <c r="BL54" s="1940"/>
      <c r="BM54" s="131"/>
      <c r="BN54" s="1940"/>
      <c r="BO54" s="1940"/>
      <c r="BP54" s="1940"/>
      <c r="BQ54" s="1940"/>
      <c r="BR54" s="1940"/>
      <c r="BS54" s="1940"/>
      <c r="BT54" s="1940"/>
      <c r="BU54" s="1940"/>
      <c r="BV54" s="1940"/>
      <c r="BW54" s="1940"/>
      <c r="BX54" s="1940"/>
      <c r="BY54" s="1940"/>
      <c r="BZ54" s="1940"/>
      <c r="CA54" s="1940"/>
      <c r="CB54" s="1940"/>
      <c r="CC54" s="1940"/>
      <c r="CI54" s="2172">
        <f>SUM(J55:P55)</f>
        <v>0</v>
      </c>
    </row>
    <row r="55" spans="1:87" ht="26.25" customHeight="1" thickBot="1">
      <c r="A55" s="1962">
        <v>0</v>
      </c>
      <c r="B55" s="1962">
        <v>0</v>
      </c>
      <c r="C55" s="1962">
        <v>0</v>
      </c>
      <c r="D55" s="1962">
        <v>0</v>
      </c>
      <c r="E55" s="1962">
        <v>52.65</v>
      </c>
      <c r="F55" s="1962">
        <v>0</v>
      </c>
      <c r="G55" s="1962">
        <v>0</v>
      </c>
      <c r="H55" s="1962">
        <v>52.65</v>
      </c>
      <c r="I55" s="1962">
        <v>0</v>
      </c>
      <c r="J55" s="1962">
        <v>0</v>
      </c>
      <c r="K55" s="1962">
        <v>0</v>
      </c>
      <c r="L55" s="1962">
        <v>0</v>
      </c>
      <c r="M55" s="1962">
        <v>0</v>
      </c>
      <c r="N55" s="1962">
        <v>0</v>
      </c>
      <c r="O55" s="1962">
        <v>0</v>
      </c>
      <c r="P55" s="1962">
        <v>0</v>
      </c>
      <c r="Q55" s="1962">
        <v>0</v>
      </c>
      <c r="R55" s="1962">
        <v>0</v>
      </c>
      <c r="S55" s="1962">
        <v>0</v>
      </c>
      <c r="T55" s="1962">
        <v>0</v>
      </c>
      <c r="U55" s="1962">
        <v>0</v>
      </c>
      <c r="V55" s="1962">
        <v>0</v>
      </c>
      <c r="W55" s="1962">
        <v>0</v>
      </c>
      <c r="X55" s="1962">
        <v>0</v>
      </c>
      <c r="Y55" s="1962">
        <v>0</v>
      </c>
      <c r="Z55" s="1962">
        <v>0</v>
      </c>
      <c r="AA55" s="1962">
        <v>0</v>
      </c>
      <c r="AB55" s="1962">
        <v>0</v>
      </c>
      <c r="AC55" s="1962">
        <v>0</v>
      </c>
      <c r="AD55" s="1962">
        <v>0</v>
      </c>
      <c r="AE55" s="3166">
        <v>0</v>
      </c>
      <c r="AF55" s="1996">
        <f>MAX(A55:AE55)</f>
        <v>52.65</v>
      </c>
      <c r="AG55" s="2023">
        <f t="shared" si="29"/>
        <v>105.3</v>
      </c>
      <c r="AH55" s="2051">
        <f>277+302+291+491+532</f>
        <v>1893</v>
      </c>
      <c r="AI55" s="1940">
        <v>76.95</v>
      </c>
      <c r="AJ55" s="2036" t="s">
        <v>408</v>
      </c>
      <c r="AK55" s="2025">
        <f t="shared" si="34"/>
        <v>11.111111111111111</v>
      </c>
      <c r="AL55" s="574">
        <f t="shared" si="6"/>
        <v>0</v>
      </c>
      <c r="AM55" s="2026">
        <f>SUM(AQ55/BH55*BK55)</f>
        <v>300</v>
      </c>
      <c r="AN55" s="2025">
        <f t="shared" si="7"/>
        <v>105.3</v>
      </c>
      <c r="AO55" s="2078">
        <f>+AN56/AM55*100</f>
        <v>3800.7289999999989</v>
      </c>
      <c r="AP55" s="2094">
        <f t="shared" si="31"/>
        <v>182.25</v>
      </c>
      <c r="AQ55" s="2026">
        <v>300</v>
      </c>
      <c r="AR55" s="2071">
        <f>+AN55/BK55*BH55</f>
        <v>105.3</v>
      </c>
      <c r="AS55" s="2035">
        <f>SUM(AR55*100/AQ55)</f>
        <v>35.1</v>
      </c>
      <c r="AT55" s="2102">
        <v>76.95</v>
      </c>
      <c r="AU55" s="2103">
        <v>100.3</v>
      </c>
      <c r="AV55" s="2074">
        <f t="shared" si="9"/>
        <v>0</v>
      </c>
      <c r="AW55" s="2141"/>
      <c r="AX55" s="2132"/>
      <c r="AY55" s="2010">
        <v>12588</v>
      </c>
      <c r="AZ55" s="2419" t="s">
        <v>158</v>
      </c>
      <c r="BA55" s="2017" t="s">
        <v>409</v>
      </c>
      <c r="BB55" s="2139">
        <f>'SAL STOCK'!F10</f>
        <v>47.076000000000022</v>
      </c>
      <c r="BC55" s="3172">
        <f>388.77+39.6+42.09+47.076</f>
        <v>517.53600000000006</v>
      </c>
      <c r="BD55" s="2690"/>
      <c r="BE55" s="2164"/>
      <c r="BF55" s="2165"/>
      <c r="BG55" s="2165"/>
      <c r="BH55" s="2160">
        <f t="shared" si="36"/>
        <v>27</v>
      </c>
      <c r="BI55" s="2158">
        <f>BI44</f>
        <v>1</v>
      </c>
      <c r="BJ55" s="2700">
        <v>26</v>
      </c>
      <c r="BK55" s="2157">
        <f>BJ55+BI55</f>
        <v>27</v>
      </c>
      <c r="CI55" s="1940">
        <v>218</v>
      </c>
    </row>
    <row r="56" spans="1:87" ht="21" customHeight="1" thickBot="1">
      <c r="A56" s="1964">
        <f t="shared" ref="A56:AD56" si="37">SUM(A44:A55)-A53-A52</f>
        <v>150.81</v>
      </c>
      <c r="B56" s="1964">
        <f t="shared" si="37"/>
        <v>568.06999999999994</v>
      </c>
      <c r="C56" s="1964">
        <f t="shared" si="37"/>
        <v>0</v>
      </c>
      <c r="D56" s="1964">
        <f t="shared" si="37"/>
        <v>536.221</v>
      </c>
      <c r="E56" s="1964">
        <f t="shared" si="37"/>
        <v>427.09999999999997</v>
      </c>
      <c r="F56" s="1964">
        <f t="shared" si="37"/>
        <v>408.96</v>
      </c>
      <c r="G56" s="1964">
        <f t="shared" si="37"/>
        <v>346.45000000000005</v>
      </c>
      <c r="H56" s="1964">
        <f t="shared" si="37"/>
        <v>401.95999999999992</v>
      </c>
      <c r="I56" s="1964">
        <f t="shared" si="37"/>
        <v>356.04999999999995</v>
      </c>
      <c r="J56" s="1964">
        <f t="shared" si="37"/>
        <v>0</v>
      </c>
      <c r="K56" s="1964">
        <f t="shared" si="37"/>
        <v>540.19499999999994</v>
      </c>
      <c r="L56" s="1964">
        <f t="shared" si="37"/>
        <v>486.38999999999993</v>
      </c>
      <c r="M56" s="1964">
        <f t="shared" si="37"/>
        <v>417.30399999999997</v>
      </c>
      <c r="N56" s="1964">
        <f t="shared" si="37"/>
        <v>472.00499999999988</v>
      </c>
      <c r="O56" s="1964">
        <f t="shared" si="37"/>
        <v>563.25000000000011</v>
      </c>
      <c r="P56" s="1964">
        <f t="shared" si="37"/>
        <v>518.01</v>
      </c>
      <c r="Q56" s="1964">
        <f t="shared" si="37"/>
        <v>0</v>
      </c>
      <c r="R56" s="1964">
        <f t="shared" si="37"/>
        <v>497.67799999999994</v>
      </c>
      <c r="S56" s="1964">
        <f t="shared" si="37"/>
        <v>377.25</v>
      </c>
      <c r="T56" s="1964">
        <f t="shared" si="37"/>
        <v>444.96</v>
      </c>
      <c r="U56" s="1964">
        <f t="shared" si="37"/>
        <v>407.02</v>
      </c>
      <c r="V56" s="1964">
        <f t="shared" si="37"/>
        <v>429.36</v>
      </c>
      <c r="W56" s="1964">
        <f t="shared" si="37"/>
        <v>472.315</v>
      </c>
      <c r="X56" s="1964">
        <f t="shared" si="37"/>
        <v>0</v>
      </c>
      <c r="Y56" s="1964">
        <f t="shared" si="37"/>
        <v>375.73</v>
      </c>
      <c r="Z56" s="1964">
        <f t="shared" si="37"/>
        <v>310.041</v>
      </c>
      <c r="AA56" s="1964">
        <f t="shared" si="37"/>
        <v>289.37799999999999</v>
      </c>
      <c r="AB56" s="1964">
        <f t="shared" si="37"/>
        <v>257.01299999999998</v>
      </c>
      <c r="AC56" s="1964">
        <f t="shared" si="37"/>
        <v>510.479999999999</v>
      </c>
      <c r="AD56" s="1964">
        <f t="shared" si="37"/>
        <v>378.94200000000001</v>
      </c>
      <c r="AE56" s="3168">
        <f t="shared" ref="AE56" si="38">SUM(AE44:AE55)-AE53-AE52</f>
        <v>459.245</v>
      </c>
      <c r="AF56" s="1991">
        <f>491.61-479.91</f>
        <v>11.699999999999989</v>
      </c>
      <c r="AG56" s="2052">
        <f>SUM(AG44:AG55)-AG52-AG53</f>
        <v>11402.186999999998</v>
      </c>
      <c r="AH56" s="2053">
        <f>20373-20451</f>
        <v>-78</v>
      </c>
      <c r="AI56" s="1940">
        <v>11217.901000000002</v>
      </c>
      <c r="AJ56" s="2054" t="s">
        <v>384</v>
      </c>
      <c r="AK56" s="2025">
        <f t="shared" si="34"/>
        <v>420</v>
      </c>
      <c r="AL56" s="574">
        <f t="shared" si="6"/>
        <v>459.245</v>
      </c>
      <c r="AM56" s="2048">
        <f>SUM(AQ56/BH56*BK56)</f>
        <v>11340</v>
      </c>
      <c r="AN56" s="2025">
        <f t="shared" si="7"/>
        <v>11402.186999999998</v>
      </c>
      <c r="AO56" s="2078">
        <f>+AN56/AM56*100</f>
        <v>100.54838624338622</v>
      </c>
      <c r="AP56" s="2094">
        <f t="shared" si="31"/>
        <v>22620.088</v>
      </c>
      <c r="AQ56" s="2048">
        <f>SUM(AQ44:AQ55)</f>
        <v>11340</v>
      </c>
      <c r="AR56" s="2082">
        <f>+AN56/BK56*BH56</f>
        <v>11402.186999999998</v>
      </c>
      <c r="AS56" s="2035">
        <f>SUM(AR56*100/AQ56)</f>
        <v>100.54838624338622</v>
      </c>
      <c r="AT56" s="2094">
        <v>11217.901000000002</v>
      </c>
      <c r="AU56" s="2104">
        <v>10884.684000000003</v>
      </c>
      <c r="AV56" s="2074">
        <f t="shared" si="9"/>
        <v>378.94200000000001</v>
      </c>
      <c r="AW56" s="2112">
        <v>19652</v>
      </c>
      <c r="AX56" s="2142" t="s">
        <v>410</v>
      </c>
      <c r="AY56" s="2012">
        <v>202913</v>
      </c>
      <c r="AZ56" s="2012" t="s">
        <v>155</v>
      </c>
      <c r="BA56" s="2003" t="s">
        <v>411</v>
      </c>
      <c r="BB56" s="2139">
        <f>'SAL STOCK'!F13</f>
        <v>0</v>
      </c>
      <c r="BC56" s="3172"/>
      <c r="BD56" s="2690"/>
      <c r="BE56" s="2167">
        <f>+BC56+BC55</f>
        <v>517.53600000000006</v>
      </c>
      <c r="BF56" s="2167"/>
      <c r="BG56" s="2004">
        <f>BH56-BK56</f>
        <v>0</v>
      </c>
      <c r="BH56" s="2160">
        <f t="shared" si="36"/>
        <v>27</v>
      </c>
      <c r="BI56" s="2168">
        <f>BI44</f>
        <v>1</v>
      </c>
      <c r="BJ56" s="2700">
        <v>26</v>
      </c>
      <c r="BK56" s="2169">
        <f>BJ56+BI56</f>
        <v>27</v>
      </c>
      <c r="BL56" s="2170"/>
      <c r="BN56" s="1939"/>
      <c r="BO56" s="1939"/>
      <c r="BP56" s="1939"/>
      <c r="BQ56" s="1939"/>
      <c r="BR56" s="1939"/>
      <c r="BS56" s="1939"/>
      <c r="BT56" s="1939"/>
      <c r="BU56" s="1939"/>
      <c r="BV56" s="1939"/>
      <c r="BW56" s="1939"/>
      <c r="BX56" s="1939"/>
      <c r="BY56" s="1939"/>
      <c r="BZ56" s="1939"/>
      <c r="CA56" s="1939"/>
      <c r="CB56" s="1939"/>
      <c r="CC56" s="1939"/>
      <c r="CI56" s="1942">
        <f>+CI54+CI55</f>
        <v>218</v>
      </c>
    </row>
    <row r="57" spans="1:87" ht="18.75" customHeight="1" thickBot="1">
      <c r="A57" s="1962"/>
      <c r="B57" s="1962"/>
      <c r="C57" s="1962"/>
      <c r="D57" s="1962"/>
      <c r="E57" s="1962"/>
      <c r="F57" s="1962"/>
      <c r="G57" s="1962"/>
      <c r="H57" s="1962"/>
      <c r="I57" s="1962"/>
      <c r="J57" s="1962"/>
      <c r="K57" s="1962"/>
      <c r="L57" s="1962"/>
      <c r="M57" s="1962"/>
      <c r="N57" s="1962"/>
      <c r="O57" s="1962"/>
      <c r="P57" s="1962"/>
      <c r="Q57" s="1962"/>
      <c r="R57" s="1962"/>
      <c r="S57" s="1962"/>
      <c r="T57" s="1962"/>
      <c r="U57" s="1962"/>
      <c r="V57" s="1962"/>
      <c r="W57" s="1962"/>
      <c r="X57" s="1962"/>
      <c r="Y57" s="1962"/>
      <c r="Z57" s="1962"/>
      <c r="AA57" s="1962"/>
      <c r="AB57" s="1962"/>
      <c r="AC57" s="1962"/>
      <c r="AD57" s="1962"/>
      <c r="AE57" s="3166"/>
      <c r="AF57" s="1991">
        <f>MAX(A57:AE57)</f>
        <v>0</v>
      </c>
      <c r="AG57" s="2023"/>
      <c r="AH57" s="2055">
        <v>0</v>
      </c>
      <c r="AI57" s="1940">
        <v>0</v>
      </c>
      <c r="AJ57" s="2040"/>
      <c r="AK57" s="2025"/>
      <c r="AL57" s="574">
        <f t="shared" si="6"/>
        <v>0</v>
      </c>
      <c r="AM57" s="2041"/>
      <c r="AN57" s="2025">
        <f t="shared" si="7"/>
        <v>0</v>
      </c>
      <c r="AO57" s="2090"/>
      <c r="AP57" s="2105"/>
      <c r="AQ57" s="2106"/>
      <c r="AR57" s="2095"/>
      <c r="AS57" s="2090"/>
      <c r="AT57" s="2107">
        <v>0</v>
      </c>
      <c r="AU57" s="32">
        <v>0</v>
      </c>
      <c r="AV57" s="2074">
        <f t="shared" si="9"/>
        <v>0</v>
      </c>
      <c r="AW57" s="2015"/>
      <c r="AX57" s="2136"/>
      <c r="AY57" s="2118"/>
      <c r="AZ57" s="138"/>
      <c r="BA57" s="2017" t="s">
        <v>412</v>
      </c>
      <c r="BB57" s="2139">
        <f>'SAL STOCK'!F12</f>
        <v>0</v>
      </c>
      <c r="BC57" s="3172">
        <f>41.42</f>
        <v>41.42</v>
      </c>
      <c r="BD57" s="2690"/>
      <c r="BE57" s="2164"/>
      <c r="BF57" s="2165"/>
      <c r="BG57" s="2165"/>
      <c r="BH57" s="2158" t="s">
        <v>271</v>
      </c>
      <c r="BJ57" s="2700"/>
      <c r="BK57" s="2157"/>
      <c r="CI57" s="1942">
        <f>2271-CI56</f>
        <v>2053</v>
      </c>
    </row>
    <row r="58" spans="1:87" ht="25.5" customHeight="1" thickBot="1">
      <c r="A58" s="1965">
        <v>44.53</v>
      </c>
      <c r="B58" s="1965">
        <v>513.08000000000004</v>
      </c>
      <c r="C58" s="1965">
        <v>0</v>
      </c>
      <c r="D58" s="1965">
        <v>491.04</v>
      </c>
      <c r="E58" s="1965">
        <v>237.71</v>
      </c>
      <c r="F58" s="1965">
        <v>356.72</v>
      </c>
      <c r="G58" s="1965">
        <v>531.29999999999995</v>
      </c>
      <c r="H58" s="1965">
        <v>347.27</v>
      </c>
      <c r="I58" s="1965">
        <v>697.06</v>
      </c>
      <c r="J58" s="1965">
        <v>0</v>
      </c>
      <c r="K58" s="1965">
        <v>426.5</v>
      </c>
      <c r="L58" s="1965">
        <v>351.91</v>
      </c>
      <c r="M58" s="1965">
        <v>457.49</v>
      </c>
      <c r="N58" s="1965">
        <v>415.84</v>
      </c>
      <c r="O58" s="1965">
        <v>556.54999999999995</v>
      </c>
      <c r="P58" s="1965">
        <v>678.46</v>
      </c>
      <c r="Q58" s="1965">
        <v>0</v>
      </c>
      <c r="R58" s="1965">
        <v>520.67999999999995</v>
      </c>
      <c r="S58" s="1965">
        <v>275.95</v>
      </c>
      <c r="T58" s="1965">
        <v>676.06</v>
      </c>
      <c r="U58" s="1965">
        <v>212.09</v>
      </c>
      <c r="V58" s="1965">
        <v>342.08</v>
      </c>
      <c r="W58" s="1965">
        <v>341.25</v>
      </c>
      <c r="X58" s="1965">
        <v>0</v>
      </c>
      <c r="Y58" s="1965">
        <v>259.02999999999997</v>
      </c>
      <c r="Z58" s="1965">
        <v>741.12</v>
      </c>
      <c r="AA58" s="1965">
        <v>120.92</v>
      </c>
      <c r="AB58" s="1965">
        <v>334.91</v>
      </c>
      <c r="AC58" s="1965">
        <v>190.14</v>
      </c>
      <c r="AD58" s="1965">
        <v>650.41</v>
      </c>
      <c r="AE58" s="3169">
        <v>403.18</v>
      </c>
      <c r="AF58" s="1991">
        <f t="shared" ref="AF58" si="39">MAX(A58:AE58)</f>
        <v>741.12</v>
      </c>
      <c r="AG58" s="2056">
        <f>SUM(A58:AE58)</f>
        <v>11173.28</v>
      </c>
      <c r="AH58" s="2010">
        <f>+AH42</f>
        <v>130.55000000000001</v>
      </c>
      <c r="AI58" s="1940">
        <v>12026.429999999998</v>
      </c>
      <c r="AJ58" s="2057" t="s">
        <v>413</v>
      </c>
      <c r="AK58" s="2025">
        <f t="shared" si="34"/>
        <v>425.55555555555554</v>
      </c>
      <c r="AL58" s="574">
        <f t="shared" si="6"/>
        <v>403.18</v>
      </c>
      <c r="AM58" s="2058">
        <f>SUM(AQ58/BH58*BK58)</f>
        <v>11490</v>
      </c>
      <c r="AN58" s="2025">
        <f t="shared" si="7"/>
        <v>11173.28</v>
      </c>
      <c r="AO58" s="2078">
        <f>+AN58/AM58*100</f>
        <v>97.243516100957365</v>
      </c>
      <c r="AP58" s="2094">
        <f>AI58+AN58</f>
        <v>23199.71</v>
      </c>
      <c r="AQ58" s="2057">
        <v>11490</v>
      </c>
      <c r="AR58" s="2071">
        <f>+AN58/BK58*BH58</f>
        <v>11173.28</v>
      </c>
      <c r="AS58" s="2035">
        <f>SUM(AR58*100/AQ58)</f>
        <v>97.243516100957351</v>
      </c>
      <c r="AT58" s="2108">
        <v>12026.429999999998</v>
      </c>
      <c r="AU58" s="2098">
        <v>10643.649999999998</v>
      </c>
      <c r="AV58" s="2074">
        <f t="shared" si="9"/>
        <v>650.41</v>
      </c>
      <c r="AW58" s="2143">
        <v>20107</v>
      </c>
      <c r="AX58" s="2057" t="s">
        <v>362</v>
      </c>
      <c r="AY58" s="2057">
        <v>200528</v>
      </c>
      <c r="AZ58" s="2057" t="str">
        <f>+AZ42</f>
        <v>10-11</v>
      </c>
      <c r="BA58" s="2121"/>
      <c r="BB58" s="2139"/>
      <c r="BC58" s="3172">
        <v>0</v>
      </c>
      <c r="BD58" s="2690"/>
      <c r="BE58" s="2010"/>
      <c r="BF58" s="2010"/>
      <c r="BG58" s="2010">
        <f>+BG42</f>
        <v>0</v>
      </c>
      <c r="BH58" s="2158">
        <f>+BH56</f>
        <v>27</v>
      </c>
      <c r="BI58" s="2159">
        <f>BI5</f>
        <v>1</v>
      </c>
      <c r="BJ58" s="2700">
        <v>26</v>
      </c>
      <c r="BK58" s="2157">
        <f>BJ58+BI58</f>
        <v>27</v>
      </c>
    </row>
    <row r="59" spans="1:87" ht="22.5" customHeight="1" thickBot="1">
      <c r="A59" s="1966"/>
      <c r="B59" s="1966"/>
      <c r="C59" s="1966"/>
      <c r="D59" s="1966"/>
      <c r="E59" s="1966"/>
      <c r="F59" s="1966"/>
      <c r="G59" s="1966"/>
      <c r="H59" s="1966"/>
      <c r="I59" s="1966"/>
      <c r="J59" s="1966"/>
      <c r="K59" s="1966"/>
      <c r="L59" s="1966"/>
      <c r="M59" s="1966"/>
      <c r="N59" s="1966"/>
      <c r="O59" s="1966"/>
      <c r="P59" s="1966"/>
      <c r="Q59" s="1966"/>
      <c r="R59" s="1966"/>
      <c r="S59" s="1966"/>
      <c r="T59" s="1966"/>
      <c r="U59" s="1966"/>
      <c r="V59" s="1966"/>
      <c r="W59" s="1966"/>
      <c r="X59" s="1966"/>
      <c r="Y59" s="1966"/>
      <c r="Z59" s="1966"/>
      <c r="AA59" s="1966"/>
      <c r="AB59" s="1966"/>
      <c r="AC59" s="1966"/>
      <c r="AD59" s="1966"/>
      <c r="AE59" s="3170"/>
      <c r="AF59" s="1991">
        <f>MAX(A59:AE59)</f>
        <v>0</v>
      </c>
      <c r="AG59" s="2059"/>
      <c r="AH59" s="2032">
        <f>+AG60+AG62+AG45+AG46+AG47+AG48+AG49+AG50+AG52+AG54+AG55+0</f>
        <v>11786.826999999996</v>
      </c>
      <c r="AJ59" s="2040"/>
      <c r="AK59" s="2025"/>
      <c r="AL59" s="574">
        <f t="shared" si="6"/>
        <v>0</v>
      </c>
      <c r="AM59" s="2041"/>
      <c r="AN59" s="2025"/>
      <c r="AO59" s="2090"/>
      <c r="AP59" s="2081"/>
      <c r="AQ59" s="2106"/>
      <c r="AR59" s="2071"/>
      <c r="AS59" s="2090"/>
      <c r="AT59" s="2083"/>
      <c r="AU59" s="32">
        <v>0</v>
      </c>
      <c r="AV59" s="2074">
        <f t="shared" si="9"/>
        <v>0</v>
      </c>
      <c r="AW59" s="2144"/>
      <c r="AX59" s="2136"/>
      <c r="AY59" s="2145"/>
      <c r="AZ59" s="2118"/>
      <c r="BA59" s="2121" t="s">
        <v>414</v>
      </c>
      <c r="BB59" s="2139">
        <f>'SAL STOCK'!F17</f>
        <v>0</v>
      </c>
      <c r="BC59" s="3172">
        <f>25.66+24.42</f>
        <v>50.08</v>
      </c>
      <c r="BD59" s="2690"/>
      <c r="BE59" s="2164">
        <f>9*33</f>
        <v>297</v>
      </c>
      <c r="BF59" s="2164"/>
      <c r="BG59" s="2164"/>
      <c r="BH59" s="2158" t="s">
        <v>271</v>
      </c>
      <c r="BJ59" s="2700"/>
      <c r="BK59" s="2157"/>
    </row>
    <row r="60" spans="1:87" ht="21.75" customHeight="1" thickBot="1">
      <c r="A60" s="1962">
        <v>131.86000000000001</v>
      </c>
      <c r="B60" s="1962">
        <v>559.29</v>
      </c>
      <c r="C60" s="1962">
        <v>0</v>
      </c>
      <c r="D60" s="1962">
        <v>444.52</v>
      </c>
      <c r="E60" s="1962">
        <v>306.82</v>
      </c>
      <c r="F60" s="1962">
        <v>344.83</v>
      </c>
      <c r="G60" s="1962">
        <v>282.77</v>
      </c>
      <c r="H60" s="1962">
        <v>277.85000000000002</v>
      </c>
      <c r="I60" s="1962">
        <v>318.45999999999998</v>
      </c>
      <c r="J60" s="1962">
        <v>0</v>
      </c>
      <c r="K60" s="1962">
        <v>437.38</v>
      </c>
      <c r="L60" s="1962">
        <v>395.28</v>
      </c>
      <c r="M60" s="1962">
        <v>336.85</v>
      </c>
      <c r="N60" s="1962">
        <v>359.35</v>
      </c>
      <c r="O60" s="1962">
        <v>407.53</v>
      </c>
      <c r="P60" s="1962">
        <f>359.99</f>
        <v>359.99</v>
      </c>
      <c r="Q60" s="1962">
        <v>0</v>
      </c>
      <c r="R60" s="1962">
        <f>425.71</f>
        <v>425.71</v>
      </c>
      <c r="S60" s="1962">
        <v>306.63</v>
      </c>
      <c r="T60" s="1962">
        <v>347.31</v>
      </c>
      <c r="U60" s="1962">
        <v>346.73</v>
      </c>
      <c r="V60" s="1962">
        <v>375.24</v>
      </c>
      <c r="W60" s="1962">
        <v>412.9</v>
      </c>
      <c r="X60" s="1962">
        <v>0</v>
      </c>
      <c r="Y60" s="1962">
        <v>322.32</v>
      </c>
      <c r="Z60" s="1962">
        <v>251.11</v>
      </c>
      <c r="AA60" s="1962">
        <v>225.42</v>
      </c>
      <c r="AB60" s="1962">
        <f>198.9-50.35</f>
        <v>148.55000000000001</v>
      </c>
      <c r="AC60" s="1962">
        <v>438.13</v>
      </c>
      <c r="AD60" s="1962">
        <v>317.14</v>
      </c>
      <c r="AE60" s="3166">
        <v>395.96</v>
      </c>
      <c r="AF60" s="1991">
        <f>MAX(A60:AE60)</f>
        <v>559.29</v>
      </c>
      <c r="AG60" s="2023">
        <f>SUM(A60:AE60)</f>
        <v>9275.9299999999967</v>
      </c>
      <c r="AH60" s="2032">
        <f>+AG44-AG62</f>
        <v>8860.7899999999991</v>
      </c>
      <c r="AI60" s="1940">
        <v>8260.6999999999989</v>
      </c>
      <c r="AJ60" s="2034" t="s">
        <v>415</v>
      </c>
      <c r="AK60" s="2025">
        <f>AQ60/BH60*BI60</f>
        <v>281.48148148148147</v>
      </c>
      <c r="AL60" s="574">
        <f t="shared" si="6"/>
        <v>395.96</v>
      </c>
      <c r="AM60" s="2026">
        <v>5580</v>
      </c>
      <c r="AN60" s="2025">
        <f t="shared" si="7"/>
        <v>9275.9299999999967</v>
      </c>
      <c r="AO60" s="2035">
        <f>+AN61/AM60*100</f>
        <v>31.050000000000011</v>
      </c>
      <c r="AP60" s="2094">
        <f>AI60+AN60</f>
        <v>17536.629999999997</v>
      </c>
      <c r="AQ60" s="2109">
        <f>+AQ44-AQ62</f>
        <v>7600</v>
      </c>
      <c r="AR60" s="2071">
        <f>+AN60/BK60*BH60</f>
        <v>9275.9299999999967</v>
      </c>
      <c r="AS60" s="2035">
        <f>SUM(AR60*100/AQ60)</f>
        <v>122.05171052631574</v>
      </c>
      <c r="AT60" s="2072">
        <v>8260.6999999999989</v>
      </c>
      <c r="AU60" s="2098">
        <v>8299.34</v>
      </c>
      <c r="AV60" s="2074">
        <f t="shared" si="9"/>
        <v>317.14</v>
      </c>
      <c r="AW60" s="1431"/>
      <c r="AX60" s="610"/>
      <c r="AY60" s="1220"/>
      <c r="AZ60" s="2002" t="s">
        <v>271</v>
      </c>
      <c r="BA60" s="2146" t="s">
        <v>416</v>
      </c>
      <c r="BB60" s="2147">
        <f>SUM(BB49:BB59)</f>
        <v>403.18000000000086</v>
      </c>
      <c r="BC60" s="2148">
        <f>SUM(BC49:BC59)</f>
        <v>11173.28</v>
      </c>
      <c r="BD60" s="2690"/>
      <c r="BE60" s="1968"/>
      <c r="BF60" s="2171"/>
      <c r="BG60" s="1968">
        <f>BH60-BK60</f>
        <v>0</v>
      </c>
      <c r="BH60" s="2158">
        <f>+BH58</f>
        <v>27</v>
      </c>
      <c r="BI60" s="2159">
        <f>BI56</f>
        <v>1</v>
      </c>
      <c r="BJ60" s="2700">
        <v>26</v>
      </c>
      <c r="BK60" s="2157">
        <f>BJ60+BI60</f>
        <v>27</v>
      </c>
    </row>
    <row r="61" spans="1:87" ht="18.75" customHeight="1" thickBot="1">
      <c r="A61" s="1962">
        <v>15.6</v>
      </c>
      <c r="B61" s="1962">
        <v>4.55</v>
      </c>
      <c r="C61" s="1962">
        <v>0</v>
      </c>
      <c r="D61" s="1962">
        <v>88.76</v>
      </c>
      <c r="E61" s="1962">
        <v>63.5</v>
      </c>
      <c r="F61" s="1962">
        <v>64.13</v>
      </c>
      <c r="G61" s="1962">
        <v>58</v>
      </c>
      <c r="H61" s="1962">
        <v>67.680000000000007</v>
      </c>
      <c r="I61" s="1962">
        <v>30.35</v>
      </c>
      <c r="J61" s="1962">
        <v>0</v>
      </c>
      <c r="K61" s="1962">
        <f>95.4</f>
        <v>95.4</v>
      </c>
      <c r="L61" s="1962">
        <v>88</v>
      </c>
      <c r="M61" s="1962">
        <v>74.95</v>
      </c>
      <c r="N61" s="1962">
        <v>105</v>
      </c>
      <c r="O61" s="1962">
        <v>148.53</v>
      </c>
      <c r="P61" s="1962">
        <v>87.85</v>
      </c>
      <c r="Q61" s="1962">
        <v>0</v>
      </c>
      <c r="R61" s="1962">
        <v>65.599999999999994</v>
      </c>
      <c r="S61" s="1962">
        <v>59.9</v>
      </c>
      <c r="T61" s="1962">
        <v>87.95</v>
      </c>
      <c r="U61" s="1962">
        <v>47.4</v>
      </c>
      <c r="V61" s="1962">
        <v>51.75</v>
      </c>
      <c r="W61" s="1962">
        <v>50.9</v>
      </c>
      <c r="X61" s="1962">
        <v>0</v>
      </c>
      <c r="Y61" s="1962">
        <v>53.41</v>
      </c>
      <c r="Z61" s="1962">
        <v>52.45</v>
      </c>
      <c r="AA61" s="1962">
        <v>54.46</v>
      </c>
      <c r="AB61" s="1962">
        <v>44.58</v>
      </c>
      <c r="AC61" s="1962">
        <v>63.6</v>
      </c>
      <c r="AD61" s="1962">
        <v>51.15</v>
      </c>
      <c r="AE61" s="3166">
        <f>57.14</f>
        <v>57.14</v>
      </c>
      <c r="AF61" s="1991">
        <f>MAX(A61:AE61)</f>
        <v>148.53</v>
      </c>
      <c r="AG61" s="2023">
        <f>SUM(A61:AE61)</f>
        <v>1732.5900000000006</v>
      </c>
      <c r="AH61" s="2032">
        <f>4452.16-AH62</f>
        <v>-6181.3399999999965</v>
      </c>
      <c r="AI61" s="1940">
        <v>1798.9</v>
      </c>
      <c r="AJ61" s="2036" t="s">
        <v>417</v>
      </c>
      <c r="AK61" s="2025">
        <f>AQ61/BH61*BI61</f>
        <v>86.666666666666671</v>
      </c>
      <c r="AL61" s="574">
        <f t="shared" si="6"/>
        <v>57.14</v>
      </c>
      <c r="AM61" s="2026">
        <v>1190</v>
      </c>
      <c r="AN61" s="2025">
        <f t="shared" si="7"/>
        <v>1732.5900000000006</v>
      </c>
      <c r="AO61" s="2078">
        <f>+AN62/AM61*100</f>
        <v>114.08151260504201</v>
      </c>
      <c r="AP61" s="2094">
        <f>AI61+AN61</f>
        <v>3531.4900000000007</v>
      </c>
      <c r="AQ61" s="2109">
        <v>2340</v>
      </c>
      <c r="AR61" s="2071">
        <f>+AN61/BK61*BH61</f>
        <v>1732.5900000000004</v>
      </c>
      <c r="AS61" s="2035">
        <f>SUM(AR61*100/AQ61)</f>
        <v>74.042307692307702</v>
      </c>
      <c r="AT61" s="744">
        <v>1798.9</v>
      </c>
      <c r="AU61" s="2073">
        <v>1863.41</v>
      </c>
      <c r="AV61" s="2074">
        <f t="shared" si="9"/>
        <v>51.15</v>
      </c>
      <c r="AW61" s="2141"/>
      <c r="AX61" s="2132"/>
      <c r="AY61" s="2149"/>
      <c r="AZ61" s="2006" t="s">
        <v>271</v>
      </c>
      <c r="BA61" s="474"/>
      <c r="BB61" s="1282"/>
      <c r="BC61" s="2150">
        <f>AG58-BC60</f>
        <v>0</v>
      </c>
      <c r="BD61" s="2690"/>
      <c r="BE61" s="133"/>
      <c r="BF61" s="133"/>
      <c r="BG61" s="1968">
        <f>BH61-BK61</f>
        <v>0</v>
      </c>
      <c r="BH61" s="2158">
        <f>+BH60</f>
        <v>27</v>
      </c>
      <c r="BI61" s="131">
        <f>BI44</f>
        <v>1</v>
      </c>
      <c r="BJ61" s="2700">
        <v>26</v>
      </c>
      <c r="BK61" s="2157">
        <f>BJ61+BI61</f>
        <v>27</v>
      </c>
    </row>
    <row r="62" spans="1:87" ht="18.95" customHeight="1" thickBot="1">
      <c r="A62" s="1962">
        <v>15.6</v>
      </c>
      <c r="B62" s="1962">
        <f>4.55-4.55</f>
        <v>0</v>
      </c>
      <c r="C62" s="1962">
        <v>0</v>
      </c>
      <c r="D62" s="1962">
        <f>88.46-16.6</f>
        <v>71.859999999999985</v>
      </c>
      <c r="E62" s="1962">
        <f>63.5-5.2</f>
        <v>58.3</v>
      </c>
      <c r="F62" s="1962">
        <f>64.13-13.95</f>
        <v>50.179999999999993</v>
      </c>
      <c r="G62" s="1962">
        <f>58-16.6</f>
        <v>41.4</v>
      </c>
      <c r="H62" s="1962">
        <f>67.68-51.77-9</f>
        <v>6.9100000000000037</v>
      </c>
      <c r="I62" s="1962">
        <f>30.35-10.4</f>
        <v>19.950000000000003</v>
      </c>
      <c r="J62" s="1962">
        <v>0</v>
      </c>
      <c r="K62" s="1962">
        <f>95.4-24</f>
        <v>71.400000000000006</v>
      </c>
      <c r="L62" s="1962">
        <f>88-8</f>
        <v>80</v>
      </c>
      <c r="M62" s="1962">
        <f>74.95-13.45</f>
        <v>61.5</v>
      </c>
      <c r="N62" s="1962">
        <v>91</v>
      </c>
      <c r="O62" s="1962">
        <f>148.53-9.6</f>
        <v>138.93</v>
      </c>
      <c r="P62" s="1962">
        <f>87.85-6.45</f>
        <v>81.399999999999991</v>
      </c>
      <c r="Q62" s="1962">
        <v>0</v>
      </c>
      <c r="R62" s="1962">
        <f>65.6-20</f>
        <v>45.599999999999994</v>
      </c>
      <c r="S62" s="1962">
        <f>59.9-5</f>
        <v>54.9</v>
      </c>
      <c r="T62" s="1962">
        <f>87.95-32.3</f>
        <v>55.650000000000006</v>
      </c>
      <c r="U62" s="1962">
        <f>47.4-12.5</f>
        <v>34.9</v>
      </c>
      <c r="V62" s="1962">
        <v>42</v>
      </c>
      <c r="W62" s="1962">
        <f>50.9-11.1</f>
        <v>39.799999999999997</v>
      </c>
      <c r="X62" s="1962">
        <v>0</v>
      </c>
      <c r="Y62" s="1962">
        <f>53.41-3.85</f>
        <v>49.559999999999995</v>
      </c>
      <c r="Z62" s="1962">
        <f>52.45-12.3</f>
        <v>40.150000000000006</v>
      </c>
      <c r="AA62" s="1962">
        <f>54.46-24.2</f>
        <v>30.26</v>
      </c>
      <c r="AB62" s="1962">
        <f>44.58-11.1</f>
        <v>33.479999999999997</v>
      </c>
      <c r="AC62" s="1962">
        <f>63.6-12.8</f>
        <v>50.8</v>
      </c>
      <c r="AD62" s="1962">
        <f>51.15-10.65</f>
        <v>40.5</v>
      </c>
      <c r="AE62" s="3166">
        <f>57.14-5.6</f>
        <v>51.54</v>
      </c>
      <c r="AF62" s="1991">
        <f>MAX(A62:AE62)</f>
        <v>138.93</v>
      </c>
      <c r="AG62" s="2023">
        <f>SUM(A62:AE62)</f>
        <v>1357.57</v>
      </c>
      <c r="AH62" s="1145">
        <f>+AG62+AG60</f>
        <v>10633.499999999996</v>
      </c>
      <c r="AI62" s="1940">
        <v>1526.55</v>
      </c>
      <c r="AJ62" s="2060" t="s">
        <v>418</v>
      </c>
      <c r="AK62" s="2025">
        <f>AQ62/BH62*BI62</f>
        <v>70.370370370370367</v>
      </c>
      <c r="AL62" s="574">
        <f t="shared" si="6"/>
        <v>51.54</v>
      </c>
      <c r="AM62" s="2026">
        <v>1395</v>
      </c>
      <c r="AN62" s="2025">
        <f t="shared" si="7"/>
        <v>1357.57</v>
      </c>
      <c r="AO62" s="2078">
        <f>+AN62/AM62*100</f>
        <v>97.316845878136192</v>
      </c>
      <c r="AP62" s="2094">
        <f>AI62+AN62</f>
        <v>2884.12</v>
      </c>
      <c r="AQ62" s="2109">
        <v>1900</v>
      </c>
      <c r="AR62" s="2071">
        <f>+AN62/BK62*BH62</f>
        <v>1357.57</v>
      </c>
      <c r="AS62" s="2035">
        <f>SUM(AR62*100/AQ62)</f>
        <v>71.451052631578946</v>
      </c>
      <c r="AT62" s="744">
        <v>1526.55</v>
      </c>
      <c r="AU62" s="2079">
        <v>1621.44</v>
      </c>
      <c r="AV62" s="2074">
        <f t="shared" si="9"/>
        <v>40.5</v>
      </c>
      <c r="AW62" s="2141"/>
      <c r="AX62" s="2132"/>
      <c r="AY62" s="2149"/>
      <c r="AZ62" s="2006" t="s">
        <v>271</v>
      </c>
      <c r="BA62" s="2013" t="s">
        <v>419</v>
      </c>
      <c r="BB62" s="2690">
        <v>39.53</v>
      </c>
      <c r="BC62" s="2151">
        <f>+BD62+BB62</f>
        <v>5104.2800000000007</v>
      </c>
      <c r="BD62" s="2690">
        <v>5064.7500000000009</v>
      </c>
      <c r="BE62" s="1968">
        <f>11148-304</f>
        <v>10844</v>
      </c>
      <c r="BF62" s="1968"/>
      <c r="BG62" s="1968">
        <f>BH62-BK62</f>
        <v>0</v>
      </c>
      <c r="BH62" s="2158">
        <f>+BH61</f>
        <v>27</v>
      </c>
      <c r="BI62" s="131">
        <f>BI44</f>
        <v>1</v>
      </c>
      <c r="BJ62" s="2700">
        <v>26</v>
      </c>
      <c r="BK62" s="2157">
        <f>BJ62+BI62</f>
        <v>27</v>
      </c>
    </row>
    <row r="63" spans="1:87" ht="18.95" customHeight="1" thickBot="1">
      <c r="A63" s="1967"/>
      <c r="B63" s="1967"/>
      <c r="C63" s="1967"/>
      <c r="D63" s="1967"/>
      <c r="E63" s="1967"/>
      <c r="F63" s="1967"/>
      <c r="G63" s="1967"/>
      <c r="H63" s="1967"/>
      <c r="I63" s="1967"/>
      <c r="J63" s="1967"/>
      <c r="K63" s="1967"/>
      <c r="L63" s="1967"/>
      <c r="M63" s="1967"/>
      <c r="N63" s="1967"/>
      <c r="O63" s="1967"/>
      <c r="P63" s="1967"/>
      <c r="Q63" s="1967"/>
      <c r="R63" s="1967"/>
      <c r="S63" s="1967"/>
      <c r="T63" s="1967"/>
      <c r="U63" s="1967"/>
      <c r="V63" s="1967"/>
      <c r="W63" s="1967"/>
      <c r="X63" s="1967"/>
      <c r="Y63" s="1967"/>
      <c r="Z63" s="1967"/>
      <c r="AA63" s="1967"/>
      <c r="AB63" s="1967"/>
      <c r="AC63" s="1967"/>
      <c r="AD63" s="1967"/>
      <c r="AE63" s="3171"/>
      <c r="AF63" s="1991"/>
      <c r="AG63" s="2023"/>
      <c r="AH63" s="2032"/>
      <c r="AI63" s="1940">
        <v>0</v>
      </c>
      <c r="AJ63" s="2040"/>
      <c r="AK63" s="2025"/>
      <c r="AL63" s="574">
        <f t="shared" si="6"/>
        <v>0</v>
      </c>
      <c r="AM63" s="2061"/>
      <c r="AN63" s="2025">
        <f t="shared" si="7"/>
        <v>0</v>
      </c>
      <c r="AO63" s="2090"/>
      <c r="AP63" s="2081"/>
      <c r="AQ63" s="2106"/>
      <c r="AR63" s="2095"/>
      <c r="AS63" s="2090"/>
      <c r="AT63" s="2083">
        <v>0</v>
      </c>
      <c r="AU63" s="2098"/>
      <c r="AV63" s="2074">
        <f t="shared" si="9"/>
        <v>0</v>
      </c>
      <c r="AW63" s="2152"/>
      <c r="AX63" s="1211"/>
      <c r="AY63" s="2153"/>
      <c r="AZ63" s="2118"/>
      <c r="BA63" s="474" t="s">
        <v>420</v>
      </c>
      <c r="BB63" s="2690">
        <v>47.076000000000001</v>
      </c>
      <c r="BC63" s="2151">
        <f t="shared" ref="BC63:BC77" si="40">+BD63+BB63</f>
        <v>507.63599999999997</v>
      </c>
      <c r="BD63" s="2690">
        <v>460.55999999999995</v>
      </c>
      <c r="BE63" s="1968"/>
      <c r="BF63" s="1968"/>
      <c r="BG63" s="133"/>
      <c r="BH63" s="2159"/>
      <c r="BJ63" s="2700"/>
      <c r="BK63" s="2157"/>
    </row>
    <row r="64" spans="1:87" ht="18.95" customHeight="1" thickBot="1">
      <c r="A64" s="1960"/>
      <c r="B64" s="1960"/>
      <c r="C64" s="1960"/>
      <c r="D64" s="1960"/>
      <c r="E64" s="1960"/>
      <c r="F64" s="1960"/>
      <c r="G64" s="1960"/>
      <c r="H64" s="1960"/>
      <c r="I64" s="1960"/>
      <c r="J64" s="1960"/>
      <c r="K64" s="1960"/>
      <c r="L64" s="1960"/>
      <c r="M64" s="1960"/>
      <c r="N64" s="1960"/>
      <c r="O64" s="1960"/>
      <c r="P64" s="1960"/>
      <c r="Q64" s="1960"/>
      <c r="R64" s="1960"/>
      <c r="S64" s="1960"/>
      <c r="T64" s="1960"/>
      <c r="U64" s="1960"/>
      <c r="V64" s="1960"/>
      <c r="W64" s="1960"/>
      <c r="X64" s="1960"/>
      <c r="Y64" s="1960"/>
      <c r="Z64" s="1960"/>
      <c r="AA64" s="1960"/>
      <c r="AB64" s="1960"/>
      <c r="AC64" s="1960"/>
      <c r="AD64" s="1960"/>
      <c r="AE64" s="3164"/>
      <c r="AF64" s="1991">
        <f t="shared" ref="AF64:AF71" si="41">MAX(A64:AE64)</f>
        <v>0</v>
      </c>
      <c r="AG64" s="2062"/>
      <c r="AH64" s="2032"/>
      <c r="AI64" s="1940">
        <v>0</v>
      </c>
      <c r="AJ64" s="2034" t="s">
        <v>421</v>
      </c>
      <c r="AK64" s="2025"/>
      <c r="AL64" s="574">
        <f t="shared" si="6"/>
        <v>0</v>
      </c>
      <c r="AM64" s="2063" t="s">
        <v>271</v>
      </c>
      <c r="AN64" s="2025">
        <f t="shared" si="7"/>
        <v>0</v>
      </c>
      <c r="AO64" s="2035"/>
      <c r="AP64" s="2070"/>
      <c r="AQ64" s="2110" t="s">
        <v>271</v>
      </c>
      <c r="AR64" s="2071"/>
      <c r="AS64" s="2035"/>
      <c r="AT64" s="2072">
        <v>0</v>
      </c>
      <c r="AU64" s="2100">
        <v>0</v>
      </c>
      <c r="AV64" s="2074">
        <f t="shared" si="9"/>
        <v>0</v>
      </c>
      <c r="AW64" s="2154" t="s">
        <v>271</v>
      </c>
      <c r="AX64" s="2155"/>
      <c r="AY64" s="2156"/>
      <c r="AZ64" s="2017" t="s">
        <v>271</v>
      </c>
      <c r="BA64" s="2017" t="s">
        <v>123</v>
      </c>
      <c r="BB64" s="2690">
        <v>0</v>
      </c>
      <c r="BC64" s="2151">
        <f t="shared" si="40"/>
        <v>9.9</v>
      </c>
      <c r="BD64" s="2690">
        <v>9.9</v>
      </c>
      <c r="BE64" s="1968"/>
      <c r="BF64" s="1968"/>
      <c r="BH64" s="2158" t="s">
        <v>271</v>
      </c>
      <c r="BJ64" s="2700"/>
      <c r="BK64" s="2157"/>
    </row>
    <row r="65" spans="1:63" ht="18.95" customHeight="1" thickBot="1">
      <c r="A65" s="1959">
        <v>0</v>
      </c>
      <c r="B65" s="1959">
        <v>0</v>
      </c>
      <c r="C65" s="1959">
        <v>0</v>
      </c>
      <c r="D65" s="1959">
        <v>66.02</v>
      </c>
      <c r="E65" s="1959">
        <f>158.08-66.02</f>
        <v>92.060000000000016</v>
      </c>
      <c r="F65" s="1959">
        <v>0</v>
      </c>
      <c r="G65" s="1959">
        <v>2.4700000000000002</v>
      </c>
      <c r="H65" s="1959">
        <v>0</v>
      </c>
      <c r="I65" s="1959">
        <v>0</v>
      </c>
      <c r="J65" s="1959">
        <v>0</v>
      </c>
      <c r="K65" s="1959">
        <v>0</v>
      </c>
      <c r="L65" s="1959">
        <v>0</v>
      </c>
      <c r="M65" s="1959">
        <v>0</v>
      </c>
      <c r="N65" s="1959">
        <v>0</v>
      </c>
      <c r="O65" s="1959">
        <v>0</v>
      </c>
      <c r="P65" s="1959">
        <v>0</v>
      </c>
      <c r="Q65" s="1959">
        <v>0</v>
      </c>
      <c r="R65" s="1959">
        <f>17.01</f>
        <v>17.010000000000002</v>
      </c>
      <c r="S65" s="1959">
        <f>225.24-204.02</f>
        <v>21.22</v>
      </c>
      <c r="T65" s="1959">
        <v>26.46</v>
      </c>
      <c r="U65" s="1959">
        <v>4.95</v>
      </c>
      <c r="V65" s="1959">
        <v>0</v>
      </c>
      <c r="W65" s="1959">
        <f>280.04-244.94</f>
        <v>35.100000000000023</v>
      </c>
      <c r="X65" s="1959">
        <v>0</v>
      </c>
      <c r="Y65" s="1959">
        <v>6.35</v>
      </c>
      <c r="Z65" s="1959">
        <v>8.4</v>
      </c>
      <c r="AA65" s="1959">
        <v>0</v>
      </c>
      <c r="AB65" s="1959">
        <v>1.24</v>
      </c>
      <c r="AC65" s="1959">
        <v>0</v>
      </c>
      <c r="AD65" s="1959">
        <v>22</v>
      </c>
      <c r="AE65" s="3163">
        <v>0</v>
      </c>
      <c r="AF65" s="1991">
        <f t="shared" si="41"/>
        <v>92.060000000000016</v>
      </c>
      <c r="AG65" s="2023">
        <f t="shared" ref="AG65:AG70" si="42">SUM(A65:AE65)</f>
        <v>303.28000000000003</v>
      </c>
      <c r="AH65" s="2032">
        <v>162.9</v>
      </c>
      <c r="AI65" s="1940">
        <v>102.97</v>
      </c>
      <c r="AJ65" s="2036" t="s">
        <v>422</v>
      </c>
      <c r="AK65" s="2025">
        <v>29.659999999999997</v>
      </c>
      <c r="AL65" s="574">
        <f t="shared" si="6"/>
        <v>0</v>
      </c>
      <c r="AM65" s="2213"/>
      <c r="AN65" s="2025">
        <f t="shared" si="7"/>
        <v>303.28000000000003</v>
      </c>
      <c r="AO65" s="2078"/>
      <c r="AP65" s="2094">
        <f t="shared" ref="AP65:AP70" si="43">AI65+AN65</f>
        <v>406.25</v>
      </c>
      <c r="AQ65" s="2264"/>
      <c r="AR65" s="2077"/>
      <c r="AS65" s="2078"/>
      <c r="AT65" s="744">
        <v>102.97</v>
      </c>
      <c r="AU65" s="2101">
        <v>635.03000000000009</v>
      </c>
      <c r="AV65" s="2074">
        <f t="shared" si="9"/>
        <v>22</v>
      </c>
      <c r="AW65" s="2141" t="s">
        <v>271</v>
      </c>
      <c r="AX65" s="2132"/>
      <c r="AY65" s="2149"/>
      <c r="AZ65" s="2017" t="s">
        <v>271</v>
      </c>
      <c r="BA65" s="2017" t="s">
        <v>423</v>
      </c>
      <c r="BB65" s="2690">
        <v>0</v>
      </c>
      <c r="BC65" s="2151">
        <f t="shared" si="40"/>
        <v>41.42</v>
      </c>
      <c r="BD65" s="2690">
        <v>41.42</v>
      </c>
      <c r="BE65" s="1968"/>
      <c r="BF65" s="1968"/>
      <c r="BG65" s="133"/>
      <c r="BH65" s="2159" t="s">
        <v>271</v>
      </c>
      <c r="BJ65" s="2700"/>
      <c r="BK65" s="2157"/>
    </row>
    <row r="66" spans="1:63" ht="18.95" customHeight="1" thickBot="1">
      <c r="A66" s="1959">
        <v>0</v>
      </c>
      <c r="B66" s="1959">
        <v>0</v>
      </c>
      <c r="C66" s="1959">
        <v>0</v>
      </c>
      <c r="D66" s="1959">
        <v>0</v>
      </c>
      <c r="E66" s="1959">
        <v>0</v>
      </c>
      <c r="F66" s="1959">
        <v>0</v>
      </c>
      <c r="G66" s="1959">
        <v>0</v>
      </c>
      <c r="H66" s="1959">
        <v>0</v>
      </c>
      <c r="I66" s="1959">
        <v>0</v>
      </c>
      <c r="J66" s="1959">
        <v>0</v>
      </c>
      <c r="K66" s="1959">
        <v>0</v>
      </c>
      <c r="L66" s="1959">
        <v>0</v>
      </c>
      <c r="M66" s="1959">
        <v>0</v>
      </c>
      <c r="N66" s="1959">
        <v>0</v>
      </c>
      <c r="O66" s="1959">
        <v>0</v>
      </c>
      <c r="P66" s="1959">
        <v>0</v>
      </c>
      <c r="Q66" s="1959">
        <v>0</v>
      </c>
      <c r="R66" s="1959">
        <v>0</v>
      </c>
      <c r="S66" s="1959">
        <v>0</v>
      </c>
      <c r="T66" s="1959">
        <v>0</v>
      </c>
      <c r="U66" s="1959">
        <v>0</v>
      </c>
      <c r="V66" s="1959">
        <v>0</v>
      </c>
      <c r="W66" s="1959">
        <v>0</v>
      </c>
      <c r="X66" s="1959">
        <v>0</v>
      </c>
      <c r="Y66" s="1959">
        <v>0</v>
      </c>
      <c r="Z66" s="1959">
        <v>0</v>
      </c>
      <c r="AA66" s="1959">
        <v>0</v>
      </c>
      <c r="AB66" s="1959">
        <v>0</v>
      </c>
      <c r="AC66" s="1959">
        <v>0</v>
      </c>
      <c r="AD66" s="1959">
        <v>0</v>
      </c>
      <c r="AE66" s="3163">
        <v>0</v>
      </c>
      <c r="AF66" s="1991">
        <f t="shared" si="41"/>
        <v>0</v>
      </c>
      <c r="AG66" s="2023">
        <f t="shared" si="42"/>
        <v>0</v>
      </c>
      <c r="AH66" s="2032"/>
      <c r="AI66" s="1940">
        <v>0</v>
      </c>
      <c r="AJ66" s="2036" t="s">
        <v>424</v>
      </c>
      <c r="AK66" s="2025">
        <v>18</v>
      </c>
      <c r="AL66" s="574">
        <f t="shared" si="6"/>
        <v>0</v>
      </c>
      <c r="AM66" s="2213"/>
      <c r="AN66" s="2025">
        <f t="shared" si="7"/>
        <v>0</v>
      </c>
      <c r="AO66" s="2078"/>
      <c r="AP66" s="2094">
        <f t="shared" si="43"/>
        <v>0</v>
      </c>
      <c r="AQ66" s="2264"/>
      <c r="AR66" s="2077">
        <v>45</v>
      </c>
      <c r="AS66" s="2078"/>
      <c r="AT66" s="744">
        <v>0</v>
      </c>
      <c r="AU66" s="2101">
        <v>58.17</v>
      </c>
      <c r="AV66" s="2074">
        <f t="shared" si="9"/>
        <v>0</v>
      </c>
      <c r="AW66" s="2141"/>
      <c r="AX66" s="2132"/>
      <c r="AY66" s="2149"/>
      <c r="AZ66" s="2017" t="s">
        <v>271</v>
      </c>
      <c r="BA66" s="2017" t="s">
        <v>425</v>
      </c>
      <c r="BB66" s="2690">
        <v>0</v>
      </c>
      <c r="BC66" s="2151">
        <f t="shared" si="40"/>
        <v>0</v>
      </c>
      <c r="BD66" s="2690">
        <v>0</v>
      </c>
      <c r="BE66" s="1968"/>
      <c r="BF66" s="1968"/>
      <c r="BG66" s="1282"/>
      <c r="BH66" s="2159" t="s">
        <v>271</v>
      </c>
      <c r="BJ66" s="2700"/>
      <c r="BK66" s="2157"/>
    </row>
    <row r="67" spans="1:63" ht="18.95" customHeight="1" thickBot="1">
      <c r="A67" s="1959">
        <v>0</v>
      </c>
      <c r="B67" s="1959">
        <v>0</v>
      </c>
      <c r="C67" s="1959">
        <v>0</v>
      </c>
      <c r="D67" s="1959">
        <v>0</v>
      </c>
      <c r="E67" s="1959">
        <v>0</v>
      </c>
      <c r="F67" s="1959">
        <v>0</v>
      </c>
      <c r="G67" s="1959">
        <v>0</v>
      </c>
      <c r="H67" s="1959">
        <v>0</v>
      </c>
      <c r="I67" s="1959">
        <v>0</v>
      </c>
      <c r="J67" s="1959">
        <v>0</v>
      </c>
      <c r="K67" s="1959">
        <v>0</v>
      </c>
      <c r="L67" s="1959">
        <v>0</v>
      </c>
      <c r="M67" s="1959">
        <v>0</v>
      </c>
      <c r="N67" s="1959">
        <v>0</v>
      </c>
      <c r="O67" s="1959">
        <v>0</v>
      </c>
      <c r="P67" s="1959">
        <v>0</v>
      </c>
      <c r="Q67" s="1959">
        <v>0</v>
      </c>
      <c r="R67" s="1959">
        <v>0</v>
      </c>
      <c r="S67" s="1959">
        <v>0</v>
      </c>
      <c r="T67" s="1959">
        <v>0</v>
      </c>
      <c r="U67" s="1959">
        <v>0</v>
      </c>
      <c r="V67" s="1959">
        <v>0</v>
      </c>
      <c r="W67" s="1959">
        <v>0</v>
      </c>
      <c r="X67" s="1959">
        <v>0</v>
      </c>
      <c r="Y67" s="1959">
        <v>0</v>
      </c>
      <c r="Z67" s="1959">
        <v>0</v>
      </c>
      <c r="AA67" s="1959">
        <v>0</v>
      </c>
      <c r="AB67" s="1959">
        <v>0</v>
      </c>
      <c r="AC67" s="1959">
        <v>0</v>
      </c>
      <c r="AD67" s="1959">
        <v>0</v>
      </c>
      <c r="AE67" s="3163">
        <v>0</v>
      </c>
      <c r="AF67" s="1991">
        <f t="shared" si="41"/>
        <v>0</v>
      </c>
      <c r="AG67" s="2023">
        <f t="shared" si="42"/>
        <v>0</v>
      </c>
      <c r="AH67" s="2032"/>
      <c r="AI67" s="1940">
        <v>0</v>
      </c>
      <c r="AJ67" s="2036" t="s">
        <v>426</v>
      </c>
      <c r="AK67" s="2025">
        <v>0</v>
      </c>
      <c r="AL67" s="574">
        <f t="shared" si="6"/>
        <v>0</v>
      </c>
      <c r="AM67" s="2213"/>
      <c r="AN67" s="2025">
        <f t="shared" si="7"/>
        <v>0</v>
      </c>
      <c r="AO67" s="2078"/>
      <c r="AP67" s="2094">
        <f t="shared" si="43"/>
        <v>0</v>
      </c>
      <c r="AQ67" s="2264"/>
      <c r="AR67" s="2077"/>
      <c r="AS67" s="2078"/>
      <c r="AT67" s="744">
        <v>0</v>
      </c>
      <c r="AU67" s="2101">
        <v>0</v>
      </c>
      <c r="AV67" s="2074">
        <f t="shared" si="9"/>
        <v>0</v>
      </c>
      <c r="AW67" s="2141"/>
      <c r="AX67" s="2132"/>
      <c r="AY67" s="2149"/>
      <c r="AZ67" s="2017" t="s">
        <v>271</v>
      </c>
      <c r="BA67" s="2017" t="s">
        <v>427</v>
      </c>
      <c r="BB67" s="2690">
        <v>0</v>
      </c>
      <c r="BC67" s="2151">
        <f t="shared" si="40"/>
        <v>408.45</v>
      </c>
      <c r="BD67" s="2690">
        <v>408.45</v>
      </c>
      <c r="BE67" s="1968"/>
      <c r="BF67" s="1968"/>
      <c r="BG67" s="133"/>
      <c r="BH67" s="2159" t="s">
        <v>271</v>
      </c>
      <c r="BJ67" s="2700"/>
      <c r="BK67" s="2157"/>
    </row>
    <row r="68" spans="1:63" ht="18.95" customHeight="1" thickBot="1">
      <c r="A68" s="1959">
        <v>0</v>
      </c>
      <c r="B68" s="1959">
        <v>0</v>
      </c>
      <c r="C68" s="1959">
        <v>0</v>
      </c>
      <c r="D68" s="1959">
        <v>0</v>
      </c>
      <c r="E68" s="1959">
        <v>0</v>
      </c>
      <c r="F68" s="1959">
        <v>0</v>
      </c>
      <c r="G68" s="1959">
        <v>0</v>
      </c>
      <c r="H68" s="1959">
        <v>0</v>
      </c>
      <c r="I68" s="1959">
        <v>0</v>
      </c>
      <c r="J68" s="1959">
        <v>0</v>
      </c>
      <c r="K68" s="1959">
        <v>0</v>
      </c>
      <c r="L68" s="1959">
        <v>0</v>
      </c>
      <c r="M68" s="1959">
        <v>0</v>
      </c>
      <c r="N68" s="1959">
        <v>0</v>
      </c>
      <c r="O68" s="1959">
        <v>0</v>
      </c>
      <c r="P68" s="1959">
        <v>0</v>
      </c>
      <c r="Q68" s="1959">
        <v>0</v>
      </c>
      <c r="R68" s="1959">
        <v>0</v>
      </c>
      <c r="S68" s="1959">
        <v>0</v>
      </c>
      <c r="T68" s="1959">
        <v>0</v>
      </c>
      <c r="U68" s="1959">
        <v>0</v>
      </c>
      <c r="V68" s="1959">
        <v>0</v>
      </c>
      <c r="W68" s="1959">
        <v>0</v>
      </c>
      <c r="X68" s="1959">
        <v>0</v>
      </c>
      <c r="Y68" s="1959">
        <v>0</v>
      </c>
      <c r="Z68" s="1959">
        <v>0</v>
      </c>
      <c r="AA68" s="1959">
        <v>0</v>
      </c>
      <c r="AB68" s="1959">
        <v>0</v>
      </c>
      <c r="AC68" s="1959">
        <v>0</v>
      </c>
      <c r="AD68" s="1959">
        <v>0</v>
      </c>
      <c r="AE68" s="3163">
        <v>0</v>
      </c>
      <c r="AF68" s="1991">
        <f t="shared" si="41"/>
        <v>0</v>
      </c>
      <c r="AG68" s="2023">
        <f t="shared" si="42"/>
        <v>0</v>
      </c>
      <c r="AH68" s="2032">
        <f>884.29-880.39</f>
        <v>3.8999999999999773</v>
      </c>
      <c r="AI68" s="1940">
        <v>0</v>
      </c>
      <c r="AJ68" s="2036" t="s">
        <v>428</v>
      </c>
      <c r="AK68" s="2025">
        <v>0</v>
      </c>
      <c r="AL68" s="574">
        <f t="shared" si="6"/>
        <v>0</v>
      </c>
      <c r="AM68" s="2213"/>
      <c r="AN68" s="2025">
        <f t="shared" si="7"/>
        <v>0</v>
      </c>
      <c r="AO68" s="2078"/>
      <c r="AP68" s="2094">
        <f t="shared" si="43"/>
        <v>0</v>
      </c>
      <c r="AQ68" s="2264"/>
      <c r="AR68" s="2077"/>
      <c r="AS68" s="2078"/>
      <c r="AT68" s="744">
        <v>0</v>
      </c>
      <c r="AU68" s="2101">
        <v>0</v>
      </c>
      <c r="AV68" s="2074">
        <f t="shared" si="9"/>
        <v>0</v>
      </c>
      <c r="AW68" s="2141" t="s">
        <v>271</v>
      </c>
      <c r="AX68" s="2132"/>
      <c r="AY68" s="2149"/>
      <c r="AZ68" s="2017" t="s">
        <v>271</v>
      </c>
      <c r="BA68" s="2017" t="s">
        <v>429</v>
      </c>
      <c r="BB68" s="2690">
        <v>0</v>
      </c>
      <c r="BC68" s="2151">
        <f t="shared" si="40"/>
        <v>94.580000000000013</v>
      </c>
      <c r="BD68" s="2690">
        <v>94.580000000000013</v>
      </c>
      <c r="BE68" s="1968"/>
      <c r="BF68" s="1968"/>
      <c r="BG68" s="1282"/>
      <c r="BH68" s="2159"/>
      <c r="BJ68" s="2700"/>
      <c r="BK68" s="2157"/>
    </row>
    <row r="69" spans="1:63" ht="18.95" customHeight="1" thickBot="1">
      <c r="A69" s="1959">
        <v>0</v>
      </c>
      <c r="B69" s="1959">
        <v>0</v>
      </c>
      <c r="C69" s="1959">
        <v>0</v>
      </c>
      <c r="D69" s="1959">
        <v>0</v>
      </c>
      <c r="E69" s="1959">
        <v>0</v>
      </c>
      <c r="F69" s="1959">
        <v>0</v>
      </c>
      <c r="G69" s="1959">
        <v>0</v>
      </c>
      <c r="H69" s="1959">
        <v>0</v>
      </c>
      <c r="I69" s="1959">
        <v>0</v>
      </c>
      <c r="J69" s="1959">
        <v>0</v>
      </c>
      <c r="K69" s="1959">
        <v>0</v>
      </c>
      <c r="L69" s="1959">
        <v>0</v>
      </c>
      <c r="M69" s="1959">
        <v>0</v>
      </c>
      <c r="N69" s="1959">
        <v>0</v>
      </c>
      <c r="O69" s="1959">
        <v>0</v>
      </c>
      <c r="P69" s="1959">
        <v>0</v>
      </c>
      <c r="Q69" s="1959">
        <v>0</v>
      </c>
      <c r="R69" s="1959">
        <v>0</v>
      </c>
      <c r="S69" s="1959">
        <v>0</v>
      </c>
      <c r="T69" s="1959">
        <v>0</v>
      </c>
      <c r="U69" s="1959">
        <v>0</v>
      </c>
      <c r="V69" s="1959">
        <v>0</v>
      </c>
      <c r="W69" s="1959">
        <v>0</v>
      </c>
      <c r="X69" s="1959">
        <v>0</v>
      </c>
      <c r="Y69" s="1959">
        <v>0</v>
      </c>
      <c r="Z69" s="1959">
        <v>0</v>
      </c>
      <c r="AA69" s="1959">
        <v>0</v>
      </c>
      <c r="AB69" s="1959">
        <v>0</v>
      </c>
      <c r="AC69" s="1959">
        <v>0</v>
      </c>
      <c r="AD69" s="1959">
        <v>0</v>
      </c>
      <c r="AE69" s="3163">
        <v>0</v>
      </c>
      <c r="AF69" s="1991">
        <f t="shared" si="41"/>
        <v>0</v>
      </c>
      <c r="AG69" s="2023">
        <f t="shared" si="42"/>
        <v>0</v>
      </c>
      <c r="AH69" s="1145"/>
      <c r="AI69" s="1940">
        <v>0</v>
      </c>
      <c r="AJ69" s="2060" t="s">
        <v>430</v>
      </c>
      <c r="AK69" s="2025">
        <v>0</v>
      </c>
      <c r="AL69" s="574">
        <f t="shared" si="6"/>
        <v>0</v>
      </c>
      <c r="AM69" s="2213"/>
      <c r="AN69" s="2025">
        <f t="shared" si="7"/>
        <v>0</v>
      </c>
      <c r="AO69" s="2078"/>
      <c r="AP69" s="2094">
        <f t="shared" si="43"/>
        <v>0</v>
      </c>
      <c r="AQ69" s="2265"/>
      <c r="AR69" s="2238"/>
      <c r="AS69" s="474"/>
      <c r="AT69" s="744">
        <v>0</v>
      </c>
      <c r="AU69" s="2101">
        <v>0</v>
      </c>
      <c r="AV69" s="2074">
        <f t="shared" si="9"/>
        <v>0</v>
      </c>
      <c r="AW69" s="2141" t="s">
        <v>271</v>
      </c>
      <c r="AX69" s="2132"/>
      <c r="AY69" s="2149"/>
      <c r="AZ69" s="2017" t="s">
        <v>271</v>
      </c>
      <c r="BA69" s="474" t="s">
        <v>431</v>
      </c>
      <c r="BB69" s="2690">
        <v>0</v>
      </c>
      <c r="BC69" s="2151">
        <f t="shared" si="40"/>
        <v>89.98</v>
      </c>
      <c r="BD69" s="2690">
        <v>89.98</v>
      </c>
      <c r="BE69" s="1968"/>
      <c r="BF69" s="1968"/>
      <c r="BG69" s="133"/>
      <c r="BH69" s="2159"/>
      <c r="BJ69" s="2700"/>
      <c r="BK69" s="1282"/>
    </row>
    <row r="70" spans="1:63" ht="18.95" customHeight="1" thickBot="1">
      <c r="A70" s="1959">
        <f>SUM(A65:A69)</f>
        <v>0</v>
      </c>
      <c r="B70" s="1959">
        <f t="shared" ref="B70:AE70" si="44">SUM(B65:B69)</f>
        <v>0</v>
      </c>
      <c r="C70" s="1959">
        <f t="shared" si="44"/>
        <v>0</v>
      </c>
      <c r="D70" s="1959">
        <f t="shared" si="44"/>
        <v>66.02</v>
      </c>
      <c r="E70" s="1959">
        <f t="shared" si="44"/>
        <v>92.060000000000016</v>
      </c>
      <c r="F70" s="1959">
        <f t="shared" si="44"/>
        <v>0</v>
      </c>
      <c r="G70" s="1959">
        <f t="shared" si="44"/>
        <v>2.4700000000000002</v>
      </c>
      <c r="H70" s="1959">
        <f t="shared" si="44"/>
        <v>0</v>
      </c>
      <c r="I70" s="1959">
        <f t="shared" si="44"/>
        <v>0</v>
      </c>
      <c r="J70" s="1959">
        <f t="shared" si="44"/>
        <v>0</v>
      </c>
      <c r="K70" s="1959">
        <f t="shared" si="44"/>
        <v>0</v>
      </c>
      <c r="L70" s="1959">
        <f t="shared" si="44"/>
        <v>0</v>
      </c>
      <c r="M70" s="1959">
        <f t="shared" si="44"/>
        <v>0</v>
      </c>
      <c r="N70" s="1959">
        <f t="shared" si="44"/>
        <v>0</v>
      </c>
      <c r="O70" s="1959">
        <f t="shared" si="44"/>
        <v>0</v>
      </c>
      <c r="P70" s="1959">
        <f t="shared" si="44"/>
        <v>0</v>
      </c>
      <c r="Q70" s="1959">
        <f t="shared" si="44"/>
        <v>0</v>
      </c>
      <c r="R70" s="1959">
        <f t="shared" si="44"/>
        <v>17.010000000000002</v>
      </c>
      <c r="S70" s="1959">
        <f t="shared" si="44"/>
        <v>21.22</v>
      </c>
      <c r="T70" s="1959">
        <f t="shared" si="44"/>
        <v>26.46</v>
      </c>
      <c r="U70" s="1959">
        <f t="shared" si="44"/>
        <v>4.95</v>
      </c>
      <c r="V70" s="1959">
        <f t="shared" si="44"/>
        <v>0</v>
      </c>
      <c r="W70" s="1959">
        <f t="shared" si="44"/>
        <v>35.100000000000023</v>
      </c>
      <c r="X70" s="1959">
        <f t="shared" si="44"/>
        <v>0</v>
      </c>
      <c r="Y70" s="1959">
        <f t="shared" si="44"/>
        <v>6.35</v>
      </c>
      <c r="Z70" s="1959">
        <f t="shared" si="44"/>
        <v>8.4</v>
      </c>
      <c r="AA70" s="1959">
        <f t="shared" si="44"/>
        <v>0</v>
      </c>
      <c r="AB70" s="1959">
        <f t="shared" si="44"/>
        <v>1.24</v>
      </c>
      <c r="AC70" s="1959">
        <f t="shared" si="44"/>
        <v>0</v>
      </c>
      <c r="AD70" s="1959">
        <f t="shared" si="44"/>
        <v>22</v>
      </c>
      <c r="AE70" s="3163">
        <f t="shared" si="44"/>
        <v>0</v>
      </c>
      <c r="AF70" s="1991">
        <f t="shared" si="41"/>
        <v>92.060000000000016</v>
      </c>
      <c r="AG70" s="2023">
        <f t="shared" si="42"/>
        <v>303.28000000000003</v>
      </c>
      <c r="AH70" s="2032">
        <f>1221.04-976.32</f>
        <v>244.71999999999991</v>
      </c>
      <c r="AI70" s="1940">
        <v>102.97</v>
      </c>
      <c r="AJ70" s="2036" t="s">
        <v>432</v>
      </c>
      <c r="AK70" s="2025">
        <f>+AQ70/BH70</f>
        <v>14.814814814814815</v>
      </c>
      <c r="AL70" s="574">
        <f t="shared" si="6"/>
        <v>0</v>
      </c>
      <c r="AM70" s="2026">
        <f>SUM(AQ70/BH70*BK70)</f>
        <v>400</v>
      </c>
      <c r="AN70" s="2025">
        <f t="shared" si="7"/>
        <v>303.28000000000003</v>
      </c>
      <c r="AO70" s="2078">
        <f>+AN71/AM70*100</f>
        <v>0</v>
      </c>
      <c r="AP70" s="2094">
        <f t="shared" si="43"/>
        <v>406.25</v>
      </c>
      <c r="AQ70" s="2109">
        <v>400</v>
      </c>
      <c r="AR70" s="2071">
        <f>AN71*BH70/BK70</f>
        <v>0</v>
      </c>
      <c r="AS70" s="2078">
        <f>SUM(AR70*100/AQ70)</f>
        <v>0</v>
      </c>
      <c r="AT70" s="744">
        <v>102.97</v>
      </c>
      <c r="AU70" s="2079">
        <v>693.2</v>
      </c>
      <c r="AV70" s="2074">
        <f t="shared" si="9"/>
        <v>22</v>
      </c>
      <c r="AW70" s="2296"/>
      <c r="AX70" s="1282"/>
      <c r="AY70" s="2289"/>
      <c r="AZ70" s="2017" t="s">
        <v>271</v>
      </c>
      <c r="BA70" s="474" t="s">
        <v>433</v>
      </c>
      <c r="BB70" s="2690">
        <v>0</v>
      </c>
      <c r="BC70" s="2151">
        <f t="shared" si="40"/>
        <v>0</v>
      </c>
      <c r="BD70" s="2690">
        <v>0</v>
      </c>
      <c r="BE70" s="1968"/>
      <c r="BF70" s="1968"/>
      <c r="BG70" s="1968">
        <f>BH70-BK70</f>
        <v>0</v>
      </c>
      <c r="BH70" s="2158">
        <f>BH62</f>
        <v>27</v>
      </c>
      <c r="BI70" s="131">
        <f>BI44</f>
        <v>1</v>
      </c>
      <c r="BJ70" s="2700">
        <v>26</v>
      </c>
      <c r="BK70" s="2157">
        <f>BJ70+BI70</f>
        <v>27</v>
      </c>
    </row>
    <row r="71" spans="1:63" ht="18" customHeight="1" thickBot="1">
      <c r="A71" s="2173"/>
      <c r="B71" s="2173"/>
      <c r="C71" s="2173"/>
      <c r="D71" s="2173"/>
      <c r="E71" s="2173"/>
      <c r="F71" s="2173"/>
      <c r="G71" s="2173"/>
      <c r="H71" s="2173"/>
      <c r="I71" s="2173"/>
      <c r="J71" s="2173"/>
      <c r="K71" s="2173"/>
      <c r="L71" s="2173"/>
      <c r="M71" s="2173"/>
      <c r="N71" s="2173"/>
      <c r="O71" s="2173"/>
      <c r="P71" s="2173"/>
      <c r="Q71" s="2173"/>
      <c r="R71" s="2173"/>
      <c r="S71" s="2173"/>
      <c r="T71" s="2173"/>
      <c r="U71" s="2173"/>
      <c r="V71" s="2173"/>
      <c r="W71" s="2173"/>
      <c r="X71" s="2173"/>
      <c r="Y71" s="2173"/>
      <c r="Z71" s="2173"/>
      <c r="AA71" s="2173"/>
      <c r="AB71" s="2173"/>
      <c r="AC71" s="2173"/>
      <c r="AD71" s="2173"/>
      <c r="AE71" s="3173"/>
      <c r="AF71" s="1991">
        <f t="shared" si="41"/>
        <v>0</v>
      </c>
      <c r="AG71" s="2023"/>
      <c r="AH71" s="32">
        <f>343*3.9</f>
        <v>1337.7</v>
      </c>
      <c r="AI71" s="1940">
        <v>0</v>
      </c>
      <c r="AJ71" s="2040" t="s">
        <v>271</v>
      </c>
      <c r="AK71" s="2025"/>
      <c r="AL71" s="574">
        <f t="shared" si="6"/>
        <v>0</v>
      </c>
      <c r="AM71" s="2048"/>
      <c r="AN71" s="2025">
        <f t="shared" si="7"/>
        <v>0</v>
      </c>
      <c r="AO71" s="2090"/>
      <c r="AP71" s="2081"/>
      <c r="AQ71" s="2106"/>
      <c r="AR71" s="2095"/>
      <c r="AS71" s="2090"/>
      <c r="AT71" s="2083">
        <v>0</v>
      </c>
      <c r="AU71" s="32">
        <v>0</v>
      </c>
      <c r="AV71" s="2074">
        <f t="shared" si="9"/>
        <v>0</v>
      </c>
      <c r="AW71" s="2144"/>
      <c r="AX71" s="2136"/>
      <c r="AY71" s="2145"/>
      <c r="AZ71" s="2017"/>
      <c r="BA71" s="474" t="s">
        <v>434</v>
      </c>
      <c r="BB71" s="2690">
        <v>0</v>
      </c>
      <c r="BC71" s="2151">
        <f t="shared" si="40"/>
        <v>0</v>
      </c>
      <c r="BD71" s="2690">
        <v>0</v>
      </c>
      <c r="BE71" s="1968"/>
      <c r="BF71" s="1968"/>
      <c r="BG71" s="133"/>
      <c r="BH71" s="2159"/>
      <c r="BJ71" s="2700"/>
      <c r="BK71" s="1282"/>
    </row>
    <row r="72" spans="1:63" ht="18.95" customHeight="1" thickBot="1">
      <c r="A72" s="2174">
        <v>0</v>
      </c>
      <c r="B72" s="2174">
        <v>0</v>
      </c>
      <c r="C72" s="2174">
        <v>0</v>
      </c>
      <c r="D72" s="2174">
        <v>0</v>
      </c>
      <c r="E72" s="2174">
        <v>0</v>
      </c>
      <c r="F72" s="2174">
        <v>0</v>
      </c>
      <c r="G72" s="2174"/>
      <c r="H72" s="2174">
        <v>0</v>
      </c>
      <c r="I72" s="2174">
        <v>0</v>
      </c>
      <c r="J72" s="2174">
        <v>0</v>
      </c>
      <c r="K72" s="2174">
        <f>25*3.9</f>
        <v>97.5</v>
      </c>
      <c r="L72" s="2174">
        <v>0</v>
      </c>
      <c r="M72" s="2174">
        <v>0</v>
      </c>
      <c r="N72" s="2174">
        <v>0</v>
      </c>
      <c r="O72" s="2174">
        <v>0</v>
      </c>
      <c r="P72" s="2174">
        <v>0</v>
      </c>
      <c r="Q72" s="2174">
        <f>23*3.9</f>
        <v>89.7</v>
      </c>
      <c r="R72" s="2174">
        <v>0</v>
      </c>
      <c r="S72" s="2174">
        <v>0</v>
      </c>
      <c r="T72" s="2174">
        <v>0</v>
      </c>
      <c r="U72" s="2174">
        <v>0</v>
      </c>
      <c r="V72" s="2174">
        <v>0</v>
      </c>
      <c r="W72" s="2174">
        <v>0</v>
      </c>
      <c r="X72" s="2174">
        <v>0</v>
      </c>
      <c r="Y72" s="2174">
        <v>0</v>
      </c>
      <c r="Z72" s="2174">
        <v>0</v>
      </c>
      <c r="AA72" s="2174">
        <v>0</v>
      </c>
      <c r="AB72" s="2174">
        <v>0</v>
      </c>
      <c r="AC72" s="2174">
        <v>0</v>
      </c>
      <c r="AD72" s="2174">
        <v>0</v>
      </c>
      <c r="AE72" s="3174">
        <v>0</v>
      </c>
      <c r="AF72" s="2204">
        <f>1728-183</f>
        <v>1545</v>
      </c>
      <c r="AG72" s="2023">
        <f t="shared" ref="AG72:AG82" si="45">SUM(A72:AE72)</f>
        <v>187.2</v>
      </c>
      <c r="AH72" s="32">
        <f>451.7-280.8</f>
        <v>170.89999999999998</v>
      </c>
      <c r="AI72" s="1940">
        <v>397.79999999999995</v>
      </c>
      <c r="AJ72" s="2214" t="s">
        <v>435</v>
      </c>
      <c r="AK72" s="2025">
        <f>+AQ72/BH72</f>
        <v>12.903225806451612</v>
      </c>
      <c r="AL72" s="574">
        <f t="shared" si="6"/>
        <v>0</v>
      </c>
      <c r="AM72" s="2037">
        <f>SUM(AQ72/BH72*BK72)</f>
        <v>400</v>
      </c>
      <c r="AN72" s="2025">
        <f t="shared" si="7"/>
        <v>187.2</v>
      </c>
      <c r="AO72" s="2090" t="s">
        <v>271</v>
      </c>
      <c r="AP72" s="2094">
        <f t="shared" ref="AP72:AP82" si="46">AI72+AN72</f>
        <v>585</v>
      </c>
      <c r="AQ72" s="2266">
        <v>400</v>
      </c>
      <c r="AR72" s="2077">
        <f>+AN72/BK72*BH72</f>
        <v>187.2</v>
      </c>
      <c r="AS72" s="2035">
        <f>SUM(AR72*100/AQ72)</f>
        <v>46.8</v>
      </c>
      <c r="AT72" s="2267">
        <v>397.79999999999995</v>
      </c>
      <c r="AU72" s="2093">
        <v>904.8</v>
      </c>
      <c r="AV72" s="2074">
        <f t="shared" si="9"/>
        <v>0</v>
      </c>
      <c r="AW72" s="167">
        <v>5672</v>
      </c>
      <c r="AX72" s="137" t="s">
        <v>436</v>
      </c>
      <c r="AY72" s="138">
        <v>48895</v>
      </c>
      <c r="AZ72" s="2421" t="s">
        <v>166</v>
      </c>
      <c r="BA72" s="2017" t="s">
        <v>437</v>
      </c>
      <c r="BB72" s="2690">
        <v>71.83</v>
      </c>
      <c r="BC72" s="2151">
        <f t="shared" si="40"/>
        <v>751.57</v>
      </c>
      <c r="BD72" s="2690">
        <v>679.74</v>
      </c>
      <c r="BE72" s="1968"/>
      <c r="BF72" s="1968"/>
      <c r="BG72" s="1968"/>
      <c r="BH72" s="2158">
        <f>BH21</f>
        <v>31</v>
      </c>
      <c r="BI72" s="131">
        <v>1</v>
      </c>
      <c r="BJ72" s="2700">
        <v>30</v>
      </c>
      <c r="BK72" s="2157">
        <f>BJ72+BI72</f>
        <v>31</v>
      </c>
    </row>
    <row r="73" spans="1:63" ht="15.75" customHeight="1" thickBot="1">
      <c r="A73" s="2175">
        <v>66.3</v>
      </c>
      <c r="B73" s="2175">
        <v>0</v>
      </c>
      <c r="C73" s="2175">
        <v>0</v>
      </c>
      <c r="D73" s="2175">
        <v>0</v>
      </c>
      <c r="E73" s="2175">
        <v>0</v>
      </c>
      <c r="F73" s="2175">
        <v>0</v>
      </c>
      <c r="G73" s="2175">
        <v>64.400000000000006</v>
      </c>
      <c r="H73" s="2175">
        <v>61.4</v>
      </c>
      <c r="I73" s="2175">
        <f>58+70.5</f>
        <v>128.5</v>
      </c>
      <c r="J73" s="2175">
        <v>68.900000000000006</v>
      </c>
      <c r="K73" s="2175">
        <v>71.599999999999994</v>
      </c>
      <c r="L73" s="2175">
        <f>71.2+69.3</f>
        <v>140.5</v>
      </c>
      <c r="M73" s="2175">
        <v>68.7</v>
      </c>
      <c r="N73" s="2175">
        <v>80.2</v>
      </c>
      <c r="O73" s="2175">
        <f>66.9+64.8</f>
        <v>131.69999999999999</v>
      </c>
      <c r="P73" s="2175">
        <v>63.2</v>
      </c>
      <c r="Q73" s="2175">
        <v>62.9</v>
      </c>
      <c r="R73" s="2175">
        <v>70.2</v>
      </c>
      <c r="S73" s="2175">
        <v>75.8</v>
      </c>
      <c r="T73" s="2175">
        <v>0</v>
      </c>
      <c r="U73" s="2175">
        <v>75.3</v>
      </c>
      <c r="V73" s="2175">
        <v>73.7</v>
      </c>
      <c r="W73" s="2175">
        <f>76.4+78.3</f>
        <v>154.69999999999999</v>
      </c>
      <c r="X73" s="2175">
        <f>66.5+66.5</f>
        <v>133</v>
      </c>
      <c r="Y73" s="2175">
        <v>70.3</v>
      </c>
      <c r="Z73" s="2175">
        <f>66.1+77</f>
        <v>143.1</v>
      </c>
      <c r="AA73" s="2175">
        <f>68.6+68.24</f>
        <v>136.83999999999997</v>
      </c>
      <c r="AB73" s="2175">
        <f>69.9+70.9</f>
        <v>140.80000000000001</v>
      </c>
      <c r="AC73" s="2175">
        <f>57.3+76</f>
        <v>133.30000000000001</v>
      </c>
      <c r="AD73" s="2175">
        <f>84+70.6</f>
        <v>154.6</v>
      </c>
      <c r="AE73" s="3175">
        <f>70.3+68.4</f>
        <v>138.69999999999999</v>
      </c>
      <c r="AF73" s="2205">
        <f>1493-159</f>
        <v>1334</v>
      </c>
      <c r="AG73" s="2023">
        <f t="shared" si="45"/>
        <v>2508.64</v>
      </c>
      <c r="AH73" s="32">
        <f>523.43+440.7</f>
        <v>964.12999999999988</v>
      </c>
      <c r="AI73" s="1940">
        <v>2500.1999999999998</v>
      </c>
      <c r="AJ73" s="2215" t="s">
        <v>438</v>
      </c>
      <c r="AK73" s="2025">
        <f>+AQ73/BH73</f>
        <v>64.516129032258064</v>
      </c>
      <c r="AL73" s="574">
        <f t="shared" si="6"/>
        <v>138.69999999999999</v>
      </c>
      <c r="AM73" s="2026">
        <f>SUM(AQ73/BH73*BK73)</f>
        <v>2000</v>
      </c>
      <c r="AN73" s="2025">
        <f t="shared" si="7"/>
        <v>2508.64</v>
      </c>
      <c r="AO73" s="2035"/>
      <c r="AP73" s="2094">
        <f t="shared" si="46"/>
        <v>5008.84</v>
      </c>
      <c r="AQ73" s="2109">
        <v>2000</v>
      </c>
      <c r="AR73" s="2077">
        <f>+AN73/BK73*BH73</f>
        <v>2508.64</v>
      </c>
      <c r="AS73" s="2035">
        <f>SUM(AR73*100/AQ73)</f>
        <v>125.432</v>
      </c>
      <c r="AT73" s="744">
        <v>2500.1999999999998</v>
      </c>
      <c r="AU73" s="2268">
        <v>4309.9900000000007</v>
      </c>
      <c r="AV73" s="2074">
        <f t="shared" si="9"/>
        <v>154.6</v>
      </c>
      <c r="AW73" s="1431"/>
      <c r="AX73" s="610"/>
      <c r="AY73" s="1220"/>
      <c r="AZ73" s="2013"/>
      <c r="BA73" s="2017" t="s">
        <v>385</v>
      </c>
      <c r="BB73" s="2690">
        <v>44.48</v>
      </c>
      <c r="BC73" s="2151">
        <f t="shared" si="40"/>
        <v>1300.3400000000001</v>
      </c>
      <c r="BD73" s="2690">
        <v>1255.8600000000001</v>
      </c>
      <c r="BE73" s="2695">
        <f>348.85+231.24</f>
        <v>580.09</v>
      </c>
      <c r="BF73" s="1968"/>
      <c r="BG73" s="2316"/>
      <c r="BH73" s="2158">
        <f>BH21</f>
        <v>31</v>
      </c>
      <c r="BI73" s="131">
        <v>1</v>
      </c>
      <c r="BJ73" s="2700">
        <v>30</v>
      </c>
      <c r="BK73" s="2157">
        <f>BJ73+BI73</f>
        <v>31</v>
      </c>
    </row>
    <row r="74" spans="1:63" ht="18.95" customHeight="1" thickBot="1">
      <c r="A74" s="2176">
        <v>52.6</v>
      </c>
      <c r="B74" s="2176">
        <v>0</v>
      </c>
      <c r="C74" s="2176">
        <v>0</v>
      </c>
      <c r="D74" s="2176">
        <v>0</v>
      </c>
      <c r="E74" s="2176">
        <v>0</v>
      </c>
      <c r="F74" s="2176">
        <v>0</v>
      </c>
      <c r="G74" s="2176">
        <v>46.8</v>
      </c>
      <c r="H74" s="2176">
        <v>50</v>
      </c>
      <c r="I74" s="2176">
        <v>98.9</v>
      </c>
      <c r="J74" s="2176">
        <v>52.6</v>
      </c>
      <c r="K74" s="2176">
        <v>48.95</v>
      </c>
      <c r="L74" s="2176">
        <v>101.55</v>
      </c>
      <c r="M74" s="2176">
        <v>48.45</v>
      </c>
      <c r="N74" s="2176">
        <v>48.5</v>
      </c>
      <c r="O74" s="2176">
        <f>52.6+48</f>
        <v>100.6</v>
      </c>
      <c r="P74" s="2176">
        <v>45.3</v>
      </c>
      <c r="Q74" s="2176">
        <v>52.6</v>
      </c>
      <c r="R74" s="2176">
        <v>48.95</v>
      </c>
      <c r="S74" s="2176">
        <v>48.95</v>
      </c>
      <c r="T74" s="2176">
        <v>0</v>
      </c>
      <c r="U74" s="2176">
        <v>48.3</v>
      </c>
      <c r="V74" s="2176">
        <v>52.6</v>
      </c>
      <c r="W74" s="2176">
        <v>92.15</v>
      </c>
      <c r="X74" s="2176">
        <f>46.05+50</f>
        <v>96.05</v>
      </c>
      <c r="Y74" s="2176">
        <v>48.95</v>
      </c>
      <c r="Z74" s="2176">
        <f>52.6+49</f>
        <v>101.6</v>
      </c>
      <c r="AA74" s="2176">
        <f>52.6*2</f>
        <v>105.2</v>
      </c>
      <c r="AB74" s="2176">
        <f>52.6*2</f>
        <v>105.2</v>
      </c>
      <c r="AC74" s="2176">
        <f>52+52</f>
        <v>104</v>
      </c>
      <c r="AD74" s="2176">
        <f>52.6*2</f>
        <v>105.2</v>
      </c>
      <c r="AE74" s="3176">
        <f>52.6*2</f>
        <v>105.2</v>
      </c>
      <c r="AF74" s="1991">
        <f t="shared" ref="AF74:AF80" si="47">MAX(A74:AE74)</f>
        <v>105.2</v>
      </c>
      <c r="AG74" s="2023">
        <f t="shared" si="45"/>
        <v>1809.2000000000003</v>
      </c>
      <c r="AH74" s="32">
        <f>748.8-687</f>
        <v>61.799999999999955</v>
      </c>
      <c r="AI74" s="1940">
        <v>1898.5999999999995</v>
      </c>
      <c r="AJ74" s="2215" t="s">
        <v>439</v>
      </c>
      <c r="AK74" s="2025"/>
      <c r="AL74" s="574">
        <f t="shared" si="6"/>
        <v>105.2</v>
      </c>
      <c r="AM74" s="2213"/>
      <c r="AN74" s="2025">
        <f t="shared" si="7"/>
        <v>1809.2000000000003</v>
      </c>
      <c r="AO74" s="2269"/>
      <c r="AP74" s="2094">
        <f t="shared" si="46"/>
        <v>3707.7999999999997</v>
      </c>
      <c r="AQ74" s="2270"/>
      <c r="AR74" s="2070"/>
      <c r="AS74" s="2126"/>
      <c r="AT74" s="744">
        <v>1898.5999999999995</v>
      </c>
      <c r="AU74" s="2089">
        <v>3174.3560000000002</v>
      </c>
      <c r="AV74" s="2074">
        <f t="shared" si="9"/>
        <v>105.2</v>
      </c>
      <c r="AW74" s="2297"/>
      <c r="AX74" s="2298"/>
      <c r="AY74" s="2299"/>
      <c r="AZ74" s="2124"/>
      <c r="BA74" s="474" t="s">
        <v>440</v>
      </c>
      <c r="BB74" s="2690">
        <v>0</v>
      </c>
      <c r="BC74" s="2151">
        <f t="shared" si="40"/>
        <v>387.59</v>
      </c>
      <c r="BD74" s="2690">
        <v>387.59</v>
      </c>
      <c r="BE74" s="1968">
        <v>44.69</v>
      </c>
      <c r="BF74" s="1968"/>
      <c r="BG74" s="2316"/>
      <c r="BH74" s="2158"/>
      <c r="BJ74" s="2700"/>
      <c r="BK74" s="1282"/>
    </row>
    <row r="75" spans="1:63" ht="24" customHeight="1" thickBot="1">
      <c r="A75" s="1959">
        <v>422000</v>
      </c>
      <c r="B75" s="1959">
        <v>402300</v>
      </c>
      <c r="C75" s="1959">
        <v>418300</v>
      </c>
      <c r="D75" s="1959">
        <v>433500</v>
      </c>
      <c r="E75" s="1959">
        <v>473900</v>
      </c>
      <c r="F75" s="1959">
        <v>450100</v>
      </c>
      <c r="G75" s="1959">
        <v>470400</v>
      </c>
      <c r="H75" s="1959">
        <v>465600</v>
      </c>
      <c r="I75" s="1959">
        <v>464800</v>
      </c>
      <c r="J75" s="1959">
        <v>253400</v>
      </c>
      <c r="K75" s="1959">
        <v>466900</v>
      </c>
      <c r="L75" s="1959">
        <v>468400</v>
      </c>
      <c r="M75" s="1959">
        <v>477400</v>
      </c>
      <c r="N75" s="1959">
        <v>457200</v>
      </c>
      <c r="O75" s="1959">
        <v>319300</v>
      </c>
      <c r="P75" s="1959">
        <v>417700</v>
      </c>
      <c r="Q75" s="1959">
        <v>398900</v>
      </c>
      <c r="R75" s="1959">
        <v>465400</v>
      </c>
      <c r="S75" s="1959">
        <v>469600</v>
      </c>
      <c r="T75" s="1959">
        <v>416300</v>
      </c>
      <c r="U75" s="1959">
        <v>445300</v>
      </c>
      <c r="V75" s="1959">
        <v>459300</v>
      </c>
      <c r="W75" s="1959">
        <v>459600</v>
      </c>
      <c r="X75" s="1959">
        <v>430600</v>
      </c>
      <c r="Y75" s="1959">
        <v>473600</v>
      </c>
      <c r="Z75" s="1959">
        <v>483500</v>
      </c>
      <c r="AA75" s="1959">
        <v>473800</v>
      </c>
      <c r="AB75" s="1959">
        <v>491900</v>
      </c>
      <c r="AC75" s="1959">
        <v>577000</v>
      </c>
      <c r="AD75" s="1959">
        <v>445000</v>
      </c>
      <c r="AE75" s="3163">
        <v>444400</v>
      </c>
      <c r="AF75" s="1991">
        <f t="shared" si="47"/>
        <v>577000</v>
      </c>
      <c r="AG75" s="2023">
        <f t="shared" si="45"/>
        <v>13795400</v>
      </c>
      <c r="AH75" s="2216">
        <f>AG75/AG20</f>
        <v>1282.1967748318623</v>
      </c>
      <c r="AI75" s="1940">
        <v>14431500</v>
      </c>
      <c r="AJ75" s="2060" t="s">
        <v>441</v>
      </c>
      <c r="AK75" s="2025">
        <v>337700</v>
      </c>
      <c r="AL75" s="574">
        <f t="shared" si="6"/>
        <v>444400</v>
      </c>
      <c r="AM75" s="2213"/>
      <c r="AN75" s="2025">
        <f t="shared" si="7"/>
        <v>13795400</v>
      </c>
      <c r="AO75" s="2078"/>
      <c r="AP75" s="2094">
        <f t="shared" si="46"/>
        <v>28226900</v>
      </c>
      <c r="AQ75" s="166" t="s">
        <v>271</v>
      </c>
      <c r="AR75" s="132"/>
      <c r="AS75" s="474"/>
      <c r="AT75" s="744">
        <v>14431500</v>
      </c>
      <c r="AU75" s="2089">
        <v>13208100</v>
      </c>
      <c r="AV75" s="2074">
        <f t="shared" si="9"/>
        <v>445000</v>
      </c>
      <c r="AW75" s="2141"/>
      <c r="AX75" s="2132"/>
      <c r="AY75" s="2149"/>
      <c r="AZ75" s="2017" t="s">
        <v>271</v>
      </c>
      <c r="BA75" s="474" t="s">
        <v>442</v>
      </c>
      <c r="BB75" s="2690">
        <v>0</v>
      </c>
      <c r="BC75" s="2151">
        <f t="shared" si="40"/>
        <v>0</v>
      </c>
      <c r="BD75" s="2690">
        <v>0</v>
      </c>
      <c r="BE75" s="1968"/>
      <c r="BF75" s="1968">
        <v>27.456</v>
      </c>
      <c r="BG75" s="2132"/>
      <c r="BH75" s="2158">
        <f>BH73</f>
        <v>31</v>
      </c>
      <c r="BI75" s="131">
        <v>1</v>
      </c>
      <c r="BJ75" s="2700">
        <v>30</v>
      </c>
      <c r="BK75" s="2157">
        <f>BJ75+BI75</f>
        <v>31</v>
      </c>
    </row>
    <row r="76" spans="1:63" ht="18.95" customHeight="1" thickBot="1">
      <c r="A76" s="1959">
        <v>0</v>
      </c>
      <c r="B76" s="1959">
        <v>0</v>
      </c>
      <c r="C76" s="1959">
        <v>0</v>
      </c>
      <c r="D76" s="1959">
        <v>0</v>
      </c>
      <c r="E76" s="1959">
        <v>0</v>
      </c>
      <c r="F76" s="1959">
        <v>0</v>
      </c>
      <c r="G76" s="1959">
        <v>0</v>
      </c>
      <c r="H76" s="1959">
        <v>0</v>
      </c>
      <c r="I76" s="1959">
        <v>0</v>
      </c>
      <c r="J76" s="1959">
        <v>0</v>
      </c>
      <c r="K76" s="1959">
        <v>0</v>
      </c>
      <c r="L76" s="1959">
        <v>0</v>
      </c>
      <c r="M76" s="1959">
        <v>0</v>
      </c>
      <c r="N76" s="1959">
        <v>0</v>
      </c>
      <c r="O76" s="1959">
        <v>0</v>
      </c>
      <c r="P76" s="1959">
        <v>0</v>
      </c>
      <c r="Q76" s="1959">
        <v>0</v>
      </c>
      <c r="R76" s="1959">
        <v>0</v>
      </c>
      <c r="S76" s="1959">
        <v>0</v>
      </c>
      <c r="T76" s="1959">
        <v>0</v>
      </c>
      <c r="U76" s="1959">
        <v>0</v>
      </c>
      <c r="V76" s="1959">
        <v>0</v>
      </c>
      <c r="W76" s="1959">
        <v>0</v>
      </c>
      <c r="X76" s="1959">
        <v>0</v>
      </c>
      <c r="Y76" s="1959">
        <v>0</v>
      </c>
      <c r="Z76" s="1959">
        <v>0</v>
      </c>
      <c r="AA76" s="1959">
        <v>0</v>
      </c>
      <c r="AB76" s="1959">
        <v>0</v>
      </c>
      <c r="AC76" s="1959">
        <v>0</v>
      </c>
      <c r="AD76" s="1959">
        <v>0</v>
      </c>
      <c r="AE76" s="3163">
        <v>0</v>
      </c>
      <c r="AF76" s="1991">
        <f t="shared" si="47"/>
        <v>0</v>
      </c>
      <c r="AG76" s="2023">
        <f>AG75/AG56</f>
        <v>1209.8906990387022</v>
      </c>
      <c r="AH76" s="2217">
        <f>BB79</f>
        <v>1209.8906990387022</v>
      </c>
      <c r="AI76" s="1940">
        <v>1286.4706151355765</v>
      </c>
      <c r="AJ76" s="2060" t="s">
        <v>443</v>
      </c>
      <c r="AK76" s="2025">
        <v>0</v>
      </c>
      <c r="AL76" s="574">
        <f t="shared" si="6"/>
        <v>0</v>
      </c>
      <c r="AM76" s="2213"/>
      <c r="AN76" s="2025">
        <f t="shared" si="7"/>
        <v>1209.8906990387022</v>
      </c>
      <c r="AO76" s="2078"/>
      <c r="AP76" s="2094">
        <f t="shared" si="46"/>
        <v>2496.361314174279</v>
      </c>
      <c r="AQ76" s="166"/>
      <c r="AR76" s="132"/>
      <c r="AS76" s="474"/>
      <c r="AT76" s="744">
        <v>1286.4706151355765</v>
      </c>
      <c r="AU76" s="2101">
        <v>0</v>
      </c>
      <c r="AV76" s="2074">
        <f t="shared" si="9"/>
        <v>0</v>
      </c>
      <c r="AW76" s="2141"/>
      <c r="AX76" s="2132"/>
      <c r="AY76" s="2149"/>
      <c r="AZ76" s="2017" t="s">
        <v>271</v>
      </c>
      <c r="BA76" s="474" t="s">
        <v>4015</v>
      </c>
      <c r="BB76" s="2690">
        <v>0</v>
      </c>
      <c r="BC76" s="2151">
        <f t="shared" si="40"/>
        <v>0</v>
      </c>
      <c r="BD76" s="2690">
        <v>0</v>
      </c>
      <c r="BE76" s="1968"/>
      <c r="BF76" s="1968">
        <f>31.2*0.88</f>
        <v>27.456</v>
      </c>
      <c r="BG76" s="2132"/>
      <c r="BH76" s="2158">
        <f>BH75</f>
        <v>31</v>
      </c>
      <c r="BI76" s="131">
        <v>1</v>
      </c>
      <c r="BJ76" s="2700">
        <v>30</v>
      </c>
      <c r="BK76" s="2157">
        <f>BJ76+BI76</f>
        <v>31</v>
      </c>
    </row>
    <row r="77" spans="1:63" ht="18.95" customHeight="1" thickBot="1">
      <c r="A77" s="1959">
        <v>43</v>
      </c>
      <c r="B77" s="1959">
        <v>43.63</v>
      </c>
      <c r="C77" s="1959">
        <v>43.32</v>
      </c>
      <c r="D77" s="1959">
        <v>43.3</v>
      </c>
      <c r="E77" s="1959">
        <v>43</v>
      </c>
      <c r="F77" s="1959">
        <v>42.89</v>
      </c>
      <c r="G77" s="1959">
        <v>42</v>
      </c>
      <c r="H77" s="1959">
        <v>42.71</v>
      </c>
      <c r="I77" s="1959">
        <v>36.07</v>
      </c>
      <c r="J77" s="1959">
        <v>59.42</v>
      </c>
      <c r="K77" s="1959">
        <v>47</v>
      </c>
      <c r="L77" s="1959">
        <v>45.786999999999999</v>
      </c>
      <c r="M77" s="1959">
        <v>44.887</v>
      </c>
      <c r="N77" s="1959">
        <v>29.51</v>
      </c>
      <c r="O77" s="1959">
        <v>35</v>
      </c>
      <c r="P77" s="1959">
        <v>32.47</v>
      </c>
      <c r="Q77" s="1959">
        <v>34.71</v>
      </c>
      <c r="R77" s="1959">
        <v>20.082000000000001</v>
      </c>
      <c r="S77" s="1959">
        <v>0</v>
      </c>
      <c r="T77" s="1959">
        <v>0</v>
      </c>
      <c r="U77" s="1959">
        <f>991.75-977</f>
        <v>14.75</v>
      </c>
      <c r="V77" s="1959">
        <v>0</v>
      </c>
      <c r="W77" s="1959">
        <v>25.92</v>
      </c>
      <c r="X77" s="1959">
        <v>47.95</v>
      </c>
      <c r="Y77" s="1959">
        <v>57.62</v>
      </c>
      <c r="Z77" s="1959">
        <v>57.73</v>
      </c>
      <c r="AA77" s="1959">
        <v>58.991999999999997</v>
      </c>
      <c r="AB77" s="1959">
        <v>58.62</v>
      </c>
      <c r="AC77" s="1959">
        <v>57.98</v>
      </c>
      <c r="AD77" s="1959">
        <v>57.978000000000002</v>
      </c>
      <c r="AE77" s="3163">
        <v>68.099999999999994</v>
      </c>
      <c r="AF77" s="1991">
        <f t="shared" si="47"/>
        <v>68.099999999999994</v>
      </c>
      <c r="AG77" s="2023">
        <f t="shared" si="45"/>
        <v>1234.4259999999999</v>
      </c>
      <c r="AH77" s="2218">
        <f>AG77/(24*BK75)*1000</f>
        <v>1659.1747311827955</v>
      </c>
      <c r="AI77" s="1940">
        <v>1273.1390000000004</v>
      </c>
      <c r="AJ77" s="2060" t="s">
        <v>445</v>
      </c>
      <c r="AK77" s="2025">
        <v>72</v>
      </c>
      <c r="AL77" s="574">
        <f t="shared" ref="AL77:AL83" si="48">AE77</f>
        <v>68.099999999999994</v>
      </c>
      <c r="AM77" s="2213"/>
      <c r="AN77" s="2025">
        <f t="shared" ref="AN77:AN82" si="49">AG77</f>
        <v>1234.4259999999999</v>
      </c>
      <c r="AO77" s="2075">
        <f>V111</f>
        <v>1577</v>
      </c>
      <c r="AP77" s="2094">
        <f t="shared" si="46"/>
        <v>2507.5650000000005</v>
      </c>
      <c r="AQ77" s="166"/>
      <c r="AR77" s="132"/>
      <c r="AS77" s="474"/>
      <c r="AT77" s="744">
        <v>1273.1390000000004</v>
      </c>
      <c r="AU77" s="2101">
        <v>1576.9360000000001</v>
      </c>
      <c r="AV77" s="2074">
        <f t="shared" ref="AV77:AV84" si="50">AD77</f>
        <v>57.978000000000002</v>
      </c>
      <c r="AW77" s="166"/>
      <c r="AX77" s="133"/>
      <c r="AY77" s="132" t="s">
        <v>271</v>
      </c>
      <c r="AZ77" s="2017" t="s">
        <v>271</v>
      </c>
      <c r="BA77" s="474" t="s">
        <v>446</v>
      </c>
      <c r="BB77" s="2690">
        <v>0</v>
      </c>
      <c r="BC77" s="2151">
        <f t="shared" si="40"/>
        <v>356.69</v>
      </c>
      <c r="BD77" s="2690">
        <v>356.69</v>
      </c>
      <c r="BE77" s="1968"/>
      <c r="BF77" s="1968"/>
      <c r="BG77" s="1282"/>
      <c r="BH77" s="2317" t="s">
        <v>271</v>
      </c>
      <c r="BJ77" s="2698"/>
      <c r="BK77" s="1282"/>
    </row>
    <row r="78" spans="1:63" ht="16.5" customHeight="1" thickBot="1">
      <c r="A78" s="1959">
        <v>43.31</v>
      </c>
      <c r="B78" s="1959">
        <v>28.977</v>
      </c>
      <c r="C78" s="1959">
        <v>34.899000000000001</v>
      </c>
      <c r="D78" s="1959">
        <v>33.930999999999997</v>
      </c>
      <c r="E78" s="1959">
        <v>48.426000000000002</v>
      </c>
      <c r="F78" s="1959">
        <v>59.951000000000001</v>
      </c>
      <c r="G78" s="1959">
        <v>61</v>
      </c>
      <c r="H78" s="1959">
        <v>45.372</v>
      </c>
      <c r="I78" s="1959">
        <v>35.231000000000002</v>
      </c>
      <c r="J78" s="1959">
        <v>32.892000000000003</v>
      </c>
      <c r="K78" s="1959">
        <v>43</v>
      </c>
      <c r="L78" s="1959">
        <v>43.252000000000002</v>
      </c>
      <c r="M78" s="1959">
        <v>46.097000000000001</v>
      </c>
      <c r="N78" s="1959">
        <v>59.973999999999997</v>
      </c>
      <c r="O78" s="1959">
        <v>55</v>
      </c>
      <c r="P78" s="1959">
        <v>44.302</v>
      </c>
      <c r="Q78" s="1959">
        <v>37.631</v>
      </c>
      <c r="R78" s="1959">
        <v>63.463999999999999</v>
      </c>
      <c r="S78" s="1959">
        <v>65</v>
      </c>
      <c r="T78" s="1959">
        <v>52.683</v>
      </c>
      <c r="U78" s="1959">
        <v>66.897999999999996</v>
      </c>
      <c r="V78" s="1959">
        <f>1343.261-1264.595</f>
        <v>78.66599999999994</v>
      </c>
      <c r="W78" s="1959">
        <v>57.195999999999998</v>
      </c>
      <c r="X78" s="1959">
        <v>45.116</v>
      </c>
      <c r="Y78" s="1959">
        <v>53.38</v>
      </c>
      <c r="Z78" s="1959">
        <v>56.158999999999999</v>
      </c>
      <c r="AA78" s="1959">
        <v>51.454000000000001</v>
      </c>
      <c r="AB78" s="1959">
        <v>40.982999999999997</v>
      </c>
      <c r="AC78" s="1959">
        <v>49.646000000000001</v>
      </c>
      <c r="AD78" s="1959">
        <v>39.956000000000003</v>
      </c>
      <c r="AE78" s="3163">
        <v>49.819000000000003</v>
      </c>
      <c r="AF78" s="1991">
        <f t="shared" si="47"/>
        <v>78.66599999999994</v>
      </c>
      <c r="AG78" s="2028">
        <f t="shared" si="45"/>
        <v>1523.665</v>
      </c>
      <c r="AH78" s="2218">
        <f>AG78/(24*BK76)*1000</f>
        <v>2047.9368279569892</v>
      </c>
      <c r="AI78" s="1940">
        <v>1277.1710000000003</v>
      </c>
      <c r="AJ78" s="2060" t="s">
        <v>447</v>
      </c>
      <c r="AK78" s="2025">
        <v>19</v>
      </c>
      <c r="AL78" s="574">
        <f t="shared" si="48"/>
        <v>49.819000000000003</v>
      </c>
      <c r="AM78" s="2213"/>
      <c r="AN78" s="2025">
        <f t="shared" si="49"/>
        <v>1523.665</v>
      </c>
      <c r="AO78" s="2081">
        <f>V112</f>
        <v>2060</v>
      </c>
      <c r="AP78" s="2094">
        <f t="shared" si="46"/>
        <v>2800.8360000000002</v>
      </c>
      <c r="AQ78" s="166"/>
      <c r="AR78" s="132"/>
      <c r="AS78" s="474"/>
      <c r="AT78" s="744">
        <v>1277.1710000000003</v>
      </c>
      <c r="AU78" s="2101">
        <v>1610.2651000000001</v>
      </c>
      <c r="AV78" s="2074">
        <f t="shared" si="50"/>
        <v>39.956000000000003</v>
      </c>
      <c r="AW78" s="166"/>
      <c r="AX78" s="133"/>
      <c r="AY78" s="132"/>
      <c r="AZ78" s="2017"/>
      <c r="BA78" s="2300" t="s">
        <v>448</v>
      </c>
      <c r="BB78" s="2301">
        <v>0</v>
      </c>
      <c r="BC78" s="2301">
        <f>+BC72+BC71+BC70+BC69+BC68+BC67+BC66</f>
        <v>1344.5800000000002</v>
      </c>
      <c r="BD78" s="2690">
        <v>1272.75</v>
      </c>
      <c r="BE78" s="1968"/>
      <c r="BF78" s="1282"/>
      <c r="BG78" s="1282"/>
      <c r="BH78" s="2317"/>
      <c r="BJ78" s="2698"/>
      <c r="BK78" s="1282"/>
    </row>
    <row r="79" spans="1:63" ht="22.5" customHeight="1" thickBot="1">
      <c r="A79" s="1959">
        <v>0</v>
      </c>
      <c r="B79" s="1959">
        <v>0</v>
      </c>
      <c r="C79" s="1959">
        <v>0</v>
      </c>
      <c r="D79" s="1959">
        <v>0</v>
      </c>
      <c r="E79" s="1959">
        <v>0</v>
      </c>
      <c r="F79" s="1959">
        <v>0</v>
      </c>
      <c r="G79" s="1959">
        <v>0</v>
      </c>
      <c r="H79" s="1959">
        <v>0</v>
      </c>
      <c r="I79" s="1959">
        <v>52.41</v>
      </c>
      <c r="J79" s="1959">
        <v>0</v>
      </c>
      <c r="K79" s="1959">
        <v>49.49</v>
      </c>
      <c r="L79" s="1959">
        <v>0</v>
      </c>
      <c r="M79" s="1959">
        <v>0</v>
      </c>
      <c r="N79" s="1959">
        <v>0</v>
      </c>
      <c r="O79" s="1959">
        <f>207.51-101.9</f>
        <v>105.60999999999999</v>
      </c>
      <c r="P79" s="1959">
        <v>0</v>
      </c>
      <c r="Q79" s="1959">
        <v>0</v>
      </c>
      <c r="R79" s="1959">
        <v>0</v>
      </c>
      <c r="S79" s="1959">
        <v>0</v>
      </c>
      <c r="T79" s="1959">
        <v>0</v>
      </c>
      <c r="U79" s="1959">
        <v>0</v>
      </c>
      <c r="V79" s="1959">
        <v>0</v>
      </c>
      <c r="W79" s="1959">
        <v>52</v>
      </c>
      <c r="X79" s="1959">
        <f>309.35-259.5</f>
        <v>49.850000000000023</v>
      </c>
      <c r="Y79" s="1959">
        <v>0</v>
      </c>
      <c r="Z79" s="1959">
        <v>0</v>
      </c>
      <c r="AA79" s="1959">
        <v>0</v>
      </c>
      <c r="AB79" s="1959">
        <v>49.8</v>
      </c>
      <c r="AC79" s="1959">
        <v>0</v>
      </c>
      <c r="AD79" s="1959">
        <v>0</v>
      </c>
      <c r="AE79" s="3163">
        <v>0</v>
      </c>
      <c r="AF79" s="1991">
        <f t="shared" si="47"/>
        <v>105.60999999999999</v>
      </c>
      <c r="AG79" s="2056">
        <f t="shared" si="45"/>
        <v>359.16</v>
      </c>
      <c r="AH79" s="2219">
        <f>AG19/AG79*100</f>
        <v>111.22368860674908</v>
      </c>
      <c r="AI79" s="1940">
        <v>520.37</v>
      </c>
      <c r="AJ79" s="2060" t="s">
        <v>449</v>
      </c>
      <c r="AK79" s="2025">
        <v>0</v>
      </c>
      <c r="AL79" s="574">
        <f t="shared" si="48"/>
        <v>0</v>
      </c>
      <c r="AM79" s="2213"/>
      <c r="AN79" s="2025">
        <f t="shared" si="49"/>
        <v>359.16</v>
      </c>
      <c r="AO79" s="2078"/>
      <c r="AP79" s="2094">
        <f t="shared" si="46"/>
        <v>879.53</v>
      </c>
      <c r="AQ79" s="166">
        <v>309</v>
      </c>
      <c r="AR79" s="132"/>
      <c r="AS79" s="474"/>
      <c r="AT79" s="744">
        <v>520.37</v>
      </c>
      <c r="AU79" s="2096">
        <v>751.46</v>
      </c>
      <c r="AV79" s="2074">
        <f t="shared" si="50"/>
        <v>0</v>
      </c>
      <c r="AW79" s="2141"/>
      <c r="AX79" s="2132"/>
      <c r="AY79" s="2149"/>
      <c r="AZ79" s="2017" t="s">
        <v>271</v>
      </c>
      <c r="BA79" s="2302" t="s">
        <v>450</v>
      </c>
      <c r="BB79" s="2303">
        <f>AN75/AN56</f>
        <v>1209.8906990387022</v>
      </c>
      <c r="BC79" s="2149"/>
      <c r="BD79" s="2690"/>
      <c r="BE79" s="1968"/>
      <c r="BF79" s="2132"/>
      <c r="BG79" s="2132"/>
      <c r="BJ79" s="2698"/>
      <c r="BK79" s="1282"/>
    </row>
    <row r="80" spans="1:63" ht="18.75" customHeight="1" thickBot="1">
      <c r="A80" s="1959">
        <f t="shared" ref="A80:AE80" si="51">+A12-A79</f>
        <v>211</v>
      </c>
      <c r="B80" s="1959">
        <f t="shared" si="51"/>
        <v>320</v>
      </c>
      <c r="C80" s="1959">
        <f t="shared" si="51"/>
        <v>369</v>
      </c>
      <c r="D80" s="1959">
        <f t="shared" si="51"/>
        <v>314.55</v>
      </c>
      <c r="E80" s="1959">
        <f t="shared" si="51"/>
        <v>367.2</v>
      </c>
      <c r="F80" s="1959">
        <f t="shared" si="51"/>
        <v>306.64999999999998</v>
      </c>
      <c r="G80" s="1959">
        <f t="shared" si="51"/>
        <v>368.55</v>
      </c>
      <c r="H80" s="1959">
        <f t="shared" si="51"/>
        <v>362</v>
      </c>
      <c r="I80" s="1959">
        <f t="shared" si="51"/>
        <v>319.10000000000002</v>
      </c>
      <c r="J80" s="1959">
        <f t="shared" si="51"/>
        <v>152</v>
      </c>
      <c r="K80" s="1959">
        <f t="shared" si="51"/>
        <v>361.63</v>
      </c>
      <c r="L80" s="1959">
        <f t="shared" si="51"/>
        <v>364</v>
      </c>
      <c r="M80" s="1959">
        <f t="shared" si="51"/>
        <v>424</v>
      </c>
      <c r="N80" s="1959">
        <f t="shared" si="51"/>
        <v>369.9</v>
      </c>
      <c r="O80" s="1959">
        <f t="shared" si="51"/>
        <v>94.740000000000009</v>
      </c>
      <c r="P80" s="1959">
        <f t="shared" si="51"/>
        <v>306</v>
      </c>
      <c r="Q80" s="1959">
        <f t="shared" si="51"/>
        <v>303</v>
      </c>
      <c r="R80" s="1959">
        <f t="shared" si="51"/>
        <v>365.2</v>
      </c>
      <c r="S80" s="1959">
        <f t="shared" si="51"/>
        <v>425.2</v>
      </c>
      <c r="T80" s="1959">
        <f t="shared" si="51"/>
        <v>321</v>
      </c>
      <c r="U80" s="1959">
        <f t="shared" si="51"/>
        <v>267</v>
      </c>
      <c r="V80" s="1959">
        <f t="shared" si="51"/>
        <v>418.2</v>
      </c>
      <c r="W80" s="1959">
        <f t="shared" si="51"/>
        <v>361</v>
      </c>
      <c r="X80" s="1959">
        <f t="shared" si="51"/>
        <v>299.14999999999998</v>
      </c>
      <c r="Y80" s="1959">
        <f t="shared" si="51"/>
        <v>352.4</v>
      </c>
      <c r="Z80" s="1959">
        <f t="shared" si="51"/>
        <v>369</v>
      </c>
      <c r="AA80" s="1959">
        <f t="shared" si="51"/>
        <v>315</v>
      </c>
      <c r="AB80" s="1959">
        <f t="shared" si="51"/>
        <v>472.2</v>
      </c>
      <c r="AC80" s="1959">
        <f t="shared" si="51"/>
        <v>463</v>
      </c>
      <c r="AD80" s="1959">
        <f t="shared" si="51"/>
        <v>515</v>
      </c>
      <c r="AE80" s="3163">
        <f t="shared" si="51"/>
        <v>585</v>
      </c>
      <c r="AF80" s="1991">
        <f t="shared" si="47"/>
        <v>585</v>
      </c>
      <c r="AG80" s="2023">
        <f t="shared" si="45"/>
        <v>10841.669999999998</v>
      </c>
      <c r="AI80" s="1940">
        <v>10365.275000000001</v>
      </c>
      <c r="AJ80" s="2060" t="s">
        <v>296</v>
      </c>
      <c r="AK80" s="2025">
        <v>0</v>
      </c>
      <c r="AL80" s="574">
        <f t="shared" si="48"/>
        <v>585</v>
      </c>
      <c r="AM80" s="2213"/>
      <c r="AN80" s="2025">
        <f t="shared" si="49"/>
        <v>10841.669999999998</v>
      </c>
      <c r="AO80" s="2078"/>
      <c r="AP80" s="2094">
        <f t="shared" si="46"/>
        <v>21206.945</v>
      </c>
      <c r="AQ80" s="166">
        <v>11861</v>
      </c>
      <c r="AR80" s="132"/>
      <c r="AS80" s="474"/>
      <c r="AT80" s="744">
        <v>10365.275000000001</v>
      </c>
      <c r="AU80" s="2096">
        <v>10455.51</v>
      </c>
      <c r="AV80" s="2074">
        <f t="shared" si="50"/>
        <v>515</v>
      </c>
      <c r="AW80" s="2141"/>
      <c r="AX80" s="2132"/>
      <c r="AY80" s="2149"/>
      <c r="AZ80" s="2017" t="s">
        <v>271</v>
      </c>
      <c r="BA80" s="2302" t="s">
        <v>451</v>
      </c>
      <c r="BB80" s="2303">
        <f>AN75/AN20</f>
        <v>1282.1967748318623</v>
      </c>
      <c r="BC80" s="2149"/>
      <c r="BD80" s="2690"/>
      <c r="BE80" s="1968"/>
      <c r="BF80" s="2132"/>
      <c r="BG80" s="2132"/>
      <c r="BJ80" s="2698"/>
      <c r="BK80" s="1282"/>
    </row>
    <row r="81" spans="1:70" ht="21.75" customHeight="1" thickBot="1">
      <c r="A81" s="1959">
        <f t="shared" ref="A81:AE81" si="52">A99</f>
        <v>4.458333333333333</v>
      </c>
      <c r="B81" s="1959">
        <f t="shared" si="52"/>
        <v>2.6785714285714284</v>
      </c>
      <c r="C81" s="1959">
        <f t="shared" si="52"/>
        <v>2.8571428571428572</v>
      </c>
      <c r="D81" s="1959">
        <f t="shared" si="52"/>
        <v>3.1111111111111112</v>
      </c>
      <c r="E81" s="1959">
        <f t="shared" si="52"/>
        <v>2.9642857142857144</v>
      </c>
      <c r="F81" s="1959">
        <f t="shared" si="52"/>
        <v>3.0476190476190474</v>
      </c>
      <c r="G81" s="1959">
        <f t="shared" si="52"/>
        <v>3.45</v>
      </c>
      <c r="H81" s="1959">
        <f t="shared" si="52"/>
        <v>3.2916666666666665</v>
      </c>
      <c r="I81" s="1959">
        <f t="shared" si="52"/>
        <v>3.083333333333333</v>
      </c>
      <c r="J81" s="1959">
        <f t="shared" si="52"/>
        <v>3.0555555555555554</v>
      </c>
      <c r="K81" s="1959">
        <f t="shared" si="52"/>
        <v>3.4333333333333336</v>
      </c>
      <c r="L81" s="1959">
        <f t="shared" si="52"/>
        <v>2.6428571428571428</v>
      </c>
      <c r="M81" s="1959">
        <f t="shared" si="52"/>
        <v>3.0416666666666665</v>
      </c>
      <c r="N81" s="1959">
        <f t="shared" si="52"/>
        <v>3.1071428571428572</v>
      </c>
      <c r="O81" s="1959">
        <f t="shared" si="52"/>
        <v>3.3333333333333335</v>
      </c>
      <c r="P81" s="1959">
        <f t="shared" si="52"/>
        <v>3.9666666666666663</v>
      </c>
      <c r="Q81" s="1959">
        <f t="shared" si="52"/>
        <v>3.9166666666666665</v>
      </c>
      <c r="R81" s="1959">
        <f t="shared" si="52"/>
        <v>3.5277777777777781</v>
      </c>
      <c r="S81" s="1959">
        <f t="shared" si="52"/>
        <v>3.2361111111111112</v>
      </c>
      <c r="T81" s="1959">
        <f t="shared" si="52"/>
        <v>3.166666666666667</v>
      </c>
      <c r="U81" s="1959">
        <f t="shared" si="52"/>
        <v>3.125</v>
      </c>
      <c r="V81" s="1959">
        <f t="shared" si="52"/>
        <v>3.05</v>
      </c>
      <c r="W81" s="1959">
        <f t="shared" si="52"/>
        <v>3.3928571428571428</v>
      </c>
      <c r="X81" s="1959">
        <f t="shared" si="52"/>
        <v>3.9833333333333334</v>
      </c>
      <c r="Y81" s="1959">
        <f t="shared" si="52"/>
        <v>3.2</v>
      </c>
      <c r="Z81" s="1959">
        <f t="shared" si="52"/>
        <v>3.2361111111111112</v>
      </c>
      <c r="AA81" s="1959">
        <f t="shared" si="52"/>
        <v>3.5555555555555554</v>
      </c>
      <c r="AB81" s="1959">
        <f t="shared" si="52"/>
        <v>3.333333333333333</v>
      </c>
      <c r="AC81" s="1959">
        <f t="shared" si="52"/>
        <v>3.416666666666667</v>
      </c>
      <c r="AD81" s="1959">
        <f t="shared" si="52"/>
        <v>3.2976190476190474</v>
      </c>
      <c r="AE81" s="3163">
        <f t="shared" si="52"/>
        <v>3.8333333333333335</v>
      </c>
      <c r="AF81" s="1959">
        <v>0</v>
      </c>
      <c r="AG81" s="2028">
        <f t="shared" si="45"/>
        <v>102.7936507936508</v>
      </c>
      <c r="AH81" s="2220"/>
      <c r="AI81" s="1940">
        <v>123.87807539682538</v>
      </c>
      <c r="AJ81" s="2221" t="s">
        <v>452</v>
      </c>
      <c r="AK81" s="1959">
        <f t="shared" ref="AK81" si="53">AK99</f>
        <v>0</v>
      </c>
      <c r="AL81" s="574">
        <f t="shared" si="48"/>
        <v>3.8333333333333335</v>
      </c>
      <c r="AM81" s="2213"/>
      <c r="AN81" s="2025">
        <f t="shared" si="49"/>
        <v>102.7936507936508</v>
      </c>
      <c r="AO81" s="2078"/>
      <c r="AP81" s="2094">
        <f t="shared" si="46"/>
        <v>226.67172619047619</v>
      </c>
      <c r="AQ81" s="166"/>
      <c r="AR81" s="132"/>
      <c r="AS81" s="474"/>
      <c r="AT81" s="744">
        <v>123.87807539682538</v>
      </c>
      <c r="AU81" s="1145">
        <v>106.4361111111111</v>
      </c>
      <c r="AV81" s="2074">
        <f t="shared" si="50"/>
        <v>3.2976190476190474</v>
      </c>
      <c r="AW81" s="2141"/>
      <c r="AX81" s="2132"/>
      <c r="AY81" s="2149"/>
      <c r="AZ81" s="2017" t="s">
        <v>271</v>
      </c>
      <c r="BA81" s="2304" t="s">
        <v>453</v>
      </c>
      <c r="BB81" s="2305"/>
      <c r="BC81" s="2149"/>
      <c r="BD81" s="2690"/>
      <c r="BE81" s="1968"/>
      <c r="BF81" s="2132"/>
      <c r="BG81" s="2132"/>
      <c r="BJ81" s="2698"/>
      <c r="BK81" s="1282"/>
    </row>
    <row r="82" spans="1:70" ht="20.100000000000001" customHeight="1" thickBot="1">
      <c r="A82" s="2177">
        <f>A92</f>
        <v>4</v>
      </c>
      <c r="B82" s="2177">
        <f t="shared" ref="B82:AE82" si="54">B92</f>
        <v>7</v>
      </c>
      <c r="C82" s="2177">
        <f t="shared" si="54"/>
        <v>7</v>
      </c>
      <c r="D82" s="2177">
        <f t="shared" si="54"/>
        <v>6</v>
      </c>
      <c r="E82" s="2177">
        <f t="shared" si="54"/>
        <v>7</v>
      </c>
      <c r="F82" s="2177">
        <f t="shared" si="54"/>
        <v>7</v>
      </c>
      <c r="G82" s="2177">
        <f t="shared" si="54"/>
        <v>5</v>
      </c>
      <c r="H82" s="2177">
        <f t="shared" si="54"/>
        <v>6</v>
      </c>
      <c r="I82" s="2177">
        <f t="shared" si="54"/>
        <v>5</v>
      </c>
      <c r="J82" s="2177">
        <f t="shared" si="54"/>
        <v>3</v>
      </c>
      <c r="K82" s="2177">
        <f t="shared" si="54"/>
        <v>5</v>
      </c>
      <c r="L82" s="2177">
        <f t="shared" si="54"/>
        <v>7</v>
      </c>
      <c r="M82" s="2177">
        <f t="shared" si="54"/>
        <v>6</v>
      </c>
      <c r="N82" s="2177">
        <f t="shared" si="54"/>
        <v>7</v>
      </c>
      <c r="O82" s="2177">
        <f t="shared" si="54"/>
        <v>2</v>
      </c>
      <c r="P82" s="2177">
        <f t="shared" si="54"/>
        <v>5</v>
      </c>
      <c r="Q82" s="2177">
        <f t="shared" si="54"/>
        <v>4</v>
      </c>
      <c r="R82" s="2177">
        <f t="shared" si="54"/>
        <v>6</v>
      </c>
      <c r="S82" s="2177">
        <f t="shared" si="54"/>
        <v>6</v>
      </c>
      <c r="T82" s="2177">
        <f t="shared" si="54"/>
        <v>7</v>
      </c>
      <c r="U82" s="2177">
        <f t="shared" si="54"/>
        <v>6</v>
      </c>
      <c r="V82" s="2177">
        <f t="shared" si="54"/>
        <v>5</v>
      </c>
      <c r="W82" s="2177">
        <f t="shared" si="54"/>
        <v>7</v>
      </c>
      <c r="X82" s="2177">
        <f t="shared" si="54"/>
        <v>3</v>
      </c>
      <c r="Y82" s="2177">
        <f t="shared" si="54"/>
        <v>0</v>
      </c>
      <c r="Z82" s="2177">
        <f t="shared" si="54"/>
        <v>0</v>
      </c>
      <c r="AA82" s="2177">
        <f t="shared" si="54"/>
        <v>4</v>
      </c>
      <c r="AB82" s="2177">
        <f t="shared" si="54"/>
        <v>6</v>
      </c>
      <c r="AC82" s="2177">
        <f t="shared" si="54"/>
        <v>2</v>
      </c>
      <c r="AD82" s="2177">
        <f t="shared" si="54"/>
        <v>0</v>
      </c>
      <c r="AE82" s="3177">
        <f t="shared" si="54"/>
        <v>0</v>
      </c>
      <c r="AF82" s="2177">
        <v>5</v>
      </c>
      <c r="AG82" s="2028">
        <f t="shared" si="45"/>
        <v>145</v>
      </c>
      <c r="AH82" s="2222">
        <f>1341-1416</f>
        <v>-75</v>
      </c>
      <c r="AI82" s="1940">
        <v>85</v>
      </c>
      <c r="AJ82" s="2214" t="s">
        <v>454</v>
      </c>
      <c r="AK82" s="2025">
        <v>4</v>
      </c>
      <c r="AL82" s="574">
        <f t="shared" si="48"/>
        <v>0</v>
      </c>
      <c r="AM82" s="2223"/>
      <c r="AN82" s="2025">
        <f t="shared" si="49"/>
        <v>145</v>
      </c>
      <c r="AO82" s="2121"/>
      <c r="AP82" s="2094">
        <f t="shared" si="46"/>
        <v>230</v>
      </c>
      <c r="AQ82" s="2015"/>
      <c r="AR82" s="2118"/>
      <c r="AS82" s="2121"/>
      <c r="AT82" s="2140">
        <v>85</v>
      </c>
      <c r="AU82" s="1145"/>
      <c r="AV82" s="2074">
        <f t="shared" si="50"/>
        <v>0</v>
      </c>
      <c r="AW82" s="2144"/>
      <c r="AX82" s="2136"/>
      <c r="AY82" s="2145"/>
      <c r="AZ82" s="2121"/>
      <c r="BA82" s="2306" t="s">
        <v>455</v>
      </c>
      <c r="BB82" s="2136">
        <f>(AG77++AG78)/AN12*1000</f>
        <v>246.23987686626793</v>
      </c>
      <c r="BC82" s="2145" t="s">
        <v>271</v>
      </c>
      <c r="BD82" s="2690"/>
      <c r="BE82" s="1968"/>
      <c r="BF82" s="2163"/>
      <c r="BG82" s="2163"/>
      <c r="BJ82" s="2698"/>
      <c r="BK82" s="1282"/>
    </row>
    <row r="83" spans="1:70" ht="20.100000000000001" customHeight="1" thickBot="1">
      <c r="A83" s="2177">
        <f>A96</f>
        <v>0</v>
      </c>
      <c r="B83" s="2177">
        <f t="shared" ref="B83:AE83" si="55">B96</f>
        <v>0</v>
      </c>
      <c r="C83" s="2177">
        <f t="shared" si="55"/>
        <v>0</v>
      </c>
      <c r="D83" s="2177">
        <f t="shared" si="55"/>
        <v>0</v>
      </c>
      <c r="E83" s="2177">
        <f t="shared" si="55"/>
        <v>0</v>
      </c>
      <c r="F83" s="2177">
        <f t="shared" si="55"/>
        <v>0</v>
      </c>
      <c r="G83" s="2177">
        <f t="shared" si="55"/>
        <v>0</v>
      </c>
      <c r="H83" s="2177">
        <f t="shared" si="55"/>
        <v>0</v>
      </c>
      <c r="I83" s="2177">
        <f t="shared" si="55"/>
        <v>0</v>
      </c>
      <c r="J83" s="2177">
        <f t="shared" si="55"/>
        <v>0</v>
      </c>
      <c r="K83" s="2177">
        <f t="shared" si="55"/>
        <v>0</v>
      </c>
      <c r="L83" s="2177">
        <f t="shared" si="55"/>
        <v>0</v>
      </c>
      <c r="M83" s="2177">
        <f t="shared" si="55"/>
        <v>0</v>
      </c>
      <c r="N83" s="2177">
        <f t="shared" si="55"/>
        <v>0</v>
      </c>
      <c r="O83" s="2177">
        <f t="shared" si="55"/>
        <v>0</v>
      </c>
      <c r="P83" s="2177">
        <f t="shared" si="55"/>
        <v>0</v>
      </c>
      <c r="Q83" s="2177">
        <f t="shared" si="55"/>
        <v>0</v>
      </c>
      <c r="R83" s="2177">
        <f t="shared" si="55"/>
        <v>0</v>
      </c>
      <c r="S83" s="2177">
        <f t="shared" si="55"/>
        <v>0</v>
      </c>
      <c r="T83" s="2177">
        <f t="shared" si="55"/>
        <v>0</v>
      </c>
      <c r="U83" s="2177">
        <f t="shared" si="55"/>
        <v>0</v>
      </c>
      <c r="V83" s="2177">
        <f t="shared" si="55"/>
        <v>0</v>
      </c>
      <c r="W83" s="2177">
        <f t="shared" si="55"/>
        <v>0</v>
      </c>
      <c r="X83" s="2177">
        <f t="shared" si="55"/>
        <v>2</v>
      </c>
      <c r="Y83" s="2177">
        <f t="shared" si="55"/>
        <v>5</v>
      </c>
      <c r="Z83" s="2177">
        <f t="shared" si="55"/>
        <v>6</v>
      </c>
      <c r="AA83" s="2177">
        <f t="shared" si="55"/>
        <v>2</v>
      </c>
      <c r="AB83" s="2177">
        <f t="shared" si="55"/>
        <v>1</v>
      </c>
      <c r="AC83" s="2177">
        <f t="shared" si="55"/>
        <v>5</v>
      </c>
      <c r="AD83" s="2177">
        <f t="shared" si="55"/>
        <v>7</v>
      </c>
      <c r="AE83" s="3177">
        <f t="shared" si="55"/>
        <v>6</v>
      </c>
      <c r="AF83" s="1946"/>
      <c r="AG83" s="2158"/>
      <c r="AH83" s="2222"/>
      <c r="AJ83" s="2060" t="s">
        <v>456</v>
      </c>
      <c r="AK83" s="2224">
        <v>4</v>
      </c>
      <c r="AL83" s="574">
        <f t="shared" si="48"/>
        <v>6</v>
      </c>
      <c r="AM83" s="2225"/>
      <c r="AN83" s="2025"/>
      <c r="AO83" s="2119"/>
      <c r="AP83" s="2271"/>
      <c r="AQ83" s="2119"/>
      <c r="AR83" s="2015"/>
      <c r="AS83" s="2121"/>
      <c r="AT83" s="1968"/>
      <c r="AU83" s="1145"/>
      <c r="AV83" s="2074">
        <f t="shared" si="50"/>
        <v>7</v>
      </c>
      <c r="AW83" s="2144"/>
      <c r="AX83" s="2136"/>
      <c r="AY83" s="2145"/>
      <c r="AZ83" s="2121"/>
      <c r="BA83" s="2121"/>
      <c r="BB83" s="2136"/>
      <c r="BC83" s="2144"/>
      <c r="BD83" s="2690"/>
      <c r="BE83" s="1968"/>
      <c r="BF83" s="2163"/>
      <c r="BG83" s="2163"/>
      <c r="BJ83" s="2698"/>
      <c r="BK83" s="1282"/>
    </row>
    <row r="84" spans="1:70" ht="20.100000000000001" customHeight="1" thickBot="1">
      <c r="A84" s="2177"/>
      <c r="B84" s="2177"/>
      <c r="C84" s="2177"/>
      <c r="D84" s="2177"/>
      <c r="E84" s="2177"/>
      <c r="F84" s="2177"/>
      <c r="G84" s="2177"/>
      <c r="H84" s="2177"/>
      <c r="I84" s="2177"/>
      <c r="J84" s="2177"/>
      <c r="K84" s="2177"/>
      <c r="L84" s="2177"/>
      <c r="M84" s="2177"/>
      <c r="N84" s="2177"/>
      <c r="O84" s="2177"/>
      <c r="P84" s="2177"/>
      <c r="Q84" s="2177"/>
      <c r="R84" s="2177"/>
      <c r="S84" s="2177"/>
      <c r="T84" s="2177"/>
      <c r="U84" s="2177"/>
      <c r="V84" s="2177"/>
      <c r="W84" s="2177"/>
      <c r="X84" s="2177"/>
      <c r="Y84" s="2177"/>
      <c r="Z84" s="2177"/>
      <c r="AA84" s="2177"/>
      <c r="AB84" s="2177"/>
      <c r="AC84" s="2177"/>
      <c r="AD84" s="2177"/>
      <c r="AE84" s="3177"/>
      <c r="AG84" s="1946">
        <f>250.36/0.9714</f>
        <v>257.73110973852175</v>
      </c>
      <c r="AH84" s="1949">
        <f>+AG15/AG79*100</f>
        <v>26.840405390355272</v>
      </c>
      <c r="AI84" s="32" t="s">
        <v>351</v>
      </c>
      <c r="AJ84" s="474" t="s">
        <v>271</v>
      </c>
      <c r="AK84" s="474"/>
      <c r="AL84" s="574"/>
      <c r="AM84" s="1128" t="s">
        <v>457</v>
      </c>
      <c r="AN84" s="2071"/>
      <c r="AO84" s="1131"/>
      <c r="AP84" s="1129"/>
      <c r="AQ84" s="2827" t="s">
        <v>458</v>
      </c>
      <c r="AR84" s="2811"/>
      <c r="AS84" s="1128"/>
      <c r="AT84" s="137"/>
      <c r="AU84" s="133"/>
      <c r="AV84" s="2074">
        <f t="shared" si="50"/>
        <v>0</v>
      </c>
      <c r="AW84" s="2307"/>
      <c r="AX84" s="2308" t="s">
        <v>459</v>
      </c>
      <c r="AY84" s="2308" t="s">
        <v>460</v>
      </c>
      <c r="AZ84" s="2012" t="s">
        <v>271</v>
      </c>
      <c r="BA84" s="2810"/>
      <c r="BB84" s="2827"/>
      <c r="BC84" s="2811"/>
      <c r="BD84" s="2690"/>
      <c r="BE84" s="2318"/>
      <c r="BF84" s="2318"/>
      <c r="BG84" s="2318"/>
      <c r="BH84" s="131" t="s">
        <v>271</v>
      </c>
      <c r="BJ84" s="2698"/>
      <c r="BK84" s="1282"/>
    </row>
    <row r="85" spans="1:70" ht="20.100000000000001" customHeight="1" thickBot="1">
      <c r="A85" s="2178">
        <v>0</v>
      </c>
      <c r="B85" s="2178">
        <v>0</v>
      </c>
      <c r="C85" s="2178">
        <v>0</v>
      </c>
      <c r="D85" s="2178">
        <v>0</v>
      </c>
      <c r="E85" s="2178">
        <v>0</v>
      </c>
      <c r="F85" s="2178">
        <v>0</v>
      </c>
      <c r="G85" s="2178">
        <v>0</v>
      </c>
      <c r="H85" s="2178">
        <v>0</v>
      </c>
      <c r="I85" s="2178">
        <v>0</v>
      </c>
      <c r="J85" s="2178">
        <v>0</v>
      </c>
      <c r="K85" s="2178">
        <v>0</v>
      </c>
      <c r="L85" s="2178">
        <v>0</v>
      </c>
      <c r="M85" s="2178">
        <v>0</v>
      </c>
      <c r="N85" s="2178">
        <v>0</v>
      </c>
      <c r="O85" s="2178">
        <v>0</v>
      </c>
      <c r="P85" s="2178">
        <v>0</v>
      </c>
      <c r="Q85" s="2178">
        <v>0</v>
      </c>
      <c r="R85" s="2178">
        <v>0</v>
      </c>
      <c r="S85" s="2178">
        <v>0</v>
      </c>
      <c r="T85" s="2178">
        <v>0</v>
      </c>
      <c r="U85" s="2178">
        <v>0</v>
      </c>
      <c r="V85" s="2178">
        <v>0</v>
      </c>
      <c r="W85" s="2178">
        <v>0</v>
      </c>
      <c r="X85" s="2178">
        <v>0</v>
      </c>
      <c r="Y85" s="2178">
        <v>0</v>
      </c>
      <c r="Z85" s="2178">
        <v>0</v>
      </c>
      <c r="AA85" s="2178">
        <v>0</v>
      </c>
      <c r="AB85" s="2178">
        <v>0</v>
      </c>
      <c r="AC85" s="2178">
        <v>0</v>
      </c>
      <c r="AD85" s="2178">
        <v>0</v>
      </c>
      <c r="AE85" s="3178">
        <v>0</v>
      </c>
      <c r="AF85" s="2206">
        <f t="shared" ref="AF85:AF94" si="56">SUM(A85:AE85)</f>
        <v>0</v>
      </c>
      <c r="AH85" s="2226" t="s">
        <v>461</v>
      </c>
      <c r="AI85" s="132">
        <v>2908250201</v>
      </c>
      <c r="AJ85" s="1130" t="s">
        <v>462</v>
      </c>
      <c r="AK85" s="1130" t="s">
        <v>463</v>
      </c>
      <c r="AL85" s="2756">
        <v>2331260101</v>
      </c>
      <c r="AM85" s="610" t="s">
        <v>356</v>
      </c>
      <c r="AN85" s="1131">
        <f>975</f>
        <v>975</v>
      </c>
      <c r="AO85" s="2756">
        <f>89.2</f>
        <v>89.2</v>
      </c>
      <c r="AP85" s="1419" t="s">
        <v>332</v>
      </c>
      <c r="AQ85" s="1220"/>
      <c r="AR85" s="2240">
        <v>0</v>
      </c>
      <c r="AS85" s="2810"/>
      <c r="AT85" s="2811"/>
      <c r="AU85" s="2130"/>
      <c r="AV85" s="2074"/>
      <c r="AW85" s="2141"/>
      <c r="AX85" s="2132"/>
      <c r="AY85" s="2149"/>
      <c r="AZ85" s="2006"/>
      <c r="BA85" s="1220"/>
      <c r="BB85" s="2156"/>
      <c r="BC85" s="2141"/>
      <c r="BD85" s="2690"/>
      <c r="BE85" s="2318"/>
      <c r="BF85" s="2318"/>
      <c r="BG85" s="2318"/>
      <c r="BJ85" s="2698"/>
      <c r="BK85" s="1282"/>
    </row>
    <row r="86" spans="1:70" ht="20.100000000000001" customHeight="1" thickBot="1">
      <c r="A86" s="2179">
        <f>A85/A104</f>
        <v>0</v>
      </c>
      <c r="B86" s="2179">
        <f t="shared" ref="B86:AE86" si="57">B85/B104</f>
        <v>0</v>
      </c>
      <c r="C86" s="2179">
        <f t="shared" si="57"/>
        <v>0</v>
      </c>
      <c r="D86" s="2179">
        <f t="shared" si="57"/>
        <v>0</v>
      </c>
      <c r="E86" s="2179">
        <f t="shared" si="57"/>
        <v>0</v>
      </c>
      <c r="F86" s="2179">
        <f t="shared" si="57"/>
        <v>0</v>
      </c>
      <c r="G86" s="2179">
        <f t="shared" si="57"/>
        <v>0</v>
      </c>
      <c r="H86" s="2179">
        <f t="shared" si="57"/>
        <v>0</v>
      </c>
      <c r="I86" s="2179">
        <f t="shared" si="57"/>
        <v>0</v>
      </c>
      <c r="J86" s="2179">
        <f t="shared" si="57"/>
        <v>0</v>
      </c>
      <c r="K86" s="2179">
        <f t="shared" si="57"/>
        <v>0</v>
      </c>
      <c r="L86" s="2179">
        <f t="shared" si="57"/>
        <v>0</v>
      </c>
      <c r="M86" s="2179">
        <f t="shared" si="57"/>
        <v>0</v>
      </c>
      <c r="N86" s="2179">
        <f t="shared" si="57"/>
        <v>0</v>
      </c>
      <c r="O86" s="2179">
        <f t="shared" si="57"/>
        <v>0</v>
      </c>
      <c r="P86" s="2179">
        <f t="shared" si="57"/>
        <v>0</v>
      </c>
      <c r="Q86" s="2179">
        <f t="shared" si="57"/>
        <v>0</v>
      </c>
      <c r="R86" s="2179">
        <f t="shared" si="57"/>
        <v>0</v>
      </c>
      <c r="S86" s="2179">
        <f t="shared" si="57"/>
        <v>0</v>
      </c>
      <c r="T86" s="2179">
        <f t="shared" si="57"/>
        <v>0</v>
      </c>
      <c r="U86" s="2179">
        <f t="shared" si="57"/>
        <v>0</v>
      </c>
      <c r="V86" s="2179">
        <f t="shared" si="57"/>
        <v>0</v>
      </c>
      <c r="W86" s="2179">
        <f t="shared" si="57"/>
        <v>0</v>
      </c>
      <c r="X86" s="2179">
        <f t="shared" si="57"/>
        <v>0</v>
      </c>
      <c r="Y86" s="2179">
        <f t="shared" si="57"/>
        <v>0</v>
      </c>
      <c r="Z86" s="2179">
        <f t="shared" si="57"/>
        <v>0</v>
      </c>
      <c r="AA86" s="2179">
        <f t="shared" si="57"/>
        <v>0</v>
      </c>
      <c r="AB86" s="2179">
        <f t="shared" si="57"/>
        <v>0</v>
      </c>
      <c r="AC86" s="2179">
        <f t="shared" si="57"/>
        <v>0</v>
      </c>
      <c r="AD86" s="2179">
        <f t="shared" si="57"/>
        <v>0</v>
      </c>
      <c r="AE86" s="3179">
        <f t="shared" si="57"/>
        <v>0</v>
      </c>
      <c r="AF86" s="2206">
        <f t="shared" si="56"/>
        <v>0</v>
      </c>
      <c r="AG86" s="2206">
        <f>SUM(A84:AE84)</f>
        <v>0</v>
      </c>
      <c r="AH86" s="2227" t="s">
        <v>464</v>
      </c>
      <c r="AI86" s="32">
        <v>2908250401</v>
      </c>
      <c r="AJ86" s="2228" t="s">
        <v>3882</v>
      </c>
      <c r="AK86" s="2756">
        <f>343.31+4.15+628.03+9.4+308.23+1037.37+37.56</f>
        <v>2368.0499999999997</v>
      </c>
      <c r="AL86" s="2756">
        <v>2331250401</v>
      </c>
      <c r="AM86" s="2229" t="s">
        <v>465</v>
      </c>
      <c r="AN86" s="1220">
        <v>0</v>
      </c>
      <c r="AO86" s="2756">
        <f>40.58+41.38-41.18</f>
        <v>40.780000000000008</v>
      </c>
      <c r="AP86" s="474" t="s">
        <v>3988</v>
      </c>
      <c r="AQ86" s="132"/>
      <c r="AR86" s="2240">
        <v>0</v>
      </c>
      <c r="AS86" s="2828"/>
      <c r="AT86" s="2829"/>
      <c r="AU86" s="132"/>
      <c r="AV86" s="132"/>
      <c r="AW86" s="2141"/>
      <c r="AX86" s="1968"/>
      <c r="AY86" s="2149"/>
      <c r="AZ86" s="2006" t="s">
        <v>271</v>
      </c>
      <c r="BA86" s="2010"/>
      <c r="BB86" s="2006"/>
      <c r="BC86" s="2022"/>
      <c r="BD86" s="2690"/>
      <c r="BE86" s="1946"/>
      <c r="BF86" s="1946"/>
      <c r="BG86" s="1946"/>
      <c r="BJ86" s="2698"/>
      <c r="BK86" s="1282"/>
    </row>
    <row r="87" spans="1:70" ht="22.5" customHeight="1" thickBot="1">
      <c r="A87" s="2180" t="e">
        <f>+A86/A88</f>
        <v>#DIV/0!</v>
      </c>
      <c r="B87" s="2180" t="e">
        <f t="shared" ref="B87:AE87" si="58">+B86/B88</f>
        <v>#DIV/0!</v>
      </c>
      <c r="C87" s="2180" t="e">
        <f t="shared" si="58"/>
        <v>#DIV/0!</v>
      </c>
      <c r="D87" s="2180" t="e">
        <f t="shared" si="58"/>
        <v>#DIV/0!</v>
      </c>
      <c r="E87" s="2180" t="e">
        <f t="shared" si="58"/>
        <v>#DIV/0!</v>
      </c>
      <c r="F87" s="2180" t="e">
        <f t="shared" si="58"/>
        <v>#DIV/0!</v>
      </c>
      <c r="G87" s="2180" t="e">
        <f t="shared" si="58"/>
        <v>#DIV/0!</v>
      </c>
      <c r="H87" s="2180" t="e">
        <f t="shared" si="58"/>
        <v>#DIV/0!</v>
      </c>
      <c r="I87" s="2180" t="e">
        <f t="shared" si="58"/>
        <v>#DIV/0!</v>
      </c>
      <c r="J87" s="2180" t="e">
        <f t="shared" si="58"/>
        <v>#DIV/0!</v>
      </c>
      <c r="K87" s="2180" t="e">
        <f t="shared" si="58"/>
        <v>#DIV/0!</v>
      </c>
      <c r="L87" s="2180" t="e">
        <f t="shared" si="58"/>
        <v>#DIV/0!</v>
      </c>
      <c r="M87" s="2180" t="e">
        <f t="shared" si="58"/>
        <v>#DIV/0!</v>
      </c>
      <c r="N87" s="2180" t="e">
        <f t="shared" si="58"/>
        <v>#DIV/0!</v>
      </c>
      <c r="O87" s="2180" t="e">
        <f t="shared" si="58"/>
        <v>#DIV/0!</v>
      </c>
      <c r="P87" s="2180" t="e">
        <f t="shared" si="58"/>
        <v>#DIV/0!</v>
      </c>
      <c r="Q87" s="2180" t="e">
        <f t="shared" si="58"/>
        <v>#DIV/0!</v>
      </c>
      <c r="R87" s="2180" t="e">
        <f t="shared" si="58"/>
        <v>#DIV/0!</v>
      </c>
      <c r="S87" s="2180" t="e">
        <f t="shared" si="58"/>
        <v>#DIV/0!</v>
      </c>
      <c r="T87" s="2180" t="e">
        <f t="shared" si="58"/>
        <v>#DIV/0!</v>
      </c>
      <c r="U87" s="2180" t="e">
        <f t="shared" si="58"/>
        <v>#DIV/0!</v>
      </c>
      <c r="V87" s="2180" t="e">
        <f t="shared" si="58"/>
        <v>#DIV/0!</v>
      </c>
      <c r="W87" s="2180" t="e">
        <f t="shared" si="58"/>
        <v>#DIV/0!</v>
      </c>
      <c r="X87" s="2180" t="e">
        <f t="shared" si="58"/>
        <v>#DIV/0!</v>
      </c>
      <c r="Y87" s="2180" t="e">
        <f t="shared" si="58"/>
        <v>#DIV/0!</v>
      </c>
      <c r="Z87" s="2180" t="e">
        <f t="shared" si="58"/>
        <v>#DIV/0!</v>
      </c>
      <c r="AA87" s="2180" t="e">
        <f t="shared" si="58"/>
        <v>#DIV/0!</v>
      </c>
      <c r="AB87" s="2180" t="e">
        <f t="shared" si="58"/>
        <v>#DIV/0!</v>
      </c>
      <c r="AC87" s="2180" t="e">
        <f t="shared" si="58"/>
        <v>#DIV/0!</v>
      </c>
      <c r="AD87" s="2180" t="e">
        <f t="shared" si="58"/>
        <v>#DIV/0!</v>
      </c>
      <c r="AE87" s="3180" t="e">
        <f t="shared" si="58"/>
        <v>#DIV/0!</v>
      </c>
      <c r="AF87" s="2206" t="e">
        <f t="shared" si="56"/>
        <v>#DIV/0!</v>
      </c>
      <c r="AG87" s="2206">
        <f>SUM(A85:AE85)</f>
        <v>0</v>
      </c>
      <c r="AH87" s="2227" t="s">
        <v>467</v>
      </c>
      <c r="AI87" s="132">
        <v>2908250501</v>
      </c>
      <c r="AJ87" s="2230" t="s">
        <v>3883</v>
      </c>
      <c r="AK87" s="2756">
        <f>73.5+72+36+28.8+36.68-48.87+32.44-50.2-100.14-74.89</f>
        <v>5.3200000000000216</v>
      </c>
      <c r="AL87" s="2756">
        <v>2331250501</v>
      </c>
      <c r="AM87" s="2229" t="s">
        <v>469</v>
      </c>
      <c r="AN87" s="1220">
        <v>950</v>
      </c>
      <c r="AO87" s="2756">
        <f>75.26-74.26</f>
        <v>1</v>
      </c>
      <c r="AP87" s="474" t="s">
        <v>328</v>
      </c>
      <c r="AQ87" s="132"/>
      <c r="AR87" s="2240">
        <v>0</v>
      </c>
      <c r="AS87" s="2830"/>
      <c r="AT87" s="2831"/>
      <c r="AU87" s="132"/>
      <c r="AV87" s="132"/>
      <c r="AW87" s="2141"/>
      <c r="AX87" s="2132"/>
      <c r="AY87" s="2149"/>
      <c r="AZ87" s="2006" t="s">
        <v>271</v>
      </c>
      <c r="BA87" s="2832"/>
      <c r="BB87" s="2833"/>
      <c r="BC87" s="2834"/>
      <c r="BD87" s="2690"/>
      <c r="BE87" s="1946"/>
      <c r="BF87" s="1946"/>
      <c r="BG87" s="1946"/>
      <c r="BJ87" s="2698"/>
      <c r="BK87" s="1282"/>
    </row>
    <row r="88" spans="1:70" ht="20.100000000000001" customHeight="1" thickBot="1">
      <c r="A88" s="2181">
        <v>0</v>
      </c>
      <c r="B88" s="2181">
        <v>0</v>
      </c>
      <c r="C88" s="2181">
        <v>0</v>
      </c>
      <c r="D88" s="2181">
        <v>0</v>
      </c>
      <c r="E88" s="2181">
        <v>0</v>
      </c>
      <c r="F88" s="2181">
        <v>0</v>
      </c>
      <c r="G88" s="2181">
        <v>0</v>
      </c>
      <c r="H88" s="2181">
        <v>0</v>
      </c>
      <c r="I88" s="2181">
        <v>0</v>
      </c>
      <c r="J88" s="2181">
        <v>0</v>
      </c>
      <c r="K88" s="2181">
        <v>0</v>
      </c>
      <c r="L88" s="2181">
        <v>0</v>
      </c>
      <c r="M88" s="2181">
        <v>0</v>
      </c>
      <c r="N88" s="2181">
        <v>0</v>
      </c>
      <c r="O88" s="2181">
        <v>0</v>
      </c>
      <c r="P88" s="2181">
        <v>0</v>
      </c>
      <c r="Q88" s="2181">
        <v>0</v>
      </c>
      <c r="R88" s="2181">
        <v>0</v>
      </c>
      <c r="S88" s="2181">
        <v>0</v>
      </c>
      <c r="T88" s="2181">
        <v>0</v>
      </c>
      <c r="U88" s="2181">
        <v>0</v>
      </c>
      <c r="V88" s="2181">
        <v>0</v>
      </c>
      <c r="W88" s="2181">
        <v>0</v>
      </c>
      <c r="X88" s="2181">
        <v>0</v>
      </c>
      <c r="Y88" s="2181">
        <v>0</v>
      </c>
      <c r="Z88" s="2181">
        <v>0</v>
      </c>
      <c r="AA88" s="2181">
        <v>0</v>
      </c>
      <c r="AB88" s="2181">
        <v>0</v>
      </c>
      <c r="AC88" s="2181">
        <v>0</v>
      </c>
      <c r="AD88" s="2181">
        <v>0</v>
      </c>
      <c r="AE88" s="3181">
        <v>0</v>
      </c>
      <c r="AF88" s="2206">
        <f t="shared" si="56"/>
        <v>0</v>
      </c>
      <c r="AG88" s="1282">
        <f>+AG87/AG89</f>
        <v>0</v>
      </c>
      <c r="AH88" s="2233" t="s">
        <v>471</v>
      </c>
      <c r="AI88" s="32" t="s">
        <v>356</v>
      </c>
      <c r="AJ88" s="2234" t="s">
        <v>379</v>
      </c>
      <c r="AK88" s="2756">
        <f>233.73+7</f>
        <v>240.73</v>
      </c>
      <c r="AL88" s="2756">
        <v>2331250901</v>
      </c>
      <c r="AM88" s="32" t="s">
        <v>356</v>
      </c>
      <c r="AN88" s="133">
        <v>1020</v>
      </c>
      <c r="AO88" s="2756">
        <f>3219.51</f>
        <v>3219.51</v>
      </c>
      <c r="AP88" s="474" t="s">
        <v>472</v>
      </c>
      <c r="AQ88" s="132"/>
      <c r="AR88" s="2756">
        <f>300.31+48.4</f>
        <v>348.71</v>
      </c>
      <c r="AS88" s="2237"/>
      <c r="AT88" s="166"/>
      <c r="AU88" s="132"/>
      <c r="AV88" s="2010"/>
      <c r="AW88" s="166"/>
      <c r="AX88" s="2010"/>
      <c r="AY88" s="2149"/>
      <c r="AZ88" s="2006" t="s">
        <v>271</v>
      </c>
      <c r="BA88" s="132"/>
      <c r="BB88" s="2149"/>
      <c r="BC88" s="2141"/>
      <c r="BD88" s="2690"/>
      <c r="BE88" s="1946"/>
      <c r="BF88" s="1946"/>
      <c r="BG88" s="1946"/>
      <c r="BJ88" s="2698"/>
      <c r="BK88" s="1282"/>
      <c r="BR88" s="1940">
        <f>91-13</f>
        <v>78</v>
      </c>
    </row>
    <row r="89" spans="1:70" ht="20.100000000000001" customHeight="1" thickBot="1">
      <c r="A89" s="2178">
        <f>495+190+180+205</f>
        <v>1070</v>
      </c>
      <c r="B89" s="2178">
        <f>210+185+190+175+185+180</f>
        <v>1125</v>
      </c>
      <c r="C89" s="2178">
        <f>160+160+180+175+175+175+175</f>
        <v>1200</v>
      </c>
      <c r="D89" s="2178">
        <f>205+195+170+180+190+180</f>
        <v>1120</v>
      </c>
      <c r="E89" s="2178">
        <f>175+160+190+175+180+200+165</f>
        <v>1245</v>
      </c>
      <c r="F89" s="2178">
        <f>160+160+140+170+190+270+190</f>
        <v>1280</v>
      </c>
      <c r="G89" s="2178">
        <f>165+160+180+335+195</f>
        <v>1035</v>
      </c>
      <c r="H89" s="2178">
        <f>160+180+255+220+190+180</f>
        <v>1185</v>
      </c>
      <c r="I89" s="2178">
        <f>185+170+200+180+190</f>
        <v>925</v>
      </c>
      <c r="J89" s="2178">
        <f>180+165+205</f>
        <v>550</v>
      </c>
      <c r="K89" s="2178">
        <f>260+220+185+180+185</f>
        <v>1030</v>
      </c>
      <c r="L89" s="2178">
        <f>930+180</f>
        <v>1110</v>
      </c>
      <c r="M89" s="2178">
        <f>165+160+235+185+180+170</f>
        <v>1095</v>
      </c>
      <c r="N89" s="2178">
        <f>530+215+200+360</f>
        <v>1305</v>
      </c>
      <c r="O89" s="2178">
        <f>160+240</f>
        <v>400</v>
      </c>
      <c r="P89" s="2178">
        <f>320+215+185+230+240</f>
        <v>1190</v>
      </c>
      <c r="Q89" s="2178">
        <f>245+200+245+250</f>
        <v>940</v>
      </c>
      <c r="R89" s="2178">
        <f>305+180+185+210+200+190</f>
        <v>1270</v>
      </c>
      <c r="S89" s="2178">
        <f>205+205+185+180+210+180</f>
        <v>1165</v>
      </c>
      <c r="T89" s="2178">
        <f>270+195+165+150+175+175+200</f>
        <v>1330</v>
      </c>
      <c r="U89" s="2178">
        <v>1125</v>
      </c>
      <c r="V89" s="2178">
        <v>915</v>
      </c>
      <c r="W89" s="2178">
        <v>1425</v>
      </c>
      <c r="X89" s="2178">
        <f>165+175+195</f>
        <v>535</v>
      </c>
      <c r="Y89" s="2178">
        <v>0</v>
      </c>
      <c r="Z89" s="2178">
        <v>0</v>
      </c>
      <c r="AA89" s="2178">
        <f>240+180+235+240</f>
        <v>895</v>
      </c>
      <c r="AB89" s="2178">
        <f>165+190+170+210+130+295</f>
        <v>1160</v>
      </c>
      <c r="AC89" s="2178">
        <f>250+205</f>
        <v>455</v>
      </c>
      <c r="AD89" s="2178">
        <v>0</v>
      </c>
      <c r="AE89" s="3178">
        <v>0</v>
      </c>
      <c r="AF89" s="2207">
        <f t="shared" si="56"/>
        <v>28080</v>
      </c>
      <c r="AG89" s="2206">
        <f>SUM(A89:AE89)</f>
        <v>28080</v>
      </c>
      <c r="AH89" s="2208" t="s">
        <v>473</v>
      </c>
      <c r="AI89" s="566">
        <v>1058241701</v>
      </c>
      <c r="AJ89" s="474">
        <v>1058250701</v>
      </c>
      <c r="AK89" s="2756"/>
      <c r="AL89" s="2756">
        <v>2331240501</v>
      </c>
      <c r="AM89" s="2229" t="s">
        <v>474</v>
      </c>
      <c r="AN89" s="566">
        <v>1070</v>
      </c>
      <c r="AO89" s="2756">
        <f>175.76</f>
        <v>175.76</v>
      </c>
      <c r="AP89" s="2130" t="s">
        <v>475</v>
      </c>
      <c r="AQ89" s="138"/>
      <c r="AR89" s="2240">
        <v>0</v>
      </c>
      <c r="AS89" s="2237"/>
      <c r="AT89" s="166"/>
      <c r="AU89" s="132"/>
      <c r="AV89" s="132"/>
      <c r="AW89" s="166"/>
      <c r="AX89" s="133"/>
      <c r="AY89" s="2309"/>
      <c r="AZ89" s="2006"/>
      <c r="BA89" s="132"/>
      <c r="BB89" s="2006"/>
      <c r="BC89" s="2022"/>
      <c r="BD89" s="2690"/>
      <c r="BE89" s="1946"/>
      <c r="BF89" s="1946"/>
      <c r="BG89" s="1946"/>
      <c r="BJ89" s="2698"/>
      <c r="BK89" s="1282"/>
      <c r="BR89" s="1940">
        <v>3</v>
      </c>
    </row>
    <row r="90" spans="1:70" ht="26.25" customHeight="1" thickBot="1">
      <c r="A90" s="2182">
        <f>+A89/A104</f>
        <v>17.833333333333332</v>
      </c>
      <c r="B90" s="2182">
        <f t="shared" ref="B90:AE90" si="59">+B89/B104</f>
        <v>18.75</v>
      </c>
      <c r="C90" s="2182">
        <f t="shared" si="59"/>
        <v>20</v>
      </c>
      <c r="D90" s="2182">
        <f t="shared" si="59"/>
        <v>18.666666666666668</v>
      </c>
      <c r="E90" s="2182">
        <f t="shared" si="59"/>
        <v>20.75</v>
      </c>
      <c r="F90" s="2182">
        <f t="shared" si="59"/>
        <v>21.333333333333332</v>
      </c>
      <c r="G90" s="2182">
        <f t="shared" si="59"/>
        <v>17.25</v>
      </c>
      <c r="H90" s="2182">
        <f t="shared" si="59"/>
        <v>19.75</v>
      </c>
      <c r="I90" s="2182">
        <f t="shared" si="59"/>
        <v>15.416666666666666</v>
      </c>
      <c r="J90" s="2182">
        <f t="shared" si="59"/>
        <v>9.1666666666666661</v>
      </c>
      <c r="K90" s="2182">
        <f t="shared" si="59"/>
        <v>17.166666666666668</v>
      </c>
      <c r="L90" s="2182">
        <f t="shared" si="59"/>
        <v>18.5</v>
      </c>
      <c r="M90" s="2182">
        <f t="shared" si="59"/>
        <v>18.25</v>
      </c>
      <c r="N90" s="2182">
        <f t="shared" si="59"/>
        <v>21.75</v>
      </c>
      <c r="O90" s="2182">
        <f t="shared" si="59"/>
        <v>6.666666666666667</v>
      </c>
      <c r="P90" s="2182">
        <f t="shared" si="59"/>
        <v>19.833333333333332</v>
      </c>
      <c r="Q90" s="2182">
        <f t="shared" si="59"/>
        <v>15.666666666666666</v>
      </c>
      <c r="R90" s="2182">
        <f t="shared" si="59"/>
        <v>21.166666666666668</v>
      </c>
      <c r="S90" s="2182">
        <f t="shared" si="59"/>
        <v>19.416666666666668</v>
      </c>
      <c r="T90" s="2182">
        <f t="shared" si="59"/>
        <v>22.166666666666668</v>
      </c>
      <c r="U90" s="2182">
        <f t="shared" si="59"/>
        <v>18.75</v>
      </c>
      <c r="V90" s="2182">
        <f t="shared" si="59"/>
        <v>15.25</v>
      </c>
      <c r="W90" s="2182">
        <f t="shared" si="59"/>
        <v>23.75</v>
      </c>
      <c r="X90" s="2182">
        <f t="shared" si="59"/>
        <v>8.9166666666666661</v>
      </c>
      <c r="Y90" s="2182">
        <f t="shared" si="59"/>
        <v>0</v>
      </c>
      <c r="Z90" s="2182">
        <f t="shared" si="59"/>
        <v>0</v>
      </c>
      <c r="AA90" s="2182">
        <f t="shared" si="59"/>
        <v>14.916666666666666</v>
      </c>
      <c r="AB90" s="2182">
        <f t="shared" si="59"/>
        <v>19.333333333333332</v>
      </c>
      <c r="AC90" s="2182">
        <f t="shared" si="59"/>
        <v>7.583333333333333</v>
      </c>
      <c r="AD90" s="2182">
        <f t="shared" si="59"/>
        <v>0</v>
      </c>
      <c r="AE90" s="3182">
        <f t="shared" si="59"/>
        <v>0</v>
      </c>
      <c r="AF90" s="2207">
        <f t="shared" si="56"/>
        <v>468</v>
      </c>
      <c r="AG90" s="2206">
        <f>SUM(A90:AE90)</f>
        <v>468</v>
      </c>
      <c r="AH90" s="2208" t="s">
        <v>464</v>
      </c>
      <c r="AI90" s="32"/>
      <c r="AJ90" s="2130">
        <v>1058260101</v>
      </c>
      <c r="AK90" s="2120"/>
      <c r="AL90" s="2561">
        <v>2331240801</v>
      </c>
      <c r="AM90" s="2229" t="s">
        <v>474</v>
      </c>
      <c r="AN90" s="133">
        <v>1230</v>
      </c>
      <c r="AO90" s="1145">
        <f>42.28</f>
        <v>42.28</v>
      </c>
      <c r="AP90" s="133"/>
      <c r="AQ90" s="1128" t="s">
        <v>23</v>
      </c>
      <c r="AR90" s="1132">
        <f>SUM(AR85:AR89)</f>
        <v>348.71</v>
      </c>
      <c r="AS90" s="2130"/>
      <c r="AT90" s="167"/>
      <c r="AU90" s="132"/>
      <c r="AV90" s="2120"/>
      <c r="AW90" s="2144"/>
      <c r="AX90" s="2119"/>
      <c r="AY90" s="2145"/>
      <c r="AZ90" s="2118" t="s">
        <v>271</v>
      </c>
      <c r="BA90" s="138"/>
      <c r="BB90" s="2145" t="s">
        <v>271</v>
      </c>
      <c r="BC90" s="2144"/>
      <c r="BD90" s="2690"/>
      <c r="BE90" s="1946"/>
      <c r="BF90" s="1946"/>
      <c r="BG90" s="1946"/>
      <c r="BK90" s="1282"/>
      <c r="BM90" s="131">
        <f>30+31+30</f>
        <v>91</v>
      </c>
    </row>
    <row r="91" spans="1:70" ht="30" customHeight="1" thickBot="1">
      <c r="A91" s="2179">
        <f>+A90/A92</f>
        <v>4.458333333333333</v>
      </c>
      <c r="B91" s="2179">
        <f t="shared" ref="B91:AE91" si="60">+B90/B92</f>
        <v>2.6785714285714284</v>
      </c>
      <c r="C91" s="2179">
        <f t="shared" si="60"/>
        <v>2.8571428571428572</v>
      </c>
      <c r="D91" s="2179">
        <f t="shared" si="60"/>
        <v>3.1111111111111112</v>
      </c>
      <c r="E91" s="2179">
        <f t="shared" si="60"/>
        <v>2.9642857142857144</v>
      </c>
      <c r="F91" s="2179">
        <f t="shared" si="60"/>
        <v>3.0476190476190474</v>
      </c>
      <c r="G91" s="2179">
        <f t="shared" si="60"/>
        <v>3.45</v>
      </c>
      <c r="H91" s="2179">
        <f t="shared" si="60"/>
        <v>3.2916666666666665</v>
      </c>
      <c r="I91" s="2179">
        <f t="shared" si="60"/>
        <v>3.083333333333333</v>
      </c>
      <c r="J91" s="2179">
        <f t="shared" si="60"/>
        <v>3.0555555555555554</v>
      </c>
      <c r="K91" s="2179">
        <f t="shared" si="60"/>
        <v>3.4333333333333336</v>
      </c>
      <c r="L91" s="2179">
        <f t="shared" si="60"/>
        <v>2.6428571428571428</v>
      </c>
      <c r="M91" s="2179">
        <f t="shared" si="60"/>
        <v>3.0416666666666665</v>
      </c>
      <c r="N91" s="2179">
        <f t="shared" si="60"/>
        <v>3.1071428571428572</v>
      </c>
      <c r="O91" s="2179">
        <f t="shared" si="60"/>
        <v>3.3333333333333335</v>
      </c>
      <c r="P91" s="2179">
        <f t="shared" si="60"/>
        <v>3.9666666666666663</v>
      </c>
      <c r="Q91" s="2179">
        <f t="shared" si="60"/>
        <v>3.9166666666666665</v>
      </c>
      <c r="R91" s="2179">
        <f t="shared" si="60"/>
        <v>3.5277777777777781</v>
      </c>
      <c r="S91" s="2179">
        <f t="shared" si="60"/>
        <v>3.2361111111111112</v>
      </c>
      <c r="T91" s="2179">
        <f t="shared" si="60"/>
        <v>3.166666666666667</v>
      </c>
      <c r="U91" s="2179">
        <f t="shared" si="60"/>
        <v>3.125</v>
      </c>
      <c r="V91" s="2179">
        <f t="shared" si="60"/>
        <v>3.05</v>
      </c>
      <c r="W91" s="2179">
        <f t="shared" si="60"/>
        <v>3.3928571428571428</v>
      </c>
      <c r="X91" s="2179">
        <f t="shared" si="60"/>
        <v>2.9722222222222219</v>
      </c>
      <c r="Y91" s="2179" t="e">
        <f t="shared" si="60"/>
        <v>#DIV/0!</v>
      </c>
      <c r="Z91" s="2179" t="e">
        <f t="shared" si="60"/>
        <v>#DIV/0!</v>
      </c>
      <c r="AA91" s="2179">
        <f t="shared" si="60"/>
        <v>3.7291666666666665</v>
      </c>
      <c r="AB91" s="2179">
        <f t="shared" si="60"/>
        <v>3.2222222222222219</v>
      </c>
      <c r="AC91" s="2179">
        <f t="shared" si="60"/>
        <v>3.7916666666666665</v>
      </c>
      <c r="AD91" s="2179" t="e">
        <f t="shared" si="60"/>
        <v>#DIV/0!</v>
      </c>
      <c r="AE91" s="3179" t="e">
        <f t="shared" si="60"/>
        <v>#DIV/0!</v>
      </c>
      <c r="AF91" s="2179">
        <f>+AF90/AF92</f>
        <v>3.2275862068965515</v>
      </c>
      <c r="AG91" s="2182">
        <f>+AG90/AG105</f>
        <v>24.704980842911876</v>
      </c>
      <c r="AH91" s="2208" t="s">
        <v>467</v>
      </c>
      <c r="AI91" s="32"/>
      <c r="AJ91" s="2130"/>
      <c r="AK91" s="1131"/>
      <c r="AL91" s="2232"/>
      <c r="AM91" s="166" t="s">
        <v>23</v>
      </c>
      <c r="AO91" s="2120">
        <f>SUM(AO85:AO90)</f>
        <v>3568.53</v>
      </c>
      <c r="AP91" s="2272" t="s">
        <v>4171</v>
      </c>
      <c r="AQ91" s="2273"/>
      <c r="AR91" s="2273"/>
      <c r="AS91" s="2273"/>
      <c r="AT91" s="2273"/>
      <c r="AU91" s="2274"/>
      <c r="AV91" s="1131"/>
      <c r="AW91" s="1131"/>
      <c r="AX91" s="1129"/>
      <c r="AY91" s="2810" t="s">
        <v>4172</v>
      </c>
      <c r="AZ91" s="2827"/>
      <c r="BA91" s="2827"/>
      <c r="BB91" s="2827"/>
      <c r="BC91" s="2811"/>
      <c r="BD91" s="2690"/>
      <c r="BE91" s="133"/>
      <c r="BF91" s="1946"/>
      <c r="BG91" s="1946"/>
      <c r="BK91" s="1282"/>
      <c r="BP91" s="1940">
        <f>91+3</f>
        <v>94</v>
      </c>
      <c r="BR91" s="1940">
        <v>26</v>
      </c>
    </row>
    <row r="92" spans="1:70" ht="20.100000000000001" customHeight="1" thickBot="1">
      <c r="A92" s="2183">
        <v>4</v>
      </c>
      <c r="B92" s="2183">
        <v>7</v>
      </c>
      <c r="C92" s="2183">
        <v>7</v>
      </c>
      <c r="D92" s="2183">
        <v>6</v>
      </c>
      <c r="E92" s="2183">
        <v>7</v>
      </c>
      <c r="F92" s="2183">
        <v>7</v>
      </c>
      <c r="G92" s="2183">
        <v>5</v>
      </c>
      <c r="H92" s="2183">
        <v>6</v>
      </c>
      <c r="I92" s="2183">
        <v>5</v>
      </c>
      <c r="J92" s="2183">
        <v>3</v>
      </c>
      <c r="K92" s="2183">
        <v>5</v>
      </c>
      <c r="L92" s="2183">
        <v>7</v>
      </c>
      <c r="M92" s="2183">
        <v>6</v>
      </c>
      <c r="N92" s="2183">
        <v>7</v>
      </c>
      <c r="O92" s="2183">
        <v>2</v>
      </c>
      <c r="P92" s="2183">
        <v>5</v>
      </c>
      <c r="Q92" s="2183">
        <v>4</v>
      </c>
      <c r="R92" s="2183">
        <v>6</v>
      </c>
      <c r="S92" s="2183">
        <v>6</v>
      </c>
      <c r="T92" s="2183">
        <v>7</v>
      </c>
      <c r="U92" s="2183">
        <v>6</v>
      </c>
      <c r="V92" s="2183">
        <v>5</v>
      </c>
      <c r="W92" s="2183">
        <v>7</v>
      </c>
      <c r="X92" s="2183">
        <v>3</v>
      </c>
      <c r="Y92" s="2183">
        <v>0</v>
      </c>
      <c r="Z92" s="2183"/>
      <c r="AA92" s="2183">
        <v>4</v>
      </c>
      <c r="AB92" s="2183">
        <v>6</v>
      </c>
      <c r="AC92" s="2183">
        <v>2</v>
      </c>
      <c r="AD92" s="2183">
        <v>0</v>
      </c>
      <c r="AE92" s="3183">
        <v>0</v>
      </c>
      <c r="AF92" s="2206">
        <f t="shared" si="56"/>
        <v>145</v>
      </c>
      <c r="AG92" s="2206">
        <f>+AG91/AG93</f>
        <v>0.17037917822697846</v>
      </c>
      <c r="AH92" s="2208" t="s">
        <v>471</v>
      </c>
      <c r="AI92" s="32"/>
      <c r="AJ92" s="474"/>
      <c r="AK92" s="1128"/>
      <c r="AL92" s="2235"/>
      <c r="AM92" s="2828"/>
      <c r="AN92" s="2835"/>
      <c r="AO92" s="418"/>
      <c r="AP92" s="1130" t="s">
        <v>319</v>
      </c>
      <c r="AQ92" s="1130" t="s">
        <v>476</v>
      </c>
      <c r="AR92" s="1130" t="s">
        <v>477</v>
      </c>
      <c r="AS92" s="1131" t="s">
        <v>275</v>
      </c>
      <c r="AT92" s="1130" t="s">
        <v>478</v>
      </c>
      <c r="AU92" s="1131" t="s">
        <v>277</v>
      </c>
      <c r="AV92" s="1128" t="s">
        <v>479</v>
      </c>
      <c r="AW92" s="1130" t="s">
        <v>480</v>
      </c>
      <c r="AX92" s="1129" t="s">
        <v>481</v>
      </c>
      <c r="AY92" s="1130" t="s">
        <v>275</v>
      </c>
      <c r="AZ92" s="1131" t="s">
        <v>478</v>
      </c>
      <c r="BA92" s="1130" t="s">
        <v>482</v>
      </c>
      <c r="BB92" s="1130" t="s">
        <v>480</v>
      </c>
      <c r="BC92" s="1129" t="s">
        <v>481</v>
      </c>
      <c r="BD92" s="2690"/>
      <c r="BE92" s="133"/>
      <c r="BF92" s="1946"/>
      <c r="BG92" s="1946"/>
      <c r="BK92" s="2157"/>
      <c r="BR92" s="1940">
        <v>27</v>
      </c>
    </row>
    <row r="93" spans="1:70" ht="20.100000000000001" customHeight="1">
      <c r="A93" s="2178">
        <v>0</v>
      </c>
      <c r="B93" s="2178">
        <v>0</v>
      </c>
      <c r="C93" s="2178">
        <v>0</v>
      </c>
      <c r="D93" s="2178">
        <v>0</v>
      </c>
      <c r="E93" s="2178">
        <v>0</v>
      </c>
      <c r="F93" s="2178">
        <v>0</v>
      </c>
      <c r="G93" s="2178">
        <v>0</v>
      </c>
      <c r="H93" s="2178">
        <v>0</v>
      </c>
      <c r="I93" s="2178">
        <v>0</v>
      </c>
      <c r="J93" s="2178">
        <v>0</v>
      </c>
      <c r="K93" s="2178">
        <v>0</v>
      </c>
      <c r="L93" s="2178">
        <v>0</v>
      </c>
      <c r="M93" s="2178">
        <v>0</v>
      </c>
      <c r="N93" s="2178">
        <v>0</v>
      </c>
      <c r="O93" s="2178">
        <v>0</v>
      </c>
      <c r="P93" s="2178">
        <v>0</v>
      </c>
      <c r="Q93" s="2178">
        <v>0</v>
      </c>
      <c r="R93" s="2178">
        <v>0</v>
      </c>
      <c r="S93" s="2178">
        <v>0</v>
      </c>
      <c r="T93" s="2178">
        <v>0</v>
      </c>
      <c r="U93" s="2178">
        <v>0</v>
      </c>
      <c r="V93" s="2178">
        <v>0</v>
      </c>
      <c r="W93" s="2178">
        <v>0</v>
      </c>
      <c r="X93" s="2178">
        <f>360+300</f>
        <v>660</v>
      </c>
      <c r="Y93" s="2178">
        <f>195+185+190+195+195</f>
        <v>960</v>
      </c>
      <c r="Z93" s="2178">
        <f>415+350+400</f>
        <v>1165</v>
      </c>
      <c r="AA93" s="2178">
        <f>180+205</f>
        <v>385</v>
      </c>
      <c r="AB93" s="2178">
        <v>240</v>
      </c>
      <c r="AC93" s="2178">
        <f>215+275+190+160+140</f>
        <v>980</v>
      </c>
      <c r="AD93" s="2178">
        <f>215+225+185+190+165+145+260</f>
        <v>1385</v>
      </c>
      <c r="AE93" s="3178">
        <f>180+210+200+235+260+295</f>
        <v>1380</v>
      </c>
      <c r="AF93" s="2207">
        <f t="shared" si="56"/>
        <v>7155</v>
      </c>
      <c r="AG93" s="2206">
        <f>SUM(A92:AE92)</f>
        <v>145</v>
      </c>
      <c r="AH93" s="2208" t="s">
        <v>483</v>
      </c>
      <c r="AI93" s="32"/>
      <c r="AJ93" s="1220">
        <v>0</v>
      </c>
      <c r="AK93" s="474"/>
      <c r="AL93" s="2236"/>
      <c r="AM93" s="166"/>
      <c r="AO93" s="132" t="s">
        <v>427</v>
      </c>
      <c r="AP93" s="133"/>
      <c r="AQ93" s="1220"/>
      <c r="AR93" s="132" t="s">
        <v>36</v>
      </c>
      <c r="AS93" s="1145">
        <f>AQ20</f>
        <v>11612</v>
      </c>
      <c r="AT93" s="2006">
        <f>AN20</f>
        <v>10759.191000000001</v>
      </c>
      <c r="AU93" s="1968">
        <f>AR20</f>
        <v>10759.191000000001</v>
      </c>
      <c r="AV93" s="2275">
        <f>AS93-AT93</f>
        <v>852.80899999999929</v>
      </c>
      <c r="AW93" s="2010" t="e">
        <f>AV93/BG20</f>
        <v>#DIV/0!</v>
      </c>
      <c r="AX93" s="2310" t="e">
        <f>+AW93/50</f>
        <v>#DIV/0!</v>
      </c>
      <c r="AY93" s="1145">
        <f>11511+11612</f>
        <v>23123</v>
      </c>
      <c r="AZ93" s="1973">
        <f>AP20</f>
        <v>21246.990999999998</v>
      </c>
      <c r="BA93" s="2057">
        <f>AY93-AZ93</f>
        <v>1876.0090000000018</v>
      </c>
      <c r="BB93" s="2057">
        <f>+BA93/BF93</f>
        <v>6.1710822368421114</v>
      </c>
      <c r="BC93" s="2311">
        <f>+BB93/50</f>
        <v>0.12342164473684222</v>
      </c>
      <c r="BD93" s="1968"/>
      <c r="BE93" s="1946"/>
      <c r="BF93" s="1946">
        <f>+BH93-BK93</f>
        <v>304</v>
      </c>
      <c r="BG93" s="1946"/>
      <c r="BH93" s="2159">
        <v>365</v>
      </c>
      <c r="BI93" s="131">
        <v>1</v>
      </c>
      <c r="BJ93" s="2700">
        <v>60</v>
      </c>
      <c r="BK93" s="2157">
        <f>BJ93+BI93</f>
        <v>61</v>
      </c>
      <c r="BR93" s="1940">
        <v>25</v>
      </c>
    </row>
    <row r="94" spans="1:70" ht="20.100000000000001" customHeight="1">
      <c r="A94" s="2182">
        <f>+A93/A104</f>
        <v>0</v>
      </c>
      <c r="B94" s="2182">
        <f t="shared" ref="B94:AE94" si="61">+B93/B104</f>
        <v>0</v>
      </c>
      <c r="C94" s="2182">
        <f t="shared" si="61"/>
        <v>0</v>
      </c>
      <c r="D94" s="2182">
        <f t="shared" si="61"/>
        <v>0</v>
      </c>
      <c r="E94" s="2182">
        <f t="shared" si="61"/>
        <v>0</v>
      </c>
      <c r="F94" s="2182">
        <f t="shared" si="61"/>
        <v>0</v>
      </c>
      <c r="G94" s="2182">
        <f t="shared" si="61"/>
        <v>0</v>
      </c>
      <c r="H94" s="2182">
        <f t="shared" si="61"/>
        <v>0</v>
      </c>
      <c r="I94" s="2182">
        <f t="shared" si="61"/>
        <v>0</v>
      </c>
      <c r="J94" s="2182">
        <f t="shared" si="61"/>
        <v>0</v>
      </c>
      <c r="K94" s="2182">
        <f t="shared" si="61"/>
        <v>0</v>
      </c>
      <c r="L94" s="2182">
        <f t="shared" si="61"/>
        <v>0</v>
      </c>
      <c r="M94" s="2182">
        <f t="shared" si="61"/>
        <v>0</v>
      </c>
      <c r="N94" s="2182">
        <f t="shared" si="61"/>
        <v>0</v>
      </c>
      <c r="O94" s="2182">
        <f t="shared" si="61"/>
        <v>0</v>
      </c>
      <c r="P94" s="2182">
        <f t="shared" si="61"/>
        <v>0</v>
      </c>
      <c r="Q94" s="2182">
        <f t="shared" si="61"/>
        <v>0</v>
      </c>
      <c r="R94" s="2182">
        <f t="shared" si="61"/>
        <v>0</v>
      </c>
      <c r="S94" s="2182">
        <f t="shared" si="61"/>
        <v>0</v>
      </c>
      <c r="T94" s="2182">
        <f t="shared" si="61"/>
        <v>0</v>
      </c>
      <c r="U94" s="2182">
        <f t="shared" si="61"/>
        <v>0</v>
      </c>
      <c r="V94" s="2182">
        <f t="shared" si="61"/>
        <v>0</v>
      </c>
      <c r="W94" s="2182">
        <f t="shared" si="61"/>
        <v>0</v>
      </c>
      <c r="X94" s="2182">
        <f t="shared" si="61"/>
        <v>11</v>
      </c>
      <c r="Y94" s="2182">
        <f t="shared" si="61"/>
        <v>16</v>
      </c>
      <c r="Z94" s="2182">
        <f t="shared" si="61"/>
        <v>19.416666666666668</v>
      </c>
      <c r="AA94" s="2182">
        <f t="shared" si="61"/>
        <v>6.416666666666667</v>
      </c>
      <c r="AB94" s="2182">
        <f t="shared" si="61"/>
        <v>4</v>
      </c>
      <c r="AC94" s="2182">
        <f t="shared" si="61"/>
        <v>16.333333333333332</v>
      </c>
      <c r="AD94" s="2182">
        <f t="shared" si="61"/>
        <v>23.083333333333332</v>
      </c>
      <c r="AE94" s="3182">
        <f t="shared" si="61"/>
        <v>23</v>
      </c>
      <c r="AF94" s="2207">
        <f t="shared" si="56"/>
        <v>119.25</v>
      </c>
      <c r="AG94" s="2206">
        <f>SUM(A94:AE94)</f>
        <v>119.25</v>
      </c>
      <c r="AH94" s="2208" t="s">
        <v>464</v>
      </c>
      <c r="AI94" s="32"/>
      <c r="AJ94" s="132"/>
      <c r="AK94" s="2237"/>
      <c r="AL94" s="2238"/>
      <c r="AM94" s="166"/>
      <c r="AN94" s="133">
        <v>0</v>
      </c>
      <c r="AO94" s="132" t="s">
        <v>484</v>
      </c>
      <c r="AP94" s="1145">
        <v>0</v>
      </c>
      <c r="AQ94" s="2010">
        <f>+AP94+AI94</f>
        <v>0</v>
      </c>
      <c r="AR94" s="132" t="s">
        <v>485</v>
      </c>
      <c r="AS94" s="1145">
        <f>AQ19</f>
        <v>607</v>
      </c>
      <c r="AT94" s="2006">
        <f>AN19</f>
        <v>399.471</v>
      </c>
      <c r="AU94" s="1968">
        <f>AR16</f>
        <v>399.471</v>
      </c>
      <c r="AV94" s="2237">
        <f>AS94-AT94</f>
        <v>207.529</v>
      </c>
      <c r="AW94" s="2010">
        <f>BG16</f>
        <v>0</v>
      </c>
      <c r="AX94" s="2310">
        <f>+AW94/50</f>
        <v>0</v>
      </c>
      <c r="AY94" s="1145">
        <f>506+507</f>
        <v>1013</v>
      </c>
      <c r="AZ94" s="1968">
        <f>AP19</f>
        <v>907.18100000000004</v>
      </c>
      <c r="BA94" s="2010">
        <f>AY94-AZ94</f>
        <v>105.81899999999996</v>
      </c>
      <c r="BB94" s="2010">
        <f>+BA94/BF94</f>
        <v>0.34808881578947354</v>
      </c>
      <c r="BC94" s="2310">
        <f>+BB94/50</f>
        <v>6.9617763157894703E-3</v>
      </c>
      <c r="BD94" s="1968"/>
      <c r="BE94" s="1946"/>
      <c r="BF94" s="1946">
        <f>+BH94-BK94</f>
        <v>304</v>
      </c>
      <c r="BG94" s="1946"/>
      <c r="BH94" s="2159">
        <v>365</v>
      </c>
      <c r="BI94" s="131">
        <v>1</v>
      </c>
      <c r="BJ94" s="2700">
        <v>60</v>
      </c>
      <c r="BK94" s="2157">
        <f>BJ94+BI94</f>
        <v>61</v>
      </c>
    </row>
    <row r="95" spans="1:70" ht="20.100000000000001" customHeight="1">
      <c r="A95" s="2179" t="e">
        <f>+A94/A96</f>
        <v>#DIV/0!</v>
      </c>
      <c r="B95" s="2179" t="e">
        <f t="shared" ref="B95:AE95" si="62">+B94/B96</f>
        <v>#DIV/0!</v>
      </c>
      <c r="C95" s="2179" t="e">
        <f t="shared" si="62"/>
        <v>#DIV/0!</v>
      </c>
      <c r="D95" s="2179" t="e">
        <f t="shared" si="62"/>
        <v>#DIV/0!</v>
      </c>
      <c r="E95" s="2179" t="e">
        <f t="shared" si="62"/>
        <v>#DIV/0!</v>
      </c>
      <c r="F95" s="2179" t="e">
        <f t="shared" si="62"/>
        <v>#DIV/0!</v>
      </c>
      <c r="G95" s="2179" t="e">
        <f t="shared" si="62"/>
        <v>#DIV/0!</v>
      </c>
      <c r="H95" s="2179" t="e">
        <f t="shared" si="62"/>
        <v>#DIV/0!</v>
      </c>
      <c r="I95" s="2179" t="e">
        <f t="shared" si="62"/>
        <v>#DIV/0!</v>
      </c>
      <c r="J95" s="2179" t="e">
        <f t="shared" si="62"/>
        <v>#DIV/0!</v>
      </c>
      <c r="K95" s="2179" t="e">
        <f t="shared" si="62"/>
        <v>#DIV/0!</v>
      </c>
      <c r="L95" s="2179" t="e">
        <f t="shared" si="62"/>
        <v>#DIV/0!</v>
      </c>
      <c r="M95" s="2179" t="e">
        <f t="shared" si="62"/>
        <v>#DIV/0!</v>
      </c>
      <c r="N95" s="2179" t="e">
        <f t="shared" si="62"/>
        <v>#DIV/0!</v>
      </c>
      <c r="O95" s="2179" t="e">
        <f t="shared" si="62"/>
        <v>#DIV/0!</v>
      </c>
      <c r="P95" s="2179" t="e">
        <f t="shared" si="62"/>
        <v>#DIV/0!</v>
      </c>
      <c r="Q95" s="2179" t="e">
        <f t="shared" si="62"/>
        <v>#DIV/0!</v>
      </c>
      <c r="R95" s="2179" t="e">
        <f t="shared" si="62"/>
        <v>#DIV/0!</v>
      </c>
      <c r="S95" s="2179" t="e">
        <f t="shared" si="62"/>
        <v>#DIV/0!</v>
      </c>
      <c r="T95" s="2179" t="e">
        <f t="shared" si="62"/>
        <v>#DIV/0!</v>
      </c>
      <c r="U95" s="2179" t="e">
        <f t="shared" si="62"/>
        <v>#DIV/0!</v>
      </c>
      <c r="V95" s="2179" t="e">
        <f t="shared" si="62"/>
        <v>#DIV/0!</v>
      </c>
      <c r="W95" s="2179" t="e">
        <f t="shared" si="62"/>
        <v>#DIV/0!</v>
      </c>
      <c r="X95" s="2179">
        <f t="shared" si="62"/>
        <v>5.5</v>
      </c>
      <c r="Y95" s="2179">
        <f t="shared" si="62"/>
        <v>3.2</v>
      </c>
      <c r="Z95" s="2179">
        <f t="shared" si="62"/>
        <v>3.2361111111111112</v>
      </c>
      <c r="AA95" s="2179">
        <f t="shared" si="62"/>
        <v>3.2083333333333335</v>
      </c>
      <c r="AB95" s="2179">
        <f t="shared" si="62"/>
        <v>4</v>
      </c>
      <c r="AC95" s="2179">
        <f t="shared" si="62"/>
        <v>3.2666666666666666</v>
      </c>
      <c r="AD95" s="2179">
        <f t="shared" si="62"/>
        <v>3.2976190476190474</v>
      </c>
      <c r="AE95" s="3179">
        <f t="shared" si="62"/>
        <v>3.8333333333333335</v>
      </c>
      <c r="AF95" s="2179">
        <f>+AF94/AF96</f>
        <v>3.5073529411764706</v>
      </c>
      <c r="AG95" s="2206" t="e">
        <f>SUM(A95:AE95)</f>
        <v>#DIV/0!</v>
      </c>
      <c r="AH95" s="2208" t="s">
        <v>467</v>
      </c>
      <c r="AI95" s="32"/>
      <c r="AJ95" s="132"/>
      <c r="AK95" s="2237"/>
      <c r="AL95" s="2238"/>
      <c r="AM95" s="166"/>
      <c r="AO95" s="132" t="s">
        <v>486</v>
      </c>
      <c r="AP95" s="1145">
        <v>0</v>
      </c>
      <c r="AQ95" s="2010">
        <f>+AP95+AI95</f>
        <v>0</v>
      </c>
      <c r="AR95" s="132" t="s">
        <v>487</v>
      </c>
      <c r="AS95" s="1145">
        <f>AQ72</f>
        <v>400</v>
      </c>
      <c r="AT95" s="2006">
        <f>AN72</f>
        <v>187.2</v>
      </c>
      <c r="AU95" s="1968">
        <f>AR72</f>
        <v>187.2</v>
      </c>
      <c r="AV95" s="2237">
        <f>AS95-AT95</f>
        <v>212.8</v>
      </c>
      <c r="AW95" s="2010" t="e">
        <f>AU95/BG16</f>
        <v>#DIV/0!</v>
      </c>
      <c r="AX95" s="2310" t="e">
        <f>+AW95/50</f>
        <v>#DIV/0!</v>
      </c>
      <c r="AY95" s="1145">
        <v>800</v>
      </c>
      <c r="AZ95" s="1968">
        <f>AP72</f>
        <v>585</v>
      </c>
      <c r="BA95" s="2010">
        <f>AY95-AZ95</f>
        <v>215</v>
      </c>
      <c r="BB95" s="2010">
        <f>+BA95/BF95</f>
        <v>0.70723684210526316</v>
      </c>
      <c r="BC95" s="2310">
        <f>+BB95/100</f>
        <v>7.0723684210526319E-3</v>
      </c>
      <c r="BD95" s="1968"/>
      <c r="BE95" s="1946"/>
      <c r="BF95" s="1946">
        <f>+BH95-BK95</f>
        <v>304</v>
      </c>
      <c r="BG95" s="1946"/>
      <c r="BH95" s="2159">
        <v>365</v>
      </c>
      <c r="BI95" s="131">
        <v>1</v>
      </c>
      <c r="BJ95" s="2700">
        <v>60</v>
      </c>
      <c r="BK95" s="2157">
        <f>BJ95+BI95</f>
        <v>61</v>
      </c>
      <c r="BP95" s="1940">
        <f>91-13</f>
        <v>78</v>
      </c>
      <c r="BR95" s="1940">
        <f>78+3</f>
        <v>81</v>
      </c>
    </row>
    <row r="96" spans="1:70" ht="20.100000000000001" customHeight="1" thickBot="1">
      <c r="A96" s="2183">
        <v>0</v>
      </c>
      <c r="B96" s="2183">
        <v>0</v>
      </c>
      <c r="C96" s="2183">
        <v>0</v>
      </c>
      <c r="D96" s="2183">
        <v>0</v>
      </c>
      <c r="E96" s="2183">
        <v>0</v>
      </c>
      <c r="F96" s="2183">
        <v>0</v>
      </c>
      <c r="G96" s="2183"/>
      <c r="H96" s="2183">
        <v>0</v>
      </c>
      <c r="I96" s="2183">
        <v>0</v>
      </c>
      <c r="J96" s="2183">
        <v>0</v>
      </c>
      <c r="K96" s="2183">
        <v>0</v>
      </c>
      <c r="L96" s="2183">
        <v>0</v>
      </c>
      <c r="M96" s="2183">
        <v>0</v>
      </c>
      <c r="N96" s="2183">
        <v>0</v>
      </c>
      <c r="O96" s="2183">
        <v>0</v>
      </c>
      <c r="P96" s="2183">
        <v>0</v>
      </c>
      <c r="Q96" s="2183">
        <v>0</v>
      </c>
      <c r="R96" s="2183">
        <v>0</v>
      </c>
      <c r="S96" s="2183">
        <v>0</v>
      </c>
      <c r="T96" s="2183">
        <v>0</v>
      </c>
      <c r="U96" s="2183">
        <v>0</v>
      </c>
      <c r="V96" s="2183">
        <v>0</v>
      </c>
      <c r="W96" s="2183">
        <v>0</v>
      </c>
      <c r="X96" s="2183">
        <v>2</v>
      </c>
      <c r="Y96" s="2183">
        <v>5</v>
      </c>
      <c r="Z96" s="2183">
        <v>6</v>
      </c>
      <c r="AA96" s="2183">
        <v>2</v>
      </c>
      <c r="AB96" s="2183">
        <v>1</v>
      </c>
      <c r="AC96" s="2183">
        <v>5</v>
      </c>
      <c r="AD96" s="2183">
        <v>7</v>
      </c>
      <c r="AE96" s="3183">
        <v>6</v>
      </c>
      <c r="AF96" s="2206">
        <f>SUM(A96:AE96)</f>
        <v>34</v>
      </c>
      <c r="AG96" s="1282" t="e">
        <f>+AG95/AG97</f>
        <v>#DIV/0!</v>
      </c>
      <c r="AH96" s="2208" t="s">
        <v>471</v>
      </c>
      <c r="AI96" s="32"/>
      <c r="AJ96" s="132"/>
      <c r="AK96" s="2237"/>
      <c r="AL96" s="2239"/>
      <c r="AM96" s="166"/>
      <c r="AO96" s="132" t="s">
        <v>488</v>
      </c>
      <c r="AP96" s="1145">
        <v>0</v>
      </c>
      <c r="AQ96" s="2010">
        <f>+AP96+AI96</f>
        <v>0</v>
      </c>
      <c r="AR96" s="132" t="s">
        <v>37</v>
      </c>
      <c r="AS96" s="1145">
        <f>AQ56</f>
        <v>11340</v>
      </c>
      <c r="AT96" s="2010">
        <f>AN56</f>
        <v>11402.186999999998</v>
      </c>
      <c r="AU96" s="1968">
        <f>AR56</f>
        <v>11402.186999999998</v>
      </c>
      <c r="AV96" s="2237">
        <f>AS96-AT96</f>
        <v>-62.186999999998079</v>
      </c>
      <c r="AW96" s="2010"/>
      <c r="AX96" s="166"/>
      <c r="AY96" s="1145">
        <f>11590+11340</f>
        <v>22930</v>
      </c>
      <c r="AZ96" s="1145">
        <f>AP56</f>
        <v>22620.088</v>
      </c>
      <c r="BA96" s="2010">
        <f>AY96-AZ96</f>
        <v>309.91200000000026</v>
      </c>
      <c r="BB96" s="2010">
        <f>+BA96/BF96</f>
        <v>1.1965714285714295</v>
      </c>
      <c r="BC96" s="166" t="s">
        <v>298</v>
      </c>
      <c r="BD96" s="1968"/>
      <c r="BE96" s="1946"/>
      <c r="BF96" s="1946">
        <f>+BH96-BK96</f>
        <v>259</v>
      </c>
      <c r="BG96" s="1946"/>
      <c r="BH96" s="131">
        <v>312</v>
      </c>
      <c r="BI96" s="131">
        <f>BI3</f>
        <v>1</v>
      </c>
      <c r="BJ96" s="131">
        <v>52</v>
      </c>
      <c r="BK96" s="2157">
        <f>BJ96+BI96</f>
        <v>53</v>
      </c>
    </row>
    <row r="97" spans="1:69" ht="24" thickBot="1">
      <c r="A97" s="1940" t="s">
        <v>271</v>
      </c>
      <c r="B97" s="1940" t="s">
        <v>271</v>
      </c>
      <c r="C97" s="1940" t="s">
        <v>271</v>
      </c>
      <c r="D97" s="1940" t="s">
        <v>271</v>
      </c>
      <c r="E97" s="1940" t="s">
        <v>271</v>
      </c>
      <c r="F97" s="1940" t="s">
        <v>271</v>
      </c>
      <c r="G97" s="1940" t="s">
        <v>271</v>
      </c>
      <c r="H97" s="1940" t="s">
        <v>271</v>
      </c>
      <c r="I97" s="1940" t="s">
        <v>271</v>
      </c>
      <c r="J97" s="1940" t="s">
        <v>271</v>
      </c>
      <c r="K97" s="1940" t="s">
        <v>271</v>
      </c>
      <c r="L97" s="1940" t="s">
        <v>271</v>
      </c>
      <c r="M97" s="1940" t="s">
        <v>271</v>
      </c>
      <c r="N97" s="1940" t="s">
        <v>271</v>
      </c>
      <c r="O97" s="1940" t="s">
        <v>271</v>
      </c>
      <c r="P97" s="1940" t="s">
        <v>271</v>
      </c>
      <c r="Q97" s="1940" t="s">
        <v>271</v>
      </c>
      <c r="R97" s="1940" t="s">
        <v>271</v>
      </c>
      <c r="S97" s="1940" t="s">
        <v>271</v>
      </c>
      <c r="T97" s="1940" t="s">
        <v>271</v>
      </c>
      <c r="U97" s="1940" t="s">
        <v>271</v>
      </c>
      <c r="V97" s="1940" t="s">
        <v>271</v>
      </c>
      <c r="W97" s="1940" t="s">
        <v>271</v>
      </c>
      <c r="X97" s="1940" t="s">
        <v>271</v>
      </c>
      <c r="Y97" s="1940" t="s">
        <v>271</v>
      </c>
      <c r="Z97" s="1940" t="s">
        <v>271</v>
      </c>
      <c r="AA97" s="1940" t="s">
        <v>271</v>
      </c>
      <c r="AB97" s="1940" t="s">
        <v>271</v>
      </c>
      <c r="AC97" s="1940" t="s">
        <v>271</v>
      </c>
      <c r="AD97" s="1940" t="s">
        <v>271</v>
      </c>
      <c r="AE97" s="1940" t="s">
        <v>271</v>
      </c>
      <c r="AF97" s="2208" t="s">
        <v>489</v>
      </c>
      <c r="AG97" s="2206">
        <f>AF94+AF90</f>
        <v>587.25</v>
      </c>
      <c r="AI97" s="32"/>
      <c r="AJ97" s="138"/>
      <c r="AK97" s="2212"/>
      <c r="AL97" s="2231">
        <v>0</v>
      </c>
      <c r="AM97" s="167"/>
      <c r="AO97" s="138" t="s">
        <v>23</v>
      </c>
      <c r="AP97" s="1132">
        <f>SUM(AP94:AP96)</f>
        <v>0</v>
      </c>
      <c r="AQ97" s="1132">
        <f>SUM(AQ94:AQ96)</f>
        <v>0</v>
      </c>
      <c r="AR97" s="138" t="s">
        <v>490</v>
      </c>
      <c r="AS97" s="2276">
        <f>AQ58</f>
        <v>11490</v>
      </c>
      <c r="AT97" s="2118">
        <f>AN58</f>
        <v>11173.28</v>
      </c>
      <c r="AU97" s="2119">
        <f>AR58</f>
        <v>11173.28</v>
      </c>
      <c r="AV97" s="2212">
        <f>AS97-AT97</f>
        <v>316.71999999999935</v>
      </c>
      <c r="AW97" s="2120"/>
      <c r="AX97" s="167"/>
      <c r="AY97" s="2276">
        <f>11740+11490</f>
        <v>23230</v>
      </c>
      <c r="AZ97" s="2119">
        <f>AP58</f>
        <v>23199.71</v>
      </c>
      <c r="BA97" s="2120">
        <f>AY97-AZ97</f>
        <v>30.290000000000873</v>
      </c>
      <c r="BB97" s="2120">
        <f>+BA97/BF97</f>
        <v>0.11694980694981032</v>
      </c>
      <c r="BC97" s="167" t="s">
        <v>298</v>
      </c>
      <c r="BD97" s="1968"/>
      <c r="BE97" s="1946"/>
      <c r="BF97" s="1946">
        <f>+BH97-BK97</f>
        <v>259</v>
      </c>
      <c r="BG97" s="1946"/>
      <c r="BH97" s="131">
        <v>312</v>
      </c>
      <c r="BI97" s="131">
        <f>BI5</f>
        <v>1</v>
      </c>
      <c r="BJ97" s="131">
        <v>52</v>
      </c>
      <c r="BK97" s="2157">
        <f>BJ97+BI97</f>
        <v>53</v>
      </c>
    </row>
    <row r="98" spans="1:69" ht="23.25" customHeight="1" thickBot="1">
      <c r="A98" s="1942">
        <f>+A103/A104</f>
        <v>17.833333333333332</v>
      </c>
      <c r="B98" s="1942">
        <f t="shared" ref="B98:AD98" si="63">+B103/B104</f>
        <v>18.75</v>
      </c>
      <c r="C98" s="1942">
        <f t="shared" si="63"/>
        <v>20</v>
      </c>
      <c r="D98" s="1942">
        <f t="shared" si="63"/>
        <v>18.666666666666668</v>
      </c>
      <c r="E98" s="1942">
        <f t="shared" si="63"/>
        <v>20.75</v>
      </c>
      <c r="F98" s="1942">
        <f t="shared" si="63"/>
        <v>21.333333333333332</v>
      </c>
      <c r="G98" s="1942">
        <f t="shared" si="63"/>
        <v>17.25</v>
      </c>
      <c r="H98" s="1942">
        <f t="shared" si="63"/>
        <v>19.75</v>
      </c>
      <c r="I98" s="1942">
        <f t="shared" si="63"/>
        <v>15.416666666666666</v>
      </c>
      <c r="J98" s="1942">
        <f t="shared" si="63"/>
        <v>9.1666666666666661</v>
      </c>
      <c r="K98" s="1942">
        <f t="shared" si="63"/>
        <v>17.166666666666668</v>
      </c>
      <c r="L98" s="1942">
        <f t="shared" si="63"/>
        <v>18.5</v>
      </c>
      <c r="M98" s="1942">
        <f t="shared" si="63"/>
        <v>18.25</v>
      </c>
      <c r="N98" s="1942">
        <f t="shared" si="63"/>
        <v>21.75</v>
      </c>
      <c r="O98" s="1942">
        <f t="shared" si="63"/>
        <v>6.666666666666667</v>
      </c>
      <c r="P98" s="1942">
        <f t="shared" si="63"/>
        <v>19.833333333333332</v>
      </c>
      <c r="Q98" s="1942">
        <f t="shared" si="63"/>
        <v>15.666666666666666</v>
      </c>
      <c r="R98" s="1942">
        <f t="shared" si="63"/>
        <v>21.166666666666668</v>
      </c>
      <c r="S98" s="1942">
        <f t="shared" si="63"/>
        <v>19.416666666666668</v>
      </c>
      <c r="T98" s="1942">
        <f t="shared" si="63"/>
        <v>22.166666666666668</v>
      </c>
      <c r="U98" s="1942">
        <f t="shared" si="63"/>
        <v>18.75</v>
      </c>
      <c r="V98" s="1942">
        <f t="shared" si="63"/>
        <v>15.25</v>
      </c>
      <c r="W98" s="1942">
        <f t="shared" si="63"/>
        <v>23.75</v>
      </c>
      <c r="X98" s="1942">
        <f t="shared" si="63"/>
        <v>19.916666666666668</v>
      </c>
      <c r="Y98" s="1942">
        <f t="shared" si="63"/>
        <v>16</v>
      </c>
      <c r="Z98" s="1942">
        <f t="shared" si="63"/>
        <v>19.416666666666668</v>
      </c>
      <c r="AA98" s="1942">
        <f t="shared" si="63"/>
        <v>21.333333333333332</v>
      </c>
      <c r="AB98" s="1942">
        <f t="shared" si="63"/>
        <v>23.333333333333332</v>
      </c>
      <c r="AC98" s="1942">
        <f t="shared" si="63"/>
        <v>23.916666666666668</v>
      </c>
      <c r="AD98" s="1942">
        <f t="shared" si="63"/>
        <v>23.083333333333332</v>
      </c>
      <c r="AE98" s="1942">
        <f t="shared" ref="AE98" si="64">+AE103/AE104</f>
        <v>23</v>
      </c>
      <c r="AF98" s="2209">
        <f>SUM(A98:AE98)</f>
        <v>587.25</v>
      </c>
      <c r="AG98" s="1940" t="s">
        <v>491</v>
      </c>
      <c r="AH98" s="1940">
        <v>185.51300000000001</v>
      </c>
      <c r="AI98" s="1940">
        <v>235.76</v>
      </c>
      <c r="AJ98" s="1220" t="s">
        <v>452</v>
      </c>
      <c r="AK98" s="1220"/>
      <c r="AL98" s="2240">
        <f>SUM(AL94:AL97)</f>
        <v>0</v>
      </c>
      <c r="AM98" s="1128"/>
      <c r="AO98" s="1282"/>
      <c r="AP98" s="2057"/>
      <c r="AQ98" s="1145"/>
      <c r="AR98" s="133"/>
      <c r="AS98" s="1145"/>
      <c r="AT98" s="1968"/>
      <c r="AU98" s="133"/>
      <c r="AV98" s="1145"/>
      <c r="AW98" s="1145"/>
      <c r="AX98" s="133"/>
      <c r="AY98" s="1145"/>
      <c r="AZ98" s="1968"/>
      <c r="BA98" s="1145"/>
      <c r="BB98" s="133"/>
      <c r="BC98" s="166"/>
      <c r="BD98" s="1968"/>
      <c r="BE98" s="133"/>
      <c r="BF98" s="1946"/>
      <c r="BG98" s="1946"/>
      <c r="BK98" s="1282"/>
    </row>
    <row r="99" spans="1:69" ht="19.5" customHeight="1" thickBot="1">
      <c r="A99" s="1949">
        <f>A98/(A21-A22)</f>
        <v>4.458333333333333</v>
      </c>
      <c r="B99" s="1949">
        <f t="shared" ref="B99:AD99" si="65">B98/(B21-B22)</f>
        <v>2.6785714285714284</v>
      </c>
      <c r="C99" s="1949">
        <f t="shared" si="65"/>
        <v>2.8571428571428572</v>
      </c>
      <c r="D99" s="1949">
        <f t="shared" si="65"/>
        <v>3.1111111111111112</v>
      </c>
      <c r="E99" s="1949">
        <f t="shared" si="65"/>
        <v>2.9642857142857144</v>
      </c>
      <c r="F99" s="1949">
        <f t="shared" si="65"/>
        <v>3.0476190476190474</v>
      </c>
      <c r="G99" s="1949">
        <f t="shared" si="65"/>
        <v>3.45</v>
      </c>
      <c r="H99" s="1949">
        <f t="shared" si="65"/>
        <v>3.2916666666666665</v>
      </c>
      <c r="I99" s="1949">
        <f t="shared" si="65"/>
        <v>3.083333333333333</v>
      </c>
      <c r="J99" s="1949">
        <f t="shared" si="65"/>
        <v>3.0555555555555554</v>
      </c>
      <c r="K99" s="1949">
        <f t="shared" si="65"/>
        <v>3.4333333333333336</v>
      </c>
      <c r="L99" s="1949">
        <f t="shared" si="65"/>
        <v>2.6428571428571428</v>
      </c>
      <c r="M99" s="1949">
        <f t="shared" si="65"/>
        <v>3.0416666666666665</v>
      </c>
      <c r="N99" s="1949">
        <f t="shared" si="65"/>
        <v>3.1071428571428572</v>
      </c>
      <c r="O99" s="1949">
        <f t="shared" si="65"/>
        <v>3.3333333333333335</v>
      </c>
      <c r="P99" s="1949">
        <f t="shared" si="65"/>
        <v>3.9666666666666663</v>
      </c>
      <c r="Q99" s="1949">
        <f t="shared" si="65"/>
        <v>3.9166666666666665</v>
      </c>
      <c r="R99" s="1949">
        <f t="shared" si="65"/>
        <v>3.5277777777777781</v>
      </c>
      <c r="S99" s="1949">
        <f t="shared" si="65"/>
        <v>3.2361111111111112</v>
      </c>
      <c r="T99" s="1949">
        <f t="shared" si="65"/>
        <v>3.166666666666667</v>
      </c>
      <c r="U99" s="1949">
        <f t="shared" si="65"/>
        <v>3.125</v>
      </c>
      <c r="V99" s="1949">
        <f t="shared" si="65"/>
        <v>3.05</v>
      </c>
      <c r="W99" s="1949">
        <f t="shared" si="65"/>
        <v>3.3928571428571428</v>
      </c>
      <c r="X99" s="1949">
        <f t="shared" si="65"/>
        <v>3.9833333333333334</v>
      </c>
      <c r="Y99" s="1949">
        <f t="shared" si="65"/>
        <v>3.2</v>
      </c>
      <c r="Z99" s="1949">
        <f t="shared" si="65"/>
        <v>3.2361111111111112</v>
      </c>
      <c r="AA99" s="1949">
        <f t="shared" si="65"/>
        <v>3.5555555555555554</v>
      </c>
      <c r="AB99" s="1949">
        <f t="shared" si="65"/>
        <v>3.333333333333333</v>
      </c>
      <c r="AC99" s="1949">
        <f t="shared" si="65"/>
        <v>3.416666666666667</v>
      </c>
      <c r="AD99" s="1949">
        <f t="shared" si="65"/>
        <v>3.2976190476190474</v>
      </c>
      <c r="AE99" s="1949">
        <f t="shared" ref="AE99" si="66">AE98/(AE21-AE22)</f>
        <v>3.8333333333333335</v>
      </c>
      <c r="AF99" s="2163">
        <f>AF98/(AG21-AG22)</f>
        <v>3.2807262569832401</v>
      </c>
      <c r="AG99" s="2241"/>
      <c r="AJ99" s="132" t="s">
        <v>492</v>
      </c>
      <c r="AK99" s="2010"/>
      <c r="AL99" s="1360"/>
      <c r="AM99" s="1220"/>
      <c r="AN99" s="1130" t="s">
        <v>493</v>
      </c>
      <c r="AO99" s="1282"/>
      <c r="AP99" s="2836" t="s">
        <v>494</v>
      </c>
      <c r="AQ99" s="2836"/>
      <c r="AR99" s="1131"/>
      <c r="AS99" s="1131"/>
      <c r="AT99" s="1128"/>
      <c r="AU99" s="1968"/>
      <c r="AV99" s="1131"/>
      <c r="AW99" s="1131"/>
      <c r="AX99" s="1131"/>
      <c r="AY99" s="1131"/>
      <c r="AZ99" s="1131"/>
      <c r="BA99" s="1131"/>
      <c r="BB99" s="1129"/>
      <c r="BC99" s="1129"/>
      <c r="BD99" s="1968"/>
      <c r="BE99" s="133"/>
      <c r="BF99" s="1946"/>
      <c r="BG99" s="1946"/>
      <c r="BK99" s="1282"/>
      <c r="BQ99" s="1940">
        <f>365-52</f>
        <v>313</v>
      </c>
    </row>
    <row r="100" spans="1:69" ht="27" thickBot="1">
      <c r="A100" s="133">
        <v>0</v>
      </c>
      <c r="B100" s="2693">
        <v>0</v>
      </c>
      <c r="C100" s="2693">
        <v>0</v>
      </c>
      <c r="D100" s="2693">
        <v>0</v>
      </c>
      <c r="E100" s="2693">
        <v>0</v>
      </c>
      <c r="F100" s="2693">
        <v>0</v>
      </c>
      <c r="G100" s="2693">
        <v>0</v>
      </c>
      <c r="H100" s="2693">
        <v>0</v>
      </c>
      <c r="I100" s="2693">
        <v>0</v>
      </c>
      <c r="J100" s="2693">
        <v>0</v>
      </c>
      <c r="K100" s="2693">
        <v>0</v>
      </c>
      <c r="L100" s="2693">
        <v>0</v>
      </c>
      <c r="M100" s="2693">
        <v>37.5</v>
      </c>
      <c r="N100" s="2693">
        <v>55</v>
      </c>
      <c r="O100" s="2693">
        <v>61.6</v>
      </c>
      <c r="P100" s="2693">
        <v>0</v>
      </c>
      <c r="Q100" s="2693">
        <v>0</v>
      </c>
      <c r="R100" s="2693">
        <v>45.6</v>
      </c>
      <c r="S100" s="2693">
        <v>0</v>
      </c>
      <c r="T100" s="2693">
        <v>0</v>
      </c>
      <c r="U100" s="2693">
        <v>0</v>
      </c>
      <c r="V100" s="2693">
        <v>0</v>
      </c>
      <c r="W100" s="2693">
        <f>212.81-199.7</f>
        <v>13.110000000000014</v>
      </c>
      <c r="X100" s="2693">
        <f>274.21-212.81</f>
        <v>61.399999999999977</v>
      </c>
      <c r="Y100" s="2693">
        <v>0</v>
      </c>
      <c r="Z100" s="2693">
        <v>0</v>
      </c>
      <c r="AA100" s="2693">
        <v>30.26</v>
      </c>
      <c r="AB100" s="2693">
        <f>36.54+8.58</f>
        <v>45.12</v>
      </c>
      <c r="AC100" s="2693">
        <f>50.8+18.48</f>
        <v>69.28</v>
      </c>
      <c r="AD100" s="2693">
        <v>2.75</v>
      </c>
      <c r="AE100" s="133">
        <v>8.4</v>
      </c>
      <c r="AF100" s="133">
        <v>0</v>
      </c>
      <c r="AG100" s="2162">
        <f>SUM(A100:AE100)</f>
        <v>430.02</v>
      </c>
      <c r="AH100" s="1940" t="s">
        <v>4061</v>
      </c>
      <c r="AJ100" s="132" t="s">
        <v>495</v>
      </c>
      <c r="AK100" s="132"/>
      <c r="AL100" s="2021"/>
      <c r="AM100" s="132"/>
      <c r="AN100" s="2002" t="s">
        <v>271</v>
      </c>
      <c r="AO100" s="1282"/>
      <c r="AP100" s="1767" t="s">
        <v>496</v>
      </c>
      <c r="AQ100" s="1741" t="s">
        <v>463</v>
      </c>
      <c r="AR100" s="1130"/>
      <c r="AS100" s="1128"/>
      <c r="AT100" s="378" t="s">
        <v>497</v>
      </c>
      <c r="AU100" s="377"/>
      <c r="AV100" s="377"/>
      <c r="AW100" s="1131"/>
      <c r="AX100" s="1128" t="s">
        <v>498</v>
      </c>
      <c r="AY100" s="1968"/>
      <c r="AZ100" s="1131"/>
      <c r="BA100" s="1220"/>
      <c r="BB100" s="1129"/>
      <c r="BC100" s="1130"/>
      <c r="BD100" s="1968"/>
      <c r="BE100" s="133"/>
      <c r="BF100" s="1946"/>
      <c r="BG100" s="1946"/>
      <c r="BK100" s="1282"/>
    </row>
    <row r="101" spans="1:69" ht="18.75" customHeight="1" thickBot="1">
      <c r="A101" s="133">
        <v>0</v>
      </c>
      <c r="B101" s="2693">
        <v>91.6</v>
      </c>
      <c r="C101" s="2693">
        <f>221.38-156.38</f>
        <v>65</v>
      </c>
      <c r="D101" s="2693">
        <f>33.58+31.2</f>
        <v>64.78</v>
      </c>
      <c r="E101" s="2693">
        <f>347.22-249.66</f>
        <v>97.560000000000031</v>
      </c>
      <c r="F101" s="2693">
        <f>21.78+6.5</f>
        <v>28.28</v>
      </c>
      <c r="G101" s="2693">
        <v>0</v>
      </c>
      <c r="H101" s="2693">
        <f>26.95+1.16</f>
        <v>28.11</v>
      </c>
      <c r="I101" s="2693">
        <v>0</v>
      </c>
      <c r="J101" s="2693">
        <v>0</v>
      </c>
      <c r="K101" s="2693">
        <f>474.31-439.33</f>
        <v>34.980000000000018</v>
      </c>
      <c r="L101" s="2693">
        <v>40</v>
      </c>
      <c r="M101" s="2693">
        <v>24</v>
      </c>
      <c r="N101" s="2693">
        <v>0</v>
      </c>
      <c r="O101" s="2693">
        <v>19.27</v>
      </c>
      <c r="P101" s="2693">
        <v>24.82</v>
      </c>
      <c r="Q101" s="2693">
        <v>0</v>
      </c>
      <c r="R101" s="2693">
        <v>32.86</v>
      </c>
      <c r="S101" s="2693">
        <v>0</v>
      </c>
      <c r="T101" s="2693">
        <f>94.99+33.2</f>
        <v>128.19</v>
      </c>
      <c r="U101" s="2693">
        <f>62.38+35</f>
        <v>97.38</v>
      </c>
      <c r="V101" s="2693">
        <v>131</v>
      </c>
      <c r="W101" s="2693">
        <f>1004.2-907.83</f>
        <v>96.37</v>
      </c>
      <c r="X101" s="2693">
        <v>0</v>
      </c>
      <c r="Y101" s="2693">
        <f>86.02</f>
        <v>86.02</v>
      </c>
      <c r="Z101" s="2693">
        <v>28.4</v>
      </c>
      <c r="AA101" s="2693">
        <v>22.52</v>
      </c>
      <c r="AB101" s="2693">
        <v>24.9</v>
      </c>
      <c r="AC101" s="2693">
        <v>45.77</v>
      </c>
      <c r="AD101" s="2693">
        <v>63.89</v>
      </c>
      <c r="AE101" s="133">
        <v>36</v>
      </c>
      <c r="AF101" s="133">
        <v>0</v>
      </c>
      <c r="AG101" s="2162">
        <f>SUM(A101:AE101)</f>
        <v>1311.7000000000003</v>
      </c>
      <c r="AH101" s="2208" t="s">
        <v>4060</v>
      </c>
      <c r="AI101" s="2188"/>
      <c r="AJ101" s="132" t="s">
        <v>499</v>
      </c>
      <c r="AK101" s="2010"/>
      <c r="AL101" s="2242">
        <f>AL81</f>
        <v>3.8333333333333335</v>
      </c>
      <c r="AM101" s="132"/>
      <c r="AN101" s="2149">
        <f>AF99</f>
        <v>3.2807262569832401</v>
      </c>
      <c r="AO101" s="1282"/>
      <c r="AP101" s="468" t="s">
        <v>500</v>
      </c>
      <c r="AQ101" s="2277">
        <f>AN53</f>
        <v>694.91</v>
      </c>
      <c r="AR101" s="2022"/>
      <c r="AS101" s="1968"/>
      <c r="AT101" s="258" t="s">
        <v>501</v>
      </c>
      <c r="AU101" s="2278">
        <f>AG100</f>
        <v>430.02</v>
      </c>
      <c r="AW101" s="133" t="s">
        <v>463</v>
      </c>
      <c r="AX101" s="566"/>
      <c r="AY101" s="2140"/>
      <c r="AZ101" s="566"/>
      <c r="BA101" s="566"/>
      <c r="BB101" s="2310"/>
      <c r="BC101" s="2081"/>
      <c r="BD101" s="1968"/>
      <c r="BE101" s="133"/>
      <c r="BF101" s="1946"/>
      <c r="BG101" s="1946"/>
      <c r="BH101" s="2159"/>
      <c r="BK101" s="2157"/>
    </row>
    <row r="102" spans="1:69" ht="20.100000000000001" customHeight="1" thickBot="1">
      <c r="A102" s="2184"/>
      <c r="B102" s="2184"/>
      <c r="C102" s="2184"/>
      <c r="D102" s="2184"/>
      <c r="E102" s="2184"/>
      <c r="F102" s="2184"/>
      <c r="G102" s="2184"/>
      <c r="H102" s="2184"/>
      <c r="I102" s="2184"/>
      <c r="J102" s="2189"/>
      <c r="K102" s="2184"/>
      <c r="L102" s="2184"/>
      <c r="M102" s="2184"/>
      <c r="N102" s="2184"/>
      <c r="O102" s="2184"/>
      <c r="P102" s="2184"/>
      <c r="Q102" s="2184"/>
      <c r="R102" s="2184"/>
      <c r="S102" s="2184"/>
      <c r="T102" s="2184"/>
      <c r="U102" s="2184"/>
      <c r="V102" s="2184"/>
      <c r="W102" s="2184"/>
      <c r="X102" s="2184"/>
      <c r="Y102" s="2184"/>
      <c r="Z102" s="2184"/>
      <c r="AA102" s="2184"/>
      <c r="AB102" s="2184"/>
      <c r="AC102" s="2184"/>
      <c r="AD102" s="2184"/>
      <c r="AE102" s="2184"/>
      <c r="AF102" s="2184"/>
      <c r="AG102" s="2162">
        <f>SUM(A102:AE102)</f>
        <v>0</v>
      </c>
      <c r="AH102" s="2243">
        <f>+AG102+AG101</f>
        <v>1311.7000000000003</v>
      </c>
      <c r="AI102" s="2220" t="s">
        <v>502</v>
      </c>
      <c r="AJ102" s="1220" t="s">
        <v>501</v>
      </c>
      <c r="AK102" s="2010"/>
      <c r="AL102" s="2231"/>
      <c r="AM102" s="132"/>
      <c r="AN102" s="2244"/>
      <c r="AO102" s="1282"/>
      <c r="AP102" s="2279" t="s">
        <v>503</v>
      </c>
      <c r="AQ102" s="2280">
        <f>AU101</f>
        <v>430.02</v>
      </c>
      <c r="AR102" s="2022"/>
      <c r="AS102" s="1968"/>
      <c r="AT102" s="716" t="s">
        <v>504</v>
      </c>
      <c r="AU102" s="2281">
        <f>AG70</f>
        <v>303.28000000000003</v>
      </c>
      <c r="AV102" s="2282" t="s">
        <v>505</v>
      </c>
      <c r="AW102" s="2282">
        <f>589.83+18.1+8.1+61.89</f>
        <v>677.92000000000007</v>
      </c>
      <c r="AX102" s="2282"/>
      <c r="AY102" s="2312"/>
      <c r="AZ102" s="2282"/>
      <c r="BA102" s="2282"/>
      <c r="BB102" s="2310"/>
      <c r="BC102" s="2075"/>
      <c r="BD102" s="1968"/>
      <c r="BE102" s="133">
        <f>15.87-24.61</f>
        <v>-8.74</v>
      </c>
      <c r="BF102" s="1946"/>
      <c r="BG102" s="1946"/>
      <c r="BH102" s="2159"/>
      <c r="BK102" s="2157"/>
    </row>
    <row r="103" spans="1:69" ht="20.100000000000001" customHeight="1" thickBot="1">
      <c r="A103" s="1949">
        <f>+A93+A89+A85</f>
        <v>1070</v>
      </c>
      <c r="B103" s="1949">
        <f>+B93+B89+B85</f>
        <v>1125</v>
      </c>
      <c r="C103" s="1949">
        <f>+C93+C89+C85</f>
        <v>1200</v>
      </c>
      <c r="D103" s="1949">
        <f t="shared" ref="D103:AE103" si="67">+D93+D89+D85</f>
        <v>1120</v>
      </c>
      <c r="E103" s="1949">
        <f t="shared" si="67"/>
        <v>1245</v>
      </c>
      <c r="F103" s="1949">
        <f t="shared" si="67"/>
        <v>1280</v>
      </c>
      <c r="G103" s="1949">
        <f t="shared" si="67"/>
        <v>1035</v>
      </c>
      <c r="H103" s="1949">
        <f t="shared" si="67"/>
        <v>1185</v>
      </c>
      <c r="I103" s="1949">
        <f t="shared" si="67"/>
        <v>925</v>
      </c>
      <c r="J103" s="1942">
        <f t="shared" si="67"/>
        <v>550</v>
      </c>
      <c r="K103" s="1949">
        <f t="shared" si="67"/>
        <v>1030</v>
      </c>
      <c r="L103" s="1949">
        <f t="shared" si="67"/>
        <v>1110</v>
      </c>
      <c r="M103" s="1949">
        <f t="shared" si="67"/>
        <v>1095</v>
      </c>
      <c r="N103" s="1282">
        <f t="shared" si="67"/>
        <v>1305</v>
      </c>
      <c r="O103" s="1949">
        <f t="shared" si="67"/>
        <v>400</v>
      </c>
      <c r="P103" s="1949">
        <f t="shared" si="67"/>
        <v>1190</v>
      </c>
      <c r="Q103" s="1949">
        <f t="shared" si="67"/>
        <v>940</v>
      </c>
      <c r="R103" s="1949">
        <f t="shared" si="67"/>
        <v>1270</v>
      </c>
      <c r="S103" s="1949">
        <f t="shared" si="67"/>
        <v>1165</v>
      </c>
      <c r="T103" s="1949">
        <f t="shared" si="67"/>
        <v>1330</v>
      </c>
      <c r="U103" s="1949">
        <f t="shared" si="67"/>
        <v>1125</v>
      </c>
      <c r="V103" s="1949">
        <f t="shared" si="67"/>
        <v>915</v>
      </c>
      <c r="W103" s="1949">
        <f t="shared" si="67"/>
        <v>1425</v>
      </c>
      <c r="X103" s="1949">
        <f t="shared" si="67"/>
        <v>1195</v>
      </c>
      <c r="Y103" s="1949">
        <f t="shared" si="67"/>
        <v>960</v>
      </c>
      <c r="Z103" s="1949">
        <f t="shared" si="67"/>
        <v>1165</v>
      </c>
      <c r="AA103" s="1949">
        <f t="shared" si="67"/>
        <v>1280</v>
      </c>
      <c r="AB103" s="1949">
        <f t="shared" si="67"/>
        <v>1400</v>
      </c>
      <c r="AC103" s="1949">
        <f t="shared" si="67"/>
        <v>1435</v>
      </c>
      <c r="AD103" s="1949">
        <f t="shared" si="67"/>
        <v>1385</v>
      </c>
      <c r="AE103" s="2210">
        <f t="shared" si="67"/>
        <v>1380</v>
      </c>
      <c r="AG103" s="2245">
        <f>SUM(A103:AE103)</f>
        <v>35235</v>
      </c>
      <c r="AH103" s="1940">
        <f>4483-3552</f>
        <v>931</v>
      </c>
      <c r="AI103" s="1940" t="s">
        <v>506</v>
      </c>
      <c r="AJ103" s="1220" t="s">
        <v>507</v>
      </c>
      <c r="AK103" s="2057"/>
      <c r="AL103" s="2021"/>
      <c r="AM103" s="1220"/>
      <c r="AN103" s="1243"/>
      <c r="AO103" s="2137"/>
      <c r="AP103" s="2283" t="s">
        <v>508</v>
      </c>
      <c r="AQ103" s="2277">
        <f>AU103</f>
        <v>1311.7000000000003</v>
      </c>
      <c r="AR103" s="2069"/>
      <c r="AS103" s="1973"/>
      <c r="AT103" s="612" t="s">
        <v>507</v>
      </c>
      <c r="AU103" s="2284">
        <f>AG101</f>
        <v>1311.7000000000003</v>
      </c>
      <c r="AV103" s="2285" t="s">
        <v>509</v>
      </c>
      <c r="AW103" s="2285">
        <f>774.1+17.1+27+44.97+29.97</f>
        <v>893.1400000000001</v>
      </c>
      <c r="AX103" s="612"/>
      <c r="AY103" s="2313"/>
      <c r="AZ103" s="612"/>
      <c r="BA103" s="2285"/>
      <c r="BB103" s="2311"/>
      <c r="BC103" s="2070"/>
      <c r="BD103" s="1968"/>
      <c r="BE103" s="133"/>
      <c r="BF103" s="1946"/>
      <c r="BG103" s="1946"/>
      <c r="BH103" s="2159"/>
      <c r="BK103" s="2157"/>
    </row>
    <row r="104" spans="1:69" ht="20.100000000000001" customHeight="1" thickBot="1">
      <c r="A104" s="1940">
        <v>60</v>
      </c>
      <c r="B104" s="1940">
        <v>60</v>
      </c>
      <c r="C104" s="1940">
        <v>60</v>
      </c>
      <c r="D104" s="1940">
        <v>60</v>
      </c>
      <c r="E104" s="1940">
        <v>60</v>
      </c>
      <c r="F104" s="1940">
        <v>60</v>
      </c>
      <c r="G104" s="1940">
        <v>60</v>
      </c>
      <c r="H104" s="1940">
        <v>60</v>
      </c>
      <c r="I104" s="1940">
        <v>60</v>
      </c>
      <c r="J104" s="1942">
        <v>60</v>
      </c>
      <c r="K104" s="1940">
        <v>60</v>
      </c>
      <c r="L104" s="1940">
        <v>60</v>
      </c>
      <c r="M104" s="1940">
        <v>60</v>
      </c>
      <c r="N104" s="133">
        <v>60</v>
      </c>
      <c r="O104" s="1940">
        <v>60</v>
      </c>
      <c r="P104" s="1940">
        <v>60</v>
      </c>
      <c r="Q104" s="1940">
        <v>60</v>
      </c>
      <c r="R104" s="1940">
        <v>60</v>
      </c>
      <c r="S104" s="1940">
        <v>60</v>
      </c>
      <c r="T104" s="1940">
        <v>60</v>
      </c>
      <c r="U104" s="1940">
        <v>60</v>
      </c>
      <c r="V104" s="1940">
        <v>60</v>
      </c>
      <c r="W104" s="1940">
        <v>60</v>
      </c>
      <c r="X104" s="1940">
        <v>60</v>
      </c>
      <c r="Y104" s="1940">
        <v>60</v>
      </c>
      <c r="Z104" s="1940">
        <v>60</v>
      </c>
      <c r="AA104" s="1940">
        <v>60</v>
      </c>
      <c r="AB104" s="1940">
        <v>60</v>
      </c>
      <c r="AC104" s="1940">
        <v>60</v>
      </c>
      <c r="AD104" s="1940">
        <v>60</v>
      </c>
      <c r="AE104" s="1940">
        <v>60</v>
      </c>
      <c r="AG104" s="2245">
        <f>SUM(A104:AE104)</f>
        <v>1860</v>
      </c>
      <c r="AJ104" s="2238" t="s">
        <v>489</v>
      </c>
      <c r="AK104" s="2238"/>
      <c r="AL104" s="2231"/>
      <c r="AM104" s="2238"/>
      <c r="AN104" s="2231">
        <f>AN74+AN13</f>
        <v>1916.3500000000004</v>
      </c>
      <c r="AO104" s="1282"/>
      <c r="AP104" s="32" t="s">
        <v>510</v>
      </c>
      <c r="AQ104" s="2286">
        <f>AN70</f>
        <v>303.28000000000003</v>
      </c>
      <c r="AR104" s="2022"/>
      <c r="AS104" s="1968"/>
      <c r="AT104" s="258" t="s">
        <v>511</v>
      </c>
      <c r="AU104" s="566">
        <f>AG102</f>
        <v>0</v>
      </c>
      <c r="AV104" s="566" t="s">
        <v>512</v>
      </c>
      <c r="AW104" s="566">
        <f>304.265+6.91</f>
        <v>311.17500000000001</v>
      </c>
      <c r="AX104" s="566"/>
      <c r="AY104" s="566"/>
      <c r="AZ104" s="566"/>
      <c r="BA104" s="566"/>
      <c r="BB104" s="2310"/>
      <c r="BC104" s="2094"/>
      <c r="BD104" s="1968"/>
      <c r="BE104" s="133"/>
      <c r="BF104" s="1946"/>
      <c r="BG104" s="1946"/>
      <c r="BH104" s="2159"/>
      <c r="BK104" s="2157"/>
    </row>
    <row r="105" spans="1:69" ht="20.100000000000001" customHeight="1" thickBot="1">
      <c r="B105" s="1940"/>
      <c r="Q105" s="1940">
        <v>1896</v>
      </c>
      <c r="Z105" s="1948"/>
      <c r="AG105" s="1940">
        <f>+AG103/AG104</f>
        <v>18.943548387096776</v>
      </c>
      <c r="AJ105" s="1956"/>
      <c r="AK105" s="2246"/>
      <c r="AL105" s="2238"/>
      <c r="AM105" s="132"/>
      <c r="AN105" s="132"/>
      <c r="AO105" s="1282"/>
      <c r="AP105" s="2279" t="s">
        <v>513</v>
      </c>
      <c r="AQ105" s="2280">
        <f>AN56-AQ101-AQ102-AQ103-AQ104</f>
        <v>8662.2769999999964</v>
      </c>
      <c r="AR105" s="1108"/>
      <c r="AS105" s="1968"/>
      <c r="AT105" s="258" t="s">
        <v>514</v>
      </c>
      <c r="AU105" s="2278">
        <f>1077.37+35.32+51+5.1</f>
        <v>1168.7899999999997</v>
      </c>
      <c r="AV105" s="566"/>
      <c r="AW105" s="258"/>
      <c r="AX105" s="566"/>
      <c r="AY105" s="2140"/>
      <c r="AZ105" s="566"/>
      <c r="BA105" s="566"/>
      <c r="BB105" s="166"/>
      <c r="BC105" s="2010"/>
      <c r="BD105" s="1968"/>
      <c r="BE105" s="133"/>
      <c r="BF105" s="1946"/>
      <c r="BG105" s="1946"/>
      <c r="BH105" s="2159"/>
      <c r="BK105" s="2157"/>
    </row>
    <row r="106" spans="1:69" ht="20.100000000000001" customHeight="1" thickBot="1">
      <c r="B106" s="1940"/>
      <c r="R106" s="2201"/>
      <c r="Z106" s="1948"/>
      <c r="AG106" s="1942">
        <v>5093900.6999999993</v>
      </c>
      <c r="AH106" s="1942">
        <f>+AG106/AN12</f>
        <v>454.77886013804329</v>
      </c>
      <c r="AJ106" s="1956"/>
      <c r="AK106" s="2120"/>
      <c r="AL106" s="2247"/>
      <c r="AM106" s="138"/>
      <c r="AN106" s="2246"/>
      <c r="AO106" s="1211"/>
      <c r="AP106" s="2287" t="s">
        <v>515</v>
      </c>
      <c r="AQ106" s="1811">
        <f>AU102</f>
        <v>303.28000000000003</v>
      </c>
      <c r="AR106" s="1108"/>
      <c r="AS106" s="1968"/>
      <c r="AT106" s="258" t="s">
        <v>516</v>
      </c>
      <c r="AU106" s="566">
        <f>AQ104</f>
        <v>303.28000000000003</v>
      </c>
      <c r="AV106" s="566"/>
      <c r="AW106" s="258"/>
      <c r="AX106" s="258"/>
      <c r="AY106" s="2140"/>
      <c r="AZ106" s="566"/>
      <c r="BA106" s="566"/>
      <c r="BB106" s="167"/>
      <c r="BC106" s="2070"/>
      <c r="BD106" s="1968"/>
      <c r="BE106" s="133"/>
      <c r="BF106" s="1946"/>
      <c r="BG106" s="1946"/>
      <c r="BH106" s="2159"/>
      <c r="BK106" s="2157"/>
    </row>
    <row r="107" spans="1:69" ht="20.100000000000001" customHeight="1" thickBot="1">
      <c r="B107" s="1940"/>
      <c r="N107" s="133">
        <f>47*1000/24</f>
        <v>1958.3333333333333</v>
      </c>
      <c r="S107" s="1940" t="s">
        <v>517</v>
      </c>
      <c r="V107" s="1940">
        <f>967.24-2.18</f>
        <v>965.06000000000006</v>
      </c>
      <c r="Z107" s="1948"/>
      <c r="AJ107" s="1220" t="s">
        <v>518</v>
      </c>
      <c r="AK107" s="2057" t="s">
        <v>519</v>
      </c>
      <c r="AL107" s="2021" t="s">
        <v>319</v>
      </c>
      <c r="AM107" s="1220" t="s">
        <v>493</v>
      </c>
      <c r="AN107" s="2837" t="s">
        <v>520</v>
      </c>
      <c r="AO107" s="2838"/>
      <c r="AP107" s="2187" t="s">
        <v>521</v>
      </c>
      <c r="AQ107" s="1765">
        <f>AN56</f>
        <v>11402.186999999998</v>
      </c>
      <c r="AS107" s="2288"/>
      <c r="AT107" s="2130" t="s">
        <v>522</v>
      </c>
      <c r="AU107" s="2276"/>
      <c r="AV107" s="2119"/>
      <c r="AW107" s="137"/>
      <c r="AX107" s="2276"/>
      <c r="AY107" s="2119"/>
      <c r="AZ107" s="2276"/>
      <c r="BA107" s="137"/>
      <c r="BB107" s="167"/>
      <c r="BC107" s="1130"/>
      <c r="BD107" s="1968"/>
      <c r="BE107" s="133"/>
      <c r="BF107" s="1946"/>
      <c r="BG107" s="1946"/>
      <c r="BK107" s="1282"/>
    </row>
    <row r="108" spans="1:69" ht="20.100000000000001" customHeight="1" thickBot="1">
      <c r="B108" s="1940"/>
      <c r="I108" s="1940" t="s">
        <v>4062</v>
      </c>
      <c r="S108" s="1940" t="s">
        <v>523</v>
      </c>
      <c r="Z108" s="1948"/>
      <c r="AF108" s="32">
        <v>1094</v>
      </c>
      <c r="AG108" s="133" t="s">
        <v>524</v>
      </c>
      <c r="AH108" s="133"/>
      <c r="AJ108" s="2010">
        <f>AI108+AB107</f>
        <v>0</v>
      </c>
      <c r="AK108" s="2010"/>
      <c r="AL108" s="2248"/>
      <c r="AM108" s="132"/>
      <c r="AN108" s="1220" t="s">
        <v>525</v>
      </c>
      <c r="AO108" s="2137" t="s">
        <v>493</v>
      </c>
      <c r="AP108" s="1243"/>
      <c r="AQ108" s="1145"/>
      <c r="AR108" s="138" t="s">
        <v>526</v>
      </c>
      <c r="AS108" s="2120" t="s">
        <v>527</v>
      </c>
      <c r="AT108" s="2118" t="s">
        <v>528</v>
      </c>
      <c r="AU108" s="2120" t="s">
        <v>143</v>
      </c>
      <c r="AV108" s="133"/>
      <c r="AW108" s="1145"/>
      <c r="AX108" s="133"/>
      <c r="AY108" s="2810"/>
      <c r="AZ108" s="2827"/>
      <c r="BA108" s="2827"/>
      <c r="BB108" s="2827"/>
      <c r="BC108" s="2811"/>
      <c r="BD108" s="1968"/>
      <c r="BE108" s="133"/>
      <c r="BK108" s="1282"/>
    </row>
    <row r="109" spans="1:69" ht="24" customHeight="1" thickBot="1">
      <c r="B109" s="2847"/>
      <c r="C109" s="2847"/>
      <c r="D109" s="2847"/>
      <c r="E109" s="2847"/>
      <c r="J109" s="2847" t="s">
        <v>529</v>
      </c>
      <c r="K109" s="2847"/>
      <c r="L109" s="2847"/>
      <c r="M109" s="2847"/>
      <c r="P109" s="1940">
        <v>1896</v>
      </c>
      <c r="Z109" s="1948"/>
      <c r="AB109" s="1940">
        <f>838.36-514</f>
        <v>324.36</v>
      </c>
      <c r="AF109" s="2211"/>
      <c r="AG109" s="133" t="s">
        <v>530</v>
      </c>
      <c r="AH109" s="133" t="s">
        <v>531</v>
      </c>
      <c r="AI109" s="2249">
        <v>5503100</v>
      </c>
      <c r="AJ109" s="2010" t="s">
        <v>532</v>
      </c>
      <c r="AK109" s="2057" t="s">
        <v>533</v>
      </c>
      <c r="AL109" s="133">
        <v>233900</v>
      </c>
      <c r="AM109" s="2057">
        <f>+AL109+AI109</f>
        <v>5737000</v>
      </c>
      <c r="AN109" s="2057">
        <f>AL109/(AL12-AL74)</f>
        <v>487.49478949562314</v>
      </c>
      <c r="AO109" s="2057">
        <f>AM109/(AN12-AN74)</f>
        <v>610.86307701644978</v>
      </c>
      <c r="AP109" s="2057"/>
      <c r="AQ109" s="1145" t="s">
        <v>271</v>
      </c>
      <c r="AR109" s="132" t="s">
        <v>534</v>
      </c>
      <c r="AS109" s="2289">
        <v>2.5</v>
      </c>
      <c r="AT109" s="2149">
        <v>0</v>
      </c>
      <c r="AU109" s="2149">
        <f>AG87</f>
        <v>0</v>
      </c>
      <c r="AV109" s="1145"/>
      <c r="AW109" s="2810"/>
      <c r="AX109" s="2811"/>
      <c r="AY109" s="1130"/>
      <c r="AZ109" s="1131"/>
      <c r="BA109" s="1130"/>
      <c r="BB109" s="1130"/>
      <c r="BC109" s="1129"/>
      <c r="BD109" s="1968"/>
      <c r="BE109" s="133"/>
      <c r="BK109" s="1282"/>
    </row>
    <row r="110" spans="1:69" ht="24.75" customHeight="1" thickBot="1">
      <c r="B110" s="2190"/>
      <c r="C110" s="2191"/>
      <c r="D110" s="2192"/>
      <c r="E110" s="2192"/>
      <c r="F110" s="1940">
        <v>0</v>
      </c>
      <c r="J110" s="2699" t="s">
        <v>535</v>
      </c>
      <c r="K110" s="2191" t="s">
        <v>536</v>
      </c>
      <c r="L110" s="2192" t="s">
        <v>537</v>
      </c>
      <c r="M110" s="2192" t="s">
        <v>538</v>
      </c>
      <c r="O110" s="2193"/>
      <c r="P110" s="1997" t="s">
        <v>319</v>
      </c>
      <c r="Q110" s="1997"/>
      <c r="R110" s="1997"/>
      <c r="S110" s="1997"/>
      <c r="T110" s="1997"/>
      <c r="U110" s="1997"/>
      <c r="V110" s="1997" t="s">
        <v>539</v>
      </c>
      <c r="W110" s="1940">
        <v>0</v>
      </c>
      <c r="Z110" s="1948"/>
      <c r="AE110" s="1940">
        <v>1682</v>
      </c>
      <c r="AF110" s="1978">
        <v>6903</v>
      </c>
      <c r="AG110" s="133">
        <v>316</v>
      </c>
      <c r="AH110" s="2211">
        <f>AF110+AG110</f>
        <v>7219</v>
      </c>
      <c r="AI110" s="2249">
        <v>727800</v>
      </c>
      <c r="AJ110" s="2010" t="s">
        <v>540</v>
      </c>
      <c r="AK110" s="2057" t="s">
        <v>533</v>
      </c>
      <c r="AL110" s="133">
        <v>31300</v>
      </c>
      <c r="AM110" s="2057">
        <f>+AL110+AI110</f>
        <v>759100</v>
      </c>
      <c r="AN110" s="2057">
        <f>+AL110/AG110</f>
        <v>99.050632911392398</v>
      </c>
      <c r="AO110" s="1145">
        <f>AM110/AH110</f>
        <v>105.15306829200721</v>
      </c>
      <c r="AP110" s="2010"/>
      <c r="AQ110" s="1145"/>
      <c r="AR110" s="132" t="s">
        <v>541</v>
      </c>
      <c r="AS110" s="2289">
        <v>3</v>
      </c>
      <c r="AT110" s="1282">
        <f>V91</f>
        <v>3.05</v>
      </c>
      <c r="AU110" s="2149">
        <f>AF91</f>
        <v>3.2275862068965515</v>
      </c>
      <c r="AV110" s="1145"/>
      <c r="AW110" s="2828"/>
      <c r="AX110" s="2829"/>
      <c r="AY110" s="2010"/>
      <c r="AZ110" s="1968"/>
      <c r="BA110" s="2010"/>
      <c r="BB110" s="2010"/>
      <c r="BC110" s="2310"/>
      <c r="BD110" s="1968"/>
      <c r="BE110" s="133"/>
      <c r="BF110" s="1946">
        <f>+BH110-BK110</f>
        <v>304</v>
      </c>
      <c r="BG110" s="1946"/>
      <c r="BH110" s="2159">
        <v>365</v>
      </c>
      <c r="BI110" s="131">
        <v>1</v>
      </c>
      <c r="BJ110" s="131">
        <v>60</v>
      </c>
      <c r="BK110" s="2157">
        <f>BJ110+BI110</f>
        <v>61</v>
      </c>
    </row>
    <row r="111" spans="1:69" ht="15.75" customHeight="1" thickBot="1">
      <c r="B111" s="2669"/>
      <c r="C111" s="2194"/>
      <c r="D111" s="2194"/>
      <c r="E111" s="2195"/>
      <c r="I111" s="2194" t="s">
        <v>542</v>
      </c>
      <c r="J111" s="2681">
        <v>8.25</v>
      </c>
      <c r="K111" s="472">
        <v>4.0389999999999997</v>
      </c>
      <c r="L111" s="2194">
        <f>K111*J111</f>
        <v>33.321749999999994</v>
      </c>
      <c r="M111" s="2195">
        <f>+(L111+L112)/(AV74+AV13)</f>
        <v>0.31674667300380221</v>
      </c>
      <c r="N111" s="566">
        <v>6</v>
      </c>
      <c r="O111" s="2196">
        <v>26</v>
      </c>
      <c r="P111" s="2749">
        <v>2124</v>
      </c>
      <c r="Q111" s="1997" t="s">
        <v>427</v>
      </c>
      <c r="R111" s="2202"/>
      <c r="S111" s="2202"/>
      <c r="T111" s="2202"/>
      <c r="U111" s="2203"/>
      <c r="V111" s="2194">
        <v>1577</v>
      </c>
      <c r="W111" s="1940" t="s">
        <v>427</v>
      </c>
      <c r="Y111" s="566"/>
      <c r="Z111" s="1948"/>
      <c r="AB111" s="1940">
        <f>2.25/27</f>
        <v>8.3333333333333329E-2</v>
      </c>
      <c r="AD111" s="2208"/>
      <c r="AE111" s="1940">
        <v>0</v>
      </c>
      <c r="AF111" s="566">
        <v>2505</v>
      </c>
      <c r="AG111" s="1145">
        <v>213</v>
      </c>
      <c r="AH111" s="2211">
        <f>AF111+AG111</f>
        <v>2718</v>
      </c>
      <c r="AI111" s="2249">
        <v>558030</v>
      </c>
      <c r="AJ111" s="132" t="s">
        <v>111</v>
      </c>
      <c r="AK111" s="2057" t="s">
        <v>533</v>
      </c>
      <c r="AL111" s="133">
        <v>39200</v>
      </c>
      <c r="AM111" s="2057">
        <f>+AL111+AI111</f>
        <v>597230</v>
      </c>
      <c r="AN111" s="2057">
        <f>+AL111/AG111</f>
        <v>184.03755868544602</v>
      </c>
      <c r="AO111" s="1145">
        <f>AM111/AH111</f>
        <v>219.73142016188373</v>
      </c>
      <c r="AP111" s="2010"/>
      <c r="AQ111" s="1145"/>
      <c r="AR111" s="132" t="s">
        <v>543</v>
      </c>
      <c r="AS111" s="2289">
        <v>3</v>
      </c>
      <c r="AT111" s="1282" t="e">
        <f>V95</f>
        <v>#DIV/0!</v>
      </c>
      <c r="AU111" s="2149">
        <f>AF95</f>
        <v>3.5073529411764706</v>
      </c>
      <c r="AV111" s="1145"/>
      <c r="AW111" s="2839"/>
      <c r="AX111" s="2840"/>
      <c r="AY111" s="2010"/>
      <c r="AZ111" s="1968"/>
      <c r="BA111" s="2010"/>
      <c r="BB111" s="2010"/>
      <c r="BC111" s="2310"/>
      <c r="BD111" s="1968"/>
      <c r="BE111" s="133"/>
      <c r="BF111" s="1946">
        <f>+BH111-BK111</f>
        <v>304</v>
      </c>
      <c r="BG111" s="1946"/>
      <c r="BH111" s="2159">
        <f>+BH110</f>
        <v>365</v>
      </c>
      <c r="BI111" s="131">
        <v>1</v>
      </c>
      <c r="BJ111" s="131">
        <v>60</v>
      </c>
      <c r="BK111" s="2157">
        <f>BJ111+BI111</f>
        <v>61</v>
      </c>
    </row>
    <row r="112" spans="1:69" ht="20.100000000000001" customHeight="1" thickBot="1">
      <c r="B112" s="1949"/>
      <c r="C112" s="2194"/>
      <c r="D112" s="2194"/>
      <c r="E112" s="2197"/>
      <c r="I112" s="2194" t="s">
        <v>544</v>
      </c>
      <c r="J112" s="1949"/>
      <c r="K112" s="472">
        <v>8.0419999999999998</v>
      </c>
      <c r="L112" s="2194">
        <f>K112*J112</f>
        <v>0</v>
      </c>
      <c r="M112" s="2197"/>
      <c r="N112" s="566">
        <v>0</v>
      </c>
      <c r="O112" s="2196">
        <v>26</v>
      </c>
      <c r="P112" s="2750">
        <v>2069</v>
      </c>
      <c r="Q112" s="1997" t="s">
        <v>545</v>
      </c>
      <c r="R112" s="2202"/>
      <c r="S112" s="2202"/>
      <c r="T112" s="2202"/>
      <c r="U112" s="2203"/>
      <c r="V112" s="2194">
        <v>2060</v>
      </c>
      <c r="W112" s="1940" t="s">
        <v>546</v>
      </c>
      <c r="Y112" s="566"/>
      <c r="Z112" s="1948"/>
      <c r="AE112" s="1940">
        <v>0</v>
      </c>
      <c r="AF112" s="566">
        <v>6374</v>
      </c>
      <c r="AG112" s="2211">
        <v>264</v>
      </c>
      <c r="AH112" s="2211">
        <f>AF112+AG112</f>
        <v>6638</v>
      </c>
      <c r="AI112" s="2249">
        <v>1099700</v>
      </c>
      <c r="AJ112" s="138" t="s">
        <v>547</v>
      </c>
      <c r="AK112" s="2057" t="s">
        <v>533</v>
      </c>
      <c r="AL112" s="133">
        <v>71700</v>
      </c>
      <c r="AM112" s="2057">
        <f>+AL112+AI112</f>
        <v>1171400</v>
      </c>
      <c r="AN112" s="2057">
        <f>+AL112/AG112</f>
        <v>271.59090909090907</v>
      </c>
      <c r="AO112" s="2276">
        <f>AM112/AH112</f>
        <v>176.46881590840616</v>
      </c>
      <c r="AP112" s="2010"/>
      <c r="AQ112" s="1145"/>
      <c r="AR112" s="132"/>
      <c r="AS112" s="2289"/>
      <c r="AT112" s="2149"/>
      <c r="AU112" s="2149"/>
      <c r="AV112" s="1145"/>
      <c r="AW112" s="2839"/>
      <c r="AX112" s="2840"/>
      <c r="AY112" s="2010"/>
      <c r="AZ112" s="1968"/>
      <c r="BA112" s="2010"/>
      <c r="BB112" s="2010"/>
      <c r="BC112" s="2310"/>
      <c r="BD112" s="1968"/>
      <c r="BE112" s="133"/>
      <c r="BF112" s="1946">
        <f>+BH112-BK112</f>
        <v>304</v>
      </c>
      <c r="BG112" s="1946"/>
      <c r="BH112" s="2159">
        <f>+BH111</f>
        <v>365</v>
      </c>
      <c r="BI112" s="131">
        <v>1</v>
      </c>
      <c r="BJ112" s="131">
        <v>60</v>
      </c>
      <c r="BK112" s="2157">
        <f>BJ112+BI112</f>
        <v>61</v>
      </c>
    </row>
    <row r="113" spans="1:65" ht="24" thickBot="1">
      <c r="B113" s="1949"/>
      <c r="C113" s="2194"/>
      <c r="D113" s="2198"/>
      <c r="H113" s="1940">
        <v>1</v>
      </c>
      <c r="I113" s="1940" t="s">
        <v>542</v>
      </c>
      <c r="J113" s="1949">
        <v>18.79</v>
      </c>
      <c r="K113" s="2194">
        <f>K111</f>
        <v>4.0389999999999997</v>
      </c>
      <c r="L113" s="2198">
        <f t="shared" ref="L113:L175" si="68">+K113*J113</f>
        <v>75.892809999999997</v>
      </c>
      <c r="M113" s="1940">
        <f>(L114+L113)/A12</f>
        <v>0.65391966824644543</v>
      </c>
      <c r="O113" s="2193"/>
      <c r="P113" s="2199"/>
      <c r="Q113" s="1997" t="s">
        <v>548</v>
      </c>
      <c r="R113" s="2202"/>
      <c r="S113" s="2202"/>
      <c r="T113" s="2202"/>
      <c r="U113" s="2202"/>
      <c r="V113" s="1997"/>
      <c r="W113" s="1940" t="s">
        <v>546</v>
      </c>
      <c r="Y113" s="566"/>
      <c r="Z113" s="1948"/>
      <c r="AE113" s="32"/>
      <c r="AF113" s="258"/>
      <c r="AG113" s="2211"/>
      <c r="AH113" s="1940">
        <v>241500</v>
      </c>
      <c r="AI113" s="1940">
        <v>978400</v>
      </c>
      <c r="AJ113" s="474"/>
      <c r="AK113" s="133"/>
      <c r="AL113" s="718"/>
      <c r="AM113" s="133" t="s">
        <v>549</v>
      </c>
      <c r="AN113" s="2010" t="s">
        <v>550</v>
      </c>
      <c r="AO113" s="133"/>
      <c r="AP113" s="133"/>
      <c r="AQ113" s="2276"/>
      <c r="AR113" s="138"/>
      <c r="AS113" s="2120"/>
      <c r="AT113" s="2118"/>
      <c r="AU113" s="2149"/>
      <c r="AV113" s="2276"/>
      <c r="AW113" s="2839"/>
      <c r="AX113" s="2840"/>
      <c r="AY113" s="2010"/>
      <c r="AZ113" s="1145"/>
      <c r="BA113" s="2010"/>
      <c r="BB113" s="2010"/>
      <c r="BC113" s="166"/>
      <c r="BD113" s="1145"/>
      <c r="BE113" s="133"/>
      <c r="BF113" s="1946">
        <f>+BH113-BK113</f>
        <v>259</v>
      </c>
      <c r="BG113" s="1946"/>
      <c r="BH113" s="131">
        <v>312</v>
      </c>
      <c r="BI113" s="131">
        <f>BI96</f>
        <v>1</v>
      </c>
      <c r="BJ113" s="131">
        <v>52</v>
      </c>
      <c r="BK113" s="2157">
        <f>BJ113+BI113</f>
        <v>53</v>
      </c>
    </row>
    <row r="114" spans="1:65" ht="28.5" thickBot="1">
      <c r="B114" s="1940"/>
      <c r="I114" s="1940" t="s">
        <v>544</v>
      </c>
      <c r="J114" s="1949">
        <v>7.72</v>
      </c>
      <c r="K114" s="2194">
        <f>K112</f>
        <v>8.0419999999999998</v>
      </c>
      <c r="L114" s="2198">
        <f t="shared" si="68"/>
        <v>62.084239999999994</v>
      </c>
      <c r="O114" s="131"/>
      <c r="Z114" s="1948"/>
      <c r="AE114" s="32"/>
      <c r="AF114" s="32"/>
      <c r="AG114" s="2211"/>
      <c r="AI114" s="1940" t="s">
        <v>549</v>
      </c>
      <c r="AJ114" s="1998" t="s">
        <v>551</v>
      </c>
      <c r="AK114" s="2250" t="s">
        <v>552</v>
      </c>
      <c r="AL114" s="2251">
        <f>(AL12-AL74)/(AL23)</f>
        <v>43.618181818181817</v>
      </c>
      <c r="AM114" s="1209">
        <f>(AN12-AN74)/(AN21-AN22)</f>
        <v>52.467206703910612</v>
      </c>
      <c r="AN114" s="1968">
        <f>+AN12-AN74</f>
        <v>9391.6299999999992</v>
      </c>
      <c r="AO114" s="2290" t="s">
        <v>489</v>
      </c>
      <c r="AP114" s="2291" t="s">
        <v>271</v>
      </c>
      <c r="AQ114" s="2292">
        <f>AN116</f>
        <v>1916.3500000000004</v>
      </c>
      <c r="AR114" s="1131"/>
      <c r="AS114" s="2250"/>
      <c r="AT114" s="2004"/>
      <c r="AU114" s="2118"/>
      <c r="AV114" s="2250"/>
      <c r="AW114" s="2841"/>
      <c r="AX114" s="2842"/>
      <c r="AY114" s="2120"/>
      <c r="AZ114" s="2119"/>
      <c r="BA114" s="2120"/>
      <c r="BB114" s="2120"/>
      <c r="BC114" s="167"/>
      <c r="BD114" s="1968"/>
      <c r="BE114" s="133">
        <f>32.89/13*14</f>
        <v>35.42</v>
      </c>
      <c r="BF114" s="1946">
        <f>+BH114-BK114</f>
        <v>259</v>
      </c>
      <c r="BG114" s="1946"/>
      <c r="BH114" s="131">
        <v>312</v>
      </c>
      <c r="BI114" s="131">
        <f>BI97</f>
        <v>1</v>
      </c>
      <c r="BJ114" s="131">
        <v>52</v>
      </c>
      <c r="BK114" s="2157">
        <f>BJ114+BI114</f>
        <v>53</v>
      </c>
    </row>
    <row r="115" spans="1:65" ht="24" thickBot="1">
      <c r="B115" s="1940"/>
      <c r="H115" s="1940">
        <v>2</v>
      </c>
      <c r="I115" s="1940" t="s">
        <v>542</v>
      </c>
      <c r="J115" s="1949">
        <v>9.75</v>
      </c>
      <c r="K115" s="2194">
        <f>K113</f>
        <v>4.0389999999999997</v>
      </c>
      <c r="L115" s="2198">
        <f t="shared" si="68"/>
        <v>39.380249999999997</v>
      </c>
      <c r="M115" s="1940">
        <f>+(L115+L116)/B12</f>
        <v>0.24444721874999997</v>
      </c>
      <c r="P115" s="2198"/>
      <c r="Q115" s="2198"/>
      <c r="Z115" s="1940">
        <f>8377/6247*100</f>
        <v>134.09636625580279</v>
      </c>
      <c r="AD115" s="1940">
        <f>200.77/32</f>
        <v>6.2740625000000003</v>
      </c>
      <c r="AE115" s="32"/>
      <c r="AF115" s="32">
        <v>21000</v>
      </c>
      <c r="AG115" s="2198"/>
      <c r="AJ115" s="2252" t="s">
        <v>553</v>
      </c>
      <c r="AK115" s="2253"/>
      <c r="AL115" s="2251">
        <f>'md cell'!G29</f>
        <v>53.18181818181818</v>
      </c>
      <c r="AM115" s="2251">
        <f>'md cell'!H29</f>
        <v>52.096883720930229</v>
      </c>
      <c r="AN115" s="2119"/>
      <c r="AO115" s="379"/>
      <c r="AP115" s="379"/>
      <c r="AQ115" s="379"/>
      <c r="AR115" s="379"/>
      <c r="AS115" s="379"/>
      <c r="AT115" s="137"/>
      <c r="AU115" s="2004"/>
      <c r="AV115" s="2120"/>
      <c r="AW115" s="167"/>
      <c r="AX115" s="2120"/>
      <c r="AY115" s="2145"/>
      <c r="AZ115" s="379"/>
      <c r="BA115" s="379"/>
      <c r="BB115" s="2314"/>
      <c r="BC115" s="2144"/>
      <c r="BD115" s="1946"/>
      <c r="BE115" s="1946"/>
      <c r="BF115" s="1946"/>
      <c r="BG115" s="1946"/>
    </row>
    <row r="116" spans="1:65" ht="24" thickBot="1">
      <c r="B116" s="1940"/>
      <c r="I116" s="1940" t="s">
        <v>544</v>
      </c>
      <c r="J116" s="1949">
        <v>4.83</v>
      </c>
      <c r="K116" s="2194">
        <f>K112</f>
        <v>8.0419999999999998</v>
      </c>
      <c r="L116" s="2198">
        <f t="shared" si="68"/>
        <v>38.842860000000002</v>
      </c>
      <c r="P116" s="2200"/>
      <c r="Q116" s="2198"/>
      <c r="Z116" s="1940">
        <f>8377/5550*100</f>
        <v>150.93693693693692</v>
      </c>
      <c r="AE116" s="32"/>
      <c r="AF116" s="32">
        <v>24000</v>
      </c>
      <c r="AG116" s="2208">
        <f>1202.74-503.73</f>
        <v>699.01</v>
      </c>
      <c r="AJ116" s="2254"/>
      <c r="AK116" s="133"/>
      <c r="AL116" s="2255" t="s">
        <v>489</v>
      </c>
      <c r="AM116" s="2256"/>
      <c r="AN116" s="2257">
        <f>AG13+AG74</f>
        <v>1916.3500000000004</v>
      </c>
      <c r="AS116" s="960" t="s">
        <v>554</v>
      </c>
      <c r="AU116" s="2209">
        <f>AN12</f>
        <v>11200.83</v>
      </c>
      <c r="AV116" s="32" t="s">
        <v>555</v>
      </c>
      <c r="AW116" s="32" t="s">
        <v>556</v>
      </c>
      <c r="AX116" s="32" t="s">
        <v>271</v>
      </c>
    </row>
    <row r="117" spans="1:65">
      <c r="B117" s="1940"/>
      <c r="E117" s="1942"/>
      <c r="G117" s="1940">
        <v>1352856</v>
      </c>
      <c r="H117" s="1940">
        <v>3</v>
      </c>
      <c r="I117" s="1940" t="s">
        <v>542</v>
      </c>
      <c r="J117" s="1949">
        <v>15.57</v>
      </c>
      <c r="K117" s="2194">
        <f>K113</f>
        <v>4.0389999999999997</v>
      </c>
      <c r="L117" s="2198">
        <f t="shared" si="68"/>
        <v>62.887229999999995</v>
      </c>
      <c r="M117" s="1940">
        <f>+(L117+L118)/C12</f>
        <v>0.31884349593495931</v>
      </c>
      <c r="P117" s="133"/>
      <c r="Q117" s="2198"/>
      <c r="Z117" s="1940">
        <f>9800/9700*100</f>
        <v>101.03092783505154</v>
      </c>
      <c r="AB117" s="1940">
        <f>5265.09+6.97+449.12+121.113+394.98+178.15</f>
        <v>6415.4230000000007</v>
      </c>
      <c r="AE117" s="32"/>
      <c r="AF117" s="32">
        <f>SUM(AF114:AF116)</f>
        <v>45000</v>
      </c>
      <c r="AG117" s="2208"/>
      <c r="AH117" s="1940">
        <v>0</v>
      </c>
      <c r="AJ117" s="133">
        <f>+AI117+AH117</f>
        <v>0</v>
      </c>
      <c r="AK117" s="133"/>
      <c r="AS117" s="960" t="s">
        <v>290</v>
      </c>
      <c r="AU117" s="1987">
        <f>AN31</f>
        <v>12743.709000000001</v>
      </c>
      <c r="AV117" s="32">
        <v>0</v>
      </c>
      <c r="AW117" s="2315">
        <f t="shared" ref="AW117:AW123" si="69">AU117-AV117</f>
        <v>12743.709000000001</v>
      </c>
    </row>
    <row r="118" spans="1:65" ht="17.25" customHeight="1">
      <c r="B118" s="1940"/>
      <c r="E118" s="1942"/>
      <c r="G118" s="1940">
        <v>54849</v>
      </c>
      <c r="I118" s="1940" t="s">
        <v>544</v>
      </c>
      <c r="J118" s="1949">
        <v>6.81</v>
      </c>
      <c r="K118" s="2194">
        <f>K112</f>
        <v>8.0419999999999998</v>
      </c>
      <c r="L118" s="2198">
        <f t="shared" si="68"/>
        <v>54.766019999999997</v>
      </c>
      <c r="P118" s="133"/>
      <c r="Z118" s="1940">
        <f>8500/9345*100</f>
        <v>90.957731407169604</v>
      </c>
      <c r="AG118" s="2208">
        <f>255000/368</f>
        <v>692.93478260869563</v>
      </c>
      <c r="AH118" s="1940">
        <v>0</v>
      </c>
      <c r="AJ118" s="133">
        <f>+AI118+AH118</f>
        <v>0</v>
      </c>
      <c r="AM118" s="2258">
        <v>45.75</v>
      </c>
      <c r="AN118" s="2324" t="s">
        <v>557</v>
      </c>
      <c r="AO118" s="2324" t="s">
        <v>558</v>
      </c>
      <c r="AS118" s="960" t="s">
        <v>554</v>
      </c>
      <c r="AU118" s="2293">
        <f>AN12</f>
        <v>11200.83</v>
      </c>
      <c r="AV118" s="32">
        <v>0</v>
      </c>
      <c r="AW118" s="2315">
        <f t="shared" si="69"/>
        <v>11200.83</v>
      </c>
    </row>
    <row r="119" spans="1:65" ht="24" thickBot="1">
      <c r="B119" s="1940"/>
      <c r="G119" s="1940">
        <f>+G117-G118</f>
        <v>1298007</v>
      </c>
      <c r="H119" s="1940">
        <v>4</v>
      </c>
      <c r="I119" s="1940" t="s">
        <v>542</v>
      </c>
      <c r="J119" s="1949">
        <v>13.97</v>
      </c>
      <c r="K119" s="2194">
        <f>K117</f>
        <v>4.0389999999999997</v>
      </c>
      <c r="L119" s="2198">
        <f t="shared" si="68"/>
        <v>56.42483</v>
      </c>
      <c r="M119" s="1940">
        <f>+(L119+L120)/D12</f>
        <v>0.37956982991575261</v>
      </c>
      <c r="P119" s="133"/>
      <c r="AE119" s="1940" t="s">
        <v>559</v>
      </c>
      <c r="AF119" s="2212"/>
      <c r="AG119" s="2259"/>
      <c r="AH119" s="1940">
        <v>0</v>
      </c>
      <c r="AJ119" s="133">
        <f>+AI119+AH119</f>
        <v>0</v>
      </c>
      <c r="AK119" s="133">
        <f>2108*24/1000</f>
        <v>50.591999999999999</v>
      </c>
      <c r="AN119" s="2324">
        <f>300*335*0.00785</f>
        <v>788.92499999999995</v>
      </c>
      <c r="AO119" s="2508">
        <f>240*350*0.00785</f>
        <v>659.4</v>
      </c>
      <c r="AS119" s="2294" t="s">
        <v>36</v>
      </c>
      <c r="AU119" s="2293">
        <f>AN20</f>
        <v>10759.191000000001</v>
      </c>
      <c r="AV119" s="32">
        <v>0</v>
      </c>
      <c r="AW119" s="2315">
        <f t="shared" si="69"/>
        <v>10759.191000000001</v>
      </c>
    </row>
    <row r="120" spans="1:65">
      <c r="A120" s="2185" t="s">
        <v>284</v>
      </c>
      <c r="B120" s="1940"/>
      <c r="I120" s="1940" t="s">
        <v>544</v>
      </c>
      <c r="J120" s="1949">
        <v>7.83</v>
      </c>
      <c r="K120" s="2194">
        <v>8.0419999999999998</v>
      </c>
      <c r="L120" s="2198">
        <f t="shared" si="68"/>
        <v>62.968859999999999</v>
      </c>
      <c r="AG120" s="1942"/>
      <c r="AJ120" s="133">
        <f>+AI120+AH120</f>
        <v>0</v>
      </c>
      <c r="AK120" s="133"/>
      <c r="AN120" s="2324"/>
      <c r="AO120" s="2508">
        <f>659.4*11</f>
        <v>7253.4</v>
      </c>
      <c r="AS120" s="960" t="s">
        <v>37</v>
      </c>
      <c r="AU120" s="2293">
        <f>AN56</f>
        <v>11402.186999999998</v>
      </c>
      <c r="AV120" s="32">
        <v>0</v>
      </c>
      <c r="AW120" s="2315">
        <f t="shared" si="69"/>
        <v>11402.186999999998</v>
      </c>
    </row>
    <row r="121" spans="1:65">
      <c r="A121" s="32"/>
      <c r="B121" s="1940"/>
      <c r="H121" s="1940">
        <v>5</v>
      </c>
      <c r="I121" s="1940" t="s">
        <v>542</v>
      </c>
      <c r="J121" s="1949">
        <v>20.79</v>
      </c>
      <c r="K121" s="2194">
        <f>K111</f>
        <v>4.0389999999999997</v>
      </c>
      <c r="L121" s="2198">
        <f t="shared" si="68"/>
        <v>83.970809999999986</v>
      </c>
      <c r="M121" s="1940">
        <f>+(L121+L122)/E12</f>
        <v>0.3217573801742919</v>
      </c>
      <c r="AG121" s="1940" t="s">
        <v>3897</v>
      </c>
      <c r="AH121" s="2508">
        <f>240*350*0.00785*11</f>
        <v>7253.4</v>
      </c>
      <c r="AJ121" s="32">
        <f>+AJ120/AN12</f>
        <v>0</v>
      </c>
      <c r="AK121" s="131"/>
      <c r="AL121" s="718" t="s">
        <v>560</v>
      </c>
      <c r="AN121" s="2324"/>
      <c r="AO121" s="2508">
        <v>7.2530000000000001</v>
      </c>
      <c r="AS121" s="960" t="s">
        <v>489</v>
      </c>
      <c r="AU121" s="2293">
        <f>AN74+AN13</f>
        <v>1916.3500000000004</v>
      </c>
      <c r="AV121" s="32">
        <v>0</v>
      </c>
      <c r="AW121" s="2315">
        <f t="shared" si="69"/>
        <v>1916.3500000000004</v>
      </c>
      <c r="BC121" s="133">
        <f>5200*0.9</f>
        <v>4680</v>
      </c>
    </row>
    <row r="122" spans="1:65" ht="24" thickBot="1">
      <c r="B122" s="1991"/>
      <c r="C122" s="1991"/>
      <c r="D122" s="1991"/>
      <c r="E122" s="1991"/>
      <c r="F122" s="1991"/>
      <c r="G122" s="1991"/>
      <c r="H122" s="1991">
        <v>0</v>
      </c>
      <c r="I122" s="1940" t="s">
        <v>544</v>
      </c>
      <c r="J122" s="1949">
        <v>4.25</v>
      </c>
      <c r="K122" s="2194">
        <v>8.0419999999999998</v>
      </c>
      <c r="L122" s="2198">
        <f t="shared" si="68"/>
        <v>34.1785</v>
      </c>
      <c r="M122" s="1991"/>
      <c r="N122" s="806"/>
      <c r="O122" s="1991"/>
      <c r="P122" s="1991"/>
      <c r="Q122" s="1991"/>
      <c r="R122" s="1991"/>
      <c r="S122" s="1991"/>
      <c r="T122" s="1991"/>
      <c r="U122" s="1991"/>
      <c r="V122" s="1991"/>
      <c r="W122" s="1991"/>
      <c r="X122" s="1991"/>
      <c r="Y122" s="1991">
        <f t="shared" ref="Y122:AF122" si="70">X9</f>
        <v>24</v>
      </c>
      <c r="Z122" s="1991">
        <f t="shared" si="70"/>
        <v>25</v>
      </c>
      <c r="AA122" s="1991">
        <f t="shared" si="70"/>
        <v>26</v>
      </c>
      <c r="AB122" s="1991">
        <f t="shared" si="70"/>
        <v>27</v>
      </c>
      <c r="AC122" s="1991">
        <f t="shared" si="70"/>
        <v>28</v>
      </c>
      <c r="AD122" s="1991">
        <f t="shared" si="70"/>
        <v>29</v>
      </c>
      <c r="AE122" s="1991">
        <f t="shared" si="70"/>
        <v>30</v>
      </c>
      <c r="AF122" s="1991">
        <f t="shared" si="70"/>
        <v>31</v>
      </c>
      <c r="AG122" s="1946" t="s">
        <v>3898</v>
      </c>
      <c r="AH122" s="2508">
        <f>300*335*0.00785*9</f>
        <v>7100.3249999999998</v>
      </c>
      <c r="AI122" s="1940">
        <f>14*7.253</f>
        <v>101.542</v>
      </c>
      <c r="AJ122" s="133"/>
      <c r="AK122" s="133"/>
      <c r="AN122" s="133">
        <v>38.5</v>
      </c>
      <c r="AP122" s="32">
        <v>1679</v>
      </c>
      <c r="AS122" s="2295"/>
      <c r="AT122" s="137"/>
      <c r="AU122" s="2293">
        <v>0</v>
      </c>
      <c r="AV122" s="32">
        <v>0</v>
      </c>
      <c r="AW122" s="2315">
        <f t="shared" si="69"/>
        <v>0</v>
      </c>
    </row>
    <row r="123" spans="1:65">
      <c r="B123" s="1942"/>
      <c r="C123" s="1942"/>
      <c r="D123" s="1942"/>
      <c r="E123" s="1942"/>
      <c r="F123" s="1942"/>
      <c r="G123" s="1942"/>
      <c r="H123" s="1942">
        <v>6</v>
      </c>
      <c r="I123" s="1940" t="s">
        <v>542</v>
      </c>
      <c r="J123" s="1949">
        <v>20.329999999999998</v>
      </c>
      <c r="K123" s="2194">
        <f>K111</f>
        <v>4.0389999999999997</v>
      </c>
      <c r="L123" s="2198">
        <f t="shared" si="68"/>
        <v>82.112869999999987</v>
      </c>
      <c r="M123" s="1940">
        <f>+(L123+L124)/F12</f>
        <v>0.69603368661340281</v>
      </c>
      <c r="N123" s="1942"/>
      <c r="O123" s="1942"/>
      <c r="P123" s="1942"/>
      <c r="Q123" s="1942"/>
      <c r="R123" s="1942"/>
      <c r="S123" s="1942"/>
      <c r="T123" s="1942"/>
      <c r="U123" s="1942"/>
      <c r="V123" s="1942"/>
      <c r="W123" s="1942"/>
      <c r="X123" s="1942"/>
      <c r="Y123" s="1942">
        <f t="shared" ref="Y123:AF123" si="71">X21</f>
        <v>7</v>
      </c>
      <c r="Z123" s="1942">
        <f t="shared" si="71"/>
        <v>6</v>
      </c>
      <c r="AA123" s="1942">
        <f t="shared" si="71"/>
        <v>8</v>
      </c>
      <c r="AB123" s="1942">
        <f t="shared" si="71"/>
        <v>8</v>
      </c>
      <c r="AC123" s="1942">
        <f t="shared" si="71"/>
        <v>9</v>
      </c>
      <c r="AD123" s="1942">
        <f t="shared" si="71"/>
        <v>9</v>
      </c>
      <c r="AE123" s="1942">
        <f t="shared" si="71"/>
        <v>9</v>
      </c>
      <c r="AF123" s="1942">
        <f t="shared" si="71"/>
        <v>8</v>
      </c>
      <c r="AI123" s="1940">
        <f>4*7.253</f>
        <v>29.012</v>
      </c>
      <c r="AS123" s="32" t="s">
        <v>561</v>
      </c>
      <c r="AT123" s="32"/>
      <c r="AU123" s="2016">
        <f>AN33</f>
        <v>11683.400000000001</v>
      </c>
      <c r="AV123" s="32">
        <v>0</v>
      </c>
      <c r="AW123" s="2315">
        <f t="shared" si="69"/>
        <v>11683.400000000001</v>
      </c>
      <c r="BC123" s="32"/>
      <c r="BD123" s="133"/>
      <c r="BL123" s="131"/>
    </row>
    <row r="124" spans="1:65">
      <c r="B124" s="2843" t="s">
        <v>529</v>
      </c>
      <c r="C124" s="2843"/>
      <c r="D124" s="2843"/>
      <c r="E124" s="2843"/>
      <c r="F124" s="2843"/>
      <c r="G124" s="2843"/>
      <c r="I124" s="1940" t="s">
        <v>544</v>
      </c>
      <c r="J124" s="1949">
        <v>16.329999999999998</v>
      </c>
      <c r="K124" s="2194">
        <v>8.0419999999999998</v>
      </c>
      <c r="L124" s="2198">
        <f t="shared" si="68"/>
        <v>131.32585999999998</v>
      </c>
      <c r="X124" s="1957"/>
      <c r="Z124" s="1948"/>
      <c r="AA124" s="1948"/>
      <c r="AB124" s="1948"/>
      <c r="AC124" s="1988"/>
      <c r="AD124" s="1948"/>
      <c r="AE124" s="1948"/>
      <c r="AF124" s="1948"/>
      <c r="AG124" s="1940">
        <f>36*3.9</f>
        <v>140.4</v>
      </c>
      <c r="AH124" s="1988"/>
      <c r="AI124" s="1988"/>
      <c r="AJ124" s="1988"/>
      <c r="AK124" s="1988"/>
      <c r="AL124" s="2260"/>
      <c r="AM124" s="1940"/>
      <c r="AT124" s="32"/>
      <c r="AV124" s="133"/>
      <c r="BC124" s="32"/>
      <c r="BD124" s="32"/>
      <c r="BE124" s="133"/>
      <c r="BI124" s="1940"/>
      <c r="BJ124" s="1940"/>
      <c r="BL124" s="131"/>
      <c r="BM124" s="1940"/>
    </row>
    <row r="125" spans="1:65">
      <c r="B125" s="2186">
        <v>1</v>
      </c>
      <c r="C125" s="1940" t="s">
        <v>542</v>
      </c>
      <c r="D125" s="1949">
        <v>2.75</v>
      </c>
      <c r="E125" s="2194">
        <f>K113</f>
        <v>4.0389999999999997</v>
      </c>
      <c r="F125" s="2186">
        <f>+D125*E125</f>
        <v>11.107249999999999</v>
      </c>
      <c r="G125" s="2186">
        <f>+(F125+F126)/A74</f>
        <v>0.2111644486692015</v>
      </c>
      <c r="H125" s="2186">
        <v>7</v>
      </c>
      <c r="I125" s="1940" t="s">
        <v>542</v>
      </c>
      <c r="J125" s="1949">
        <v>14.63</v>
      </c>
      <c r="K125" s="2194">
        <f>K111</f>
        <v>4.0389999999999997</v>
      </c>
      <c r="L125" s="2198">
        <f t="shared" si="68"/>
        <v>59.09057</v>
      </c>
      <c r="M125" s="1940">
        <f>+(L125+L126)/G12</f>
        <v>0.41999829059829058</v>
      </c>
      <c r="N125" s="258"/>
      <c r="O125" s="2186"/>
      <c r="P125" s="2186"/>
      <c r="Q125" s="2186"/>
      <c r="R125" s="2186"/>
      <c r="S125" s="2186"/>
      <c r="T125" s="2186"/>
      <c r="U125" s="2186"/>
      <c r="V125" s="2186"/>
      <c r="W125" s="2186"/>
      <c r="X125" s="2186"/>
      <c r="Y125" s="2186"/>
      <c r="Z125" s="2186"/>
      <c r="AA125" s="2186"/>
      <c r="AB125" s="2186"/>
      <c r="AC125" s="2186"/>
      <c r="AD125" s="2186"/>
      <c r="AE125" s="2186"/>
      <c r="AF125" s="2186"/>
      <c r="AH125" s="1948" t="s">
        <v>37</v>
      </c>
      <c r="AI125" s="2261" t="s">
        <v>562</v>
      </c>
      <c r="AJ125" s="1948"/>
      <c r="AK125" s="1948"/>
      <c r="AL125" s="2262"/>
      <c r="AM125" s="1948"/>
      <c r="AS125" s="32">
        <f>1550.57-155.95</f>
        <v>1394.62</v>
      </c>
      <c r="AT125" s="32"/>
      <c r="AV125" s="133"/>
      <c r="BC125" s="32"/>
      <c r="BD125" s="32"/>
      <c r="BE125" s="133"/>
      <c r="BI125" s="1940"/>
      <c r="BJ125" s="1940"/>
      <c r="BL125" s="131"/>
      <c r="BM125" s="1940"/>
    </row>
    <row r="126" spans="1:65">
      <c r="A126" s="2187"/>
      <c r="B126" s="2186"/>
      <c r="C126" s="1940" t="s">
        <v>544</v>
      </c>
      <c r="D126" s="1949"/>
      <c r="E126" s="2194">
        <v>8.0419999999999998</v>
      </c>
      <c r="F126" s="2186">
        <f t="shared" ref="F126:F179" si="72">+D126*E126</f>
        <v>0</v>
      </c>
      <c r="G126" s="2186"/>
      <c r="H126" s="2186"/>
      <c r="I126" s="1940" t="s">
        <v>544</v>
      </c>
      <c r="J126" s="1949">
        <v>11.9</v>
      </c>
      <c r="K126" s="2194">
        <v>8.0419999999999998</v>
      </c>
      <c r="L126" s="2198">
        <f t="shared" si="68"/>
        <v>95.699799999999996</v>
      </c>
      <c r="M126" s="2186"/>
      <c r="N126" s="258"/>
      <c r="O126" s="2186"/>
      <c r="P126" s="2186"/>
      <c r="Q126" s="2186"/>
      <c r="R126" s="2186"/>
      <c r="S126" s="2186"/>
      <c r="T126" s="2186"/>
      <c r="U126" s="2186"/>
      <c r="V126" s="2186"/>
      <c r="W126" s="2186"/>
      <c r="X126" s="2186"/>
      <c r="Y126" s="2186"/>
      <c r="Z126" s="2186"/>
      <c r="AA126" s="2186"/>
      <c r="AB126" s="2186"/>
      <c r="AC126" s="2186"/>
      <c r="AD126" s="2186"/>
      <c r="AE126" s="2186"/>
      <c r="AF126" s="2186"/>
      <c r="AG126" s="2186"/>
      <c r="AI126" s="1948">
        <f>A9</f>
        <v>1</v>
      </c>
      <c r="AJ126" s="1948">
        <f>B9</f>
        <v>2</v>
      </c>
      <c r="AK126" s="1948">
        <f>C9</f>
        <v>3</v>
      </c>
      <c r="AL126" s="2263"/>
      <c r="AM126" s="1948">
        <f>E9</f>
        <v>5</v>
      </c>
      <c r="AO126" s="1948">
        <f t="shared" ref="AO126:BH126" si="73">G9</f>
        <v>7</v>
      </c>
      <c r="AP126" s="1948">
        <f t="shared" si="73"/>
        <v>8</v>
      </c>
      <c r="AQ126" s="1948">
        <f t="shared" si="73"/>
        <v>9</v>
      </c>
      <c r="AR126" s="1948">
        <f t="shared" si="73"/>
        <v>10</v>
      </c>
      <c r="AS126" s="1948">
        <f t="shared" si="73"/>
        <v>11</v>
      </c>
      <c r="AT126" s="1948">
        <f t="shared" si="73"/>
        <v>12</v>
      </c>
      <c r="AU126" s="1948">
        <f t="shared" si="73"/>
        <v>13</v>
      </c>
      <c r="AV126" s="1948">
        <f t="shared" si="73"/>
        <v>14</v>
      </c>
      <c r="AW126" s="1948">
        <f t="shared" si="73"/>
        <v>15</v>
      </c>
      <c r="AX126" s="1948">
        <f t="shared" si="73"/>
        <v>16</v>
      </c>
      <c r="AY126" s="1948">
        <f t="shared" si="73"/>
        <v>17</v>
      </c>
      <c r="AZ126" s="1948">
        <f t="shared" si="73"/>
        <v>18</v>
      </c>
      <c r="BA126" s="1948">
        <f t="shared" si="73"/>
        <v>19</v>
      </c>
      <c r="BB126" s="1948">
        <f t="shared" si="73"/>
        <v>20</v>
      </c>
      <c r="BC126" s="1948">
        <f t="shared" si="73"/>
        <v>21</v>
      </c>
      <c r="BD126" s="1948">
        <f t="shared" si="73"/>
        <v>22</v>
      </c>
      <c r="BE126" s="1948">
        <f t="shared" si="73"/>
        <v>23</v>
      </c>
      <c r="BF126" s="1948">
        <f t="shared" si="73"/>
        <v>24</v>
      </c>
      <c r="BG126" s="1948">
        <f t="shared" si="73"/>
        <v>25</v>
      </c>
      <c r="BH126" s="2159">
        <f t="shared" si="73"/>
        <v>26</v>
      </c>
      <c r="BI126" s="1948">
        <v>29</v>
      </c>
      <c r="BJ126" s="1948">
        <v>29</v>
      </c>
      <c r="BK126" s="1949">
        <f>AC9</f>
        <v>29</v>
      </c>
      <c r="BL126" s="1948">
        <f>AD9</f>
        <v>30</v>
      </c>
      <c r="BM126" s="1948"/>
    </row>
    <row r="127" spans="1:65">
      <c r="A127" s="2187"/>
      <c r="B127" s="2186">
        <v>2</v>
      </c>
      <c r="C127" s="1940" t="s">
        <v>542</v>
      </c>
      <c r="D127" s="1949"/>
      <c r="E127" s="2194">
        <f>K115</f>
        <v>4.0389999999999997</v>
      </c>
      <c r="F127" s="2186">
        <f t="shared" si="72"/>
        <v>0</v>
      </c>
      <c r="G127" s="2186" t="e">
        <f>+(F127+F128)/B74</f>
        <v>#DIV/0!</v>
      </c>
      <c r="H127" s="2186">
        <v>8</v>
      </c>
      <c r="I127" s="1940" t="s">
        <v>542</v>
      </c>
      <c r="J127" s="1949">
        <v>25.59</v>
      </c>
      <c r="K127" s="2194">
        <f>K111</f>
        <v>4.0389999999999997</v>
      </c>
      <c r="L127" s="2198">
        <f t="shared" si="68"/>
        <v>103.35800999999999</v>
      </c>
      <c r="M127" s="1940">
        <f>+(L127+L128)/H12</f>
        <v>0.40948168508287291</v>
      </c>
      <c r="N127" s="258"/>
      <c r="O127" s="2186"/>
      <c r="P127" s="2186"/>
      <c r="Q127" s="2186"/>
      <c r="R127" s="2186"/>
      <c r="S127" s="2186"/>
      <c r="T127" s="2186"/>
      <c r="U127" s="2186"/>
      <c r="V127" s="2186"/>
      <c r="W127" s="2186"/>
      <c r="X127" s="2186"/>
      <c r="Y127" s="2186"/>
      <c r="Z127" s="2186"/>
      <c r="AA127" s="2186"/>
      <c r="AB127" s="2186"/>
      <c r="AC127" s="2186"/>
      <c r="AD127" s="2186"/>
      <c r="AE127" s="2186"/>
      <c r="AF127" s="2186"/>
      <c r="AG127" s="1230">
        <f t="shared" ref="AG127:AG138" si="74">SUM(B126:AF126)</f>
        <v>123.68379999999999</v>
      </c>
      <c r="AH127" s="2187" t="s">
        <v>563</v>
      </c>
      <c r="AI127" s="1940">
        <v>1040</v>
      </c>
      <c r="AJ127" s="1940">
        <v>0</v>
      </c>
      <c r="AK127" s="1940">
        <v>0</v>
      </c>
      <c r="AL127" s="2263">
        <f>D9</f>
        <v>4</v>
      </c>
      <c r="AM127" s="1940">
        <v>0</v>
      </c>
      <c r="AN127" s="2159">
        <f>F9</f>
        <v>6</v>
      </c>
      <c r="AO127" s="1940">
        <v>0</v>
      </c>
      <c r="AP127" s="1940">
        <v>0</v>
      </c>
      <c r="AQ127" s="1940">
        <v>0</v>
      </c>
      <c r="AR127" s="1940">
        <v>0</v>
      </c>
      <c r="AS127" s="1940">
        <v>0</v>
      </c>
      <c r="AT127" s="1940">
        <v>0</v>
      </c>
      <c r="AU127" s="1940">
        <v>0</v>
      </c>
      <c r="AV127" s="1940">
        <v>0</v>
      </c>
      <c r="AW127" s="1940">
        <v>0</v>
      </c>
      <c r="AX127" s="1940">
        <v>0</v>
      </c>
      <c r="AY127" s="1940">
        <v>0</v>
      </c>
      <c r="AZ127" s="1940">
        <v>0</v>
      </c>
      <c r="BA127" s="1940">
        <v>0</v>
      </c>
      <c r="BB127" s="1940">
        <v>0</v>
      </c>
      <c r="BC127" s="1940">
        <v>0</v>
      </c>
      <c r="BD127" s="1940">
        <v>0</v>
      </c>
      <c r="BE127" s="1940">
        <v>0</v>
      </c>
      <c r="BF127" s="1940">
        <v>0</v>
      </c>
      <c r="BG127" s="1940">
        <v>0</v>
      </c>
      <c r="BH127" s="131">
        <v>0</v>
      </c>
      <c r="BI127" s="1940">
        <v>0</v>
      </c>
      <c r="BJ127" s="1940">
        <v>0</v>
      </c>
      <c r="BK127" s="1949">
        <v>0</v>
      </c>
      <c r="BL127" s="1940">
        <v>0</v>
      </c>
      <c r="BM127" s="1940"/>
    </row>
    <row r="128" spans="1:65">
      <c r="A128" s="2187"/>
      <c r="B128" s="2186"/>
      <c r="C128" s="1940" t="s">
        <v>544</v>
      </c>
      <c r="D128" s="1949"/>
      <c r="E128" s="2194">
        <v>8.0419999999999998</v>
      </c>
      <c r="F128" s="2186">
        <f t="shared" si="72"/>
        <v>0</v>
      </c>
      <c r="G128" s="2186"/>
      <c r="H128" s="2186"/>
      <c r="I128" s="1940" t="s">
        <v>544</v>
      </c>
      <c r="J128" s="1949">
        <v>5.58</v>
      </c>
      <c r="K128" s="2194">
        <v>8.0419999999999998</v>
      </c>
      <c r="L128" s="2198">
        <f t="shared" si="68"/>
        <v>44.874360000000003</v>
      </c>
      <c r="M128" s="2186"/>
      <c r="N128" s="258"/>
      <c r="O128" s="2186"/>
      <c r="P128" s="2186"/>
      <c r="Q128" s="2186"/>
      <c r="R128" s="2186"/>
      <c r="S128" s="2186"/>
      <c r="T128" s="2186"/>
      <c r="U128" s="2186"/>
      <c r="V128" s="2186"/>
      <c r="W128" s="2186"/>
      <c r="X128" s="2186"/>
      <c r="Y128" s="2186"/>
      <c r="Z128" s="2186"/>
      <c r="AA128" s="2186"/>
      <c r="AB128" s="2186"/>
      <c r="AC128" s="2186"/>
      <c r="AD128" s="2186"/>
      <c r="AE128" s="2186"/>
      <c r="AF128" s="2186"/>
      <c r="AG128" s="1230" t="e">
        <f t="shared" si="74"/>
        <v>#DIV/0!</v>
      </c>
      <c r="AH128" s="2187" t="s">
        <v>385</v>
      </c>
      <c r="AI128" s="1948">
        <v>2.85</v>
      </c>
      <c r="AJ128" s="1948"/>
      <c r="AK128" s="1948"/>
      <c r="AL128" s="2260">
        <v>0</v>
      </c>
      <c r="AM128" s="1948"/>
      <c r="AN128" s="131">
        <v>0</v>
      </c>
      <c r="AO128" s="1948"/>
      <c r="AP128" s="1948"/>
      <c r="AQ128" s="1948"/>
      <c r="AR128" s="1948"/>
      <c r="AS128" s="1948"/>
      <c r="AT128" s="1948"/>
      <c r="AU128" s="1948"/>
      <c r="AV128" s="1948"/>
      <c r="AW128" s="1948"/>
      <c r="AX128" s="1948"/>
      <c r="AY128" s="1948"/>
      <c r="AZ128" s="1948"/>
      <c r="BA128" s="1948"/>
      <c r="BB128" s="1948"/>
      <c r="BC128" s="1948"/>
      <c r="BD128" s="1948"/>
      <c r="BE128" s="1948"/>
      <c r="BF128" s="1948"/>
      <c r="BG128" s="1948"/>
      <c r="BH128" s="2159"/>
      <c r="BI128" s="1948"/>
      <c r="BJ128" s="1948"/>
      <c r="BK128" s="1949"/>
      <c r="BL128" s="1948"/>
      <c r="BM128" s="1948"/>
    </row>
    <row r="129" spans="1:65">
      <c r="A129" s="2187"/>
      <c r="B129" s="2186">
        <v>3</v>
      </c>
      <c r="C129" s="1940" t="s">
        <v>542</v>
      </c>
      <c r="D129" s="1949"/>
      <c r="E129" s="2194">
        <f>K115</f>
        <v>4.0389999999999997</v>
      </c>
      <c r="F129" s="2186">
        <f t="shared" si="72"/>
        <v>0</v>
      </c>
      <c r="G129" s="2186" t="e">
        <f>+(F129+F130)/C74</f>
        <v>#DIV/0!</v>
      </c>
      <c r="H129" s="2186">
        <v>9</v>
      </c>
      <c r="I129" s="1940" t="s">
        <v>542</v>
      </c>
      <c r="J129" s="1949">
        <v>14.58</v>
      </c>
      <c r="K129" s="2194">
        <f>K111</f>
        <v>4.0389999999999997</v>
      </c>
      <c r="L129" s="2198">
        <f t="shared" si="68"/>
        <v>58.888619999999996</v>
      </c>
      <c r="M129" s="1940">
        <f>+(L129+L130)/I12</f>
        <v>0.34445748432074508</v>
      </c>
      <c r="N129" s="258"/>
      <c r="O129" s="2186"/>
      <c r="P129" s="2186"/>
      <c r="Q129" s="2186"/>
      <c r="R129" s="2186"/>
      <c r="S129" s="2186"/>
      <c r="T129" s="2186"/>
      <c r="U129" s="2186"/>
      <c r="V129" s="2186"/>
      <c r="W129" s="2186"/>
      <c r="X129" s="2186"/>
      <c r="Y129" s="2186">
        <v>0</v>
      </c>
      <c r="Z129" s="2186">
        <v>0</v>
      </c>
      <c r="AA129" s="2186">
        <v>0</v>
      </c>
      <c r="AB129" s="2186">
        <v>0</v>
      </c>
      <c r="AC129" s="2186">
        <v>0</v>
      </c>
      <c r="AD129" s="2186">
        <v>0</v>
      </c>
      <c r="AE129" s="2186">
        <v>0</v>
      </c>
      <c r="AF129" s="2186">
        <v>0</v>
      </c>
      <c r="AG129" s="1230">
        <f t="shared" si="74"/>
        <v>66.538360000000011</v>
      </c>
      <c r="AH129" s="2187" t="s">
        <v>564</v>
      </c>
      <c r="AL129" s="2263"/>
      <c r="AM129" s="1940"/>
      <c r="AN129" s="2159"/>
      <c r="AO129" s="1940"/>
      <c r="AP129" s="1940"/>
      <c r="AQ129" s="1940"/>
      <c r="AR129" s="1940"/>
      <c r="AS129" s="1940"/>
      <c r="AT129" s="1940"/>
      <c r="AU129" s="1940"/>
      <c r="AV129" s="1940"/>
      <c r="AW129" s="1940"/>
      <c r="AX129" s="1940"/>
      <c r="AY129" s="1940"/>
      <c r="AZ129" s="1940"/>
      <c r="BA129" s="1940"/>
      <c r="BB129" s="1940"/>
      <c r="BC129" s="1940"/>
      <c r="BI129" s="1940"/>
      <c r="BJ129" s="1940"/>
      <c r="BK129" s="1949"/>
      <c r="BM129" s="1940"/>
    </row>
    <row r="130" spans="1:65">
      <c r="A130" s="2187"/>
      <c r="B130" s="2319"/>
      <c r="C130" s="1940" t="s">
        <v>544</v>
      </c>
      <c r="D130" s="1949"/>
      <c r="E130" s="2194">
        <v>8.0419999999999998</v>
      </c>
      <c r="F130" s="2186">
        <f t="shared" si="72"/>
        <v>0</v>
      </c>
      <c r="G130" s="2319"/>
      <c r="H130" s="2319">
        <f>G45</f>
        <v>0</v>
      </c>
      <c r="I130" s="1940" t="s">
        <v>544</v>
      </c>
      <c r="J130" s="1949">
        <v>8.59</v>
      </c>
      <c r="K130" s="2194">
        <v>8.0419999999999998</v>
      </c>
      <c r="L130" s="2198">
        <f t="shared" si="68"/>
        <v>69.080780000000004</v>
      </c>
      <c r="M130" s="2319">
        <f>L45</f>
        <v>0</v>
      </c>
      <c r="N130" s="566"/>
      <c r="O130" s="2319"/>
      <c r="P130" s="2319"/>
      <c r="Q130" s="2319"/>
      <c r="R130" s="2319"/>
      <c r="S130" s="2319"/>
      <c r="T130" s="2319"/>
      <c r="U130" s="2319"/>
      <c r="V130" s="2319"/>
      <c r="W130" s="2319"/>
      <c r="X130" s="2319"/>
      <c r="Y130" s="2319">
        <f t="shared" ref="Y130:AF130" si="75">X45</f>
        <v>0</v>
      </c>
      <c r="Z130" s="2319">
        <f t="shared" si="75"/>
        <v>0</v>
      </c>
      <c r="AA130" s="2319">
        <f t="shared" si="75"/>
        <v>0</v>
      </c>
      <c r="AB130" s="2319">
        <f t="shared" si="75"/>
        <v>0</v>
      </c>
      <c r="AC130" s="2319">
        <f t="shared" si="75"/>
        <v>0</v>
      </c>
      <c r="AD130" s="2319">
        <f t="shared" si="75"/>
        <v>0</v>
      </c>
      <c r="AE130" s="2319">
        <f t="shared" si="75"/>
        <v>0</v>
      </c>
      <c r="AF130" s="2319">
        <f t="shared" si="75"/>
        <v>43.14</v>
      </c>
      <c r="AG130" s="1230" t="e">
        <f t="shared" si="74"/>
        <v>#DIV/0!</v>
      </c>
      <c r="AH130" s="2187" t="s">
        <v>565</v>
      </c>
      <c r="AI130" s="1948">
        <f>27.77+26.72+221.56+31.2+97.2</f>
        <v>404.45</v>
      </c>
      <c r="AJ130" s="1948">
        <v>0</v>
      </c>
      <c r="AK130" s="1948">
        <v>0</v>
      </c>
      <c r="AL130" s="2260"/>
      <c r="AM130" s="1948">
        <v>0</v>
      </c>
      <c r="AN130" s="131"/>
      <c r="AO130" s="1948">
        <v>0</v>
      </c>
      <c r="AP130" s="1948">
        <v>0</v>
      </c>
      <c r="AQ130" s="1948">
        <v>0</v>
      </c>
      <c r="AR130" s="1948">
        <v>0</v>
      </c>
      <c r="AS130" s="1948">
        <v>0</v>
      </c>
      <c r="AT130" s="1948">
        <v>0</v>
      </c>
      <c r="AU130" s="1948">
        <v>0</v>
      </c>
      <c r="AV130" s="1948">
        <v>0</v>
      </c>
      <c r="AW130" s="1948">
        <v>0</v>
      </c>
      <c r="AX130" s="1948">
        <v>0</v>
      </c>
      <c r="AY130" s="1948">
        <v>0</v>
      </c>
      <c r="AZ130" s="1948">
        <v>0</v>
      </c>
      <c r="BA130" s="1948">
        <v>0</v>
      </c>
      <c r="BB130" s="1948">
        <v>0</v>
      </c>
      <c r="BC130" s="1948">
        <v>0</v>
      </c>
      <c r="BD130" s="1948">
        <v>0</v>
      </c>
      <c r="BE130" s="1948">
        <v>0</v>
      </c>
      <c r="BF130" s="1948">
        <v>0</v>
      </c>
      <c r="BG130" s="1948">
        <v>0</v>
      </c>
      <c r="BH130" s="2159">
        <v>0</v>
      </c>
      <c r="BI130" s="1948">
        <v>0</v>
      </c>
      <c r="BJ130" s="1948">
        <v>0</v>
      </c>
      <c r="BK130" s="1949">
        <v>0</v>
      </c>
      <c r="BL130" s="1948">
        <v>0</v>
      </c>
      <c r="BM130" s="1948"/>
    </row>
    <row r="131" spans="1:65">
      <c r="A131" s="2187"/>
      <c r="B131" s="2319">
        <v>4</v>
      </c>
      <c r="C131" s="1940" t="s">
        <v>542</v>
      </c>
      <c r="D131" s="1949">
        <v>3.52</v>
      </c>
      <c r="E131" s="2194">
        <f>K113</f>
        <v>4.0389999999999997</v>
      </c>
      <c r="F131" s="2186">
        <f t="shared" si="72"/>
        <v>14.217279999999999</v>
      </c>
      <c r="G131" s="2186" t="e">
        <f>+(F131+F132)/D74</f>
        <v>#DIV/0!</v>
      </c>
      <c r="H131" s="2319">
        <v>10</v>
      </c>
      <c r="I131" s="1940" t="s">
        <v>542</v>
      </c>
      <c r="J131" s="1949">
        <v>17.350000000000001</v>
      </c>
      <c r="K131" s="2194">
        <f>K111</f>
        <v>4.0389999999999997</v>
      </c>
      <c r="L131" s="2198">
        <f t="shared" si="68"/>
        <v>70.076650000000001</v>
      </c>
      <c r="M131" s="1940">
        <f>+(L131+L132)/J12</f>
        <v>0.73403532894736845</v>
      </c>
      <c r="N131" s="566"/>
      <c r="O131" s="2319"/>
      <c r="P131" s="2319"/>
      <c r="Q131" s="2319"/>
      <c r="R131" s="2319"/>
      <c r="S131" s="2319"/>
      <c r="T131" s="2319"/>
      <c r="U131" s="2319"/>
      <c r="V131" s="2319"/>
      <c r="W131" s="2319"/>
      <c r="X131" s="2319"/>
      <c r="Y131" s="2319"/>
      <c r="Z131" s="2319"/>
      <c r="AA131" s="2319"/>
      <c r="AB131" s="2319"/>
      <c r="AC131" s="2319"/>
      <c r="AD131" s="2319"/>
      <c r="AE131" s="2319"/>
      <c r="AF131" s="2319"/>
      <c r="AG131" s="1230">
        <f t="shared" si="74"/>
        <v>136.89478000000003</v>
      </c>
      <c r="AH131" s="2187" t="s">
        <v>566</v>
      </c>
      <c r="AI131" s="1940">
        <v>118.89</v>
      </c>
      <c r="AJ131" s="1940">
        <v>0</v>
      </c>
      <c r="AK131" s="1940">
        <v>0</v>
      </c>
      <c r="AL131" s="2263">
        <v>0</v>
      </c>
      <c r="AM131" s="1940">
        <v>0</v>
      </c>
      <c r="AN131" s="2159">
        <v>0</v>
      </c>
      <c r="AO131" s="1940">
        <v>0</v>
      </c>
      <c r="AP131" s="1940">
        <v>0</v>
      </c>
      <c r="AQ131" s="1940">
        <v>0</v>
      </c>
      <c r="AR131" s="1940">
        <v>0</v>
      </c>
      <c r="AS131" s="1940">
        <v>0</v>
      </c>
      <c r="AT131" s="1940">
        <v>0</v>
      </c>
      <c r="AU131" s="1940">
        <v>0</v>
      </c>
      <c r="AV131" s="1940">
        <v>0</v>
      </c>
      <c r="AW131" s="1940">
        <v>0</v>
      </c>
      <c r="AX131" s="1940">
        <v>0</v>
      </c>
      <c r="AY131" s="1940">
        <v>0</v>
      </c>
      <c r="AZ131" s="1940">
        <v>0</v>
      </c>
      <c r="BA131" s="1940">
        <v>0</v>
      </c>
      <c r="BB131" s="1940">
        <v>0</v>
      </c>
      <c r="BC131" s="1940">
        <v>0</v>
      </c>
      <c r="BD131" s="1940">
        <v>0</v>
      </c>
      <c r="BE131" s="1940">
        <v>0</v>
      </c>
      <c r="BF131" s="1940">
        <v>0</v>
      </c>
      <c r="BG131" s="1940">
        <v>0</v>
      </c>
      <c r="BH131" s="131">
        <v>0</v>
      </c>
      <c r="BI131" s="1940">
        <v>0</v>
      </c>
      <c r="BJ131" s="1940">
        <v>0</v>
      </c>
      <c r="BK131" s="1949">
        <v>0</v>
      </c>
      <c r="BL131" s="1940">
        <v>0</v>
      </c>
      <c r="BM131" s="1940"/>
    </row>
    <row r="132" spans="1:65">
      <c r="A132" s="2187"/>
      <c r="B132" s="2319"/>
      <c r="C132" s="1940" t="s">
        <v>544</v>
      </c>
      <c r="D132" s="1949"/>
      <c r="E132" s="2194">
        <v>8.0419999999999998</v>
      </c>
      <c r="F132" s="2186">
        <f t="shared" si="72"/>
        <v>0</v>
      </c>
      <c r="G132" s="2319"/>
      <c r="H132" s="2319">
        <f>G52</f>
        <v>0</v>
      </c>
      <c r="I132" s="1940" t="s">
        <v>544</v>
      </c>
      <c r="J132" s="1949">
        <v>5.16</v>
      </c>
      <c r="K132" s="2194">
        <v>8.0419999999999998</v>
      </c>
      <c r="L132" s="2198">
        <f t="shared" si="68"/>
        <v>41.496720000000003</v>
      </c>
      <c r="M132" s="2319">
        <f>L52</f>
        <v>0</v>
      </c>
      <c r="N132" s="566"/>
      <c r="O132" s="2319"/>
      <c r="P132" s="2319"/>
      <c r="Q132" s="2319"/>
      <c r="R132" s="2319"/>
      <c r="S132" s="2319"/>
      <c r="T132" s="2319"/>
      <c r="U132" s="2319"/>
      <c r="V132" s="2319"/>
      <c r="W132" s="2319"/>
      <c r="X132" s="2319"/>
      <c r="Y132" s="2319">
        <f t="shared" ref="Y132:AF132" si="76">X52</f>
        <v>0</v>
      </c>
      <c r="Z132" s="2319">
        <f t="shared" si="76"/>
        <v>0</v>
      </c>
      <c r="AA132" s="2319">
        <f t="shared" si="76"/>
        <v>0</v>
      </c>
      <c r="AB132" s="2319">
        <f t="shared" si="76"/>
        <v>0</v>
      </c>
      <c r="AC132" s="2319">
        <f t="shared" si="76"/>
        <v>0</v>
      </c>
      <c r="AD132" s="2319">
        <f t="shared" si="76"/>
        <v>0</v>
      </c>
      <c r="AE132" s="2319">
        <f t="shared" si="76"/>
        <v>0</v>
      </c>
      <c r="AF132" s="2319">
        <f t="shared" si="76"/>
        <v>0</v>
      </c>
      <c r="AG132" s="1230" t="e">
        <f t="shared" si="74"/>
        <v>#DIV/0!</v>
      </c>
      <c r="AH132" s="2187" t="s">
        <v>567</v>
      </c>
      <c r="AL132" s="2260">
        <v>0</v>
      </c>
      <c r="AM132" s="1940"/>
      <c r="AN132" s="131">
        <v>0</v>
      </c>
      <c r="AO132" s="1940"/>
      <c r="AP132" s="1940"/>
      <c r="AQ132" s="1940"/>
      <c r="AR132" s="1940"/>
      <c r="AS132" s="1940"/>
      <c r="AT132" s="1940"/>
      <c r="AU132" s="1940"/>
      <c r="AV132" s="1940"/>
      <c r="AW132" s="1940"/>
      <c r="AX132" s="1940"/>
      <c r="AY132" s="1940"/>
      <c r="AZ132" s="1940"/>
      <c r="BA132" s="1940"/>
      <c r="BB132" s="1940"/>
      <c r="BC132" s="1940"/>
      <c r="BI132" s="1940"/>
      <c r="BJ132" s="1940"/>
      <c r="BK132" s="1949"/>
      <c r="BM132" s="1940"/>
    </row>
    <row r="133" spans="1:65">
      <c r="A133" s="2187"/>
      <c r="B133" s="2319">
        <v>5</v>
      </c>
      <c r="C133" s="1940" t="s">
        <v>542</v>
      </c>
      <c r="D133" s="1949">
        <v>6.4</v>
      </c>
      <c r="E133" s="2194">
        <f>K113</f>
        <v>4.0389999999999997</v>
      </c>
      <c r="F133" s="2186">
        <f t="shared" si="72"/>
        <v>25.849599999999999</v>
      </c>
      <c r="G133" s="2186" t="e">
        <f>+(F133+F134)/E74</f>
        <v>#DIV/0!</v>
      </c>
      <c r="H133" s="2319">
        <v>11</v>
      </c>
      <c r="I133" s="1940" t="s">
        <v>542</v>
      </c>
      <c r="J133" s="1949">
        <v>20.2</v>
      </c>
      <c r="K133" s="2194">
        <v>4.0389999999999997</v>
      </c>
      <c r="L133" s="2198">
        <f t="shared" si="68"/>
        <v>81.587799999999987</v>
      </c>
      <c r="M133" s="1940">
        <f>+(L133+L134)/K12</f>
        <v>0.38252339949406494</v>
      </c>
      <c r="N133" s="566"/>
      <c r="O133" s="2319"/>
      <c r="P133" s="2319"/>
      <c r="Q133" s="2319"/>
      <c r="R133" s="2319"/>
      <c r="S133" s="2319"/>
      <c r="T133" s="2319"/>
      <c r="U133" s="2319"/>
      <c r="V133" s="2319"/>
      <c r="W133" s="2319"/>
      <c r="X133" s="2319"/>
      <c r="Y133" s="2319">
        <f t="shared" ref="Y133:AF133" si="77">X49</f>
        <v>0</v>
      </c>
      <c r="Z133" s="2319">
        <f t="shared" si="77"/>
        <v>0</v>
      </c>
      <c r="AA133" s="2319">
        <f t="shared" si="77"/>
        <v>0</v>
      </c>
      <c r="AB133" s="2319">
        <f t="shared" si="77"/>
        <v>0</v>
      </c>
      <c r="AC133" s="2319">
        <f t="shared" si="77"/>
        <v>0</v>
      </c>
      <c r="AD133" s="2319">
        <f t="shared" si="77"/>
        <v>0</v>
      </c>
      <c r="AE133" s="2319">
        <f t="shared" si="77"/>
        <v>0</v>
      </c>
      <c r="AF133" s="2319">
        <f t="shared" si="77"/>
        <v>0</v>
      </c>
      <c r="AG133" s="1230">
        <f t="shared" si="74"/>
        <v>62.740720000000003</v>
      </c>
      <c r="AH133" s="2187" t="s">
        <v>500</v>
      </c>
      <c r="AL133" s="2260"/>
      <c r="AM133" s="1940"/>
      <c r="AN133" s="131"/>
      <c r="AO133" s="1940"/>
      <c r="AP133" s="1940"/>
      <c r="AQ133" s="1940"/>
      <c r="AR133" s="1940"/>
      <c r="AS133" s="1940"/>
      <c r="AT133" s="1940"/>
      <c r="AU133" s="1940"/>
      <c r="AV133" s="1940"/>
      <c r="AW133" s="1940"/>
      <c r="AX133" s="1940"/>
      <c r="AY133" s="1940"/>
      <c r="AZ133" s="1940"/>
      <c r="BA133" s="1940"/>
      <c r="BB133" s="1940"/>
      <c r="BC133" s="1940"/>
      <c r="BI133" s="1940"/>
      <c r="BJ133" s="1940"/>
      <c r="BK133" s="1949"/>
      <c r="BM133" s="1940"/>
    </row>
    <row r="134" spans="1:65">
      <c r="A134" s="2187"/>
      <c r="B134" s="2319"/>
      <c r="C134" s="1940" t="s">
        <v>544</v>
      </c>
      <c r="D134" s="1949"/>
      <c r="E134" s="2194">
        <v>8.0419999999999998</v>
      </c>
      <c r="F134" s="2186">
        <f t="shared" si="72"/>
        <v>0</v>
      </c>
      <c r="G134" s="2319"/>
      <c r="H134" s="2319"/>
      <c r="I134" s="1940" t="s">
        <v>544</v>
      </c>
      <c r="J134" s="1949">
        <v>9.41</v>
      </c>
      <c r="K134" s="2194">
        <v>8.0419999999999998</v>
      </c>
      <c r="L134" s="2198">
        <f t="shared" si="68"/>
        <v>75.675219999999996</v>
      </c>
      <c r="M134" s="2319">
        <f>L47</f>
        <v>3.11</v>
      </c>
      <c r="N134" s="566"/>
      <c r="O134" s="2319"/>
      <c r="P134" s="2319"/>
      <c r="Q134" s="2319"/>
      <c r="R134" s="2319"/>
      <c r="S134" s="2319"/>
      <c r="T134" s="2319"/>
      <c r="U134" s="2319"/>
      <c r="V134" s="2319"/>
      <c r="W134" s="2319"/>
      <c r="X134" s="2319"/>
      <c r="Y134" s="2319">
        <f t="shared" ref="Y134:AF134" si="78">X47</f>
        <v>0</v>
      </c>
      <c r="Z134" s="2319">
        <f t="shared" si="78"/>
        <v>0</v>
      </c>
      <c r="AA134" s="2319">
        <f t="shared" si="78"/>
        <v>6.4809999999999999</v>
      </c>
      <c r="AB134" s="2319">
        <f t="shared" si="78"/>
        <v>9.4979999999999993</v>
      </c>
      <c r="AC134" s="2319">
        <f t="shared" si="78"/>
        <v>13.532999999999987</v>
      </c>
      <c r="AD134" s="2319">
        <f t="shared" si="78"/>
        <v>9.26</v>
      </c>
      <c r="AE134" s="2319">
        <f t="shared" si="78"/>
        <v>10.651999999999999</v>
      </c>
      <c r="AF134" s="2319">
        <f t="shared" si="78"/>
        <v>6.1449999999999996</v>
      </c>
      <c r="AG134" s="1230" t="e">
        <f t="shared" si="74"/>
        <v>#DIV/0!</v>
      </c>
      <c r="AH134" s="2187" t="s">
        <v>335</v>
      </c>
      <c r="AI134" s="1940">
        <v>0</v>
      </c>
      <c r="AJ134" s="1940">
        <v>0</v>
      </c>
      <c r="AK134" s="1940">
        <v>0</v>
      </c>
      <c r="AL134" s="2260"/>
      <c r="AM134" s="1940">
        <v>0</v>
      </c>
      <c r="AN134" s="131"/>
      <c r="AO134" s="1940">
        <v>0</v>
      </c>
      <c r="AP134" s="1940">
        <v>0</v>
      </c>
      <c r="AQ134" s="1940">
        <v>0</v>
      </c>
      <c r="AR134" s="1940">
        <v>0</v>
      </c>
      <c r="AS134" s="1940">
        <v>0</v>
      </c>
      <c r="AT134" s="1940">
        <v>0</v>
      </c>
      <c r="AU134" s="1940">
        <v>0</v>
      </c>
      <c r="AV134" s="1940">
        <v>0</v>
      </c>
      <c r="AW134" s="1940">
        <v>0</v>
      </c>
      <c r="AX134" s="1940">
        <v>0</v>
      </c>
      <c r="AY134" s="1940">
        <v>0</v>
      </c>
      <c r="AZ134" s="1940">
        <v>0</v>
      </c>
      <c r="BA134" s="1940">
        <v>0</v>
      </c>
      <c r="BB134" s="1940">
        <v>0</v>
      </c>
      <c r="BC134" s="1940">
        <v>0</v>
      </c>
      <c r="BD134" s="1940">
        <v>0</v>
      </c>
      <c r="BE134" s="1940">
        <v>0</v>
      </c>
      <c r="BF134" s="1940">
        <v>0</v>
      </c>
      <c r="BG134" s="1940">
        <v>0</v>
      </c>
      <c r="BH134" s="131">
        <v>0</v>
      </c>
      <c r="BI134" s="1940">
        <v>0</v>
      </c>
      <c r="BJ134" s="1940">
        <v>0</v>
      </c>
      <c r="BK134" s="1949">
        <v>0</v>
      </c>
      <c r="BL134" s="1940">
        <v>0</v>
      </c>
      <c r="BM134" s="1940"/>
    </row>
    <row r="135" spans="1:65">
      <c r="A135" s="2187"/>
      <c r="B135" s="2319">
        <v>6</v>
      </c>
      <c r="C135" s="1940" t="s">
        <v>542</v>
      </c>
      <c r="D135" s="1949">
        <v>4.51</v>
      </c>
      <c r="E135" s="2194">
        <f>K113</f>
        <v>4.0389999999999997</v>
      </c>
      <c r="F135" s="2186">
        <f t="shared" si="72"/>
        <v>18.215889999999998</v>
      </c>
      <c r="G135" s="2186" t="e">
        <f>+(F135+F136)/F74</f>
        <v>#DIV/0!</v>
      </c>
      <c r="H135" s="2319">
        <v>12</v>
      </c>
      <c r="I135" s="1940" t="s">
        <v>542</v>
      </c>
      <c r="J135" s="1949">
        <v>18.059999999999999</v>
      </c>
      <c r="K135" s="2194">
        <v>4.0389999999999997</v>
      </c>
      <c r="L135" s="2198">
        <f t="shared" si="68"/>
        <v>72.944339999999983</v>
      </c>
      <c r="M135" s="1940">
        <f>+(L135+L136)/L12</f>
        <v>0.37559725274725264</v>
      </c>
      <c r="N135" s="566"/>
      <c r="O135" s="2319"/>
      <c r="P135" s="2319"/>
      <c r="Q135" s="2319"/>
      <c r="R135" s="2319"/>
      <c r="S135" s="2319"/>
      <c r="T135" s="2319"/>
      <c r="U135" s="2319"/>
      <c r="V135" s="2319"/>
      <c r="W135" s="2319"/>
      <c r="X135" s="2319"/>
      <c r="Y135" s="2319">
        <f t="shared" ref="Y135:AF135" si="79">X50</f>
        <v>0</v>
      </c>
      <c r="Z135" s="2319">
        <f t="shared" si="79"/>
        <v>0</v>
      </c>
      <c r="AA135" s="2319">
        <f t="shared" si="79"/>
        <v>0</v>
      </c>
      <c r="AB135" s="2319">
        <f t="shared" si="79"/>
        <v>0</v>
      </c>
      <c r="AC135" s="2319">
        <f t="shared" si="79"/>
        <v>0</v>
      </c>
      <c r="AD135" s="2319">
        <f t="shared" si="79"/>
        <v>0</v>
      </c>
      <c r="AE135" s="2319">
        <f t="shared" si="79"/>
        <v>0</v>
      </c>
      <c r="AF135" s="2319">
        <f t="shared" si="79"/>
        <v>0</v>
      </c>
      <c r="AG135" s="1230">
        <f t="shared" si="74"/>
        <v>159.84821999999997</v>
      </c>
      <c r="AH135" s="2187" t="s">
        <v>568</v>
      </c>
      <c r="AL135" s="2260">
        <v>0</v>
      </c>
      <c r="AM135" s="1940"/>
      <c r="AN135" s="131">
        <v>0</v>
      </c>
      <c r="AO135" s="1940"/>
      <c r="AP135" s="1940"/>
      <c r="AQ135" s="1940"/>
      <c r="AR135" s="1940"/>
      <c r="AS135" s="1940"/>
      <c r="AT135" s="1940"/>
      <c r="AU135" s="1940"/>
      <c r="AV135" s="1940"/>
      <c r="AW135" s="1940"/>
      <c r="AX135" s="1940"/>
      <c r="AY135" s="1940"/>
      <c r="AZ135" s="1940"/>
      <c r="BA135" s="1940"/>
      <c r="BB135" s="1940"/>
      <c r="BC135" s="1940"/>
      <c r="BI135" s="1940"/>
      <c r="BJ135" s="1940"/>
      <c r="BK135" s="1949"/>
      <c r="BM135" s="1940"/>
    </row>
    <row r="136" spans="1:65">
      <c r="A136" s="2187"/>
      <c r="B136" s="2319"/>
      <c r="C136" s="1940" t="s">
        <v>544</v>
      </c>
      <c r="D136" s="1949"/>
      <c r="E136" s="2194">
        <v>8.0419999999999998</v>
      </c>
      <c r="F136" s="2186">
        <f t="shared" si="72"/>
        <v>0</v>
      </c>
      <c r="G136" s="2319"/>
      <c r="H136" s="2319">
        <v>0</v>
      </c>
      <c r="I136" s="1940" t="s">
        <v>544</v>
      </c>
      <c r="J136" s="1949">
        <v>7.93</v>
      </c>
      <c r="K136" s="2194">
        <v>8.0419999999999998</v>
      </c>
      <c r="L136" s="2198">
        <f t="shared" si="68"/>
        <v>63.773059999999994</v>
      </c>
      <c r="M136" s="2319">
        <v>0</v>
      </c>
      <c r="N136" s="566"/>
      <c r="O136" s="2319"/>
      <c r="P136" s="2319"/>
      <c r="Q136" s="2319"/>
      <c r="R136" s="2319"/>
      <c r="S136" s="2319"/>
      <c r="T136" s="2319"/>
      <c r="U136" s="2319"/>
      <c r="V136" s="2319"/>
      <c r="W136" s="2319"/>
      <c r="X136" s="2319"/>
      <c r="Y136" s="2319">
        <v>0</v>
      </c>
      <c r="Z136" s="2319">
        <v>0</v>
      </c>
      <c r="AA136" s="2319">
        <v>0</v>
      </c>
      <c r="AB136" s="2319">
        <v>0</v>
      </c>
      <c r="AC136" s="2319">
        <v>0</v>
      </c>
      <c r="AD136" s="2319">
        <v>0</v>
      </c>
      <c r="AE136" s="2319">
        <v>0</v>
      </c>
      <c r="AF136" s="2319">
        <v>0</v>
      </c>
      <c r="AG136" s="1230" t="e">
        <f t="shared" si="74"/>
        <v>#DIV/0!</v>
      </c>
      <c r="AH136" s="2187" t="s">
        <v>569</v>
      </c>
      <c r="AL136" s="2260"/>
      <c r="AM136" s="1940"/>
      <c r="AN136" s="131"/>
      <c r="AO136" s="1940"/>
      <c r="AP136" s="1940"/>
      <c r="AQ136" s="1940"/>
      <c r="AR136" s="1940"/>
      <c r="AS136" s="1940"/>
      <c r="AT136" s="1940"/>
      <c r="AU136" s="1940"/>
      <c r="AV136" s="1940"/>
      <c r="AW136" s="1940"/>
      <c r="AX136" s="1940"/>
      <c r="AY136" s="1940"/>
      <c r="AZ136" s="1940">
        <f>9375+627</f>
        <v>10002</v>
      </c>
      <c r="BA136" s="1940"/>
      <c r="BB136" s="1940"/>
      <c r="BC136" s="1940"/>
      <c r="BI136" s="1940"/>
      <c r="BJ136" s="1940"/>
      <c r="BK136" s="1949"/>
      <c r="BM136" s="1940"/>
    </row>
    <row r="137" spans="1:65">
      <c r="A137" s="2187"/>
      <c r="B137" s="2319">
        <v>7</v>
      </c>
      <c r="C137" s="1940" t="s">
        <v>542</v>
      </c>
      <c r="D137" s="1949">
        <v>4.45</v>
      </c>
      <c r="E137" s="2194">
        <f>K113</f>
        <v>4.0389999999999997</v>
      </c>
      <c r="F137" s="2186">
        <f t="shared" si="72"/>
        <v>17.973549999999999</v>
      </c>
      <c r="G137" s="2186">
        <f>+(F137+F138)/G74</f>
        <v>0.38405021367521369</v>
      </c>
      <c r="H137" s="2319">
        <v>13</v>
      </c>
      <c r="I137" s="1940" t="s">
        <v>542</v>
      </c>
      <c r="J137" s="1949">
        <v>17.05</v>
      </c>
      <c r="K137" s="2194">
        <v>4.0389999999999997</v>
      </c>
      <c r="L137" s="2198">
        <f t="shared" si="68"/>
        <v>68.864949999999993</v>
      </c>
      <c r="M137" s="1940">
        <f>+(L137+L138)/M12</f>
        <v>0.29461719339622638</v>
      </c>
      <c r="N137" s="566"/>
      <c r="O137" s="2319"/>
      <c r="P137" s="2319"/>
      <c r="Q137" s="2319"/>
      <c r="R137" s="2319"/>
      <c r="S137" s="2319"/>
      <c r="T137" s="2319"/>
      <c r="U137" s="2319"/>
      <c r="V137" s="2319"/>
      <c r="W137" s="2319"/>
      <c r="X137" s="2319"/>
      <c r="Y137" s="2319">
        <f t="shared" ref="Y137:AF137" si="80">+X46-Y136</f>
        <v>0</v>
      </c>
      <c r="Z137" s="2319">
        <f t="shared" si="80"/>
        <v>3.85</v>
      </c>
      <c r="AA137" s="2319">
        <f t="shared" si="80"/>
        <v>12.3</v>
      </c>
      <c r="AB137" s="2319">
        <f t="shared" si="80"/>
        <v>24.2</v>
      </c>
      <c r="AC137" s="2319">
        <f t="shared" si="80"/>
        <v>11.1</v>
      </c>
      <c r="AD137" s="2319">
        <f t="shared" si="80"/>
        <v>12.8</v>
      </c>
      <c r="AE137" s="2319">
        <f t="shared" si="80"/>
        <v>9.6</v>
      </c>
      <c r="AF137" s="2319">
        <f t="shared" si="80"/>
        <v>5.6</v>
      </c>
      <c r="AG137" s="1230">
        <f t="shared" si="74"/>
        <v>87.787059999999997</v>
      </c>
      <c r="AH137" s="2187"/>
      <c r="AL137" s="2260"/>
      <c r="AM137" s="1940"/>
      <c r="AN137" s="131"/>
      <c r="AO137" s="1940"/>
      <c r="AP137" s="1940"/>
      <c r="AQ137" s="1940"/>
      <c r="AR137" s="1940"/>
      <c r="AS137" s="1940"/>
      <c r="AT137" s="1940"/>
      <c r="AU137" s="1940"/>
      <c r="AV137" s="1940"/>
      <c r="AW137" s="1940"/>
      <c r="AX137" s="1940"/>
      <c r="AY137" s="1940"/>
      <c r="AZ137" s="1940"/>
      <c r="BA137" s="1940"/>
      <c r="BB137" s="1940"/>
      <c r="BC137" s="1940"/>
      <c r="BI137" s="1940"/>
      <c r="BJ137" s="1940"/>
      <c r="BK137" s="1949"/>
      <c r="BM137" s="1940"/>
    </row>
    <row r="138" spans="1:65">
      <c r="A138" s="2187"/>
      <c r="B138" s="2319"/>
      <c r="C138" s="1940" t="s">
        <v>544</v>
      </c>
      <c r="D138" s="1949"/>
      <c r="E138" s="2194">
        <v>8.0419999999999998</v>
      </c>
      <c r="F138" s="2186">
        <f t="shared" si="72"/>
        <v>0</v>
      </c>
      <c r="G138" s="2319"/>
      <c r="H138" s="2319">
        <v>0</v>
      </c>
      <c r="I138" s="1940" t="s">
        <v>544</v>
      </c>
      <c r="J138" s="1949">
        <v>6.97</v>
      </c>
      <c r="K138" s="2194">
        <v>8.0419999999999998</v>
      </c>
      <c r="L138" s="2198">
        <f t="shared" si="68"/>
        <v>56.05274</v>
      </c>
      <c r="M138" s="2319">
        <v>0</v>
      </c>
      <c r="N138" s="566"/>
      <c r="O138" s="2319"/>
      <c r="P138" s="2319"/>
      <c r="Q138" s="2319"/>
      <c r="R138" s="2319"/>
      <c r="S138" s="2319"/>
      <c r="T138" s="2319"/>
      <c r="U138" s="2319"/>
      <c r="V138" s="2319"/>
      <c r="W138" s="2319"/>
      <c r="X138" s="2319"/>
      <c r="Y138" s="2319">
        <v>0</v>
      </c>
      <c r="Z138" s="2319">
        <v>0</v>
      </c>
      <c r="AA138" s="2319">
        <v>0</v>
      </c>
      <c r="AB138" s="2319">
        <v>0</v>
      </c>
      <c r="AC138" s="2319">
        <v>0</v>
      </c>
      <c r="AD138" s="2319">
        <v>0</v>
      </c>
      <c r="AE138" s="2319">
        <v>0</v>
      </c>
      <c r="AF138" s="2319">
        <v>0</v>
      </c>
      <c r="AG138" s="1230">
        <f t="shared" si="74"/>
        <v>216.5451674070714</v>
      </c>
      <c r="AH138" s="2187" t="s">
        <v>570</v>
      </c>
      <c r="AI138" s="1940">
        <v>2.1859999999999999</v>
      </c>
      <c r="AL138" s="2260"/>
      <c r="AM138" s="1940"/>
      <c r="AN138" s="131"/>
      <c r="AO138" s="1940"/>
      <c r="AP138" s="1940"/>
      <c r="AQ138" s="1940"/>
      <c r="AR138" s="1940"/>
      <c r="AS138" s="1940"/>
      <c r="AT138" s="1940"/>
      <c r="AU138" s="1940"/>
      <c r="AV138" s="1940"/>
      <c r="AW138" s="1940"/>
      <c r="AX138" s="1940"/>
      <c r="AY138" s="1940"/>
      <c r="AZ138" s="1940"/>
      <c r="BA138" s="1940"/>
      <c r="BB138" s="1940"/>
      <c r="BC138" s="1940"/>
      <c r="BI138" s="1940"/>
      <c r="BJ138" s="1940"/>
      <c r="BK138" s="1949"/>
      <c r="BM138" s="1940"/>
    </row>
    <row r="139" spans="1:65">
      <c r="A139" s="2187"/>
      <c r="B139" s="2319">
        <v>8</v>
      </c>
      <c r="C139" s="1940" t="s">
        <v>542</v>
      </c>
      <c r="D139" s="1949">
        <v>5.25</v>
      </c>
      <c r="E139" s="2194">
        <f>K113</f>
        <v>4.0389999999999997</v>
      </c>
      <c r="F139" s="2186">
        <f t="shared" si="72"/>
        <v>21.204749999999997</v>
      </c>
      <c r="G139" s="2186">
        <f>+(F139+F140)/H74</f>
        <v>0.42409499999999994</v>
      </c>
      <c r="H139" s="2319">
        <v>14</v>
      </c>
      <c r="I139" s="1940" t="s">
        <v>542</v>
      </c>
      <c r="J139" s="1949">
        <v>9.77</v>
      </c>
      <c r="K139" s="2194">
        <v>4.0389999999999997</v>
      </c>
      <c r="L139" s="2198">
        <f t="shared" si="68"/>
        <v>39.461029999999994</v>
      </c>
      <c r="M139" s="1940">
        <f>+(L139+L140)/N12</f>
        <v>0.29017439848607729</v>
      </c>
      <c r="N139" s="566"/>
      <c r="O139" s="2319"/>
      <c r="P139" s="2319"/>
      <c r="Q139" s="2319"/>
      <c r="R139" s="2319"/>
      <c r="S139" s="2319"/>
      <c r="T139" s="2319"/>
      <c r="U139" s="2319"/>
      <c r="V139" s="2319"/>
      <c r="W139" s="2319"/>
      <c r="X139" s="2319"/>
      <c r="Y139" s="2319">
        <f t="shared" ref="Y139:AF139" si="81">+X100+X101+X102</f>
        <v>61.399999999999977</v>
      </c>
      <c r="Z139" s="2319">
        <f t="shared" si="81"/>
        <v>86.02</v>
      </c>
      <c r="AA139" s="2319">
        <f t="shared" si="81"/>
        <v>28.4</v>
      </c>
      <c r="AB139" s="2319">
        <f t="shared" si="81"/>
        <v>52.78</v>
      </c>
      <c r="AC139" s="2319">
        <f t="shared" si="81"/>
        <v>70.02</v>
      </c>
      <c r="AD139" s="2319">
        <f t="shared" si="81"/>
        <v>115.05000000000001</v>
      </c>
      <c r="AE139" s="2319">
        <f t="shared" si="81"/>
        <v>66.64</v>
      </c>
      <c r="AF139" s="2319">
        <f t="shared" si="81"/>
        <v>44.4</v>
      </c>
      <c r="AG139" s="1230"/>
      <c r="AH139" s="2187"/>
      <c r="AL139" s="2260"/>
      <c r="AM139" s="1940"/>
      <c r="AN139" s="131"/>
      <c r="AO139" s="1940"/>
      <c r="AP139" s="1940"/>
      <c r="AQ139" s="1940"/>
      <c r="AR139" s="1940"/>
      <c r="AS139" s="1940"/>
      <c r="AT139" s="1940"/>
      <c r="AU139" s="1940"/>
      <c r="AV139" s="1940"/>
      <c r="AW139" s="1940"/>
      <c r="AX139" s="1940"/>
      <c r="AY139" s="1940"/>
      <c r="AZ139" s="1940"/>
      <c r="BA139" s="1940"/>
      <c r="BB139" s="1940"/>
      <c r="BC139" s="1940"/>
      <c r="BI139" s="1940"/>
      <c r="BJ139" s="1940"/>
      <c r="BK139" s="1949"/>
      <c r="BM139" s="1940"/>
    </row>
    <row r="140" spans="1:65">
      <c r="A140" s="2187"/>
      <c r="B140" s="2319"/>
      <c r="C140" s="1940" t="s">
        <v>544</v>
      </c>
      <c r="D140" s="1949"/>
      <c r="E140" s="2194">
        <v>8.0419999999999998</v>
      </c>
      <c r="F140" s="2186">
        <f t="shared" si="72"/>
        <v>0</v>
      </c>
      <c r="G140" s="2319"/>
      <c r="H140" s="2319"/>
      <c r="I140" s="1940" t="s">
        <v>544</v>
      </c>
      <c r="J140" s="1949">
        <v>8.44</v>
      </c>
      <c r="K140" s="2194">
        <v>8.0419999999999998</v>
      </c>
      <c r="L140" s="2198">
        <f t="shared" si="68"/>
        <v>67.874479999999991</v>
      </c>
      <c r="M140" s="2319"/>
      <c r="N140" s="566"/>
      <c r="O140" s="2319"/>
      <c r="P140" s="2319"/>
      <c r="Q140" s="2319"/>
      <c r="R140" s="2319"/>
      <c r="S140" s="2319"/>
      <c r="T140" s="2319"/>
      <c r="U140" s="2319"/>
      <c r="V140" s="2319"/>
      <c r="W140" s="2319"/>
      <c r="X140" s="2319"/>
      <c r="Y140" s="2319"/>
      <c r="Z140" s="2319"/>
      <c r="AA140" s="2319"/>
      <c r="AB140" s="2319"/>
      <c r="AC140" s="2319"/>
      <c r="AD140" s="2319"/>
      <c r="AE140" s="2319"/>
      <c r="AF140" s="2319"/>
      <c r="AG140" s="1230"/>
      <c r="AH140" s="2187"/>
      <c r="AL140" s="2260"/>
      <c r="AM140" s="1940"/>
      <c r="AN140" s="131"/>
      <c r="AO140" s="1940"/>
      <c r="AP140" s="1940"/>
      <c r="AQ140" s="1940"/>
      <c r="AR140" s="1940"/>
      <c r="AS140" s="1940"/>
      <c r="AT140" s="1940"/>
      <c r="AU140" s="1940"/>
      <c r="AV140" s="1940"/>
      <c r="AW140" s="1940"/>
      <c r="AX140" s="1940"/>
      <c r="AY140" s="1940"/>
      <c r="AZ140" s="1940"/>
      <c r="BA140" s="1940"/>
      <c r="BB140" s="1940"/>
      <c r="BC140" s="1940"/>
      <c r="BI140" s="1940"/>
      <c r="BJ140" s="1940"/>
      <c r="BK140" s="1949"/>
      <c r="BM140" s="1940"/>
    </row>
    <row r="141" spans="1:65">
      <c r="A141" s="2187"/>
      <c r="B141" s="2319">
        <v>9</v>
      </c>
      <c r="C141" s="1940" t="s">
        <v>542</v>
      </c>
      <c r="D141" s="1949">
        <v>5.05</v>
      </c>
      <c r="E141" s="2194">
        <f>K113</f>
        <v>4.0389999999999997</v>
      </c>
      <c r="F141" s="2186">
        <f t="shared" si="72"/>
        <v>20.396949999999997</v>
      </c>
      <c r="G141" s="2186">
        <f>+(F141+F142)/I74</f>
        <v>0.20623811931243677</v>
      </c>
      <c r="H141" s="2319">
        <v>15</v>
      </c>
      <c r="I141" s="1940" t="s">
        <v>542</v>
      </c>
      <c r="J141" s="1949">
        <v>11.53</v>
      </c>
      <c r="K141" s="2194">
        <v>4.0389999999999997</v>
      </c>
      <c r="L141" s="2198">
        <f t="shared" si="68"/>
        <v>46.569669999999995</v>
      </c>
      <c r="M141" s="1940">
        <f>+(L141+L142)/O12</f>
        <v>0.53670092338407793</v>
      </c>
      <c r="N141" s="2322"/>
      <c r="O141" s="2323"/>
      <c r="P141" s="2323"/>
      <c r="Q141" s="2323"/>
      <c r="R141" s="2323"/>
      <c r="S141" s="2323"/>
      <c r="T141" s="2323"/>
      <c r="U141" s="2323"/>
      <c r="V141" s="2323"/>
      <c r="W141" s="2323"/>
      <c r="X141" s="2323"/>
      <c r="Y141" s="2323">
        <f t="shared" ref="Y141:AF141" si="82">+Y142-Y126-Y127-Y128-Y129-Y130-Y131-Y132-Y134-Y135-Y136-Y137-Y139-Y140</f>
        <v>-61.399999999999977</v>
      </c>
      <c r="Z141" s="2323">
        <f t="shared" si="82"/>
        <v>-89.86999999999999</v>
      </c>
      <c r="AA141" s="2323">
        <f t="shared" si="82"/>
        <v>-47.180999999999997</v>
      </c>
      <c r="AB141" s="2323">
        <f t="shared" si="82"/>
        <v>-86.478000000000009</v>
      </c>
      <c r="AC141" s="2323">
        <f t="shared" si="82"/>
        <v>-94.652999999999992</v>
      </c>
      <c r="AD141" s="2323">
        <f t="shared" si="82"/>
        <v>-137.11000000000001</v>
      </c>
      <c r="AE141" s="2323">
        <f t="shared" si="82"/>
        <v>-86.891999999999996</v>
      </c>
      <c r="AF141" s="2323">
        <f t="shared" si="82"/>
        <v>-99.284999999999997</v>
      </c>
      <c r="AG141" s="1230"/>
      <c r="AH141" s="2187"/>
      <c r="AL141" s="2260"/>
      <c r="AM141" s="1940"/>
      <c r="AN141" s="131"/>
      <c r="AO141" s="1940"/>
      <c r="AP141" s="1940"/>
      <c r="AQ141" s="1940"/>
      <c r="AR141" s="1940"/>
      <c r="AS141" s="1940"/>
      <c r="AT141" s="1940"/>
      <c r="AU141" s="1940"/>
      <c r="AV141" s="1940"/>
      <c r="AW141" s="1940"/>
      <c r="AX141" s="1940"/>
      <c r="AY141" s="1940"/>
      <c r="AZ141" s="1940"/>
      <c r="BA141" s="1940"/>
      <c r="BB141" s="1940"/>
      <c r="BC141" s="1940"/>
      <c r="BI141" s="1940"/>
      <c r="BJ141" s="1940"/>
      <c r="BK141" s="1949"/>
      <c r="BM141" s="1940"/>
    </row>
    <row r="142" spans="1:65">
      <c r="B142" s="2319"/>
      <c r="C142" s="1940" t="s">
        <v>544</v>
      </c>
      <c r="D142" s="1949"/>
      <c r="E142" s="2194">
        <v>8.0419999999999998</v>
      </c>
      <c r="F142" s="2186">
        <f t="shared" si="72"/>
        <v>0</v>
      </c>
      <c r="G142" s="2319"/>
      <c r="H142" s="2319">
        <f>G55</f>
        <v>0</v>
      </c>
      <c r="I142" s="1940" t="s">
        <v>544</v>
      </c>
      <c r="J142" s="1949">
        <v>7.58</v>
      </c>
      <c r="K142" s="2194">
        <v>8.0419999999999998</v>
      </c>
      <c r="L142" s="2198">
        <f t="shared" si="68"/>
        <v>60.958359999999999</v>
      </c>
      <c r="M142" s="2319">
        <f>L55</f>
        <v>0</v>
      </c>
      <c r="N142" s="566"/>
      <c r="O142" s="2319"/>
      <c r="P142" s="2319"/>
      <c r="Q142" s="2319"/>
      <c r="R142" s="2319"/>
      <c r="S142" s="2319"/>
      <c r="T142" s="2319"/>
      <c r="U142" s="2319"/>
      <c r="V142" s="2319"/>
      <c r="W142" s="2319"/>
      <c r="X142" s="2319"/>
      <c r="Y142" s="2319">
        <f t="shared" ref="Y142:AF142" si="83">X55</f>
        <v>0</v>
      </c>
      <c r="Z142" s="2319">
        <f t="shared" si="83"/>
        <v>0</v>
      </c>
      <c r="AA142" s="2319">
        <f t="shared" si="83"/>
        <v>0</v>
      </c>
      <c r="AB142" s="2319">
        <f t="shared" si="83"/>
        <v>0</v>
      </c>
      <c r="AC142" s="2319">
        <f t="shared" si="83"/>
        <v>0</v>
      </c>
      <c r="AD142" s="2319">
        <f t="shared" si="83"/>
        <v>0</v>
      </c>
      <c r="AE142" s="2319">
        <f t="shared" si="83"/>
        <v>0</v>
      </c>
      <c r="AF142" s="2319">
        <f t="shared" si="83"/>
        <v>0</v>
      </c>
      <c r="AG142" s="1230">
        <f>SUM(B141:AF141)</f>
        <v>-586.50144095730343</v>
      </c>
      <c r="AH142" s="2187" t="s">
        <v>571</v>
      </c>
      <c r="AI142" s="2323">
        <f>+AI143-AI127-AI128-AI129-AI130-AI131-AI133-AI135-AI138-AI132</f>
        <v>9833.8109999999979</v>
      </c>
      <c r="AJ142" s="2323">
        <f>+AJ143-AJ127-AJ128-AJ129-AJ130-AJ131-AJ133-AJ135-AJ138-AJ132</f>
        <v>0</v>
      </c>
      <c r="AK142" s="2323">
        <f>+AK143-AK127-AK128-AK129-AK130-AK131-AK133-AK135-AK138-AK132</f>
        <v>0</v>
      </c>
      <c r="AL142" s="2260"/>
      <c r="AM142" s="2323">
        <f>+AM143-AM127-AM128-AM129-AM130-AM131-AM133-AM135-AM138-AM132</f>
        <v>0</v>
      </c>
      <c r="AN142" s="131"/>
      <c r="AO142" s="2323">
        <f t="shared" ref="AO142:BH142" si="84">+AO143-AO127-AO128-AO129-AO130-AO131-AO133-AO135-AO138-AO132</f>
        <v>0</v>
      </c>
      <c r="AP142" s="2323">
        <f t="shared" si="84"/>
        <v>0</v>
      </c>
      <c r="AQ142" s="2323">
        <f t="shared" si="84"/>
        <v>0</v>
      </c>
      <c r="AR142" s="2323">
        <f t="shared" si="84"/>
        <v>0</v>
      </c>
      <c r="AS142" s="2323">
        <f t="shared" si="84"/>
        <v>0</v>
      </c>
      <c r="AT142" s="2323">
        <f t="shared" si="84"/>
        <v>0</v>
      </c>
      <c r="AU142" s="2323" t="e">
        <f t="shared" si="84"/>
        <v>#REF!</v>
      </c>
      <c r="AV142" s="2323">
        <f t="shared" si="84"/>
        <v>0</v>
      </c>
      <c r="AW142" s="2323">
        <f t="shared" si="84"/>
        <v>0</v>
      </c>
      <c r="AX142" s="2323">
        <f t="shared" si="84"/>
        <v>0</v>
      </c>
      <c r="AY142" s="2323">
        <f t="shared" si="84"/>
        <v>0</v>
      </c>
      <c r="AZ142" s="2323">
        <f t="shared" si="84"/>
        <v>0</v>
      </c>
      <c r="BA142" s="2323">
        <f t="shared" si="84"/>
        <v>0</v>
      </c>
      <c r="BB142" s="2323">
        <f t="shared" si="84"/>
        <v>0</v>
      </c>
      <c r="BC142" s="2323">
        <f t="shared" si="84"/>
        <v>0</v>
      </c>
      <c r="BD142" s="2323">
        <f t="shared" si="84"/>
        <v>0</v>
      </c>
      <c r="BE142" s="2323">
        <f t="shared" si="84"/>
        <v>0</v>
      </c>
      <c r="BF142" s="2323">
        <f t="shared" si="84"/>
        <v>0</v>
      </c>
      <c r="BG142" s="2323">
        <f t="shared" si="84"/>
        <v>0</v>
      </c>
      <c r="BH142" s="2328">
        <f t="shared" si="84"/>
        <v>0</v>
      </c>
      <c r="BI142" s="2323">
        <v>0</v>
      </c>
      <c r="BJ142" s="2323">
        <v>0</v>
      </c>
      <c r="BK142" s="2323">
        <f>+BK143-BK127-BK128-BK129-BK130-BK131-BK133-BK135-BK138-BK132</f>
        <v>0</v>
      </c>
      <c r="BL142" s="2323">
        <f>+BL143-BL127-BL128-BL129-BL130-BL131-BL133-BL135-BL138-BL132</f>
        <v>0</v>
      </c>
      <c r="BM142" s="2323"/>
    </row>
    <row r="143" spans="1:65">
      <c r="B143" s="1941">
        <v>10</v>
      </c>
      <c r="C143" s="1940" t="s">
        <v>542</v>
      </c>
      <c r="D143" s="1949">
        <v>8.02</v>
      </c>
      <c r="E143" s="2194">
        <f>K113</f>
        <v>4.0389999999999997</v>
      </c>
      <c r="F143" s="2186">
        <f t="shared" si="72"/>
        <v>32.392779999999995</v>
      </c>
      <c r="G143" s="2186">
        <f>+(F143+F144)/J74</f>
        <v>0.61583231939163485</v>
      </c>
      <c r="H143" s="1940">
        <v>16</v>
      </c>
      <c r="I143" s="1940" t="s">
        <v>542</v>
      </c>
      <c r="J143" s="1949">
        <v>10.47</v>
      </c>
      <c r="K143" s="2194">
        <v>4.0389999999999997</v>
      </c>
      <c r="L143" s="2198">
        <f t="shared" si="68"/>
        <v>42.288330000000002</v>
      </c>
      <c r="M143" s="1940">
        <f>+(L143+L144)/P12</f>
        <v>0.48090199346405221</v>
      </c>
      <c r="AB143" s="1988"/>
      <c r="AF143" s="1942"/>
      <c r="AG143" s="2319">
        <f>AG56</f>
        <v>11402.186999999998</v>
      </c>
      <c r="AH143" s="1940" t="s">
        <v>572</v>
      </c>
      <c r="AI143" s="1948">
        <f>AG56</f>
        <v>11402.186999999998</v>
      </c>
      <c r="AJ143" s="1948">
        <f>B57</f>
        <v>0</v>
      </c>
      <c r="AK143" s="1948">
        <f>C57</f>
        <v>0</v>
      </c>
      <c r="AL143" s="2327">
        <f>+AL144-AL128-AL129-AL130-AL131-AL132-AL134-AL136-AL139-AL133</f>
        <v>0</v>
      </c>
      <c r="AM143" s="1948">
        <f>E57</f>
        <v>0</v>
      </c>
      <c r="AN143" s="2328">
        <f>+AN144-AN128-AN129-AN130-AN131-AN132-AN134-AN136-AN139-AN133</f>
        <v>0</v>
      </c>
      <c r="AO143" s="1948">
        <f t="shared" ref="AO143:AT143" si="85">G57</f>
        <v>0</v>
      </c>
      <c r="AP143" s="1948">
        <f t="shared" si="85"/>
        <v>0</v>
      </c>
      <c r="AQ143" s="1948">
        <f t="shared" si="85"/>
        <v>0</v>
      </c>
      <c r="AR143" s="1948">
        <f t="shared" si="85"/>
        <v>0</v>
      </c>
      <c r="AS143" s="1948">
        <f t="shared" si="85"/>
        <v>0</v>
      </c>
      <c r="AT143" s="1948">
        <f t="shared" si="85"/>
        <v>0</v>
      </c>
      <c r="AU143" s="1948" t="e">
        <f>#REF!</f>
        <v>#REF!</v>
      </c>
      <c r="AV143" s="1948">
        <f>M57</f>
        <v>0</v>
      </c>
      <c r="AW143" s="1948">
        <f t="shared" ref="AW143:BH143" si="86">O57</f>
        <v>0</v>
      </c>
      <c r="AX143" s="1948">
        <f t="shared" si="86"/>
        <v>0</v>
      </c>
      <c r="AY143" s="1948">
        <f t="shared" si="86"/>
        <v>0</v>
      </c>
      <c r="AZ143" s="1948">
        <f t="shared" si="86"/>
        <v>0</v>
      </c>
      <c r="BA143" s="1948">
        <f t="shared" si="86"/>
        <v>0</v>
      </c>
      <c r="BB143" s="1948">
        <f t="shared" si="86"/>
        <v>0</v>
      </c>
      <c r="BC143" s="1948">
        <f t="shared" si="86"/>
        <v>0</v>
      </c>
      <c r="BD143" s="1948">
        <f t="shared" si="86"/>
        <v>0</v>
      </c>
      <c r="BE143" s="1948">
        <f t="shared" si="86"/>
        <v>0</v>
      </c>
      <c r="BF143" s="1948">
        <f t="shared" si="86"/>
        <v>0</v>
      </c>
      <c r="BG143" s="1948">
        <f t="shared" si="86"/>
        <v>0</v>
      </c>
      <c r="BH143" s="2159">
        <f t="shared" si="86"/>
        <v>0</v>
      </c>
      <c r="BI143" s="1948">
        <v>0</v>
      </c>
      <c r="BJ143" s="1948">
        <v>0</v>
      </c>
      <c r="BK143" s="1949">
        <f>AC57</f>
        <v>0</v>
      </c>
      <c r="BL143" s="1948">
        <f>AD57</f>
        <v>0</v>
      </c>
      <c r="BM143" s="1948"/>
    </row>
    <row r="144" spans="1:65">
      <c r="C144" s="1940" t="s">
        <v>544</v>
      </c>
      <c r="D144" s="1949"/>
      <c r="E144" s="2194">
        <v>8.0419999999999998</v>
      </c>
      <c r="F144" s="2186">
        <f t="shared" si="72"/>
        <v>0</v>
      </c>
      <c r="I144" s="1940" t="s">
        <v>544</v>
      </c>
      <c r="J144" s="1949">
        <v>13.04</v>
      </c>
      <c r="K144" s="2194">
        <v>8.0419999999999998</v>
      </c>
      <c r="L144" s="2198">
        <f t="shared" si="68"/>
        <v>104.86767999999999</v>
      </c>
      <c r="M144" s="2319">
        <f>L57</f>
        <v>0</v>
      </c>
      <c r="AB144" s="1988"/>
      <c r="AG144" s="1940">
        <f>SUM(AI127:BM127)</f>
        <v>1050</v>
      </c>
      <c r="AH144" s="2187" t="s">
        <v>563</v>
      </c>
      <c r="AK144" s="1957"/>
      <c r="AL144" s="2263">
        <f>D57</f>
        <v>0</v>
      </c>
      <c r="AN144" s="2159">
        <f>F57</f>
        <v>0</v>
      </c>
      <c r="AP144" s="2209"/>
      <c r="AQ144" s="2209"/>
      <c r="AR144" s="2336"/>
    </row>
    <row r="145" spans="1:53">
      <c r="B145" s="2186">
        <v>11</v>
      </c>
      <c r="C145" s="1940" t="s">
        <v>542</v>
      </c>
      <c r="D145" s="1949">
        <v>8.42</v>
      </c>
      <c r="E145" s="2194">
        <v>4.0389999999999997</v>
      </c>
      <c r="F145" s="2186">
        <f t="shared" si="72"/>
        <v>34.008379999999995</v>
      </c>
      <c r="G145" s="2186">
        <f>+(F145+F146)/K74</f>
        <v>0.69475750766087829</v>
      </c>
      <c r="H145" s="610">
        <v>17</v>
      </c>
      <c r="I145" s="1940" t="s">
        <v>542</v>
      </c>
      <c r="J145" s="1949">
        <v>15.35</v>
      </c>
      <c r="K145" s="2194">
        <v>4.0389999999999997</v>
      </c>
      <c r="L145" s="2198">
        <f t="shared" si="68"/>
        <v>61.998649999999991</v>
      </c>
      <c r="M145" s="1940">
        <f>+(L145+L146)/Q12</f>
        <v>0.44454894389438931</v>
      </c>
      <c r="N145" s="610"/>
      <c r="O145" s="1431"/>
      <c r="AB145" s="1988"/>
      <c r="AE145" s="1940">
        <f>115+35+70+40+25+50</f>
        <v>335</v>
      </c>
      <c r="AG145" s="1940">
        <f t="shared" ref="AG145:AG151" si="87">SUM(AI128:BM128)</f>
        <v>2.85</v>
      </c>
      <c r="AH145" s="2187" t="s">
        <v>385</v>
      </c>
      <c r="AK145" s="1957"/>
      <c r="AP145" s="2209"/>
      <c r="AQ145" s="2209"/>
      <c r="AR145" s="2336"/>
    </row>
    <row r="146" spans="1:53">
      <c r="B146" s="2186"/>
      <c r="C146" s="1940" t="s">
        <v>544</v>
      </c>
      <c r="D146" s="1949"/>
      <c r="E146" s="2194">
        <v>8.0419999999999998</v>
      </c>
      <c r="F146" s="2186">
        <f t="shared" si="72"/>
        <v>0</v>
      </c>
      <c r="G146" s="32"/>
      <c r="H146" s="133"/>
      <c r="I146" s="1940" t="s">
        <v>544</v>
      </c>
      <c r="J146" s="1949">
        <v>9.0399999999999991</v>
      </c>
      <c r="K146" s="2194">
        <v>8.0419999999999998</v>
      </c>
      <c r="L146" s="2198">
        <f t="shared" si="68"/>
        <v>72.699679999999987</v>
      </c>
      <c r="M146" s="2319">
        <f>L59</f>
        <v>0</v>
      </c>
      <c r="O146" s="166"/>
      <c r="AB146" s="1988"/>
      <c r="AE146" s="1940">
        <v>15</v>
      </c>
      <c r="AG146" s="1940">
        <f t="shared" si="87"/>
        <v>0</v>
      </c>
      <c r="AH146" s="2187" t="s">
        <v>564</v>
      </c>
      <c r="AK146" s="1957"/>
      <c r="AO146" s="2336"/>
      <c r="AP146" s="2209"/>
      <c r="AQ146" s="2209"/>
      <c r="AR146" s="2336"/>
      <c r="AU146" s="2336"/>
    </row>
    <row r="147" spans="1:53">
      <c r="B147" s="2186">
        <v>12</v>
      </c>
      <c r="C147" s="1940" t="s">
        <v>542</v>
      </c>
      <c r="D147" s="1949">
        <v>9.24</v>
      </c>
      <c r="E147" s="2194">
        <v>4.0389999999999997</v>
      </c>
      <c r="F147" s="2186">
        <f t="shared" si="72"/>
        <v>37.320360000000001</v>
      </c>
      <c r="G147" s="2186">
        <f>+(F147+F148)/L74</f>
        <v>0.36750723781388478</v>
      </c>
      <c r="H147" s="133">
        <v>18</v>
      </c>
      <c r="I147" s="1940" t="s">
        <v>542</v>
      </c>
      <c r="J147" s="1949">
        <v>7.71</v>
      </c>
      <c r="K147" s="2194">
        <v>4.0389999999999997</v>
      </c>
      <c r="L147" s="2198">
        <f t="shared" si="68"/>
        <v>31.140689999999999</v>
      </c>
      <c r="M147" s="1940">
        <f>+(L147+L148)/R12</f>
        <v>0.39400199890470972</v>
      </c>
      <c r="O147" s="166"/>
      <c r="AB147" s="1988"/>
      <c r="AE147" s="1940">
        <v>350</v>
      </c>
      <c r="AG147" s="1940">
        <f t="shared" si="87"/>
        <v>404.45</v>
      </c>
      <c r="AH147" s="2187" t="s">
        <v>565</v>
      </c>
      <c r="AJ147" s="1957"/>
      <c r="AK147" s="1957"/>
      <c r="AN147" s="1968"/>
      <c r="AX147" s="32">
        <f>61790*5</f>
        <v>308950</v>
      </c>
    </row>
    <row r="148" spans="1:53">
      <c r="B148" s="2186"/>
      <c r="C148" s="1940" t="s">
        <v>544</v>
      </c>
      <c r="D148" s="1949"/>
      <c r="E148" s="2194">
        <v>8.0419999999999998</v>
      </c>
      <c r="F148" s="2186">
        <f t="shared" si="72"/>
        <v>0</v>
      </c>
      <c r="G148" s="32"/>
      <c r="H148" s="133"/>
      <c r="I148" s="1940" t="s">
        <v>544</v>
      </c>
      <c r="J148" s="1949">
        <v>14.02</v>
      </c>
      <c r="K148" s="2194">
        <v>8.0419999999999998</v>
      </c>
      <c r="L148" s="2198">
        <f t="shared" si="68"/>
        <v>112.74883999999999</v>
      </c>
      <c r="M148" s="2319">
        <f>L61</f>
        <v>88</v>
      </c>
      <c r="O148" s="166"/>
      <c r="Y148" s="2324" t="s">
        <v>573</v>
      </c>
      <c r="Z148" s="2324" t="s">
        <v>574</v>
      </c>
      <c r="AB148" s="1988"/>
      <c r="AE148" s="1940">
        <v>75</v>
      </c>
      <c r="AG148" s="1940">
        <f>BC52</f>
        <v>256.63499999999999</v>
      </c>
      <c r="AH148" s="2187" t="s">
        <v>566</v>
      </c>
      <c r="AK148" s="1957"/>
      <c r="AP148" s="2209"/>
      <c r="AQ148" s="2209"/>
      <c r="AR148" s="2336"/>
      <c r="AX148" s="32">
        <f>64166+59414+55726</f>
        <v>179306</v>
      </c>
    </row>
    <row r="149" spans="1:53" ht="21" customHeight="1">
      <c r="B149" s="2186">
        <v>13</v>
      </c>
      <c r="C149" s="1940" t="s">
        <v>542</v>
      </c>
      <c r="D149" s="1949">
        <v>9.15</v>
      </c>
      <c r="E149" s="2194">
        <v>4.0389999999999997</v>
      </c>
      <c r="F149" s="2186">
        <f t="shared" si="72"/>
        <v>36.956849999999996</v>
      </c>
      <c r="G149" s="2186">
        <f>+(F149+F150)/M74</f>
        <v>0.76278328173374599</v>
      </c>
      <c r="H149" s="133">
        <v>19</v>
      </c>
      <c r="I149" s="1940" t="s">
        <v>542</v>
      </c>
      <c r="J149" s="1949"/>
      <c r="K149" s="2194">
        <v>4.0389999999999997</v>
      </c>
      <c r="L149" s="2198">
        <f t="shared" si="68"/>
        <v>0</v>
      </c>
      <c r="M149" s="1940">
        <f>+(L149+L150)/S12</f>
        <v>0.33949647224835366</v>
      </c>
      <c r="N149" s="1145" t="e">
        <f>+N147/N148*100</f>
        <v>#DIV/0!</v>
      </c>
      <c r="O149" s="1108" t="e">
        <f>+O147/O148*100</f>
        <v>#DIV/0!</v>
      </c>
      <c r="Y149" s="2325">
        <f>A9</f>
        <v>1</v>
      </c>
      <c r="Z149" s="981">
        <f>A21</f>
        <v>5</v>
      </c>
      <c r="AB149" s="1988"/>
      <c r="AE149" s="1940">
        <v>420</v>
      </c>
      <c r="AG149" s="1940">
        <f t="shared" si="87"/>
        <v>0</v>
      </c>
      <c r="AH149" s="2187" t="s">
        <v>567</v>
      </c>
      <c r="AK149" s="1957"/>
      <c r="AP149" s="2209"/>
      <c r="AQ149" s="2209"/>
      <c r="AR149" s="2336"/>
      <c r="AX149" s="32">
        <f>+AX147+AX148</f>
        <v>488256</v>
      </c>
    </row>
    <row r="150" spans="1:53" ht="21" customHeight="1" thickBot="1">
      <c r="B150" s="2319"/>
      <c r="C150" s="1940" t="s">
        <v>544</v>
      </c>
      <c r="D150" s="1949"/>
      <c r="E150" s="2194">
        <v>8.0419999999999998</v>
      </c>
      <c r="F150" s="2186">
        <f t="shared" si="72"/>
        <v>0</v>
      </c>
      <c r="G150" s="2320"/>
      <c r="H150" s="2276"/>
      <c r="I150" s="1940" t="s">
        <v>544</v>
      </c>
      <c r="J150" s="1949">
        <v>17.95</v>
      </c>
      <c r="K150" s="2194">
        <v>8.0419999999999998</v>
      </c>
      <c r="L150" s="2198">
        <f t="shared" si="68"/>
        <v>144.35389999999998</v>
      </c>
      <c r="M150" s="2319">
        <f>L66</f>
        <v>0</v>
      </c>
      <c r="N150" s="1282">
        <f>+N147/N151</f>
        <v>0</v>
      </c>
      <c r="O150" s="2310">
        <f>+O147/O151</f>
        <v>0</v>
      </c>
      <c r="Y150" s="2325">
        <f>B9</f>
        <v>2</v>
      </c>
      <c r="Z150" s="981">
        <f>B21</f>
        <v>7</v>
      </c>
      <c r="AB150" s="1988"/>
      <c r="AG150" s="1940">
        <f t="shared" si="87"/>
        <v>0</v>
      </c>
      <c r="AH150" s="2187" t="s">
        <v>500</v>
      </c>
      <c r="AK150" s="1957"/>
      <c r="AP150" s="2209"/>
      <c r="AQ150" s="2209"/>
      <c r="AR150" s="2336"/>
      <c r="AX150" s="32">
        <f>630382-488256</f>
        <v>142126</v>
      </c>
    </row>
    <row r="151" spans="1:53" ht="20.25" customHeight="1">
      <c r="B151" s="2319">
        <v>14</v>
      </c>
      <c r="C151" s="1940" t="s">
        <v>542</v>
      </c>
      <c r="D151" s="1949">
        <v>9.17</v>
      </c>
      <c r="E151" s="2194">
        <v>4.0389999999999997</v>
      </c>
      <c r="F151" s="2186">
        <f t="shared" si="72"/>
        <v>37.03763</v>
      </c>
      <c r="G151" s="2186">
        <f>+(F151+F152)/N74</f>
        <v>0.76366247422680411</v>
      </c>
      <c r="H151" s="1940">
        <v>20</v>
      </c>
      <c r="I151" s="1940" t="s">
        <v>542</v>
      </c>
      <c r="J151" s="1949"/>
      <c r="K151" s="2194">
        <v>4.0389999999999997</v>
      </c>
      <c r="L151" s="2198">
        <f t="shared" si="68"/>
        <v>0</v>
      </c>
      <c r="M151" s="1940">
        <f>+(L151+L152)/T12</f>
        <v>0.46598504672897195</v>
      </c>
      <c r="N151" s="133">
        <v>92</v>
      </c>
      <c r="O151" s="166">
        <f>92+92+92</f>
        <v>276</v>
      </c>
      <c r="Y151" s="2325">
        <f>C9</f>
        <v>3</v>
      </c>
      <c r="Z151" s="981">
        <f>C21</f>
        <v>7</v>
      </c>
      <c r="AB151" s="1988"/>
      <c r="AG151" s="1940">
        <f t="shared" si="87"/>
        <v>0</v>
      </c>
      <c r="AH151" s="2187" t="s">
        <v>335</v>
      </c>
      <c r="AK151" s="1957"/>
      <c r="AP151" s="2209"/>
      <c r="AQ151" s="2209"/>
      <c r="AR151" s="2336"/>
      <c r="BA151" s="32">
        <f>598754/0.58</f>
        <v>1032334.4827586208</v>
      </c>
    </row>
    <row r="152" spans="1:53" ht="14.25" customHeight="1">
      <c r="B152" s="2319"/>
      <c r="C152" s="1940" t="s">
        <v>544</v>
      </c>
      <c r="D152" s="1949"/>
      <c r="E152" s="2194">
        <v>8.0419999999999998</v>
      </c>
      <c r="F152" s="2186">
        <f t="shared" si="72"/>
        <v>0</v>
      </c>
      <c r="G152" s="32"/>
      <c r="I152" s="1940" t="s">
        <v>544</v>
      </c>
      <c r="J152" s="1949">
        <v>18.600000000000001</v>
      </c>
      <c r="K152" s="2194">
        <v>8.0419999999999998</v>
      </c>
      <c r="L152" s="2198">
        <f t="shared" si="68"/>
        <v>149.5812</v>
      </c>
      <c r="O152" s="166"/>
      <c r="Y152" s="2325">
        <f>D9</f>
        <v>4</v>
      </c>
      <c r="Z152" s="981">
        <f>D21</f>
        <v>6</v>
      </c>
      <c r="AB152" s="1988"/>
      <c r="AG152" s="1940">
        <f>BC55+BC57</f>
        <v>558.95600000000002</v>
      </c>
      <c r="AH152" s="2187" t="s">
        <v>568</v>
      </c>
      <c r="AK152" s="1957"/>
      <c r="AP152" s="2209"/>
      <c r="AQ152" s="2209"/>
      <c r="AR152" s="2336"/>
    </row>
    <row r="153" spans="1:53" ht="21.75" customHeight="1" thickBot="1">
      <c r="B153" s="2319">
        <v>15</v>
      </c>
      <c r="C153" s="1940" t="s">
        <v>542</v>
      </c>
      <c r="D153" s="1949">
        <v>7.22</v>
      </c>
      <c r="E153" s="2194">
        <v>4.0389999999999997</v>
      </c>
      <c r="F153" s="2186">
        <f t="shared" si="72"/>
        <v>29.161579999999997</v>
      </c>
      <c r="G153" s="2186">
        <f>+(F153+F154)/O74</f>
        <v>0.30586461232604373</v>
      </c>
      <c r="H153" s="1948"/>
      <c r="J153" s="1949"/>
      <c r="K153" s="2194">
        <v>4.0410000000000004</v>
      </c>
      <c r="L153" s="2198">
        <f t="shared" si="68"/>
        <v>0</v>
      </c>
      <c r="N153" s="2276"/>
      <c r="O153" s="167"/>
      <c r="Y153" s="2325">
        <f>E9</f>
        <v>5</v>
      </c>
      <c r="Z153" s="981">
        <f>E21</f>
        <v>7</v>
      </c>
      <c r="AB153" s="1988"/>
      <c r="AG153" s="1940">
        <f>BC54</f>
        <v>198.39699999999999</v>
      </c>
      <c r="AH153" s="2187" t="s">
        <v>570</v>
      </c>
      <c r="AK153" s="1957"/>
      <c r="AL153" s="2329"/>
      <c r="AP153" s="2209"/>
      <c r="AQ153" s="2209"/>
      <c r="AR153" s="2336"/>
    </row>
    <row r="154" spans="1:53" ht="23.25" customHeight="1">
      <c r="B154" s="2319"/>
      <c r="C154" s="1940" t="s">
        <v>544</v>
      </c>
      <c r="D154" s="1949">
        <v>0.2</v>
      </c>
      <c r="E154" s="2194">
        <v>8.0419999999999998</v>
      </c>
      <c r="F154" s="2186">
        <f t="shared" si="72"/>
        <v>1.6084000000000001</v>
      </c>
      <c r="H154" s="1948">
        <v>21</v>
      </c>
      <c r="I154" s="1940" t="s">
        <v>542</v>
      </c>
      <c r="J154" s="1949"/>
      <c r="K154" s="2194">
        <v>4.0389999999999997</v>
      </c>
      <c r="L154" s="2198">
        <f t="shared" si="68"/>
        <v>0</v>
      </c>
      <c r="M154" s="1940">
        <f>+(L154+L155)/U12</f>
        <v>0.56986756554307116</v>
      </c>
      <c r="Y154" s="2325">
        <f>F9</f>
        <v>6</v>
      </c>
      <c r="Z154" s="981">
        <f>F21</f>
        <v>7</v>
      </c>
      <c r="AB154" s="1988"/>
      <c r="AG154" s="1940">
        <f>AG156</f>
        <v>8701.9919999999984</v>
      </c>
      <c r="AH154" s="2187" t="s">
        <v>571</v>
      </c>
      <c r="AK154" s="1957"/>
      <c r="AP154" s="2209"/>
      <c r="AQ154" s="2209"/>
      <c r="AR154" s="2336"/>
    </row>
    <row r="155" spans="1:53" ht="27.75" customHeight="1" thickBot="1">
      <c r="A155" s="1948"/>
      <c r="B155" s="2319">
        <v>16</v>
      </c>
      <c r="C155" s="1940" t="s">
        <v>542</v>
      </c>
      <c r="D155" s="1949">
        <v>5.53</v>
      </c>
      <c r="E155" s="2194">
        <v>4.0389999999999997</v>
      </c>
      <c r="F155" s="2186">
        <f t="shared" si="72"/>
        <v>22.33567</v>
      </c>
      <c r="G155" s="2186">
        <f>+(F155+F156)/(P74+AV13)</f>
        <v>0.49306114790286981</v>
      </c>
      <c r="H155" s="1948"/>
      <c r="I155" s="1940" t="s">
        <v>544</v>
      </c>
      <c r="J155" s="1949">
        <v>18.920000000000002</v>
      </c>
      <c r="K155" s="2194">
        <v>8.0419999999999998</v>
      </c>
      <c r="L155" s="2198">
        <f t="shared" si="68"/>
        <v>152.15464</v>
      </c>
      <c r="N155" s="1968"/>
      <c r="O155" s="1948"/>
      <c r="P155" s="1948"/>
      <c r="Q155" s="1948"/>
      <c r="R155" s="1948"/>
      <c r="S155" s="1948"/>
      <c r="T155" s="1948"/>
      <c r="U155" s="1948"/>
      <c r="V155" s="1948"/>
      <c r="W155" s="1948"/>
      <c r="X155" s="1948"/>
      <c r="Y155" s="2325">
        <f>G9</f>
        <v>7</v>
      </c>
      <c r="Z155" s="2325">
        <f>G21</f>
        <v>6</v>
      </c>
      <c r="AA155" s="1948"/>
      <c r="AB155" s="1948"/>
      <c r="AC155" s="1948"/>
      <c r="AD155" s="1948"/>
      <c r="AE155" s="1948"/>
      <c r="AG155" s="1940">
        <f>BC60</f>
        <v>11173.28</v>
      </c>
      <c r="AK155" s="1957"/>
      <c r="AP155" s="2209"/>
      <c r="AQ155" s="2209"/>
      <c r="AR155" s="2336"/>
    </row>
    <row r="156" spans="1:53" ht="27.75" customHeight="1">
      <c r="B156" s="2319"/>
      <c r="C156" s="1940" t="s">
        <v>544</v>
      </c>
      <c r="D156" s="1949"/>
      <c r="E156" s="2194">
        <v>8.0419999999999998</v>
      </c>
      <c r="F156" s="2186">
        <f t="shared" si="72"/>
        <v>0</v>
      </c>
      <c r="H156" s="1948">
        <v>22</v>
      </c>
      <c r="I156" s="1940" t="s">
        <v>542</v>
      </c>
      <c r="J156" s="1949"/>
      <c r="K156" s="2194">
        <v>4.0389999999999997</v>
      </c>
      <c r="L156" s="2198">
        <f t="shared" si="68"/>
        <v>0</v>
      </c>
      <c r="M156" s="1940">
        <f>+(L157+L158)/V12</f>
        <v>0.53782462936394071</v>
      </c>
      <c r="Y156" s="2326">
        <f>H9</f>
        <v>8</v>
      </c>
      <c r="Z156" s="2202">
        <f>H21</f>
        <v>7</v>
      </c>
      <c r="AB156" s="1988"/>
      <c r="AG156" s="1940">
        <f>AG155-AG153-AG152-AG151-AG150-AG148-AG147-AG146-AG145-AG144</f>
        <v>8701.9919999999984</v>
      </c>
      <c r="AI156" s="133"/>
      <c r="AJ156" s="2844" t="s">
        <v>575</v>
      </c>
      <c r="AK156" s="2845"/>
      <c r="AL156" s="2845"/>
      <c r="AM156" s="2845"/>
      <c r="AN156" s="2845"/>
      <c r="AO156" s="2845"/>
      <c r="AP156" s="2846"/>
      <c r="AQ156" s="2209"/>
      <c r="AR156" s="2336"/>
    </row>
    <row r="157" spans="1:53" ht="15.75" customHeight="1">
      <c r="B157" s="2319">
        <v>17</v>
      </c>
      <c r="C157" s="1940" t="s">
        <v>542</v>
      </c>
      <c r="D157" s="1949">
        <v>2.4</v>
      </c>
      <c r="E157" s="2194">
        <v>4.0389999999999997</v>
      </c>
      <c r="F157" s="2186">
        <f t="shared" si="72"/>
        <v>9.6935999999999982</v>
      </c>
      <c r="G157" s="2186">
        <f>+(F157+F158)/Q74</f>
        <v>0.18428897338403039</v>
      </c>
      <c r="H157" s="1948"/>
      <c r="I157" s="1940" t="s">
        <v>544</v>
      </c>
      <c r="J157" s="1949">
        <v>23.94</v>
      </c>
      <c r="K157" s="2194">
        <v>8.0419999999999998</v>
      </c>
      <c r="L157" s="2198">
        <f t="shared" si="68"/>
        <v>192.52548000000002</v>
      </c>
      <c r="Y157" s="2325">
        <f>I9</f>
        <v>9</v>
      </c>
      <c r="Z157" s="981">
        <f>I21</f>
        <v>7</v>
      </c>
      <c r="AB157" s="1988"/>
      <c r="AJ157" s="2330" t="s">
        <v>576</v>
      </c>
      <c r="AK157" s="1230" t="s">
        <v>577</v>
      </c>
      <c r="AL157" s="817" t="s">
        <v>578</v>
      </c>
      <c r="AM157" s="1230" t="s">
        <v>579</v>
      </c>
      <c r="AN157" s="258" t="s">
        <v>580</v>
      </c>
      <c r="AO157" s="1230" t="s">
        <v>581</v>
      </c>
      <c r="AP157" s="2339" t="s">
        <v>582</v>
      </c>
      <c r="AQ157" s="2209" t="s">
        <v>583</v>
      </c>
      <c r="AR157" s="2336" t="s">
        <v>584</v>
      </c>
      <c r="AS157" s="32" t="s">
        <v>585</v>
      </c>
      <c r="AT157" s="133" t="s">
        <v>586</v>
      </c>
    </row>
    <row r="158" spans="1:53" ht="24" customHeight="1">
      <c r="B158" s="2319"/>
      <c r="C158" s="1940" t="s">
        <v>544</v>
      </c>
      <c r="D158" s="1949"/>
      <c r="E158" s="2194">
        <v>8.0419999999999998</v>
      </c>
      <c r="F158" s="2186">
        <f t="shared" si="72"/>
        <v>0</v>
      </c>
      <c r="H158" s="1948">
        <v>23</v>
      </c>
      <c r="I158" s="1940" t="s">
        <v>542</v>
      </c>
      <c r="J158" s="1949">
        <v>8.02</v>
      </c>
      <c r="K158" s="2194">
        <v>4.0389999999999997</v>
      </c>
      <c r="L158" s="2198">
        <f t="shared" si="68"/>
        <v>32.392779999999995</v>
      </c>
      <c r="M158" s="2319"/>
      <c r="Y158" s="2325">
        <f>J9</f>
        <v>10</v>
      </c>
      <c r="Z158" s="981">
        <f>J21</f>
        <v>4</v>
      </c>
      <c r="AB158" s="1988"/>
      <c r="AG158" s="2187"/>
      <c r="AJ158" s="614" t="s">
        <v>532</v>
      </c>
      <c r="AK158" s="566">
        <f>134500/259.4</f>
        <v>518.50424055512724</v>
      </c>
      <c r="AL158" s="723">
        <f>160400/315.95</f>
        <v>507.67526507358764</v>
      </c>
      <c r="AM158" s="566">
        <f>149850/208.8</f>
        <v>717.67241379310337</v>
      </c>
      <c r="AN158" s="566">
        <f>129000/210.65</f>
        <v>612.39022074531215</v>
      </c>
      <c r="AO158" s="258">
        <v>610</v>
      </c>
      <c r="AP158" s="615">
        <v>655</v>
      </c>
      <c r="AQ158" s="32">
        <v>630</v>
      </c>
      <c r="AR158" s="32">
        <v>594</v>
      </c>
      <c r="AS158" s="32">
        <v>647</v>
      </c>
      <c r="AT158" s="133">
        <v>642</v>
      </c>
    </row>
    <row r="159" spans="1:53" ht="24" customHeight="1">
      <c r="B159" s="2319">
        <v>18</v>
      </c>
      <c r="C159" s="1940" t="s">
        <v>542</v>
      </c>
      <c r="D159" s="1949">
        <v>5.8</v>
      </c>
      <c r="E159" s="2194">
        <v>4.0389999999999997</v>
      </c>
      <c r="F159" s="2186">
        <f t="shared" si="72"/>
        <v>23.426199999999998</v>
      </c>
      <c r="G159" s="2186">
        <f>+(F159+F160)/R74</f>
        <v>0.96158692543411639</v>
      </c>
      <c r="H159" s="1948"/>
      <c r="I159" s="1940" t="s">
        <v>544</v>
      </c>
      <c r="J159" s="1949">
        <v>19.309999999999999</v>
      </c>
      <c r="K159" s="2194">
        <v>8.0419999999999998</v>
      </c>
      <c r="L159" s="2198">
        <f t="shared" si="68"/>
        <v>155.29101999999997</v>
      </c>
      <c r="M159" s="1940">
        <f>+(L159+L160)/W12</f>
        <v>0.50940188861985469</v>
      </c>
      <c r="Y159" s="2325">
        <f>K9</f>
        <v>11</v>
      </c>
      <c r="Z159" s="981">
        <f>K21</f>
        <v>6</v>
      </c>
      <c r="AB159" s="1988"/>
      <c r="AG159" s="2187"/>
      <c r="AJ159" s="614" t="s">
        <v>540</v>
      </c>
      <c r="AK159" s="566">
        <f>22200/259.4</f>
        <v>85.582112567463383</v>
      </c>
      <c r="AL159" s="723">
        <f>45000/315.95</f>
        <v>142.42759930368729</v>
      </c>
      <c r="AM159" s="566">
        <f>32900/208.8</f>
        <v>157.56704980842912</v>
      </c>
      <c r="AN159" s="566">
        <f>22400/210.65</f>
        <v>106.33752670306195</v>
      </c>
      <c r="AO159" s="258">
        <v>213</v>
      </c>
      <c r="AP159" s="615">
        <v>144</v>
      </c>
      <c r="AQ159" s="2209">
        <v>111</v>
      </c>
      <c r="AR159" s="2016">
        <v>98</v>
      </c>
      <c r="AS159" s="2209">
        <v>133</v>
      </c>
      <c r="AT159" s="1968">
        <v>121</v>
      </c>
    </row>
    <row r="160" spans="1:53" ht="18.75" customHeight="1">
      <c r="B160" s="2319"/>
      <c r="C160" s="1940" t="s">
        <v>544</v>
      </c>
      <c r="D160" s="1949">
        <v>2.94</v>
      </c>
      <c r="E160" s="2194">
        <v>8.0419999999999998</v>
      </c>
      <c r="F160" s="2186">
        <f t="shared" si="72"/>
        <v>23.64348</v>
      </c>
      <c r="H160" s="1948">
        <v>24</v>
      </c>
      <c r="I160" s="1940" t="s">
        <v>542</v>
      </c>
      <c r="J160" s="1949">
        <v>13.64</v>
      </c>
      <c r="K160" s="2194">
        <v>4.0389999999999997</v>
      </c>
      <c r="L160" s="2198">
        <f t="shared" si="68"/>
        <v>55.09196</v>
      </c>
      <c r="M160" s="1940">
        <f>+(L161+L162)/X12</f>
        <v>0.53886891117478508</v>
      </c>
      <c r="Y160" s="2325">
        <f>L9</f>
        <v>12</v>
      </c>
      <c r="Z160" s="981">
        <f>L21</f>
        <v>9</v>
      </c>
      <c r="AB160" s="1988"/>
      <c r="AG160" s="2187"/>
      <c r="AJ160" s="2331" t="s">
        <v>547</v>
      </c>
      <c r="AK160" s="566">
        <f>28600/259.4</f>
        <v>110.25443330763301</v>
      </c>
      <c r="AL160" s="723">
        <f>25900/315.95</f>
        <v>81.974996043677805</v>
      </c>
      <c r="AM160" s="566">
        <f>15300/208.8</f>
        <v>73.275862068965509</v>
      </c>
      <c r="AN160" s="2332">
        <f>19800/210.65</f>
        <v>93.994778067885122</v>
      </c>
      <c r="AO160" s="258">
        <v>156</v>
      </c>
      <c r="AP160" s="615">
        <v>309</v>
      </c>
      <c r="AQ160" s="32">
        <v>149</v>
      </c>
      <c r="AR160" s="32">
        <v>125</v>
      </c>
      <c r="AS160" s="2209">
        <v>195</v>
      </c>
      <c r="AT160" s="1968">
        <v>204</v>
      </c>
      <c r="AU160" s="2336"/>
    </row>
    <row r="161" spans="1:60" ht="29.25" customHeight="1">
      <c r="B161" s="2319">
        <v>19</v>
      </c>
      <c r="C161" s="1940" t="s">
        <v>542</v>
      </c>
      <c r="D161" s="1949"/>
      <c r="E161" s="2194">
        <v>4.0389999999999997</v>
      </c>
      <c r="F161" s="2186">
        <f t="shared" si="72"/>
        <v>0</v>
      </c>
      <c r="G161" s="2186">
        <f>+(F161+F162)/S74</f>
        <v>0.88716649642492329</v>
      </c>
      <c r="H161" s="1948"/>
      <c r="I161" s="1940" t="s">
        <v>544</v>
      </c>
      <c r="J161" s="1949">
        <v>12.08</v>
      </c>
      <c r="K161" s="2194">
        <v>8.0419999999999998</v>
      </c>
      <c r="L161" s="2198">
        <f t="shared" si="68"/>
        <v>97.147359999999992</v>
      </c>
      <c r="Y161" s="2325">
        <f>M9</f>
        <v>13</v>
      </c>
      <c r="Z161" s="981">
        <f>M21</f>
        <v>7</v>
      </c>
      <c r="AB161" s="1988"/>
      <c r="AE161" s="1940">
        <f>795232+274986</f>
        <v>1070218</v>
      </c>
      <c r="AG161" s="2187"/>
      <c r="AJ161" s="614" t="s">
        <v>554</v>
      </c>
      <c r="AK161" s="566">
        <v>259.39999999999998</v>
      </c>
      <c r="AL161" s="723">
        <v>315.95</v>
      </c>
      <c r="AM161" s="566">
        <v>208.8</v>
      </c>
      <c r="AN161" s="258">
        <v>211</v>
      </c>
      <c r="AO161" s="258">
        <v>211</v>
      </c>
      <c r="AP161" s="615">
        <v>249</v>
      </c>
      <c r="AQ161" s="32">
        <v>309</v>
      </c>
      <c r="AR161" s="32">
        <v>377</v>
      </c>
      <c r="AS161" s="32">
        <v>261</v>
      </c>
      <c r="AT161" s="133">
        <v>307</v>
      </c>
      <c r="AU161" s="2336"/>
    </row>
    <row r="162" spans="1:60" ht="29.25" customHeight="1">
      <c r="B162" s="2319"/>
      <c r="C162" s="1940" t="s">
        <v>544</v>
      </c>
      <c r="D162" s="1949">
        <v>5.4</v>
      </c>
      <c r="E162" s="2194">
        <v>8.0419999999999998</v>
      </c>
      <c r="F162" s="2186">
        <f t="shared" si="72"/>
        <v>43.4268</v>
      </c>
      <c r="H162" s="1948">
        <v>25</v>
      </c>
      <c r="I162" s="1940" t="s">
        <v>542</v>
      </c>
      <c r="J162" s="1949">
        <v>22.51</v>
      </c>
      <c r="K162" s="2194">
        <v>4.0389999999999997</v>
      </c>
      <c r="L162" s="2198">
        <f t="shared" si="68"/>
        <v>90.91789</v>
      </c>
      <c r="M162" s="1940">
        <f>+(L163+L164)/Y12</f>
        <v>0.48569619750283766</v>
      </c>
      <c r="Y162" s="981">
        <f>N9</f>
        <v>14</v>
      </c>
      <c r="Z162" s="981">
        <f>N21</f>
        <v>8</v>
      </c>
      <c r="AB162" s="1988"/>
      <c r="AG162" s="2187"/>
      <c r="AJ162" s="2331" t="s">
        <v>36</v>
      </c>
      <c r="AK162" s="566">
        <v>250.6</v>
      </c>
      <c r="AL162" s="723">
        <v>302.95</v>
      </c>
      <c r="AM162" s="566">
        <v>202.3</v>
      </c>
      <c r="AN162" s="258">
        <v>204</v>
      </c>
      <c r="AO162" s="258">
        <v>204</v>
      </c>
      <c r="AP162" s="615">
        <v>241</v>
      </c>
      <c r="AQ162" s="32">
        <v>300</v>
      </c>
      <c r="AR162" s="32">
        <v>364</v>
      </c>
      <c r="AS162" s="32">
        <v>253</v>
      </c>
      <c r="AT162" s="133">
        <v>294</v>
      </c>
    </row>
    <row r="163" spans="1:60" ht="21.75" customHeight="1" thickBot="1">
      <c r="B163" s="1941">
        <v>20</v>
      </c>
      <c r="C163" s="1940" t="s">
        <v>542</v>
      </c>
      <c r="D163" s="1949"/>
      <c r="E163" s="2194">
        <v>4.0389999999999997</v>
      </c>
      <c r="F163" s="2186">
        <f t="shared" si="72"/>
        <v>0</v>
      </c>
      <c r="G163" s="2186" t="e">
        <f>+(F163+F164)/T74</f>
        <v>#DIV/0!</v>
      </c>
      <c r="H163" s="1948"/>
      <c r="I163" s="1940" t="s">
        <v>544</v>
      </c>
      <c r="J163" s="1949">
        <v>9.35</v>
      </c>
      <c r="K163" s="2194">
        <v>8.0419999999999998</v>
      </c>
      <c r="L163" s="2198">
        <f t="shared" si="68"/>
        <v>75.192700000000002</v>
      </c>
      <c r="M163" s="2319">
        <f>L105</f>
        <v>0</v>
      </c>
      <c r="Y163" s="2325">
        <f>O9</f>
        <v>15</v>
      </c>
      <c r="Z163" s="981">
        <f>O21</f>
        <v>4</v>
      </c>
      <c r="AG163" s="2187"/>
      <c r="AJ163" s="2333" t="s">
        <v>587</v>
      </c>
      <c r="AK163" s="2334">
        <f>185300/259.4</f>
        <v>714.3407864302236</v>
      </c>
      <c r="AL163" s="726">
        <f>231300/315.95</f>
        <v>732.07786042095267</v>
      </c>
      <c r="AM163" s="2334">
        <f>198050/208.8</f>
        <v>948.51532567049799</v>
      </c>
      <c r="AN163" s="366">
        <v>813</v>
      </c>
      <c r="AO163" s="366">
        <v>765</v>
      </c>
      <c r="AP163" s="2340">
        <v>767.26</v>
      </c>
      <c r="AQ163" s="32">
        <v>595</v>
      </c>
      <c r="AR163" s="32">
        <v>623</v>
      </c>
      <c r="AS163" s="32">
        <v>571</v>
      </c>
      <c r="AT163" s="133">
        <v>602</v>
      </c>
    </row>
    <row r="164" spans="1:60" ht="23.25" customHeight="1">
      <c r="C164" s="1940" t="s">
        <v>544</v>
      </c>
      <c r="D164" s="1949">
        <v>2.95</v>
      </c>
      <c r="E164" s="2194">
        <v>8.0419999999999998</v>
      </c>
      <c r="F164" s="2186">
        <f t="shared" si="72"/>
        <v>23.7239</v>
      </c>
      <c r="H164" s="1948">
        <v>26</v>
      </c>
      <c r="I164" s="1940" t="s">
        <v>542</v>
      </c>
      <c r="J164" s="1949">
        <v>23.76</v>
      </c>
      <c r="K164" s="2194">
        <v>4.0389999999999997</v>
      </c>
      <c r="L164" s="2198">
        <f t="shared" si="68"/>
        <v>95.966639999999998</v>
      </c>
      <c r="M164" s="1940">
        <f>+(L165+L166)/Z12</f>
        <v>0.42399222222222221</v>
      </c>
      <c r="Y164" s="2325">
        <f>P9</f>
        <v>16</v>
      </c>
      <c r="Z164" s="981">
        <f>P21</f>
        <v>6</v>
      </c>
      <c r="AG164" s="2187"/>
    </row>
    <row r="165" spans="1:60" ht="17.25" customHeight="1">
      <c r="B165" s="1941">
        <v>21</v>
      </c>
      <c r="C165" s="1940" t="s">
        <v>542</v>
      </c>
      <c r="D165" s="1949"/>
      <c r="E165" s="2194">
        <v>4.0389999999999997</v>
      </c>
      <c r="F165" s="2186">
        <f t="shared" si="72"/>
        <v>0</v>
      </c>
      <c r="G165" s="2186">
        <f>+(F165+F166)/U74</f>
        <v>0.45288281573498967</v>
      </c>
      <c r="H165" s="1948"/>
      <c r="I165" s="1940" t="s">
        <v>544</v>
      </c>
      <c r="J165" s="1949">
        <v>10.59</v>
      </c>
      <c r="K165" s="2194">
        <v>8.0419999999999998</v>
      </c>
      <c r="L165" s="2198">
        <f t="shared" si="68"/>
        <v>85.164779999999993</v>
      </c>
      <c r="M165" s="2319">
        <f>L107</f>
        <v>0</v>
      </c>
      <c r="Y165" s="2325">
        <f>Q9</f>
        <v>17</v>
      </c>
      <c r="Z165" s="981">
        <f>Q21</f>
        <v>5</v>
      </c>
      <c r="AG165" s="2187"/>
      <c r="AQ165" s="2161"/>
    </row>
    <row r="166" spans="1:60" ht="18" customHeight="1">
      <c r="A166" s="1942"/>
      <c r="B166" s="1942"/>
      <c r="C166" s="1940" t="s">
        <v>544</v>
      </c>
      <c r="D166" s="1949">
        <v>2.72</v>
      </c>
      <c r="E166" s="2194">
        <v>8.0419999999999998</v>
      </c>
      <c r="F166" s="2186">
        <f t="shared" si="72"/>
        <v>21.87424</v>
      </c>
      <c r="G166" s="1942"/>
      <c r="H166" s="1948">
        <v>27</v>
      </c>
      <c r="I166" s="1940" t="s">
        <v>542</v>
      </c>
      <c r="J166" s="1949">
        <v>17.649999999999999</v>
      </c>
      <c r="K166" s="2194">
        <v>4.0389999999999997</v>
      </c>
      <c r="L166" s="2198">
        <f t="shared" si="68"/>
        <v>71.288349999999994</v>
      </c>
      <c r="M166" s="1940">
        <f>+(L167+L168)/AA12</f>
        <v>0.41187599999999996</v>
      </c>
      <c r="N166" s="1145"/>
      <c r="O166" s="1942"/>
      <c r="P166" s="1942"/>
      <c r="Q166" s="1942"/>
      <c r="R166" s="1942"/>
      <c r="S166" s="1942"/>
      <c r="T166" s="1942"/>
      <c r="U166" s="1942"/>
      <c r="V166" s="1942"/>
      <c r="W166" s="1942"/>
      <c r="X166" s="1942"/>
      <c r="Y166" s="2325">
        <f>R9</f>
        <v>18</v>
      </c>
      <c r="Z166" s="981">
        <f>R21</f>
        <v>7</v>
      </c>
      <c r="AA166" s="1942"/>
      <c r="AB166" s="1942"/>
      <c r="AC166" s="1942"/>
      <c r="AD166" s="1942"/>
      <c r="AE166" s="1942"/>
      <c r="AG166" s="2187"/>
      <c r="AJ166" s="1940" t="s">
        <v>587</v>
      </c>
      <c r="AK166" s="1951"/>
      <c r="AM166" s="2161"/>
      <c r="AO166" s="2161"/>
      <c r="AP166" s="2341">
        <f>191200/249.2</f>
        <v>767.25521669341902</v>
      </c>
    </row>
    <row r="167" spans="1:60" ht="30.75" customHeight="1">
      <c r="A167" s="1942"/>
      <c r="B167" s="1942">
        <v>22</v>
      </c>
      <c r="C167" s="1940" t="s">
        <v>542</v>
      </c>
      <c r="D167" s="1949"/>
      <c r="E167" s="2194">
        <v>4.0389999999999997</v>
      </c>
      <c r="F167" s="2186">
        <f t="shared" si="72"/>
        <v>0</v>
      </c>
      <c r="G167" s="2186">
        <f>+(F167+F168)/V74</f>
        <v>0.84242243346007595</v>
      </c>
      <c r="H167" s="1948"/>
      <c r="I167" s="1940" t="s">
        <v>544</v>
      </c>
      <c r="J167" s="1949">
        <v>10.99</v>
      </c>
      <c r="K167" s="2194">
        <v>8.0419999999999998</v>
      </c>
      <c r="L167" s="2198">
        <f t="shared" si="68"/>
        <v>88.38158</v>
      </c>
      <c r="M167" s="2319">
        <f>D109</f>
        <v>0</v>
      </c>
      <c r="N167" s="1145"/>
      <c r="O167" s="1942"/>
      <c r="P167" s="1942"/>
      <c r="Q167" s="1942"/>
      <c r="R167" s="1942"/>
      <c r="S167" s="1942"/>
      <c r="T167" s="1942"/>
      <c r="U167" s="1942"/>
      <c r="V167" s="1942"/>
      <c r="W167" s="1942"/>
      <c r="X167" s="1942"/>
      <c r="Y167" s="2325">
        <f>S9</f>
        <v>19</v>
      </c>
      <c r="Z167" s="981">
        <f>S21</f>
        <v>7</v>
      </c>
      <c r="AA167" s="1942"/>
      <c r="AB167" s="1942"/>
      <c r="AC167" s="1942"/>
      <c r="AD167" s="1942"/>
      <c r="AE167" s="1942"/>
      <c r="AF167" s="1942"/>
      <c r="AG167" s="2187"/>
      <c r="AP167" s="2336"/>
    </row>
    <row r="168" spans="1:60" ht="21" customHeight="1">
      <c r="C168" s="1940" t="s">
        <v>544</v>
      </c>
      <c r="D168" s="1949">
        <v>5.51</v>
      </c>
      <c r="E168" s="2194">
        <v>8.0419999999999998</v>
      </c>
      <c r="F168" s="2186">
        <f t="shared" si="72"/>
        <v>44.311419999999998</v>
      </c>
      <c r="H168" s="1948">
        <v>28</v>
      </c>
      <c r="I168" s="1940" t="s">
        <v>542</v>
      </c>
      <c r="J168" s="1949">
        <v>10.24</v>
      </c>
      <c r="K168" s="2194">
        <v>4.0389999999999997</v>
      </c>
      <c r="L168" s="2198">
        <f t="shared" si="68"/>
        <v>41.359359999999995</v>
      </c>
      <c r="M168" s="1940">
        <f>+(L169+L170)/AB12</f>
        <v>0.27648172413793104</v>
      </c>
      <c r="Y168" s="2325">
        <f>T9</f>
        <v>20</v>
      </c>
      <c r="Z168" s="981">
        <f>T21</f>
        <v>7</v>
      </c>
      <c r="AJ168" s="1951"/>
      <c r="AL168" s="2329"/>
    </row>
    <row r="169" spans="1:60" ht="26.25" customHeight="1">
      <c r="B169" s="1941">
        <v>23</v>
      </c>
      <c r="C169" s="1940" t="s">
        <v>542</v>
      </c>
      <c r="D169" s="1949"/>
      <c r="E169" s="2194">
        <v>4.0389999999999997</v>
      </c>
      <c r="F169" s="2186">
        <f t="shared" si="72"/>
        <v>0</v>
      </c>
      <c r="G169" s="2186">
        <f>+(F169+F170)/W74</f>
        <v>0.43199023331524689</v>
      </c>
      <c r="H169" s="1948"/>
      <c r="I169" s="1940" t="s">
        <v>544</v>
      </c>
      <c r="J169" s="1949">
        <v>9.82</v>
      </c>
      <c r="K169" s="2194">
        <v>8.0419999999999998</v>
      </c>
      <c r="L169" s="2198">
        <f t="shared" si="68"/>
        <v>78.972440000000006</v>
      </c>
      <c r="M169" s="2319"/>
      <c r="Y169" s="2325">
        <f>U9</f>
        <v>21</v>
      </c>
      <c r="Z169" s="981">
        <f>U21</f>
        <v>7</v>
      </c>
      <c r="AJ169" s="1957"/>
      <c r="AN169" s="133">
        <v>210.65</v>
      </c>
      <c r="AP169" s="2209"/>
    </row>
    <row r="170" spans="1:60" ht="18" customHeight="1">
      <c r="C170" s="1940" t="s">
        <v>544</v>
      </c>
      <c r="D170" s="1949">
        <v>4.95</v>
      </c>
      <c r="E170" s="2194">
        <v>8.0419999999999998</v>
      </c>
      <c r="F170" s="2186">
        <f t="shared" si="72"/>
        <v>39.807900000000004</v>
      </c>
      <c r="H170" s="1948">
        <v>29</v>
      </c>
      <c r="I170" s="1940" t="s">
        <v>542</v>
      </c>
      <c r="J170" s="1949">
        <v>16.18</v>
      </c>
      <c r="K170" s="2194">
        <v>4.0389999999999997</v>
      </c>
      <c r="L170" s="2198">
        <f t="shared" si="68"/>
        <v>65.351019999999991</v>
      </c>
      <c r="M170" s="1940">
        <f>+(L171+L172)/AC12</f>
        <v>0.23292272138228942</v>
      </c>
      <c r="Y170" s="2325">
        <f>V9</f>
        <v>22</v>
      </c>
      <c r="Z170" s="981">
        <f>V21</f>
        <v>6</v>
      </c>
      <c r="AL170" s="2335"/>
    </row>
    <row r="171" spans="1:60" ht="19.5" customHeight="1">
      <c r="B171" s="1941">
        <v>24</v>
      </c>
      <c r="C171" s="1940" t="s">
        <v>542</v>
      </c>
      <c r="D171" s="1949">
        <v>2.84</v>
      </c>
      <c r="E171" s="2194">
        <v>4.0389999999999997</v>
      </c>
      <c r="F171" s="2186">
        <f t="shared" si="72"/>
        <v>11.470759999999999</v>
      </c>
      <c r="G171" s="2186">
        <f>+(F171+F172)/X74</f>
        <v>0.31450931806350857</v>
      </c>
      <c r="H171" s="1948"/>
      <c r="I171" s="1940" t="s">
        <v>544</v>
      </c>
      <c r="J171" s="1949">
        <v>13.41</v>
      </c>
      <c r="K171" s="2194">
        <v>8.0419999999999998</v>
      </c>
      <c r="L171" s="2198">
        <f t="shared" si="68"/>
        <v>107.84322</v>
      </c>
      <c r="M171" s="2319"/>
      <c r="Y171" s="2325">
        <f>W9</f>
        <v>23</v>
      </c>
      <c r="Z171" s="981">
        <f>W21</f>
        <v>9</v>
      </c>
      <c r="AJ171" s="1957"/>
      <c r="AP171" s="2209"/>
    </row>
    <row r="172" spans="1:60" ht="24" customHeight="1">
      <c r="C172" s="1940" t="s">
        <v>544</v>
      </c>
      <c r="D172" s="1949">
        <v>2.33</v>
      </c>
      <c r="E172" s="2194">
        <v>8.0419999999999998</v>
      </c>
      <c r="F172" s="2186">
        <f t="shared" si="72"/>
        <v>18.737860000000001</v>
      </c>
      <c r="H172" s="1948">
        <v>30</v>
      </c>
      <c r="I172" s="1940" t="s">
        <v>542</v>
      </c>
      <c r="J172" s="1949"/>
      <c r="K172" s="2194">
        <v>4.0389999999999997</v>
      </c>
      <c r="L172" s="2198">
        <f t="shared" si="68"/>
        <v>0</v>
      </c>
      <c r="M172" s="1940">
        <f>+(L173+L174)/AD12</f>
        <v>0</v>
      </c>
      <c r="Y172" s="2325">
        <f>X9</f>
        <v>24</v>
      </c>
      <c r="Z172" s="981">
        <f>X21</f>
        <v>7</v>
      </c>
      <c r="AK172" s="1957"/>
      <c r="AL172" s="2335"/>
      <c r="AM172" s="2336"/>
    </row>
    <row r="173" spans="1:60" ht="18.75" customHeight="1">
      <c r="B173" s="1941">
        <v>25</v>
      </c>
      <c r="C173" s="1940" t="s">
        <v>542</v>
      </c>
      <c r="D173" s="1949">
        <v>5.82</v>
      </c>
      <c r="E173" s="2194">
        <v>4.0389999999999997</v>
      </c>
      <c r="F173" s="2186">
        <f t="shared" si="72"/>
        <v>23.506979999999999</v>
      </c>
      <c r="G173" s="2186">
        <f>+(F173+F174)/Y74</f>
        <v>0.48022431052093967</v>
      </c>
      <c r="H173" s="1948"/>
      <c r="I173" s="1940" t="s">
        <v>544</v>
      </c>
      <c r="J173" s="1949"/>
      <c r="K173" s="2194">
        <v>8.0419999999999998</v>
      </c>
      <c r="L173" s="2198">
        <f t="shared" si="68"/>
        <v>0</v>
      </c>
      <c r="Y173" s="2325">
        <f>Y9</f>
        <v>25</v>
      </c>
      <c r="Z173" s="981">
        <f>Y21</f>
        <v>6</v>
      </c>
      <c r="AL173" s="2329"/>
      <c r="AM173" s="2209"/>
    </row>
    <row r="174" spans="1:60" ht="18.75" customHeight="1">
      <c r="C174" s="1940" t="s">
        <v>544</v>
      </c>
      <c r="D174" s="1949"/>
      <c r="E174" s="2194">
        <v>8.0419999999999998</v>
      </c>
      <c r="F174" s="2186">
        <f t="shared" si="72"/>
        <v>0</v>
      </c>
      <c r="H174" s="1948">
        <v>31</v>
      </c>
      <c r="I174" s="1940" t="s">
        <v>542</v>
      </c>
      <c r="J174" s="1949"/>
      <c r="K174" s="2194">
        <v>4.0389999999999997</v>
      </c>
      <c r="L174" s="2198">
        <f t="shared" si="68"/>
        <v>0</v>
      </c>
      <c r="M174" s="1940">
        <f>(L174+L175)/AE12</f>
        <v>0</v>
      </c>
      <c r="Y174" s="2325">
        <f>Z9</f>
        <v>26</v>
      </c>
      <c r="Z174" s="981">
        <f>Z21</f>
        <v>8</v>
      </c>
      <c r="AK174" s="2337">
        <v>44564</v>
      </c>
      <c r="AL174" s="2338">
        <v>44595</v>
      </c>
      <c r="AM174" s="2422" t="s">
        <v>588</v>
      </c>
      <c r="AN174" s="2423" t="s">
        <v>589</v>
      </c>
      <c r="AO174" s="2342">
        <v>44684</v>
      </c>
      <c r="AP174" s="2424" t="s">
        <v>590</v>
      </c>
      <c r="AQ174" s="2342">
        <v>44745</v>
      </c>
      <c r="AR174" s="2342">
        <v>44776</v>
      </c>
      <c r="AS174" s="2424" t="s">
        <v>591</v>
      </c>
      <c r="AT174" s="2343">
        <v>44837</v>
      </c>
      <c r="AU174" s="2424" t="s">
        <v>592</v>
      </c>
      <c r="AV174" s="2424" t="s">
        <v>593</v>
      </c>
      <c r="AW174" s="32" t="s">
        <v>594</v>
      </c>
      <c r="AX174" s="32" t="s">
        <v>595</v>
      </c>
      <c r="AY174" s="2424" t="s">
        <v>596</v>
      </c>
      <c r="AZ174" s="2424" t="s">
        <v>597</v>
      </c>
      <c r="BA174" s="2424" t="s">
        <v>598</v>
      </c>
      <c r="BB174" s="2424" t="s">
        <v>599</v>
      </c>
      <c r="BC174" s="2423" t="s">
        <v>600</v>
      </c>
      <c r="BD174" s="2425" t="s">
        <v>601</v>
      </c>
      <c r="BE174" s="2425" t="s">
        <v>602</v>
      </c>
      <c r="BF174" s="2425" t="s">
        <v>603</v>
      </c>
      <c r="BG174" s="2425" t="s">
        <v>604</v>
      </c>
      <c r="BH174" s="2426" t="s">
        <v>605</v>
      </c>
    </row>
    <row r="175" spans="1:60" ht="25.5" customHeight="1">
      <c r="B175" s="1941">
        <v>26</v>
      </c>
      <c r="C175" s="1940" t="s">
        <v>542</v>
      </c>
      <c r="D175" s="1949">
        <v>3.6</v>
      </c>
      <c r="E175" s="2194">
        <v>4.0389999999999997</v>
      </c>
      <c r="F175" s="2186">
        <f t="shared" si="72"/>
        <v>14.5404</v>
      </c>
      <c r="G175" s="2186">
        <f>+(F175+F176)/Z74</f>
        <v>0.14311417322834646</v>
      </c>
      <c r="H175" s="1948"/>
      <c r="I175" s="1940" t="s">
        <v>544</v>
      </c>
      <c r="J175" s="1986"/>
      <c r="K175" s="2194">
        <v>8.0419999999999998</v>
      </c>
      <c r="L175" s="2198">
        <f t="shared" si="68"/>
        <v>0</v>
      </c>
      <c r="Y175" s="2159">
        <f>AA9</f>
        <v>27</v>
      </c>
      <c r="Z175" s="1978">
        <f>AA21</f>
        <v>8</v>
      </c>
      <c r="AH175" s="1940" t="s">
        <v>606</v>
      </c>
      <c r="AI175" s="1940" t="s">
        <v>607</v>
      </c>
      <c r="AK175" s="1940">
        <v>648</v>
      </c>
      <c r="AL175" s="1333">
        <v>752</v>
      </c>
      <c r="AM175" s="2209">
        <v>701</v>
      </c>
      <c r="AN175" s="133">
        <v>739</v>
      </c>
      <c r="AO175" s="32">
        <v>745</v>
      </c>
      <c r="AP175" s="32">
        <v>792</v>
      </c>
      <c r="AQ175" s="32">
        <v>794</v>
      </c>
      <c r="AR175" s="32">
        <v>701</v>
      </c>
      <c r="AS175" s="32">
        <v>766</v>
      </c>
      <c r="AT175" s="133">
        <v>753</v>
      </c>
      <c r="AU175" s="32">
        <v>686</v>
      </c>
      <c r="AV175" s="32">
        <v>749</v>
      </c>
      <c r="AW175" s="133">
        <v>702</v>
      </c>
      <c r="AX175" s="133">
        <v>697</v>
      </c>
      <c r="AY175" s="133">
        <v>714</v>
      </c>
      <c r="AZ175" s="133">
        <v>793</v>
      </c>
      <c r="BA175" s="133">
        <v>757</v>
      </c>
      <c r="BB175" s="133">
        <v>767</v>
      </c>
      <c r="BC175" s="133">
        <v>595</v>
      </c>
      <c r="BD175" s="1940">
        <v>623</v>
      </c>
      <c r="BE175" s="1940">
        <v>571</v>
      </c>
      <c r="BF175" s="1940">
        <v>602</v>
      </c>
      <c r="BG175" s="1940">
        <v>712</v>
      </c>
      <c r="BH175" s="131">
        <v>717</v>
      </c>
    </row>
    <row r="176" spans="1:60" ht="21.75" customHeight="1" thickBot="1">
      <c r="C176" s="1940" t="s">
        <v>544</v>
      </c>
      <c r="D176" s="1949"/>
      <c r="E176" s="2194">
        <v>8.0419999999999998</v>
      </c>
      <c r="F176" s="2186">
        <f t="shared" si="72"/>
        <v>0</v>
      </c>
      <c r="J176" s="1986"/>
      <c r="L176" s="2198"/>
      <c r="Y176" s="2159">
        <f>AB9</f>
        <v>28</v>
      </c>
      <c r="Z176" s="1978">
        <f>AB21</f>
        <v>9</v>
      </c>
      <c r="AH176" s="1940" t="s">
        <v>608</v>
      </c>
      <c r="AK176" s="1940">
        <v>739</v>
      </c>
      <c r="AL176" s="1333">
        <v>770</v>
      </c>
      <c r="AM176" s="2209">
        <v>745</v>
      </c>
      <c r="AN176" s="133">
        <v>775</v>
      </c>
      <c r="AO176" s="32">
        <v>772</v>
      </c>
      <c r="AP176" s="32">
        <v>794</v>
      </c>
      <c r="AQ176" s="32">
        <v>798</v>
      </c>
      <c r="AR176" s="32">
        <v>736</v>
      </c>
      <c r="AS176" s="32">
        <v>829</v>
      </c>
      <c r="AT176" s="133">
        <v>787</v>
      </c>
      <c r="AU176" s="32">
        <v>756</v>
      </c>
      <c r="AV176" s="32">
        <v>785</v>
      </c>
      <c r="AW176" s="2334">
        <f>185300/259.4</f>
        <v>714.3407864302236</v>
      </c>
      <c r="AX176" s="2334">
        <f>231300/315.95</f>
        <v>732.07786042095267</v>
      </c>
      <c r="AY176" s="2334">
        <f>198050/208.8</f>
        <v>948.51532567049799</v>
      </c>
      <c r="AZ176" s="366">
        <v>813</v>
      </c>
      <c r="BA176" s="366">
        <v>765</v>
      </c>
      <c r="BB176" s="2340">
        <v>825</v>
      </c>
      <c r="BC176" s="133">
        <v>599</v>
      </c>
      <c r="BD176" s="1940">
        <v>659</v>
      </c>
      <c r="BE176" s="1940">
        <v>609</v>
      </c>
      <c r="BF176" s="1940">
        <v>754</v>
      </c>
      <c r="BG176" s="1940">
        <v>719</v>
      </c>
      <c r="BH176" s="131">
        <v>773</v>
      </c>
    </row>
    <row r="177" spans="1:39" ht="33" customHeight="1">
      <c r="A177" s="2159"/>
      <c r="B177" s="2321">
        <v>27</v>
      </c>
      <c r="C177" s="1940" t="s">
        <v>542</v>
      </c>
      <c r="D177" s="1949">
        <v>6.25</v>
      </c>
      <c r="E177" s="2194">
        <v>4.0389999999999997</v>
      </c>
      <c r="F177" s="2186">
        <f t="shared" si="72"/>
        <v>25.243749999999999</v>
      </c>
      <c r="G177" s="2186">
        <f>+(F177+F178)/AA74</f>
        <v>0.23995960076045625</v>
      </c>
      <c r="J177" s="1986"/>
      <c r="Y177" s="2159">
        <f>AC9</f>
        <v>29</v>
      </c>
      <c r="Z177" s="1978">
        <f>AC21</f>
        <v>9</v>
      </c>
      <c r="AM177" s="2209"/>
    </row>
    <row r="178" spans="1:39" ht="27" customHeight="1">
      <c r="A178" s="1957"/>
      <c r="B178" s="1950"/>
      <c r="C178" s="1940" t="s">
        <v>544</v>
      </c>
      <c r="D178" s="1949"/>
      <c r="E178" s="2194">
        <v>8.0419999999999998</v>
      </c>
      <c r="F178" s="2186">
        <f t="shared" si="72"/>
        <v>0</v>
      </c>
      <c r="G178" s="1948"/>
      <c r="J178" s="1986"/>
      <c r="Y178" s="2159">
        <f>AD9</f>
        <v>30</v>
      </c>
      <c r="Z178" s="1978">
        <f>AD21</f>
        <v>9</v>
      </c>
      <c r="AM178" s="2209"/>
    </row>
    <row r="179" spans="1:39" ht="45" customHeight="1">
      <c r="A179" s="1957"/>
      <c r="B179" s="1950">
        <v>28</v>
      </c>
      <c r="C179" s="1940" t="s">
        <v>542</v>
      </c>
      <c r="D179" s="1949">
        <v>7.25</v>
      </c>
      <c r="E179" s="2194">
        <v>4.0389999999999997</v>
      </c>
      <c r="F179" s="1948">
        <f t="shared" si="72"/>
        <v>29.282749999999997</v>
      </c>
      <c r="G179" s="2186" t="e">
        <f>+(F179+F180)/AB4</f>
        <v>#DIV/0!</v>
      </c>
      <c r="J179" s="1986"/>
      <c r="Y179" s="2159">
        <f>AE9</f>
        <v>31</v>
      </c>
      <c r="Z179" s="1978">
        <f>AE21</f>
        <v>8</v>
      </c>
      <c r="AM179" s="2209"/>
    </row>
    <row r="180" spans="1:39" ht="15" customHeight="1">
      <c r="A180" s="1957"/>
      <c r="B180" s="1950"/>
      <c r="C180" s="1940" t="s">
        <v>544</v>
      </c>
      <c r="D180" s="1949"/>
      <c r="E180" s="2194">
        <v>8.0419999999999998</v>
      </c>
      <c r="F180" s="1948"/>
      <c r="G180" s="1948"/>
      <c r="J180" s="1986"/>
      <c r="Y180" s="2324"/>
      <c r="Z180" s="981">
        <f>SUM(Z149:Z179)</f>
        <v>215</v>
      </c>
      <c r="AM180" s="2161"/>
    </row>
    <row r="181" spans="1:39">
      <c r="A181" s="1957"/>
      <c r="B181" s="1950">
        <v>29</v>
      </c>
      <c r="C181" s="1940" t="s">
        <v>542</v>
      </c>
      <c r="D181" s="1949">
        <v>8.25</v>
      </c>
      <c r="E181" s="2194">
        <v>4.0389999999999997</v>
      </c>
      <c r="F181" s="2186">
        <f t="shared" ref="F181:F186" si="88">+D181*E181</f>
        <v>33.321749999999994</v>
      </c>
      <c r="G181" s="2186">
        <f>+(F181+F182)/AC74</f>
        <v>0.32040144230769224</v>
      </c>
      <c r="J181" s="1986"/>
      <c r="Y181" s="2324"/>
      <c r="Z181" s="981"/>
      <c r="AM181" s="2209"/>
    </row>
    <row r="182" spans="1:39">
      <c r="A182" s="1957"/>
      <c r="B182" s="1950"/>
      <c r="C182" s="1940" t="s">
        <v>544</v>
      </c>
      <c r="D182" s="1949"/>
      <c r="E182" s="2194">
        <v>8.0419999999999998</v>
      </c>
      <c r="F182" s="2186">
        <f t="shared" si="88"/>
        <v>0</v>
      </c>
      <c r="G182" s="1948"/>
      <c r="J182" s="1986"/>
      <c r="Y182" s="2324"/>
      <c r="Z182" s="981"/>
    </row>
    <row r="183" spans="1:39">
      <c r="A183" s="1957"/>
      <c r="B183" s="1950">
        <v>30</v>
      </c>
      <c r="C183" s="1940" t="s">
        <v>542</v>
      </c>
      <c r="D183" s="1949"/>
      <c r="E183" s="2194">
        <v>4.0389999999999997</v>
      </c>
      <c r="F183" s="2186">
        <f t="shared" si="88"/>
        <v>0</v>
      </c>
      <c r="G183" s="2186">
        <f>+(F183+F184)/AD74</f>
        <v>0</v>
      </c>
      <c r="H183" s="1948"/>
      <c r="J183" s="1986"/>
      <c r="Y183" s="2324"/>
      <c r="Z183" s="981"/>
    </row>
    <row r="184" spans="1:39">
      <c r="A184" s="1957"/>
      <c r="B184" s="1950"/>
      <c r="C184" s="1940" t="s">
        <v>544</v>
      </c>
      <c r="D184" s="1949"/>
      <c r="E184" s="2194">
        <v>8.0419999999999998</v>
      </c>
      <c r="F184" s="2186">
        <f t="shared" si="88"/>
        <v>0</v>
      </c>
      <c r="G184" s="1948"/>
      <c r="H184" s="1948"/>
      <c r="J184" s="1986"/>
      <c r="Y184" s="2324"/>
      <c r="Z184" s="981"/>
    </row>
    <row r="185" spans="1:39">
      <c r="A185" s="1957"/>
      <c r="B185" s="1950">
        <v>31</v>
      </c>
      <c r="C185" s="1940" t="s">
        <v>542</v>
      </c>
      <c r="D185" s="1949"/>
      <c r="E185" s="2194">
        <v>4.0389999999999997</v>
      </c>
      <c r="F185" s="2186">
        <f t="shared" si="88"/>
        <v>0</v>
      </c>
      <c r="G185" s="2186">
        <f>+(F185+F186)/AE74</f>
        <v>0</v>
      </c>
      <c r="H185" s="1948"/>
      <c r="J185" s="1986"/>
      <c r="Y185" s="2324"/>
      <c r="Z185" s="981"/>
    </row>
    <row r="186" spans="1:39">
      <c r="A186" s="1957"/>
      <c r="B186" s="1950"/>
      <c r="C186" s="1940" t="s">
        <v>544</v>
      </c>
      <c r="D186" s="1949"/>
      <c r="E186" s="2194">
        <v>8.0419999999999998</v>
      </c>
      <c r="F186" s="2186">
        <f t="shared" si="88"/>
        <v>0</v>
      </c>
      <c r="G186" s="1948"/>
      <c r="H186" s="1948"/>
      <c r="J186" s="1986"/>
      <c r="Y186" s="2324"/>
      <c r="Z186" s="981"/>
    </row>
    <row r="187" spans="1:39">
      <c r="A187" s="1957"/>
      <c r="B187" s="1950"/>
      <c r="C187" s="1948"/>
      <c r="D187" s="1948"/>
      <c r="E187" s="1948"/>
      <c r="F187" s="1948"/>
      <c r="G187" s="1948"/>
      <c r="H187" s="1948"/>
      <c r="J187" s="1986"/>
    </row>
    <row r="188" spans="1:39">
      <c r="A188" s="1957"/>
      <c r="B188" s="1950"/>
      <c r="C188" s="1948"/>
      <c r="D188" s="1948"/>
      <c r="E188" s="1948"/>
      <c r="F188" s="1948"/>
      <c r="G188" s="1948"/>
      <c r="H188" s="1948"/>
      <c r="J188" s="1986"/>
    </row>
    <row r="189" spans="1:39">
      <c r="A189" s="1957"/>
      <c r="B189" s="1950"/>
      <c r="C189" s="1948"/>
      <c r="D189" s="1948"/>
      <c r="E189" s="1948"/>
      <c r="F189" s="1948"/>
      <c r="G189" s="1948"/>
      <c r="H189" s="1948"/>
      <c r="J189" s="1986"/>
    </row>
    <row r="190" spans="1:39">
      <c r="A190" s="1957"/>
      <c r="B190" s="1950"/>
      <c r="C190" s="1948"/>
      <c r="D190" s="1948"/>
      <c r="E190" s="1948"/>
      <c r="F190" s="1948"/>
      <c r="G190" s="1948"/>
      <c r="H190" s="1948"/>
      <c r="J190" s="1986"/>
    </row>
    <row r="191" spans="1:39">
      <c r="A191" s="1957"/>
      <c r="B191" s="1950"/>
      <c r="C191" s="1948"/>
      <c r="D191" s="1948"/>
      <c r="E191" s="1948"/>
      <c r="F191" s="1948"/>
      <c r="G191" s="1948"/>
      <c r="H191" s="1948"/>
      <c r="J191" s="1986"/>
    </row>
    <row r="192" spans="1:39">
      <c r="A192" s="1957"/>
      <c r="B192" s="1950"/>
      <c r="C192" s="1948"/>
      <c r="D192" s="1948"/>
      <c r="E192" s="1948"/>
      <c r="F192" s="1948"/>
      <c r="G192" s="1948"/>
      <c r="H192" s="1948"/>
      <c r="J192" s="1986"/>
    </row>
    <row r="193" spans="1:10">
      <c r="A193" s="1957"/>
      <c r="B193" s="1950"/>
      <c r="C193" s="1948"/>
      <c r="D193" s="1948"/>
      <c r="E193" s="1948"/>
      <c r="F193" s="1948"/>
      <c r="G193" s="1948"/>
      <c r="H193" s="1948"/>
      <c r="J193" s="1986"/>
    </row>
    <row r="194" spans="1:10">
      <c r="A194" s="1957"/>
      <c r="B194" s="1950"/>
      <c r="C194" s="1948"/>
      <c r="D194" s="1948"/>
      <c r="E194" s="1948"/>
      <c r="F194" s="1948"/>
      <c r="G194" s="1948"/>
      <c r="H194" s="1948"/>
      <c r="J194" s="1986"/>
    </row>
    <row r="195" spans="1:10">
      <c r="A195" s="1957"/>
      <c r="B195" s="1950"/>
      <c r="C195" s="1948"/>
      <c r="D195" s="1948"/>
      <c r="E195" s="1948"/>
      <c r="F195" s="1948"/>
      <c r="G195" s="1948"/>
      <c r="H195" s="1948"/>
      <c r="J195" s="1986"/>
    </row>
    <row r="196" spans="1:10">
      <c r="A196" s="1957"/>
      <c r="B196" s="1950"/>
      <c r="C196" s="1948"/>
      <c r="D196" s="1948"/>
      <c r="F196" s="1948"/>
      <c r="G196" s="1948"/>
      <c r="H196" s="1948"/>
      <c r="J196" s="1986"/>
    </row>
    <row r="197" spans="1:10">
      <c r="A197" s="1957"/>
      <c r="B197" s="1950"/>
      <c r="C197" s="1948"/>
      <c r="D197" s="1948"/>
      <c r="F197" s="1948"/>
      <c r="G197" s="1948"/>
      <c r="H197" s="1948"/>
      <c r="J197" s="1986"/>
    </row>
    <row r="198" spans="1:10">
      <c r="A198" s="1957"/>
      <c r="B198" s="1950"/>
      <c r="C198" s="1948"/>
      <c r="D198" s="1948"/>
      <c r="F198" s="1948"/>
      <c r="G198" s="1948"/>
      <c r="H198" s="1948"/>
      <c r="J198" s="1986"/>
    </row>
    <row r="199" spans="1:10">
      <c r="A199" s="1957"/>
      <c r="B199" s="1950"/>
      <c r="C199" s="1948"/>
      <c r="D199" s="1948"/>
      <c r="F199" s="1948"/>
      <c r="G199" s="1948"/>
      <c r="H199" s="1948"/>
      <c r="J199" s="1986"/>
    </row>
    <row r="200" spans="1:10">
      <c r="A200" s="1957"/>
      <c r="B200" s="1950"/>
      <c r="C200" s="1948"/>
      <c r="D200" s="1948"/>
      <c r="F200" s="1948"/>
      <c r="G200" s="1948"/>
      <c r="H200" s="1948"/>
      <c r="J200" s="1986"/>
    </row>
    <row r="201" spans="1:10">
      <c r="A201" s="1957"/>
      <c r="B201" s="1950"/>
      <c r="C201" s="1948"/>
      <c r="D201" s="1948"/>
      <c r="E201" s="1948"/>
      <c r="F201" s="1948"/>
      <c r="G201" s="1948"/>
      <c r="H201" s="1948"/>
      <c r="J201" s="1986"/>
    </row>
    <row r="202" spans="1:10">
      <c r="A202" s="1957"/>
      <c r="B202" s="1950"/>
      <c r="C202" s="1948"/>
      <c r="D202" s="1948"/>
      <c r="E202" s="1948"/>
      <c r="F202" s="1948"/>
      <c r="G202" s="1948"/>
      <c r="H202" s="1948"/>
      <c r="J202" s="1986"/>
    </row>
    <row r="203" spans="1:10">
      <c r="A203" s="1957"/>
      <c r="B203" s="1950"/>
      <c r="C203" s="1948"/>
      <c r="D203" s="1948"/>
      <c r="E203" s="1948"/>
      <c r="F203" s="1948"/>
      <c r="G203" s="1948"/>
      <c r="H203" s="1948"/>
    </row>
    <row r="204" spans="1:10">
      <c r="A204" s="1957"/>
      <c r="B204" s="1950"/>
      <c r="C204" s="1948"/>
      <c r="D204" s="1948"/>
      <c r="E204" s="1948"/>
      <c r="F204" s="1948"/>
      <c r="G204" s="1948"/>
      <c r="H204" s="1948"/>
    </row>
    <row r="205" spans="1:10">
      <c r="A205" s="1957"/>
      <c r="B205" s="1950"/>
      <c r="C205" s="1948"/>
      <c r="D205" s="1948"/>
      <c r="E205" s="1948"/>
      <c r="F205" s="1948"/>
      <c r="G205" s="1948"/>
      <c r="H205" s="1948"/>
    </row>
    <row r="206" spans="1:10">
      <c r="A206" s="1957"/>
      <c r="B206" s="1950"/>
      <c r="C206" s="1948"/>
      <c r="D206" s="1948"/>
      <c r="E206" s="1948"/>
      <c r="F206" s="1948"/>
      <c r="G206" s="1948"/>
      <c r="H206" s="1948"/>
      <c r="I206" s="1948"/>
    </row>
    <row r="207" spans="1:10">
      <c r="A207" s="1957"/>
      <c r="B207" s="1950"/>
      <c r="C207" s="1948"/>
      <c r="D207" s="1948"/>
      <c r="E207" s="1948"/>
      <c r="F207" s="1948"/>
      <c r="G207" s="1948"/>
      <c r="H207" s="1948"/>
      <c r="I207" s="1948"/>
    </row>
    <row r="208" spans="1:10">
      <c r="A208" s="1957"/>
      <c r="B208" s="1950"/>
      <c r="C208" s="1948"/>
      <c r="D208" s="1948"/>
      <c r="E208" s="1948"/>
      <c r="F208" s="1948"/>
      <c r="G208" s="1948"/>
      <c r="H208" s="1948"/>
      <c r="I208" s="1948"/>
    </row>
    <row r="213" spans="1:38">
      <c r="AE213" s="1940">
        <v>9.3000000000000007</v>
      </c>
      <c r="AG213" s="258" t="s">
        <v>3960</v>
      </c>
      <c r="AH213" s="258" t="s">
        <v>2139</v>
      </c>
    </row>
    <row r="214" spans="1:38" ht="18">
      <c r="AE214" s="1940">
        <v>16.899999999999999</v>
      </c>
      <c r="AG214" s="2574">
        <v>1</v>
      </c>
      <c r="AH214" s="2574" t="s">
        <v>3953</v>
      </c>
      <c r="AL214" s="1940">
        <v>1</v>
      </c>
    </row>
    <row r="215" spans="1:38" ht="18">
      <c r="AE215" s="1940">
        <v>8.1</v>
      </c>
      <c r="AG215" s="2574">
        <v>2</v>
      </c>
      <c r="AH215" s="2574" t="s">
        <v>3954</v>
      </c>
      <c r="AL215" s="1940">
        <v>1</v>
      </c>
    </row>
    <row r="216" spans="1:38" ht="18">
      <c r="A216" s="1957" t="s">
        <v>609</v>
      </c>
      <c r="AE216" s="1940">
        <v>7.5</v>
      </c>
      <c r="AG216" s="2574">
        <v>3</v>
      </c>
      <c r="AH216" s="2574" t="s">
        <v>3955</v>
      </c>
      <c r="AL216" s="1940">
        <v>1</v>
      </c>
    </row>
    <row r="217" spans="1:38" ht="18">
      <c r="A217" s="1957" t="s">
        <v>610</v>
      </c>
      <c r="B217" s="1950">
        <v>26</v>
      </c>
      <c r="AE217" s="1940">
        <v>3.4</v>
      </c>
      <c r="AG217" s="2574">
        <v>4</v>
      </c>
      <c r="AH217" s="2574" t="s">
        <v>3956</v>
      </c>
      <c r="AL217" s="1940">
        <v>1</v>
      </c>
    </row>
    <row r="218" spans="1:38" ht="18">
      <c r="A218" s="1957" t="s">
        <v>611</v>
      </c>
      <c r="B218" s="1950">
        <v>47</v>
      </c>
      <c r="AE218" s="1940">
        <f>SUM(AE173:AE217)</f>
        <v>45.199999999999996</v>
      </c>
      <c r="AG218" s="2574">
        <v>5</v>
      </c>
      <c r="AH218" s="2574" t="s">
        <v>3957</v>
      </c>
      <c r="AL218" s="1940">
        <v>1</v>
      </c>
    </row>
    <row r="219" spans="1:38" ht="18">
      <c r="A219" s="1957" t="s">
        <v>612</v>
      </c>
      <c r="B219" s="1950">
        <v>38</v>
      </c>
      <c r="AG219" s="2574">
        <v>6</v>
      </c>
      <c r="AH219" s="2574" t="s">
        <v>3958</v>
      </c>
      <c r="AL219" s="1940">
        <v>1</v>
      </c>
    </row>
    <row r="220" spans="1:38" ht="18">
      <c r="A220" s="1957" t="s">
        <v>613</v>
      </c>
      <c r="B220" s="1950">
        <f>39.971+5.038</f>
        <v>45.009</v>
      </c>
      <c r="AG220" s="2574">
        <v>7</v>
      </c>
      <c r="AH220" s="2574" t="s">
        <v>3959</v>
      </c>
      <c r="AL220" s="1940">
        <v>1</v>
      </c>
    </row>
    <row r="221" spans="1:38" ht="18">
      <c r="A221" s="1957" t="s">
        <v>614</v>
      </c>
      <c r="B221" s="1950">
        <v>10.196999999999999</v>
      </c>
      <c r="AL221" s="1940"/>
    </row>
    <row r="222" spans="1:38">
      <c r="A222" s="1957" t="s">
        <v>615</v>
      </c>
      <c r="B222" s="1950">
        <v>0</v>
      </c>
    </row>
    <row r="223" spans="1:38">
      <c r="A223" s="1957" t="s">
        <v>616</v>
      </c>
      <c r="B223" s="1950">
        <v>0</v>
      </c>
    </row>
    <row r="224" spans="1:38">
      <c r="A224" s="1957" t="s">
        <v>617</v>
      </c>
      <c r="B224" s="1950">
        <v>0</v>
      </c>
    </row>
    <row r="225" spans="1:2">
      <c r="A225" s="1957" t="s">
        <v>618</v>
      </c>
      <c r="B225" s="1950">
        <v>0</v>
      </c>
    </row>
    <row r="226" spans="1:2">
      <c r="B226" s="1952" t="s">
        <v>298</v>
      </c>
    </row>
    <row r="227" spans="1:2">
      <c r="B227" s="1950">
        <f>SUM(B217:B225)</f>
        <v>166.20600000000002</v>
      </c>
    </row>
  </sheetData>
  <mergeCells count="31">
    <mergeCell ref="AW113:AX113"/>
    <mergeCell ref="AW114:AX114"/>
    <mergeCell ref="B124:G124"/>
    <mergeCell ref="AJ156:AP156"/>
    <mergeCell ref="B109:E109"/>
    <mergeCell ref="AW109:AX109"/>
    <mergeCell ref="AW110:AX110"/>
    <mergeCell ref="AW111:AX111"/>
    <mergeCell ref="AW112:AX112"/>
    <mergeCell ref="J109:M109"/>
    <mergeCell ref="AY91:BC91"/>
    <mergeCell ref="AM92:AN92"/>
    <mergeCell ref="AP99:AQ99"/>
    <mergeCell ref="AN107:AO107"/>
    <mergeCell ref="AY108:BC108"/>
    <mergeCell ref="AQ84:AR84"/>
    <mergeCell ref="BA84:BC84"/>
    <mergeCell ref="AS85:AT85"/>
    <mergeCell ref="AS86:AT86"/>
    <mergeCell ref="AS87:AT87"/>
    <mergeCell ref="BA87:BC87"/>
    <mergeCell ref="AQ6:AR6"/>
    <mergeCell ref="AL7:AW7"/>
    <mergeCell ref="AM8:AN8"/>
    <mergeCell ref="BA8:BC8"/>
    <mergeCell ref="BA33:BC33"/>
    <mergeCell ref="AJ1:AK1"/>
    <mergeCell ref="AX1:AY1"/>
    <mergeCell ref="AL2:AW2"/>
    <mergeCell ref="AL3:AW3"/>
    <mergeCell ref="AL5:AW5"/>
  </mergeCells>
  <conditionalFormatting sqref="AL214:AL2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{A6976DA2-EE35-476A-8FB1-A0C994D44765}</x14:id>
        </ext>
      </extLst>
    </cfRule>
  </conditionalFormatting>
  <pageMargins left="1.0683760683760684E-2" right="0.39370078740157483" top="1.3354700854700855E-3" bottom="0" header="0.19685039370078741" footer="0.31496062992125984"/>
  <pageSetup paperSize="9" scale="27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976DA2-EE35-476A-8FB1-A0C994D44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AL214:AL220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22"/>
  <sheetViews>
    <sheetView tabSelected="1" topLeftCell="A26" zoomScale="66" zoomScaleNormal="66" zoomScaleSheetLayoutView="100" zoomScalePageLayoutView="75" workbookViewId="0">
      <selection activeCell="D46" sqref="D46"/>
    </sheetView>
  </sheetViews>
  <sheetFormatPr defaultColWidth="9.140625" defaultRowHeight="25.5"/>
  <cols>
    <col min="1" max="1" width="58.42578125" style="1734" customWidth="1"/>
    <col min="2" max="2" width="25" style="1734" customWidth="1"/>
    <col min="3" max="3" width="19.7109375" style="1734" customWidth="1"/>
    <col min="4" max="4" width="19.140625" style="1734" customWidth="1"/>
    <col min="5" max="5" width="21" style="1734" customWidth="1"/>
    <col min="6" max="6" width="19.140625" style="1734" customWidth="1"/>
    <col min="7" max="7" width="17.5703125" style="1735" customWidth="1"/>
    <col min="8" max="8" width="23.85546875" style="1735" customWidth="1"/>
    <col min="9" max="9" width="23.140625" style="1734" customWidth="1"/>
    <col min="10" max="10" width="23.85546875" style="1734" customWidth="1"/>
    <col min="11" max="11" width="32.140625" style="1734" customWidth="1"/>
    <col min="12" max="12" width="31.7109375" style="1734" customWidth="1"/>
    <col min="13" max="13" width="34" style="1735" customWidth="1"/>
    <col min="14" max="14" width="30.85546875" style="2260" customWidth="1"/>
    <col min="15" max="15" width="19.5703125" style="1734" customWidth="1"/>
    <col min="16" max="16" width="73.140625" style="1734" customWidth="1"/>
    <col min="17" max="17" width="15.85546875" style="1734" customWidth="1"/>
    <col min="18" max="18" width="11.5703125" style="1734" customWidth="1"/>
    <col min="19" max="19" width="13.28515625" style="1734" customWidth="1"/>
    <col min="20" max="20" width="17.85546875" style="1734" customWidth="1"/>
    <col min="21" max="21" width="25.85546875" style="1734" customWidth="1"/>
    <col min="22" max="22" width="11.7109375" style="1734" customWidth="1"/>
    <col min="23" max="23" width="16.7109375" style="1734" customWidth="1"/>
    <col min="24" max="24" width="26.42578125" style="1734" customWidth="1"/>
    <col min="25" max="25" width="15" style="1734" customWidth="1"/>
    <col min="26" max="26" width="18.5703125" style="1734" customWidth="1"/>
    <col min="27" max="27" width="14.28515625" style="1734" customWidth="1"/>
    <col min="28" max="28" width="17.28515625" style="1734" customWidth="1"/>
    <col min="29" max="29" width="18.42578125" style="1734" customWidth="1"/>
    <col min="30" max="30" width="16.28515625" style="1734" customWidth="1"/>
    <col min="31" max="32" width="17.5703125" style="1734" customWidth="1"/>
    <col min="33" max="33" width="13.5703125" style="1734" customWidth="1"/>
    <col min="34" max="34" width="15.85546875" style="1734" customWidth="1"/>
    <col min="35" max="35" width="15" style="1734" customWidth="1"/>
    <col min="36" max="36" width="9.140625" style="1734"/>
    <col min="37" max="37" width="11.5703125" style="1734" bestFit="1" customWidth="1"/>
    <col min="38" max="38" width="17.140625" style="1734" customWidth="1"/>
    <col min="39" max="39" width="21.28515625" style="1734" customWidth="1"/>
    <col min="40" max="49" width="9.140625" style="1734"/>
    <col min="50" max="50" width="12.85546875" style="1734" customWidth="1"/>
    <col min="51" max="53" width="9.140625" style="1734"/>
    <col min="54" max="54" width="9.28515625" style="1734" customWidth="1"/>
    <col min="55" max="60" width="9.140625" style="1734"/>
    <col min="61" max="61" width="9.28515625" style="1734" customWidth="1"/>
    <col min="62" max="16384" width="9.140625" style="1734"/>
  </cols>
  <sheetData>
    <row r="1" spans="1:61" ht="33.950000000000003" customHeight="1" thickBot="1">
      <c r="A1" s="2852" t="s">
        <v>619</v>
      </c>
      <c r="B1" s="2853"/>
      <c r="C1" s="2853"/>
      <c r="D1" s="2853"/>
      <c r="E1" s="2853"/>
      <c r="F1" s="2853"/>
      <c r="G1" s="2853"/>
      <c r="H1" s="2853"/>
      <c r="I1" s="2853"/>
      <c r="J1" s="2852" t="s">
        <v>4134</v>
      </c>
      <c r="K1" s="2854"/>
      <c r="L1" s="2854"/>
      <c r="M1" s="2854"/>
      <c r="N1" s="2854"/>
      <c r="O1" s="2854"/>
      <c r="P1" s="2855"/>
    </row>
    <row r="2" spans="1:61" ht="49.5" customHeight="1">
      <c r="A2" s="2856" t="s">
        <v>620</v>
      </c>
      <c r="B2" s="2857"/>
      <c r="C2" s="2857"/>
      <c r="D2" s="2857"/>
      <c r="E2" s="2857"/>
      <c r="F2" s="2857"/>
      <c r="G2" s="2857"/>
      <c r="H2" s="2857"/>
      <c r="I2" s="2857"/>
      <c r="J2" s="1742" t="s">
        <v>477</v>
      </c>
      <c r="K2" s="1796" t="s">
        <v>275</v>
      </c>
      <c r="L2" s="1797" t="s">
        <v>312</v>
      </c>
      <c r="M2" s="1796" t="s">
        <v>277</v>
      </c>
      <c r="N2" s="740" t="s">
        <v>278</v>
      </c>
      <c r="O2" s="1894"/>
      <c r="P2" s="1805"/>
    </row>
    <row r="3" spans="1:61" ht="27" thickBot="1">
      <c r="A3" s="2858" t="str">
        <f>CONCATENATE("DAILY PERFORMANCE SUMMARY REPORT FOR")</f>
        <v>DAILY PERFORMANCE SUMMARY REPORT FOR</v>
      </c>
      <c r="B3" s="2859"/>
      <c r="C3" s="2859"/>
      <c r="D3" s="2859"/>
      <c r="E3" s="2479" t="s">
        <v>4215</v>
      </c>
      <c r="F3" s="1736"/>
      <c r="G3" s="1736"/>
      <c r="H3" s="1736"/>
      <c r="I3" s="1736"/>
      <c r="J3" s="1799" t="s">
        <v>283</v>
      </c>
      <c r="K3" s="2477">
        <f>'DAILY FLASH'!AZ2</f>
        <v>150797</v>
      </c>
      <c r="L3" s="1747">
        <f>'DAILY FLASH'!BA2</f>
        <v>21246.990999999998</v>
      </c>
      <c r="M3" s="1745">
        <f>'DAILY FLASH'!BB2</f>
        <v>127133.63467213113</v>
      </c>
      <c r="N3" s="2559">
        <f>'DAILY FLASH'!BC2</f>
        <v>84.307800998780564</v>
      </c>
      <c r="O3" s="2728"/>
      <c r="P3" s="1798"/>
    </row>
    <row r="4" spans="1:61" ht="24" customHeight="1" thickBot="1">
      <c r="A4" s="1737"/>
      <c r="B4" s="2427" t="s">
        <v>63</v>
      </c>
      <c r="C4" s="1738"/>
      <c r="D4" s="1739"/>
      <c r="E4" s="1740"/>
      <c r="F4" s="1740"/>
      <c r="G4" s="1738"/>
      <c r="H4" s="1738"/>
      <c r="I4" s="1740"/>
      <c r="J4" s="1800" t="s">
        <v>621</v>
      </c>
      <c r="K4" s="1801">
        <f>'DAILY FLASH'!AZ3</f>
        <v>146285</v>
      </c>
      <c r="L4" s="1802">
        <f>'DAILY FLASH'!BA3</f>
        <v>22620.088</v>
      </c>
      <c r="M4" s="2495">
        <f>'DAILY FLASH'!BB3</f>
        <v>133159.76332075472</v>
      </c>
      <c r="N4" s="2560">
        <f>'DAILY FLASH'!BC3</f>
        <v>91.027626428379349</v>
      </c>
      <c r="O4" s="2513"/>
      <c r="P4" s="2514"/>
      <c r="AL4" s="1734" t="s">
        <v>16</v>
      </c>
      <c r="BI4" s="1734">
        <v>0</v>
      </c>
    </row>
    <row r="5" spans="1:61" ht="25.5" customHeight="1" thickBot="1">
      <c r="A5" s="2490" t="s">
        <v>622</v>
      </c>
      <c r="B5" s="2490" t="s">
        <v>519</v>
      </c>
      <c r="C5" s="2860" t="s">
        <v>319</v>
      </c>
      <c r="D5" s="2860"/>
      <c r="E5" s="2861" t="s">
        <v>143</v>
      </c>
      <c r="F5" s="2861"/>
      <c r="G5" s="2861"/>
      <c r="H5" s="2861"/>
      <c r="I5" s="1806"/>
      <c r="J5" s="2509" t="s">
        <v>292</v>
      </c>
      <c r="K5" s="2510">
        <f>'DAILY FLASH'!AZ5</f>
        <v>148285</v>
      </c>
      <c r="L5" s="2511">
        <f>'DAILY FLASH'!BA5</f>
        <v>23199.71</v>
      </c>
      <c r="M5" s="2512">
        <f>'DAILY FLASH'!BB5</f>
        <v>136571.87773584906</v>
      </c>
      <c r="N5" s="2558">
        <f>'DAILY FLASH'!BC5</f>
        <v>92.100939229085256</v>
      </c>
      <c r="O5" s="2515"/>
      <c r="P5" s="1817"/>
      <c r="Q5" s="1736"/>
      <c r="R5" s="1736"/>
      <c r="S5" s="1736"/>
    </row>
    <row r="6" spans="1:61" ht="3" customHeight="1" thickBot="1">
      <c r="A6" s="2492"/>
      <c r="B6" s="2492"/>
      <c r="C6" s="559"/>
      <c r="D6" s="559"/>
      <c r="E6" s="2489"/>
      <c r="F6" s="2493"/>
      <c r="G6" s="2493"/>
      <c r="H6" s="2489"/>
      <c r="I6" s="1807"/>
      <c r="J6" s="1781"/>
      <c r="K6" s="1736"/>
      <c r="L6" s="1746"/>
      <c r="M6" s="1746"/>
      <c r="N6" s="2561"/>
      <c r="P6" s="1809"/>
      <c r="Q6" s="1736"/>
      <c r="R6" s="1736"/>
      <c r="S6" s="1736"/>
    </row>
    <row r="7" spans="1:61" ht="29.25" customHeight="1" thickBot="1">
      <c r="A7" s="2492"/>
      <c r="B7" s="2492"/>
      <c r="C7" s="1787" t="s">
        <v>275</v>
      </c>
      <c r="D7" s="1787" t="s">
        <v>525</v>
      </c>
      <c r="E7" s="1736" t="s">
        <v>275</v>
      </c>
      <c r="F7" s="1806" t="s">
        <v>493</v>
      </c>
      <c r="G7" s="1806" t="s">
        <v>277</v>
      </c>
      <c r="H7" s="1736" t="s">
        <v>623</v>
      </c>
      <c r="I7" s="1810" t="str">
        <f>'MIS MONTH WISE FUEL NMGCAL '!I14</f>
        <v>CPLY</v>
      </c>
      <c r="J7" s="2848" t="s">
        <v>624</v>
      </c>
      <c r="K7" s="2849"/>
      <c r="L7" s="2849"/>
      <c r="M7" s="2849"/>
      <c r="N7" s="2849"/>
      <c r="O7" s="2849"/>
      <c r="P7" s="2850"/>
      <c r="R7" s="1842"/>
    </row>
    <row r="8" spans="1:61" ht="48" customHeight="1" thickBot="1">
      <c r="A8" s="1791" t="s">
        <v>625</v>
      </c>
      <c r="B8" s="559" t="s">
        <v>626</v>
      </c>
      <c r="C8" s="574">
        <f>'DAILY FLASH'!AK21</f>
        <v>8</v>
      </c>
      <c r="D8" s="574">
        <f>'DAILY FLASH'!AL21</f>
        <v>8</v>
      </c>
      <c r="E8" s="574">
        <f>'DAILY FLASH'!AQ21</f>
        <v>230</v>
      </c>
      <c r="F8" s="559">
        <f>'DAILY FLASH'!AN21</f>
        <v>215</v>
      </c>
      <c r="G8" s="574">
        <f>'DAILY FLASH'!AR21</f>
        <v>215</v>
      </c>
      <c r="H8" s="574">
        <f>G8/E8%</f>
        <v>93.478260869565219</v>
      </c>
      <c r="I8" s="574">
        <f>'DAILY FLASH'!AU21</f>
        <v>217</v>
      </c>
      <c r="J8" s="2494" t="s">
        <v>627</v>
      </c>
      <c r="K8" s="2495" t="s">
        <v>628</v>
      </c>
      <c r="L8" s="2495" t="s">
        <v>629</v>
      </c>
      <c r="M8" s="2495" t="s">
        <v>630</v>
      </c>
      <c r="N8" s="2562" t="s">
        <v>631</v>
      </c>
      <c r="O8" s="2851" t="s">
        <v>632</v>
      </c>
      <c r="P8" s="2850"/>
      <c r="Q8" s="1842"/>
      <c r="R8" s="1842"/>
      <c r="S8" s="1843"/>
    </row>
    <row r="9" spans="1:61" s="1733" customFormat="1" ht="78" customHeight="1" thickBot="1">
      <c r="A9" s="1744" t="s">
        <v>524</v>
      </c>
      <c r="B9" s="2687" t="s">
        <v>634</v>
      </c>
      <c r="C9" s="1745">
        <f>'DAILY FLASH'!AK12</f>
        <v>385.80645161290323</v>
      </c>
      <c r="D9" s="1745">
        <f>'DAILY FLASH'!AL12</f>
        <v>585</v>
      </c>
      <c r="E9" s="2697">
        <f>'DAILY FLASH'!AQ12</f>
        <v>11960</v>
      </c>
      <c r="F9" s="574">
        <f>'DAILY FLASH'!AN12</f>
        <v>11200.83</v>
      </c>
      <c r="G9" s="574">
        <f>'DAILY FLASH'!AR12</f>
        <v>11200.83</v>
      </c>
      <c r="H9" s="1747">
        <f>'DAILY FLASH'!AS12</f>
        <v>93.652424749163885</v>
      </c>
      <c r="I9" s="2486">
        <f>'DAILY FLASH'!AU12</f>
        <v>11206.969999999998</v>
      </c>
      <c r="J9" s="3161" t="s">
        <v>4211</v>
      </c>
      <c r="K9" s="3161" t="s">
        <v>4218</v>
      </c>
      <c r="L9" s="3161" t="s">
        <v>4219</v>
      </c>
      <c r="M9" s="3161" t="s">
        <v>4220</v>
      </c>
      <c r="N9" s="3161" t="s">
        <v>4212</v>
      </c>
      <c r="O9" s="2887" t="s">
        <v>4221</v>
      </c>
      <c r="P9" s="2888"/>
      <c r="Q9" s="2478"/>
      <c r="R9" s="2474"/>
      <c r="S9" s="2474"/>
    </row>
    <row r="10" spans="1:61" s="1733" customFormat="1" ht="78" customHeight="1" thickBot="1">
      <c r="A10" s="1744" t="s">
        <v>36</v>
      </c>
      <c r="B10" s="2687" t="s">
        <v>634</v>
      </c>
      <c r="C10" s="1745">
        <f>'DAILY FLASH'!AK14</f>
        <v>355</v>
      </c>
      <c r="D10" s="1745">
        <f>'DAILY FLASH'!AL20</f>
        <v>565.15</v>
      </c>
      <c r="E10" s="2697">
        <f>'DAILY FLASH'!AQ20</f>
        <v>11612</v>
      </c>
      <c r="F10" s="574">
        <f>'DAILY FLASH'!AN20</f>
        <v>10759.191000000001</v>
      </c>
      <c r="G10" s="574">
        <f>'DAILY FLASH'!AR20</f>
        <v>10759.191000000001</v>
      </c>
      <c r="H10" s="1747">
        <f>'DAILY FLASH'!AS20</f>
        <v>92.655795728556669</v>
      </c>
      <c r="I10" s="2486">
        <f>'DAILY FLASH'!AU20</f>
        <v>10785.66</v>
      </c>
      <c r="J10" s="3185" t="s">
        <v>4222</v>
      </c>
      <c r="K10" s="3162" t="s">
        <v>4223</v>
      </c>
      <c r="L10" s="3162" t="s">
        <v>4224</v>
      </c>
      <c r="M10" s="3162" t="s">
        <v>4225</v>
      </c>
      <c r="N10" s="3184" t="s">
        <v>4212</v>
      </c>
      <c r="O10" s="2897" t="s">
        <v>4226</v>
      </c>
      <c r="P10" s="2898"/>
      <c r="Q10" s="2478"/>
      <c r="R10" s="2474"/>
      <c r="S10" s="2474"/>
    </row>
    <row r="11" spans="1:61" s="1733" customFormat="1" ht="96.75" customHeight="1" thickBot="1">
      <c r="A11" s="2480" t="s">
        <v>2203</v>
      </c>
      <c r="B11" s="2686" t="s">
        <v>634</v>
      </c>
      <c r="C11" s="574">
        <f>C9</f>
        <v>385.80645161290323</v>
      </c>
      <c r="D11" s="574">
        <f>'DAILY FLASH'!AL16</f>
        <v>0</v>
      </c>
      <c r="E11" s="574">
        <f>'DAILY FLASH'!AQ16</f>
        <v>607</v>
      </c>
      <c r="F11" s="574">
        <f>'DAILY FLASH'!AN16</f>
        <v>399.471</v>
      </c>
      <c r="G11" s="574">
        <f>'DAILY FLASH'!AR16</f>
        <v>399.471</v>
      </c>
      <c r="H11" s="574">
        <f t="shared" ref="H11" si="0">G11/E11%</f>
        <v>65.810708401976939</v>
      </c>
      <c r="I11" s="574">
        <f>'DAILY FLASH'!AU16</f>
        <v>733.06</v>
      </c>
      <c r="J11" s="3185" t="s">
        <v>680</v>
      </c>
      <c r="K11" s="3162" t="s">
        <v>4227</v>
      </c>
      <c r="L11" s="3162" t="s">
        <v>4228</v>
      </c>
      <c r="M11" s="3162" t="s">
        <v>4220</v>
      </c>
      <c r="N11" s="3184" t="s">
        <v>4229</v>
      </c>
      <c r="O11" s="2887" t="s">
        <v>4230</v>
      </c>
      <c r="P11" s="2888"/>
      <c r="Q11" s="1898"/>
      <c r="R11" s="2474"/>
      <c r="S11" s="2474"/>
      <c r="AM11" s="1844"/>
    </row>
    <row r="12" spans="1:61" s="1733" customFormat="1" ht="66" customHeight="1" thickBot="1">
      <c r="A12" s="1791" t="s">
        <v>636</v>
      </c>
      <c r="B12" s="559" t="s">
        <v>634</v>
      </c>
      <c r="C12" s="574">
        <f>'MIS MONTH WISE FUEL NMGCAL '!C18</f>
        <v>355</v>
      </c>
      <c r="D12" s="574">
        <f>'DAILY FLASH'!AL14</f>
        <v>565.15</v>
      </c>
      <c r="E12" s="559">
        <f>'DAILY FLASH'!AQ14</f>
        <v>11005</v>
      </c>
      <c r="F12" s="574">
        <f>'DAILY FLASH'!AN14</f>
        <v>10359.720000000001</v>
      </c>
      <c r="G12" s="574">
        <f>'DAILY FLASH'!AR14</f>
        <v>10359.720000000003</v>
      </c>
      <c r="H12" s="574">
        <f>G12/E12%</f>
        <v>94.136483416628835</v>
      </c>
      <c r="I12" s="2499">
        <f>'DAILY FLASH'!AU14</f>
        <v>10052.6</v>
      </c>
      <c r="J12" s="3185" t="s">
        <v>4231</v>
      </c>
      <c r="K12" s="3185" t="s">
        <v>4232</v>
      </c>
      <c r="L12" s="3185" t="s">
        <v>4233</v>
      </c>
      <c r="M12" s="3185" t="s">
        <v>4234</v>
      </c>
      <c r="N12" s="3185" t="s">
        <v>4212</v>
      </c>
      <c r="O12" s="2899" t="s">
        <v>4235</v>
      </c>
      <c r="P12" s="2900"/>
      <c r="Q12" s="1734"/>
      <c r="R12" s="2506"/>
      <c r="S12" s="577"/>
      <c r="AM12" s="1844"/>
    </row>
    <row r="13" spans="1:61" ht="60" customHeight="1" thickBot="1">
      <c r="A13" s="1791" t="s">
        <v>637</v>
      </c>
      <c r="B13" s="559" t="s">
        <v>626</v>
      </c>
      <c r="C13" s="574">
        <f>'MIS MONTH WISE FUEL NMGCAL '!C27</f>
        <v>0.99255583126550873</v>
      </c>
      <c r="D13" s="574">
        <f>'DAILY FLASH'!AL22</f>
        <v>2</v>
      </c>
      <c r="E13" s="559"/>
      <c r="F13" s="559">
        <f>'DAILY FLASH'!AN22</f>
        <v>36</v>
      </c>
      <c r="G13" s="559"/>
      <c r="H13" s="574"/>
      <c r="I13" s="2499">
        <f>'DAILY FLASH'!AU22</f>
        <v>63</v>
      </c>
      <c r="J13" s="2761" t="s">
        <v>635</v>
      </c>
      <c r="K13" s="2762"/>
      <c r="L13" s="2762"/>
      <c r="M13" s="2763"/>
      <c r="N13" s="2763"/>
      <c r="O13" s="2764" t="s">
        <v>3981</v>
      </c>
      <c r="P13" s="2765" t="s">
        <v>493</v>
      </c>
      <c r="Q13" s="1842"/>
    </row>
    <row r="14" spans="1:61" ht="39.75" customHeight="1" thickBot="1">
      <c r="A14" s="1784" t="s">
        <v>642</v>
      </c>
      <c r="B14" s="559" t="s">
        <v>626</v>
      </c>
      <c r="C14" s="574">
        <f>'MIS MONTH WISE FUEL NMGCAL '!C28</f>
        <v>0.99255583126550873</v>
      </c>
      <c r="D14" s="574">
        <f>'DAILY FLASH'!AL29</f>
        <v>2</v>
      </c>
      <c r="E14" s="559" t="s">
        <v>271</v>
      </c>
      <c r="F14" s="559">
        <f>'DAILY FLASH'!AN29</f>
        <v>38</v>
      </c>
      <c r="G14" s="559"/>
      <c r="H14" s="574"/>
      <c r="I14" s="2499">
        <f>'DAILY FLASH'!AU29</f>
        <v>62</v>
      </c>
      <c r="J14" s="2614" t="s">
        <v>255</v>
      </c>
      <c r="K14" s="1812"/>
      <c r="L14" s="2507">
        <f>'SAL STOCK'!G6</f>
        <v>14889.63</v>
      </c>
      <c r="M14" s="2758"/>
      <c r="N14" s="2751" t="s">
        <v>275</v>
      </c>
      <c r="O14" s="2759">
        <f>'DAILY FLASH'!P111</f>
        <v>2124</v>
      </c>
      <c r="P14" s="2760">
        <f>'DAILY FLASH'!V111</f>
        <v>1577</v>
      </c>
      <c r="S14" s="1843"/>
      <c r="BB14" s="1734">
        <v>1</v>
      </c>
    </row>
    <row r="15" spans="1:61" ht="39.950000000000003" customHeight="1">
      <c r="A15" s="1784" t="s">
        <v>647</v>
      </c>
      <c r="B15" s="559" t="s">
        <v>626</v>
      </c>
      <c r="C15" s="559">
        <v>0</v>
      </c>
      <c r="D15" s="574">
        <f>'DAILY FLASH'!AL30</f>
        <v>0</v>
      </c>
      <c r="E15" s="559"/>
      <c r="F15" s="559">
        <f>'DAILY FLASH'!AN30</f>
        <v>2</v>
      </c>
      <c r="G15" s="559"/>
      <c r="H15" s="574"/>
      <c r="I15" s="2499">
        <f>'DAILY FLASH'!AU30</f>
        <v>1</v>
      </c>
      <c r="J15" s="2615"/>
      <c r="K15" s="1814"/>
      <c r="L15" s="1753">
        <f>'SAL STOCK'!G7</f>
        <v>383.13699999999966</v>
      </c>
      <c r="M15" s="1815" t="s">
        <v>644</v>
      </c>
      <c r="N15" s="2723">
        <v>2500</v>
      </c>
      <c r="O15" s="1816">
        <f>'DAILY FLASH'!P112</f>
        <v>2069</v>
      </c>
      <c r="P15" s="573">
        <f>'DAILY FLASH'!V112</f>
        <v>2060</v>
      </c>
      <c r="AD15" s="1852" t="s">
        <v>638</v>
      </c>
      <c r="AE15" s="1853" t="s">
        <v>639</v>
      </c>
      <c r="AF15" s="1853" t="s">
        <v>640</v>
      </c>
      <c r="AG15" s="1853" t="s">
        <v>320</v>
      </c>
      <c r="AH15" s="1853" t="s">
        <v>641</v>
      </c>
      <c r="AY15" s="1734">
        <f>708-809</f>
        <v>-101</v>
      </c>
    </row>
    <row r="16" spans="1:61" ht="39.950000000000003" customHeight="1" thickBot="1">
      <c r="A16" s="1784" t="s">
        <v>650</v>
      </c>
      <c r="B16" s="559" t="s">
        <v>626</v>
      </c>
      <c r="C16" s="574">
        <f>C8-C15</f>
        <v>8</v>
      </c>
      <c r="D16" s="574">
        <f>D8-D15</f>
        <v>8</v>
      </c>
      <c r="E16" s="559"/>
      <c r="F16" s="574">
        <f>F8-F15</f>
        <v>213</v>
      </c>
      <c r="G16" s="559"/>
      <c r="H16" s="574"/>
      <c r="I16" s="2499">
        <f>I8-I15</f>
        <v>216</v>
      </c>
      <c r="J16" s="2615" t="s">
        <v>643</v>
      </c>
      <c r="K16" s="1814"/>
      <c r="L16" s="2507">
        <f>'SAL STOCK'!G8</f>
        <v>1957.7690000000023</v>
      </c>
      <c r="M16" s="1815"/>
      <c r="N16" s="2563">
        <v>2068</v>
      </c>
      <c r="O16" s="1816"/>
      <c r="P16" s="573"/>
      <c r="Q16" s="1781"/>
      <c r="AD16" s="1854"/>
      <c r="AE16" s="1855" t="s">
        <v>645</v>
      </c>
      <c r="AF16" s="1855" t="s">
        <v>645</v>
      </c>
      <c r="AG16" s="1855" t="s">
        <v>646</v>
      </c>
      <c r="AH16" s="1855" t="s">
        <v>645</v>
      </c>
    </row>
    <row r="17" spans="1:54" ht="61.5" customHeight="1" thickBot="1">
      <c r="A17" s="1791" t="s">
        <v>655</v>
      </c>
      <c r="B17" s="559" t="s">
        <v>634</v>
      </c>
      <c r="C17" s="574">
        <f>'DAILY FLASH'!AK31</f>
        <v>230.69811320754718</v>
      </c>
      <c r="D17" s="574">
        <f>'DAILY FLASH'!AL31</f>
        <v>361.28100000000001</v>
      </c>
      <c r="E17" s="559">
        <f>'DAILY FLASH'!AQ31</f>
        <v>12227</v>
      </c>
      <c r="F17" s="574">
        <f>'DAILY FLASH'!AN31</f>
        <v>12743.709000000001</v>
      </c>
      <c r="G17" s="574">
        <f>'DAILY FLASH'!AR31</f>
        <v>12743.709000000001</v>
      </c>
      <c r="H17" s="574">
        <f>G17/E17%</f>
        <v>104.22596712194326</v>
      </c>
      <c r="I17" s="2499">
        <f>'DAILY FLASH'!AU31</f>
        <v>12737.397999999999</v>
      </c>
      <c r="J17" s="2615" t="s">
        <v>257</v>
      </c>
      <c r="K17" s="1814"/>
      <c r="L17" s="2507">
        <f>'SAL STOCK'!G9</f>
        <v>1239.4364999999998</v>
      </c>
      <c r="M17" s="2712" t="s">
        <v>651</v>
      </c>
      <c r="N17" s="2564" t="s">
        <v>652</v>
      </c>
      <c r="O17" s="1779" t="s">
        <v>653</v>
      </c>
      <c r="Q17" s="1781"/>
      <c r="R17" s="1781"/>
      <c r="AD17" s="1856" t="s">
        <v>649</v>
      </c>
      <c r="AE17" s="1857">
        <v>6247</v>
      </c>
      <c r="AF17" s="1857">
        <v>8284</v>
      </c>
      <c r="AG17" s="1875">
        <f>+AF17/AE17*100</f>
        <v>132.60765167280294</v>
      </c>
      <c r="AH17" s="1857">
        <v>7122</v>
      </c>
    </row>
    <row r="18" spans="1:54" ht="51" customHeight="1">
      <c r="A18" s="1791" t="s">
        <v>659</v>
      </c>
      <c r="B18" s="559" t="s">
        <v>634</v>
      </c>
      <c r="C18" s="574">
        <f>'DAILY FLASH'!AK34</f>
        <v>197.79245283018867</v>
      </c>
      <c r="D18" s="574">
        <f>'DAILY FLASH'!AL34</f>
        <v>321.48899999999998</v>
      </c>
      <c r="E18" s="574">
        <f>'DAILY FLASH'!AQ34</f>
        <v>10483</v>
      </c>
      <c r="F18" s="574">
        <f>'DAILY FLASH'!AN34</f>
        <v>10966.657999999999</v>
      </c>
      <c r="G18" s="574">
        <f>'DAILY FLASH'!AR34</f>
        <v>10966.657999999999</v>
      </c>
      <c r="H18" s="574">
        <f t="shared" ref="H18:H23" si="1">G18/E18%</f>
        <v>104.61373652580367</v>
      </c>
      <c r="I18" s="2499">
        <f>'DAILY FLASH'!AU34</f>
        <v>10869.644</v>
      </c>
      <c r="J18" s="2615" t="s">
        <v>80</v>
      </c>
      <c r="K18" s="1814"/>
      <c r="L18" s="2507">
        <f>'SAL STOCK'!G10</f>
        <v>410.1029999999995</v>
      </c>
      <c r="M18" s="2722" t="s">
        <v>656</v>
      </c>
      <c r="N18" s="2565">
        <f>'DAILY FLASH'!AL82</f>
        <v>0</v>
      </c>
      <c r="O18" s="2754" t="s">
        <v>657</v>
      </c>
      <c r="P18" s="2618"/>
      <c r="Q18" s="1842"/>
      <c r="R18" s="1781"/>
      <c r="S18" s="1845"/>
      <c r="AD18" s="1858" t="s">
        <v>654</v>
      </c>
      <c r="AE18" s="1859">
        <v>460</v>
      </c>
      <c r="AF18" s="1860"/>
      <c r="AG18" s="1876"/>
      <c r="AH18" s="1877">
        <v>524</v>
      </c>
    </row>
    <row r="19" spans="1:54" ht="57" customHeight="1">
      <c r="A19" s="1750" t="s">
        <v>663</v>
      </c>
      <c r="B19" s="2504" t="s">
        <v>634</v>
      </c>
      <c r="C19" s="574">
        <f>'DAILY FLASH'!AK35+'DAILY FLASH'!AK36</f>
        <v>24.115384615384613</v>
      </c>
      <c r="D19" s="574">
        <f>'DAILY FLASH'!AL35+'DAILY FLASH'!AL36+'DAILY FLASH'!AL37</f>
        <v>0</v>
      </c>
      <c r="E19" s="2505">
        <f>SUM('DAILY FLASH'!AQ35:AQ36)</f>
        <v>627</v>
      </c>
      <c r="F19" s="1753">
        <f>'DAILY FLASH'!AN35+'DAILY FLASH'!AN36+'DAILY FLASH'!AN37</f>
        <v>315</v>
      </c>
      <c r="G19" s="1754">
        <f>'DAILY FLASH'!AR35+'DAILY FLASH'!AR36+'DAILY FLASH'!AR37</f>
        <v>315</v>
      </c>
      <c r="H19" s="1752">
        <f t="shared" si="1"/>
        <v>50.239234449760772</v>
      </c>
      <c r="I19" s="1752">
        <f>'DAILY FLASH'!AU35+'DAILY FLASH'!AU36</f>
        <v>377.57899999999984</v>
      </c>
      <c r="J19" s="2615" t="s">
        <v>335</v>
      </c>
      <c r="K19" s="1814"/>
      <c r="L19" s="2507">
        <f>'SAL STOCK'!G11</f>
        <v>125.23</v>
      </c>
      <c r="M19" s="2722" t="s">
        <v>660</v>
      </c>
      <c r="N19" s="2565">
        <f>'DAILY FLASH'!AL83</f>
        <v>6</v>
      </c>
      <c r="O19" s="2757" t="s">
        <v>657</v>
      </c>
      <c r="P19" s="2670"/>
      <c r="Q19" s="1842"/>
      <c r="R19" s="1842"/>
      <c r="S19" s="1781"/>
      <c r="AD19" s="1861" t="s">
        <v>658</v>
      </c>
      <c r="AE19" s="1862">
        <v>237</v>
      </c>
      <c r="AF19" s="1863"/>
      <c r="AG19" s="1878"/>
      <c r="AH19" s="1879">
        <v>617</v>
      </c>
    </row>
    <row r="20" spans="1:54" ht="58.5" customHeight="1" thickBot="1">
      <c r="A20" s="1755" t="s">
        <v>666</v>
      </c>
      <c r="B20" s="1756" t="s">
        <v>634</v>
      </c>
      <c r="C20" s="1748">
        <f>'DAILY FLASH'!AK56</f>
        <v>420</v>
      </c>
      <c r="D20" s="1748">
        <f>'DAILY FLASH'!AL56</f>
        <v>459.245</v>
      </c>
      <c r="E20" s="1757">
        <f>'DAILY FLASH'!AQ56</f>
        <v>11340</v>
      </c>
      <c r="F20" s="1758">
        <f>'DAILY FLASH'!AN56</f>
        <v>11402.186999999998</v>
      </c>
      <c r="G20" s="1759">
        <f>'DAILY FLASH'!AR56</f>
        <v>11402.186999999998</v>
      </c>
      <c r="H20" s="1752">
        <f t="shared" si="1"/>
        <v>100.54838624338622</v>
      </c>
      <c r="I20" s="2611">
        <f>'DAILY FLASH'!AU56</f>
        <v>10884.684000000003</v>
      </c>
      <c r="J20" s="2616" t="s">
        <v>153</v>
      </c>
      <c r="K20" s="1818"/>
      <c r="L20" s="2507">
        <f>'SAL STOCK'!G10</f>
        <v>410.1029999999995</v>
      </c>
      <c r="M20" s="2722" t="s">
        <v>664</v>
      </c>
      <c r="N20" s="723"/>
      <c r="O20" s="2713" t="s">
        <v>657</v>
      </c>
      <c r="P20" s="2573"/>
      <c r="Q20" s="1842"/>
      <c r="R20" s="1842"/>
      <c r="S20" s="1781"/>
      <c r="AD20" s="1864" t="s">
        <v>662</v>
      </c>
      <c r="AE20" s="1865">
        <v>697</v>
      </c>
      <c r="AF20" s="1866"/>
      <c r="AG20" s="1880"/>
      <c r="AH20" s="1881">
        <v>1141</v>
      </c>
    </row>
    <row r="21" spans="1:54" ht="48" customHeight="1" thickBot="1">
      <c r="A21" s="1760" t="s">
        <v>669</v>
      </c>
      <c r="B21" s="1761" t="s">
        <v>634</v>
      </c>
      <c r="C21" s="1748">
        <f>'DAILY FLASH'!AK58</f>
        <v>425.55555555555554</v>
      </c>
      <c r="D21" s="1748">
        <f>'DAILY FLASH'!AL58</f>
        <v>403.18</v>
      </c>
      <c r="E21" s="1762">
        <f>+'DAILY FLASH'!AQ58</f>
        <v>11490</v>
      </c>
      <c r="F21" s="1763">
        <f>'DAILY FLASH'!AN58</f>
        <v>11173.28</v>
      </c>
      <c r="G21" s="1762">
        <f>'DAILY FLASH'!AR58</f>
        <v>11173.28</v>
      </c>
      <c r="H21" s="1752">
        <f t="shared" si="1"/>
        <v>97.243516100957351</v>
      </c>
      <c r="I21" s="2612">
        <f>'DAILY FLASH'!AU58</f>
        <v>10643.649999999998</v>
      </c>
      <c r="J21" s="2616" t="s">
        <v>402</v>
      </c>
      <c r="K21" s="1818"/>
      <c r="L21" s="2507">
        <f>'SAL STOCK'!G12</f>
        <v>232.62700000000012</v>
      </c>
      <c r="M21" s="2722" t="s">
        <v>110</v>
      </c>
      <c r="N21" s="723"/>
      <c r="O21" s="2745" t="s">
        <v>657</v>
      </c>
      <c r="P21" s="2618"/>
      <c r="Q21" s="1842"/>
      <c r="R21" s="1842"/>
      <c r="S21" s="1781"/>
      <c r="AD21" s="1856" t="s">
        <v>665</v>
      </c>
      <c r="AE21" s="1857">
        <v>5550</v>
      </c>
      <c r="AF21" s="1857">
        <v>8284</v>
      </c>
      <c r="AG21" s="1875">
        <f t="shared" ref="AG21:AG26" si="2">+AF21/AE21*100</f>
        <v>149.26126126126127</v>
      </c>
      <c r="AH21" s="1857">
        <v>5981</v>
      </c>
    </row>
    <row r="22" spans="1:54" ht="46.5" customHeight="1" thickBot="1">
      <c r="A22" s="1750" t="s">
        <v>671</v>
      </c>
      <c r="B22" s="2504" t="s">
        <v>634</v>
      </c>
      <c r="C22" s="574">
        <f>'DAILY FLASH'!AK72</f>
        <v>12.903225806451612</v>
      </c>
      <c r="D22" s="574">
        <f>'DAILY FLASH'!AL72</f>
        <v>0</v>
      </c>
      <c r="E22" s="2505">
        <f>'DAILY FLASH'!AQ72</f>
        <v>400</v>
      </c>
      <c r="F22" s="1753">
        <f>'DAILY FLASH'!AN72</f>
        <v>187.2</v>
      </c>
      <c r="G22" s="1754">
        <f>'DAILY FLASH'!AR72</f>
        <v>187.2</v>
      </c>
      <c r="H22" s="1752">
        <f t="shared" si="1"/>
        <v>46.8</v>
      </c>
      <c r="I22" s="1752">
        <f>'DAILY FLASH'!AU72</f>
        <v>904.8</v>
      </c>
      <c r="J22" s="2617" t="s">
        <v>4014</v>
      </c>
      <c r="K22" s="2716"/>
      <c r="L22" s="2507">
        <f>'SAL STOCK'!G17+'SAL STOCK'!G16</f>
        <v>840.65999999999894</v>
      </c>
      <c r="M22" s="2722" t="s">
        <v>111</v>
      </c>
      <c r="N22" s="723"/>
      <c r="O22" s="2713" t="s">
        <v>657</v>
      </c>
      <c r="P22" s="1821"/>
      <c r="Q22" s="1846"/>
      <c r="R22" s="1847"/>
      <c r="S22" s="1781"/>
      <c r="AD22" s="1856" t="s">
        <v>668</v>
      </c>
      <c r="AE22" s="1857">
        <v>9700</v>
      </c>
      <c r="AF22" s="1857">
        <v>10919</v>
      </c>
      <c r="AG22" s="1875">
        <f t="shared" si="2"/>
        <v>112.56701030927836</v>
      </c>
      <c r="AH22" s="1857">
        <v>8671</v>
      </c>
      <c r="BB22" s="1734">
        <v>1</v>
      </c>
    </row>
    <row r="23" spans="1:54" ht="50.1" customHeight="1" thickBot="1">
      <c r="A23" s="1890" t="s">
        <v>675</v>
      </c>
      <c r="B23" s="2492" t="s">
        <v>634</v>
      </c>
      <c r="C23" s="1745">
        <f>'DAILY FLASH'!AK73</f>
        <v>64.516129032258064</v>
      </c>
      <c r="D23" s="1745">
        <f>'MIS MONTH WISE FUEL NMGCAL '!D42</f>
        <v>138.69999999999999</v>
      </c>
      <c r="E23" s="1736">
        <f>'MIS MONTH WISE FUEL NMGCAL '!F42</f>
        <v>2000</v>
      </c>
      <c r="F23" s="1811">
        <f>'DAILY FLASH'!AN73</f>
        <v>2508.64</v>
      </c>
      <c r="G23" s="1746">
        <f>'DAILY FLASH'!AR73</f>
        <v>2508.64</v>
      </c>
      <c r="H23" s="2486">
        <f t="shared" si="1"/>
        <v>125.43199999999999</v>
      </c>
      <c r="I23" s="2486">
        <f>'DAILY FLASH'!AU73</f>
        <v>4309.9900000000007</v>
      </c>
      <c r="J23" s="1799" t="str">
        <f>'MIS MONTH WISE FUEL NMGCAL '!M50</f>
        <v>STN SLAB</v>
      </c>
      <c r="K23" s="1820"/>
      <c r="L23" s="1753">
        <v>0</v>
      </c>
      <c r="M23" s="2722" t="s">
        <v>673</v>
      </c>
      <c r="N23" s="2566">
        <f>D13</f>
        <v>2</v>
      </c>
      <c r="O23" s="2746" t="s">
        <v>657</v>
      </c>
      <c r="P23" s="2670"/>
      <c r="Q23" s="1736"/>
      <c r="R23" s="1842"/>
      <c r="S23" s="1781"/>
      <c r="AD23" s="1856" t="s">
        <v>670</v>
      </c>
      <c r="AE23" s="1857">
        <v>9245</v>
      </c>
      <c r="AF23" s="1857">
        <v>9426</v>
      </c>
      <c r="AG23" s="1875">
        <f t="shared" si="2"/>
        <v>101.95781503515413</v>
      </c>
      <c r="AH23" s="1857">
        <v>8110</v>
      </c>
    </row>
    <row r="24" spans="1:54" ht="54" customHeight="1" thickBot="1">
      <c r="A24" s="1749"/>
      <c r="B24" s="1733"/>
      <c r="C24" s="1733"/>
      <c r="D24" s="1733"/>
      <c r="E24" s="1733"/>
      <c r="F24" s="1733"/>
      <c r="G24" s="1426"/>
      <c r="H24" s="1426"/>
      <c r="I24" s="2613"/>
      <c r="J24" s="1799" t="s">
        <v>672</v>
      </c>
      <c r="K24" s="1820"/>
      <c r="L24" s="1753">
        <f>'SAL STOCK'!G15</f>
        <v>0</v>
      </c>
      <c r="M24" s="2722" t="s">
        <v>540</v>
      </c>
      <c r="N24" s="723"/>
      <c r="O24" s="2713" t="s">
        <v>657</v>
      </c>
      <c r="P24" s="2670"/>
      <c r="R24" s="1736"/>
      <c r="S24" s="1736"/>
      <c r="AD24" s="1856" t="s">
        <v>674</v>
      </c>
      <c r="AE24" s="1857">
        <v>9395</v>
      </c>
      <c r="AF24" s="1857">
        <v>9226</v>
      </c>
      <c r="AG24" s="1875">
        <f t="shared" si="2"/>
        <v>98.201170835550826</v>
      </c>
      <c r="AH24" s="1857">
        <v>7653</v>
      </c>
    </row>
    <row r="25" spans="1:54" ht="52.5" customHeight="1" thickBot="1">
      <c r="A25" s="1749"/>
      <c r="B25" s="1733"/>
      <c r="C25" s="1733"/>
      <c r="D25" s="1733"/>
      <c r="E25" s="1733"/>
      <c r="F25" s="1733"/>
      <c r="G25" s="1426"/>
      <c r="H25" s="1426"/>
      <c r="I25" s="2613"/>
      <c r="J25" s="1784" t="s">
        <v>676</v>
      </c>
      <c r="K25" s="2713"/>
      <c r="L25" s="1753">
        <f>SUM(L14:L24)</f>
        <v>20488.695499999998</v>
      </c>
      <c r="M25" s="2619" t="s">
        <v>680</v>
      </c>
      <c r="N25" s="2620"/>
      <c r="O25" s="2621" t="s">
        <v>657</v>
      </c>
      <c r="P25" s="2622"/>
      <c r="Q25" s="1842"/>
      <c r="S25" s="1746"/>
      <c r="AA25" s="1734">
        <f>3221+80</f>
        <v>3301</v>
      </c>
      <c r="AD25" s="1867" t="s">
        <v>677</v>
      </c>
      <c r="AE25" s="1857">
        <v>2000</v>
      </c>
      <c r="AF25" s="1857">
        <v>1544</v>
      </c>
      <c r="AG25" s="1875">
        <f t="shared" si="2"/>
        <v>77.2</v>
      </c>
      <c r="AH25" s="1867">
        <v>917</v>
      </c>
      <c r="AX25" s="1734">
        <f>11385-304</f>
        <v>11081</v>
      </c>
    </row>
    <row r="26" spans="1:54" ht="39.950000000000003" customHeight="1" thickBot="1">
      <c r="A26" s="2866" t="s">
        <v>678</v>
      </c>
      <c r="B26" s="2860"/>
      <c r="C26" s="2860"/>
      <c r="D26" s="2860"/>
      <c r="E26" s="2860"/>
      <c r="F26" s="2860"/>
      <c r="G26" s="2860"/>
      <c r="H26" s="2860"/>
      <c r="I26" s="2867"/>
      <c r="J26" s="2714" t="s">
        <v>679</v>
      </c>
      <c r="K26" s="2715"/>
      <c r="L26" s="1822">
        <v>200</v>
      </c>
      <c r="M26" s="1822"/>
      <c r="N26" s="1822"/>
      <c r="O26" s="1822"/>
      <c r="P26" s="1822"/>
      <c r="Q26" s="1848"/>
      <c r="R26" s="1842"/>
      <c r="AD26" s="1856" t="s">
        <v>681</v>
      </c>
      <c r="AE26" s="1857">
        <v>2500</v>
      </c>
      <c r="AF26" s="1857">
        <v>2652</v>
      </c>
      <c r="AG26" s="1875">
        <f t="shared" si="2"/>
        <v>106.08</v>
      </c>
      <c r="AH26" s="1857">
        <v>1230</v>
      </c>
      <c r="BB26" s="1734">
        <v>0</v>
      </c>
    </row>
    <row r="27" spans="1:54" ht="49.5" customHeight="1" thickBot="1">
      <c r="A27" s="1764" t="s">
        <v>682</v>
      </c>
      <c r="B27" s="2868" t="s">
        <v>683</v>
      </c>
      <c r="C27" s="2869"/>
      <c r="D27" s="2870"/>
      <c r="E27" s="2489" t="s">
        <v>684</v>
      </c>
      <c r="F27" s="2487" t="s">
        <v>519</v>
      </c>
      <c r="G27" s="2489" t="s">
        <v>525</v>
      </c>
      <c r="H27" s="2487" t="s">
        <v>685</v>
      </c>
      <c r="I27" s="2488" t="str">
        <f>I7</f>
        <v>CPLY</v>
      </c>
      <c r="J27" s="2894" t="s">
        <v>4133</v>
      </c>
      <c r="K27" s="2895"/>
      <c r="L27" s="2896"/>
      <c r="M27" s="2894" t="s">
        <v>686</v>
      </c>
      <c r="N27" s="2895"/>
      <c r="O27" s="2895"/>
      <c r="Q27" s="1781"/>
      <c r="R27" s="1842"/>
      <c r="S27" s="1842"/>
      <c r="AG27" s="1882"/>
    </row>
    <row r="28" spans="1:54" ht="39.950000000000003" customHeight="1" thickBot="1">
      <c r="A28" s="1769" t="s">
        <v>687</v>
      </c>
      <c r="B28" s="2871" t="s">
        <v>688</v>
      </c>
      <c r="C28" s="2871"/>
      <c r="D28" s="2872"/>
      <c r="E28" s="1770">
        <f>'MIS MONTH WISE FUEL NMGCAL '!E59</f>
        <v>3.5</v>
      </c>
      <c r="F28" s="1743" t="s">
        <v>689</v>
      </c>
      <c r="G28" s="2502">
        <f>'DAILY FLASH'!AL101</f>
        <v>3.8333333333333335</v>
      </c>
      <c r="H28" s="2502">
        <f>'DAILY FLASH'!AF99</f>
        <v>3.2807262569832401</v>
      </c>
      <c r="I28" s="2502">
        <v>3.4301948051948052</v>
      </c>
      <c r="J28" s="1824"/>
      <c r="K28" s="1787" t="s">
        <v>4131</v>
      </c>
      <c r="L28" s="2477" t="s">
        <v>312</v>
      </c>
      <c r="M28" s="1825" t="s">
        <v>690</v>
      </c>
      <c r="N28" s="816" t="s">
        <v>308</v>
      </c>
      <c r="O28" s="1826" t="s">
        <v>309</v>
      </c>
      <c r="P28" s="1819" t="s">
        <v>39</v>
      </c>
      <c r="Q28" s="1781"/>
      <c r="R28" s="1781"/>
      <c r="S28" s="1746"/>
      <c r="AD28" s="1852" t="s">
        <v>691</v>
      </c>
      <c r="AE28" s="1853" t="s">
        <v>639</v>
      </c>
      <c r="AF28" s="1853" t="s">
        <v>640</v>
      </c>
      <c r="AG28" s="1883" t="s">
        <v>320</v>
      </c>
      <c r="AH28" s="1853" t="s">
        <v>641</v>
      </c>
    </row>
    <row r="29" spans="1:54" ht="33.950000000000003" customHeight="1" thickBot="1">
      <c r="A29" s="1771"/>
      <c r="B29" s="2876" t="s">
        <v>692</v>
      </c>
      <c r="C29" s="2876"/>
      <c r="D29" s="2877"/>
      <c r="E29" s="1772">
        <v>52</v>
      </c>
      <c r="F29" s="1751" t="s">
        <v>634</v>
      </c>
      <c r="G29" s="2503">
        <f>'DAILY FLASH'!AL12/'DAILY FLASH'!AL23</f>
        <v>53.18181818181818</v>
      </c>
      <c r="H29" s="2503">
        <f>'DAILY FLASH'!AN12/'DAILY FLASH'!AN23</f>
        <v>52.096883720930229</v>
      </c>
      <c r="I29" s="2502">
        <v>51.645023041474644</v>
      </c>
      <c r="J29" s="1827" t="s">
        <v>693</v>
      </c>
      <c r="K29" s="2720">
        <v>137676</v>
      </c>
      <c r="L29" s="2720">
        <v>125918</v>
      </c>
      <c r="M29" s="1828">
        <f>'DAILY FLASH'!AW20</f>
        <v>24735</v>
      </c>
      <c r="N29" s="1828" t="str">
        <f>'DAILY FLASH'!AX20</f>
        <v>MAR'97</v>
      </c>
      <c r="O29" s="1804">
        <f>'DAILY FLASH'!AY20</f>
        <v>248175</v>
      </c>
      <c r="P29" s="1804" t="str">
        <f>'DAILY FLASH'!AZ20</f>
        <v>96-97</v>
      </c>
      <c r="Q29" s="1736"/>
      <c r="R29" s="1781"/>
      <c r="S29" s="1746"/>
      <c r="AD29" s="1854"/>
      <c r="AE29" s="1855" t="s">
        <v>645</v>
      </c>
      <c r="AF29" s="1855" t="s">
        <v>645</v>
      </c>
      <c r="AG29" s="1884" t="s">
        <v>646</v>
      </c>
      <c r="AH29" s="1855" t="s">
        <v>645</v>
      </c>
      <c r="AK29" s="1851">
        <v>0.40972222222222227</v>
      </c>
      <c r="AL29" s="1851">
        <v>2.4305555555555556E-2</v>
      </c>
      <c r="AM29" s="1851">
        <f>+AL29-AK29+24</f>
        <v>23.614583333333332</v>
      </c>
    </row>
    <row r="30" spans="1:54" ht="39.950000000000003" customHeight="1" thickBot="1">
      <c r="A30" s="1771"/>
      <c r="B30" s="2876" t="s">
        <v>694</v>
      </c>
      <c r="C30" s="2876"/>
      <c r="D30" s="2877"/>
      <c r="E30" s="2505">
        <v>650</v>
      </c>
      <c r="F30" s="1751" t="s">
        <v>520</v>
      </c>
      <c r="G30" s="1773">
        <v>643</v>
      </c>
      <c r="H30" s="1773">
        <v>747</v>
      </c>
      <c r="I30" s="2502">
        <v>717</v>
      </c>
      <c r="J30" s="1829" t="s">
        <v>80</v>
      </c>
      <c r="K30" s="2499">
        <v>133424</v>
      </c>
      <c r="L30" s="2499">
        <v>119330</v>
      </c>
      <c r="M30" s="1830">
        <f>'DAILY FLASH'!AW14</f>
        <v>15089</v>
      </c>
      <c r="N30" s="1830" t="str">
        <f>'DAILY FLASH'!AX14</f>
        <v>MAR'89</v>
      </c>
      <c r="O30" s="574">
        <f>'DAILY FLASH'!AY14</f>
        <v>151556</v>
      </c>
      <c r="P30" s="574" t="str">
        <f>'DAILY FLASH'!AZ14</f>
        <v>88-89</v>
      </c>
      <c r="Q30" s="1736"/>
      <c r="R30" s="1736"/>
      <c r="S30" s="1746"/>
      <c r="AD30" s="1856" t="s">
        <v>649</v>
      </c>
      <c r="AE30" s="1857">
        <v>61374</v>
      </c>
      <c r="AF30" s="1857">
        <v>77413</v>
      </c>
      <c r="AG30" s="1875">
        <f>+AF30/AE30*100</f>
        <v>126.13321601981295</v>
      </c>
      <c r="AH30" s="1857">
        <v>43743</v>
      </c>
    </row>
    <row r="31" spans="1:54" ht="39.950000000000003" customHeight="1" thickBot="1">
      <c r="A31" s="1771"/>
      <c r="B31" s="2497" t="s">
        <v>695</v>
      </c>
      <c r="C31" s="2497"/>
      <c r="D31" s="2498"/>
      <c r="E31" s="1774">
        <v>0.35499999999999998</v>
      </c>
      <c r="F31" s="1775" t="str">
        <f>'MIS MONTH WISE FUEL NMGCAL '!F64</f>
        <v>GCAL/TON</v>
      </c>
      <c r="G31" s="1776">
        <v>0.26600000000000001</v>
      </c>
      <c r="H31" s="1776">
        <v>0.39800000000000002</v>
      </c>
      <c r="I31" s="2502">
        <v>0.56899999999999995</v>
      </c>
      <c r="J31" s="1829" t="s">
        <v>696</v>
      </c>
      <c r="K31" s="2499">
        <f>+K29-K30</f>
        <v>4252</v>
      </c>
      <c r="L31" s="2499">
        <f>+L29-L30</f>
        <v>6588</v>
      </c>
      <c r="M31" s="1830">
        <f>'DAILY FLASH'!AW19</f>
        <v>8488</v>
      </c>
      <c r="N31" s="1830" t="str">
        <f>'DAILY FLASH'!AX19</f>
        <v>NOV'09</v>
      </c>
      <c r="O31" s="574">
        <f>'DAILY FLASH'!AY16</f>
        <v>112288</v>
      </c>
      <c r="P31" s="574" t="str">
        <f>'DAILY FLASH'!AZ16</f>
        <v>10-11</v>
      </c>
      <c r="Q31" s="1736"/>
      <c r="R31" s="1849"/>
      <c r="S31" s="1746"/>
      <c r="AD31" s="1858" t="s">
        <v>654</v>
      </c>
      <c r="AE31" s="1868">
        <v>4190</v>
      </c>
      <c r="AF31" s="1868">
        <v>1343</v>
      </c>
      <c r="AG31" s="1875">
        <f t="shared" ref="AG31:AG41" si="3">+AF31/AE31*100</f>
        <v>32.052505966587113</v>
      </c>
      <c r="AH31" s="1885">
        <v>2438</v>
      </c>
      <c r="AS31" s="1734">
        <f>8.33*8.04</f>
        <v>66.973199999999991</v>
      </c>
    </row>
    <row r="32" spans="1:54" ht="39.950000000000003" customHeight="1" thickBot="1">
      <c r="A32" s="1771"/>
      <c r="B32" s="2876" t="s">
        <v>697</v>
      </c>
      <c r="C32" s="2876"/>
      <c r="D32" s="2877"/>
      <c r="E32" s="1772">
        <v>5.52</v>
      </c>
      <c r="F32" s="1751" t="s">
        <v>698</v>
      </c>
      <c r="G32" s="1777">
        <v>5.37</v>
      </c>
      <c r="H32" s="1777">
        <v>5.17</v>
      </c>
      <c r="I32" s="2502">
        <v>5.61</v>
      </c>
      <c r="J32" s="1829" t="s">
        <v>37</v>
      </c>
      <c r="K32" s="2499">
        <v>139825</v>
      </c>
      <c r="L32" s="2499">
        <v>119127.06200000001</v>
      </c>
      <c r="M32" s="1830">
        <v>19652</v>
      </c>
      <c r="N32" s="723" t="s">
        <v>410</v>
      </c>
      <c r="O32" s="574">
        <v>202913</v>
      </c>
      <c r="P32" s="1831" t="str">
        <f>'MIS MONTH WISE FUEL NMGCAL '!J55</f>
        <v>10-11</v>
      </c>
      <c r="Q32" s="1736"/>
      <c r="R32" s="1736"/>
      <c r="S32" s="1746"/>
      <c r="AD32" s="1861" t="s">
        <v>658</v>
      </c>
      <c r="AE32" s="1869">
        <v>2010</v>
      </c>
      <c r="AF32" s="1869">
        <v>6043</v>
      </c>
      <c r="AG32" s="1875">
        <f t="shared" si="3"/>
        <v>300.6467661691542</v>
      </c>
      <c r="AH32" s="1886">
        <v>5466</v>
      </c>
      <c r="AS32" s="1734">
        <f>+AS31/104.2</f>
        <v>0.64273704414587318</v>
      </c>
    </row>
    <row r="33" spans="1:34" ht="39.950000000000003" customHeight="1" thickBot="1">
      <c r="A33" s="1778"/>
      <c r="B33" s="2878" t="s">
        <v>699</v>
      </c>
      <c r="C33" s="2879"/>
      <c r="D33" s="2879"/>
      <c r="E33" s="577">
        <v>96.64</v>
      </c>
      <c r="F33" s="559" t="s">
        <v>320</v>
      </c>
      <c r="G33" s="2747">
        <v>96.66</v>
      </c>
      <c r="H33" s="2747">
        <v>96.45</v>
      </c>
      <c r="I33" s="2502">
        <v>96.18</v>
      </c>
      <c r="J33" s="1829" t="s">
        <v>142</v>
      </c>
      <c r="K33" s="2499">
        <v>141825</v>
      </c>
      <c r="L33" s="2499">
        <v>112369</v>
      </c>
      <c r="M33" s="1830">
        <f>'DAILY FLASH'!AW58</f>
        <v>20107</v>
      </c>
      <c r="N33" s="1830" t="str">
        <f>'DAILY FLASH'!AX58</f>
        <v>AUG'09</v>
      </c>
      <c r="O33" s="574">
        <v>200528</v>
      </c>
      <c r="P33" s="1831" t="str">
        <f>'MIS MONTH WISE FUEL NMGCAL '!J56</f>
        <v>10-11</v>
      </c>
      <c r="Q33" s="1736"/>
      <c r="R33" s="1736"/>
      <c r="S33" s="1746"/>
      <c r="AD33" s="1864" t="s">
        <v>662</v>
      </c>
      <c r="AE33" s="1870">
        <v>6200</v>
      </c>
      <c r="AF33" s="1870">
        <v>7386</v>
      </c>
      <c r="AG33" s="1875">
        <f t="shared" si="3"/>
        <v>119.12903225806453</v>
      </c>
      <c r="AH33" s="1881">
        <v>7904</v>
      </c>
    </row>
    <row r="34" spans="1:34" ht="39.950000000000003" customHeight="1" thickBot="1">
      <c r="A34" s="1779"/>
      <c r="B34" s="2878" t="s">
        <v>700</v>
      </c>
      <c r="C34" s="2879"/>
      <c r="D34" s="2879"/>
      <c r="E34" s="1780">
        <v>0.32</v>
      </c>
      <c r="F34" s="1775" t="s">
        <v>701</v>
      </c>
      <c r="G34" s="2748">
        <f>'DAILY FLASH'!M111</f>
        <v>0.31674667300380221</v>
      </c>
      <c r="H34" s="2752">
        <v>0.45600000000000002</v>
      </c>
      <c r="I34" s="2537">
        <v>0.44800000000000001</v>
      </c>
      <c r="J34" s="1832" t="s">
        <v>290</v>
      </c>
      <c r="K34" s="1833">
        <v>155974</v>
      </c>
      <c r="L34" s="1833">
        <v>143751.71299999999</v>
      </c>
      <c r="M34" s="1834">
        <v>15338</v>
      </c>
      <c r="N34" s="726" t="s">
        <v>362</v>
      </c>
      <c r="O34" s="588">
        <f>'DAILY FLASH'!AY31</f>
        <v>154538</v>
      </c>
      <c r="P34" s="1835" t="s">
        <v>158</v>
      </c>
      <c r="Q34" s="1736"/>
      <c r="R34" s="1736"/>
      <c r="S34" s="1746"/>
      <c r="AD34" s="1871"/>
      <c r="AE34" s="1872"/>
      <c r="AF34" s="1872"/>
      <c r="AG34" s="1875"/>
      <c r="AH34" s="1887"/>
    </row>
    <row r="35" spans="1:34" ht="39.950000000000003" customHeight="1" thickBot="1">
      <c r="A35" s="2880" t="s">
        <v>664</v>
      </c>
      <c r="B35" s="2891" t="s">
        <v>702</v>
      </c>
      <c r="C35" s="2892"/>
      <c r="D35" s="2893"/>
      <c r="E35" s="2882">
        <v>97.2</v>
      </c>
      <c r="F35" s="2856" t="s">
        <v>320</v>
      </c>
      <c r="G35" s="2885" t="s">
        <v>2359</v>
      </c>
      <c r="H35" s="2890">
        <v>97.13</v>
      </c>
      <c r="I35" s="2502">
        <v>97.18</v>
      </c>
      <c r="J35" s="1837" t="s">
        <v>704</v>
      </c>
      <c r="K35" s="1837" t="s">
        <v>705</v>
      </c>
      <c r="L35" s="1837" t="s">
        <v>706</v>
      </c>
      <c r="M35" s="1823" t="s">
        <v>707</v>
      </c>
      <c r="N35" s="2568" t="s">
        <v>708</v>
      </c>
      <c r="O35" s="2727" t="s">
        <v>709</v>
      </c>
      <c r="P35" s="2721"/>
      <c r="Q35" s="1736"/>
      <c r="R35" s="1736"/>
      <c r="S35" s="1746"/>
      <c r="AD35" s="1856" t="s">
        <v>665</v>
      </c>
      <c r="AE35" s="1857">
        <v>55174</v>
      </c>
      <c r="AF35" s="1857">
        <v>70027</v>
      </c>
      <c r="AG35" s="1875">
        <f t="shared" si="3"/>
        <v>126.92028854170442</v>
      </c>
      <c r="AH35" s="1857">
        <v>35839</v>
      </c>
    </row>
    <row r="36" spans="1:34" ht="0.75" customHeight="1" thickBot="1">
      <c r="A36" s="2881"/>
      <c r="B36" s="2868"/>
      <c r="C36" s="2869"/>
      <c r="D36" s="2870"/>
      <c r="E36" s="2883"/>
      <c r="F36" s="2884"/>
      <c r="G36" s="2886"/>
      <c r="H36" s="2890"/>
      <c r="I36" s="2502"/>
      <c r="J36" s="2717" t="s">
        <v>703</v>
      </c>
      <c r="K36" s="2718"/>
      <c r="L36" s="2718"/>
      <c r="M36" s="2718"/>
      <c r="N36" s="2718"/>
      <c r="O36" s="2718"/>
      <c r="P36" s="2719"/>
      <c r="Q36" s="1842"/>
      <c r="R36" s="1736"/>
      <c r="S36" s="1736"/>
      <c r="AD36" s="1856" t="s">
        <v>710</v>
      </c>
      <c r="AE36" s="1857">
        <v>94500</v>
      </c>
      <c r="AF36" s="1857">
        <v>92934</v>
      </c>
      <c r="AG36" s="1875">
        <f t="shared" si="3"/>
        <v>98.342857142857142</v>
      </c>
      <c r="AH36" s="1857">
        <v>53335</v>
      </c>
    </row>
    <row r="37" spans="1:34" ht="39.950000000000003" customHeight="1" thickBot="1">
      <c r="A37" s="1768" t="s">
        <v>711</v>
      </c>
      <c r="B37" s="2873" t="s">
        <v>694</v>
      </c>
      <c r="C37" s="2874"/>
      <c r="D37" s="2875"/>
      <c r="E37" s="1782">
        <v>93</v>
      </c>
      <c r="F37" s="1767" t="s">
        <v>520</v>
      </c>
      <c r="G37" s="2503">
        <f>L79</f>
        <v>91.52709386876144</v>
      </c>
      <c r="H37" s="2503">
        <f>M79</f>
        <v>96.262500092202373</v>
      </c>
      <c r="I37" s="2624">
        <v>95.155630697557925</v>
      </c>
      <c r="J37" s="2625" t="s">
        <v>712</v>
      </c>
      <c r="K37" s="1804">
        <v>0</v>
      </c>
      <c r="L37" s="1804">
        <f>724.302</f>
        <v>724.30200000000002</v>
      </c>
      <c r="M37" s="1804">
        <f>'DAILY FLASH'!AN53</f>
        <v>694.91</v>
      </c>
      <c r="N37" s="2567">
        <f>'DAILY FLASH'!BC77</f>
        <v>356.69</v>
      </c>
      <c r="O37" s="2720">
        <f>205.56+0.98+M37-N37</f>
        <v>544.76</v>
      </c>
      <c r="P37" s="2721"/>
      <c r="Q37" s="1842"/>
      <c r="R37" s="1842"/>
      <c r="S37" s="1849"/>
      <c r="AD37" s="1856" t="s">
        <v>670</v>
      </c>
      <c r="AE37" s="1857">
        <v>90479</v>
      </c>
      <c r="AF37" s="1857">
        <v>90133</v>
      </c>
      <c r="AG37" s="1875">
        <f t="shared" si="3"/>
        <v>99.617590822179736</v>
      </c>
      <c r="AH37" s="1857">
        <v>52700</v>
      </c>
    </row>
    <row r="38" spans="1:34" ht="39.950000000000003" customHeight="1" thickBot="1">
      <c r="A38" s="1764"/>
      <c r="B38" s="2496" t="str">
        <f>'MIS MONTH WISE FUEL NMGCAL '!B70</f>
        <v>FUEL CONS</v>
      </c>
      <c r="C38" s="2497"/>
      <c r="D38" s="2498"/>
      <c r="E38" s="1774">
        <f>'MIS MONTH WISE FUEL NMGCAL '!E70</f>
        <v>0.44</v>
      </c>
      <c r="F38" s="1775" t="str">
        <f>'MIS MONTH WISE FUEL NMGCAL '!F70</f>
        <v>GCAL/TON</v>
      </c>
      <c r="G38" s="2484">
        <v>0.66</v>
      </c>
      <c r="H38" s="2483">
        <v>0.505</v>
      </c>
      <c r="I38" s="2624">
        <v>0.47699999999999998</v>
      </c>
      <c r="J38" s="2724" t="s">
        <v>3983</v>
      </c>
      <c r="K38" s="1828">
        <f>27*8+24*8+26*2.563</f>
        <v>474.63800000000003</v>
      </c>
      <c r="L38" s="1828">
        <f>216</f>
        <v>216</v>
      </c>
      <c r="M38" s="1828">
        <f>167.22+2.75+8.4</f>
        <v>178.37</v>
      </c>
      <c r="N38" s="1828">
        <f>203.1+57.74</f>
        <v>260.83999999999997</v>
      </c>
      <c r="O38" s="2625"/>
      <c r="P38" s="2629"/>
      <c r="Q38" s="1847"/>
      <c r="R38" s="1842"/>
      <c r="S38" s="1849"/>
      <c r="U38" s="1734">
        <f>28*7.1</f>
        <v>198.79999999999998</v>
      </c>
      <c r="AD38" s="1856" t="s">
        <v>674</v>
      </c>
      <c r="AE38" s="1857">
        <v>92129</v>
      </c>
      <c r="AF38" s="1857">
        <v>90091</v>
      </c>
      <c r="AG38" s="1875">
        <f t="shared" si="3"/>
        <v>97.78788437951134</v>
      </c>
      <c r="AH38" s="1857">
        <v>56130</v>
      </c>
    </row>
    <row r="39" spans="1:34" ht="39.950000000000003" customHeight="1" thickBot="1">
      <c r="A39" s="1764"/>
      <c r="B39" s="2868" t="s">
        <v>702</v>
      </c>
      <c r="C39" s="2869"/>
      <c r="D39" s="2870"/>
      <c r="E39" s="582">
        <v>88.5</v>
      </c>
      <c r="F39" s="2501" t="s">
        <v>320</v>
      </c>
      <c r="G39" s="2485">
        <f>L76</f>
        <v>88.985858652959877</v>
      </c>
      <c r="H39" s="2485">
        <f>M76</f>
        <v>88.670156075477564</v>
      </c>
      <c r="I39" s="2624">
        <v>88.540918785007719</v>
      </c>
      <c r="J39" s="2626" t="s">
        <v>4011</v>
      </c>
      <c r="K39" s="2627">
        <v>0</v>
      </c>
      <c r="L39" s="2627">
        <v>0</v>
      </c>
      <c r="M39" s="2627">
        <v>0</v>
      </c>
      <c r="N39" s="2627">
        <f>224.13</f>
        <v>224.13</v>
      </c>
      <c r="O39" s="2626"/>
      <c r="P39" s="2628"/>
      <c r="Q39" s="1842"/>
      <c r="R39" s="1842"/>
      <c r="S39" s="1849"/>
      <c r="AD39" s="1867" t="s">
        <v>677</v>
      </c>
      <c r="AE39" s="1857">
        <v>20000</v>
      </c>
      <c r="AF39" s="1857">
        <v>8618</v>
      </c>
      <c r="AG39" s="1875">
        <f t="shared" si="3"/>
        <v>43.09</v>
      </c>
      <c r="AH39" s="1857">
        <v>7640</v>
      </c>
    </row>
    <row r="40" spans="1:34" ht="39.950000000000003" customHeight="1" thickBot="1">
      <c r="A40" s="2852"/>
      <c r="B40" s="2854"/>
      <c r="C40" s="2854"/>
      <c r="D40" s="2854"/>
      <c r="E40" s="2854"/>
      <c r="F40" s="2854"/>
      <c r="G40" s="2857"/>
      <c r="H40" s="2857"/>
      <c r="I40" s="2857"/>
      <c r="R40" s="1842"/>
      <c r="T40" s="1734">
        <f>621.51-615.65</f>
        <v>5.8600000000000136</v>
      </c>
      <c r="V40" s="1734">
        <f>409.99-414.13</f>
        <v>-4.1399999999999864</v>
      </c>
      <c r="AD40" s="1856" t="s">
        <v>681</v>
      </c>
      <c r="AE40" s="1857">
        <v>25000</v>
      </c>
      <c r="AF40" s="1857">
        <v>23701</v>
      </c>
      <c r="AG40" s="1875">
        <f t="shared" si="3"/>
        <v>94.804000000000002</v>
      </c>
      <c r="AH40" s="1857">
        <v>19654</v>
      </c>
    </row>
    <row r="41" spans="1:34" ht="33.950000000000003" customHeight="1">
      <c r="A41" s="1783" t="s">
        <v>713</v>
      </c>
      <c r="B41" s="2428" t="s">
        <v>714</v>
      </c>
      <c r="C41" s="2696" t="s">
        <v>4167</v>
      </c>
      <c r="D41" s="3159" t="s">
        <v>4216</v>
      </c>
      <c r="E41" s="574"/>
      <c r="F41" s="574"/>
      <c r="G41" s="574"/>
      <c r="H41" s="574"/>
      <c r="I41" s="574"/>
      <c r="J41" s="574"/>
      <c r="K41" s="574"/>
      <c r="L41" s="574"/>
      <c r="M41" s="574"/>
      <c r="N41" s="574"/>
      <c r="O41" s="1743" t="s">
        <v>4135</v>
      </c>
      <c r="W41" s="1850" t="e">
        <f>307+M35-N35</f>
        <v>#VALUE!</v>
      </c>
      <c r="AE41" s="1873">
        <v>94500</v>
      </c>
      <c r="AF41" s="1873">
        <v>92753</v>
      </c>
      <c r="AG41" s="1888">
        <f t="shared" si="3"/>
        <v>98.151322751322752</v>
      </c>
    </row>
    <row r="42" spans="1:34" ht="39.950000000000003" customHeight="1" thickBot="1">
      <c r="A42" s="1784" t="s">
        <v>715</v>
      </c>
      <c r="B42" s="574">
        <f>21402-340</f>
        <v>21062</v>
      </c>
      <c r="C42" s="574">
        <v>20426</v>
      </c>
      <c r="D42" s="574">
        <v>20489</v>
      </c>
      <c r="E42" s="574"/>
      <c r="F42" s="574"/>
      <c r="G42" s="574"/>
      <c r="H42" s="574"/>
      <c r="I42" s="574"/>
      <c r="J42" s="574"/>
      <c r="K42" s="574"/>
      <c r="L42" s="574"/>
      <c r="M42" s="574"/>
      <c r="N42" s="574"/>
      <c r="O42" s="1840">
        <f>L25</f>
        <v>20488.695499999998</v>
      </c>
    </row>
    <row r="43" spans="1:34" ht="39.950000000000003" customHeight="1">
      <c r="A43" s="1784" t="s">
        <v>716</v>
      </c>
      <c r="B43" s="574">
        <v>917.50899999999979</v>
      </c>
      <c r="C43" s="574">
        <v>820</v>
      </c>
      <c r="D43" s="574">
        <v>643</v>
      </c>
      <c r="E43" s="574"/>
      <c r="F43" s="574"/>
      <c r="G43" s="574"/>
      <c r="H43" s="574"/>
      <c r="I43" s="574"/>
      <c r="J43" s="574"/>
      <c r="K43" s="574"/>
      <c r="L43" s="574"/>
      <c r="M43" s="574"/>
      <c r="N43" s="574"/>
      <c r="O43" s="1840">
        <f>L21+L20+0</f>
        <v>642.72999999999956</v>
      </c>
      <c r="P43" s="1839"/>
      <c r="Q43" s="1734">
        <f>22679-22044</f>
        <v>635</v>
      </c>
      <c r="AA43" s="1734">
        <f>116957-119011</f>
        <v>-2054</v>
      </c>
    </row>
    <row r="44" spans="1:34" ht="39.950000000000003" customHeight="1">
      <c r="A44" s="1784" t="s">
        <v>717</v>
      </c>
      <c r="B44" s="574">
        <f>SUM(B42:B43)</f>
        <v>21979.508999999998</v>
      </c>
      <c r="C44" s="574">
        <f>+C42++C43</f>
        <v>21246</v>
      </c>
      <c r="D44" s="574">
        <v>21131</v>
      </c>
      <c r="E44" s="574"/>
      <c r="F44" s="574"/>
      <c r="G44" s="574"/>
      <c r="H44" s="574"/>
      <c r="I44" s="574"/>
      <c r="J44" s="574"/>
      <c r="K44" s="574"/>
      <c r="L44" s="574"/>
      <c r="M44" s="574"/>
      <c r="N44" s="574"/>
      <c r="O44" s="1840">
        <f>+O43+O42</f>
        <v>21131.425499999998</v>
      </c>
      <c r="P44" s="2500"/>
      <c r="Q44" s="1734">
        <f>21572+472</f>
        <v>22044</v>
      </c>
      <c r="S44" s="1734">
        <f>16638-2829</f>
        <v>13809</v>
      </c>
      <c r="AA44" s="1734">
        <f>9666+2054</f>
        <v>11720</v>
      </c>
    </row>
    <row r="45" spans="1:34" ht="45.6" customHeight="1" thickBot="1">
      <c r="A45" s="1785" t="s">
        <v>718</v>
      </c>
      <c r="B45" s="588">
        <v>200</v>
      </c>
      <c r="C45" s="574">
        <v>200</v>
      </c>
      <c r="D45" s="574">
        <v>200</v>
      </c>
      <c r="E45" s="574"/>
      <c r="F45" s="574"/>
      <c r="G45" s="574"/>
      <c r="H45" s="574"/>
      <c r="I45" s="574"/>
      <c r="J45" s="574"/>
      <c r="K45" s="574"/>
      <c r="L45" s="574"/>
      <c r="M45" s="574"/>
      <c r="N45" s="574"/>
      <c r="O45" s="2726">
        <f>L26</f>
        <v>200</v>
      </c>
      <c r="P45" s="2500"/>
      <c r="S45" s="1734" t="s">
        <v>719</v>
      </c>
    </row>
    <row r="46" spans="1:34" ht="45" customHeight="1" thickBot="1">
      <c r="A46" s="2725" t="s">
        <v>4182</v>
      </c>
      <c r="B46" s="1736"/>
      <c r="C46" s="1736"/>
      <c r="D46" s="1736"/>
      <c r="E46" s="1736"/>
      <c r="F46" s="1736"/>
      <c r="G46" s="1736"/>
      <c r="H46" s="1736"/>
      <c r="I46" s="1736"/>
      <c r="O46" s="574"/>
      <c r="P46" s="574"/>
      <c r="R46" s="1850">
        <f>+P54-P57</f>
        <v>-579.62199999999939</v>
      </c>
      <c r="S46" s="1734">
        <f>18778-15860</f>
        <v>2918</v>
      </c>
    </row>
    <row r="47" spans="1:34" ht="39.950000000000003" customHeight="1" thickBot="1">
      <c r="A47" s="1786" t="s">
        <v>720</v>
      </c>
      <c r="B47" s="1787" t="s">
        <v>721</v>
      </c>
      <c r="C47" s="1787" t="s">
        <v>722</v>
      </c>
      <c r="D47" s="1787" t="s">
        <v>723</v>
      </c>
      <c r="E47" s="1787" t="s">
        <v>724</v>
      </c>
      <c r="F47" s="1787" t="s">
        <v>725</v>
      </c>
      <c r="G47" s="1787" t="s">
        <v>726</v>
      </c>
      <c r="H47" s="559" t="s">
        <v>727</v>
      </c>
      <c r="I47" s="1787" t="s">
        <v>4136</v>
      </c>
      <c r="J47" s="1787" t="s">
        <v>729</v>
      </c>
      <c r="K47" s="1787" t="s">
        <v>730</v>
      </c>
      <c r="L47" s="1787" t="s">
        <v>731</v>
      </c>
      <c r="M47" s="1787" t="s">
        <v>732</v>
      </c>
      <c r="N47" s="2569" t="s">
        <v>733</v>
      </c>
      <c r="O47" s="1806" t="s">
        <v>734</v>
      </c>
      <c r="P47" s="2491" t="s">
        <v>4135</v>
      </c>
    </row>
    <row r="48" spans="1:34" ht="39.950000000000003" customHeight="1">
      <c r="A48" s="1786"/>
      <c r="B48" s="1788" t="s">
        <v>735</v>
      </c>
      <c r="C48" s="574">
        <v>11511</v>
      </c>
      <c r="D48" s="574">
        <v>11612</v>
      </c>
      <c r="E48" s="574">
        <v>13823</v>
      </c>
      <c r="F48" s="574">
        <v>13069</v>
      </c>
      <c r="G48" s="574">
        <v>13822</v>
      </c>
      <c r="H48" s="574">
        <v>12818</v>
      </c>
      <c r="I48" s="574">
        <f>SUBTOTAL(9,C48:H48)</f>
        <v>76655</v>
      </c>
      <c r="J48" s="574">
        <v>13068</v>
      </c>
      <c r="K48" s="574">
        <v>12818</v>
      </c>
      <c r="L48" s="574">
        <v>12064</v>
      </c>
      <c r="M48" s="574">
        <v>12064</v>
      </c>
      <c r="N48" s="574">
        <v>12064</v>
      </c>
      <c r="O48" s="574">
        <v>12064</v>
      </c>
      <c r="P48" s="1831">
        <f>SUBTOTAL(9,C48:I48)</f>
        <v>76655</v>
      </c>
    </row>
    <row r="49" spans="1:19" ht="26.25">
      <c r="A49" s="1789" t="s">
        <v>633</v>
      </c>
      <c r="B49" s="1788" t="s">
        <v>736</v>
      </c>
      <c r="C49" s="574">
        <v>11488</v>
      </c>
      <c r="D49" s="574">
        <f>F10</f>
        <v>10759.191000000001</v>
      </c>
      <c r="E49" s="574"/>
      <c r="F49" s="574"/>
      <c r="G49" s="574"/>
      <c r="H49" s="574"/>
      <c r="I49" s="574"/>
      <c r="J49" s="574"/>
      <c r="K49" s="574"/>
      <c r="L49" s="574"/>
      <c r="M49" s="574"/>
      <c r="N49" s="574"/>
      <c r="O49" s="574"/>
      <c r="P49" s="1831">
        <f>SUBTOTAL(9,C49:O49)</f>
        <v>22247.190999999999</v>
      </c>
      <c r="Q49" s="1734">
        <f>97003-2001</f>
        <v>95002</v>
      </c>
      <c r="S49" s="1850"/>
    </row>
    <row r="50" spans="1:19" ht="39.950000000000003" customHeight="1" thickBot="1">
      <c r="A50" s="1790"/>
      <c r="B50" s="1788" t="s">
        <v>737</v>
      </c>
      <c r="C50" s="574">
        <f>C49/C48*100</f>
        <v>99.800191121535917</v>
      </c>
      <c r="D50" s="574">
        <f>D49/D48*100</f>
        <v>92.655795728556669</v>
      </c>
      <c r="E50" s="574"/>
      <c r="F50" s="574"/>
      <c r="G50" s="574"/>
      <c r="H50" s="574"/>
      <c r="I50" s="574"/>
      <c r="J50" s="574"/>
      <c r="K50" s="574"/>
      <c r="L50" s="574"/>
      <c r="M50" s="574"/>
      <c r="N50" s="574"/>
      <c r="O50" s="574"/>
      <c r="P50" s="1831">
        <f>P49/P48*100</f>
        <v>29.022491683517053</v>
      </c>
    </row>
    <row r="51" spans="1:19" ht="39.950000000000003" customHeight="1">
      <c r="A51" s="1791" t="s">
        <v>738</v>
      </c>
      <c r="B51" s="1792"/>
      <c r="C51" s="574">
        <v>209</v>
      </c>
      <c r="D51" s="574">
        <f>F8</f>
        <v>215</v>
      </c>
      <c r="E51" s="574"/>
      <c r="F51" s="574"/>
      <c r="G51" s="574"/>
      <c r="H51" s="574"/>
      <c r="I51" s="574"/>
      <c r="J51" s="574"/>
      <c r="K51" s="574"/>
      <c r="L51" s="574"/>
      <c r="M51" s="574"/>
      <c r="N51" s="574"/>
      <c r="O51" s="574"/>
      <c r="P51" s="1831">
        <f>SUBTOTAL(9,C51:O51)</f>
        <v>424</v>
      </c>
    </row>
    <row r="52" spans="1:19" ht="39.950000000000003" customHeight="1" thickBot="1">
      <c r="A52" s="1789" t="s">
        <v>739</v>
      </c>
      <c r="B52" s="1792"/>
      <c r="C52" s="574">
        <v>39</v>
      </c>
      <c r="D52" s="574">
        <f>F13</f>
        <v>36</v>
      </c>
      <c r="E52" s="574"/>
      <c r="F52" s="574"/>
      <c r="G52" s="574"/>
      <c r="H52" s="574"/>
      <c r="I52" s="574"/>
      <c r="J52" s="574"/>
      <c r="K52" s="574"/>
      <c r="L52" s="574"/>
      <c r="M52" s="574"/>
      <c r="N52" s="574"/>
      <c r="O52" s="574"/>
      <c r="P52" s="1831">
        <f>SUBTOTAL(9,C52:O52)</f>
        <v>75</v>
      </c>
      <c r="S52" s="1734">
        <f>15551-24260</f>
        <v>-8709</v>
      </c>
    </row>
    <row r="53" spans="1:19" ht="39.950000000000003" customHeight="1">
      <c r="A53" s="1786"/>
      <c r="B53" s="1788" t="s">
        <v>735</v>
      </c>
      <c r="C53" s="574">
        <v>11590</v>
      </c>
      <c r="D53" s="574">
        <v>11340</v>
      </c>
      <c r="E53" s="574">
        <v>11770</v>
      </c>
      <c r="F53" s="574">
        <v>12515</v>
      </c>
      <c r="G53" s="574">
        <v>12515</v>
      </c>
      <c r="H53" s="574">
        <v>12100</v>
      </c>
      <c r="I53" s="574">
        <f>SUBTOTAL(9,C53:H53)</f>
        <v>71830</v>
      </c>
      <c r="J53" s="574">
        <v>13165</v>
      </c>
      <c r="K53" s="574">
        <v>13090</v>
      </c>
      <c r="L53" s="574">
        <v>12720</v>
      </c>
      <c r="M53" s="574">
        <v>11815</v>
      </c>
      <c r="N53" s="574">
        <v>11795</v>
      </c>
      <c r="O53" s="574">
        <v>11870</v>
      </c>
      <c r="P53" s="1831">
        <f>SUBTOTAL(9,C53:O53)</f>
        <v>146285</v>
      </c>
      <c r="S53" s="1734">
        <f>8709-6769</f>
        <v>1940</v>
      </c>
    </row>
    <row r="54" spans="1:19" ht="39.950000000000003" customHeight="1">
      <c r="A54" s="1789" t="s">
        <v>740</v>
      </c>
      <c r="B54" s="1788" t="s">
        <v>736</v>
      </c>
      <c r="C54" s="1793">
        <v>11217.901000000002</v>
      </c>
      <c r="D54" s="574">
        <f>F20</f>
        <v>11402.186999999998</v>
      </c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1831">
        <f>SUBTOTAL(9,C54:O54)</f>
        <v>22620.088</v>
      </c>
      <c r="S54" s="1850"/>
    </row>
    <row r="55" spans="1:19" ht="39.950000000000003" customHeight="1" thickBot="1">
      <c r="A55" s="1790"/>
      <c r="B55" s="1788" t="s">
        <v>737</v>
      </c>
      <c r="C55" s="574">
        <v>98.923289241622598</v>
      </c>
      <c r="D55" s="574">
        <f>+D54/D53*100</f>
        <v>100.54838624338622</v>
      </c>
      <c r="E55" s="574"/>
      <c r="F55" s="574"/>
      <c r="G55" s="574"/>
      <c r="H55" s="574"/>
      <c r="I55" s="574"/>
      <c r="J55" s="574"/>
      <c r="K55" s="574"/>
      <c r="L55" s="574"/>
      <c r="M55" s="574"/>
      <c r="N55" s="574"/>
      <c r="O55" s="574"/>
      <c r="P55" s="1831">
        <f>+P54/P53*100</f>
        <v>15.463026284308029</v>
      </c>
    </row>
    <row r="56" spans="1:19" ht="39.950000000000003" customHeight="1">
      <c r="A56" s="1789"/>
      <c r="B56" s="1788" t="s">
        <v>735</v>
      </c>
      <c r="C56" s="574">
        <v>11740</v>
      </c>
      <c r="D56" s="574">
        <v>11490</v>
      </c>
      <c r="E56" s="574">
        <v>11970</v>
      </c>
      <c r="F56" s="574">
        <v>12665</v>
      </c>
      <c r="G56" s="574">
        <v>12665</v>
      </c>
      <c r="H56" s="574">
        <v>12300</v>
      </c>
      <c r="I56" s="574">
        <f>SUBTOTAL(9,C56:H56)</f>
        <v>72830</v>
      </c>
      <c r="J56" s="574">
        <v>13315</v>
      </c>
      <c r="K56" s="574">
        <v>13240</v>
      </c>
      <c r="L56" s="574">
        <v>12920</v>
      </c>
      <c r="M56" s="574">
        <v>11965</v>
      </c>
      <c r="N56" s="574">
        <v>11945</v>
      </c>
      <c r="O56" s="574">
        <v>12070</v>
      </c>
      <c r="P56" s="1831">
        <f>SUBTOTAL(9,C56:O56)</f>
        <v>148285</v>
      </c>
    </row>
    <row r="57" spans="1:19" ht="39.950000000000003" customHeight="1">
      <c r="A57" s="1789" t="s">
        <v>669</v>
      </c>
      <c r="B57" s="1788" t="s">
        <v>736</v>
      </c>
      <c r="C57" s="1793">
        <v>12026</v>
      </c>
      <c r="D57" s="1793">
        <f>F21</f>
        <v>11173.28</v>
      </c>
      <c r="E57" s="1793"/>
      <c r="F57" s="1793"/>
      <c r="G57" s="1793"/>
      <c r="H57" s="1793"/>
      <c r="I57" s="1793"/>
      <c r="J57" s="1793"/>
      <c r="K57" s="1793"/>
      <c r="L57" s="1793"/>
      <c r="M57" s="1793"/>
      <c r="N57" s="1793"/>
      <c r="O57" s="1793"/>
      <c r="P57" s="1831">
        <f>L5</f>
        <v>23199.71</v>
      </c>
      <c r="S57" s="1850"/>
    </row>
    <row r="58" spans="1:19" ht="39.950000000000003" customHeight="1" thickBot="1">
      <c r="A58" s="1790"/>
      <c r="B58" s="1788" t="s">
        <v>737</v>
      </c>
      <c r="C58" s="1793">
        <f>+C57/C56*100</f>
        <v>102.43611584327085</v>
      </c>
      <c r="D58" s="1793">
        <f>+D57/D56*100</f>
        <v>97.243516100957365</v>
      </c>
      <c r="E58" s="1793"/>
      <c r="F58" s="1793"/>
      <c r="G58" s="1793"/>
      <c r="H58" s="1793"/>
      <c r="I58" s="1793"/>
      <c r="J58" s="1793"/>
      <c r="K58" s="1793"/>
      <c r="L58" s="1793"/>
      <c r="M58" s="1793"/>
      <c r="N58" s="1793"/>
      <c r="O58" s="1793"/>
      <c r="P58" s="1831">
        <f>+P57/P56*100</f>
        <v>15.645351856222813</v>
      </c>
      <c r="R58" s="1734">
        <f>108719-108819</f>
        <v>-100</v>
      </c>
    </row>
    <row r="59" spans="1:19" ht="39.950000000000003" customHeight="1">
      <c r="A59" s="1794"/>
      <c r="B59" s="1788" t="s">
        <v>735</v>
      </c>
      <c r="C59" s="574">
        <v>12727</v>
      </c>
      <c r="D59" s="574">
        <v>12227</v>
      </c>
      <c r="E59" s="574">
        <v>14088</v>
      </c>
      <c r="F59" s="574">
        <v>13934</v>
      </c>
      <c r="G59" s="574">
        <v>14738</v>
      </c>
      <c r="H59" s="574">
        <v>10633</v>
      </c>
      <c r="I59" s="574">
        <f>SUBTOTAL(9,C59:H59)</f>
        <v>78347</v>
      </c>
      <c r="J59" s="574">
        <v>14785</v>
      </c>
      <c r="K59" s="574">
        <v>14633</v>
      </c>
      <c r="L59" s="574">
        <v>14029</v>
      </c>
      <c r="M59" s="574">
        <v>12829</v>
      </c>
      <c r="N59" s="574">
        <v>12929</v>
      </c>
      <c r="O59" s="574">
        <v>12927</v>
      </c>
      <c r="P59" s="1831">
        <f>+J59+K59+L59+M59+N59+O59+I59</f>
        <v>160479</v>
      </c>
    </row>
    <row r="60" spans="1:19" ht="39.950000000000003" customHeight="1">
      <c r="A60" s="1789" t="s">
        <v>290</v>
      </c>
      <c r="B60" s="1788" t="s">
        <v>736</v>
      </c>
      <c r="C60" s="574">
        <v>12805.689999999997</v>
      </c>
      <c r="D60" s="574">
        <f>F17</f>
        <v>12743.709000000001</v>
      </c>
      <c r="E60" s="574">
        <v>0</v>
      </c>
      <c r="F60" s="574">
        <v>0</v>
      </c>
      <c r="G60" s="574">
        <v>0</v>
      </c>
      <c r="H60" s="574">
        <v>0</v>
      </c>
      <c r="I60" s="574">
        <v>0</v>
      </c>
      <c r="J60" s="574">
        <v>0</v>
      </c>
      <c r="K60" s="574">
        <v>0</v>
      </c>
      <c r="L60" s="574">
        <v>0</v>
      </c>
      <c r="M60" s="574">
        <v>0</v>
      </c>
      <c r="N60" s="574">
        <v>0</v>
      </c>
      <c r="O60" s="574">
        <v>0</v>
      </c>
      <c r="P60" s="1831">
        <f>'DAILY FLASH'!BA4</f>
        <v>25549.398999999998</v>
      </c>
    </row>
    <row r="61" spans="1:19" ht="39.950000000000003" customHeight="1">
      <c r="A61" s="1794"/>
      <c r="B61" s="1788" t="s">
        <v>737</v>
      </c>
      <c r="C61" s="574">
        <f t="shared" ref="C61:G61" si="4">C60/C59*100</f>
        <v>100.61829182053899</v>
      </c>
      <c r="D61" s="574">
        <f t="shared" si="4"/>
        <v>104.22596712194326</v>
      </c>
      <c r="E61" s="574">
        <f t="shared" si="4"/>
        <v>0</v>
      </c>
      <c r="F61" s="574">
        <f t="shared" si="4"/>
        <v>0</v>
      </c>
      <c r="G61" s="574">
        <f t="shared" si="4"/>
        <v>0</v>
      </c>
      <c r="H61" s="574">
        <f>H60/H59*100</f>
        <v>0</v>
      </c>
      <c r="I61" s="574">
        <f t="shared" ref="I61" si="5">I60/I59*100</f>
        <v>0</v>
      </c>
      <c r="J61" s="574">
        <f>J60/J59*100</f>
        <v>0</v>
      </c>
      <c r="K61" s="574">
        <f>K60/K59*100</f>
        <v>0</v>
      </c>
      <c r="L61" s="574">
        <f>+L60/L59*100</f>
        <v>0</v>
      </c>
      <c r="M61" s="574">
        <f>+M60/M59*100</f>
        <v>0</v>
      </c>
      <c r="N61" s="574">
        <f>+N60/N59*100</f>
        <v>0</v>
      </c>
      <c r="O61" s="574">
        <f>+O60/O59*100</f>
        <v>0</v>
      </c>
      <c r="P61" s="1831">
        <f>+P60/P59*100</f>
        <v>15.920711744215751</v>
      </c>
      <c r="Q61" s="1849"/>
    </row>
    <row r="62" spans="1:19" ht="39.950000000000003" customHeight="1">
      <c r="A62" s="1795" t="s">
        <v>721</v>
      </c>
      <c r="B62" s="559" t="s">
        <v>735</v>
      </c>
      <c r="C62" s="559" t="s">
        <v>722</v>
      </c>
      <c r="D62" s="559" t="s">
        <v>723</v>
      </c>
      <c r="E62" s="559" t="s">
        <v>724</v>
      </c>
      <c r="F62" s="559" t="s">
        <v>725</v>
      </c>
      <c r="G62" s="559" t="s">
        <v>726</v>
      </c>
      <c r="H62" s="559" t="s">
        <v>727</v>
      </c>
      <c r="I62" s="1792" t="str">
        <f>I47</f>
        <v>H1 26-27</v>
      </c>
      <c r="J62" s="559" t="s">
        <v>729</v>
      </c>
      <c r="K62" s="559" t="s">
        <v>730</v>
      </c>
      <c r="L62" s="559" t="s">
        <v>731</v>
      </c>
      <c r="M62" s="574" t="s">
        <v>732</v>
      </c>
      <c r="N62" s="574" t="s">
        <v>733</v>
      </c>
      <c r="O62" s="559" t="s">
        <v>734</v>
      </c>
      <c r="P62" s="1841" t="str">
        <f>+P47</f>
        <v>26-27</v>
      </c>
      <c r="Q62" s="1849"/>
    </row>
    <row r="63" spans="1:19" ht="39.950000000000003" customHeight="1">
      <c r="A63" s="1784" t="s">
        <v>4191</v>
      </c>
      <c r="B63" s="559">
        <v>6000</v>
      </c>
      <c r="C63" s="1889">
        <v>448</v>
      </c>
      <c r="D63" s="574">
        <v>475</v>
      </c>
      <c r="E63" s="574"/>
      <c r="F63" s="574"/>
      <c r="G63" s="574"/>
      <c r="H63" s="574"/>
      <c r="I63" s="574">
        <f>SUBTOTAL(9,C63:H63)</f>
        <v>923</v>
      </c>
      <c r="J63" s="574"/>
      <c r="K63" s="574"/>
      <c r="L63" s="574"/>
      <c r="M63" s="574"/>
      <c r="N63" s="574"/>
      <c r="O63" s="574"/>
      <c r="P63" s="1910">
        <v>0</v>
      </c>
      <c r="Q63" s="1849"/>
    </row>
    <row r="64" spans="1:19" ht="39.950000000000003" customHeight="1">
      <c r="A64" s="1784" t="s">
        <v>741</v>
      </c>
      <c r="B64" s="559"/>
      <c r="C64" s="1889">
        <f>K37</f>
        <v>0</v>
      </c>
      <c r="D64" s="574"/>
      <c r="E64" s="574"/>
      <c r="F64" s="574"/>
      <c r="G64" s="574"/>
      <c r="H64" s="574"/>
      <c r="I64" s="574">
        <f>SUBTOTAL(9,C64:H64)</f>
        <v>0</v>
      </c>
      <c r="J64" s="574"/>
      <c r="K64" s="574"/>
      <c r="L64" s="574"/>
      <c r="M64" s="574"/>
      <c r="N64" s="574"/>
      <c r="O64" s="574"/>
      <c r="P64" s="1910">
        <f t="shared" ref="P64:P71" si="6">SUBTOTAL(9,C64:O64)</f>
        <v>0</v>
      </c>
      <c r="Q64" s="1849"/>
    </row>
    <row r="65" spans="1:35" ht="39.950000000000003" customHeight="1">
      <c r="A65" s="1784" t="s">
        <v>4012</v>
      </c>
      <c r="B65" s="559"/>
      <c r="C65" s="1889">
        <f>K39</f>
        <v>0</v>
      </c>
      <c r="D65" s="574"/>
      <c r="E65" s="574"/>
      <c r="F65" s="574"/>
      <c r="G65" s="574"/>
      <c r="H65" s="574"/>
      <c r="I65" s="574"/>
      <c r="J65" s="574"/>
      <c r="K65" s="574"/>
      <c r="L65" s="574"/>
      <c r="M65" s="574"/>
      <c r="N65" s="574"/>
      <c r="O65" s="574"/>
      <c r="P65" s="1910">
        <f t="shared" si="6"/>
        <v>0</v>
      </c>
      <c r="Q65" s="1849"/>
    </row>
    <row r="66" spans="1:35" ht="39.950000000000003" customHeight="1">
      <c r="A66" s="1784" t="s">
        <v>742</v>
      </c>
      <c r="B66" s="559">
        <v>6000</v>
      </c>
      <c r="C66" s="1889">
        <v>0</v>
      </c>
      <c r="D66" s="574"/>
      <c r="E66" s="574"/>
      <c r="F66" s="574"/>
      <c r="G66" s="574"/>
      <c r="H66" s="574"/>
      <c r="I66" s="574">
        <f t="shared" ref="I66:I71" si="7">SUBTOTAL(9,C66:H66)</f>
        <v>0</v>
      </c>
      <c r="J66" s="574"/>
      <c r="K66" s="574"/>
      <c r="L66" s="574"/>
      <c r="M66" s="574"/>
      <c r="N66" s="574"/>
      <c r="O66" s="574"/>
      <c r="P66" s="1910">
        <f t="shared" si="6"/>
        <v>0</v>
      </c>
      <c r="Q66" s="1849"/>
      <c r="Z66" s="1734">
        <f>101*4</f>
        <v>404</v>
      </c>
    </row>
    <row r="67" spans="1:35" ht="39.950000000000003" customHeight="1">
      <c r="A67" s="1784" t="s">
        <v>743</v>
      </c>
      <c r="B67" s="559">
        <v>6000</v>
      </c>
      <c r="C67" s="1889">
        <f>164*7.1</f>
        <v>1164.3999999999999</v>
      </c>
      <c r="D67" s="574">
        <v>1935.45</v>
      </c>
      <c r="E67" s="574"/>
      <c r="F67" s="574"/>
      <c r="G67" s="574"/>
      <c r="H67" s="574"/>
      <c r="I67" s="574">
        <f t="shared" si="7"/>
        <v>3099.85</v>
      </c>
      <c r="J67" s="574"/>
      <c r="K67" s="574"/>
      <c r="L67" s="574"/>
      <c r="M67" s="574"/>
      <c r="N67" s="574"/>
      <c r="O67" s="574"/>
      <c r="P67" s="1910">
        <f t="shared" si="6"/>
        <v>3099.85</v>
      </c>
      <c r="Q67" s="1849"/>
    </row>
    <row r="68" spans="1:35" ht="52.5" customHeight="1">
      <c r="A68" s="746" t="s">
        <v>744</v>
      </c>
      <c r="B68" s="1889" t="s">
        <v>298</v>
      </c>
      <c r="C68" s="1889" t="s">
        <v>298</v>
      </c>
      <c r="D68" s="574"/>
      <c r="E68" s="574"/>
      <c r="F68" s="574"/>
      <c r="G68" s="574"/>
      <c r="H68" s="574"/>
      <c r="I68" s="574">
        <f t="shared" si="7"/>
        <v>0</v>
      </c>
      <c r="J68" s="574"/>
      <c r="K68" s="574"/>
      <c r="L68" s="574"/>
      <c r="M68" s="574"/>
      <c r="N68" s="574"/>
      <c r="O68" s="574"/>
      <c r="P68" s="1910">
        <f t="shared" si="6"/>
        <v>0</v>
      </c>
      <c r="Q68" s="1849"/>
    </row>
    <row r="69" spans="1:35" ht="39.950000000000003" customHeight="1">
      <c r="A69" s="1784" t="s">
        <v>745</v>
      </c>
      <c r="B69" s="559">
        <v>9000</v>
      </c>
      <c r="C69" s="1889">
        <v>397.79999999999995</v>
      </c>
      <c r="D69" s="574">
        <f>F22</f>
        <v>187.2</v>
      </c>
      <c r="E69" s="574"/>
      <c r="F69" s="574"/>
      <c r="G69" s="574"/>
      <c r="H69" s="574"/>
      <c r="I69" s="574">
        <f t="shared" si="7"/>
        <v>585</v>
      </c>
      <c r="J69" s="574"/>
      <c r="K69" s="574"/>
      <c r="L69" s="574"/>
      <c r="M69" s="574"/>
      <c r="N69" s="574"/>
      <c r="O69" s="574"/>
      <c r="P69" s="1910">
        <f t="shared" si="6"/>
        <v>585</v>
      </c>
    </row>
    <row r="70" spans="1:35" ht="39.950000000000003" customHeight="1">
      <c r="A70" s="1791" t="s">
        <v>746</v>
      </c>
      <c r="B70" s="559">
        <v>48000</v>
      </c>
      <c r="C70" s="574">
        <v>2500.1999999999998</v>
      </c>
      <c r="D70" s="574">
        <f>F23</f>
        <v>2508.64</v>
      </c>
      <c r="E70" s="574"/>
      <c r="F70" s="574"/>
      <c r="G70" s="574"/>
      <c r="H70" s="574"/>
      <c r="I70" s="574">
        <f t="shared" si="7"/>
        <v>5008.84</v>
      </c>
      <c r="J70" s="574"/>
      <c r="K70" s="574"/>
      <c r="L70" s="574"/>
      <c r="M70" s="574"/>
      <c r="N70" s="574"/>
      <c r="O70" s="574"/>
      <c r="P70" s="1910">
        <f t="shared" si="6"/>
        <v>5008.84</v>
      </c>
    </row>
    <row r="71" spans="1:35" ht="39.950000000000003" customHeight="1">
      <c r="A71" s="1791" t="s">
        <v>747</v>
      </c>
      <c r="B71" s="1889">
        <v>86003</v>
      </c>
      <c r="C71" s="1889">
        <f>'MIS MONTH WISE FUEL NMGCAL '!E96</f>
        <v>6577</v>
      </c>
      <c r="D71" s="1889">
        <f>'MIS MONTH WISE FUEL NMGCAL '!F96</f>
        <v>0</v>
      </c>
      <c r="E71" s="1889">
        <f>'MIS MONTH WISE FUEL NMGCAL '!G96</f>
        <v>0</v>
      </c>
      <c r="F71" s="1889">
        <f>'MIS MONTH WISE FUEL NMGCAL '!H96</f>
        <v>0</v>
      </c>
      <c r="G71" s="1889">
        <f>'MIS MONTH WISE FUEL NMGCAL '!I96</f>
        <v>0</v>
      </c>
      <c r="H71" s="1889">
        <f>'MIS MONTH WISE FUEL NMGCAL '!J96</f>
        <v>0</v>
      </c>
      <c r="I71" s="574">
        <f t="shared" si="7"/>
        <v>6577</v>
      </c>
      <c r="J71" s="1889">
        <f>'MIS MONTH WISE FUEL NMGCAL '!L96</f>
        <v>0</v>
      </c>
      <c r="K71" s="1889">
        <f>'MIS MONTH WISE FUEL NMGCAL '!M96</f>
        <v>0</v>
      </c>
      <c r="L71" s="1889">
        <f>'MIS MONTH WISE FUEL NMGCAL '!N96</f>
        <v>0</v>
      </c>
      <c r="M71" s="1889">
        <f>'MIS MONTH WISE FUEL NMGCAL '!O96</f>
        <v>0</v>
      </c>
      <c r="N71" s="2570">
        <f>'MIS MONTH WISE FUEL NMGCAL '!P96</f>
        <v>0</v>
      </c>
      <c r="O71" s="1889">
        <v>0</v>
      </c>
      <c r="P71" s="1910">
        <f t="shared" si="6"/>
        <v>6577</v>
      </c>
    </row>
    <row r="72" spans="1:35" ht="39.950000000000003" customHeight="1">
      <c r="A72" s="1890"/>
      <c r="B72" s="1736"/>
      <c r="C72" s="1746"/>
      <c r="D72" s="2481"/>
      <c r="E72" s="2481"/>
      <c r="F72" s="2481"/>
      <c r="G72" s="2481"/>
      <c r="H72" s="2481"/>
      <c r="I72" s="2481"/>
      <c r="J72" s="2481"/>
      <c r="K72" s="1842"/>
      <c r="L72" s="1736" t="str">
        <f>IF($E$80=1,E82,(IF($E$80=2,E86,(IF($E$80=3,E89)))))</f>
        <v>RAJESH KUMAR</v>
      </c>
      <c r="M72" s="1911"/>
      <c r="N72" s="2571"/>
      <c r="O72" s="2481"/>
      <c r="P72" s="1912"/>
    </row>
    <row r="73" spans="1:35" ht="39.950000000000003" customHeight="1" thickBot="1">
      <c r="A73" s="1891"/>
      <c r="B73" s="2482"/>
      <c r="C73" s="2482"/>
      <c r="D73" s="2482"/>
      <c r="E73" s="1842"/>
      <c r="F73" s="1842"/>
      <c r="G73" s="1736"/>
      <c r="H73" s="1736"/>
      <c r="I73" s="1842"/>
      <c r="J73" s="1842"/>
      <c r="K73" s="1842"/>
      <c r="L73" s="1736" t="str">
        <f>IF($E$80=1,E83,(IF($E$80=2,E87,(IF($E$80=3,E90)))))</f>
        <v>DGM(PPCD, PC &amp; SHIP),ASP</v>
      </c>
      <c r="M73" s="1736"/>
      <c r="N73" s="718"/>
      <c r="O73" s="1736"/>
      <c r="P73" s="1813"/>
      <c r="AB73" s="2889" t="s">
        <v>4196</v>
      </c>
      <c r="AC73" s="2889"/>
      <c r="AE73" s="2889" t="s">
        <v>748</v>
      </c>
      <c r="AF73" s="2889"/>
    </row>
    <row r="74" spans="1:35" ht="27" thickBot="1">
      <c r="A74" s="1764"/>
      <c r="B74" s="1892"/>
      <c r="C74" s="1892"/>
      <c r="D74" s="1892"/>
      <c r="E74" s="1892"/>
      <c r="F74" s="1892"/>
      <c r="G74" s="2489"/>
      <c r="H74" s="2489"/>
      <c r="I74" s="1892"/>
      <c r="J74" s="2489"/>
      <c r="K74" s="2489"/>
      <c r="L74" s="1913"/>
      <c r="M74" s="1914"/>
      <c r="N74" s="930"/>
      <c r="O74" s="1766"/>
      <c r="P74" s="1836"/>
      <c r="T74" s="1737" t="s">
        <v>749</v>
      </c>
      <c r="Y74" s="1734" t="s">
        <v>275</v>
      </c>
      <c r="Z74" s="1734" t="s">
        <v>312</v>
      </c>
      <c r="AB74" s="1734" t="s">
        <v>275</v>
      </c>
      <c r="AC74" s="1734" t="s">
        <v>312</v>
      </c>
      <c r="AE74" s="1734" t="s">
        <v>322</v>
      </c>
      <c r="AH74" s="1734" t="s">
        <v>4183</v>
      </c>
    </row>
    <row r="75" spans="1:35" ht="34.5" customHeight="1" thickBot="1">
      <c r="I75" s="1915" t="s">
        <v>750</v>
      </c>
      <c r="T75" s="1734">
        <v>11511</v>
      </c>
      <c r="U75" s="1734">
        <v>10487.799999999997</v>
      </c>
      <c r="X75" s="1842" t="s">
        <v>649</v>
      </c>
      <c r="Y75" s="1924">
        <f>'md cell'!E10</f>
        <v>11612</v>
      </c>
      <c r="Z75" s="1924">
        <f>F10</f>
        <v>10759.191000000001</v>
      </c>
      <c r="AA75" s="1746">
        <f t="shared" ref="AA75:AA84" si="8">+Z75/Y75*100</f>
        <v>92.655795728556669</v>
      </c>
      <c r="AB75" s="1925">
        <f>+Y75+T75</f>
        <v>23123</v>
      </c>
      <c r="AC75" s="1925">
        <f>+Z75+U75</f>
        <v>21246.990999999998</v>
      </c>
      <c r="AD75" s="1803">
        <f>+AC75/AB75*100</f>
        <v>91.886826968818909</v>
      </c>
      <c r="AE75" s="1925">
        <v>20013</v>
      </c>
      <c r="AF75" s="1838">
        <f t="shared" ref="AF75:AF84" si="9">SUM(AC75-AE75)/AE75*100</f>
        <v>6.1659471343626553</v>
      </c>
      <c r="AH75" s="1850">
        <f>I10</f>
        <v>10785.66</v>
      </c>
      <c r="AI75" s="1908">
        <f>SUM(Z75-AH75)/AH75*100</f>
        <v>-0.24540918219190239</v>
      </c>
    </row>
    <row r="76" spans="1:35" ht="33" customHeight="1" thickBot="1">
      <c r="H76" s="921" t="s">
        <v>139</v>
      </c>
      <c r="I76" s="1916">
        <v>12382.424999999999</v>
      </c>
      <c r="J76" s="1847">
        <f>D17</f>
        <v>361.28100000000001</v>
      </c>
      <c r="K76" s="1917">
        <f>+J76+I76</f>
        <v>12743.706</v>
      </c>
      <c r="L76" s="1849">
        <f>+J77/J76*100</f>
        <v>88.985858652959877</v>
      </c>
      <c r="M76" s="1849">
        <f>+K77/K76*100</f>
        <v>88.670156075477564</v>
      </c>
      <c r="T76" s="1734">
        <v>506</v>
      </c>
      <c r="U76" s="1734">
        <v>507.71</v>
      </c>
      <c r="X76" s="1842" t="s">
        <v>153</v>
      </c>
      <c r="Y76" s="1926">
        <f>E11</f>
        <v>607</v>
      </c>
      <c r="Z76" s="1927">
        <f>'md cell'!F11</f>
        <v>399.471</v>
      </c>
      <c r="AA76" s="1746">
        <f t="shared" si="8"/>
        <v>65.810708401976939</v>
      </c>
      <c r="AB76" s="1920">
        <f t="shared" ref="AB76:AB84" si="10">+Y76+T76</f>
        <v>1113</v>
      </c>
      <c r="AC76" s="1920">
        <f t="shared" ref="AC76:AC84" si="11">+Z76+U76</f>
        <v>907.18100000000004</v>
      </c>
      <c r="AD76" s="1746">
        <f t="shared" ref="AD76:AD84" si="12">+AC76/AB76*100</f>
        <v>81.50772686433065</v>
      </c>
      <c r="AE76" s="1920">
        <v>1296</v>
      </c>
      <c r="AF76" s="1808">
        <f t="shared" si="9"/>
        <v>-30.001466049382714</v>
      </c>
      <c r="AH76" s="1850">
        <f>I11</f>
        <v>733.06</v>
      </c>
      <c r="AI76" s="1908">
        <f>SUM(Z76-AH76)/AH76*100</f>
        <v>-45.506370556298251</v>
      </c>
    </row>
    <row r="77" spans="1:35" ht="28.5" customHeight="1" thickBot="1">
      <c r="F77" s="1734" t="s">
        <v>751</v>
      </c>
      <c r="H77" s="1893" t="s">
        <v>752</v>
      </c>
      <c r="I77" s="1916">
        <v>10978.375</v>
      </c>
      <c r="J77" s="1847">
        <v>321.48899999999998</v>
      </c>
      <c r="K77" s="1917">
        <f>+J77+I77</f>
        <v>11299.864</v>
      </c>
      <c r="L77" s="1849"/>
      <c r="M77" s="1849"/>
      <c r="T77" s="1734">
        <v>0</v>
      </c>
      <c r="U77" s="1734">
        <v>0</v>
      </c>
      <c r="X77" s="1842" t="s">
        <v>335</v>
      </c>
      <c r="Y77" s="1928">
        <v>0</v>
      </c>
      <c r="Z77" s="1929">
        <v>0</v>
      </c>
      <c r="AA77" s="1746"/>
      <c r="AB77" s="1920">
        <f t="shared" si="10"/>
        <v>0</v>
      </c>
      <c r="AC77" s="1920">
        <f t="shared" si="11"/>
        <v>0</v>
      </c>
      <c r="AD77" s="1746"/>
      <c r="AE77" s="1920"/>
      <c r="AF77" s="1808"/>
      <c r="AH77" s="1734">
        <v>0</v>
      </c>
    </row>
    <row r="78" spans="1:35" ht="21.75" customHeight="1" thickBot="1">
      <c r="H78" s="921" t="s">
        <v>753</v>
      </c>
      <c r="I78" s="1916">
        <v>10642.273999999999</v>
      </c>
      <c r="J78" s="1847">
        <f>D18</f>
        <v>321.48899999999998</v>
      </c>
      <c r="K78" s="1917">
        <f>+J78+I78</f>
        <v>10963.762999999999</v>
      </c>
      <c r="T78" s="1734">
        <v>506</v>
      </c>
      <c r="U78" s="1734">
        <v>507.71</v>
      </c>
      <c r="X78" s="1842" t="s">
        <v>662</v>
      </c>
      <c r="Y78" s="1930">
        <f>'DAILY FLASH'!AQ19</f>
        <v>607</v>
      </c>
      <c r="Z78" s="1931">
        <f>F11</f>
        <v>399.471</v>
      </c>
      <c r="AA78" s="1746">
        <f t="shared" si="8"/>
        <v>65.810708401976939</v>
      </c>
      <c r="AB78" s="1920">
        <f t="shared" si="10"/>
        <v>1113</v>
      </c>
      <c r="AC78" s="1920">
        <f t="shared" si="11"/>
        <v>907.18100000000004</v>
      </c>
      <c r="AD78" s="1746">
        <f t="shared" si="12"/>
        <v>81.50772686433065</v>
      </c>
      <c r="AE78" s="1920">
        <v>1296</v>
      </c>
      <c r="AF78" s="1808">
        <f t="shared" si="9"/>
        <v>-30.001466049382714</v>
      </c>
      <c r="AH78" s="1850">
        <f>+AH76</f>
        <v>733.06</v>
      </c>
      <c r="AI78" s="1908">
        <f>SUM(Z78-AH78)/AH78*100</f>
        <v>-45.506370556298251</v>
      </c>
    </row>
    <row r="79" spans="1:35" ht="25.5" customHeight="1" thickBot="1">
      <c r="C79" s="1894"/>
      <c r="D79" s="1740"/>
      <c r="E79" s="1740"/>
      <c r="F79" s="1740"/>
      <c r="G79" s="1895"/>
      <c r="H79" s="921" t="s">
        <v>754</v>
      </c>
      <c r="I79" s="1823">
        <v>1193674</v>
      </c>
      <c r="J79" s="1847">
        <v>33067</v>
      </c>
      <c r="K79" s="2643">
        <f>+J79+I79</f>
        <v>1226741</v>
      </c>
      <c r="L79" s="1849">
        <f>+J79/J76</f>
        <v>91.52709386876144</v>
      </c>
      <c r="M79" s="1849">
        <f>K79/K76</f>
        <v>96.262500092202373</v>
      </c>
      <c r="T79" s="1734">
        <v>11005</v>
      </c>
      <c r="U79" s="1734">
        <v>9980.0899999999965</v>
      </c>
      <c r="X79" s="1842" t="s">
        <v>665</v>
      </c>
      <c r="Y79" s="1926">
        <f>E12</f>
        <v>11005</v>
      </c>
      <c r="Z79" s="1926">
        <f>F12</f>
        <v>10359.720000000001</v>
      </c>
      <c r="AA79" s="1746">
        <f t="shared" si="8"/>
        <v>94.136483416628806</v>
      </c>
      <c r="AB79" s="1920">
        <f t="shared" si="10"/>
        <v>22010</v>
      </c>
      <c r="AC79" s="1920">
        <f t="shared" si="11"/>
        <v>20339.809999999998</v>
      </c>
      <c r="AD79" s="1746">
        <f t="shared" si="12"/>
        <v>92.411676510676955</v>
      </c>
      <c r="AE79" s="1920">
        <f>+AE75-AE78</f>
        <v>18717</v>
      </c>
      <c r="AF79" s="1808">
        <f t="shared" si="9"/>
        <v>8.6702463001549273</v>
      </c>
      <c r="AH79" s="1850">
        <f>I12</f>
        <v>10052.6</v>
      </c>
      <c r="AI79" s="1908">
        <f t="shared" ref="AI79:AI84" si="13">SUM(Z79-AH79)/AH79*100</f>
        <v>3.0551300161152417</v>
      </c>
    </row>
    <row r="80" spans="1:35" ht="29.25" customHeight="1" thickBot="1">
      <c r="C80" s="2862" t="s">
        <v>755</v>
      </c>
      <c r="D80" s="2863"/>
      <c r="E80" s="2864">
        <v>1</v>
      </c>
      <c r="F80" s="2865"/>
      <c r="G80" s="1896"/>
      <c r="I80" s="1734">
        <v>0</v>
      </c>
      <c r="T80" s="1734">
        <v>12727</v>
      </c>
      <c r="U80" s="1734">
        <v>12805.689999999997</v>
      </c>
      <c r="X80" s="1842" t="s">
        <v>668</v>
      </c>
      <c r="Y80" s="1926">
        <f>E17</f>
        <v>12227</v>
      </c>
      <c r="Z80" s="1926">
        <f>F17</f>
        <v>12743.709000000001</v>
      </c>
      <c r="AA80" s="1746">
        <f t="shared" si="8"/>
        <v>104.22596712194326</v>
      </c>
      <c r="AB80" s="1920">
        <f t="shared" si="10"/>
        <v>24954</v>
      </c>
      <c r="AC80" s="1920">
        <f t="shared" si="11"/>
        <v>25549.398999999998</v>
      </c>
      <c r="AD80" s="1746">
        <f t="shared" si="12"/>
        <v>102.38598621463493</v>
      </c>
      <c r="AE80" s="1920">
        <v>21952</v>
      </c>
      <c r="AF80" s="1808">
        <f t="shared" si="9"/>
        <v>16.387568330903779</v>
      </c>
      <c r="AH80" s="1850">
        <f>I17</f>
        <v>12737.397999999999</v>
      </c>
      <c r="AI80" s="1908">
        <f t="shared" si="13"/>
        <v>4.954701109285832E-2</v>
      </c>
    </row>
    <row r="81" spans="1:39" ht="27" thickBot="1">
      <c r="C81" s="1897"/>
      <c r="D81" s="1898"/>
      <c r="F81" s="1874"/>
      <c r="G81" s="1899"/>
      <c r="T81" s="1734">
        <v>11590</v>
      </c>
      <c r="U81" s="1734">
        <v>11217.901000000002</v>
      </c>
      <c r="X81" s="1842" t="s">
        <v>521</v>
      </c>
      <c r="Y81" s="1926">
        <f t="shared" ref="Y81:Z84" si="14">E20</f>
        <v>11340</v>
      </c>
      <c r="Z81" s="1926">
        <f t="shared" si="14"/>
        <v>11402.186999999998</v>
      </c>
      <c r="AA81" s="1746">
        <f t="shared" si="8"/>
        <v>100.54838624338622</v>
      </c>
      <c r="AB81" s="1920">
        <f t="shared" si="10"/>
        <v>22930</v>
      </c>
      <c r="AC81" s="1920">
        <f t="shared" si="11"/>
        <v>22620.088</v>
      </c>
      <c r="AD81" s="1746">
        <f t="shared" si="12"/>
        <v>98.648443087658094</v>
      </c>
      <c r="AE81" s="1920">
        <v>19252</v>
      </c>
      <c r="AF81" s="1808">
        <f t="shared" si="9"/>
        <v>17.494743403282776</v>
      </c>
      <c r="AH81" s="1850">
        <f>I20</f>
        <v>10884.684000000003</v>
      </c>
      <c r="AI81" s="1908">
        <f t="shared" si="13"/>
        <v>4.7544145516764198</v>
      </c>
    </row>
    <row r="82" spans="1:39" ht="33" customHeight="1" thickBot="1">
      <c r="C82" s="1794"/>
      <c r="D82" s="1900">
        <v>1</v>
      </c>
      <c r="E82" s="1842" t="s">
        <v>756</v>
      </c>
      <c r="F82" s="1901"/>
      <c r="G82" s="1899"/>
      <c r="T82" s="1734">
        <v>11740</v>
      </c>
      <c r="U82" s="1734">
        <v>12026.429999999998</v>
      </c>
      <c r="X82" s="1842" t="s">
        <v>674</v>
      </c>
      <c r="Y82" s="1926">
        <f t="shared" si="14"/>
        <v>11490</v>
      </c>
      <c r="Z82" s="1926">
        <f t="shared" si="14"/>
        <v>11173.28</v>
      </c>
      <c r="AA82" s="1746">
        <f t="shared" si="8"/>
        <v>97.243516100957365</v>
      </c>
      <c r="AB82" s="1920">
        <f t="shared" si="10"/>
        <v>23230</v>
      </c>
      <c r="AC82" s="1920">
        <f t="shared" si="11"/>
        <v>23199.71</v>
      </c>
      <c r="AD82" s="1746">
        <f t="shared" si="12"/>
        <v>99.869608265174335</v>
      </c>
      <c r="AE82" s="1920">
        <v>18762</v>
      </c>
      <c r="AF82" s="1808">
        <f t="shared" si="9"/>
        <v>23.652648971325014</v>
      </c>
      <c r="AH82" s="1850">
        <f>I21</f>
        <v>10643.649999999998</v>
      </c>
      <c r="AI82" s="1908">
        <f t="shared" si="13"/>
        <v>4.9760185650599462</v>
      </c>
      <c r="AJ82" s="1908">
        <f>SUM(AA82-AI82)/AI82*100</f>
        <v>1854.2434343748446</v>
      </c>
    </row>
    <row r="83" spans="1:39" ht="27" thickBot="1">
      <c r="C83" s="1794"/>
      <c r="D83" s="1900"/>
      <c r="E83" s="1842" t="s">
        <v>757</v>
      </c>
      <c r="F83" s="1901"/>
      <c r="G83" s="1899"/>
      <c r="T83" s="1734">
        <v>400</v>
      </c>
      <c r="U83" s="1734">
        <v>397.79999999999995</v>
      </c>
      <c r="X83" s="1842" t="s">
        <v>164</v>
      </c>
      <c r="Y83" s="1926">
        <f t="shared" si="14"/>
        <v>400</v>
      </c>
      <c r="Z83" s="1932">
        <f t="shared" si="14"/>
        <v>187.2</v>
      </c>
      <c r="AA83" s="1746">
        <f t="shared" si="8"/>
        <v>46.8</v>
      </c>
      <c r="AB83" s="1920">
        <f t="shared" si="10"/>
        <v>800</v>
      </c>
      <c r="AC83" s="1920">
        <f t="shared" si="11"/>
        <v>585</v>
      </c>
      <c r="AD83" s="1746">
        <f t="shared" si="12"/>
        <v>73.125</v>
      </c>
      <c r="AE83" s="1920">
        <v>1486</v>
      </c>
      <c r="AF83" s="1808">
        <f t="shared" si="9"/>
        <v>-60.632570659488557</v>
      </c>
      <c r="AH83" s="1850">
        <f t="shared" ref="AH83:AH84" si="15">I22</f>
        <v>904.8</v>
      </c>
      <c r="AI83" s="1908">
        <f t="shared" si="13"/>
        <v>-79.310344827586192</v>
      </c>
    </row>
    <row r="84" spans="1:39" ht="27" thickBot="1">
      <c r="C84" s="1794"/>
      <c r="D84" s="1900"/>
      <c r="E84" s="1842"/>
      <c r="F84" s="1901"/>
      <c r="G84" s="1899"/>
      <c r="T84" s="1734">
        <v>2000</v>
      </c>
      <c r="U84" s="1734">
        <v>2500.1999999999998</v>
      </c>
      <c r="X84" s="1842" t="s">
        <v>758</v>
      </c>
      <c r="Y84" s="1926">
        <f t="shared" si="14"/>
        <v>2000</v>
      </c>
      <c r="Z84" s="1933">
        <f t="shared" si="14"/>
        <v>2508.64</v>
      </c>
      <c r="AA84" s="1746">
        <f t="shared" si="8"/>
        <v>125.43199999999999</v>
      </c>
      <c r="AB84" s="1934">
        <f t="shared" si="10"/>
        <v>4000</v>
      </c>
      <c r="AC84" s="1934">
        <f t="shared" si="11"/>
        <v>5008.84</v>
      </c>
      <c r="AD84" s="1766">
        <f t="shared" si="12"/>
        <v>125.221</v>
      </c>
      <c r="AE84" s="1934">
        <v>6442</v>
      </c>
      <c r="AF84" s="1836">
        <f t="shared" si="9"/>
        <v>-22.247128221049362</v>
      </c>
      <c r="AH84" s="1850">
        <f t="shared" si="15"/>
        <v>4309.9900000000007</v>
      </c>
      <c r="AI84" s="1908">
        <f t="shared" si="13"/>
        <v>-41.794760544688053</v>
      </c>
    </row>
    <row r="85" spans="1:39" ht="26.25">
      <c r="C85" s="1794"/>
      <c r="D85" s="1900"/>
      <c r="E85" s="1842"/>
      <c r="F85" s="1901"/>
      <c r="G85" s="1899"/>
      <c r="X85" s="1734" t="s">
        <v>759</v>
      </c>
    </row>
    <row r="86" spans="1:39" ht="27" thickBot="1">
      <c r="C86" s="1794"/>
      <c r="D86" s="1900">
        <v>2</v>
      </c>
      <c r="E86" s="1842" t="s">
        <v>760</v>
      </c>
      <c r="F86" s="1901"/>
      <c r="G86" s="1899"/>
      <c r="Z86" s="1734">
        <f>53*8*2</f>
        <v>848</v>
      </c>
    </row>
    <row r="87" spans="1:39" ht="26.25">
      <c r="C87" s="1794"/>
      <c r="D87" s="1900"/>
      <c r="E87" s="1842" t="s">
        <v>761</v>
      </c>
      <c r="F87" s="1901"/>
      <c r="G87" s="1899"/>
      <c r="T87" s="1737" t="s">
        <v>762</v>
      </c>
      <c r="U87" s="1918"/>
      <c r="V87" s="1918"/>
      <c r="W87" s="1918"/>
      <c r="X87" s="1918"/>
      <c r="Y87" s="1918">
        <f>68*16</f>
        <v>1088</v>
      </c>
      <c r="Z87" s="1918">
        <f>63*12</f>
        <v>756</v>
      </c>
      <c r="AA87" s="1918">
        <f>52.65*18</f>
        <v>947.69999999999993</v>
      </c>
      <c r="AB87" s="1918"/>
      <c r="AC87" s="1918"/>
      <c r="AD87" s="1918"/>
      <c r="AE87" s="1918"/>
      <c r="AF87" s="1805"/>
    </row>
    <row r="88" spans="1:39" ht="27" thickBot="1">
      <c r="C88" s="1794"/>
      <c r="D88" s="1900"/>
      <c r="E88" s="1842"/>
      <c r="F88" s="1901"/>
      <c r="G88" s="1899"/>
      <c r="T88" s="1890"/>
      <c r="U88" s="1842"/>
      <c r="V88" s="1842"/>
      <c r="W88" s="1842"/>
      <c r="X88" s="1842"/>
      <c r="Y88" s="1842"/>
      <c r="Z88" s="1842">
        <f>225*51</f>
        <v>11475</v>
      </c>
      <c r="AA88" s="1842"/>
      <c r="AB88" s="1842"/>
      <c r="AC88" s="1842"/>
      <c r="AD88" s="1842"/>
      <c r="AE88" s="1842"/>
      <c r="AF88" s="1798"/>
      <c r="AH88" s="1734" t="str">
        <f>AH74</f>
        <v>May'26</v>
      </c>
      <c r="AK88" s="1734">
        <f>114124/125862*100</f>
        <v>90.673912698034357</v>
      </c>
    </row>
    <row r="89" spans="1:39" ht="27" thickBot="1">
      <c r="C89" s="1794"/>
      <c r="D89" s="1900">
        <v>3</v>
      </c>
      <c r="E89" s="585" t="s">
        <v>763</v>
      </c>
      <c r="F89" s="1901"/>
      <c r="G89" s="1899"/>
      <c r="T89" s="1737"/>
      <c r="U89" s="1918"/>
      <c r="V89" s="1918"/>
      <c r="W89" s="1918">
        <f>125*4</f>
        <v>500</v>
      </c>
      <c r="X89" s="1918"/>
      <c r="Y89" s="1918"/>
      <c r="Z89" s="1918"/>
      <c r="AA89" s="1918"/>
      <c r="AB89" s="1918"/>
      <c r="AC89" s="1918"/>
      <c r="AD89" s="1805"/>
      <c r="AE89" s="1842"/>
      <c r="AF89" s="1798"/>
      <c r="AH89" s="1734" t="s">
        <v>322</v>
      </c>
    </row>
    <row r="90" spans="1:39" ht="27" thickBot="1">
      <c r="C90" s="1902"/>
      <c r="D90" s="1903"/>
      <c r="E90" s="1892" t="s">
        <v>764</v>
      </c>
      <c r="F90" s="1904"/>
      <c r="G90" s="1905"/>
      <c r="M90" s="1735">
        <f>45.61-12.81-0.58</f>
        <v>32.22</v>
      </c>
      <c r="T90" s="1919">
        <f>T75</f>
        <v>11511</v>
      </c>
      <c r="U90" s="1920">
        <f>U75</f>
        <v>10487.799999999997</v>
      </c>
      <c r="V90" s="1842">
        <v>91.520390756719223</v>
      </c>
      <c r="W90" s="1842"/>
      <c r="X90" s="1842" t="s">
        <v>649</v>
      </c>
      <c r="Y90" s="1920">
        <f>Y75</f>
        <v>11612</v>
      </c>
      <c r="Z90" s="1920">
        <f>Z75+13*50</f>
        <v>11409.191000000001</v>
      </c>
      <c r="AA90" s="1746">
        <f>+Z90/Y90*100</f>
        <v>98.253453324147443</v>
      </c>
      <c r="AB90" s="1920">
        <f>+Y90+T90</f>
        <v>23123</v>
      </c>
      <c r="AC90" s="1920">
        <f>+Z90+U90</f>
        <v>21896.990999999998</v>
      </c>
      <c r="AD90" s="1808">
        <f>+AC90/AB90*100</f>
        <v>94.69788089780738</v>
      </c>
      <c r="AE90" s="1925">
        <f t="shared" ref="AE90:AE99" si="16">AE75</f>
        <v>20013</v>
      </c>
      <c r="AF90" s="1746">
        <f>SUM(AC90-AE90)/AE90*100</f>
        <v>9.4138360065957034</v>
      </c>
      <c r="AH90" s="1736">
        <f>AH75</f>
        <v>10785.66</v>
      </c>
      <c r="AI90" s="1908">
        <f>SUM(Z90-AH90)/AH90*100</f>
        <v>5.7811112161889104</v>
      </c>
      <c r="AL90" s="1734">
        <v>137676</v>
      </c>
      <c r="AM90" s="1734">
        <f>AL90*AD90</f>
        <v>13037625.45048653</v>
      </c>
    </row>
    <row r="91" spans="1:39" ht="27" thickBot="1">
      <c r="L91" s="1734">
        <f>11218-12026</f>
        <v>-808</v>
      </c>
      <c r="T91" s="1919">
        <f t="shared" ref="T91:U99" si="17">T76</f>
        <v>506</v>
      </c>
      <c r="U91" s="1920">
        <f t="shared" si="17"/>
        <v>507.71</v>
      </c>
      <c r="V91" s="1842">
        <v>112.70219999999999</v>
      </c>
      <c r="W91" s="1842"/>
      <c r="X91" s="1842" t="s">
        <v>153</v>
      </c>
      <c r="Y91" s="1920">
        <f>Y76</f>
        <v>607</v>
      </c>
      <c r="Z91" s="1920">
        <v>396</v>
      </c>
      <c r="AA91" s="1746">
        <f>+Z91/Y91*100</f>
        <v>65.238879736408563</v>
      </c>
      <c r="AB91" s="1920">
        <f>+Y91+T91</f>
        <v>1113</v>
      </c>
      <c r="AC91" s="1920">
        <f>+Z91+U91</f>
        <v>903.71</v>
      </c>
      <c r="AD91" s="1808">
        <f>+AC91/AB91*100</f>
        <v>81.195867026055708</v>
      </c>
      <c r="AE91" s="1925">
        <f t="shared" si="16"/>
        <v>1296</v>
      </c>
      <c r="AF91" s="1746">
        <f t="shared" ref="AF91:AF99" si="18">SUM(AC91-AE91)/AE91*100</f>
        <v>-30.269290123456788</v>
      </c>
      <c r="AH91" s="1746">
        <f t="shared" ref="AH91:AH99" si="19">AH76</f>
        <v>733.06</v>
      </c>
      <c r="AI91" s="1908">
        <f>SUM(Z91-AH91)/AH91*100</f>
        <v>-45.979865222492016</v>
      </c>
      <c r="AL91" s="1734">
        <v>4252</v>
      </c>
      <c r="AM91" s="1734">
        <f>AL91*AD91/100</f>
        <v>3452.4482659478886</v>
      </c>
    </row>
    <row r="92" spans="1:39" ht="27" thickBot="1">
      <c r="T92" s="1919">
        <f t="shared" si="17"/>
        <v>0</v>
      </c>
      <c r="U92" s="1920">
        <f t="shared" si="17"/>
        <v>0</v>
      </c>
      <c r="V92" s="1842"/>
      <c r="W92" s="1842"/>
      <c r="X92" s="1842" t="s">
        <v>335</v>
      </c>
      <c r="Y92" s="1920"/>
      <c r="Z92" s="1920">
        <f>Z77</f>
        <v>0</v>
      </c>
      <c r="AA92" s="1746"/>
      <c r="AB92" s="1920"/>
      <c r="AC92" s="1920"/>
      <c r="AD92" s="1808"/>
      <c r="AE92" s="1925"/>
      <c r="AF92" s="1746"/>
      <c r="AH92" s="1746">
        <f>AH77</f>
        <v>0</v>
      </c>
    </row>
    <row r="93" spans="1:39" ht="27" thickBot="1">
      <c r="T93" s="1919">
        <f t="shared" si="17"/>
        <v>506</v>
      </c>
      <c r="U93" s="1920">
        <f t="shared" si="17"/>
        <v>507.71</v>
      </c>
      <c r="V93" s="1842">
        <v>112.70219999999999</v>
      </c>
      <c r="W93" s="1842"/>
      <c r="X93" s="1842" t="s">
        <v>662</v>
      </c>
      <c r="Y93" s="1920">
        <f>Y78</f>
        <v>607</v>
      </c>
      <c r="Z93" s="1920">
        <f>Z91</f>
        <v>396</v>
      </c>
      <c r="AA93" s="1746">
        <f t="shared" ref="AA93:AA99" si="20">+Z93/Y93*100</f>
        <v>65.238879736408563</v>
      </c>
      <c r="AB93" s="1920">
        <f t="shared" ref="AB93:AC99" si="21">+Y93+T93</f>
        <v>1113</v>
      </c>
      <c r="AC93" s="1920">
        <f>AC91</f>
        <v>903.71</v>
      </c>
      <c r="AD93" s="1808">
        <f t="shared" ref="AD93:AD99" si="22">+AC93/AB93*100</f>
        <v>81.195867026055708</v>
      </c>
      <c r="AE93" s="1925">
        <f t="shared" si="16"/>
        <v>1296</v>
      </c>
      <c r="AF93" s="1746">
        <f t="shared" si="18"/>
        <v>-30.269290123456788</v>
      </c>
      <c r="AH93" s="1746">
        <f t="shared" si="19"/>
        <v>733.06</v>
      </c>
      <c r="AI93" s="1908">
        <f>SUM(Z93-AH93)/AH93*100</f>
        <v>-45.979865222492016</v>
      </c>
      <c r="AL93" s="1734">
        <v>4252</v>
      </c>
      <c r="AM93" s="1734">
        <f>AL93*AD93/100</f>
        <v>3452.4482659478886</v>
      </c>
    </row>
    <row r="94" spans="1:39" ht="27" thickBot="1">
      <c r="A94" s="1734" t="s">
        <v>765</v>
      </c>
      <c r="C94" s="1906">
        <f t="shared" ref="C94:I94" si="23">+C57-C54</f>
        <v>808.09899999999834</v>
      </c>
      <c r="D94" s="1906">
        <f t="shared" si="23"/>
        <v>-228.90699999999742</v>
      </c>
      <c r="E94" s="1906">
        <f t="shared" si="23"/>
        <v>0</v>
      </c>
      <c r="F94" s="1906">
        <f t="shared" si="23"/>
        <v>0</v>
      </c>
      <c r="G94" s="1906">
        <f t="shared" si="23"/>
        <v>0</v>
      </c>
      <c r="H94" s="1907">
        <f t="shared" si="23"/>
        <v>0</v>
      </c>
      <c r="I94" s="1906">
        <f t="shared" si="23"/>
        <v>0</v>
      </c>
      <c r="J94" s="1906" t="e">
        <f t="shared" ref="J94:O94" si="24">+#REF!-#REF!</f>
        <v>#REF!</v>
      </c>
      <c r="K94" s="1906" t="e">
        <f t="shared" si="24"/>
        <v>#REF!</v>
      </c>
      <c r="L94" s="1906" t="e">
        <f t="shared" si="24"/>
        <v>#REF!</v>
      </c>
      <c r="M94" s="1906" t="e">
        <f t="shared" si="24"/>
        <v>#REF!</v>
      </c>
      <c r="N94" s="2263" t="e">
        <f t="shared" si="24"/>
        <v>#REF!</v>
      </c>
      <c r="O94" s="1906" t="e">
        <f t="shared" si="24"/>
        <v>#REF!</v>
      </c>
      <c r="T94" s="1919">
        <f t="shared" si="17"/>
        <v>11005</v>
      </c>
      <c r="U94" s="1920">
        <f t="shared" si="17"/>
        <v>9980.0899999999965</v>
      </c>
      <c r="V94" s="1842">
        <v>90.40853594907648</v>
      </c>
      <c r="W94" s="1842"/>
      <c r="X94" s="1842" t="s">
        <v>665</v>
      </c>
      <c r="Y94" s="1920">
        <f t="shared" ref="Y94:Y99" si="25">Y79</f>
        <v>11005</v>
      </c>
      <c r="Z94" s="1920">
        <f>Z90-Z93</f>
        <v>11013.191000000001</v>
      </c>
      <c r="AA94" s="1746">
        <f t="shared" si="20"/>
        <v>100.07442980463426</v>
      </c>
      <c r="AB94" s="1920">
        <f t="shared" si="21"/>
        <v>22010</v>
      </c>
      <c r="AC94" s="1920">
        <f t="shared" si="21"/>
        <v>20993.280999999995</v>
      </c>
      <c r="AD94" s="1808">
        <f t="shared" si="22"/>
        <v>95.380649704679669</v>
      </c>
      <c r="AE94" s="1925">
        <f t="shared" si="16"/>
        <v>18717</v>
      </c>
      <c r="AF94" s="1746">
        <f t="shared" si="18"/>
        <v>12.161569695998265</v>
      </c>
      <c r="AH94" s="1736">
        <f t="shared" si="19"/>
        <v>10052.6</v>
      </c>
      <c r="AI94" s="1908">
        <f t="shared" ref="AI94:AI99" si="26">SUM(Z94-AH94)/AH94*100</f>
        <v>9.555647295227109</v>
      </c>
      <c r="AL94" s="1734">
        <v>133424</v>
      </c>
      <c r="AM94" s="1734">
        <f>AL94*AD94/100</f>
        <v>127260.67806197179</v>
      </c>
    </row>
    <row r="95" spans="1:39" ht="27" thickBot="1">
      <c r="C95" s="1850">
        <f t="shared" ref="C95:I95" si="27">+B44-C44</f>
        <v>733.5089999999982</v>
      </c>
      <c r="D95" s="1850">
        <f t="shared" si="27"/>
        <v>115</v>
      </c>
      <c r="E95" s="1850">
        <f t="shared" si="27"/>
        <v>21131</v>
      </c>
      <c r="F95" s="1850">
        <f t="shared" si="27"/>
        <v>0</v>
      </c>
      <c r="G95" s="1850">
        <f t="shared" si="27"/>
        <v>0</v>
      </c>
      <c r="H95" s="1908">
        <f t="shared" si="27"/>
        <v>0</v>
      </c>
      <c r="I95" s="1850">
        <f t="shared" si="27"/>
        <v>0</v>
      </c>
      <c r="J95" s="1850" t="e">
        <f>+I44-#REF!</f>
        <v>#REF!</v>
      </c>
      <c r="K95" s="1850" t="e">
        <f>+#REF!-#REF!</f>
        <v>#REF!</v>
      </c>
      <c r="L95" s="1850" t="e">
        <f>+#REF!-#REF!</f>
        <v>#REF!</v>
      </c>
      <c r="M95" s="1850" t="e">
        <f>+#REF!-#REF!</f>
        <v>#REF!</v>
      </c>
      <c r="N95" s="2572" t="e">
        <f>+#REF!-#REF!</f>
        <v>#REF!</v>
      </c>
      <c r="O95" s="1850" t="e">
        <f>+#REF!-O44</f>
        <v>#REF!</v>
      </c>
      <c r="T95" s="1919">
        <f t="shared" si="17"/>
        <v>12727</v>
      </c>
      <c r="U95" s="1920">
        <f t="shared" si="17"/>
        <v>12805.689999999997</v>
      </c>
      <c r="V95" s="1842">
        <v>81.975420336269011</v>
      </c>
      <c r="W95" s="1842"/>
      <c r="X95" s="1842" t="s">
        <v>668</v>
      </c>
      <c r="Y95" s="1920">
        <f t="shared" si="25"/>
        <v>12227</v>
      </c>
      <c r="Z95" s="1920">
        <v>12500</v>
      </c>
      <c r="AA95" s="1746">
        <f t="shared" si="20"/>
        <v>102.23276355606446</v>
      </c>
      <c r="AB95" s="1920">
        <f t="shared" si="21"/>
        <v>24954</v>
      </c>
      <c r="AC95" s="1920">
        <f t="shared" si="21"/>
        <v>25305.689999999995</v>
      </c>
      <c r="AD95" s="1808">
        <f t="shared" si="22"/>
        <v>101.4093532099062</v>
      </c>
      <c r="AE95" s="1925">
        <f t="shared" si="16"/>
        <v>21952</v>
      </c>
      <c r="AF95" s="1746">
        <f t="shared" si="18"/>
        <v>15.277377915451872</v>
      </c>
      <c r="AH95" s="1736">
        <f t="shared" si="19"/>
        <v>12737.397999999999</v>
      </c>
      <c r="AI95" s="1908">
        <f t="shared" si="26"/>
        <v>-1.8637872507399018</v>
      </c>
      <c r="AL95" s="1734">
        <v>155974</v>
      </c>
      <c r="AM95" s="1734">
        <f t="shared" ref="AM95:AM96" si="28">AL95*AD95/100</f>
        <v>158172.2245756191</v>
      </c>
    </row>
    <row r="96" spans="1:39" ht="27" thickBot="1">
      <c r="K96" s="1734">
        <f>32*7.253</f>
        <v>232.096</v>
      </c>
      <c r="T96" s="1919">
        <f t="shared" si="17"/>
        <v>11590</v>
      </c>
      <c r="U96" s="1920">
        <f t="shared" si="17"/>
        <v>11217.901000000002</v>
      </c>
      <c r="V96" s="1734">
        <v>78.166414424514201</v>
      </c>
      <c r="W96" s="1842"/>
      <c r="X96" s="1842" t="s">
        <v>521</v>
      </c>
      <c r="Y96" s="1920">
        <f t="shared" si="25"/>
        <v>11340</v>
      </c>
      <c r="Z96" s="1920">
        <v>11400</v>
      </c>
      <c r="AA96" s="1746">
        <f t="shared" si="20"/>
        <v>100.52910052910053</v>
      </c>
      <c r="AB96" s="1920">
        <f t="shared" si="21"/>
        <v>22930</v>
      </c>
      <c r="AC96" s="1920">
        <f t="shared" si="21"/>
        <v>22617.901000000002</v>
      </c>
      <c r="AD96" s="1808">
        <f t="shared" si="22"/>
        <v>98.638905364151768</v>
      </c>
      <c r="AE96" s="1925">
        <f t="shared" si="16"/>
        <v>19252</v>
      </c>
      <c r="AF96" s="1746">
        <f t="shared" si="18"/>
        <v>17.483383544566809</v>
      </c>
      <c r="AH96" s="1736">
        <f t="shared" si="19"/>
        <v>10884.684000000003</v>
      </c>
      <c r="AI96" s="1908">
        <f t="shared" si="26"/>
        <v>4.7343220988316874</v>
      </c>
      <c r="AL96" s="1734">
        <v>139825</v>
      </c>
      <c r="AM96" s="1734">
        <f t="shared" si="28"/>
        <v>137921.8494254252</v>
      </c>
    </row>
    <row r="97" spans="1:38" ht="27" thickBot="1">
      <c r="F97" s="1734">
        <f>1041-67</f>
        <v>974</v>
      </c>
      <c r="G97" s="1735">
        <f>168-814</f>
        <v>-646</v>
      </c>
      <c r="T97" s="1919">
        <f t="shared" si="17"/>
        <v>11740</v>
      </c>
      <c r="U97" s="1920">
        <f t="shared" si="17"/>
        <v>12026.429999999998</v>
      </c>
      <c r="V97" s="1734">
        <v>74.800285608992084</v>
      </c>
      <c r="W97" s="1842"/>
      <c r="X97" s="1842" t="s">
        <v>674</v>
      </c>
      <c r="Y97" s="1920">
        <f t="shared" si="25"/>
        <v>11490</v>
      </c>
      <c r="Z97" s="1920">
        <v>11500</v>
      </c>
      <c r="AA97" s="1746">
        <f t="shared" si="20"/>
        <v>100.08703220191471</v>
      </c>
      <c r="AB97" s="1920">
        <f t="shared" si="21"/>
        <v>23230</v>
      </c>
      <c r="AC97" s="1920">
        <f t="shared" si="21"/>
        <v>23526.43</v>
      </c>
      <c r="AD97" s="1808">
        <f t="shared" si="22"/>
        <v>101.27606543263022</v>
      </c>
      <c r="AE97" s="1925">
        <f t="shared" si="16"/>
        <v>18762</v>
      </c>
      <c r="AF97" s="1746">
        <f t="shared" si="18"/>
        <v>25.394041146999257</v>
      </c>
      <c r="AH97" s="1736">
        <f t="shared" si="19"/>
        <v>10643.649999999998</v>
      </c>
      <c r="AI97" s="1908">
        <f t="shared" si="26"/>
        <v>8.0456422373903909</v>
      </c>
      <c r="AL97" s="1734">
        <v>141825</v>
      </c>
    </row>
    <row r="98" spans="1:38" ht="27" thickBot="1">
      <c r="G98" s="1909">
        <f>+G94-G95</f>
        <v>0</v>
      </c>
      <c r="J98" s="1734">
        <f>-957+1016</f>
        <v>59</v>
      </c>
      <c r="K98" s="1734">
        <f>920-523</f>
        <v>397</v>
      </c>
      <c r="T98" s="1919">
        <f t="shared" si="17"/>
        <v>400</v>
      </c>
      <c r="U98" s="1920">
        <f t="shared" si="17"/>
        <v>397.79999999999995</v>
      </c>
      <c r="V98" s="1734">
        <v>77.47999999999999</v>
      </c>
      <c r="W98" s="1842"/>
      <c r="X98" s="1842" t="s">
        <v>164</v>
      </c>
      <c r="Y98" s="1920">
        <f t="shared" si="25"/>
        <v>400</v>
      </c>
      <c r="Z98" s="1920">
        <f>Z83</f>
        <v>187.2</v>
      </c>
      <c r="AA98" s="1746">
        <f t="shared" si="20"/>
        <v>46.8</v>
      </c>
      <c r="AB98" s="1920">
        <f t="shared" si="21"/>
        <v>800</v>
      </c>
      <c r="AC98" s="1920">
        <f t="shared" si="21"/>
        <v>585</v>
      </c>
      <c r="AD98" s="1808">
        <f t="shared" si="22"/>
        <v>73.125</v>
      </c>
      <c r="AE98" s="1925">
        <f t="shared" si="16"/>
        <v>1486</v>
      </c>
      <c r="AF98" s="1746">
        <f t="shared" si="18"/>
        <v>-60.632570659488557</v>
      </c>
      <c r="AH98" s="1746">
        <f t="shared" si="19"/>
        <v>904.8</v>
      </c>
      <c r="AI98" s="1908">
        <f t="shared" si="26"/>
        <v>-79.310344827586192</v>
      </c>
    </row>
    <row r="99" spans="1:38" ht="26.25">
      <c r="T99" s="1919">
        <f t="shared" si="17"/>
        <v>2000</v>
      </c>
      <c r="U99" s="1920">
        <f t="shared" si="17"/>
        <v>2500.1999999999998</v>
      </c>
      <c r="V99" s="1734">
        <v>53.301750000000006</v>
      </c>
      <c r="W99" s="1842"/>
      <c r="X99" s="1842" t="s">
        <v>758</v>
      </c>
      <c r="Y99" s="1920">
        <f t="shared" si="25"/>
        <v>2000</v>
      </c>
      <c r="Z99" s="1920">
        <f>Z84+69*2</f>
        <v>2646.64</v>
      </c>
      <c r="AA99" s="1746">
        <f t="shared" si="20"/>
        <v>132.33199999999999</v>
      </c>
      <c r="AB99" s="1920">
        <f t="shared" si="21"/>
        <v>4000</v>
      </c>
      <c r="AC99" s="1920">
        <f t="shared" si="21"/>
        <v>5146.84</v>
      </c>
      <c r="AD99" s="1808">
        <f t="shared" si="22"/>
        <v>128.67099999999999</v>
      </c>
      <c r="AE99" s="1925">
        <f t="shared" si="16"/>
        <v>6442</v>
      </c>
      <c r="AF99" s="1746">
        <f t="shared" si="18"/>
        <v>-20.104936355169201</v>
      </c>
      <c r="AH99" s="1746">
        <f t="shared" si="19"/>
        <v>4309.9900000000007</v>
      </c>
      <c r="AI99" s="1908">
        <f t="shared" si="26"/>
        <v>-38.592896967278364</v>
      </c>
    </row>
    <row r="100" spans="1:38" ht="26.25">
      <c r="K100" s="1734">
        <f>200.77/32</f>
        <v>6.2740625000000003</v>
      </c>
      <c r="T100" s="1919">
        <f>T85</f>
        <v>0</v>
      </c>
      <c r="U100" s="1842"/>
      <c r="V100" s="1842"/>
      <c r="W100" s="1842"/>
      <c r="X100" s="1842"/>
      <c r="Y100" s="1842"/>
      <c r="Z100" s="1842"/>
      <c r="AA100" s="1842"/>
      <c r="AB100" s="1842"/>
      <c r="AC100" s="1842"/>
      <c r="AD100" s="1798"/>
      <c r="AE100" s="1842"/>
      <c r="AF100" s="1798"/>
    </row>
    <row r="101" spans="1:38" ht="26.25">
      <c r="L101" s="1734">
        <f>22320-21172</f>
        <v>1148</v>
      </c>
      <c r="T101" s="1919">
        <f>T86</f>
        <v>0</v>
      </c>
      <c r="U101" s="1842"/>
      <c r="V101" s="1842"/>
      <c r="W101" s="1842"/>
      <c r="X101" s="1842"/>
      <c r="Y101" s="1842"/>
      <c r="Z101" s="1842"/>
      <c r="AA101" s="1842"/>
      <c r="AB101" s="1842"/>
      <c r="AC101" s="1842"/>
      <c r="AD101" s="1798"/>
      <c r="AE101" s="1842"/>
      <c r="AF101" s="1798"/>
    </row>
    <row r="102" spans="1:38" ht="27" thickBot="1">
      <c r="L102" s="1734">
        <v>808</v>
      </c>
      <c r="T102" s="1919" t="str">
        <f>T87</f>
        <v>RMT LIKELY</v>
      </c>
      <c r="U102" s="1892"/>
      <c r="V102" s="1892"/>
      <c r="W102" s="1892"/>
      <c r="X102" s="1892"/>
      <c r="Y102" s="1892"/>
      <c r="Z102" s="1892"/>
      <c r="AA102" s="1892"/>
      <c r="AB102" s="1892"/>
      <c r="AC102" s="1892"/>
      <c r="AD102" s="1817"/>
      <c r="AE102" s="1892"/>
      <c r="AF102" s="1817"/>
    </row>
    <row r="103" spans="1:38" ht="26.25" thickBot="1">
      <c r="C103" s="1850">
        <f>+C66+C67</f>
        <v>1164.3999999999999</v>
      </c>
      <c r="D103" s="1850">
        <f>+D66+D67</f>
        <v>1935.45</v>
      </c>
      <c r="E103" s="1850">
        <f>+E66+E67</f>
        <v>0</v>
      </c>
      <c r="F103" s="1850">
        <v>0</v>
      </c>
      <c r="G103" s="1850">
        <f>+G66+G67</f>
        <v>0</v>
      </c>
      <c r="H103" s="1850">
        <f>+H66+H67</f>
        <v>0</v>
      </c>
      <c r="L103" s="1734">
        <f>+L101-L102</f>
        <v>340</v>
      </c>
    </row>
    <row r="104" spans="1:38" ht="26.25">
      <c r="X104" s="1894"/>
      <c r="Y104" s="2854"/>
      <c r="Z104" s="2854"/>
      <c r="AA104" s="1740"/>
      <c r="AB104" s="2854"/>
      <c r="AC104" s="2854"/>
      <c r="AD104" s="1740"/>
      <c r="AE104" s="2854"/>
      <c r="AF104" s="2854"/>
      <c r="AG104" s="1937"/>
    </row>
    <row r="105" spans="1:38" ht="27" thickBot="1">
      <c r="X105" s="1794"/>
      <c r="Y105" s="1736" t="s">
        <v>275</v>
      </c>
      <c r="Z105" s="1736" t="s">
        <v>312</v>
      </c>
      <c r="AA105" s="1736" t="s">
        <v>320</v>
      </c>
      <c r="AB105" s="1736" t="s">
        <v>766</v>
      </c>
      <c r="AC105" s="1736"/>
      <c r="AD105" s="1736"/>
      <c r="AE105" s="1736"/>
      <c r="AF105" s="1736"/>
      <c r="AG105" s="1813"/>
    </row>
    <row r="106" spans="1:38" ht="27" thickBot="1">
      <c r="X106" s="1921" t="str">
        <f>+X90</f>
        <v>Crude Steel</v>
      </c>
      <c r="Y106" s="1935">
        <f>Y75</f>
        <v>11612</v>
      </c>
      <c r="Z106" s="1935">
        <f>Z75</f>
        <v>10759.191000000001</v>
      </c>
      <c r="AA106" s="1935">
        <f>AA75</f>
        <v>92.655795728556669</v>
      </c>
      <c r="AB106" s="1736"/>
      <c r="AC106" s="1736"/>
      <c r="AD106" s="1746"/>
      <c r="AE106" s="1736"/>
      <c r="AF106" s="1736"/>
      <c r="AG106" s="1808"/>
    </row>
    <row r="107" spans="1:38" ht="27" thickBot="1">
      <c r="C107" s="1787" t="s">
        <v>722</v>
      </c>
      <c r="D107" s="1787" t="s">
        <v>723</v>
      </c>
      <c r="E107" s="1787" t="s">
        <v>724</v>
      </c>
      <c r="F107" s="1787" t="s">
        <v>725</v>
      </c>
      <c r="G107" s="1787" t="s">
        <v>726</v>
      </c>
      <c r="H107" s="559" t="s">
        <v>727</v>
      </c>
      <c r="I107" s="1787" t="s">
        <v>728</v>
      </c>
      <c r="X107" s="1921" t="str">
        <f t="shared" ref="X107:X113" si="29">+X91</f>
        <v>CC SLAB</v>
      </c>
      <c r="Y107" s="1935">
        <f t="shared" ref="Y107:AA113" si="30">Y76</f>
        <v>607</v>
      </c>
      <c r="Z107" s="1935">
        <f t="shared" si="30"/>
        <v>399.471</v>
      </c>
      <c r="AA107" s="1935">
        <f t="shared" si="30"/>
        <v>65.810708401976939</v>
      </c>
      <c r="AB107" s="1736"/>
      <c r="AC107" s="1736"/>
      <c r="AD107" s="1746"/>
      <c r="AE107" s="1736"/>
      <c r="AF107" s="1736"/>
      <c r="AG107" s="1808"/>
    </row>
    <row r="108" spans="1:38" ht="27" thickBot="1">
      <c r="A108" s="1784" t="s">
        <v>745</v>
      </c>
      <c r="B108" s="559">
        <v>9000</v>
      </c>
      <c r="C108" s="1889">
        <v>581.09999999999991</v>
      </c>
      <c r="D108" s="1889">
        <v>904.8</v>
      </c>
      <c r="E108" s="1889">
        <v>1251.8999999999999</v>
      </c>
      <c r="F108" s="1889">
        <v>1521</v>
      </c>
      <c r="G108" s="1889">
        <v>675</v>
      </c>
      <c r="H108" s="1889">
        <v>425</v>
      </c>
      <c r="I108" s="574">
        <v>5358.7999999999993</v>
      </c>
      <c r="X108" s="1921" t="str">
        <f t="shared" si="29"/>
        <v>CC BLOOM</v>
      </c>
      <c r="Y108" s="1935">
        <f t="shared" si="30"/>
        <v>0</v>
      </c>
      <c r="Z108" s="1935">
        <f t="shared" si="30"/>
        <v>0</v>
      </c>
      <c r="AA108" s="1935">
        <f t="shared" si="30"/>
        <v>0</v>
      </c>
      <c r="AB108" s="1736"/>
      <c r="AC108" s="1736"/>
      <c r="AD108" s="1746"/>
      <c r="AE108" s="1736"/>
      <c r="AF108" s="1736"/>
      <c r="AG108" s="1808"/>
    </row>
    <row r="109" spans="1:38" ht="27" thickBot="1">
      <c r="A109" s="1791" t="s">
        <v>746</v>
      </c>
      <c r="B109" s="559">
        <v>48000</v>
      </c>
      <c r="C109" s="574">
        <v>2132.0700000000002</v>
      </c>
      <c r="D109" s="1889">
        <v>4309.9900000000007</v>
      </c>
      <c r="E109" s="1889">
        <v>3194.9100000000003</v>
      </c>
      <c r="F109" s="1889">
        <v>3801</v>
      </c>
      <c r="G109" s="1889">
        <v>2421</v>
      </c>
      <c r="H109" s="1889">
        <v>2858</v>
      </c>
      <c r="I109" s="574">
        <v>18716.97</v>
      </c>
      <c r="J109" s="1787" t="s">
        <v>729</v>
      </c>
      <c r="K109" s="1787" t="s">
        <v>730</v>
      </c>
      <c r="L109" s="1787" t="s">
        <v>731</v>
      </c>
      <c r="M109" s="1787" t="s">
        <v>732</v>
      </c>
      <c r="N109" s="2569" t="s">
        <v>733</v>
      </c>
      <c r="O109" s="1806" t="s">
        <v>734</v>
      </c>
      <c r="X109" s="1921" t="str">
        <f t="shared" si="29"/>
        <v>Total CC</v>
      </c>
      <c r="Y109" s="1935">
        <f t="shared" si="30"/>
        <v>607</v>
      </c>
      <c r="Z109" s="1935">
        <f t="shared" si="30"/>
        <v>399.471</v>
      </c>
      <c r="AA109" s="1935">
        <f t="shared" si="30"/>
        <v>65.810708401976939</v>
      </c>
      <c r="AB109" s="1736"/>
      <c r="AC109" s="1736"/>
      <c r="AD109" s="1746"/>
      <c r="AE109" s="1736"/>
      <c r="AF109" s="1736"/>
      <c r="AG109" s="1808"/>
    </row>
    <row r="110" spans="1:38" ht="27" thickBot="1">
      <c r="A110" s="1791" t="s">
        <v>747</v>
      </c>
      <c r="B110" s="1889">
        <v>86003</v>
      </c>
      <c r="C110" s="1889">
        <v>5120.84</v>
      </c>
      <c r="D110" s="1889">
        <v>5583.64</v>
      </c>
      <c r="E110" s="1889">
        <v>7491.18</v>
      </c>
      <c r="F110" s="1889">
        <v>9029.41</v>
      </c>
      <c r="G110" s="1889">
        <v>8172</v>
      </c>
      <c r="H110" s="1889">
        <v>8334</v>
      </c>
      <c r="I110" s="574">
        <v>43731.07</v>
      </c>
      <c r="J110" s="1889">
        <v>308.10000000000002</v>
      </c>
      <c r="K110" s="1889">
        <v>323.7</v>
      </c>
      <c r="X110" s="1921" t="str">
        <f t="shared" si="29"/>
        <v>Ingot Steel</v>
      </c>
      <c r="Y110" s="1935">
        <f t="shared" si="30"/>
        <v>11005</v>
      </c>
      <c r="Z110" s="1935">
        <f t="shared" si="30"/>
        <v>10359.720000000001</v>
      </c>
      <c r="AA110" s="1935">
        <f t="shared" si="30"/>
        <v>94.136483416628806</v>
      </c>
      <c r="AB110" s="1736"/>
      <c r="AC110" s="1736"/>
      <c r="AD110" s="1746"/>
      <c r="AE110" s="1736"/>
      <c r="AF110" s="1736"/>
      <c r="AG110" s="1808"/>
    </row>
    <row r="111" spans="1:38" ht="31.5" customHeight="1" thickBot="1">
      <c r="E111" s="1734" t="s">
        <v>3899</v>
      </c>
      <c r="I111" s="1734" t="s">
        <v>2610</v>
      </c>
      <c r="J111" s="1889">
        <v>2712.2599999999998</v>
      </c>
      <c r="K111" s="1889">
        <v>634.4</v>
      </c>
      <c r="X111" s="1921" t="str">
        <f t="shared" si="29"/>
        <v xml:space="preserve">BBM Charge Weight </v>
      </c>
      <c r="Y111" s="1935">
        <f t="shared" si="30"/>
        <v>12227</v>
      </c>
      <c r="Z111" s="1935">
        <f t="shared" si="30"/>
        <v>12743.709000000001</v>
      </c>
      <c r="AA111" s="1935">
        <f t="shared" si="30"/>
        <v>104.22596712194326</v>
      </c>
      <c r="AB111" s="1736"/>
      <c r="AC111" s="1736"/>
      <c r="AD111" s="1746"/>
      <c r="AE111" s="1736"/>
      <c r="AF111" s="1736"/>
      <c r="AG111" s="1808"/>
    </row>
    <row r="112" spans="1:38" ht="27" thickBot="1">
      <c r="A112" s="1784" t="s">
        <v>745</v>
      </c>
      <c r="E112" s="1850">
        <f>+E108+D108+C108</f>
        <v>2737.7999999999997</v>
      </c>
      <c r="J112" s="1889">
        <v>10005</v>
      </c>
      <c r="K112" s="1889" t="s">
        <v>298</v>
      </c>
      <c r="X112" s="1921" t="str">
        <f t="shared" si="29"/>
        <v>TOTAL SAL</v>
      </c>
      <c r="Y112" s="1935">
        <f t="shared" si="30"/>
        <v>11340</v>
      </c>
      <c r="Z112" s="1935">
        <f t="shared" si="30"/>
        <v>11402.186999999998</v>
      </c>
      <c r="AA112" s="1935">
        <f t="shared" si="30"/>
        <v>100.54838624338622</v>
      </c>
      <c r="AB112" s="1736"/>
      <c r="AC112" s="1736"/>
      <c r="AD112" s="1746"/>
      <c r="AE112" s="1736"/>
      <c r="AF112" s="1736"/>
      <c r="AG112" s="1808"/>
    </row>
    <row r="113" spans="1:33" ht="27" thickBot="1">
      <c r="A113" s="1791" t="s">
        <v>746</v>
      </c>
      <c r="E113" s="1850">
        <f t="shared" ref="E113:E114" si="31">+E109+D109+C109</f>
        <v>9636.9700000000012</v>
      </c>
      <c r="X113" s="1921" t="str">
        <f t="shared" si="29"/>
        <v xml:space="preserve">Dispatch </v>
      </c>
      <c r="Y113" s="1935">
        <f t="shared" si="30"/>
        <v>11490</v>
      </c>
      <c r="Z113" s="1935">
        <f t="shared" si="30"/>
        <v>11173.28</v>
      </c>
      <c r="AA113" s="1935">
        <f t="shared" si="30"/>
        <v>97.243516100957365</v>
      </c>
      <c r="AB113" s="1736"/>
      <c r="AC113" s="1736"/>
      <c r="AD113" s="1746"/>
      <c r="AE113" s="1736"/>
      <c r="AF113" s="1736"/>
      <c r="AG113" s="1808"/>
    </row>
    <row r="114" spans="1:33" ht="27" thickBot="1">
      <c r="A114" s="1791" t="s">
        <v>747</v>
      </c>
      <c r="E114" s="1850">
        <f t="shared" si="31"/>
        <v>18195.66</v>
      </c>
      <c r="X114" s="1922" t="s">
        <v>164</v>
      </c>
      <c r="Y114" s="1935">
        <f t="shared" ref="Y114:AA115" si="32">Y83</f>
        <v>400</v>
      </c>
      <c r="Z114" s="1935">
        <f t="shared" si="32"/>
        <v>187.2</v>
      </c>
      <c r="AA114" s="1935">
        <f t="shared" si="32"/>
        <v>46.8</v>
      </c>
      <c r="AB114" s="1736"/>
      <c r="AC114" s="1746"/>
      <c r="AD114" s="1746"/>
      <c r="AE114" s="1736"/>
      <c r="AF114" s="1746"/>
      <c r="AG114" s="1808"/>
    </row>
    <row r="115" spans="1:33" ht="27" thickBot="1">
      <c r="X115" s="1923" t="s">
        <v>758</v>
      </c>
      <c r="Y115" s="1935">
        <f t="shared" si="32"/>
        <v>2000</v>
      </c>
      <c r="Z115" s="1935">
        <f t="shared" si="32"/>
        <v>2508.64</v>
      </c>
      <c r="AA115" s="1935">
        <f t="shared" si="32"/>
        <v>125.43199999999999</v>
      </c>
      <c r="AB115" s="1736"/>
      <c r="AC115" s="1746"/>
      <c r="AD115" s="1746"/>
      <c r="AE115" s="1736"/>
      <c r="AF115" s="1746"/>
      <c r="AG115" s="1808"/>
    </row>
    <row r="116" spans="1:33" ht="26.25" thickBot="1">
      <c r="X116" s="1902"/>
      <c r="Y116" s="1913"/>
      <c r="Z116" s="1913"/>
      <c r="AA116" s="1913"/>
      <c r="AB116" s="1913"/>
      <c r="AC116" s="1913"/>
      <c r="AD116" s="1913"/>
      <c r="AE116" s="1913"/>
      <c r="AF116" s="1913"/>
      <c r="AG116" s="1938"/>
    </row>
    <row r="122" spans="1:33">
      <c r="Y122" s="1936"/>
    </row>
  </sheetData>
  <mergeCells count="38">
    <mergeCell ref="AB104:AC104"/>
    <mergeCell ref="AE104:AF104"/>
    <mergeCell ref="Y104:Z104"/>
    <mergeCell ref="AE73:AF73"/>
    <mergeCell ref="O10:P10"/>
    <mergeCell ref="O11:P11"/>
    <mergeCell ref="O12:P12"/>
    <mergeCell ref="O9:P9"/>
    <mergeCell ref="A40:I40"/>
    <mergeCell ref="AB73:AC73"/>
    <mergeCell ref="H35:H36"/>
    <mergeCell ref="B35:D36"/>
    <mergeCell ref="J27:L27"/>
    <mergeCell ref="M27:O27"/>
    <mergeCell ref="C80:D80"/>
    <mergeCell ref="E80:F80"/>
    <mergeCell ref="A26:I26"/>
    <mergeCell ref="B27:D27"/>
    <mergeCell ref="B28:D28"/>
    <mergeCell ref="B39:D39"/>
    <mergeCell ref="B37:D37"/>
    <mergeCell ref="B29:D29"/>
    <mergeCell ref="B30:D30"/>
    <mergeCell ref="B32:D32"/>
    <mergeCell ref="B33:D33"/>
    <mergeCell ref="B34:D34"/>
    <mergeCell ref="A35:A36"/>
    <mergeCell ref="E35:E36"/>
    <mergeCell ref="F35:F36"/>
    <mergeCell ref="G35:G36"/>
    <mergeCell ref="J7:P7"/>
    <mergeCell ref="O8:P8"/>
    <mergeCell ref="A1:I1"/>
    <mergeCell ref="J1:P1"/>
    <mergeCell ref="A2:I2"/>
    <mergeCell ref="A3:D3"/>
    <mergeCell ref="C5:D5"/>
    <mergeCell ref="E5:H5"/>
  </mergeCells>
  <pageMargins left="0.25" right="0.25" top="0.59055118110236204" bottom="0" header="0.35433070866141703" footer="0.27559055118110198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9"/>
  <sheetViews>
    <sheetView workbookViewId="0">
      <selection activeCell="B4" sqref="B4:B17"/>
    </sheetView>
  </sheetViews>
  <sheetFormatPr defaultRowHeight="12.75"/>
  <cols>
    <col min="2" max="2" width="15.28515625" customWidth="1"/>
  </cols>
  <sheetData>
    <row r="2" spans="2:15">
      <c r="B2" t="s">
        <v>4158</v>
      </c>
    </row>
    <row r="3" spans="2:15">
      <c r="B3" t="s">
        <v>4150</v>
      </c>
      <c r="C3" t="s">
        <v>242</v>
      </c>
      <c r="D3" t="s">
        <v>243</v>
      </c>
      <c r="E3" t="s">
        <v>244</v>
      </c>
      <c r="F3" t="s">
        <v>245</v>
      </c>
      <c r="G3" t="s">
        <v>246</v>
      </c>
      <c r="H3" t="s">
        <v>247</v>
      </c>
      <c r="I3" t="s">
        <v>248</v>
      </c>
      <c r="J3" t="s">
        <v>249</v>
      </c>
      <c r="K3" t="s">
        <v>250</v>
      </c>
      <c r="L3" t="s">
        <v>861</v>
      </c>
      <c r="M3" t="s">
        <v>862</v>
      </c>
      <c r="N3" t="s">
        <v>863</v>
      </c>
      <c r="O3" t="s">
        <v>3226</v>
      </c>
    </row>
    <row r="4" spans="2:15">
      <c r="B4" t="s">
        <v>563</v>
      </c>
      <c r="C4">
        <v>3624</v>
      </c>
      <c r="D4">
        <v>2505</v>
      </c>
      <c r="E4">
        <v>4029</v>
      </c>
      <c r="F4">
        <v>3626</v>
      </c>
      <c r="G4">
        <v>4203</v>
      </c>
      <c r="H4">
        <v>3705</v>
      </c>
      <c r="I4">
        <v>3792</v>
      </c>
      <c r="J4">
        <v>3406</v>
      </c>
      <c r="K4">
        <v>3873</v>
      </c>
      <c r="L4">
        <v>4883</v>
      </c>
      <c r="M4">
        <v>5524</v>
      </c>
      <c r="N4">
        <v>5517</v>
      </c>
      <c r="O4">
        <f>SUM(C4:N4)</f>
        <v>48687</v>
      </c>
    </row>
    <row r="5" spans="2:15">
      <c r="B5" t="s">
        <v>385</v>
      </c>
      <c r="C5">
        <v>1513</v>
      </c>
      <c r="D5">
        <v>501</v>
      </c>
      <c r="E5">
        <v>1771</v>
      </c>
      <c r="F5">
        <v>1437</v>
      </c>
      <c r="G5">
        <v>1452</v>
      </c>
      <c r="H5">
        <v>1477</v>
      </c>
      <c r="I5">
        <v>2129</v>
      </c>
      <c r="J5">
        <v>2119</v>
      </c>
      <c r="K5">
        <v>1913</v>
      </c>
      <c r="L5">
        <v>2089</v>
      </c>
      <c r="M5">
        <v>1626</v>
      </c>
      <c r="N5">
        <v>1756</v>
      </c>
      <c r="O5">
        <f t="shared" ref="O5:O17" si="0">SUM(C5:N5)</f>
        <v>19783</v>
      </c>
    </row>
    <row r="6" spans="2:15">
      <c r="B6" t="s">
        <v>564</v>
      </c>
      <c r="C6">
        <v>41</v>
      </c>
      <c r="D6">
        <v>299</v>
      </c>
      <c r="E6">
        <v>0</v>
      </c>
      <c r="F6">
        <v>40</v>
      </c>
      <c r="G6">
        <v>117</v>
      </c>
      <c r="H6">
        <v>91</v>
      </c>
      <c r="I6">
        <v>113</v>
      </c>
      <c r="J6">
        <v>149</v>
      </c>
      <c r="K6">
        <v>125</v>
      </c>
      <c r="L6">
        <v>123</v>
      </c>
      <c r="M6">
        <v>24</v>
      </c>
      <c r="N6">
        <v>66</v>
      </c>
      <c r="O6" s="520">
        <f t="shared" si="0"/>
        <v>1188</v>
      </c>
    </row>
    <row r="7" spans="2:15">
      <c r="B7" t="s">
        <v>264</v>
      </c>
      <c r="C7">
        <v>68</v>
      </c>
      <c r="D7">
        <v>217</v>
      </c>
      <c r="E7">
        <v>418</v>
      </c>
      <c r="F7">
        <v>354</v>
      </c>
      <c r="G7">
        <v>363</v>
      </c>
      <c r="H7">
        <v>257</v>
      </c>
      <c r="I7">
        <v>275</v>
      </c>
      <c r="J7">
        <v>479</v>
      </c>
      <c r="K7">
        <v>538</v>
      </c>
      <c r="L7">
        <v>649</v>
      </c>
      <c r="M7">
        <v>492</v>
      </c>
      <c r="N7">
        <v>609</v>
      </c>
      <c r="O7">
        <f t="shared" si="0"/>
        <v>4719</v>
      </c>
    </row>
    <row r="8" spans="2:15">
      <c r="B8" t="s">
        <v>4151</v>
      </c>
      <c r="C8">
        <v>226</v>
      </c>
      <c r="D8">
        <v>181</v>
      </c>
      <c r="E8">
        <v>158</v>
      </c>
      <c r="F8">
        <v>228</v>
      </c>
      <c r="G8">
        <v>158</v>
      </c>
      <c r="H8">
        <v>184</v>
      </c>
      <c r="I8">
        <v>185</v>
      </c>
      <c r="J8">
        <v>330</v>
      </c>
      <c r="K8">
        <v>233</v>
      </c>
      <c r="L8">
        <v>390</v>
      </c>
      <c r="M8">
        <v>307</v>
      </c>
      <c r="N8">
        <v>145</v>
      </c>
      <c r="O8" s="520">
        <f t="shared" si="0"/>
        <v>2725</v>
      </c>
    </row>
    <row r="9" spans="2:15">
      <c r="B9" t="s">
        <v>500</v>
      </c>
      <c r="C9">
        <v>739</v>
      </c>
      <c r="D9">
        <v>739</v>
      </c>
      <c r="E9">
        <v>288</v>
      </c>
      <c r="F9">
        <v>609</v>
      </c>
      <c r="G9">
        <v>926</v>
      </c>
      <c r="H9">
        <v>773</v>
      </c>
      <c r="I9">
        <v>1608</v>
      </c>
      <c r="J9">
        <v>544</v>
      </c>
      <c r="K9">
        <v>568</v>
      </c>
      <c r="L9">
        <v>49</v>
      </c>
      <c r="N9">
        <v>329</v>
      </c>
      <c r="O9">
        <f t="shared" si="0"/>
        <v>7172</v>
      </c>
    </row>
    <row r="10" spans="2:15">
      <c r="B10" t="s">
        <v>325</v>
      </c>
      <c r="C10">
        <v>416</v>
      </c>
      <c r="D10">
        <v>349</v>
      </c>
      <c r="E10">
        <v>350</v>
      </c>
      <c r="F10">
        <v>348</v>
      </c>
      <c r="G10">
        <v>395</v>
      </c>
      <c r="H10">
        <v>357</v>
      </c>
      <c r="I10">
        <v>292</v>
      </c>
      <c r="J10">
        <v>583</v>
      </c>
      <c r="K10">
        <v>399</v>
      </c>
      <c r="L10">
        <v>233</v>
      </c>
      <c r="M10">
        <v>274</v>
      </c>
      <c r="N10">
        <v>243</v>
      </c>
      <c r="O10">
        <f t="shared" si="0"/>
        <v>4239</v>
      </c>
    </row>
    <row r="11" spans="2:15">
      <c r="B11" t="s">
        <v>4152</v>
      </c>
      <c r="C11">
        <v>123</v>
      </c>
      <c r="D11">
        <v>97</v>
      </c>
      <c r="E11">
        <v>139</v>
      </c>
      <c r="F11">
        <v>31</v>
      </c>
      <c r="G11">
        <v>81</v>
      </c>
      <c r="H11">
        <v>102</v>
      </c>
      <c r="I11">
        <v>41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0"/>
        <v>614</v>
      </c>
    </row>
    <row r="12" spans="2:15">
      <c r="B12" t="s">
        <v>4153</v>
      </c>
      <c r="C12">
        <v>42</v>
      </c>
      <c r="D12">
        <v>86</v>
      </c>
      <c r="E12">
        <v>67</v>
      </c>
      <c r="F12">
        <v>6</v>
      </c>
      <c r="G12">
        <v>0</v>
      </c>
      <c r="H12">
        <v>9</v>
      </c>
      <c r="I12">
        <v>30</v>
      </c>
      <c r="J12">
        <v>74</v>
      </c>
      <c r="K12">
        <v>77</v>
      </c>
      <c r="L12">
        <v>119</v>
      </c>
      <c r="M12">
        <v>136</v>
      </c>
      <c r="N12">
        <v>101</v>
      </c>
      <c r="O12">
        <f t="shared" si="0"/>
        <v>747</v>
      </c>
    </row>
    <row r="13" spans="2:15">
      <c r="B13" t="s">
        <v>4154</v>
      </c>
      <c r="C13">
        <v>72</v>
      </c>
      <c r="D13">
        <v>14</v>
      </c>
      <c r="E13">
        <v>4</v>
      </c>
      <c r="F13">
        <v>61</v>
      </c>
      <c r="G13">
        <v>73</v>
      </c>
      <c r="H13">
        <v>19</v>
      </c>
      <c r="I13">
        <v>7</v>
      </c>
      <c r="J13">
        <v>19</v>
      </c>
      <c r="K13">
        <v>37</v>
      </c>
      <c r="L13">
        <v>13</v>
      </c>
      <c r="M13">
        <v>9</v>
      </c>
      <c r="O13">
        <f t="shared" si="0"/>
        <v>328</v>
      </c>
    </row>
    <row r="14" spans="2:15">
      <c r="B14" t="s">
        <v>4155</v>
      </c>
      <c r="C14">
        <v>474</v>
      </c>
      <c r="D14">
        <v>216</v>
      </c>
      <c r="E14">
        <v>484</v>
      </c>
      <c r="F14">
        <v>813</v>
      </c>
      <c r="G14">
        <v>476</v>
      </c>
      <c r="H14">
        <v>254</v>
      </c>
      <c r="I14">
        <v>312</v>
      </c>
      <c r="J14">
        <v>359</v>
      </c>
      <c r="K14">
        <v>486</v>
      </c>
      <c r="L14">
        <v>484</v>
      </c>
      <c r="M14">
        <v>411</v>
      </c>
      <c r="N14">
        <v>700</v>
      </c>
      <c r="O14">
        <f t="shared" si="0"/>
        <v>5469</v>
      </c>
    </row>
    <row r="15" spans="2:15">
      <c r="B15" t="s">
        <v>4156</v>
      </c>
      <c r="C15">
        <v>1394</v>
      </c>
      <c r="D15">
        <v>420</v>
      </c>
      <c r="E15">
        <v>822</v>
      </c>
      <c r="F15">
        <v>559</v>
      </c>
      <c r="G15">
        <v>706</v>
      </c>
      <c r="H15">
        <v>745</v>
      </c>
      <c r="I15">
        <v>874</v>
      </c>
      <c r="J15">
        <v>1260</v>
      </c>
      <c r="K15">
        <v>950</v>
      </c>
      <c r="L15">
        <v>993</v>
      </c>
      <c r="M15">
        <v>739</v>
      </c>
      <c r="N15">
        <v>633</v>
      </c>
      <c r="O15">
        <f t="shared" si="0"/>
        <v>10095</v>
      </c>
    </row>
    <row r="16" spans="2:15">
      <c r="B16" t="s">
        <v>4157</v>
      </c>
      <c r="C16">
        <v>360</v>
      </c>
      <c r="D16">
        <v>221</v>
      </c>
      <c r="E16">
        <v>990</v>
      </c>
      <c r="F16">
        <v>486</v>
      </c>
      <c r="G16">
        <v>630</v>
      </c>
      <c r="H16">
        <v>196</v>
      </c>
      <c r="I16">
        <v>320</v>
      </c>
      <c r="J16">
        <v>93</v>
      </c>
      <c r="K16">
        <v>719</v>
      </c>
      <c r="L16">
        <v>486</v>
      </c>
      <c r="M16">
        <v>926</v>
      </c>
      <c r="N16">
        <v>725</v>
      </c>
      <c r="O16">
        <f t="shared" si="0"/>
        <v>6152</v>
      </c>
    </row>
    <row r="17" spans="2:18">
      <c r="B17" t="s">
        <v>2113</v>
      </c>
      <c r="C17">
        <v>911</v>
      </c>
      <c r="D17">
        <v>906</v>
      </c>
      <c r="E17">
        <v>850</v>
      </c>
      <c r="F17">
        <v>445</v>
      </c>
      <c r="G17">
        <v>449</v>
      </c>
      <c r="H17">
        <v>382</v>
      </c>
      <c r="I17">
        <v>505</v>
      </c>
      <c r="J17">
        <v>724</v>
      </c>
      <c r="K17">
        <v>527</v>
      </c>
      <c r="L17">
        <v>290</v>
      </c>
      <c r="M17">
        <v>208</v>
      </c>
      <c r="N17">
        <v>540</v>
      </c>
      <c r="O17">
        <f t="shared" si="0"/>
        <v>6737</v>
      </c>
    </row>
    <row r="18" spans="2:18">
      <c r="B18" t="s">
        <v>3106</v>
      </c>
      <c r="C18">
        <f>SUM(C4:C17)</f>
        <v>10003</v>
      </c>
      <c r="D18">
        <f t="shared" ref="D18:O18" si="1">SUM(D4:D17)</f>
        <v>6751</v>
      </c>
      <c r="E18">
        <f t="shared" si="1"/>
        <v>10370</v>
      </c>
      <c r="F18">
        <f t="shared" si="1"/>
        <v>9043</v>
      </c>
      <c r="G18">
        <f t="shared" si="1"/>
        <v>10029</v>
      </c>
      <c r="H18">
        <f t="shared" si="1"/>
        <v>8551</v>
      </c>
      <c r="I18">
        <f t="shared" si="1"/>
        <v>10483</v>
      </c>
      <c r="J18">
        <f t="shared" si="1"/>
        <v>10139</v>
      </c>
      <c r="K18">
        <f t="shared" si="1"/>
        <v>10445</v>
      </c>
      <c r="L18">
        <f t="shared" si="1"/>
        <v>10801</v>
      </c>
      <c r="M18">
        <f t="shared" si="1"/>
        <v>10676</v>
      </c>
      <c r="N18">
        <f>SUM(N4:N17)</f>
        <v>11364</v>
      </c>
      <c r="O18" s="520">
        <f t="shared" si="1"/>
        <v>118655</v>
      </c>
    </row>
    <row r="21" spans="2:18" ht="15.75">
      <c r="C21" s="2803"/>
      <c r="D21" s="2803"/>
      <c r="E21" s="2803"/>
      <c r="F21" s="2803"/>
      <c r="G21" s="2803"/>
      <c r="H21" s="2803"/>
      <c r="I21" s="2803"/>
      <c r="J21" s="2803"/>
      <c r="K21" s="2803"/>
      <c r="L21" s="2803"/>
      <c r="M21" s="2803"/>
      <c r="N21" s="2803"/>
      <c r="O21" s="2803"/>
      <c r="P21" s="2803"/>
      <c r="Q21" s="2803"/>
      <c r="R21" s="2803"/>
    </row>
    <row r="23" spans="2:18">
      <c r="B23" t="s">
        <v>4159</v>
      </c>
    </row>
    <row r="24" spans="2:18">
      <c r="B24" t="s">
        <v>4150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861</v>
      </c>
      <c r="M24" t="s">
        <v>862</v>
      </c>
      <c r="N24" t="s">
        <v>863</v>
      </c>
      <c r="O24" t="s">
        <v>3226</v>
      </c>
    </row>
    <row r="25" spans="2:18">
      <c r="B25" t="s">
        <v>563</v>
      </c>
      <c r="C25">
        <v>3742</v>
      </c>
      <c r="D25">
        <v>3349</v>
      </c>
      <c r="E25">
        <v>4127</v>
      </c>
      <c r="F25">
        <v>4262</v>
      </c>
      <c r="G25">
        <v>4155</v>
      </c>
      <c r="H25">
        <v>3699</v>
      </c>
      <c r="I25">
        <v>3634</v>
      </c>
      <c r="J25">
        <v>3165</v>
      </c>
      <c r="K25">
        <v>4264</v>
      </c>
      <c r="L25">
        <v>4409</v>
      </c>
      <c r="M25">
        <v>5665</v>
      </c>
      <c r="N25">
        <v>5665</v>
      </c>
      <c r="O25">
        <f>SUM(C25:N25)</f>
        <v>50136</v>
      </c>
    </row>
    <row r="26" spans="2:18">
      <c r="B26" t="s">
        <v>385</v>
      </c>
      <c r="C26">
        <v>1437</v>
      </c>
      <c r="D26">
        <v>630</v>
      </c>
      <c r="E26">
        <v>1766</v>
      </c>
      <c r="F26">
        <v>1298</v>
      </c>
      <c r="G26">
        <v>1545</v>
      </c>
      <c r="H26">
        <v>1553</v>
      </c>
      <c r="I26">
        <v>1852</v>
      </c>
      <c r="J26">
        <v>2173</v>
      </c>
      <c r="K26">
        <v>2040</v>
      </c>
      <c r="L26">
        <v>2008</v>
      </c>
      <c r="M26">
        <v>1622</v>
      </c>
      <c r="N26">
        <v>1797</v>
      </c>
      <c r="O26">
        <f t="shared" ref="O26:O39" si="2">SUM(C26:N26)</f>
        <v>19721</v>
      </c>
    </row>
    <row r="27" spans="2:18">
      <c r="B27" t="s">
        <v>564</v>
      </c>
      <c r="C27">
        <v>35</v>
      </c>
      <c r="D27">
        <v>137</v>
      </c>
      <c r="E27">
        <v>126</v>
      </c>
      <c r="F27">
        <v>61</v>
      </c>
      <c r="G27">
        <v>70</v>
      </c>
      <c r="H27">
        <v>158</v>
      </c>
      <c r="I27">
        <v>30</v>
      </c>
      <c r="J27">
        <v>120</v>
      </c>
      <c r="K27">
        <v>86</v>
      </c>
      <c r="L27">
        <v>161</v>
      </c>
      <c r="M27">
        <v>30</v>
      </c>
      <c r="N27">
        <v>156</v>
      </c>
      <c r="O27">
        <f t="shared" si="2"/>
        <v>1170</v>
      </c>
    </row>
    <row r="28" spans="2:18">
      <c r="B28" t="s">
        <v>264</v>
      </c>
      <c r="C28">
        <v>74</v>
      </c>
      <c r="D28">
        <v>285</v>
      </c>
      <c r="E28">
        <v>431</v>
      </c>
      <c r="F28">
        <v>446</v>
      </c>
      <c r="G28">
        <v>431</v>
      </c>
      <c r="H28">
        <v>260</v>
      </c>
      <c r="I28">
        <v>266</v>
      </c>
      <c r="J28">
        <v>449</v>
      </c>
      <c r="K28">
        <v>456</v>
      </c>
      <c r="L28">
        <v>723</v>
      </c>
      <c r="M28">
        <v>422</v>
      </c>
      <c r="N28">
        <v>724</v>
      </c>
      <c r="O28">
        <f t="shared" si="2"/>
        <v>4967</v>
      </c>
    </row>
    <row r="29" spans="2:18">
      <c r="B29" t="s">
        <v>4151</v>
      </c>
      <c r="C29">
        <v>375</v>
      </c>
      <c r="D29">
        <v>310</v>
      </c>
      <c r="E29">
        <v>305</v>
      </c>
      <c r="F29">
        <v>324</v>
      </c>
      <c r="G29">
        <v>187</v>
      </c>
      <c r="H29">
        <v>339</v>
      </c>
      <c r="I29">
        <v>221</v>
      </c>
      <c r="J29">
        <v>412</v>
      </c>
      <c r="K29">
        <v>212</v>
      </c>
      <c r="L29">
        <v>491</v>
      </c>
      <c r="M29">
        <v>280</v>
      </c>
      <c r="N29">
        <v>331</v>
      </c>
      <c r="O29">
        <f t="shared" si="2"/>
        <v>3787</v>
      </c>
    </row>
    <row r="30" spans="2:18">
      <c r="B30" t="s">
        <v>500</v>
      </c>
      <c r="C30">
        <v>982</v>
      </c>
      <c r="D30">
        <v>512</v>
      </c>
      <c r="E30">
        <v>288</v>
      </c>
      <c r="F30">
        <v>1020</v>
      </c>
      <c r="G30">
        <v>859</v>
      </c>
      <c r="H30">
        <v>684</v>
      </c>
      <c r="I30">
        <v>1102</v>
      </c>
      <c r="J30">
        <v>526</v>
      </c>
      <c r="K30">
        <v>480</v>
      </c>
      <c r="L30">
        <v>147</v>
      </c>
      <c r="M30">
        <v>48</v>
      </c>
      <c r="N30">
        <v>309</v>
      </c>
      <c r="O30">
        <f t="shared" si="2"/>
        <v>6957</v>
      </c>
    </row>
    <row r="31" spans="2:18">
      <c r="B31" t="s">
        <v>325</v>
      </c>
      <c r="C31">
        <v>478</v>
      </c>
      <c r="D31">
        <v>324</v>
      </c>
      <c r="E31">
        <v>379</v>
      </c>
      <c r="F31">
        <v>318</v>
      </c>
      <c r="G31">
        <v>405</v>
      </c>
      <c r="H31">
        <v>354</v>
      </c>
      <c r="I31">
        <v>306</v>
      </c>
      <c r="J31">
        <v>514</v>
      </c>
      <c r="K31">
        <v>432</v>
      </c>
      <c r="L31">
        <v>97</v>
      </c>
      <c r="M31">
        <v>353</v>
      </c>
      <c r="N31">
        <v>328</v>
      </c>
      <c r="O31">
        <f t="shared" si="2"/>
        <v>4288</v>
      </c>
    </row>
    <row r="32" spans="2:18">
      <c r="B32" t="s">
        <v>4152</v>
      </c>
      <c r="C32">
        <v>124</v>
      </c>
      <c r="D32">
        <v>81</v>
      </c>
      <c r="E32">
        <v>140</v>
      </c>
      <c r="F32">
        <v>46</v>
      </c>
      <c r="G32">
        <v>57</v>
      </c>
      <c r="H32">
        <v>120</v>
      </c>
      <c r="I32">
        <v>39</v>
      </c>
      <c r="J32">
        <v>8</v>
      </c>
      <c r="O32">
        <f t="shared" si="2"/>
        <v>615</v>
      </c>
    </row>
    <row r="33" spans="2:15">
      <c r="B33" t="s">
        <v>4153</v>
      </c>
      <c r="C33">
        <v>55</v>
      </c>
      <c r="D33">
        <v>83</v>
      </c>
      <c r="E33">
        <v>15</v>
      </c>
      <c r="F33">
        <v>17</v>
      </c>
      <c r="G33">
        <v>57</v>
      </c>
      <c r="H33">
        <v>59</v>
      </c>
      <c r="I33">
        <v>94</v>
      </c>
      <c r="J33">
        <v>105</v>
      </c>
      <c r="K33">
        <v>100</v>
      </c>
      <c r="L33">
        <v>64</v>
      </c>
      <c r="M33">
        <v>58</v>
      </c>
      <c r="N33">
        <v>232</v>
      </c>
      <c r="O33">
        <f t="shared" si="2"/>
        <v>939</v>
      </c>
    </row>
    <row r="34" spans="2:15">
      <c r="B34" t="s">
        <v>4154</v>
      </c>
      <c r="C34">
        <v>18</v>
      </c>
      <c r="D34">
        <v>20</v>
      </c>
      <c r="F34">
        <v>28</v>
      </c>
      <c r="G34">
        <v>39</v>
      </c>
      <c r="H34">
        <v>24</v>
      </c>
      <c r="I34">
        <v>69</v>
      </c>
      <c r="K34">
        <v>27</v>
      </c>
      <c r="L34">
        <v>9</v>
      </c>
      <c r="N34">
        <v>97</v>
      </c>
      <c r="O34">
        <f t="shared" si="2"/>
        <v>331</v>
      </c>
    </row>
    <row r="35" spans="2:15">
      <c r="B35" t="s">
        <v>4155</v>
      </c>
      <c r="C35">
        <v>768</v>
      </c>
      <c r="D35">
        <v>796</v>
      </c>
      <c r="E35">
        <v>506</v>
      </c>
      <c r="F35">
        <v>804</v>
      </c>
      <c r="G35">
        <v>462</v>
      </c>
      <c r="H35">
        <v>480</v>
      </c>
      <c r="I35">
        <v>333</v>
      </c>
      <c r="J35">
        <v>390</v>
      </c>
      <c r="K35">
        <v>233</v>
      </c>
      <c r="L35">
        <v>555</v>
      </c>
      <c r="M35">
        <v>250</v>
      </c>
      <c r="N35">
        <v>521</v>
      </c>
      <c r="O35">
        <f t="shared" si="2"/>
        <v>6098</v>
      </c>
    </row>
    <row r="36" spans="2:15">
      <c r="B36" t="s">
        <v>4156</v>
      </c>
      <c r="C36">
        <v>1332</v>
      </c>
      <c r="D36">
        <v>1130</v>
      </c>
      <c r="E36">
        <v>614</v>
      </c>
      <c r="F36">
        <v>556</v>
      </c>
      <c r="G36">
        <v>1157</v>
      </c>
      <c r="H36">
        <v>1033</v>
      </c>
      <c r="I36">
        <v>551</v>
      </c>
      <c r="J36">
        <v>681</v>
      </c>
      <c r="K36">
        <v>1079</v>
      </c>
      <c r="L36">
        <v>538</v>
      </c>
      <c r="M36">
        <v>469</v>
      </c>
      <c r="N36">
        <v>584</v>
      </c>
      <c r="O36">
        <f t="shared" si="2"/>
        <v>9724</v>
      </c>
    </row>
    <row r="37" spans="2:15">
      <c r="B37" t="s">
        <v>4157</v>
      </c>
      <c r="C37">
        <v>659</v>
      </c>
      <c r="D37">
        <v>636</v>
      </c>
      <c r="E37">
        <v>273</v>
      </c>
      <c r="F37">
        <v>245</v>
      </c>
      <c r="G37">
        <v>406</v>
      </c>
      <c r="H37">
        <v>587</v>
      </c>
      <c r="I37">
        <v>523</v>
      </c>
      <c r="J37">
        <v>469</v>
      </c>
      <c r="K37">
        <v>753</v>
      </c>
      <c r="L37">
        <v>344</v>
      </c>
      <c r="M37">
        <v>598</v>
      </c>
      <c r="N37">
        <v>566</v>
      </c>
      <c r="O37">
        <f t="shared" si="2"/>
        <v>6059</v>
      </c>
    </row>
    <row r="38" spans="2:15">
      <c r="B38" t="s">
        <v>2113</v>
      </c>
      <c r="C38">
        <v>531</v>
      </c>
      <c r="D38">
        <v>870</v>
      </c>
      <c r="E38">
        <v>876</v>
      </c>
      <c r="F38">
        <v>659</v>
      </c>
      <c r="G38">
        <v>368</v>
      </c>
      <c r="H38">
        <v>532</v>
      </c>
      <c r="I38">
        <v>447</v>
      </c>
      <c r="J38">
        <v>603</v>
      </c>
      <c r="K38">
        <v>725</v>
      </c>
      <c r="L38">
        <v>385</v>
      </c>
      <c r="M38">
        <v>401</v>
      </c>
      <c r="N38">
        <v>600</v>
      </c>
      <c r="O38">
        <f t="shared" si="2"/>
        <v>6997</v>
      </c>
    </row>
    <row r="39" spans="2:15">
      <c r="B39" t="s">
        <v>3106</v>
      </c>
      <c r="C39">
        <f>SUM(C25:C38)</f>
        <v>10610</v>
      </c>
      <c r="D39">
        <f t="shared" ref="D39:N39" si="3">SUM(D25:D38)</f>
        <v>9163</v>
      </c>
      <c r="E39">
        <f t="shared" si="3"/>
        <v>9846</v>
      </c>
      <c r="F39">
        <f t="shared" si="3"/>
        <v>10084</v>
      </c>
      <c r="G39">
        <f t="shared" si="3"/>
        <v>10198</v>
      </c>
      <c r="H39">
        <f t="shared" si="3"/>
        <v>9882</v>
      </c>
      <c r="I39">
        <f t="shared" si="3"/>
        <v>9467</v>
      </c>
      <c r="J39">
        <f t="shared" si="3"/>
        <v>9615</v>
      </c>
      <c r="K39">
        <f t="shared" si="3"/>
        <v>10887</v>
      </c>
      <c r="L39">
        <f t="shared" si="3"/>
        <v>9931</v>
      </c>
      <c r="M39">
        <f t="shared" si="3"/>
        <v>10196</v>
      </c>
      <c r="N39">
        <f t="shared" si="3"/>
        <v>11910</v>
      </c>
      <c r="O39">
        <f t="shared" si="2"/>
        <v>121789</v>
      </c>
    </row>
  </sheetData>
  <mergeCells count="1">
    <mergeCell ref="C21:R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41"/>
  <sheetViews>
    <sheetView topLeftCell="A10" workbookViewId="0">
      <selection activeCell="C35" sqref="C35"/>
    </sheetView>
  </sheetViews>
  <sheetFormatPr defaultRowHeight="12.75"/>
  <cols>
    <col min="2" max="2" width="22.5703125" customWidth="1"/>
  </cols>
  <sheetData>
    <row r="4" spans="2:3">
      <c r="B4" t="s">
        <v>3201</v>
      </c>
      <c r="C4" t="s">
        <v>4137</v>
      </c>
    </row>
    <row r="5" spans="2:3">
      <c r="B5" t="s">
        <v>563</v>
      </c>
      <c r="C5" s="520">
        <v>5362.78</v>
      </c>
    </row>
    <row r="6" spans="2:3">
      <c r="B6" t="s">
        <v>385</v>
      </c>
      <c r="C6" s="520">
        <v>1250</v>
      </c>
    </row>
    <row r="7" spans="2:3">
      <c r="B7" t="s">
        <v>564</v>
      </c>
      <c r="C7" s="520">
        <v>0</v>
      </c>
    </row>
    <row r="8" spans="2:3">
      <c r="B8" t="s">
        <v>264</v>
      </c>
      <c r="C8" s="520">
        <f>36.4+54.7+510.51+12.8+108.2</f>
        <v>722.61</v>
      </c>
    </row>
    <row r="9" spans="2:3">
      <c r="B9" t="s">
        <v>4151</v>
      </c>
      <c r="C9" s="520">
        <v>273.35000000000002</v>
      </c>
    </row>
    <row r="10" spans="2:3">
      <c r="B10" t="s">
        <v>500</v>
      </c>
      <c r="C10" s="520">
        <v>652.74</v>
      </c>
    </row>
    <row r="11" spans="2:3">
      <c r="B11" t="s">
        <v>325</v>
      </c>
      <c r="C11" s="520">
        <v>556.79999999999995</v>
      </c>
    </row>
    <row r="12" spans="2:3">
      <c r="B12" t="s">
        <v>4152</v>
      </c>
      <c r="C12" s="520">
        <v>0</v>
      </c>
    </row>
    <row r="13" spans="2:3">
      <c r="B13" t="s">
        <v>4153</v>
      </c>
      <c r="C13" s="520">
        <v>95.671999999999997</v>
      </c>
    </row>
    <row r="14" spans="2:3">
      <c r="B14" t="s">
        <v>4154</v>
      </c>
      <c r="C14" s="520">
        <f>144.34-95.672</f>
        <v>48.668000000000006</v>
      </c>
    </row>
    <row r="15" spans="2:3">
      <c r="B15" t="s">
        <v>4155</v>
      </c>
      <c r="C15" s="520">
        <v>122</v>
      </c>
    </row>
    <row r="16" spans="2:3">
      <c r="B16" t="s">
        <v>4156</v>
      </c>
      <c r="C16" s="520">
        <v>1363</v>
      </c>
    </row>
    <row r="17" spans="2:3">
      <c r="B17" t="s">
        <v>4157</v>
      </c>
      <c r="C17" s="520">
        <v>241.25</v>
      </c>
    </row>
    <row r="18" spans="2:3">
      <c r="B18" t="s">
        <v>2113</v>
      </c>
      <c r="C18" s="520">
        <v>529</v>
      </c>
    </row>
    <row r="19" spans="2:3">
      <c r="C19" s="520">
        <f>SUM(C5:C18)</f>
        <v>11217.869999999999</v>
      </c>
    </row>
    <row r="20" spans="2:3">
      <c r="B20" t="s">
        <v>4195</v>
      </c>
    </row>
    <row r="21" spans="2:3">
      <c r="B21" t="s">
        <v>563</v>
      </c>
      <c r="C21" s="520">
        <v>6155.27</v>
      </c>
    </row>
    <row r="22" spans="2:3">
      <c r="B22" t="s">
        <v>385</v>
      </c>
      <c r="C22" s="520">
        <v>891</v>
      </c>
    </row>
    <row r="23" spans="2:3">
      <c r="B23" t="s">
        <v>564</v>
      </c>
      <c r="C23" s="520">
        <v>35</v>
      </c>
    </row>
    <row r="24" spans="2:3">
      <c r="B24" t="s">
        <v>264</v>
      </c>
      <c r="C24" s="520">
        <v>823</v>
      </c>
    </row>
    <row r="25" spans="2:3">
      <c r="B25" t="s">
        <v>4151</v>
      </c>
      <c r="C25" s="520">
        <v>277</v>
      </c>
    </row>
    <row r="26" spans="2:3">
      <c r="B26" t="s">
        <v>500</v>
      </c>
      <c r="C26" s="520">
        <v>650.35</v>
      </c>
    </row>
    <row r="27" spans="2:3">
      <c r="B27" t="s">
        <v>325</v>
      </c>
      <c r="C27" s="520">
        <v>666.31299999999999</v>
      </c>
    </row>
    <row r="28" spans="2:3">
      <c r="B28" t="s">
        <v>4152</v>
      </c>
      <c r="C28" s="520">
        <v>3.64</v>
      </c>
    </row>
    <row r="29" spans="2:3">
      <c r="B29" t="s">
        <v>4153</v>
      </c>
      <c r="C29" s="520">
        <v>116.605</v>
      </c>
    </row>
    <row r="30" spans="2:3">
      <c r="B30" t="s">
        <v>4154</v>
      </c>
      <c r="C30" s="520">
        <f>195.375-116.605</f>
        <v>78.77</v>
      </c>
    </row>
    <row r="31" spans="2:3">
      <c r="B31" t="s">
        <v>4155</v>
      </c>
      <c r="C31" s="520">
        <v>412</v>
      </c>
    </row>
    <row r="32" spans="2:3">
      <c r="B32" t="s">
        <v>4156</v>
      </c>
      <c r="C32" s="520">
        <v>933</v>
      </c>
    </row>
    <row r="33" spans="2:13">
      <c r="B33" t="s">
        <v>4157</v>
      </c>
      <c r="C33" s="520">
        <v>416</v>
      </c>
    </row>
    <row r="34" spans="2:13">
      <c r="B34" t="s">
        <v>2113</v>
      </c>
      <c r="C34" s="520">
        <v>569</v>
      </c>
    </row>
    <row r="35" spans="2:13">
      <c r="C35" s="520">
        <f>SUM(C21:C34)</f>
        <v>12026.948</v>
      </c>
    </row>
    <row r="39" spans="2:13">
      <c r="M39">
        <v>11111.5</v>
      </c>
    </row>
    <row r="40" spans="2:13">
      <c r="M40">
        <v>12026.43</v>
      </c>
    </row>
    <row r="41" spans="2:13">
      <c r="M41">
        <f>+M40-M39</f>
        <v>914.93000000000029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7"/>
  <sheetViews>
    <sheetView zoomScaleSheetLayoutView="100" workbookViewId="0">
      <selection activeCell="E6" sqref="E6"/>
    </sheetView>
  </sheetViews>
  <sheetFormatPr defaultColWidth="9" defaultRowHeight="12.75"/>
  <cols>
    <col min="1" max="1" width="16.85546875" customWidth="1"/>
    <col min="2" max="2" width="31.140625" customWidth="1"/>
    <col min="3" max="3" width="10.7109375" customWidth="1"/>
    <col min="4" max="4" width="12.42578125" customWidth="1"/>
    <col min="5" max="5" width="14.140625" style="27" customWidth="1"/>
    <col min="6" max="6" width="12.28515625" customWidth="1"/>
    <col min="7" max="7" width="24" customWidth="1"/>
    <col min="8" max="8" width="11.42578125" customWidth="1"/>
    <col min="9" max="9" width="10.42578125" customWidth="1"/>
    <col min="10" max="10" width="10" customWidth="1"/>
    <col min="11" max="11" width="10.28515625" customWidth="1"/>
    <col min="12" max="12" width="14.85546875" customWidth="1"/>
    <col min="13" max="13" width="11.28515625" customWidth="1"/>
    <col min="14" max="14" width="10.42578125" customWidth="1"/>
    <col min="15" max="15" width="12.28515625" customWidth="1"/>
    <col min="16" max="16" width="11" customWidth="1"/>
    <col min="17" max="17" width="10" customWidth="1"/>
    <col min="18" max="18" width="12.5703125" customWidth="1"/>
    <col min="19" max="19" width="10.140625" customWidth="1"/>
    <col min="20" max="20" width="14.28515625" customWidth="1"/>
    <col min="21" max="21" width="13.140625" customWidth="1"/>
    <col min="22" max="22" width="11.85546875" customWidth="1"/>
    <col min="23" max="32" width="9.28515625" customWidth="1"/>
  </cols>
  <sheetData>
    <row r="1" spans="1:22">
      <c r="A1" s="2905" t="s">
        <v>767</v>
      </c>
      <c r="B1" s="2905"/>
      <c r="C1" s="2905"/>
      <c r="D1" s="2905"/>
      <c r="E1" s="2905"/>
      <c r="F1" s="2905"/>
      <c r="G1" s="2905"/>
    </row>
    <row r="3" spans="1:22" ht="15">
      <c r="A3" s="41" t="s">
        <v>768</v>
      </c>
      <c r="B3" s="41" t="s">
        <v>769</v>
      </c>
      <c r="C3" s="320" t="s">
        <v>37</v>
      </c>
      <c r="D3" s="2906" t="s">
        <v>770</v>
      </c>
      <c r="E3" s="2907"/>
      <c r="F3" s="106"/>
      <c r="G3" s="106"/>
      <c r="H3" s="103" t="s">
        <v>771</v>
      </c>
      <c r="I3" s="127"/>
      <c r="J3" s="354"/>
      <c r="Q3" s="1714" t="s">
        <v>59</v>
      </c>
      <c r="R3" s="27"/>
      <c r="S3" s="2908" t="s">
        <v>772</v>
      </c>
      <c r="T3" s="2908"/>
      <c r="U3" s="27"/>
      <c r="V3" s="27"/>
    </row>
    <row r="4" spans="1:22" ht="24" thickBot="1">
      <c r="A4" s="41"/>
      <c r="B4" s="41" t="s">
        <v>271</v>
      </c>
      <c r="C4" s="320" t="s">
        <v>773</v>
      </c>
      <c r="D4" s="40" t="s">
        <v>774</v>
      </c>
      <c r="E4" s="1661" t="s">
        <v>775</v>
      </c>
      <c r="F4" s="41" t="s">
        <v>773</v>
      </c>
      <c r="G4" s="1661" t="s">
        <v>776</v>
      </c>
      <c r="H4" s="1662">
        <v>44028</v>
      </c>
      <c r="I4" s="326" t="s">
        <v>777</v>
      </c>
      <c r="J4" s="1703" t="s">
        <v>778</v>
      </c>
      <c r="K4" s="718">
        <v>0</v>
      </c>
      <c r="P4">
        <f>+O4-N4</f>
        <v>0</v>
      </c>
      <c r="R4" s="27"/>
      <c r="S4" s="27"/>
      <c r="T4" s="27"/>
      <c r="U4" s="27"/>
      <c r="V4" s="27"/>
    </row>
    <row r="5" spans="1:22" ht="13.5" thickBot="1">
      <c r="A5" s="41" t="s">
        <v>779</v>
      </c>
      <c r="B5" s="41"/>
      <c r="C5" s="320"/>
      <c r="D5" s="775"/>
      <c r="E5" s="507"/>
      <c r="F5" s="1663"/>
      <c r="G5" s="18"/>
      <c r="I5" s="18"/>
      <c r="J5" s="24"/>
      <c r="R5" s="27"/>
      <c r="S5" s="27"/>
      <c r="T5" s="27"/>
      <c r="U5" s="27"/>
      <c r="V5" s="27"/>
    </row>
    <row r="6" spans="1:22" ht="18.75" thickBot="1">
      <c r="A6" s="13" t="s">
        <v>780</v>
      </c>
      <c r="B6" s="560">
        <v>7551</v>
      </c>
      <c r="C6" s="1664" t="e">
        <f>'DAILY FLASH'!#REF!</f>
        <v>#REF!</v>
      </c>
      <c r="D6" s="102">
        <f>'DAILY FLASH'!BC49</f>
        <v>9963.152</v>
      </c>
      <c r="E6" s="1968">
        <v>9657.2819999999992</v>
      </c>
      <c r="F6" s="1018">
        <f>D6-E6</f>
        <v>305.8700000000008</v>
      </c>
      <c r="G6" s="1665">
        <f>+H6+I6-J6</f>
        <v>14889.63</v>
      </c>
      <c r="H6" s="1665">
        <v>14634.421999999999</v>
      </c>
      <c r="I6" s="84">
        <f>'DAILY FLASH'!AG44</f>
        <v>10218.359999999999</v>
      </c>
      <c r="J6" s="96">
        <f>'DAILY FLASH'!BC49</f>
        <v>9963.152</v>
      </c>
      <c r="Q6" s="1714" t="s">
        <v>781</v>
      </c>
      <c r="R6" s="1687"/>
      <c r="S6" s="1687"/>
      <c r="T6" s="1687"/>
      <c r="U6" s="1687"/>
      <c r="V6" s="1687"/>
    </row>
    <row r="7" spans="1:22" ht="18.75" thickBot="1">
      <c r="A7" s="13" t="s">
        <v>256</v>
      </c>
      <c r="B7" s="560">
        <v>227</v>
      </c>
      <c r="C7" s="1664" t="e">
        <f>'DAILY FLASH'!#REF!</f>
        <v>#REF!</v>
      </c>
      <c r="D7" s="102">
        <f>'DAILY FLASH'!BC50</f>
        <v>146.06</v>
      </c>
      <c r="E7" s="1968">
        <v>146.06</v>
      </c>
      <c r="F7" s="1018">
        <f t="shared" ref="F7:F17" si="0">D7-E7</f>
        <v>0</v>
      </c>
      <c r="G7" s="1665">
        <f t="shared" ref="G7:G17" si="1">+H7+I7-J7</f>
        <v>383.13699999999966</v>
      </c>
      <c r="H7" s="1665">
        <v>330.10699999999974</v>
      </c>
      <c r="I7" s="84">
        <f>'DAILY FLASH'!AG45</f>
        <v>199.08999999999997</v>
      </c>
      <c r="J7" s="96">
        <f t="shared" ref="J7:J17" si="2">+D7</f>
        <v>146.06</v>
      </c>
      <c r="K7" s="1704"/>
      <c r="Q7" s="1714"/>
      <c r="R7" s="1687"/>
      <c r="S7" s="1687"/>
      <c r="T7" s="1687"/>
      <c r="U7" s="1687"/>
      <c r="V7" s="1687"/>
    </row>
    <row r="8" spans="1:22" ht="18.75" thickBot="1">
      <c r="A8" s="13" t="s">
        <v>643</v>
      </c>
      <c r="B8" s="560">
        <v>1729</v>
      </c>
      <c r="C8" s="1664" t="e">
        <f>'DAILY FLASH'!#REF!</f>
        <v>#REF!</v>
      </c>
      <c r="D8" s="102">
        <f>'DAILY FLASH'!BC52</f>
        <v>256.63499999999999</v>
      </c>
      <c r="E8" s="1968">
        <v>256.63499999999999</v>
      </c>
      <c r="F8" s="1018">
        <f t="shared" si="0"/>
        <v>0</v>
      </c>
      <c r="G8" s="1665">
        <f t="shared" si="1"/>
        <v>1957.7690000000023</v>
      </c>
      <c r="H8" s="1665">
        <v>1891.6040000000021</v>
      </c>
      <c r="I8" s="84">
        <f>'DAILY FLASH'!AG46</f>
        <v>322.8</v>
      </c>
      <c r="J8" s="96">
        <f t="shared" si="2"/>
        <v>256.63499999999999</v>
      </c>
      <c r="Q8" s="1673"/>
      <c r="R8" s="2909" t="s">
        <v>782</v>
      </c>
      <c r="S8" s="2910"/>
      <c r="T8" s="2910"/>
      <c r="U8" s="2910"/>
      <c r="V8" s="2911"/>
    </row>
    <row r="9" spans="1:22" ht="18.75" thickBot="1">
      <c r="A9" s="13" t="s">
        <v>257</v>
      </c>
      <c r="B9" s="560">
        <v>1775</v>
      </c>
      <c r="C9" s="1664" t="e">
        <f>'DAILY FLASH'!#REF!</f>
        <v>#REF!</v>
      </c>
      <c r="D9" s="102">
        <f>'DAILY FLASH'!BC54</f>
        <v>198.39699999999999</v>
      </c>
      <c r="E9" s="1968">
        <v>148.16299999999998</v>
      </c>
      <c r="F9" s="1018">
        <f t="shared" si="0"/>
        <v>50.234000000000009</v>
      </c>
      <c r="G9" s="1665">
        <f t="shared" si="1"/>
        <v>1239.4364999999998</v>
      </c>
      <c r="H9" s="1665">
        <v>1262.5564999999997</v>
      </c>
      <c r="I9" s="84">
        <f>'DAILY FLASH'!AG47</f>
        <v>175.27699999999996</v>
      </c>
      <c r="J9" s="96">
        <f t="shared" si="2"/>
        <v>198.39699999999999</v>
      </c>
      <c r="Q9" s="1678" t="s">
        <v>783</v>
      </c>
      <c r="R9" s="1679" t="s">
        <v>784</v>
      </c>
      <c r="S9" s="1676" t="s">
        <v>785</v>
      </c>
      <c r="T9" s="1680" t="s">
        <v>786</v>
      </c>
      <c r="U9" s="1680" t="s">
        <v>787</v>
      </c>
      <c r="V9" s="1681" t="s">
        <v>23</v>
      </c>
    </row>
    <row r="10" spans="1:22" ht="18.75" thickBot="1">
      <c r="A10" s="13" t="s">
        <v>153</v>
      </c>
      <c r="B10" s="560">
        <v>1413</v>
      </c>
      <c r="C10" s="1664" t="e">
        <f>'DAILY FLASH'!#REF!+'DAILY FLASH'!#REF!+'DAILY FLASH'!#REF!</f>
        <v>#REF!</v>
      </c>
      <c r="D10" s="102">
        <f>'DAILY FLASH'!BC55</f>
        <v>517.53600000000006</v>
      </c>
      <c r="E10" s="1968">
        <v>470.46000000000004</v>
      </c>
      <c r="F10" s="1018">
        <f t="shared" si="0"/>
        <v>47.076000000000022</v>
      </c>
      <c r="G10" s="1665">
        <f t="shared" si="1"/>
        <v>410.1029999999995</v>
      </c>
      <c r="H10" s="1665">
        <v>576.77899999999954</v>
      </c>
      <c r="I10" s="84">
        <f>'DAILY FLASH'!AG48</f>
        <v>350.86</v>
      </c>
      <c r="J10" s="96">
        <f t="shared" si="2"/>
        <v>517.53600000000006</v>
      </c>
      <c r="Q10" s="1682"/>
      <c r="R10" s="1686"/>
      <c r="S10" s="1687"/>
      <c r="T10" s="1686"/>
      <c r="U10" s="1686"/>
      <c r="V10" s="1685"/>
    </row>
    <row r="11" spans="1:22" ht="18.75" thickBot="1">
      <c r="A11" s="13" t="s">
        <v>335</v>
      </c>
      <c r="B11" s="560"/>
      <c r="C11" s="1664"/>
      <c r="D11" s="102">
        <v>0</v>
      </c>
      <c r="E11" s="1968">
        <v>0</v>
      </c>
      <c r="F11" s="1018">
        <f t="shared" si="0"/>
        <v>0</v>
      </c>
      <c r="G11" s="1665">
        <f t="shared" si="1"/>
        <v>125.23</v>
      </c>
      <c r="H11" s="1665">
        <v>125.23</v>
      </c>
      <c r="I11" s="84">
        <f>'DAILY FLASH'!AG49</f>
        <v>0</v>
      </c>
      <c r="J11" s="96">
        <f t="shared" si="2"/>
        <v>0</v>
      </c>
      <c r="Q11" s="1682"/>
      <c r="R11" s="1686"/>
      <c r="S11" s="1687"/>
      <c r="T11" s="1686"/>
      <c r="U11" s="1686"/>
      <c r="V11" s="1686"/>
    </row>
    <row r="12" spans="1:22" ht="18.75" thickBot="1">
      <c r="A12" s="314" t="s">
        <v>412</v>
      </c>
      <c r="B12" s="560"/>
      <c r="C12" s="1664"/>
      <c r="D12" s="102">
        <f>'DAILY FLASH'!BC57</f>
        <v>41.42</v>
      </c>
      <c r="E12" s="1968">
        <v>41.42</v>
      </c>
      <c r="F12" s="1018">
        <f t="shared" si="0"/>
        <v>0</v>
      </c>
      <c r="G12" s="1665">
        <f>+H12+I12-J12+8</f>
        <v>232.62700000000012</v>
      </c>
      <c r="H12" s="1665">
        <v>235.54700000000017</v>
      </c>
      <c r="I12" s="84">
        <f>'DAILY FLASH'!AN51</f>
        <v>30.5</v>
      </c>
      <c r="J12" s="96">
        <f t="shared" si="2"/>
        <v>41.42</v>
      </c>
      <c r="Q12" s="1682"/>
      <c r="R12" s="1686"/>
      <c r="S12" s="1687"/>
      <c r="T12" s="1686"/>
      <c r="U12" s="1686"/>
      <c r="V12" s="1686"/>
    </row>
    <row r="13" spans="1:22" ht="18.75" thickBot="1">
      <c r="A13" s="314" t="s">
        <v>788</v>
      </c>
      <c r="B13" s="560"/>
      <c r="C13" s="1664"/>
      <c r="D13" s="102">
        <v>0</v>
      </c>
      <c r="E13" s="1968">
        <v>0</v>
      </c>
      <c r="F13" s="1018">
        <f t="shared" si="0"/>
        <v>0</v>
      </c>
      <c r="G13" s="1665">
        <f>+H13+I13-J13</f>
        <v>410.1029999999995</v>
      </c>
      <c r="H13" s="1665">
        <v>576.77899999999954</v>
      </c>
      <c r="I13" s="84">
        <f>'DAILY FLASH'!AG48</f>
        <v>350.86</v>
      </c>
      <c r="J13" s="96">
        <f>'DAILY FLASH'!BC55</f>
        <v>517.53600000000006</v>
      </c>
      <c r="L13">
        <f>17232-16094</f>
        <v>1138</v>
      </c>
      <c r="Q13" s="1682"/>
      <c r="R13" s="1686"/>
      <c r="S13" s="1687"/>
      <c r="T13" s="1686"/>
      <c r="U13" s="1686"/>
      <c r="V13" s="1686"/>
    </row>
    <row r="14" spans="1:22" ht="18.75" thickBot="1">
      <c r="A14" s="13" t="s">
        <v>667</v>
      </c>
      <c r="B14" s="560"/>
      <c r="C14" s="1664"/>
      <c r="D14" s="102">
        <v>0</v>
      </c>
      <c r="E14" s="1968">
        <v>0</v>
      </c>
      <c r="F14" s="1018">
        <f t="shared" si="0"/>
        <v>0</v>
      </c>
      <c r="G14" s="1665">
        <f t="shared" si="1"/>
        <v>0</v>
      </c>
      <c r="H14" s="1665">
        <v>0</v>
      </c>
      <c r="I14" s="84">
        <f>'DAILY FLASH'!AN54</f>
        <v>0</v>
      </c>
      <c r="J14" s="96">
        <f t="shared" si="2"/>
        <v>0</v>
      </c>
      <c r="Q14" s="1682"/>
      <c r="R14" s="1686"/>
      <c r="S14" s="1687"/>
      <c r="T14" s="1686"/>
      <c r="U14" s="1686"/>
      <c r="V14" s="1686"/>
    </row>
    <row r="15" spans="1:22" ht="18.75" thickBot="1">
      <c r="A15" s="13" t="s">
        <v>789</v>
      </c>
      <c r="B15" s="560"/>
      <c r="C15" s="1664"/>
      <c r="D15" s="102">
        <v>0</v>
      </c>
      <c r="E15" s="1968">
        <v>0</v>
      </c>
      <c r="F15" s="1018">
        <f t="shared" si="0"/>
        <v>0</v>
      </c>
      <c r="G15" s="1665">
        <f t="shared" si="1"/>
        <v>0</v>
      </c>
      <c r="H15" s="1665">
        <v>0</v>
      </c>
      <c r="I15" s="84">
        <v>0</v>
      </c>
      <c r="J15" s="96">
        <f t="shared" si="2"/>
        <v>0</v>
      </c>
      <c r="Q15" s="1682"/>
      <c r="R15" s="1686"/>
      <c r="S15" s="1687"/>
      <c r="T15" s="1686"/>
      <c r="U15" s="1686"/>
      <c r="V15" s="1686"/>
    </row>
    <row r="16" spans="1:22" ht="18.75" thickBot="1">
      <c r="A16" s="13" t="s">
        <v>672</v>
      </c>
      <c r="B16" s="560"/>
      <c r="C16" s="1664"/>
      <c r="D16" s="102">
        <v>0</v>
      </c>
      <c r="E16" s="1968">
        <v>0</v>
      </c>
      <c r="F16" s="1018">
        <f t="shared" si="0"/>
        <v>0</v>
      </c>
      <c r="G16" s="1665">
        <f t="shared" si="1"/>
        <v>184.14099999999999</v>
      </c>
      <c r="H16" s="1665">
        <v>184.14099999999999</v>
      </c>
      <c r="I16" s="84">
        <f>'DAILY FLASH'!AG54</f>
        <v>0</v>
      </c>
      <c r="J16" s="96">
        <f t="shared" si="2"/>
        <v>0</v>
      </c>
      <c r="Q16" s="1682"/>
      <c r="R16" s="1686"/>
      <c r="S16" s="1687"/>
      <c r="T16" s="1686"/>
      <c r="U16" s="1686"/>
      <c r="V16" s="1686"/>
    </row>
    <row r="17" spans="1:22" ht="18.75" thickBot="1">
      <c r="A17" s="13" t="s">
        <v>80</v>
      </c>
      <c r="B17" s="560"/>
      <c r="C17" s="1664"/>
      <c r="D17" s="1666">
        <f>'DAILY FLASH'!BC59</f>
        <v>50.08</v>
      </c>
      <c r="E17" s="1968">
        <v>50.08</v>
      </c>
      <c r="F17" s="1018">
        <f t="shared" si="0"/>
        <v>0</v>
      </c>
      <c r="G17" s="1665">
        <f t="shared" si="1"/>
        <v>656.51899999999898</v>
      </c>
      <c r="H17" s="1665">
        <v>601.29899999999907</v>
      </c>
      <c r="I17" s="84">
        <f>'DAILY FLASH'!AG55</f>
        <v>105.3</v>
      </c>
      <c r="J17" s="96">
        <f t="shared" si="2"/>
        <v>50.08</v>
      </c>
      <c r="Q17" s="1682" t="s">
        <v>255</v>
      </c>
      <c r="R17" s="1683">
        <f>4970+222-218-115.25+259+253-174-8+222-167-221+202+270-46-43+234-123+300+302-2917-142+138</f>
        <v>3197.75</v>
      </c>
      <c r="S17" s="1684">
        <f>1114-85+32</f>
        <v>1061</v>
      </c>
      <c r="T17" s="1686"/>
      <c r="U17" s="1683">
        <f>1212-1-40</f>
        <v>1171</v>
      </c>
      <c r="V17" s="1683">
        <f>SUM(R17:U17)</f>
        <v>5429.75</v>
      </c>
    </row>
    <row r="18" spans="1:22" ht="15.75" thickBot="1">
      <c r="A18" s="1667" t="s">
        <v>23</v>
      </c>
      <c r="B18" s="1668">
        <f>SUM(B6:B10)</f>
        <v>12695</v>
      </c>
      <c r="C18" s="1669" t="e">
        <f>SUM(C6:C10)</f>
        <v>#REF!</v>
      </c>
      <c r="D18" s="1670">
        <f>SUM(D6:D17)</f>
        <v>11173.28</v>
      </c>
      <c r="E18" s="1670">
        <f>SUM(E6:E17)</f>
        <v>10770.099999999999</v>
      </c>
      <c r="F18" s="1671">
        <f>SUM(F6:F17)</f>
        <v>403.18000000000086</v>
      </c>
      <c r="G18" s="1672">
        <f>SUM(G6:G17)-G10</f>
        <v>20078.592499999999</v>
      </c>
      <c r="H18" s="1672">
        <f>SUM(H6:H17)-H10</f>
        <v>19841.685499999996</v>
      </c>
      <c r="I18" s="1014">
        <f>SUM(I6:I17)</f>
        <v>11753.046999999999</v>
      </c>
      <c r="J18" s="1668">
        <f>SUM(J6:J17)</f>
        <v>11690.816000000001</v>
      </c>
      <c r="Q18" s="1682"/>
      <c r="R18" s="1686"/>
      <c r="S18" s="1687"/>
      <c r="T18" s="1686"/>
      <c r="U18" s="1686"/>
      <c r="V18" s="1683"/>
    </row>
    <row r="19" spans="1:22" ht="15.75" thickBot="1">
      <c r="D19" s="7"/>
      <c r="E19" s="424" t="s">
        <v>271</v>
      </c>
      <c r="F19" s="8"/>
      <c r="G19" s="8"/>
      <c r="H19" s="1311" t="s">
        <v>271</v>
      </c>
      <c r="J19" s="1668"/>
      <c r="Q19" s="1682" t="s">
        <v>256</v>
      </c>
      <c r="R19" s="1686"/>
      <c r="S19" s="1684">
        <f>232-20</f>
        <v>212</v>
      </c>
      <c r="T19" s="1686"/>
      <c r="U19" s="1686">
        <v>21</v>
      </c>
      <c r="V19" s="1683">
        <f>SUM(R19:U19)</f>
        <v>233</v>
      </c>
    </row>
    <row r="20" spans="1:22" ht="15">
      <c r="E20" s="27">
        <f>SUM(E6:E18)</f>
        <v>21540.199999999997</v>
      </c>
      <c r="Q20" s="1682"/>
      <c r="R20" s="1686"/>
      <c r="S20" s="1687"/>
      <c r="T20" s="1686"/>
      <c r="U20" s="1686"/>
      <c r="V20" s="1683"/>
    </row>
    <row r="21" spans="1:22" ht="15">
      <c r="D21" s="126" t="s">
        <v>3879</v>
      </c>
      <c r="E21" s="27" t="s">
        <v>3880</v>
      </c>
      <c r="K21" s="126"/>
      <c r="Q21" s="1682"/>
      <c r="R21" s="1686"/>
      <c r="S21" s="1687"/>
      <c r="T21" s="1686"/>
      <c r="U21" s="1686"/>
      <c r="V21" s="1683">
        <f>SUM(R21:U21)</f>
        <v>0</v>
      </c>
    </row>
    <row r="22" spans="1:22" ht="15">
      <c r="Q22" s="1682"/>
      <c r="R22" s="1686"/>
      <c r="S22" s="1687"/>
      <c r="T22" s="1686"/>
      <c r="U22" s="1686"/>
      <c r="V22" s="1683"/>
    </row>
    <row r="23" spans="1:22" ht="15">
      <c r="Q23" s="1682"/>
      <c r="R23" s="1686"/>
      <c r="S23" s="1687"/>
      <c r="T23" s="1683"/>
      <c r="U23" s="1683"/>
      <c r="V23" s="1683">
        <f>SUM(R23:U23)</f>
        <v>0</v>
      </c>
    </row>
    <row r="24" spans="1:22" ht="15">
      <c r="B24" s="84"/>
      <c r="C24" s="84"/>
      <c r="D24" s="84"/>
      <c r="H24" s="84"/>
      <c r="L24" s="84"/>
      <c r="Q24" s="1682"/>
      <c r="R24" s="1686"/>
      <c r="S24" s="1687"/>
      <c r="T24" s="1686"/>
      <c r="U24" s="1686"/>
      <c r="V24" s="1683"/>
    </row>
    <row r="25" spans="1:22" ht="15">
      <c r="A25" s="1673" t="s">
        <v>790</v>
      </c>
      <c r="B25" s="1674"/>
      <c r="C25" s="1675"/>
      <c r="D25" s="1675"/>
      <c r="E25" s="1676"/>
      <c r="F25" s="1677"/>
      <c r="Q25" s="1682"/>
      <c r="R25" s="1686"/>
      <c r="S25" s="1687"/>
      <c r="T25" s="1686"/>
      <c r="U25" s="1686"/>
      <c r="V25" s="1683">
        <f>SUM(R25:U25)</f>
        <v>0</v>
      </c>
    </row>
    <row r="26" spans="1:22" ht="15">
      <c r="A26" s="1678"/>
      <c r="B26" s="1679" t="s">
        <v>791</v>
      </c>
      <c r="C26" s="1676" t="s">
        <v>29</v>
      </c>
      <c r="D26" s="1680" t="s">
        <v>30</v>
      </c>
      <c r="E26" s="1680" t="s">
        <v>31</v>
      </c>
      <c r="F26" s="1681" t="s">
        <v>32</v>
      </c>
      <c r="G26" s="1679" t="s">
        <v>33</v>
      </c>
      <c r="H26" s="1676" t="s">
        <v>34</v>
      </c>
      <c r="I26" s="1680" t="s">
        <v>40</v>
      </c>
      <c r="N26" s="1680" t="s">
        <v>792</v>
      </c>
      <c r="O26" s="1681" t="s">
        <v>141</v>
      </c>
      <c r="P26" s="1679" t="s">
        <v>292</v>
      </c>
      <c r="Q26" s="1676" t="s">
        <v>793</v>
      </c>
      <c r="R26" s="1686"/>
      <c r="S26" s="1687"/>
      <c r="T26" s="1686"/>
      <c r="U26" s="1686"/>
      <c r="V26" s="1683"/>
    </row>
    <row r="27" spans="1:22" ht="15">
      <c r="A27" s="1682" t="s">
        <v>255</v>
      </c>
      <c r="B27" s="1683">
        <v>75524</v>
      </c>
      <c r="C27" s="1684">
        <f>83006+333</f>
        <v>83339</v>
      </c>
      <c r="D27" s="1683">
        <v>92912</v>
      </c>
      <c r="E27" s="1683">
        <v>86622</v>
      </c>
      <c r="F27" s="1685">
        <v>92716</v>
      </c>
      <c r="G27" s="1686">
        <v>82253</v>
      </c>
      <c r="H27" s="1687">
        <v>71051</v>
      </c>
      <c r="I27" s="1686">
        <v>70879</v>
      </c>
      <c r="J27" s="1686">
        <f>89073-20678+14</f>
        <v>68409</v>
      </c>
      <c r="N27" s="1686">
        <f>11450.1+1792.267+26.461</f>
        <v>13268.828</v>
      </c>
      <c r="O27" s="1685">
        <v>13820.904</v>
      </c>
      <c r="P27" s="1686">
        <v>15354.029</v>
      </c>
      <c r="Q27" s="1687">
        <f t="shared" ref="Q27:Q32" si="3">+N27+O27-P27</f>
        <v>11735.703</v>
      </c>
      <c r="R27" s="1689"/>
      <c r="S27" s="1692"/>
      <c r="T27" s="1689"/>
      <c r="U27" s="1689"/>
      <c r="V27" s="1689">
        <f>SUM(V17:V25)</f>
        <v>5662.75</v>
      </c>
    </row>
    <row r="28" spans="1:22" ht="15">
      <c r="A28" s="1682" t="s">
        <v>256</v>
      </c>
      <c r="B28" s="1683">
        <v>1238</v>
      </c>
      <c r="C28" s="1684">
        <v>761</v>
      </c>
      <c r="D28" s="1683">
        <v>1027</v>
      </c>
      <c r="E28" s="1683">
        <v>457</v>
      </c>
      <c r="F28" s="1686">
        <v>335</v>
      </c>
      <c r="G28" s="1683">
        <v>799</v>
      </c>
      <c r="H28" s="1687">
        <v>263</v>
      </c>
      <c r="I28" s="1686">
        <v>674</v>
      </c>
      <c r="J28" s="1705">
        <v>699.61099999999999</v>
      </c>
      <c r="N28" s="1686">
        <v>337.17700000000002</v>
      </c>
      <c r="O28" s="1686">
        <v>13.29</v>
      </c>
      <c r="P28" s="1686">
        <v>29.04</v>
      </c>
      <c r="Q28" s="1687">
        <f t="shared" si="3"/>
        <v>321.42700000000002</v>
      </c>
    </row>
    <row r="29" spans="1:22" ht="15">
      <c r="A29" s="1682" t="s">
        <v>643</v>
      </c>
      <c r="B29" s="1683">
        <v>3731</v>
      </c>
      <c r="C29" s="1684">
        <v>3737</v>
      </c>
      <c r="D29" s="1683">
        <v>4283</v>
      </c>
      <c r="E29" s="1683">
        <v>4558</v>
      </c>
      <c r="F29" s="1686">
        <v>5477</v>
      </c>
      <c r="G29" s="1686">
        <v>4330</v>
      </c>
      <c r="H29" s="1687">
        <v>4350</v>
      </c>
      <c r="I29" s="1686">
        <f>3069+531</f>
        <v>3600</v>
      </c>
      <c r="J29" s="1705">
        <v>4150.2290000000003</v>
      </c>
      <c r="N29" s="1686">
        <v>1497.0550000000001</v>
      </c>
      <c r="O29" s="1686">
        <v>705.43</v>
      </c>
      <c r="P29" s="1686">
        <v>898.255</v>
      </c>
      <c r="Q29" s="1687">
        <f t="shared" si="3"/>
        <v>1304.23</v>
      </c>
    </row>
    <row r="30" spans="1:22" ht="15">
      <c r="A30" s="1682" t="s">
        <v>257</v>
      </c>
      <c r="B30" s="1683">
        <v>1831</v>
      </c>
      <c r="C30" s="1684">
        <v>1809</v>
      </c>
      <c r="D30" s="1683">
        <v>1467</v>
      </c>
      <c r="E30" s="1683">
        <v>1428</v>
      </c>
      <c r="F30" s="1686">
        <v>1663</v>
      </c>
      <c r="G30" s="1686">
        <v>1500</v>
      </c>
      <c r="H30" s="1687">
        <v>1303</v>
      </c>
      <c r="I30" s="1686">
        <v>1661</v>
      </c>
      <c r="J30" s="1706">
        <v>1735.0719999999999</v>
      </c>
      <c r="N30" s="1686">
        <v>1014.131</v>
      </c>
      <c r="O30" s="1686">
        <v>41.024000000000001</v>
      </c>
      <c r="P30" s="1686">
        <v>87.424999999999997</v>
      </c>
      <c r="Q30" s="1687">
        <f t="shared" si="3"/>
        <v>967.73</v>
      </c>
    </row>
    <row r="31" spans="1:22" ht="15">
      <c r="A31" s="1682" t="s">
        <v>265</v>
      </c>
      <c r="B31" s="1683">
        <v>3832</v>
      </c>
      <c r="C31" s="1684">
        <v>1692</v>
      </c>
      <c r="D31" s="1683">
        <f>1689+73</f>
        <v>1762</v>
      </c>
      <c r="E31" s="1683">
        <f>2411+392</f>
        <v>2803</v>
      </c>
      <c r="F31" s="1686">
        <f>2250+42</f>
        <v>2292</v>
      </c>
      <c r="G31" s="1686">
        <v>3500</v>
      </c>
      <c r="H31" s="1687">
        <v>2278</v>
      </c>
      <c r="I31" s="1686">
        <f>1383+199</f>
        <v>1582</v>
      </c>
      <c r="J31" s="1706">
        <v>1948.5</v>
      </c>
      <c r="N31" s="1686">
        <v>364.73</v>
      </c>
      <c r="O31" s="1686">
        <v>1062.1500000000001</v>
      </c>
      <c r="P31" s="1686">
        <v>1088.94</v>
      </c>
      <c r="Q31" s="1687">
        <f t="shared" si="3"/>
        <v>337.94000000000005</v>
      </c>
    </row>
    <row r="32" spans="1:22" ht="15">
      <c r="A32" s="1682" t="s">
        <v>153</v>
      </c>
      <c r="B32" s="1683">
        <v>93889</v>
      </c>
      <c r="C32" s="1684">
        <v>111575</v>
      </c>
      <c r="D32" s="1683">
        <v>82709</v>
      </c>
      <c r="E32" s="1683">
        <v>27572</v>
      </c>
      <c r="F32" s="1683">
        <v>9325</v>
      </c>
      <c r="G32" s="1686">
        <v>1811</v>
      </c>
      <c r="H32" s="1687">
        <v>3233</v>
      </c>
      <c r="I32" s="1683">
        <f>4689.637-1009.76</f>
        <v>3679.8769999999995</v>
      </c>
      <c r="J32" s="1707">
        <f>11521.395+623.525-8094.635</f>
        <v>4050.2849999999999</v>
      </c>
      <c r="N32" s="1686">
        <v>1381.124</v>
      </c>
      <c r="O32" s="1708">
        <v>600.12900000000002</v>
      </c>
      <c r="P32" s="1686">
        <v>595.52</v>
      </c>
      <c r="Q32" s="1687">
        <f t="shared" si="3"/>
        <v>1385.7330000000002</v>
      </c>
    </row>
    <row r="33" spans="1:20" ht="15">
      <c r="A33" s="1682" t="s">
        <v>794</v>
      </c>
      <c r="B33" s="1683">
        <v>0</v>
      </c>
      <c r="C33" s="1684"/>
      <c r="D33" s="1683">
        <v>324</v>
      </c>
      <c r="E33" s="1683">
        <v>2954</v>
      </c>
      <c r="F33" s="1686">
        <v>2538</v>
      </c>
      <c r="G33" s="1686">
        <v>1771</v>
      </c>
      <c r="H33" s="1687"/>
      <c r="I33" s="1683">
        <v>1009.78</v>
      </c>
      <c r="J33" s="1707">
        <f>8041.755+52.88</f>
        <v>8094.6350000000002</v>
      </c>
      <c r="N33" s="1686">
        <f>SUM(N27:N32)</f>
        <v>17863.044999999998</v>
      </c>
      <c r="O33" s="1686">
        <f>SUM(O27:O32)</f>
        <v>16242.927000000001</v>
      </c>
      <c r="P33" s="1686">
        <f>SUM(P27:P32)</f>
        <v>18053.208999999999</v>
      </c>
      <c r="Q33" s="1686">
        <f>SUM(Q27:Q32)</f>
        <v>16052.762999999999</v>
      </c>
    </row>
    <row r="34" spans="1:20" ht="15">
      <c r="A34" s="1682" t="s">
        <v>23</v>
      </c>
      <c r="B34" s="1683">
        <f t="shared" ref="B34:J34" si="4">SUM(B27:B33)</f>
        <v>180045</v>
      </c>
      <c r="C34" s="1683">
        <f t="shared" si="4"/>
        <v>202913</v>
      </c>
      <c r="D34" s="1683">
        <f t="shared" si="4"/>
        <v>184484</v>
      </c>
      <c r="E34" s="1683">
        <f t="shared" si="4"/>
        <v>126394</v>
      </c>
      <c r="F34" s="1683">
        <f t="shared" si="4"/>
        <v>114346</v>
      </c>
      <c r="G34" s="1683">
        <f t="shared" si="4"/>
        <v>95964</v>
      </c>
      <c r="H34" s="1683">
        <f t="shared" si="4"/>
        <v>82478</v>
      </c>
      <c r="I34" s="1683">
        <f t="shared" si="4"/>
        <v>83085.656999999992</v>
      </c>
      <c r="J34" s="1683">
        <f t="shared" si="4"/>
        <v>89087.332000000009</v>
      </c>
      <c r="L34" s="1686"/>
      <c r="M34" s="1686"/>
      <c r="N34" s="1686"/>
      <c r="O34" s="1709"/>
      <c r="P34" s="1686"/>
    </row>
    <row r="35" spans="1:20" ht="15">
      <c r="A35" s="1682"/>
      <c r="B35" s="1686"/>
      <c r="C35" s="1687"/>
      <c r="D35" s="1686"/>
      <c r="E35" s="1686"/>
      <c r="F35" s="1686"/>
      <c r="G35" s="1686"/>
      <c r="H35" s="1687"/>
      <c r="I35" s="1686"/>
      <c r="L35" s="1686"/>
      <c r="M35" s="1686"/>
      <c r="N35" s="1686"/>
      <c r="O35" s="1687"/>
      <c r="P35" s="1686"/>
    </row>
    <row r="36" spans="1:20" ht="15">
      <c r="A36" s="1682"/>
      <c r="B36" s="1683"/>
      <c r="C36" s="1687"/>
      <c r="D36" s="1686"/>
      <c r="E36" s="1686"/>
      <c r="F36" s="1686"/>
      <c r="G36" s="1683"/>
      <c r="H36" s="1687"/>
      <c r="I36" s="1686"/>
      <c r="L36" s="1686"/>
      <c r="M36" s="1686"/>
      <c r="N36" s="1686"/>
      <c r="O36" s="1709"/>
      <c r="P36" s="1686"/>
    </row>
    <row r="37" spans="1:20" ht="15">
      <c r="A37" s="1682"/>
      <c r="B37" s="1686"/>
      <c r="C37" s="1687"/>
      <c r="D37" s="1686"/>
      <c r="E37" s="1686"/>
      <c r="F37" s="1686"/>
      <c r="G37" s="1686"/>
      <c r="H37" s="1687"/>
      <c r="I37" s="1686"/>
      <c r="L37" s="1686"/>
      <c r="M37" s="1686"/>
      <c r="N37" s="1686"/>
      <c r="O37" s="1687"/>
      <c r="P37" s="1686"/>
    </row>
    <row r="38" spans="1:20" ht="15">
      <c r="A38" s="1688"/>
      <c r="B38" s="1689"/>
      <c r="C38" s="1690"/>
      <c r="D38" s="1691"/>
      <c r="E38" s="1691"/>
      <c r="F38" s="1691"/>
      <c r="G38" s="1691"/>
      <c r="H38" s="1692"/>
      <c r="I38" s="1691"/>
      <c r="J38" s="1689"/>
      <c r="K38" s="1710"/>
      <c r="L38" s="1691"/>
      <c r="M38" s="1690"/>
      <c r="N38" s="1700"/>
      <c r="O38" s="1691"/>
      <c r="P38" s="1691"/>
    </row>
    <row r="40" spans="1:20" ht="15">
      <c r="A40" s="1693" t="s">
        <v>795</v>
      </c>
      <c r="B40" s="1694"/>
      <c r="C40" s="1695"/>
      <c r="D40" s="1695"/>
      <c r="E40" s="1696"/>
      <c r="F40" s="1697"/>
    </row>
    <row r="41" spans="1:20" ht="15">
      <c r="A41" s="1698"/>
      <c r="B41" s="1679" t="s">
        <v>791</v>
      </c>
      <c r="C41" s="1676" t="s">
        <v>29</v>
      </c>
      <c r="D41" s="1680" t="s">
        <v>30</v>
      </c>
      <c r="E41" s="1680" t="s">
        <v>31</v>
      </c>
      <c r="F41" s="1681" t="s">
        <v>32</v>
      </c>
      <c r="G41" s="1679" t="s">
        <v>33</v>
      </c>
      <c r="H41" s="1676" t="s">
        <v>34</v>
      </c>
      <c r="I41" s="1680" t="s">
        <v>40</v>
      </c>
      <c r="J41" s="1686" t="s">
        <v>41</v>
      </c>
      <c r="N41" s="1711">
        <v>43556</v>
      </c>
      <c r="O41" s="1686" t="s">
        <v>141</v>
      </c>
      <c r="P41" s="1686" t="s">
        <v>292</v>
      </c>
      <c r="Q41" s="1713">
        <v>43922</v>
      </c>
      <c r="R41" s="1709" t="s">
        <v>141</v>
      </c>
      <c r="S41" s="1709" t="s">
        <v>292</v>
      </c>
      <c r="T41" s="287">
        <v>44013</v>
      </c>
    </row>
    <row r="42" spans="1:20" ht="15">
      <c r="A42" s="1682" t="s">
        <v>255</v>
      </c>
      <c r="B42" s="1683">
        <v>75796</v>
      </c>
      <c r="C42" s="1683">
        <v>80079</v>
      </c>
      <c r="D42" s="1683">
        <v>96892</v>
      </c>
      <c r="E42" s="1683">
        <v>85834</v>
      </c>
      <c r="F42" s="1683">
        <v>87135</v>
      </c>
      <c r="G42" s="1683">
        <v>82533</v>
      </c>
      <c r="H42" s="1683">
        <v>66368</v>
      </c>
      <c r="I42" s="1683">
        <v>68523</v>
      </c>
      <c r="J42" s="1683">
        <v>74455</v>
      </c>
      <c r="N42" s="595">
        <f>11450.1+1792.267+26.461</f>
        <v>13268.828</v>
      </c>
      <c r="O42" s="1712">
        <v>92793.599000000002</v>
      </c>
      <c r="P42" s="1712">
        <v>88459.126999999993</v>
      </c>
      <c r="Q42" s="540">
        <f t="shared" ref="Q42:Q47" si="5">+N42+O42-P42</f>
        <v>17603.300000000003</v>
      </c>
      <c r="R42" s="1684">
        <v>5119.0069999999996</v>
      </c>
      <c r="S42" s="540">
        <v>6935.9279999999999</v>
      </c>
      <c r="T42" s="595">
        <f t="shared" ref="T42:T47" si="6">+Q42+R42-S42</f>
        <v>15786.379000000001</v>
      </c>
    </row>
    <row r="43" spans="1:20" ht="15">
      <c r="A43" s="1682" t="s">
        <v>256</v>
      </c>
      <c r="B43" s="1683">
        <v>1377</v>
      </c>
      <c r="C43" s="1683">
        <v>863</v>
      </c>
      <c r="D43" s="1683">
        <v>830</v>
      </c>
      <c r="E43" s="1683">
        <v>560</v>
      </c>
      <c r="F43" s="1683">
        <v>240</v>
      </c>
      <c r="G43" s="1683">
        <v>834</v>
      </c>
      <c r="H43" s="1683">
        <v>281</v>
      </c>
      <c r="I43" s="1683">
        <v>598</v>
      </c>
      <c r="J43" s="1683">
        <v>749.27499999999998</v>
      </c>
      <c r="N43" s="1683">
        <v>337.17700000000002</v>
      </c>
      <c r="O43" s="472">
        <v>216.44</v>
      </c>
      <c r="P43" s="1712">
        <v>236.92</v>
      </c>
      <c r="Q43" s="540">
        <f t="shared" si="5"/>
        <v>316.697</v>
      </c>
      <c r="S43" s="540">
        <v>4.9800000000000004</v>
      </c>
      <c r="T43" s="595">
        <f t="shared" si="6"/>
        <v>311.71699999999998</v>
      </c>
    </row>
    <row r="44" spans="1:20" ht="15">
      <c r="A44" s="1682" t="s">
        <v>643</v>
      </c>
      <c r="B44" s="1683">
        <v>3761</v>
      </c>
      <c r="C44" s="1683">
        <v>4083</v>
      </c>
      <c r="D44" s="1683">
        <v>4349</v>
      </c>
      <c r="E44" s="1683">
        <v>4521</v>
      </c>
      <c r="F44" s="1683">
        <v>4991</v>
      </c>
      <c r="G44" s="1683">
        <v>4557</v>
      </c>
      <c r="H44" s="1683">
        <v>4095</v>
      </c>
      <c r="I44" s="1683">
        <v>3403.5</v>
      </c>
      <c r="J44" s="1683">
        <v>3951.5590000000002</v>
      </c>
      <c r="N44" s="1683">
        <v>1497.0550000000001</v>
      </c>
      <c r="O44" s="1683">
        <v>5177.3239999999996</v>
      </c>
      <c r="P44" s="1683">
        <v>4629.5879999999997</v>
      </c>
      <c r="Q44" s="540">
        <f t="shared" si="5"/>
        <v>2044.7910000000002</v>
      </c>
      <c r="R44" s="1712">
        <v>480.51</v>
      </c>
      <c r="S44" s="1684">
        <v>408.012</v>
      </c>
      <c r="T44" s="595">
        <f t="shared" si="6"/>
        <v>2117.2890000000002</v>
      </c>
    </row>
    <row r="45" spans="1:20" ht="15">
      <c r="A45" s="1682" t="s">
        <v>257</v>
      </c>
      <c r="B45" s="1683">
        <v>1750</v>
      </c>
      <c r="C45" s="1683">
        <v>1638</v>
      </c>
      <c r="D45" s="1683">
        <v>1437</v>
      </c>
      <c r="E45" s="1683">
        <v>1471</v>
      </c>
      <c r="F45" s="1683">
        <v>1647</v>
      </c>
      <c r="G45" s="1683">
        <v>1576</v>
      </c>
      <c r="H45" s="1683">
        <v>1315</v>
      </c>
      <c r="I45" s="1683">
        <v>1517</v>
      </c>
      <c r="J45" s="1684">
        <v>1624.335</v>
      </c>
      <c r="N45" s="1683">
        <v>1014.131</v>
      </c>
      <c r="O45" s="1683">
        <v>1124.21</v>
      </c>
      <c r="P45" s="1684">
        <v>1185.0050000000001</v>
      </c>
      <c r="Q45" s="540">
        <f t="shared" si="5"/>
        <v>953.33599999999979</v>
      </c>
      <c r="R45" s="1684">
        <v>177.28700000000001</v>
      </c>
      <c r="S45" s="1684">
        <v>142.55000000000001</v>
      </c>
      <c r="T45" s="595">
        <f t="shared" si="6"/>
        <v>988.07299999999987</v>
      </c>
    </row>
    <row r="46" spans="1:20" ht="15">
      <c r="A46" s="1682" t="s">
        <v>265</v>
      </c>
      <c r="B46" s="1683">
        <v>3786</v>
      </c>
      <c r="C46" s="1683">
        <v>1641</v>
      </c>
      <c r="D46" s="1683">
        <v>1838</v>
      </c>
      <c r="E46" s="1683">
        <v>2628</v>
      </c>
      <c r="F46" s="1683">
        <v>2142</v>
      </c>
      <c r="G46" s="1683">
        <v>3455</v>
      </c>
      <c r="H46" s="1683">
        <v>1986</v>
      </c>
      <c r="I46" s="1683">
        <f>1556+159</f>
        <v>1715</v>
      </c>
      <c r="J46">
        <v>11647.118</v>
      </c>
      <c r="N46" s="1712">
        <v>364.73</v>
      </c>
      <c r="O46" s="1712">
        <v>2038.05</v>
      </c>
      <c r="P46" s="1684">
        <v>2227.66</v>
      </c>
      <c r="Q46" s="540">
        <f t="shared" si="5"/>
        <v>175.11999999999989</v>
      </c>
      <c r="R46" s="1684">
        <v>612</v>
      </c>
      <c r="S46" s="1684">
        <v>588.70000000000005</v>
      </c>
      <c r="T46" s="595">
        <f t="shared" si="6"/>
        <v>198.41999999999985</v>
      </c>
    </row>
    <row r="47" spans="1:20" ht="15">
      <c r="A47" s="1682" t="s">
        <v>153</v>
      </c>
      <c r="B47" s="1683">
        <v>93592</v>
      </c>
      <c r="C47" s="1683">
        <v>112225</v>
      </c>
      <c r="D47" s="1683">
        <v>82387</v>
      </c>
      <c r="E47" s="1683">
        <v>21050</v>
      </c>
      <c r="F47" s="1683">
        <v>12317</v>
      </c>
      <c r="G47" s="1683">
        <v>4260</v>
      </c>
      <c r="H47" s="1683">
        <v>3281</v>
      </c>
      <c r="I47" s="1683">
        <v>3721</v>
      </c>
      <c r="J47">
        <v>0</v>
      </c>
      <c r="N47" s="1712">
        <v>1381.124</v>
      </c>
      <c r="O47" s="1712">
        <v>1236.5889999999999</v>
      </c>
      <c r="P47" s="1684">
        <v>1235.8</v>
      </c>
      <c r="Q47" s="540">
        <f t="shared" si="5"/>
        <v>1381.9129999999998</v>
      </c>
      <c r="R47" s="1684">
        <v>339.1</v>
      </c>
      <c r="S47" s="1684">
        <v>305.14</v>
      </c>
      <c r="T47" s="595">
        <f t="shared" si="6"/>
        <v>1415.873</v>
      </c>
    </row>
    <row r="48" spans="1:20" ht="15">
      <c r="A48" s="1682" t="s">
        <v>794</v>
      </c>
      <c r="B48" s="1683">
        <v>0</v>
      </c>
      <c r="C48" s="1683">
        <v>0</v>
      </c>
      <c r="D48" s="1683">
        <f>214+99</f>
        <v>313</v>
      </c>
      <c r="E48" s="1683">
        <v>2614</v>
      </c>
      <c r="F48" s="1683">
        <v>2720</v>
      </c>
      <c r="G48" s="1683">
        <v>1471</v>
      </c>
      <c r="H48" s="1683">
        <v>113</v>
      </c>
      <c r="I48" s="1683">
        <v>938</v>
      </c>
      <c r="J48">
        <v>671</v>
      </c>
      <c r="T48" s="84"/>
    </row>
    <row r="49" spans="1:22" ht="15">
      <c r="A49" s="1682" t="s">
        <v>23</v>
      </c>
      <c r="B49" s="1683">
        <f t="shared" ref="B49:J49" si="7">SUM(B42:B48)</f>
        <v>180062</v>
      </c>
      <c r="C49" s="1683">
        <f t="shared" si="7"/>
        <v>200529</v>
      </c>
      <c r="D49" s="1683">
        <f t="shared" si="7"/>
        <v>188046</v>
      </c>
      <c r="E49" s="1683">
        <f t="shared" si="7"/>
        <v>118678</v>
      </c>
      <c r="F49" s="1683">
        <f t="shared" si="7"/>
        <v>111192</v>
      </c>
      <c r="G49" s="1683">
        <f t="shared" si="7"/>
        <v>98686</v>
      </c>
      <c r="H49" s="1683">
        <f t="shared" si="7"/>
        <v>77439</v>
      </c>
      <c r="I49" s="1683">
        <f t="shared" si="7"/>
        <v>80415.5</v>
      </c>
      <c r="J49" s="1683">
        <f t="shared" si="7"/>
        <v>93098.286999999997</v>
      </c>
      <c r="N49" s="1683">
        <f t="shared" ref="N49:S49" si="8">SUM(N42:N48)</f>
        <v>17863.044999999998</v>
      </c>
      <c r="O49" s="1683">
        <f t="shared" si="8"/>
        <v>102586.212</v>
      </c>
      <c r="P49" s="1683">
        <f t="shared" si="8"/>
        <v>97974.1</v>
      </c>
      <c r="Q49" s="1683">
        <f t="shared" si="8"/>
        <v>22475.157000000003</v>
      </c>
      <c r="R49" s="1683">
        <f t="shared" si="8"/>
        <v>6727.9040000000005</v>
      </c>
      <c r="S49" s="1683">
        <f t="shared" si="8"/>
        <v>8385.31</v>
      </c>
      <c r="T49" s="595">
        <f>+Q49+R49-S49</f>
        <v>20817.751000000004</v>
      </c>
    </row>
    <row r="50" spans="1:22" ht="15">
      <c r="A50" s="1682"/>
      <c r="B50" s="1686"/>
      <c r="C50" s="1687"/>
      <c r="D50" s="1686"/>
      <c r="E50" s="1686"/>
      <c r="F50" s="1686"/>
      <c r="G50" s="1686"/>
      <c r="H50" s="1687"/>
      <c r="I50" s="1686"/>
      <c r="J50">
        <f>95918-93098</f>
        <v>2820</v>
      </c>
    </row>
    <row r="51" spans="1:22" ht="15">
      <c r="A51" s="1682"/>
      <c r="B51" s="1683"/>
      <c r="C51" s="1687"/>
      <c r="D51" s="1686"/>
      <c r="E51" s="1686"/>
      <c r="F51" s="1686"/>
      <c r="G51" s="1683"/>
      <c r="H51" s="1687"/>
      <c r="I51" s="1686"/>
      <c r="M51" s="1713">
        <v>43922</v>
      </c>
      <c r="N51" t="s">
        <v>796</v>
      </c>
      <c r="O51" t="s">
        <v>797</v>
      </c>
      <c r="P51" t="s">
        <v>798</v>
      </c>
      <c r="Q51" t="s">
        <v>799</v>
      </c>
      <c r="R51" t="s">
        <v>800</v>
      </c>
      <c r="S51" s="289">
        <v>43983</v>
      </c>
      <c r="T51" t="s">
        <v>801</v>
      </c>
      <c r="U51" t="s">
        <v>802</v>
      </c>
      <c r="V51" s="289">
        <v>44013</v>
      </c>
    </row>
    <row r="52" spans="1:22" ht="15">
      <c r="A52" s="1699"/>
      <c r="B52" s="1700"/>
      <c r="C52" s="1701"/>
      <c r="D52" s="1700"/>
      <c r="E52" s="1700"/>
      <c r="F52" s="1700"/>
      <c r="G52" s="1700"/>
      <c r="H52" s="1701"/>
      <c r="I52" s="1700"/>
      <c r="L52" s="1682" t="s">
        <v>255</v>
      </c>
      <c r="M52">
        <f>16284.176+244.383+1646.471</f>
        <v>18175.030000000002</v>
      </c>
      <c r="N52">
        <v>1075.9069999999999</v>
      </c>
      <c r="O52">
        <v>398.04</v>
      </c>
      <c r="P52">
        <f t="shared" ref="P52:P57" si="9">+M52+N52-O52</f>
        <v>18852.897000000001</v>
      </c>
      <c r="Q52">
        <v>644.05999999999995</v>
      </c>
      <c r="R52">
        <v>2743.12</v>
      </c>
      <c r="S52">
        <f t="shared" ref="S52:S57" si="10">+P52+Q52-R52</f>
        <v>16753.837000000003</v>
      </c>
      <c r="T52">
        <v>3399.04</v>
      </c>
      <c r="U52">
        <v>3794.768</v>
      </c>
      <c r="V52">
        <f t="shared" ref="V52:V57" si="11">+S52+T52-U52</f>
        <v>16358.109000000004</v>
      </c>
    </row>
    <row r="53" spans="1:22" ht="15">
      <c r="A53" t="s">
        <v>803</v>
      </c>
      <c r="L53" s="1682" t="s">
        <v>256</v>
      </c>
      <c r="M53">
        <v>320.78300000000002</v>
      </c>
      <c r="P53">
        <f t="shared" si="9"/>
        <v>320.78300000000002</v>
      </c>
      <c r="R53">
        <v>0.28000000000000003</v>
      </c>
      <c r="S53">
        <f t="shared" si="10"/>
        <v>320.50300000000004</v>
      </c>
      <c r="U53">
        <v>4.7</v>
      </c>
      <c r="V53">
        <f t="shared" si="11"/>
        <v>315.80300000000005</v>
      </c>
    </row>
    <row r="54" spans="1:22" ht="15">
      <c r="L54" s="1682" t="s">
        <v>643</v>
      </c>
      <c r="M54">
        <v>2149.2359999999999</v>
      </c>
      <c r="N54">
        <v>185.91</v>
      </c>
      <c r="O54">
        <v>4.6100000000000003</v>
      </c>
      <c r="P54">
        <f t="shared" si="9"/>
        <v>2330.5359999999996</v>
      </c>
      <c r="Q54">
        <v>163.61000000000001</v>
      </c>
      <c r="R54">
        <v>153.59</v>
      </c>
      <c r="S54">
        <f t="shared" si="10"/>
        <v>2340.5559999999996</v>
      </c>
      <c r="T54">
        <v>130.96</v>
      </c>
      <c r="U54">
        <v>249.81200000000001</v>
      </c>
      <c r="V54">
        <f t="shared" si="11"/>
        <v>2221.7039999999997</v>
      </c>
    </row>
    <row r="55" spans="1:22" ht="15">
      <c r="A55" t="s">
        <v>804</v>
      </c>
      <c r="B55" t="s">
        <v>805</v>
      </c>
      <c r="C55" t="s">
        <v>806</v>
      </c>
      <c r="L55" s="1682" t="s">
        <v>257</v>
      </c>
      <c r="M55">
        <v>1092.961</v>
      </c>
      <c r="N55">
        <v>25.347000000000001</v>
      </c>
      <c r="O55">
        <v>98.19</v>
      </c>
      <c r="P55">
        <f t="shared" si="9"/>
        <v>1020.1179999999999</v>
      </c>
      <c r="Q55">
        <v>30.835000000000001</v>
      </c>
      <c r="R55">
        <v>19.46</v>
      </c>
      <c r="S55">
        <f t="shared" si="10"/>
        <v>1031.4929999999999</v>
      </c>
      <c r="T55">
        <v>121.05</v>
      </c>
      <c r="U55">
        <v>24.9</v>
      </c>
      <c r="V55">
        <f t="shared" si="11"/>
        <v>1127.6429999999998</v>
      </c>
    </row>
    <row r="56" spans="1:22" ht="15">
      <c r="A56" t="s">
        <v>807</v>
      </c>
      <c r="B56">
        <v>881617</v>
      </c>
      <c r="C56">
        <f>+B56*0.4</f>
        <v>352646.80000000005</v>
      </c>
      <c r="L56" s="1682" t="s">
        <v>265</v>
      </c>
      <c r="M56">
        <f>259.59+142.36</f>
        <v>401.95</v>
      </c>
      <c r="P56">
        <f t="shared" si="9"/>
        <v>401.95</v>
      </c>
      <c r="Q56">
        <v>286.89999999999998</v>
      </c>
      <c r="R56">
        <v>265.86</v>
      </c>
      <c r="S56">
        <f t="shared" si="10"/>
        <v>422.9899999999999</v>
      </c>
      <c r="T56">
        <v>325.2</v>
      </c>
      <c r="U56">
        <v>322.83999999999997</v>
      </c>
      <c r="V56">
        <f t="shared" si="11"/>
        <v>425.34999999999985</v>
      </c>
    </row>
    <row r="57" spans="1:22" ht="15">
      <c r="A57" t="s">
        <v>808</v>
      </c>
      <c r="B57">
        <f>416420/0.4</f>
        <v>1041050</v>
      </c>
      <c r="C57">
        <f>+B57*0.4</f>
        <v>416420</v>
      </c>
      <c r="L57" s="1682" t="s">
        <v>153</v>
      </c>
      <c r="M57">
        <f>1824.484+184.141</f>
        <v>2008.625</v>
      </c>
      <c r="P57">
        <f t="shared" si="9"/>
        <v>2008.625</v>
      </c>
      <c r="Q57">
        <v>96.05</v>
      </c>
      <c r="R57">
        <v>0</v>
      </c>
      <c r="S57">
        <f t="shared" si="10"/>
        <v>2104.6750000000002</v>
      </c>
      <c r="T57">
        <v>243.05</v>
      </c>
      <c r="U57">
        <v>305.14</v>
      </c>
      <c r="V57">
        <f t="shared" si="11"/>
        <v>2042.5850000000005</v>
      </c>
    </row>
    <row r="58" spans="1:22" ht="15">
      <c r="A58" t="s">
        <v>809</v>
      </c>
      <c r="L58" s="1682" t="s">
        <v>794</v>
      </c>
    </row>
    <row r="59" spans="1:22" ht="15">
      <c r="A59" t="s">
        <v>205</v>
      </c>
      <c r="B59">
        <v>87888</v>
      </c>
      <c r="C59">
        <f>+B59*0.4</f>
        <v>35155.200000000004</v>
      </c>
      <c r="D59">
        <v>6901</v>
      </c>
      <c r="E59" s="1702">
        <f>+C59/D59</f>
        <v>5.0942182292421396</v>
      </c>
      <c r="L59" s="1682" t="s">
        <v>23</v>
      </c>
      <c r="M59">
        <f t="shared" ref="M59:V59" si="12">SUM(M52:M57)</f>
        <v>24148.585000000003</v>
      </c>
      <c r="N59">
        <f t="shared" si="12"/>
        <v>1287.164</v>
      </c>
      <c r="O59">
        <f t="shared" si="12"/>
        <v>500.84000000000003</v>
      </c>
      <c r="P59">
        <f t="shared" si="12"/>
        <v>24934.909</v>
      </c>
      <c r="Q59">
        <f t="shared" si="12"/>
        <v>1221.4549999999999</v>
      </c>
      <c r="R59">
        <f t="shared" si="12"/>
        <v>3182.3100000000004</v>
      </c>
      <c r="S59">
        <f t="shared" si="12"/>
        <v>22974.054000000004</v>
      </c>
      <c r="T59">
        <f t="shared" si="12"/>
        <v>4219.3</v>
      </c>
      <c r="U59">
        <f t="shared" si="12"/>
        <v>4702.16</v>
      </c>
      <c r="V59">
        <f t="shared" si="12"/>
        <v>22491.194</v>
      </c>
    </row>
    <row r="60" spans="1:22">
      <c r="A60" t="s">
        <v>206</v>
      </c>
      <c r="B60">
        <v>90833</v>
      </c>
      <c r="C60">
        <f>+B60*0.4</f>
        <v>36333.200000000004</v>
      </c>
      <c r="D60">
        <v>6807</v>
      </c>
      <c r="E60" s="1702">
        <f>+C60/D60</f>
        <v>5.3376230351109157</v>
      </c>
      <c r="P60">
        <v>24952.046999999999</v>
      </c>
      <c r="S60">
        <v>23006.631000000001</v>
      </c>
      <c r="V60">
        <v>22572.89</v>
      </c>
    </row>
    <row r="61" spans="1:22">
      <c r="A61" t="s">
        <v>207</v>
      </c>
      <c r="B61">
        <v>87936</v>
      </c>
      <c r="C61">
        <f>+B61*0.4</f>
        <v>35174.400000000001</v>
      </c>
      <c r="D61">
        <v>6526</v>
      </c>
      <c r="E61" s="1702">
        <f>+C61/D61</f>
        <v>5.3898866074164884</v>
      </c>
      <c r="P61">
        <f>+P59-P60</f>
        <v>-17.13799999999901</v>
      </c>
      <c r="S61">
        <f>+S59-S60</f>
        <v>-32.576999999997497</v>
      </c>
      <c r="V61">
        <f>+V59-V60</f>
        <v>-81.695999999999913</v>
      </c>
    </row>
    <row r="62" spans="1:22">
      <c r="C62">
        <f>SUM(C59:C61)</f>
        <v>106662.80000000002</v>
      </c>
      <c r="D62">
        <f>SUM(D59:D61)</f>
        <v>20234</v>
      </c>
      <c r="E62" s="1702">
        <f>+C62/D62</f>
        <v>5.2714638726895338</v>
      </c>
    </row>
    <row r="65" spans="1:31" ht="15">
      <c r="A65" s="2912" t="s">
        <v>810</v>
      </c>
      <c r="B65" s="2910"/>
      <c r="C65" s="2910"/>
      <c r="D65" s="2910"/>
      <c r="E65" s="2910"/>
      <c r="F65" s="2911"/>
      <c r="G65" s="31"/>
    </row>
    <row r="66" spans="1:31" ht="15">
      <c r="A66" s="1678"/>
      <c r="B66" s="1680" t="s">
        <v>40</v>
      </c>
      <c r="C66" s="1676" t="s">
        <v>41</v>
      </c>
      <c r="D66" s="1680" t="s">
        <v>170</v>
      </c>
      <c r="E66" s="1680" t="s">
        <v>171</v>
      </c>
      <c r="F66" s="1681" t="s">
        <v>807</v>
      </c>
      <c r="G66" s="1679"/>
      <c r="H66" s="1715"/>
      <c r="I66" s="1680"/>
      <c r="J66" s="299"/>
    </row>
    <row r="67" spans="1:31" ht="15">
      <c r="A67" s="1682" t="s">
        <v>255</v>
      </c>
      <c r="B67" s="1686">
        <v>70878</v>
      </c>
      <c r="C67" s="1684">
        <v>68426</v>
      </c>
      <c r="D67" s="1683">
        <v>100246</v>
      </c>
      <c r="E67" s="1683">
        <v>92794</v>
      </c>
      <c r="F67" s="1685">
        <v>52403.4</v>
      </c>
      <c r="G67" s="1686"/>
      <c r="H67" s="1709"/>
      <c r="I67" s="1686"/>
      <c r="J67" s="1721"/>
    </row>
    <row r="68" spans="1:31" ht="15">
      <c r="A68" s="1682" t="s">
        <v>256</v>
      </c>
      <c r="B68" s="1686">
        <v>674</v>
      </c>
      <c r="C68" s="1684">
        <v>700</v>
      </c>
      <c r="D68" s="1683">
        <v>319</v>
      </c>
      <c r="E68" s="1683">
        <v>216</v>
      </c>
      <c r="F68" s="1686">
        <v>119.4</v>
      </c>
      <c r="G68" s="1683"/>
      <c r="H68" s="1709"/>
      <c r="I68" s="1686"/>
      <c r="J68" s="1722"/>
    </row>
    <row r="69" spans="1:31" ht="15">
      <c r="A69" s="1682" t="s">
        <v>643</v>
      </c>
      <c r="B69" s="1686">
        <v>3069</v>
      </c>
      <c r="C69" s="1684">
        <f>4150+622</f>
        <v>4772</v>
      </c>
      <c r="D69" s="1683">
        <v>4638</v>
      </c>
      <c r="E69" s="1683">
        <v>5177</v>
      </c>
      <c r="F69" s="1686">
        <f>2643+343</f>
        <v>2986</v>
      </c>
      <c r="G69" s="1686"/>
      <c r="H69" s="1709"/>
      <c r="I69" s="1686"/>
      <c r="J69" s="1722"/>
    </row>
    <row r="70" spans="1:31" ht="15">
      <c r="A70" s="1682" t="s">
        <v>257</v>
      </c>
      <c r="B70" s="1686">
        <v>1661</v>
      </c>
      <c r="C70" s="1684">
        <v>1733</v>
      </c>
      <c r="D70" s="1683">
        <v>1031</v>
      </c>
      <c r="E70" s="1683">
        <v>1124</v>
      </c>
      <c r="F70" s="1686">
        <v>1414</v>
      </c>
      <c r="G70" s="1686"/>
      <c r="H70" s="1709"/>
      <c r="I70" s="1686"/>
      <c r="J70" s="1723"/>
    </row>
    <row r="71" spans="1:31" ht="15">
      <c r="A71" s="1682" t="s">
        <v>265</v>
      </c>
      <c r="B71" s="1686">
        <f>1383+199</f>
        <v>1582</v>
      </c>
      <c r="C71" s="1684">
        <v>1949</v>
      </c>
      <c r="D71" s="1683">
        <v>2669</v>
      </c>
      <c r="E71" s="1683">
        <v>2038</v>
      </c>
      <c r="F71" s="1686">
        <v>2048</v>
      </c>
      <c r="G71" s="1686"/>
      <c r="H71" s="1709"/>
      <c r="I71" s="1686"/>
      <c r="J71" s="1723"/>
    </row>
    <row r="72" spans="1:31" ht="15">
      <c r="A72" s="1682" t="s">
        <v>153</v>
      </c>
      <c r="B72" s="1683">
        <v>4213</v>
      </c>
      <c r="C72" s="1684">
        <v>3480</v>
      </c>
      <c r="D72" s="1683">
        <v>2164</v>
      </c>
      <c r="E72" s="1683">
        <f>1237-85</f>
        <v>1152</v>
      </c>
      <c r="F72" s="1683">
        <f>10003-7272</f>
        <v>2731</v>
      </c>
      <c r="G72" s="1686"/>
      <c r="H72" s="1709"/>
      <c r="I72" s="1683"/>
      <c r="J72" s="1724"/>
    </row>
    <row r="73" spans="1:31" ht="15">
      <c r="A73" s="1682" t="s">
        <v>794</v>
      </c>
      <c r="B73" s="1683">
        <v>1009.78</v>
      </c>
      <c r="C73" s="1684">
        <v>8048</v>
      </c>
      <c r="D73" s="1683">
        <v>4618</v>
      </c>
      <c r="E73" s="1683">
        <v>85</v>
      </c>
      <c r="F73" s="1686">
        <v>7272</v>
      </c>
      <c r="G73" s="1686"/>
      <c r="H73" s="1709"/>
      <c r="I73" s="1683"/>
      <c r="J73" s="1724"/>
    </row>
    <row r="74" spans="1:31" ht="15">
      <c r="A74" s="1682" t="s">
        <v>23</v>
      </c>
      <c r="B74" s="1683">
        <f>SUM(B67:B73)</f>
        <v>83086.78</v>
      </c>
      <c r="C74" s="1683">
        <f>SUM(C67:C73)</f>
        <v>89108</v>
      </c>
      <c r="D74" s="1683">
        <f>SUM(D67:D73)</f>
        <v>115685</v>
      </c>
      <c r="E74" s="1683">
        <f>SUM(E67:E73)</f>
        <v>102586</v>
      </c>
      <c r="F74" s="1683">
        <f>SUM(F67:F73)</f>
        <v>68973.8</v>
      </c>
      <c r="G74" s="1683"/>
      <c r="H74" s="1683"/>
      <c r="I74" s="1683"/>
      <c r="J74" s="1725"/>
      <c r="O74" s="308"/>
      <c r="P74" s="127"/>
      <c r="Q74" s="127"/>
      <c r="R74" s="127"/>
      <c r="S74" s="127"/>
      <c r="T74" s="127"/>
      <c r="U74" s="127"/>
      <c r="V74" s="354"/>
      <c r="X74" s="308"/>
      <c r="Y74" s="127"/>
      <c r="Z74" s="127"/>
      <c r="AA74" s="127"/>
      <c r="AB74" s="127"/>
      <c r="AC74" s="127"/>
      <c r="AD74" s="127"/>
      <c r="AE74" s="354"/>
    </row>
    <row r="75" spans="1:31" ht="15">
      <c r="A75" s="1699"/>
      <c r="B75" s="1700"/>
      <c r="C75" s="1701"/>
      <c r="D75" s="1700"/>
      <c r="E75" s="1700"/>
      <c r="F75" s="1700"/>
      <c r="G75" s="1716"/>
      <c r="H75" s="1717"/>
      <c r="I75" s="1716"/>
      <c r="J75" s="28"/>
      <c r="L75">
        <f>52.65*30</f>
        <v>1579.5</v>
      </c>
      <c r="O75" s="31"/>
      <c r="V75" s="63"/>
      <c r="X75" s="31"/>
      <c r="AE75" s="63"/>
    </row>
    <row r="76" spans="1:31">
      <c r="L76">
        <f>5086+1580</f>
        <v>6666</v>
      </c>
      <c r="O76" s="105"/>
      <c r="P76" s="106"/>
      <c r="Q76" s="106" t="s">
        <v>257</v>
      </c>
      <c r="R76" s="106" t="s">
        <v>811</v>
      </c>
      <c r="S76" s="106" t="s">
        <v>256</v>
      </c>
      <c r="T76" s="106" t="s">
        <v>812</v>
      </c>
      <c r="U76" s="106" t="s">
        <v>813</v>
      </c>
      <c r="V76" s="119" t="s">
        <v>814</v>
      </c>
      <c r="X76" s="105"/>
      <c r="Y76" s="106"/>
      <c r="Z76" s="106"/>
      <c r="AA76" s="106"/>
      <c r="AB76" s="106"/>
      <c r="AC76" s="106"/>
      <c r="AD76" s="106"/>
      <c r="AE76" s="119"/>
    </row>
    <row r="77" spans="1:31">
      <c r="E77" s="27">
        <f>52.65*9</f>
        <v>473.84999999999997</v>
      </c>
      <c r="F77">
        <v>6021</v>
      </c>
      <c r="G77" s="520">
        <f>+F77+E77</f>
        <v>6494.85</v>
      </c>
      <c r="H77" s="2915" t="s">
        <v>815</v>
      </c>
      <c r="I77" s="2915"/>
      <c r="K77">
        <f>130*4.05</f>
        <v>526.5</v>
      </c>
      <c r="O77" s="2901" t="s">
        <v>41</v>
      </c>
      <c r="P77" s="41" t="s">
        <v>816</v>
      </c>
      <c r="Q77" s="41">
        <v>1900</v>
      </c>
      <c r="R77" s="41">
        <v>70520</v>
      </c>
      <c r="S77" s="41">
        <v>501</v>
      </c>
      <c r="T77" s="41">
        <v>5315</v>
      </c>
      <c r="U77" s="41">
        <f>6064+500</f>
        <v>6564</v>
      </c>
      <c r="V77" s="64">
        <f>2210+1954</f>
        <v>4164</v>
      </c>
      <c r="X77" s="2901"/>
      <c r="Y77" s="41"/>
      <c r="Z77" s="41"/>
      <c r="AA77" s="41"/>
      <c r="AB77" s="41"/>
      <c r="AC77" s="41"/>
      <c r="AD77" s="41"/>
      <c r="AE77" s="64"/>
    </row>
    <row r="78" spans="1:31" ht="15" customHeight="1">
      <c r="B78" t="s">
        <v>275</v>
      </c>
      <c r="C78" t="s">
        <v>817</v>
      </c>
      <c r="D78" s="27" t="s">
        <v>320</v>
      </c>
      <c r="E78" t="s">
        <v>322</v>
      </c>
      <c r="H78" t="s">
        <v>275</v>
      </c>
      <c r="I78" t="s">
        <v>817</v>
      </c>
      <c r="J78" s="27" t="s">
        <v>320</v>
      </c>
      <c r="K78" t="s">
        <v>322</v>
      </c>
      <c r="O78" s="2901"/>
      <c r="P78" s="41" t="s">
        <v>312</v>
      </c>
      <c r="Q78" s="41">
        <v>1733</v>
      </c>
      <c r="R78" s="41">
        <v>68426</v>
      </c>
      <c r="S78" s="41">
        <v>700</v>
      </c>
      <c r="T78" s="41">
        <f>3480+8048</f>
        <v>11528</v>
      </c>
      <c r="U78" s="41">
        <v>4772</v>
      </c>
      <c r="V78" s="64">
        <v>1949</v>
      </c>
      <c r="X78" s="2901"/>
      <c r="Y78" s="41"/>
      <c r="Z78" s="41"/>
      <c r="AA78" s="41"/>
      <c r="AB78" s="41"/>
      <c r="AC78" s="41"/>
      <c r="AD78" s="41"/>
      <c r="AE78" s="64"/>
    </row>
    <row r="79" spans="1:31">
      <c r="A79" t="s">
        <v>281</v>
      </c>
      <c r="B79">
        <v>7480</v>
      </c>
      <c r="C79">
        <v>6495</v>
      </c>
      <c r="D79" s="86">
        <f>+C79/B79*100</f>
        <v>86.831550802139034</v>
      </c>
      <c r="H79">
        <f>+B79+B93</f>
        <v>22684</v>
      </c>
      <c r="I79">
        <f>+C79+C93</f>
        <v>20202</v>
      </c>
      <c r="J79" s="1718">
        <f>+I79/H79*100</f>
        <v>89.058367131017462</v>
      </c>
      <c r="O79" s="1726" t="s">
        <v>170</v>
      </c>
      <c r="P79" s="41" t="s">
        <v>816</v>
      </c>
      <c r="Q79" s="41">
        <v>1635</v>
      </c>
      <c r="R79" s="41">
        <f>73795+33282</f>
        <v>107077</v>
      </c>
      <c r="S79" s="41">
        <v>749</v>
      </c>
      <c r="T79" s="41">
        <f>5862+4000</f>
        <v>9862</v>
      </c>
      <c r="U79" s="41">
        <v>4965</v>
      </c>
      <c r="V79" s="64">
        <v>1500</v>
      </c>
      <c r="X79" s="1726"/>
      <c r="Y79" s="41"/>
      <c r="Z79" s="41"/>
      <c r="AA79" s="41"/>
      <c r="AB79" s="41"/>
      <c r="AC79" s="41"/>
      <c r="AD79" s="41"/>
      <c r="AE79" s="64"/>
    </row>
    <row r="80" spans="1:31">
      <c r="A80" t="s">
        <v>818</v>
      </c>
      <c r="B80">
        <v>150</v>
      </c>
      <c r="C80">
        <v>50</v>
      </c>
      <c r="D80" s="1718">
        <f t="shared" ref="D80:D88" si="13">+C80/B80*100</f>
        <v>33.333333333333329</v>
      </c>
      <c r="H80">
        <f t="shared" ref="H80:H88" si="14">+B80+B94</f>
        <v>456</v>
      </c>
      <c r="I80">
        <f t="shared" ref="I80:I88" si="15">+C80+C94</f>
        <v>248</v>
      </c>
      <c r="J80" s="86">
        <f t="shared" ref="J80:J88" si="16">+I80/H80*100</f>
        <v>54.385964912280706</v>
      </c>
      <c r="L80">
        <f>68*6</f>
        <v>408</v>
      </c>
      <c r="O80" s="2902" t="s">
        <v>171</v>
      </c>
      <c r="P80" s="41" t="s">
        <v>816</v>
      </c>
      <c r="Q80" s="41">
        <v>970</v>
      </c>
      <c r="R80" s="41">
        <f>85830+28020</f>
        <v>113850</v>
      </c>
      <c r="S80" s="41">
        <v>850</v>
      </c>
      <c r="T80" s="41">
        <v>7862</v>
      </c>
      <c r="U80" s="41">
        <v>6170</v>
      </c>
      <c r="V80" s="64">
        <f>3970+624+500</f>
        <v>5094</v>
      </c>
      <c r="X80" s="2902"/>
      <c r="Y80" s="41"/>
      <c r="Z80" s="41"/>
      <c r="AA80" s="41"/>
      <c r="AB80" s="41"/>
      <c r="AC80" s="41"/>
      <c r="AD80" s="41"/>
      <c r="AE80" s="64"/>
    </row>
    <row r="81" spans="1:31">
      <c r="A81" t="s">
        <v>819</v>
      </c>
      <c r="B81">
        <v>100</v>
      </c>
      <c r="C81">
        <v>53</v>
      </c>
      <c r="D81" s="1718">
        <f t="shared" si="13"/>
        <v>53</v>
      </c>
      <c r="H81">
        <f t="shared" si="14"/>
        <v>302</v>
      </c>
      <c r="I81">
        <f t="shared" si="15"/>
        <v>53</v>
      </c>
      <c r="J81" s="86">
        <f t="shared" si="16"/>
        <v>17.549668874172188</v>
      </c>
      <c r="O81" s="2903"/>
      <c r="P81" s="41" t="s">
        <v>312</v>
      </c>
      <c r="Q81" s="41">
        <v>1124</v>
      </c>
      <c r="R81" s="41">
        <v>92794</v>
      </c>
      <c r="S81" s="41">
        <v>216</v>
      </c>
      <c r="T81" s="41">
        <v>1337</v>
      </c>
      <c r="U81" s="41">
        <v>5177</v>
      </c>
      <c r="V81" s="64">
        <v>2038</v>
      </c>
      <c r="X81" s="2903"/>
      <c r="Y81" s="41"/>
      <c r="Z81" s="41"/>
      <c r="AA81" s="41"/>
      <c r="AB81" s="41"/>
      <c r="AC81" s="41"/>
      <c r="AD81" s="41"/>
      <c r="AE81" s="64"/>
    </row>
    <row r="82" spans="1:31">
      <c r="A82" t="s">
        <v>820</v>
      </c>
      <c r="B82">
        <v>250</v>
      </c>
      <c r="C82">
        <f>+C81+C80</f>
        <v>103</v>
      </c>
      <c r="D82" s="1718">
        <f t="shared" si="13"/>
        <v>41.199999999999996</v>
      </c>
      <c r="H82">
        <f t="shared" si="14"/>
        <v>758</v>
      </c>
      <c r="I82">
        <f t="shared" si="15"/>
        <v>301</v>
      </c>
      <c r="J82" s="86">
        <f t="shared" si="16"/>
        <v>39.709762532981529</v>
      </c>
      <c r="O82" s="2902" t="s">
        <v>807</v>
      </c>
      <c r="P82" s="41" t="s">
        <v>816</v>
      </c>
      <c r="Q82" s="41">
        <v>1080</v>
      </c>
      <c r="R82" s="41">
        <f>60699+14100</f>
        <v>74799</v>
      </c>
      <c r="S82" s="41">
        <v>300</v>
      </c>
      <c r="T82" s="41">
        <v>6833</v>
      </c>
      <c r="U82" s="41">
        <v>6450</v>
      </c>
      <c r="V82" s="64">
        <v>4440</v>
      </c>
      <c r="X82" s="2902"/>
      <c r="Y82" s="41"/>
      <c r="Z82" s="41"/>
      <c r="AA82" s="41"/>
      <c r="AB82" s="41"/>
      <c r="AC82" s="41"/>
      <c r="AD82" s="41"/>
      <c r="AE82" s="64"/>
    </row>
    <row r="83" spans="1:31">
      <c r="A83" t="s">
        <v>821</v>
      </c>
      <c r="B83">
        <f>+B79-B82</f>
        <v>7230</v>
      </c>
      <c r="C83">
        <f>+C79-C82</f>
        <v>6392</v>
      </c>
      <c r="D83" s="1718">
        <f t="shared" si="13"/>
        <v>88.409405255878283</v>
      </c>
      <c r="H83">
        <f t="shared" si="14"/>
        <v>21926</v>
      </c>
      <c r="I83">
        <f t="shared" si="15"/>
        <v>19901</v>
      </c>
      <c r="J83" s="86">
        <f t="shared" si="16"/>
        <v>90.76438930949557</v>
      </c>
      <c r="O83" s="2914"/>
      <c r="P83" s="886" t="s">
        <v>312</v>
      </c>
      <c r="Q83" s="886">
        <v>1414</v>
      </c>
      <c r="R83" s="886">
        <v>52403</v>
      </c>
      <c r="S83" s="886">
        <v>119</v>
      </c>
      <c r="T83" s="886">
        <f>2731+7272</f>
        <v>10003</v>
      </c>
      <c r="U83" s="886">
        <v>2986</v>
      </c>
      <c r="V83" s="887">
        <v>2048</v>
      </c>
      <c r="X83" s="2903"/>
      <c r="Y83" s="1661"/>
      <c r="Z83" s="1661"/>
      <c r="AA83" s="1661"/>
      <c r="AB83" s="1661"/>
      <c r="AC83" s="1661"/>
      <c r="AD83" s="1661"/>
      <c r="AE83" s="524"/>
    </row>
    <row r="84" spans="1:31">
      <c r="A84" t="s">
        <v>822</v>
      </c>
      <c r="B84">
        <v>10200</v>
      </c>
      <c r="C84">
        <f>7705+526</f>
        <v>8231</v>
      </c>
      <c r="D84" s="1718">
        <f t="shared" si="13"/>
        <v>80.696078431372555</v>
      </c>
      <c r="H84">
        <f t="shared" si="14"/>
        <v>31200</v>
      </c>
      <c r="I84">
        <f t="shared" si="15"/>
        <v>22907</v>
      </c>
      <c r="J84" s="86">
        <f t="shared" si="16"/>
        <v>73.419871794871796</v>
      </c>
      <c r="O84" s="31"/>
      <c r="V84" s="63"/>
    </row>
    <row r="85" spans="1:31">
      <c r="A85" t="s">
        <v>823</v>
      </c>
      <c r="B85">
        <v>9590</v>
      </c>
      <c r="C85">
        <v>7400</v>
      </c>
      <c r="D85" s="1718">
        <f t="shared" si="13"/>
        <v>77.16371220020855</v>
      </c>
      <c r="H85">
        <f t="shared" si="14"/>
        <v>29204</v>
      </c>
      <c r="I85">
        <f t="shared" si="15"/>
        <v>21959</v>
      </c>
      <c r="J85" s="86">
        <f t="shared" si="16"/>
        <v>75.191754554170672</v>
      </c>
      <c r="O85" s="31"/>
      <c r="V85" s="63"/>
    </row>
    <row r="86" spans="1:31">
      <c r="A86" t="s">
        <v>824</v>
      </c>
      <c r="B86">
        <v>9790</v>
      </c>
      <c r="C86">
        <v>8200</v>
      </c>
      <c r="D86" s="1718">
        <f t="shared" si="13"/>
        <v>83.758937691521965</v>
      </c>
      <c r="H86">
        <f t="shared" si="14"/>
        <v>29704</v>
      </c>
      <c r="I86">
        <f t="shared" si="15"/>
        <v>23293</v>
      </c>
      <c r="J86" s="86">
        <f t="shared" si="16"/>
        <v>78.417048208995425</v>
      </c>
      <c r="O86" s="309"/>
      <c r="P86" s="41" t="s">
        <v>825</v>
      </c>
      <c r="Q86" s="55" t="s">
        <v>826</v>
      </c>
      <c r="R86" s="55" t="s">
        <v>292</v>
      </c>
      <c r="S86" s="55" t="s">
        <v>827</v>
      </c>
      <c r="V86" s="63"/>
    </row>
    <row r="87" spans="1:31">
      <c r="A87" t="s">
        <v>828</v>
      </c>
      <c r="B87">
        <v>1500</v>
      </c>
      <c r="C87">
        <v>909</v>
      </c>
      <c r="D87" s="1718">
        <f t="shared" si="13"/>
        <v>60.6</v>
      </c>
      <c r="H87">
        <f t="shared" si="14"/>
        <v>4500</v>
      </c>
      <c r="I87">
        <f t="shared" si="15"/>
        <v>3857</v>
      </c>
      <c r="J87" s="86">
        <f t="shared" si="16"/>
        <v>85.711111111111109</v>
      </c>
      <c r="O87" s="393" t="s">
        <v>41</v>
      </c>
      <c r="P87" s="55">
        <v>26547</v>
      </c>
      <c r="Q87" s="55">
        <v>89108</v>
      </c>
      <c r="R87" s="55">
        <v>95919</v>
      </c>
      <c r="S87" s="55">
        <f>+P87+Q87-R87</f>
        <v>19736</v>
      </c>
      <c r="V87" s="63"/>
    </row>
    <row r="88" spans="1:31">
      <c r="A88" t="s">
        <v>829</v>
      </c>
      <c r="B88">
        <v>3000</v>
      </c>
      <c r="C88">
        <v>1449</v>
      </c>
      <c r="D88" s="1718">
        <f t="shared" si="13"/>
        <v>48.3</v>
      </c>
      <c r="H88">
        <f t="shared" si="14"/>
        <v>9000</v>
      </c>
      <c r="I88">
        <f t="shared" si="15"/>
        <v>4217</v>
      </c>
      <c r="J88" s="86">
        <f t="shared" si="16"/>
        <v>46.855555555555554</v>
      </c>
      <c r="O88" s="393"/>
      <c r="P88" s="55"/>
      <c r="Q88" s="55"/>
      <c r="R88" s="55"/>
      <c r="S88" s="55"/>
      <c r="V88" s="63"/>
    </row>
    <row r="89" spans="1:31">
      <c r="O89" s="393" t="s">
        <v>170</v>
      </c>
      <c r="P89" s="55">
        <v>19736</v>
      </c>
      <c r="Q89" s="55">
        <v>115685</v>
      </c>
      <c r="R89" s="55">
        <v>116119</v>
      </c>
      <c r="S89" s="55">
        <f>+P89+Q89-R89</f>
        <v>19302</v>
      </c>
      <c r="V89" s="63"/>
    </row>
    <row r="90" spans="1:31">
      <c r="O90" s="393"/>
      <c r="P90" s="55"/>
      <c r="Q90" s="55"/>
      <c r="R90" s="55"/>
      <c r="S90" s="55"/>
      <c r="V90" s="63"/>
    </row>
    <row r="91" spans="1:31">
      <c r="O91" s="393" t="s">
        <v>171</v>
      </c>
      <c r="P91" s="55">
        <v>19302</v>
      </c>
      <c r="Q91" s="55">
        <v>102586</v>
      </c>
      <c r="R91" s="55">
        <v>97975</v>
      </c>
      <c r="S91" s="55">
        <f>+P91+Q91-R91</f>
        <v>23913</v>
      </c>
      <c r="V91" s="63"/>
    </row>
    <row r="92" spans="1:31">
      <c r="A92" t="s">
        <v>830</v>
      </c>
      <c r="O92" s="393"/>
      <c r="P92" s="55"/>
      <c r="Q92" s="55"/>
      <c r="R92" s="55"/>
      <c r="S92" s="55"/>
      <c r="V92" s="63"/>
    </row>
    <row r="93" spans="1:31">
      <c r="A93" t="s">
        <v>281</v>
      </c>
      <c r="B93">
        <v>15204</v>
      </c>
      <c r="C93">
        <v>13707</v>
      </c>
      <c r="O93" s="393" t="s">
        <v>807</v>
      </c>
      <c r="P93" s="55">
        <v>23913</v>
      </c>
      <c r="Q93" s="55">
        <v>68974</v>
      </c>
      <c r="R93" s="55">
        <v>74336</v>
      </c>
      <c r="S93" s="55">
        <f>+P93+Q93-R93</f>
        <v>18551</v>
      </c>
      <c r="V93" s="63"/>
    </row>
    <row r="94" spans="1:31">
      <c r="A94" t="s">
        <v>818</v>
      </c>
      <c r="B94">
        <v>306</v>
      </c>
      <c r="C94">
        <v>198</v>
      </c>
      <c r="O94" s="393"/>
      <c r="P94" s="55"/>
      <c r="Q94" s="55"/>
      <c r="R94" s="55"/>
      <c r="S94" s="55"/>
      <c r="V94" s="63"/>
    </row>
    <row r="95" spans="1:31">
      <c r="A95" t="s">
        <v>819</v>
      </c>
      <c r="B95">
        <v>202</v>
      </c>
      <c r="C95">
        <v>0</v>
      </c>
      <c r="O95" s="393" t="s">
        <v>831</v>
      </c>
      <c r="P95" s="55">
        <v>18705</v>
      </c>
      <c r="Q95" s="55">
        <v>80706</v>
      </c>
      <c r="R95" s="55">
        <v>80860</v>
      </c>
      <c r="S95" s="55">
        <f>+P95+Q95-R95</f>
        <v>18551</v>
      </c>
      <c r="V95" s="63"/>
    </row>
    <row r="96" spans="1:31">
      <c r="A96" t="s">
        <v>820</v>
      </c>
      <c r="B96">
        <v>508</v>
      </c>
      <c r="C96">
        <v>198</v>
      </c>
      <c r="O96" s="309"/>
      <c r="P96" s="13"/>
      <c r="Q96" s="13"/>
      <c r="R96" s="13"/>
      <c r="S96" s="13"/>
      <c r="V96" s="63"/>
    </row>
    <row r="97" spans="1:22">
      <c r="A97" t="s">
        <v>821</v>
      </c>
      <c r="B97">
        <f>+B93-B96</f>
        <v>14696</v>
      </c>
      <c r="C97">
        <f>+C93-C96</f>
        <v>13509</v>
      </c>
      <c r="O97" s="31"/>
      <c r="V97" s="63"/>
    </row>
    <row r="98" spans="1:22">
      <c r="A98" t="s">
        <v>822</v>
      </c>
      <c r="B98">
        <v>21000</v>
      </c>
      <c r="C98">
        <v>14676</v>
      </c>
      <c r="O98" s="31"/>
      <c r="V98" s="63"/>
    </row>
    <row r="99" spans="1:22">
      <c r="A99" t="s">
        <v>823</v>
      </c>
      <c r="B99">
        <v>19614</v>
      </c>
      <c r="C99">
        <v>14559</v>
      </c>
      <c r="O99" s="31"/>
      <c r="V99" s="63"/>
    </row>
    <row r="100" spans="1:22">
      <c r="A100" t="s">
        <v>824</v>
      </c>
      <c r="B100">
        <v>19914</v>
      </c>
      <c r="C100">
        <v>15093</v>
      </c>
      <c r="O100" s="1727" t="s">
        <v>832</v>
      </c>
      <c r="P100" s="1728"/>
      <c r="Q100" s="1728"/>
      <c r="R100" s="1728"/>
      <c r="S100" s="1729"/>
      <c r="V100" s="63"/>
    </row>
    <row r="101" spans="1:22">
      <c r="A101" t="s">
        <v>828</v>
      </c>
      <c r="B101">
        <v>3000</v>
      </c>
      <c r="C101">
        <v>2948</v>
      </c>
      <c r="O101" s="393"/>
      <c r="P101" s="55" t="s">
        <v>170</v>
      </c>
      <c r="Q101" s="55" t="s">
        <v>171</v>
      </c>
      <c r="R101" s="55" t="s">
        <v>807</v>
      </c>
      <c r="S101" s="55" t="s">
        <v>831</v>
      </c>
      <c r="V101" s="63"/>
    </row>
    <row r="102" spans="1:22">
      <c r="A102" t="s">
        <v>829</v>
      </c>
      <c r="B102">
        <v>6000</v>
      </c>
      <c r="C102">
        <v>2768</v>
      </c>
      <c r="O102" s="393" t="s">
        <v>275</v>
      </c>
      <c r="P102" s="55">
        <v>1297</v>
      </c>
      <c r="Q102" s="55">
        <v>1523</v>
      </c>
      <c r="R102" s="55">
        <v>715</v>
      </c>
      <c r="S102" s="55">
        <v>2398</v>
      </c>
      <c r="V102" s="63"/>
    </row>
    <row r="103" spans="1:22">
      <c r="O103" s="393" t="s">
        <v>312</v>
      </c>
      <c r="P103" s="55">
        <v>794</v>
      </c>
      <c r="Q103" s="55">
        <v>1180</v>
      </c>
      <c r="R103" s="55">
        <v>265</v>
      </c>
      <c r="S103" s="55">
        <v>764</v>
      </c>
      <c r="V103" s="63"/>
    </row>
    <row r="104" spans="1:22">
      <c r="O104" s="31"/>
      <c r="V104" s="63"/>
    </row>
    <row r="105" spans="1:22">
      <c r="O105" s="7"/>
      <c r="P105" s="8"/>
      <c r="Q105" s="8"/>
      <c r="R105" s="8"/>
      <c r="S105" s="8"/>
      <c r="T105" s="8"/>
      <c r="U105" s="8"/>
      <c r="V105" s="9"/>
    </row>
    <row r="107" spans="1:22">
      <c r="P107" t="s">
        <v>833</v>
      </c>
      <c r="Q107" t="s">
        <v>834</v>
      </c>
      <c r="R107" t="s">
        <v>835</v>
      </c>
      <c r="S107" t="s">
        <v>836</v>
      </c>
      <c r="T107" t="s">
        <v>837</v>
      </c>
      <c r="U107" t="s">
        <v>838</v>
      </c>
    </row>
    <row r="108" spans="1:22">
      <c r="O108" t="s">
        <v>40</v>
      </c>
      <c r="P108">
        <v>83087</v>
      </c>
      <c r="S108">
        <v>80417</v>
      </c>
    </row>
    <row r="109" spans="1:22">
      <c r="O109" t="s">
        <v>41</v>
      </c>
      <c r="P109">
        <v>89108</v>
      </c>
      <c r="S109" s="520">
        <v>95918.59</v>
      </c>
    </row>
    <row r="110" spans="1:22">
      <c r="O110" t="s">
        <v>170</v>
      </c>
      <c r="P110">
        <v>115685</v>
      </c>
      <c r="S110">
        <v>116119</v>
      </c>
    </row>
    <row r="111" spans="1:22" ht="23.25">
      <c r="C111" s="2904" t="s">
        <v>839</v>
      </c>
      <c r="D111" s="2904"/>
      <c r="E111" s="2904"/>
      <c r="F111" s="2904"/>
      <c r="G111" s="2904"/>
      <c r="O111" t="s">
        <v>171</v>
      </c>
      <c r="P111">
        <v>102586</v>
      </c>
      <c r="S111">
        <v>97975</v>
      </c>
    </row>
    <row r="112" spans="1:22" ht="23.25">
      <c r="A112" s="1719"/>
      <c r="B112" s="1720"/>
      <c r="C112" s="1321"/>
      <c r="D112" s="1321"/>
      <c r="E112" s="1321"/>
      <c r="F112" s="1321"/>
      <c r="G112" s="1332"/>
    </row>
    <row r="113" spans="1:7" ht="15.75">
      <c r="A113" s="356" t="s">
        <v>300</v>
      </c>
      <c r="B113" s="259" t="s">
        <v>425</v>
      </c>
      <c r="C113" s="259" t="s">
        <v>427</v>
      </c>
      <c r="D113" s="259" t="s">
        <v>23</v>
      </c>
      <c r="E113" s="259" t="s">
        <v>840</v>
      </c>
      <c r="F113" s="259" t="s">
        <v>841</v>
      </c>
      <c r="G113" s="52" t="s">
        <v>842</v>
      </c>
    </row>
    <row r="114" spans="1:7">
      <c r="A114" s="393"/>
      <c r="B114" s="55"/>
      <c r="C114" s="55"/>
      <c r="D114" s="55"/>
      <c r="E114" s="55"/>
      <c r="F114" s="55"/>
      <c r="G114" s="57"/>
    </row>
    <row r="115" spans="1:7">
      <c r="A115" s="2429" t="s">
        <v>843</v>
      </c>
      <c r="B115" s="55">
        <v>223</v>
      </c>
      <c r="C115" s="55">
        <v>1045</v>
      </c>
      <c r="D115" s="55">
        <f>+C115+B115</f>
        <v>1268</v>
      </c>
      <c r="E115" s="55">
        <v>1230</v>
      </c>
      <c r="F115" s="55">
        <v>1018</v>
      </c>
      <c r="G115" s="57">
        <v>666</v>
      </c>
    </row>
    <row r="116" spans="1:7">
      <c r="A116" s="393"/>
      <c r="B116" s="55"/>
      <c r="C116" s="55"/>
      <c r="D116" s="55"/>
      <c r="E116" s="55"/>
      <c r="F116" s="55"/>
      <c r="G116" s="57"/>
    </row>
    <row r="117" spans="1:7">
      <c r="A117" s="2429" t="s">
        <v>844</v>
      </c>
      <c r="B117" s="55">
        <v>0</v>
      </c>
      <c r="C117" s="55">
        <v>816</v>
      </c>
      <c r="D117" s="55">
        <v>816</v>
      </c>
      <c r="E117" s="55">
        <v>1234</v>
      </c>
      <c r="F117" s="55">
        <v>1455</v>
      </c>
      <c r="G117" s="57">
        <v>962</v>
      </c>
    </row>
    <row r="118" spans="1:7">
      <c r="A118" s="393"/>
      <c r="B118" s="55"/>
      <c r="C118" s="55"/>
      <c r="D118" s="55"/>
      <c r="E118" s="55"/>
      <c r="F118" s="55"/>
      <c r="G118" s="57"/>
    </row>
    <row r="119" spans="1:7">
      <c r="A119" s="2429" t="s">
        <v>845</v>
      </c>
      <c r="B119" s="55">
        <v>744</v>
      </c>
      <c r="C119" s="55">
        <v>3234</v>
      </c>
      <c r="D119" s="55">
        <v>3978</v>
      </c>
      <c r="E119" s="55">
        <v>1272</v>
      </c>
      <c r="F119" s="55">
        <v>1056</v>
      </c>
      <c r="G119" s="57">
        <v>1343</v>
      </c>
    </row>
    <row r="120" spans="1:7">
      <c r="A120" s="393"/>
      <c r="B120" s="55"/>
      <c r="C120" s="55"/>
      <c r="D120" s="55"/>
      <c r="E120" s="55"/>
      <c r="F120" s="55"/>
      <c r="G120" s="57"/>
    </row>
    <row r="121" spans="1:7">
      <c r="A121" s="2429" t="s">
        <v>846</v>
      </c>
      <c r="B121" s="55">
        <v>2023</v>
      </c>
      <c r="C121" s="55">
        <v>2648</v>
      </c>
      <c r="D121" s="55">
        <v>4671</v>
      </c>
      <c r="E121" s="55">
        <v>1210</v>
      </c>
      <c r="F121" s="55">
        <v>1445</v>
      </c>
      <c r="G121" s="57">
        <v>804</v>
      </c>
    </row>
    <row r="122" spans="1:7">
      <c r="A122" s="393"/>
      <c r="B122" s="55"/>
      <c r="C122" s="55"/>
      <c r="D122" s="55"/>
      <c r="E122" s="55"/>
      <c r="F122" s="55"/>
      <c r="G122" s="57"/>
    </row>
    <row r="123" spans="1:7">
      <c r="A123" s="2429" t="s">
        <v>847</v>
      </c>
      <c r="B123" s="55">
        <v>1640</v>
      </c>
      <c r="C123" s="55">
        <v>1484</v>
      </c>
      <c r="D123" s="55">
        <v>3124</v>
      </c>
      <c r="E123" s="55">
        <v>1115</v>
      </c>
      <c r="F123" s="55">
        <v>784</v>
      </c>
      <c r="G123" s="57">
        <v>863</v>
      </c>
    </row>
    <row r="124" spans="1:7">
      <c r="A124" s="393"/>
      <c r="B124" s="55"/>
      <c r="C124" s="55"/>
      <c r="D124" s="55"/>
      <c r="E124" s="55"/>
      <c r="F124" s="55"/>
      <c r="G124" s="57"/>
    </row>
    <row r="125" spans="1:7">
      <c r="A125" s="2429" t="s">
        <v>848</v>
      </c>
      <c r="B125" s="55">
        <v>1215</v>
      </c>
      <c r="C125" s="55">
        <v>390</v>
      </c>
      <c r="D125" s="55">
        <v>1605</v>
      </c>
      <c r="E125" s="55">
        <v>496</v>
      </c>
      <c r="F125" s="55">
        <v>2204</v>
      </c>
      <c r="G125" s="57">
        <v>786</v>
      </c>
    </row>
    <row r="126" spans="1:7">
      <c r="A126" s="393"/>
      <c r="B126" s="55"/>
      <c r="C126" s="55"/>
      <c r="D126" s="55"/>
      <c r="E126" s="55"/>
      <c r="F126" s="55"/>
      <c r="G126" s="57"/>
    </row>
    <row r="127" spans="1:7">
      <c r="A127" s="2429" t="s">
        <v>849</v>
      </c>
      <c r="B127" s="55">
        <v>575</v>
      </c>
      <c r="C127" s="55">
        <v>734</v>
      </c>
      <c r="D127" s="55">
        <v>1309</v>
      </c>
      <c r="E127" s="55">
        <v>666</v>
      </c>
      <c r="F127" s="55">
        <v>1832</v>
      </c>
      <c r="G127" s="57">
        <v>778</v>
      </c>
    </row>
    <row r="128" spans="1:7">
      <c r="A128" s="393"/>
      <c r="B128" s="55"/>
      <c r="C128" s="55"/>
      <c r="D128" s="55"/>
      <c r="E128" s="55"/>
      <c r="F128" s="55"/>
      <c r="G128" s="57"/>
    </row>
    <row r="129" spans="1:7">
      <c r="A129" s="2429" t="s">
        <v>850</v>
      </c>
      <c r="B129" s="55">
        <v>177</v>
      </c>
      <c r="C129" s="55">
        <v>38</v>
      </c>
      <c r="D129" s="55">
        <v>215</v>
      </c>
      <c r="E129" s="55">
        <v>754</v>
      </c>
      <c r="F129" s="55">
        <v>2089</v>
      </c>
      <c r="G129" s="57">
        <v>736</v>
      </c>
    </row>
    <row r="130" spans="1:7">
      <c r="A130" s="393"/>
      <c r="B130" s="55"/>
      <c r="C130" s="55"/>
      <c r="D130" s="55"/>
      <c r="E130" s="55"/>
      <c r="F130" s="55"/>
      <c r="G130" s="57"/>
    </row>
    <row r="131" spans="1:7">
      <c r="A131" s="2429" t="s">
        <v>851</v>
      </c>
      <c r="B131" s="55">
        <v>1214</v>
      </c>
      <c r="C131" s="55">
        <v>38</v>
      </c>
      <c r="D131" s="55">
        <v>1252</v>
      </c>
      <c r="E131" s="55">
        <v>638</v>
      </c>
      <c r="F131" s="55">
        <v>1144</v>
      </c>
      <c r="G131" s="57">
        <v>530</v>
      </c>
    </row>
    <row r="132" spans="1:7">
      <c r="A132" s="393"/>
      <c r="B132" s="55"/>
      <c r="C132" s="55"/>
      <c r="D132" s="55"/>
      <c r="E132" s="55"/>
      <c r="F132" s="55"/>
      <c r="G132" s="57"/>
    </row>
    <row r="133" spans="1:7">
      <c r="A133" s="2429" t="s">
        <v>852</v>
      </c>
      <c r="B133" s="55">
        <v>1086</v>
      </c>
      <c r="C133" s="55">
        <v>248</v>
      </c>
      <c r="D133" s="55">
        <v>1334</v>
      </c>
      <c r="E133" s="55">
        <v>393</v>
      </c>
      <c r="F133" s="55">
        <v>1631</v>
      </c>
      <c r="G133" s="57">
        <v>495</v>
      </c>
    </row>
    <row r="134" spans="1:7">
      <c r="A134" s="393"/>
      <c r="B134" s="55"/>
      <c r="C134" s="55"/>
      <c r="D134" s="55"/>
      <c r="E134" s="55"/>
      <c r="F134" s="55"/>
      <c r="G134" s="57"/>
    </row>
    <row r="135" spans="1:7">
      <c r="A135" s="2430" t="s">
        <v>853</v>
      </c>
      <c r="B135" s="75">
        <v>1427</v>
      </c>
      <c r="C135" s="75">
        <v>282</v>
      </c>
      <c r="D135" s="75">
        <v>1709</v>
      </c>
      <c r="E135" s="75">
        <v>476</v>
      </c>
      <c r="F135" s="75">
        <v>2006</v>
      </c>
      <c r="G135" s="1730">
        <v>320</v>
      </c>
    </row>
    <row r="141" spans="1:7">
      <c r="A141" s="2793" t="s">
        <v>854</v>
      </c>
      <c r="B141" s="2793"/>
      <c r="C141" s="2793"/>
      <c r="D141" s="2793"/>
    </row>
    <row r="142" spans="1:7">
      <c r="A142" s="84" t="s">
        <v>855</v>
      </c>
      <c r="B142" s="84"/>
      <c r="C142" t="s">
        <v>277</v>
      </c>
    </row>
    <row r="143" spans="1:7">
      <c r="A143" s="105" t="s">
        <v>856</v>
      </c>
      <c r="B143" s="106" t="s">
        <v>857</v>
      </c>
      <c r="C143" s="106"/>
      <c r="D143" s="119"/>
    </row>
    <row r="144" spans="1:7">
      <c r="A144" s="40" t="s">
        <v>858</v>
      </c>
      <c r="B144" s="41" t="s">
        <v>859</v>
      </c>
      <c r="C144" s="41" t="s">
        <v>277</v>
      </c>
      <c r="D144" s="64" t="s">
        <v>860</v>
      </c>
      <c r="F144">
        <f>55649/49</f>
        <v>1135.6938775510205</v>
      </c>
    </row>
    <row r="145" spans="1:7">
      <c r="A145" s="40" t="s">
        <v>248</v>
      </c>
      <c r="B145" s="41">
        <v>54</v>
      </c>
      <c r="C145" s="89">
        <v>1135.7</v>
      </c>
      <c r="D145" s="64">
        <f>+C145*B145</f>
        <v>61327.8</v>
      </c>
    </row>
    <row r="146" spans="1:7">
      <c r="A146" s="40" t="s">
        <v>249</v>
      </c>
      <c r="B146" s="41">
        <v>48</v>
      </c>
      <c r="C146" s="89">
        <v>1135.7</v>
      </c>
      <c r="D146" s="64">
        <v>56494</v>
      </c>
    </row>
    <row r="147" spans="1:7">
      <c r="A147" s="40" t="s">
        <v>250</v>
      </c>
      <c r="B147" s="41">
        <v>52</v>
      </c>
      <c r="C147" s="89">
        <v>1135.7</v>
      </c>
      <c r="D147" s="64">
        <f t="shared" ref="D147:D155" si="17">+C147*B147</f>
        <v>59056.4</v>
      </c>
    </row>
    <row r="148" spans="1:7">
      <c r="A148" s="40" t="s">
        <v>861</v>
      </c>
      <c r="B148" s="41">
        <v>49</v>
      </c>
      <c r="C148" s="89">
        <v>1135.7</v>
      </c>
      <c r="D148" s="64">
        <f t="shared" si="17"/>
        <v>55649.3</v>
      </c>
    </row>
    <row r="149" spans="1:7">
      <c r="A149" s="40" t="s">
        <v>862</v>
      </c>
      <c r="B149" s="41">
        <v>44</v>
      </c>
      <c r="C149" s="89">
        <v>1135.7</v>
      </c>
      <c r="D149" s="64">
        <f t="shared" si="17"/>
        <v>49970.8</v>
      </c>
    </row>
    <row r="150" spans="1:7">
      <c r="A150" s="40" t="s">
        <v>863</v>
      </c>
      <c r="B150" s="41">
        <v>49</v>
      </c>
      <c r="C150" s="89">
        <v>1135.7</v>
      </c>
      <c r="D150" s="64">
        <f t="shared" si="17"/>
        <v>55649.3</v>
      </c>
    </row>
    <row r="151" spans="1:7">
      <c r="A151" s="40" t="s">
        <v>864</v>
      </c>
      <c r="B151" s="41">
        <v>49</v>
      </c>
      <c r="C151" s="89">
        <v>1135.7</v>
      </c>
      <c r="D151" s="64">
        <f t="shared" si="17"/>
        <v>55649.3</v>
      </c>
    </row>
    <row r="152" spans="1:7">
      <c r="A152" s="40" t="s">
        <v>865</v>
      </c>
      <c r="B152" s="41">
        <v>51</v>
      </c>
      <c r="C152" s="89">
        <v>1135.7</v>
      </c>
      <c r="D152" s="64">
        <f t="shared" si="17"/>
        <v>57920.700000000004</v>
      </c>
    </row>
    <row r="153" spans="1:7">
      <c r="A153" s="40" t="s">
        <v>866</v>
      </c>
      <c r="B153" s="41">
        <v>48</v>
      </c>
      <c r="C153" s="89">
        <v>1135.7</v>
      </c>
      <c r="D153" s="64">
        <f t="shared" si="17"/>
        <v>54513.600000000006</v>
      </c>
    </row>
    <row r="154" spans="1:7">
      <c r="A154" s="40" t="s">
        <v>867</v>
      </c>
      <c r="B154" s="41">
        <v>53</v>
      </c>
      <c r="C154" s="89">
        <v>1135.7</v>
      </c>
      <c r="D154" s="64">
        <f t="shared" si="17"/>
        <v>60192.100000000006</v>
      </c>
    </row>
    <row r="155" spans="1:7">
      <c r="A155" s="40" t="s">
        <v>868</v>
      </c>
      <c r="B155" s="41">
        <v>51</v>
      </c>
      <c r="C155" s="89">
        <v>1135.7</v>
      </c>
      <c r="D155" s="64">
        <f t="shared" si="17"/>
        <v>57920.700000000004</v>
      </c>
      <c r="F155">
        <f>724720+88584.6</f>
        <v>813304.6</v>
      </c>
    </row>
    <row r="156" spans="1:7">
      <c r="A156" s="40" t="s">
        <v>869</v>
      </c>
      <c r="B156" s="41">
        <f>SUM(B145:B155)</f>
        <v>548</v>
      </c>
      <c r="C156" s="41"/>
      <c r="D156" s="41">
        <f>SUM(D145:D155)</f>
        <v>624343.99999999988</v>
      </c>
    </row>
    <row r="157" spans="1:7">
      <c r="A157" s="1731" t="s">
        <v>870</v>
      </c>
      <c r="B157" s="1661">
        <v>626</v>
      </c>
      <c r="C157" s="886"/>
      <c r="D157" s="1661">
        <v>724720</v>
      </c>
    </row>
    <row r="158" spans="1:7">
      <c r="A158" s="105" t="s">
        <v>871</v>
      </c>
      <c r="B158" s="119">
        <v>78</v>
      </c>
      <c r="D158" s="1732">
        <v>100376</v>
      </c>
      <c r="G158">
        <f>99693-51357</f>
        <v>48336</v>
      </c>
    </row>
    <row r="159" spans="1:7">
      <c r="A159" s="40" t="s">
        <v>872</v>
      </c>
      <c r="B159" s="64">
        <v>156</v>
      </c>
    </row>
    <row r="160" spans="1:7">
      <c r="A160" s="40" t="s">
        <v>873</v>
      </c>
      <c r="B160" s="64">
        <v>78</v>
      </c>
    </row>
    <row r="161" spans="1:11">
      <c r="A161" s="107"/>
      <c r="B161" s="887">
        <f>78*1135.7</f>
        <v>88584.6</v>
      </c>
    </row>
    <row r="165" spans="1:11">
      <c r="K165">
        <f>78*1135.7</f>
        <v>88584.6</v>
      </c>
    </row>
    <row r="171" spans="1:11">
      <c r="C171" s="2913" t="s">
        <v>874</v>
      </c>
      <c r="D171" s="2913"/>
      <c r="E171" s="2913"/>
      <c r="F171" s="2913"/>
      <c r="G171" s="2913"/>
      <c r="H171" s="2913"/>
    </row>
    <row r="172" spans="1:11">
      <c r="C172" s="140" t="s">
        <v>875</v>
      </c>
      <c r="D172" s="140" t="s">
        <v>876</v>
      </c>
      <c r="E172" s="41" t="s">
        <v>704</v>
      </c>
      <c r="F172" s="140" t="s">
        <v>877</v>
      </c>
      <c r="G172" s="140" t="s">
        <v>878</v>
      </c>
      <c r="H172" s="140"/>
    </row>
    <row r="173" spans="1:11">
      <c r="C173" s="140">
        <v>1</v>
      </c>
      <c r="D173" s="140">
        <v>2310303</v>
      </c>
      <c r="E173" s="41" t="s">
        <v>356</v>
      </c>
      <c r="F173" s="140">
        <v>48.6</v>
      </c>
      <c r="G173" s="140" t="s">
        <v>879</v>
      </c>
      <c r="H173" s="140"/>
    </row>
    <row r="174" spans="1:11">
      <c r="C174" s="140">
        <v>2</v>
      </c>
      <c r="D174" s="140">
        <v>2310348</v>
      </c>
      <c r="E174" s="41" t="s">
        <v>356</v>
      </c>
      <c r="F174" s="140">
        <v>48.6</v>
      </c>
      <c r="G174" s="140" t="s">
        <v>880</v>
      </c>
      <c r="H174" s="140"/>
    </row>
    <row r="175" spans="1:11">
      <c r="C175" s="140">
        <v>3</v>
      </c>
      <c r="D175" s="140">
        <v>2320456</v>
      </c>
      <c r="E175" s="41" t="s">
        <v>881</v>
      </c>
      <c r="F175" s="140">
        <v>44.96</v>
      </c>
      <c r="G175" s="140" t="s">
        <v>882</v>
      </c>
      <c r="H175" s="140"/>
    </row>
    <row r="176" spans="1:11">
      <c r="C176" s="140">
        <v>4</v>
      </c>
      <c r="D176" s="140">
        <v>2320477</v>
      </c>
      <c r="E176" s="41" t="s">
        <v>881</v>
      </c>
      <c r="F176" s="140">
        <v>42.59</v>
      </c>
      <c r="G176" s="140" t="s">
        <v>883</v>
      </c>
      <c r="H176" s="140"/>
    </row>
    <row r="177" spans="3:8">
      <c r="C177" s="140">
        <v>5</v>
      </c>
      <c r="D177" s="140">
        <v>2320711</v>
      </c>
      <c r="E177" s="41" t="s">
        <v>884</v>
      </c>
      <c r="F177" s="140">
        <v>45</v>
      </c>
      <c r="G177" s="140" t="s">
        <v>885</v>
      </c>
      <c r="H177" s="140"/>
    </row>
    <row r="178" spans="3:8">
      <c r="C178" s="140">
        <v>6</v>
      </c>
      <c r="D178" s="140">
        <v>2330547</v>
      </c>
      <c r="E178" s="41" t="s">
        <v>884</v>
      </c>
      <c r="F178" s="140">
        <v>45</v>
      </c>
      <c r="G178" s="140" t="s">
        <v>885</v>
      </c>
      <c r="H178" s="140"/>
    </row>
    <row r="179" spans="3:8">
      <c r="C179" s="140">
        <v>7</v>
      </c>
      <c r="D179" s="140">
        <v>2330020</v>
      </c>
      <c r="E179" s="41" t="s">
        <v>886</v>
      </c>
      <c r="F179" s="140">
        <v>49</v>
      </c>
      <c r="G179" s="140" t="s">
        <v>887</v>
      </c>
      <c r="H179" s="140"/>
    </row>
    <row r="180" spans="3:8">
      <c r="C180" s="140">
        <v>8</v>
      </c>
      <c r="D180" s="140">
        <v>2350025</v>
      </c>
      <c r="E180" s="41" t="s">
        <v>712</v>
      </c>
      <c r="F180" s="140">
        <v>59</v>
      </c>
      <c r="G180" s="140" t="s">
        <v>888</v>
      </c>
      <c r="H180" s="140"/>
    </row>
    <row r="181" spans="3:8">
      <c r="C181" s="140">
        <v>9</v>
      </c>
      <c r="D181" s="140">
        <v>2430025</v>
      </c>
      <c r="E181" s="41" t="s">
        <v>889</v>
      </c>
      <c r="F181" s="140">
        <v>33.58</v>
      </c>
      <c r="G181" s="140" t="s">
        <v>890</v>
      </c>
      <c r="H181" s="140"/>
    </row>
    <row r="182" spans="3:8">
      <c r="C182" s="140">
        <v>10</v>
      </c>
      <c r="D182" s="140">
        <v>2430040</v>
      </c>
      <c r="E182" s="41" t="s">
        <v>881</v>
      </c>
      <c r="F182" s="140">
        <v>43.26</v>
      </c>
      <c r="G182" s="140" t="s">
        <v>891</v>
      </c>
      <c r="H182" s="140"/>
    </row>
    <row r="183" spans="3:8">
      <c r="C183" s="140">
        <v>11</v>
      </c>
      <c r="D183" s="140">
        <v>2430062</v>
      </c>
      <c r="E183" s="41" t="s">
        <v>351</v>
      </c>
      <c r="F183" s="140">
        <v>36.909999999999997</v>
      </c>
      <c r="G183" s="140" t="s">
        <v>892</v>
      </c>
      <c r="H183" s="140"/>
    </row>
    <row r="184" spans="3:8">
      <c r="C184" s="140">
        <v>12</v>
      </c>
      <c r="D184" s="140">
        <v>2430088</v>
      </c>
      <c r="E184" s="41" t="s">
        <v>351</v>
      </c>
      <c r="F184" s="140">
        <v>34.880000000000003</v>
      </c>
      <c r="G184" s="140" t="s">
        <v>893</v>
      </c>
      <c r="H184" s="140"/>
    </row>
    <row r="185" spans="3:8">
      <c r="C185" s="140">
        <v>13</v>
      </c>
      <c r="D185" s="140">
        <v>2430231</v>
      </c>
      <c r="E185" s="41" t="s">
        <v>881</v>
      </c>
      <c r="F185" s="140">
        <v>43.44</v>
      </c>
      <c r="G185" s="140" t="s">
        <v>894</v>
      </c>
      <c r="H185" s="140"/>
    </row>
    <row r="186" spans="3:8">
      <c r="C186" s="140">
        <v>14</v>
      </c>
      <c r="D186" s="140">
        <v>2430339</v>
      </c>
      <c r="E186" s="41" t="s">
        <v>353</v>
      </c>
      <c r="F186" s="140">
        <v>51.1</v>
      </c>
      <c r="G186" s="140" t="s">
        <v>895</v>
      </c>
      <c r="H186" s="140"/>
    </row>
    <row r="187" spans="3:8">
      <c r="C187" s="140">
        <v>15</v>
      </c>
      <c r="D187" s="140">
        <v>2430263</v>
      </c>
      <c r="E187" s="41" t="s">
        <v>349</v>
      </c>
      <c r="F187" s="140">
        <v>48.6</v>
      </c>
      <c r="G187" s="140" t="s">
        <v>896</v>
      </c>
      <c r="H187" s="140"/>
    </row>
  </sheetData>
  <mergeCells count="15">
    <mergeCell ref="A141:D141"/>
    <mergeCell ref="C171:H171"/>
    <mergeCell ref="O77:O78"/>
    <mergeCell ref="O80:O81"/>
    <mergeCell ref="O82:O83"/>
    <mergeCell ref="H77:I77"/>
    <mergeCell ref="X77:X78"/>
    <mergeCell ref="X80:X81"/>
    <mergeCell ref="X82:X83"/>
    <mergeCell ref="C111:G111"/>
    <mergeCell ref="A1:G1"/>
    <mergeCell ref="D3:E3"/>
    <mergeCell ref="S3:T3"/>
    <mergeCell ref="R8:V8"/>
    <mergeCell ref="A65:F65"/>
  </mergeCells>
  <pageMargins left="0.74791666666666667" right="0.74791666666666667" top="0.98402777777777772" bottom="0.98402777777777772" header="0.51111111111111107" footer="0.51111111111111107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P23"/>
  <sheetViews>
    <sheetView workbookViewId="0">
      <selection activeCell="C10" sqref="C10:P23"/>
    </sheetView>
  </sheetViews>
  <sheetFormatPr defaultRowHeight="12.75"/>
  <cols>
    <col min="3" max="3" width="24" customWidth="1"/>
  </cols>
  <sheetData>
    <row r="10" spans="3:16">
      <c r="C10" s="140" t="s">
        <v>3990</v>
      </c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</row>
    <row r="11" spans="3:16">
      <c r="C11" s="140" t="s">
        <v>704</v>
      </c>
      <c r="D11" s="140" t="s">
        <v>2049</v>
      </c>
      <c r="E11" s="140" t="s">
        <v>2050</v>
      </c>
      <c r="F11" s="140" t="s">
        <v>2055</v>
      </c>
      <c r="G11" s="140" t="s">
        <v>2056</v>
      </c>
      <c r="H11" s="140" t="s">
        <v>2057</v>
      </c>
      <c r="I11" s="140" t="s">
        <v>115</v>
      </c>
      <c r="J11" s="140" t="s">
        <v>2246</v>
      </c>
      <c r="K11" s="140" t="s">
        <v>121</v>
      </c>
      <c r="L11" s="140" t="s">
        <v>2351</v>
      </c>
      <c r="M11" s="140" t="s">
        <v>2412</v>
      </c>
      <c r="N11" s="140" t="s">
        <v>2411</v>
      </c>
      <c r="O11" s="140" t="s">
        <v>3226</v>
      </c>
      <c r="P11" s="2679" t="s">
        <v>321</v>
      </c>
    </row>
    <row r="12" spans="3:16">
      <c r="C12" s="140" t="s">
        <v>3991</v>
      </c>
      <c r="D12" s="140"/>
      <c r="E12" s="140">
        <v>71.02</v>
      </c>
      <c r="F12" s="140"/>
      <c r="G12" s="140"/>
      <c r="H12" s="140"/>
      <c r="I12" s="140"/>
      <c r="J12" s="140"/>
      <c r="K12" s="140"/>
      <c r="L12" s="140"/>
      <c r="M12" s="140"/>
      <c r="N12" s="140"/>
      <c r="O12" s="140">
        <v>161.6</v>
      </c>
      <c r="P12" s="140">
        <f>43.42+67.51</f>
        <v>110.93</v>
      </c>
    </row>
    <row r="13" spans="3:16">
      <c r="C13" s="140" t="s">
        <v>3992</v>
      </c>
      <c r="D13" s="140"/>
      <c r="E13" s="140">
        <v>72.599999999999994</v>
      </c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3:16">
      <c r="C14" s="140" t="s">
        <v>3993</v>
      </c>
      <c r="D14" s="140">
        <v>36.854999999999997</v>
      </c>
      <c r="E14" s="140">
        <v>52.94</v>
      </c>
      <c r="F14" s="140">
        <v>201.4</v>
      </c>
      <c r="G14" s="140">
        <v>50.78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/>
      <c r="O14" s="140"/>
      <c r="P14" s="140"/>
    </row>
    <row r="15" spans="3:16">
      <c r="C15" s="140" t="s">
        <v>3994</v>
      </c>
      <c r="D15" s="140">
        <v>40.654000000000003</v>
      </c>
      <c r="E15" s="140">
        <v>49.67</v>
      </c>
      <c r="F15" s="140">
        <v>94.03</v>
      </c>
      <c r="G15" s="140">
        <v>50.79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/>
      <c r="O15" s="140"/>
      <c r="P15" s="140"/>
    </row>
    <row r="16" spans="3:16">
      <c r="C16" s="140" t="s">
        <v>3995</v>
      </c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>
        <v>143.27000000000001</v>
      </c>
      <c r="O16" s="140"/>
      <c r="P16" s="140"/>
    </row>
    <row r="17" spans="3:16">
      <c r="C17" s="140" t="s">
        <v>3996</v>
      </c>
      <c r="D17" s="140">
        <v>98.66</v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3:16">
      <c r="C18" s="140" t="s">
        <v>2275</v>
      </c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>
        <v>37.47</v>
      </c>
      <c r="O18" s="140"/>
      <c r="P18" s="140"/>
    </row>
    <row r="19" spans="3:16">
      <c r="C19" s="140" t="s">
        <v>2291</v>
      </c>
      <c r="D19" s="140"/>
      <c r="E19" s="140"/>
      <c r="F19" s="140"/>
      <c r="G19" s="140">
        <v>51.14</v>
      </c>
      <c r="H19" s="140"/>
      <c r="I19" s="140"/>
      <c r="J19" s="140"/>
      <c r="K19" s="140"/>
      <c r="L19" s="140"/>
      <c r="M19" s="140"/>
      <c r="N19" s="140"/>
      <c r="O19" s="140"/>
      <c r="P19" s="140"/>
    </row>
    <row r="20" spans="3:16">
      <c r="C20" s="140" t="s">
        <v>2291</v>
      </c>
      <c r="D20" s="140"/>
      <c r="E20" s="140"/>
      <c r="F20" s="140"/>
      <c r="G20" s="140">
        <v>98.33</v>
      </c>
      <c r="H20" s="140"/>
      <c r="I20" s="140"/>
      <c r="J20" s="140"/>
      <c r="K20" s="140"/>
      <c r="L20" s="140"/>
      <c r="M20" s="140"/>
      <c r="N20" s="140"/>
      <c r="O20" s="140"/>
      <c r="P20" s="140"/>
    </row>
    <row r="21" spans="3:16">
      <c r="C21" s="140" t="s">
        <v>23</v>
      </c>
      <c r="D21" s="140">
        <v>176.16899999999998</v>
      </c>
      <c r="E21" s="140">
        <v>102.61</v>
      </c>
      <c r="F21" s="140">
        <v>295.43</v>
      </c>
      <c r="G21" s="140">
        <v>251.03999999999996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180.74</v>
      </c>
      <c r="O21" s="140">
        <v>161.6</v>
      </c>
      <c r="P21" s="140"/>
    </row>
    <row r="22" spans="3:16">
      <c r="C22" s="140" t="s">
        <v>3997</v>
      </c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3:16">
      <c r="C23" s="140" t="s">
        <v>3998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73"/>
  <sheetViews>
    <sheetView topLeftCell="A551" zoomScaleSheetLayoutView="100" workbookViewId="0">
      <selection activeCell="F24" sqref="F24"/>
    </sheetView>
  </sheetViews>
  <sheetFormatPr defaultColWidth="9" defaultRowHeight="12.75"/>
  <cols>
    <col min="1" max="1" width="11" customWidth="1"/>
    <col min="2" max="2" width="14.28515625" customWidth="1"/>
    <col min="3" max="3" width="11" customWidth="1"/>
    <col min="4" max="4" width="22.5703125" customWidth="1"/>
    <col min="5" max="5" width="9.85546875" customWidth="1"/>
    <col min="6" max="6" width="6.7109375" customWidth="1"/>
    <col min="7" max="7" width="23.42578125" customWidth="1"/>
    <col min="8" max="8" width="6.5703125" customWidth="1"/>
    <col min="9" max="9" width="6.85546875" customWidth="1"/>
    <col min="10" max="10" width="27" customWidth="1"/>
    <col min="11" max="11" width="51" customWidth="1"/>
    <col min="12" max="12" width="11.140625" customWidth="1"/>
    <col min="13" max="13" width="11" customWidth="1"/>
    <col min="14" max="14" width="8.42578125" customWidth="1"/>
    <col min="15" max="15" width="12.28515625" customWidth="1"/>
    <col min="16" max="16" width="14.140625" customWidth="1"/>
    <col min="17" max="17" width="16.85546875" customWidth="1"/>
    <col min="18" max="18" width="16.28515625" customWidth="1"/>
    <col min="19" max="21" width="16" customWidth="1"/>
    <col min="22" max="22" width="17.42578125" customWidth="1"/>
    <col min="26" max="26" width="17.140625" customWidth="1"/>
    <col min="27" max="27" width="22.5703125" customWidth="1"/>
    <col min="28" max="28" width="20.42578125" customWidth="1"/>
    <col min="29" max="29" width="14" customWidth="1"/>
    <col min="30" max="30" width="23.140625" customWidth="1"/>
    <col min="31" max="31" width="17.42578125" customWidth="1"/>
    <col min="32" max="32" width="6.140625" customWidth="1"/>
    <col min="33" max="33" width="7.5703125" customWidth="1"/>
    <col min="34" max="34" width="8" customWidth="1"/>
    <col min="36" max="36" width="19" customWidth="1"/>
  </cols>
  <sheetData>
    <row r="1" spans="1:23" ht="18">
      <c r="A1" s="2916" t="s">
        <v>897</v>
      </c>
      <c r="B1" s="2917"/>
      <c r="C1" s="2917"/>
      <c r="D1" s="2917"/>
      <c r="E1" s="2917"/>
      <c r="F1" s="2917"/>
      <c r="G1" s="2917"/>
      <c r="H1" s="2917"/>
      <c r="I1" s="2917"/>
      <c r="J1" s="2918"/>
      <c r="L1" s="1516"/>
      <c r="M1" s="1517"/>
      <c r="N1" s="1517"/>
      <c r="O1" s="1518"/>
    </row>
    <row r="2" spans="1:23" ht="15.75">
      <c r="A2" s="2919" t="s">
        <v>898</v>
      </c>
      <c r="B2" s="2920"/>
      <c r="C2" s="2920"/>
      <c r="D2" s="2920"/>
      <c r="E2" s="2920"/>
      <c r="F2" s="2920"/>
      <c r="G2" s="2920"/>
      <c r="H2" s="2920"/>
      <c r="I2" s="2920"/>
      <c r="J2" s="2921"/>
      <c r="L2" s="1519"/>
      <c r="M2" s="1520"/>
      <c r="N2" s="1520"/>
      <c r="O2" s="1521"/>
    </row>
    <row r="3" spans="1:23" ht="11.25" customHeight="1">
      <c r="A3" s="1488"/>
      <c r="B3" s="1489"/>
      <c r="C3" s="1489"/>
      <c r="D3" s="1489"/>
      <c r="E3" s="1489"/>
      <c r="F3" s="1489"/>
      <c r="G3" s="1489"/>
      <c r="H3" s="1489"/>
      <c r="I3" s="1489"/>
      <c r="J3" s="1522"/>
      <c r="L3" s="1519"/>
      <c r="M3" s="1520"/>
      <c r="N3" s="1520"/>
      <c r="O3" s="1521"/>
    </row>
    <row r="4" spans="1:23" ht="14.25" hidden="1" customHeight="1">
      <c r="A4" s="1488" t="s">
        <v>899</v>
      </c>
      <c r="B4" s="1490" t="str">
        <f>'MIS MONTH WISE FUEL NMGCAL '!J9</f>
        <v>11/07/24</v>
      </c>
      <c r="C4" s="1489" t="s">
        <v>900</v>
      </c>
      <c r="D4" s="1489" t="s">
        <v>901</v>
      </c>
      <c r="E4" s="1491">
        <f>ROUND('MIS MONTH WISE FUEL NMGCAL '!D25,0)</f>
        <v>565</v>
      </c>
      <c r="F4" s="1489" t="s">
        <v>902</v>
      </c>
      <c r="G4" s="1489" t="s">
        <v>903</v>
      </c>
      <c r="H4" s="1491">
        <f>ROUND('MIS MONTH WISE FUEL NMGCAL '!D38,0)</f>
        <v>459</v>
      </c>
      <c r="I4" s="1489" t="s">
        <v>904</v>
      </c>
      <c r="J4" s="1523">
        <f>ROUND('MIS MONTH WISE FUEL NMGCAL '!D39,0)</f>
        <v>403</v>
      </c>
      <c r="L4" s="1519"/>
      <c r="M4" s="1520"/>
      <c r="N4" s="1520"/>
      <c r="O4" s="1521"/>
    </row>
    <row r="5" spans="1:23">
      <c r="A5" s="1492"/>
      <c r="B5" s="1493"/>
      <c r="C5" s="1493"/>
      <c r="D5" s="1493"/>
      <c r="E5" s="1493"/>
      <c r="F5" s="1493"/>
      <c r="G5" s="1493"/>
      <c r="H5" s="1493"/>
      <c r="I5" s="1493"/>
      <c r="J5" s="1524"/>
      <c r="L5" s="1525" t="s">
        <v>905</v>
      </c>
      <c r="M5" s="1526"/>
      <c r="N5" s="1526" t="s">
        <v>906</v>
      </c>
      <c r="O5" s="1527" t="str">
        <f>'MIS MONTH WISE FUEL NMGCAL '!J9</f>
        <v>11/07/24</v>
      </c>
    </row>
    <row r="6" spans="1:23" ht="18.75" customHeight="1">
      <c r="A6" s="1494" t="s">
        <v>907</v>
      </c>
      <c r="B6" s="1495"/>
      <c r="C6" s="1495"/>
      <c r="D6" s="1495"/>
      <c r="E6" s="1495"/>
      <c r="F6" s="1495"/>
      <c r="G6" s="1495"/>
      <c r="H6" s="1495"/>
      <c r="I6" s="2922" t="s">
        <v>908</v>
      </c>
      <c r="J6" s="2923"/>
      <c r="L6" s="1528" t="s">
        <v>477</v>
      </c>
      <c r="M6" s="1529" t="s">
        <v>525</v>
      </c>
      <c r="N6" s="1530" t="s">
        <v>909</v>
      </c>
      <c r="O6" s="1531" t="s">
        <v>277</v>
      </c>
    </row>
    <row r="7" spans="1:23" ht="9" customHeight="1">
      <c r="A7" s="1496" t="str">
        <f>CONCATENATE(A4,B4,C4," ",D4," ",E4,F4," ",G4,"  ",H4,I4,"; "," Dispatch: ",J4," T")</f>
        <v>Production Summary of 11/07/24 : Crude Steel: 565 T; Saleable Steel:  459 T;  Dispatch: 403 T</v>
      </c>
      <c r="B7" s="1497"/>
      <c r="C7" s="1497"/>
      <c r="D7" s="1497"/>
      <c r="E7" s="1497"/>
      <c r="F7" s="1497"/>
      <c r="G7" s="1497"/>
      <c r="H7" s="1497"/>
      <c r="I7" s="1532"/>
      <c r="J7" s="1533"/>
      <c r="L7" s="1528" t="s">
        <v>910</v>
      </c>
      <c r="M7" s="1530">
        <f>+'MIS MONTH WISE FUEL NMGCAL '!D25</f>
        <v>565.15</v>
      </c>
      <c r="N7" s="1530">
        <f>'md cell'!F11</f>
        <v>399.471</v>
      </c>
      <c r="O7" s="1531">
        <f>'MIS MONTH WISE FUEL NMGCAL '!G25</f>
        <v>10759.191000000001</v>
      </c>
    </row>
    <row r="8" spans="1:23" ht="13.5" customHeight="1">
      <c r="A8" s="1498"/>
      <c r="B8" s="1499"/>
      <c r="C8" s="1499"/>
      <c r="D8" s="1499"/>
      <c r="E8" s="1499"/>
      <c r="F8" s="1499"/>
      <c r="G8" s="1499"/>
      <c r="H8" s="1499"/>
      <c r="I8" s="1499"/>
      <c r="J8" s="1534"/>
      <c r="L8" s="1528" t="s">
        <v>37</v>
      </c>
      <c r="M8" s="1530">
        <f>'MIS MONTH WISE FUEL NMGCAL '!D38</f>
        <v>459.245</v>
      </c>
      <c r="N8" s="1530">
        <f>'md cell'!F20</f>
        <v>11402.186999999998</v>
      </c>
      <c r="O8" s="1531">
        <f>'DAILY FLASH'!AR56</f>
        <v>11402.186999999998</v>
      </c>
      <c r="P8" s="290"/>
    </row>
    <row r="9" spans="1:23" ht="15" customHeight="1">
      <c r="A9" s="1500" t="s">
        <v>911</v>
      </c>
      <c r="B9" s="1501"/>
      <c r="C9" s="1501"/>
      <c r="D9" s="1501">
        <v>1124367250</v>
      </c>
      <c r="E9" s="1501"/>
      <c r="F9" s="1501"/>
      <c r="G9" s="1501"/>
      <c r="H9" s="1501"/>
      <c r="I9" s="1501"/>
      <c r="J9" s="1501"/>
      <c r="L9" s="1528" t="s">
        <v>912</v>
      </c>
      <c r="M9" s="1530">
        <f>'MIS MONTH WISE FUEL NMGCAL '!D40</f>
        <v>0</v>
      </c>
      <c r="N9" s="1530">
        <f>'md cell'!F21</f>
        <v>11173.28</v>
      </c>
      <c r="O9" s="1531">
        <f>'md cell'!G21</f>
        <v>11173.28</v>
      </c>
    </row>
    <row r="10" spans="1:23" ht="15" customHeight="1">
      <c r="A10" s="1500"/>
      <c r="B10" s="1502" t="s">
        <v>913</v>
      </c>
      <c r="C10" s="1502"/>
      <c r="D10" s="1502"/>
      <c r="E10" s="1502"/>
      <c r="F10" s="1502"/>
      <c r="G10" s="1502"/>
      <c r="H10" s="1502"/>
      <c r="I10" s="1501"/>
      <c r="J10" s="1501"/>
      <c r="L10" s="1528" t="s">
        <v>914</v>
      </c>
      <c r="M10" s="1530">
        <f>'MIS MONTH WISE FUEL NMGCAL '!D24</f>
        <v>0</v>
      </c>
      <c r="N10" s="1530">
        <f>'MIS MONTH WISE FUEL NMGCAL '!E24</f>
        <v>399.471</v>
      </c>
      <c r="O10" s="1531">
        <f>'MIS MONTH WISE FUEL NMGCAL '!G24</f>
        <v>399.471</v>
      </c>
    </row>
    <row r="11" spans="1:23" ht="15" customHeight="1">
      <c r="A11" s="1500" t="s">
        <v>915</v>
      </c>
      <c r="B11" s="1501"/>
      <c r="C11" s="1501"/>
      <c r="D11" s="1501"/>
      <c r="E11" s="1501"/>
      <c r="F11" s="1501"/>
      <c r="G11" s="1501"/>
      <c r="H11" s="1501"/>
      <c r="I11" s="1501"/>
      <c r="J11" s="1501"/>
      <c r="L11" s="1528" t="s">
        <v>471</v>
      </c>
      <c r="M11" s="1530">
        <f>'MIS MONTH WISE FUEL NMGCAL '!D26</f>
        <v>8</v>
      </c>
      <c r="N11" s="1530">
        <f>'MIS MONTH WISE FUEL NMGCAL '!E26</f>
        <v>215</v>
      </c>
      <c r="O11" s="1531"/>
      <c r="P11" s="1511" t="s">
        <v>916</v>
      </c>
    </row>
    <row r="12" spans="1:23" ht="15" customHeight="1">
      <c r="A12" s="1503" t="s">
        <v>917</v>
      </c>
      <c r="B12" s="1504"/>
      <c r="C12" s="1504"/>
      <c r="D12" s="1504"/>
      <c r="E12" s="1505"/>
      <c r="F12" s="1505"/>
      <c r="G12" s="1505"/>
      <c r="H12" s="1505"/>
      <c r="I12" s="1505"/>
      <c r="J12" s="1505"/>
      <c r="K12" s="104" t="s">
        <v>918</v>
      </c>
      <c r="L12" s="1528" t="s">
        <v>919</v>
      </c>
      <c r="M12" s="1530">
        <f>'MIS MONTH WISE FUEL NMGCAL '!D29</f>
        <v>0</v>
      </c>
      <c r="N12" s="1530">
        <f>'MIS MONTH WISE FUEL NMGCAL '!E29</f>
        <v>2</v>
      </c>
      <c r="O12" s="1531"/>
      <c r="T12">
        <f>3183+552+6547</f>
        <v>10282</v>
      </c>
    </row>
    <row r="13" spans="1:23" ht="15" customHeight="1">
      <c r="A13" s="1506"/>
      <c r="B13" s="1507" t="s">
        <v>920</v>
      </c>
      <c r="C13" s="1507"/>
      <c r="D13" s="1508">
        <v>43033</v>
      </c>
      <c r="E13" s="1508">
        <v>43034</v>
      </c>
      <c r="F13" s="1508">
        <v>43035</v>
      </c>
      <c r="G13" s="1508">
        <v>43036</v>
      </c>
      <c r="H13" s="1508">
        <v>43037</v>
      </c>
      <c r="I13" s="1508">
        <v>43038</v>
      </c>
      <c r="J13" s="1508">
        <v>43039</v>
      </c>
      <c r="K13" s="795" t="s">
        <v>23</v>
      </c>
      <c r="L13" s="1528" t="s">
        <v>633</v>
      </c>
      <c r="M13" s="1535"/>
      <c r="N13" s="1530"/>
      <c r="O13" s="1531"/>
    </row>
    <row r="14" spans="1:23" ht="15" customHeight="1">
      <c r="A14" s="1506" t="s">
        <v>633</v>
      </c>
      <c r="B14" s="1507">
        <v>572</v>
      </c>
      <c r="C14" s="1507"/>
      <c r="D14" s="1507">
        <v>200</v>
      </c>
      <c r="E14" s="1507">
        <v>50</v>
      </c>
      <c r="F14" s="1507"/>
      <c r="G14" s="1507">
        <v>50</v>
      </c>
      <c r="H14" s="1507"/>
      <c r="I14" s="1507">
        <v>100</v>
      </c>
      <c r="J14" s="1507">
        <v>100</v>
      </c>
      <c r="K14" s="1147">
        <f>+B14+D14+E14+F14+G14+H14+I14+J14+B14</f>
        <v>1644</v>
      </c>
      <c r="L14" s="1528"/>
      <c r="M14" s="1535"/>
      <c r="N14" s="1530"/>
      <c r="O14" s="1531"/>
    </row>
    <row r="15" spans="1:23" ht="15" customHeight="1">
      <c r="A15" s="1506" t="s">
        <v>711</v>
      </c>
      <c r="B15" s="1507">
        <v>1312</v>
      </c>
      <c r="C15" s="1507"/>
      <c r="D15" s="1507">
        <v>200</v>
      </c>
      <c r="E15" s="1507">
        <v>40</v>
      </c>
      <c r="F15" s="1507">
        <v>80</v>
      </c>
      <c r="G15" s="1507">
        <v>0</v>
      </c>
      <c r="H15" s="1507">
        <v>40</v>
      </c>
      <c r="I15" s="1507">
        <v>240</v>
      </c>
      <c r="J15" s="1507">
        <v>200</v>
      </c>
      <c r="K15" s="1147">
        <f>+B15+D15+E15+F15+G15+H15+I15+J15+B15</f>
        <v>3424</v>
      </c>
      <c r="L15" s="1528"/>
      <c r="M15" s="1535"/>
      <c r="N15" s="1530"/>
      <c r="O15" s="1531"/>
      <c r="R15">
        <f>70520+500</f>
        <v>71020</v>
      </c>
      <c r="S15" s="1560">
        <v>59080</v>
      </c>
      <c r="T15" s="1560">
        <v>54777</v>
      </c>
      <c r="U15" s="1561"/>
      <c r="V15" s="540">
        <f>+T15/S15*100</f>
        <v>92.716655382532167</v>
      </c>
      <c r="W15">
        <f>71020*0.93</f>
        <v>66048.600000000006</v>
      </c>
    </row>
    <row r="16" spans="1:23" ht="15" customHeight="1">
      <c r="A16" s="1506" t="s">
        <v>921</v>
      </c>
      <c r="B16" s="1507">
        <v>207</v>
      </c>
      <c r="C16" s="1507"/>
      <c r="D16" s="1507">
        <v>25</v>
      </c>
      <c r="E16" s="1507">
        <v>25</v>
      </c>
      <c r="F16" s="1507"/>
      <c r="G16" s="1507"/>
      <c r="H16" s="1507"/>
      <c r="I16" s="1507">
        <v>8</v>
      </c>
      <c r="J16" s="1507"/>
      <c r="K16" s="1147">
        <f>+B16+D16+E16+F16+G16+H16+I16+J16+B16</f>
        <v>472</v>
      </c>
      <c r="L16" s="1528"/>
      <c r="M16" s="1535"/>
      <c r="N16" s="1530"/>
      <c r="O16" s="1531"/>
      <c r="P16" s="84" t="s">
        <v>922</v>
      </c>
      <c r="R16">
        <v>501</v>
      </c>
      <c r="S16" s="1562">
        <v>415</v>
      </c>
      <c r="T16" s="1562">
        <v>696</v>
      </c>
      <c r="U16" s="1563"/>
      <c r="V16" s="540">
        <f t="shared" ref="V16:V24" si="0">+T16/S16*100</f>
        <v>167.71084337349399</v>
      </c>
      <c r="W16">
        <f>501*1.68</f>
        <v>841.68</v>
      </c>
    </row>
    <row r="17" spans="1:27" ht="15" customHeight="1">
      <c r="A17" s="1509"/>
      <c r="B17" s="1510"/>
      <c r="C17" s="1510"/>
      <c r="D17" s="1510"/>
      <c r="E17" s="1510"/>
      <c r="F17" s="1510"/>
      <c r="G17" s="1510"/>
      <c r="H17" s="1510"/>
      <c r="I17" s="1510"/>
      <c r="J17" s="1510"/>
      <c r="K17" s="1536"/>
      <c r="L17" s="1528"/>
      <c r="M17" s="1535"/>
      <c r="N17" s="1530"/>
      <c r="O17" s="1531"/>
      <c r="R17">
        <v>6064</v>
      </c>
      <c r="S17" s="1562">
        <v>5000</v>
      </c>
      <c r="T17" s="1562">
        <v>3495</v>
      </c>
      <c r="U17" s="1563"/>
      <c r="V17" s="540">
        <f t="shared" si="0"/>
        <v>69.899999999999991</v>
      </c>
      <c r="W17">
        <f>6064*0.7</f>
        <v>4244.8</v>
      </c>
    </row>
    <row r="18" spans="1:27" ht="15" customHeight="1">
      <c r="A18" s="1500"/>
      <c r="B18" s="1501"/>
      <c r="C18" s="1501"/>
      <c r="D18" s="1501"/>
      <c r="E18" s="1501"/>
      <c r="F18" s="1501"/>
      <c r="G18" s="1501"/>
      <c r="H18" s="1501"/>
      <c r="I18" s="1501"/>
      <c r="J18" s="1501"/>
      <c r="L18" s="1528"/>
      <c r="M18" s="1535"/>
      <c r="N18" s="1530"/>
      <c r="O18" s="1531"/>
      <c r="R18">
        <v>1900</v>
      </c>
      <c r="S18" s="1562">
        <v>1580</v>
      </c>
      <c r="T18" s="1562">
        <v>1581</v>
      </c>
      <c r="U18" s="1563"/>
      <c r="V18" s="540">
        <f t="shared" si="0"/>
        <v>100.0632911392405</v>
      </c>
      <c r="W18">
        <v>1900</v>
      </c>
      <c r="AA18">
        <f>2*52*5</f>
        <v>520</v>
      </c>
    </row>
    <row r="19" spans="1:27" ht="15" customHeight="1">
      <c r="A19" s="1500"/>
      <c r="B19" s="1501"/>
      <c r="C19" s="1501"/>
      <c r="D19" s="1501"/>
      <c r="E19" s="1501"/>
      <c r="F19" s="1501"/>
      <c r="G19" s="1501"/>
      <c r="H19" s="1501"/>
      <c r="I19" s="1501"/>
      <c r="J19" s="1501"/>
      <c r="L19" s="1528"/>
      <c r="M19" s="1535"/>
      <c r="N19" s="1530"/>
      <c r="O19" s="1531"/>
      <c r="R19">
        <v>5315</v>
      </c>
      <c r="S19" s="1562">
        <v>4450</v>
      </c>
      <c r="T19" s="1562">
        <v>3183</v>
      </c>
      <c r="U19" s="1563"/>
      <c r="V19" s="540">
        <f>+T12/S19*100</f>
        <v>231.0561797752809</v>
      </c>
      <c r="W19">
        <f>5315*2.31</f>
        <v>12277.65</v>
      </c>
      <c r="AA19">
        <f>8*6*53</f>
        <v>2544</v>
      </c>
    </row>
    <row r="20" spans="1:27" ht="15" customHeight="1">
      <c r="A20" s="1500"/>
      <c r="B20" s="1501"/>
      <c r="C20" s="1501"/>
      <c r="D20" s="1501"/>
      <c r="E20" t="s">
        <v>923</v>
      </c>
      <c r="F20" s="1501"/>
      <c r="G20" s="1501"/>
      <c r="H20" s="1501"/>
      <c r="I20" s="1501"/>
      <c r="J20" s="1501"/>
      <c r="L20" s="1528"/>
      <c r="M20" s="1535"/>
      <c r="N20" s="1530"/>
      <c r="O20" s="1531"/>
      <c r="S20" s="1564"/>
      <c r="T20" s="1562">
        <v>552</v>
      </c>
      <c r="U20" s="1563"/>
      <c r="V20" s="540"/>
      <c r="AA20">
        <v>5048</v>
      </c>
    </row>
    <row r="21" spans="1:27" ht="15" customHeight="1">
      <c r="A21" s="1500"/>
      <c r="B21" s="1501"/>
      <c r="C21" s="1501"/>
      <c r="D21" s="1501"/>
      <c r="E21" s="1501" t="s">
        <v>924</v>
      </c>
      <c r="F21" s="1501"/>
      <c r="G21" s="1501"/>
      <c r="H21" s="1501"/>
      <c r="I21" s="1501"/>
      <c r="J21" s="1501"/>
      <c r="L21" s="1528"/>
      <c r="M21" s="1535"/>
      <c r="N21" s="1530"/>
      <c r="O21" s="1531"/>
      <c r="R21">
        <f>1954+2210</f>
        <v>4164</v>
      </c>
      <c r="S21" s="1562">
        <v>3435</v>
      </c>
      <c r="T21" s="1562">
        <v>1939</v>
      </c>
      <c r="U21" s="1563"/>
      <c r="V21" s="540">
        <f t="shared" si="0"/>
        <v>56.448326055312961</v>
      </c>
      <c r="W21">
        <f>4164*0.56</f>
        <v>2331.84</v>
      </c>
      <c r="AA21">
        <f>+AA19+AA20</f>
        <v>7592</v>
      </c>
    </row>
    <row r="22" spans="1:27" ht="15" customHeight="1">
      <c r="A22" s="1500"/>
      <c r="B22" s="1501"/>
      <c r="C22" s="1501"/>
      <c r="D22" s="1501"/>
      <c r="E22" s="1501"/>
      <c r="F22" s="1501"/>
      <c r="G22" s="1501"/>
      <c r="H22" s="1501"/>
      <c r="I22" s="1501"/>
      <c r="J22" s="1501"/>
      <c r="L22" s="1528"/>
      <c r="M22" s="1535"/>
      <c r="N22" s="1530"/>
      <c r="O22" s="1531"/>
      <c r="P22" s="1537" t="s">
        <v>925</v>
      </c>
      <c r="S22" s="1564"/>
      <c r="T22" s="1564"/>
      <c r="U22" s="1565"/>
      <c r="V22" s="540"/>
    </row>
    <row r="23" spans="1:27" ht="15" customHeight="1">
      <c r="A23" s="1500"/>
      <c r="B23" s="1501"/>
      <c r="C23" s="1501"/>
      <c r="D23" s="1501"/>
      <c r="E23" s="1501"/>
      <c r="F23" s="1501"/>
      <c r="G23" s="1501"/>
      <c r="H23" s="1501"/>
      <c r="I23" s="1501"/>
      <c r="J23" s="1501"/>
      <c r="L23" s="1528"/>
      <c r="M23" s="1535"/>
      <c r="N23" s="1530"/>
      <c r="O23" s="1531"/>
      <c r="P23" s="1537" t="s">
        <v>926</v>
      </c>
      <c r="R23">
        <v>0</v>
      </c>
      <c r="S23" s="1564"/>
      <c r="T23" s="1562">
        <v>6547</v>
      </c>
      <c r="U23" s="1563"/>
      <c r="V23" s="540"/>
    </row>
    <row r="24" spans="1:27" ht="15" customHeight="1">
      <c r="A24" s="1500"/>
      <c r="B24" s="1501"/>
      <c r="C24" s="1501"/>
      <c r="D24" s="1501"/>
      <c r="E24" s="1501"/>
      <c r="F24" s="1501"/>
      <c r="G24" s="1501"/>
      <c r="H24" s="1501"/>
      <c r="I24" s="1501"/>
      <c r="J24" s="1501"/>
      <c r="L24" s="1528"/>
      <c r="M24" s="1535"/>
      <c r="N24" s="1530"/>
      <c r="O24" s="1531"/>
      <c r="P24" s="1537" t="s">
        <v>927</v>
      </c>
      <c r="R24">
        <f>SUM(R15:R23)</f>
        <v>88964</v>
      </c>
      <c r="S24" s="1566">
        <v>73960</v>
      </c>
      <c r="T24" s="1567">
        <v>72770</v>
      </c>
      <c r="U24" s="1568"/>
      <c r="V24" s="540">
        <f t="shared" si="0"/>
        <v>98.391022174148191</v>
      </c>
      <c r="W24">
        <f>+R24*0.98</f>
        <v>87184.72</v>
      </c>
      <c r="X24">
        <f>SUM(W15:W21)</f>
        <v>87644.569999999992</v>
      </c>
    </row>
    <row r="25" spans="1:27" ht="15" customHeight="1">
      <c r="A25" s="1500" t="s">
        <v>928</v>
      </c>
      <c r="B25" s="1501"/>
      <c r="C25" s="1501"/>
      <c r="D25" s="1501"/>
      <c r="E25" s="1501"/>
      <c r="F25" s="1501"/>
      <c r="G25" s="1501"/>
      <c r="H25" s="1501"/>
      <c r="I25" s="1501"/>
      <c r="J25" s="1501"/>
      <c r="L25" s="1528"/>
      <c r="M25" s="1535"/>
      <c r="N25" s="1530"/>
      <c r="O25" s="1531"/>
      <c r="P25" s="1537" t="s">
        <v>929</v>
      </c>
    </row>
    <row r="26" spans="1:27" ht="15" customHeight="1">
      <c r="A26" s="1500"/>
      <c r="B26" s="1501"/>
      <c r="C26" s="1501"/>
      <c r="D26" s="1501"/>
      <c r="E26" s="1501"/>
      <c r="F26" s="1501"/>
      <c r="G26" s="1501"/>
      <c r="H26" s="1501"/>
      <c r="I26" s="1501"/>
      <c r="J26" s="1501"/>
      <c r="L26" s="1528"/>
      <c r="M26" s="1535"/>
      <c r="N26" s="1530"/>
      <c r="O26" s="1531"/>
      <c r="P26" s="1537" t="s">
        <v>930</v>
      </c>
    </row>
    <row r="27" spans="1:27" ht="15" customHeight="1">
      <c r="A27" s="1500"/>
      <c r="B27" s="1501"/>
      <c r="C27" s="1501"/>
      <c r="D27" s="1501"/>
      <c r="E27" s="1501"/>
      <c r="F27" s="1501"/>
      <c r="G27" s="1501"/>
      <c r="H27" s="1501"/>
      <c r="I27" s="1501"/>
      <c r="J27" s="1501"/>
      <c r="L27" s="1528"/>
      <c r="M27" s="1535"/>
      <c r="N27" s="1530"/>
      <c r="O27" s="1531"/>
      <c r="P27" s="1537" t="s">
        <v>931</v>
      </c>
    </row>
    <row r="28" spans="1:27" ht="15" customHeight="1">
      <c r="A28" s="1500"/>
      <c r="B28" s="1501"/>
      <c r="C28" s="1501"/>
      <c r="D28" s="1501"/>
      <c r="E28" s="1501"/>
      <c r="F28" s="1501"/>
      <c r="G28" s="1501"/>
      <c r="H28" s="1501"/>
      <c r="I28" s="1501"/>
      <c r="J28" s="1501"/>
      <c r="L28" s="1528"/>
      <c r="M28" s="1535"/>
      <c r="N28" s="1530"/>
      <c r="O28" s="1531"/>
      <c r="P28" s="1537" t="s">
        <v>932</v>
      </c>
    </row>
    <row r="29" spans="1:27" ht="15" customHeight="1">
      <c r="A29" s="1500"/>
      <c r="B29" s="1501"/>
      <c r="C29" s="1501"/>
      <c r="D29" s="1501"/>
      <c r="E29" s="1501"/>
      <c r="F29" s="1501"/>
      <c r="G29" s="1501"/>
      <c r="H29" s="1501"/>
      <c r="I29" s="1501"/>
      <c r="J29" s="1501"/>
      <c r="L29" s="1528"/>
      <c r="M29" s="1535"/>
      <c r="N29" s="1530"/>
      <c r="O29" s="1531"/>
      <c r="Q29" s="1537" t="s">
        <v>925</v>
      </c>
    </row>
    <row r="30" spans="1:27" ht="15" customHeight="1">
      <c r="A30" s="1500"/>
      <c r="B30" s="1501"/>
      <c r="C30" s="1501"/>
      <c r="D30" s="1501"/>
      <c r="E30" s="1501"/>
      <c r="F30" s="1501"/>
      <c r="G30" s="1501"/>
      <c r="H30" s="1501"/>
      <c r="I30" s="1501"/>
      <c r="J30" s="1501"/>
      <c r="L30" s="1528"/>
      <c r="M30" s="1535" t="s">
        <v>933</v>
      </c>
      <c r="N30" s="1530"/>
      <c r="O30" s="1531"/>
      <c r="Q30" s="1537" t="s">
        <v>926</v>
      </c>
    </row>
    <row r="31" spans="1:27" ht="15" customHeight="1">
      <c r="A31" s="1511" t="s">
        <v>916</v>
      </c>
      <c r="B31" s="1501"/>
      <c r="C31" s="1501"/>
      <c r="D31" s="1501"/>
      <c r="E31" s="1501"/>
      <c r="F31" s="1501"/>
      <c r="G31" s="1501"/>
      <c r="H31" s="1501"/>
      <c r="I31" s="1501"/>
      <c r="J31" s="1501"/>
      <c r="L31" s="1528"/>
      <c r="M31" s="1535"/>
      <c r="N31" s="1530"/>
      <c r="O31" s="1531"/>
      <c r="Q31" s="1537" t="s">
        <v>927</v>
      </c>
    </row>
    <row r="32" spans="1:27" ht="15" customHeight="1">
      <c r="A32" s="1500"/>
      <c r="B32" s="1501"/>
      <c r="C32" s="1501"/>
      <c r="D32" s="1501"/>
      <c r="E32" s="1501"/>
      <c r="F32" s="1501"/>
      <c r="G32" s="1501"/>
      <c r="H32" s="1501"/>
      <c r="I32" s="1501"/>
      <c r="J32" s="1501"/>
      <c r="L32" s="1528"/>
      <c r="M32" s="1535"/>
      <c r="N32" s="1530"/>
      <c r="O32" s="1531"/>
      <c r="Q32" s="1537" t="s">
        <v>929</v>
      </c>
    </row>
    <row r="33" spans="1:32" ht="103.5">
      <c r="B33" t="str">
        <f>A4:B4</f>
        <v>11/07/24</v>
      </c>
      <c r="D33">
        <v>2574317</v>
      </c>
      <c r="L33" s="1538" t="s">
        <v>142</v>
      </c>
      <c r="M33" s="1539"/>
      <c r="N33" s="1540">
        <f>'DAILY FLASH'!AL59</f>
        <v>0</v>
      </c>
      <c r="O33" s="1541">
        <f>'DAILY FLASH'!AR58</f>
        <v>11173.28</v>
      </c>
      <c r="Q33" s="1537" t="s">
        <v>930</v>
      </c>
    </row>
    <row r="34" spans="1:32" ht="103.5">
      <c r="A34" t="s">
        <v>934</v>
      </c>
      <c r="B34" s="308" t="s">
        <v>935</v>
      </c>
      <c r="C34" s="127"/>
      <c r="D34" s="1512">
        <f>'MIS MONTH WISE FUEL NMGCAL '!D26</f>
        <v>8</v>
      </c>
      <c r="L34" s="1519" t="s">
        <v>936</v>
      </c>
      <c r="M34" s="1542">
        <f>+O37</f>
        <v>20078.592499999999</v>
      </c>
      <c r="N34" s="1530" t="s">
        <v>530</v>
      </c>
      <c r="O34" s="1543" t="s">
        <v>493</v>
      </c>
      <c r="Q34" s="1537" t="s">
        <v>931</v>
      </c>
    </row>
    <row r="35" spans="1:32" ht="103.5">
      <c r="A35" t="s">
        <v>937</v>
      </c>
      <c r="B35" s="31" t="s">
        <v>938</v>
      </c>
      <c r="D35" s="521">
        <f>'MIS MONTH WISE FUEL NMGCAL '!D28</f>
        <v>2</v>
      </c>
      <c r="L35" s="1528" t="s">
        <v>939</v>
      </c>
      <c r="M35" s="1520"/>
      <c r="N35" s="1530">
        <f>'MIS MONTH WISE FUEL NMGCAL '!D26</f>
        <v>8</v>
      </c>
      <c r="O35" s="1543">
        <f>'MIS MONTH WISE FUEL NMGCAL '!E26</f>
        <v>215</v>
      </c>
      <c r="Q35" s="1537" t="s">
        <v>932</v>
      </c>
    </row>
    <row r="36" spans="1:32">
      <c r="A36" t="s">
        <v>940</v>
      </c>
      <c r="B36" s="7" t="s">
        <v>281</v>
      </c>
      <c r="C36" s="8"/>
      <c r="D36" s="1513">
        <f>E4</f>
        <v>565</v>
      </c>
      <c r="L36" s="1528" t="s">
        <v>941</v>
      </c>
      <c r="M36" s="1520"/>
      <c r="N36" s="1530">
        <f>'MIS MONTH WISE FUEL NMGCAL '!D29</f>
        <v>0</v>
      </c>
      <c r="O36" s="1543">
        <f>'MIS MONTH WISE FUEL NMGCAL '!E29</f>
        <v>2</v>
      </c>
    </row>
    <row r="37" spans="1:32">
      <c r="A37" t="s">
        <v>942</v>
      </c>
      <c r="B37" s="7" t="s">
        <v>823</v>
      </c>
      <c r="C37" s="8"/>
      <c r="D37" s="1513">
        <f>H4</f>
        <v>459</v>
      </c>
      <c r="K37" s="18"/>
      <c r="L37" s="1544" t="s">
        <v>943</v>
      </c>
      <c r="M37" s="1545"/>
      <c r="N37" s="1545"/>
      <c r="O37" s="1541">
        <f>'MIS MONTH WISE FUEL NMGCAL '!R40</f>
        <v>20078.592499999999</v>
      </c>
    </row>
    <row r="38" spans="1:32">
      <c r="A38" t="s">
        <v>944</v>
      </c>
      <c r="K38" s="84"/>
    </row>
    <row r="39" spans="1:32">
      <c r="G39" s="84"/>
      <c r="J39" s="84"/>
      <c r="K39" s="18"/>
      <c r="L39" s="1546"/>
      <c r="M39" s="1547"/>
      <c r="N39" s="1547"/>
      <c r="O39" s="1548"/>
    </row>
    <row r="40" spans="1:32">
      <c r="A40" s="84" t="s">
        <v>945</v>
      </c>
      <c r="G40" s="84"/>
      <c r="J40" s="84"/>
      <c r="K40" s="18"/>
      <c r="L40" s="18"/>
    </row>
    <row r="41" spans="1:32">
      <c r="A41" s="84" t="s">
        <v>946</v>
      </c>
      <c r="B41" s="84">
        <v>3432562662</v>
      </c>
      <c r="H41">
        <f>54143.309+695.871+3494.329+1581.39+9777.255+512.14+1742.04+824.59</f>
        <v>72770.923999999985</v>
      </c>
    </row>
    <row r="43" spans="1:32" ht="32.25" customHeight="1">
      <c r="J43" s="1549"/>
      <c r="K43" s="1549"/>
      <c r="L43" s="1549"/>
      <c r="M43" s="1549"/>
      <c r="N43" s="1549"/>
      <c r="O43" s="1549"/>
      <c r="P43" s="1550" t="s">
        <v>638</v>
      </c>
      <c r="Q43" s="1550" t="s">
        <v>639</v>
      </c>
      <c r="R43" s="1550" t="s">
        <v>640</v>
      </c>
      <c r="S43" s="1550" t="s">
        <v>278</v>
      </c>
      <c r="T43" s="1550" t="s">
        <v>947</v>
      </c>
      <c r="U43" s="1550"/>
      <c r="V43" s="1569" t="s">
        <v>948</v>
      </c>
      <c r="W43" s="1549"/>
      <c r="Z43" s="2928" t="s">
        <v>638</v>
      </c>
      <c r="AA43" s="2928" t="s">
        <v>949</v>
      </c>
      <c r="AB43" s="1582" t="s">
        <v>640</v>
      </c>
      <c r="AC43" s="2928" t="s">
        <v>950</v>
      </c>
      <c r="AD43" s="1582"/>
      <c r="AE43" s="2928" t="s">
        <v>947</v>
      </c>
      <c r="AF43" s="290" t="s">
        <v>951</v>
      </c>
    </row>
    <row r="44" spans="1:32" ht="30.75" customHeight="1">
      <c r="J44" s="1551"/>
      <c r="K44" s="1549"/>
      <c r="L44" s="1549"/>
      <c r="M44" s="1549"/>
      <c r="N44" s="1549"/>
      <c r="O44" s="1549"/>
      <c r="P44" s="1552" t="s">
        <v>649</v>
      </c>
      <c r="Q44" s="1570">
        <f>'md cell'!E11</f>
        <v>607</v>
      </c>
      <c r="R44" s="1570">
        <f>'DAILY FLASH'!AN20</f>
        <v>10759.191000000001</v>
      </c>
      <c r="S44" s="1571">
        <f>+R44/Q44*100</f>
        <v>1772.519110378913</v>
      </c>
      <c r="T44" s="1572">
        <f>'md cell'!I11</f>
        <v>733.06</v>
      </c>
      <c r="U44" s="1572"/>
      <c r="V44" s="1573">
        <f>(R44-T44)/T44*100</f>
        <v>1367.7094644367448</v>
      </c>
      <c r="W44" s="1549"/>
      <c r="Z44" s="2929"/>
      <c r="AA44" s="2929"/>
      <c r="AB44" s="1583" t="s">
        <v>645</v>
      </c>
      <c r="AC44" s="2929"/>
      <c r="AD44" s="1583"/>
      <c r="AE44" s="2929"/>
    </row>
    <row r="45" spans="1:32" ht="27.75" customHeight="1">
      <c r="J45" s="1551"/>
      <c r="K45" s="1549"/>
      <c r="L45" s="1549"/>
      <c r="M45" s="1549"/>
      <c r="N45" s="1549"/>
      <c r="O45" s="1549"/>
      <c r="P45" s="1553" t="s">
        <v>654</v>
      </c>
      <c r="Q45" s="1574" t="e">
        <f>'md cell'!#REF!</f>
        <v>#REF!</v>
      </c>
      <c r="R45" s="1574" t="e">
        <f>'md cell'!#REF!</f>
        <v>#REF!</v>
      </c>
      <c r="S45" s="1575" t="e">
        <f>'md cell'!#REF!</f>
        <v>#REF!</v>
      </c>
      <c r="T45" s="1576" t="e">
        <f>'md cell'!#REF!</f>
        <v>#REF!</v>
      </c>
      <c r="U45" s="1576"/>
      <c r="V45" s="1573" t="e">
        <f>(R45-T45)/T45*100</f>
        <v>#REF!</v>
      </c>
      <c r="W45" s="1549"/>
      <c r="Z45" s="1584" t="s">
        <v>649</v>
      </c>
      <c r="AA45" s="1585">
        <v>101883</v>
      </c>
      <c r="AB45" s="1585">
        <v>99162</v>
      </c>
      <c r="AC45" s="1586">
        <v>101</v>
      </c>
      <c r="AD45" s="1586"/>
      <c r="AE45" s="1585">
        <v>92005</v>
      </c>
      <c r="AF45" s="1587">
        <f>+(AB45-AE45)/AE45*100</f>
        <v>7.7789250584207377</v>
      </c>
    </row>
    <row r="46" spans="1:32" ht="38.25" customHeight="1">
      <c r="J46" s="84"/>
      <c r="P46" s="1553" t="s">
        <v>658</v>
      </c>
      <c r="Q46" s="1574" t="e">
        <f>'md cell'!#REF!</f>
        <v>#REF!</v>
      </c>
      <c r="R46" s="1574" t="e">
        <f>'md cell'!#REF!</f>
        <v>#REF!</v>
      </c>
      <c r="S46" s="1575" t="e">
        <f>'md cell'!#REF!</f>
        <v>#REF!</v>
      </c>
      <c r="T46" s="1576" t="e">
        <f>'md cell'!#REF!</f>
        <v>#REF!</v>
      </c>
      <c r="U46" s="1576"/>
      <c r="V46" s="1573" t="e">
        <f t="shared" ref="V46:V56" si="1">(R46-T46)/T46*100</f>
        <v>#REF!</v>
      </c>
      <c r="Z46" s="1588" t="s">
        <v>654</v>
      </c>
      <c r="AA46" s="1589">
        <v>6447</v>
      </c>
      <c r="AB46" s="1590">
        <v>1258</v>
      </c>
      <c r="AC46" s="1590">
        <v>22</v>
      </c>
      <c r="AD46" s="1590"/>
      <c r="AE46" s="1589">
        <v>2257</v>
      </c>
      <c r="AF46" s="1587">
        <f t="shared" ref="AF46:AF53" si="2">+(AB46-AE46)/AE46*100</f>
        <v>-44.26229508196721</v>
      </c>
    </row>
    <row r="47" spans="1:32" ht="30.75" customHeight="1">
      <c r="J47" s="84" t="s">
        <v>952</v>
      </c>
      <c r="K47">
        <v>8316</v>
      </c>
      <c r="P47" s="1553" t="s">
        <v>662</v>
      </c>
      <c r="Q47" s="1576" t="e">
        <f>'md cell'!#REF!</f>
        <v>#REF!</v>
      </c>
      <c r="R47" s="1576" t="e">
        <f>'md cell'!#REF!</f>
        <v>#REF!</v>
      </c>
      <c r="S47" s="1575" t="e">
        <f>'md cell'!#REF!</f>
        <v>#REF!</v>
      </c>
      <c r="T47" s="1576" t="e">
        <f>'md cell'!#REF!</f>
        <v>#REF!</v>
      </c>
      <c r="U47" s="1576"/>
      <c r="V47" s="1573" t="e">
        <f t="shared" si="1"/>
        <v>#REF!</v>
      </c>
      <c r="Z47" s="1588" t="s">
        <v>658</v>
      </c>
      <c r="AA47" s="1589">
        <v>3553</v>
      </c>
      <c r="AB47" s="1590">
        <v>601</v>
      </c>
      <c r="AC47" s="1590">
        <v>31</v>
      </c>
      <c r="AD47" s="1590"/>
      <c r="AE47" s="1589">
        <v>5219</v>
      </c>
      <c r="AF47" s="1587">
        <f t="shared" si="2"/>
        <v>-88.484383981605674</v>
      </c>
    </row>
    <row r="48" spans="1:32" ht="42" customHeight="1">
      <c r="A48" s="84" t="s">
        <v>953</v>
      </c>
      <c r="B48" s="84" t="s">
        <v>954</v>
      </c>
      <c r="J48" t="s">
        <v>955</v>
      </c>
      <c r="K48">
        <v>8774</v>
      </c>
      <c r="P48" s="1554" t="s">
        <v>665</v>
      </c>
      <c r="Q48" s="1577">
        <f>'md cell'!E12</f>
        <v>11005</v>
      </c>
      <c r="R48" s="1576">
        <f>'DAILY FLASH'!AN14</f>
        <v>10359.720000000001</v>
      </c>
      <c r="S48" s="1571">
        <f>+R48/Q48*100</f>
        <v>94.136483416628806</v>
      </c>
      <c r="T48" s="1576">
        <f>'md cell'!I12</f>
        <v>10052.6</v>
      </c>
      <c r="U48" s="1576"/>
      <c r="V48" s="1573">
        <f t="shared" si="1"/>
        <v>3.0551300161152417</v>
      </c>
      <c r="Z48" s="1588" t="s">
        <v>662</v>
      </c>
      <c r="AA48" s="1589">
        <v>9700</v>
      </c>
      <c r="AB48" s="1589">
        <v>1859</v>
      </c>
      <c r="AC48" s="1590">
        <v>25</v>
      </c>
      <c r="AD48" s="1590"/>
      <c r="AE48" s="1589">
        <v>7476</v>
      </c>
      <c r="AF48" s="1587">
        <f t="shared" si="2"/>
        <v>-75.133761369716424</v>
      </c>
    </row>
    <row r="49" spans="1:32" ht="43.5" customHeight="1">
      <c r="A49" s="84" t="s">
        <v>956</v>
      </c>
      <c r="B49" s="84">
        <v>9968605310</v>
      </c>
      <c r="J49" t="s">
        <v>957</v>
      </c>
      <c r="K49">
        <v>8234</v>
      </c>
      <c r="L49">
        <v>8235</v>
      </c>
      <c r="P49" s="1555" t="s">
        <v>668</v>
      </c>
      <c r="Q49" s="1578">
        <f>'md cell'!E17</f>
        <v>12227</v>
      </c>
      <c r="R49" s="1578">
        <f>'DAILY FLASH'!AN31</f>
        <v>12743.709000000001</v>
      </c>
      <c r="S49" s="1571">
        <f>+R49/Q49*100</f>
        <v>104.22596712194326</v>
      </c>
      <c r="T49" s="1578">
        <f>'md cell'!I17</f>
        <v>12737.397999999999</v>
      </c>
      <c r="U49" s="1572"/>
      <c r="V49" s="1573">
        <f t="shared" si="1"/>
        <v>4.954701109285832E-2</v>
      </c>
      <c r="Z49" s="1591" t="s">
        <v>665</v>
      </c>
      <c r="AA49" s="1592">
        <v>92183</v>
      </c>
      <c r="AB49" s="1592">
        <v>97303</v>
      </c>
      <c r="AC49" s="1593">
        <v>109</v>
      </c>
      <c r="AD49" s="1593"/>
      <c r="AE49" s="1592">
        <v>84529</v>
      </c>
      <c r="AF49" s="1587">
        <f t="shared" si="2"/>
        <v>15.111973405576784</v>
      </c>
    </row>
    <row r="50" spans="1:32" ht="35.25" customHeight="1">
      <c r="A50" s="84" t="s">
        <v>958</v>
      </c>
      <c r="B50" s="84">
        <v>9434798666</v>
      </c>
      <c r="J50" t="s">
        <v>959</v>
      </c>
      <c r="K50">
        <v>8978</v>
      </c>
      <c r="L50">
        <v>8309</v>
      </c>
      <c r="P50" s="1555" t="s">
        <v>141</v>
      </c>
      <c r="Q50" s="1579">
        <f>'md cell'!E20</f>
        <v>11340</v>
      </c>
      <c r="R50" s="1579">
        <f>'DAILY FLASH'!AN57</f>
        <v>0</v>
      </c>
      <c r="S50" s="1571">
        <f>+R50/Q50*100</f>
        <v>0</v>
      </c>
      <c r="T50" s="1578">
        <f>'md cell'!I20</f>
        <v>10884.684000000003</v>
      </c>
      <c r="U50" s="1572"/>
      <c r="V50" s="1573">
        <f t="shared" si="1"/>
        <v>-100</v>
      </c>
      <c r="Z50" s="1594" t="s">
        <v>668</v>
      </c>
      <c r="AA50" s="1595">
        <v>129173</v>
      </c>
      <c r="AB50" s="1595">
        <v>114053</v>
      </c>
      <c r="AC50" s="1596">
        <v>89</v>
      </c>
      <c r="AD50" s="1596"/>
      <c r="AE50" s="1597">
        <v>113431</v>
      </c>
      <c r="AF50" s="1587">
        <f t="shared" si="2"/>
        <v>0.54835097989085879</v>
      </c>
    </row>
    <row r="51" spans="1:32" ht="27.75" customHeight="1">
      <c r="A51" s="84" t="s">
        <v>960</v>
      </c>
      <c r="B51" s="84">
        <v>9968605024</v>
      </c>
      <c r="J51" t="s">
        <v>961</v>
      </c>
      <c r="L51">
        <v>9434798979</v>
      </c>
      <c r="P51" s="1555" t="s">
        <v>674</v>
      </c>
      <c r="Q51" s="1578">
        <f>'md cell'!E21</f>
        <v>11490</v>
      </c>
      <c r="R51" s="1578">
        <f>'DAILY FLASH'!BC60</f>
        <v>11173.28</v>
      </c>
      <c r="S51" s="1571">
        <f>+R51/Q51*100</f>
        <v>97.243516100957365</v>
      </c>
      <c r="T51" s="1571">
        <f>'md cell'!I21</f>
        <v>10643.649999999998</v>
      </c>
      <c r="U51" s="1580"/>
      <c r="V51" s="1573">
        <f t="shared" si="1"/>
        <v>4.9760185650599462</v>
      </c>
      <c r="Z51" s="1594" t="s">
        <v>670</v>
      </c>
      <c r="AA51" s="1595">
        <v>123387</v>
      </c>
      <c r="AB51" s="1595">
        <v>97157</v>
      </c>
      <c r="AC51" s="1596">
        <v>78</v>
      </c>
      <c r="AD51" s="1596"/>
      <c r="AE51" s="1597">
        <v>105117</v>
      </c>
      <c r="AF51" s="1587">
        <f t="shared" si="2"/>
        <v>-7.5725144362947958</v>
      </c>
    </row>
    <row r="52" spans="1:32" ht="24.75" customHeight="1">
      <c r="A52" s="1514" t="s">
        <v>962</v>
      </c>
      <c r="B52" s="1514">
        <v>9968605466</v>
      </c>
      <c r="J52" t="s">
        <v>963</v>
      </c>
      <c r="K52" s="1515" t="s">
        <v>964</v>
      </c>
      <c r="L52">
        <v>8368</v>
      </c>
      <c r="P52" s="1555" t="s">
        <v>965</v>
      </c>
      <c r="Q52" s="1578">
        <f>'md cell'!E22</f>
        <v>400</v>
      </c>
      <c r="R52" s="1578">
        <f>'DAILY FLASH'!AN73</f>
        <v>2508.64</v>
      </c>
      <c r="S52" s="1571">
        <f>+R52/Q52*100</f>
        <v>627.16</v>
      </c>
      <c r="T52" s="1578">
        <f>'md cell'!I22</f>
        <v>904.8</v>
      </c>
      <c r="U52" s="1572"/>
      <c r="V52" s="1573">
        <f t="shared" si="1"/>
        <v>177.25906277630418</v>
      </c>
      <c r="Z52" s="1594" t="s">
        <v>674</v>
      </c>
      <c r="AA52" s="1595">
        <v>125187</v>
      </c>
      <c r="AB52" s="1595">
        <v>77865</v>
      </c>
      <c r="AC52" s="1596">
        <v>80</v>
      </c>
      <c r="AD52" s="1596"/>
      <c r="AE52" s="1597">
        <v>102572</v>
      </c>
      <c r="AF52" s="1587">
        <f t="shared" si="2"/>
        <v>-24.087470264789612</v>
      </c>
    </row>
    <row r="53" spans="1:32" ht="29.25" customHeight="1">
      <c r="A53" s="84" t="s">
        <v>966</v>
      </c>
      <c r="B53" s="84">
        <v>9434798846</v>
      </c>
      <c r="J53" t="s">
        <v>967</v>
      </c>
      <c r="K53">
        <v>8959</v>
      </c>
      <c r="P53" s="353" t="s">
        <v>563</v>
      </c>
      <c r="Q53" s="353"/>
      <c r="R53" s="353">
        <v>32240</v>
      </c>
      <c r="S53" s="353"/>
      <c r="T53" s="353">
        <v>18764</v>
      </c>
      <c r="V53" s="1573">
        <f t="shared" si="1"/>
        <v>71.818375612875712</v>
      </c>
      <c r="Z53" s="1594" t="s">
        <v>677</v>
      </c>
      <c r="AA53" s="1597">
        <v>22000</v>
      </c>
      <c r="AB53" s="1598">
        <v>8628</v>
      </c>
      <c r="AC53" s="1598">
        <v>39</v>
      </c>
      <c r="AD53" s="1598"/>
      <c r="AE53" s="1597">
        <v>13548</v>
      </c>
      <c r="AF53" s="1587">
        <f t="shared" si="2"/>
        <v>-36.315323294951284</v>
      </c>
    </row>
    <row r="54" spans="1:32" ht="31.5">
      <c r="A54" s="84" t="s">
        <v>968</v>
      </c>
      <c r="B54" s="84">
        <v>9434798864</v>
      </c>
      <c r="J54" t="s">
        <v>969</v>
      </c>
      <c r="K54" t="s">
        <v>970</v>
      </c>
      <c r="L54" s="83">
        <v>8616</v>
      </c>
      <c r="M54">
        <v>9614228857</v>
      </c>
      <c r="N54" t="s">
        <v>971</v>
      </c>
      <c r="P54" s="353" t="s">
        <v>385</v>
      </c>
      <c r="Q54" s="353">
        <v>0</v>
      </c>
      <c r="R54" s="353">
        <v>5966</v>
      </c>
      <c r="S54" s="353">
        <v>0</v>
      </c>
      <c r="T54" s="353">
        <v>7023</v>
      </c>
      <c r="V54" s="1573">
        <f t="shared" si="1"/>
        <v>-15.050548198775452</v>
      </c>
    </row>
    <row r="55" spans="1:32" ht="31.5">
      <c r="A55" s="1515" t="s">
        <v>972</v>
      </c>
      <c r="B55" s="1515">
        <v>9434798787</v>
      </c>
      <c r="I55" s="2431" t="s">
        <v>973</v>
      </c>
      <c r="J55" s="1223"/>
      <c r="K55" s="1223" t="s">
        <v>974</v>
      </c>
      <c r="L55" t="s">
        <v>975</v>
      </c>
      <c r="P55" s="353" t="s">
        <v>976</v>
      </c>
      <c r="Q55" s="353"/>
      <c r="R55" s="353">
        <v>769</v>
      </c>
      <c r="S55" s="353">
        <v>0</v>
      </c>
      <c r="T55" s="353">
        <v>2045</v>
      </c>
      <c r="V55" s="1573">
        <f t="shared" si="1"/>
        <v>-62.396088019559905</v>
      </c>
    </row>
    <row r="56" spans="1:32" ht="31.5">
      <c r="A56" s="1515" t="s">
        <v>977</v>
      </c>
      <c r="B56" s="1515">
        <v>9434798866</v>
      </c>
      <c r="G56" t="s">
        <v>978</v>
      </c>
      <c r="I56" t="s">
        <v>979</v>
      </c>
      <c r="K56">
        <v>9434798746</v>
      </c>
      <c r="P56" s="353" t="s">
        <v>500</v>
      </c>
      <c r="Q56" s="353"/>
      <c r="R56" s="353">
        <v>9601</v>
      </c>
      <c r="S56" s="353"/>
      <c r="T56" s="353">
        <v>14337</v>
      </c>
      <c r="V56" s="1573">
        <f t="shared" si="1"/>
        <v>-33.033410057892162</v>
      </c>
    </row>
    <row r="57" spans="1:32" ht="15.75">
      <c r="A57" s="84" t="s">
        <v>980</v>
      </c>
      <c r="B57" s="84">
        <v>9434798959</v>
      </c>
      <c r="I57" t="s">
        <v>981</v>
      </c>
      <c r="K57">
        <v>9434798827</v>
      </c>
      <c r="L57" t="s">
        <v>982</v>
      </c>
      <c r="P57" s="353" t="s">
        <v>981</v>
      </c>
      <c r="Q57" s="353"/>
      <c r="R57" s="353"/>
      <c r="S57" s="353"/>
      <c r="T57" s="353"/>
    </row>
    <row r="58" spans="1:32">
      <c r="A58" s="84" t="s">
        <v>983</v>
      </c>
      <c r="B58" s="84">
        <v>9434798789</v>
      </c>
      <c r="K58">
        <v>9434798738</v>
      </c>
      <c r="L58" t="s">
        <v>984</v>
      </c>
    </row>
    <row r="59" spans="1:32">
      <c r="A59" s="84" t="s">
        <v>985</v>
      </c>
      <c r="B59" s="84">
        <v>9434798778</v>
      </c>
      <c r="K59">
        <v>9434798835</v>
      </c>
      <c r="L59" t="s">
        <v>986</v>
      </c>
      <c r="P59">
        <v>419</v>
      </c>
      <c r="Q59">
        <v>1519</v>
      </c>
      <c r="R59">
        <v>619</v>
      </c>
      <c r="S59">
        <v>719</v>
      </c>
      <c r="T59">
        <v>819</v>
      </c>
      <c r="U59">
        <v>919</v>
      </c>
    </row>
    <row r="60" spans="1:32" ht="24">
      <c r="A60" s="84" t="s">
        <v>987</v>
      </c>
      <c r="B60" s="84">
        <v>9434798782</v>
      </c>
      <c r="J60" t="s">
        <v>988</v>
      </c>
      <c r="K60" s="1515">
        <v>9434798971</v>
      </c>
      <c r="L60" t="s">
        <v>989</v>
      </c>
      <c r="P60" s="2926">
        <v>3270</v>
      </c>
      <c r="Q60" s="2926">
        <v>1490</v>
      </c>
      <c r="R60" s="2926">
        <v>757</v>
      </c>
      <c r="S60" s="1556">
        <v>1012</v>
      </c>
      <c r="T60" s="1556">
        <v>1327</v>
      </c>
      <c r="U60" s="1556">
        <v>1290</v>
      </c>
      <c r="V60" s="1556">
        <f>+T60+S60+R60+Q60+P60+U60</f>
        <v>9146</v>
      </c>
    </row>
    <row r="61" spans="1:32" ht="16.5" customHeight="1">
      <c r="A61" s="84" t="s">
        <v>990</v>
      </c>
      <c r="B61" s="84">
        <v>9434798863</v>
      </c>
      <c r="K61" s="1515">
        <v>9434798712</v>
      </c>
      <c r="L61" t="s">
        <v>991</v>
      </c>
      <c r="P61" s="2927"/>
      <c r="Q61" s="2927"/>
      <c r="R61" s="2927"/>
    </row>
    <row r="62" spans="1:32" ht="24">
      <c r="A62" s="84" t="s">
        <v>992</v>
      </c>
      <c r="B62" s="293">
        <v>9968605775</v>
      </c>
      <c r="D62" s="293" t="s">
        <v>993</v>
      </c>
      <c r="K62">
        <v>9434798852</v>
      </c>
      <c r="L62" t="s">
        <v>994</v>
      </c>
      <c r="P62" s="1558"/>
      <c r="Q62" s="1558"/>
      <c r="R62" s="1558"/>
      <c r="S62" s="1557">
        <v>712</v>
      </c>
      <c r="T62" s="1557">
        <v>1058</v>
      </c>
      <c r="U62" s="1581">
        <v>974</v>
      </c>
      <c r="V62" s="1556">
        <f t="shared" ref="V62:V69" si="3">+T62+S62+R62+Q62+P62+U62</f>
        <v>2744</v>
      </c>
    </row>
    <row r="63" spans="1:32" ht="24">
      <c r="A63" s="84" t="s">
        <v>995</v>
      </c>
      <c r="B63" s="84">
        <v>9434798831</v>
      </c>
      <c r="D63" s="2432" t="s">
        <v>996</v>
      </c>
      <c r="J63" t="s">
        <v>988</v>
      </c>
      <c r="K63">
        <v>8607</v>
      </c>
      <c r="P63" s="1558"/>
      <c r="Q63" s="1558"/>
      <c r="R63" s="1558"/>
      <c r="S63" s="1559">
        <v>2593</v>
      </c>
      <c r="T63" s="1559">
        <v>5333</v>
      </c>
      <c r="U63" s="1556"/>
      <c r="V63" s="1556">
        <f t="shared" si="3"/>
        <v>7926</v>
      </c>
    </row>
    <row r="64" spans="1:32" ht="24">
      <c r="A64" s="1515" t="s">
        <v>997</v>
      </c>
      <c r="B64" s="84">
        <v>9968605778</v>
      </c>
      <c r="K64">
        <v>9434798901</v>
      </c>
      <c r="L64" t="s">
        <v>998</v>
      </c>
      <c r="P64" s="1559">
        <v>185</v>
      </c>
      <c r="Q64" s="1558"/>
      <c r="R64" s="1559">
        <v>193</v>
      </c>
      <c r="S64" s="1559">
        <v>187</v>
      </c>
      <c r="T64" s="1559">
        <v>123</v>
      </c>
      <c r="U64" s="1556">
        <v>62</v>
      </c>
      <c r="V64" s="1556">
        <f t="shared" si="3"/>
        <v>750</v>
      </c>
    </row>
    <row r="65" spans="2:36" ht="24">
      <c r="J65" t="s">
        <v>999</v>
      </c>
      <c r="K65" s="293">
        <v>9434798933</v>
      </c>
      <c r="M65" t="s">
        <v>1000</v>
      </c>
      <c r="P65" s="2926">
        <v>2487</v>
      </c>
      <c r="Q65" s="1556">
        <v>1342</v>
      </c>
      <c r="R65" s="2926">
        <v>2268</v>
      </c>
      <c r="S65" s="2926">
        <v>1965</v>
      </c>
      <c r="T65" s="2926">
        <v>2237</v>
      </c>
      <c r="U65" s="1556">
        <v>4091</v>
      </c>
      <c r="V65" s="1556">
        <f t="shared" si="3"/>
        <v>14390</v>
      </c>
    </row>
    <row r="66" spans="2:36" ht="24">
      <c r="B66" s="84">
        <v>9434792072</v>
      </c>
      <c r="D66" s="2433" t="s">
        <v>1001</v>
      </c>
      <c r="K66" s="84">
        <v>9434798637</v>
      </c>
      <c r="M66" t="s">
        <v>1002</v>
      </c>
      <c r="P66" s="2927"/>
      <c r="Q66" s="1557">
        <v>2772</v>
      </c>
      <c r="R66" s="2927"/>
      <c r="S66" s="2927"/>
      <c r="T66" s="2927"/>
      <c r="U66" s="1581"/>
      <c r="V66" s="1556">
        <f t="shared" si="3"/>
        <v>2772</v>
      </c>
    </row>
    <row r="67" spans="2:36" ht="24">
      <c r="B67" s="84"/>
      <c r="D67" s="290"/>
      <c r="K67" s="84"/>
      <c r="P67" s="1557"/>
      <c r="Q67" s="1559">
        <v>104</v>
      </c>
      <c r="R67" s="1558"/>
      <c r="S67" s="1558"/>
      <c r="T67" s="1558"/>
      <c r="U67" s="1609"/>
      <c r="V67" s="1556">
        <f t="shared" si="3"/>
        <v>104</v>
      </c>
    </row>
    <row r="68" spans="2:36" ht="24">
      <c r="J68" s="308" t="s">
        <v>711</v>
      </c>
      <c r="K68" s="127" t="s">
        <v>1003</v>
      </c>
      <c r="L68" s="354">
        <v>0.5</v>
      </c>
      <c r="P68" s="1558"/>
      <c r="Q68" s="1559"/>
      <c r="R68" s="1558"/>
      <c r="S68" s="1558"/>
      <c r="T68" s="1558"/>
      <c r="U68" s="1609">
        <v>0</v>
      </c>
      <c r="V68" s="1556">
        <f t="shared" si="3"/>
        <v>0</v>
      </c>
    </row>
    <row r="69" spans="2:36" ht="24">
      <c r="J69" s="31" t="s">
        <v>1004</v>
      </c>
      <c r="K69" t="s">
        <v>1005</v>
      </c>
      <c r="L69" s="63">
        <v>0</v>
      </c>
      <c r="P69" s="1559">
        <v>5942</v>
      </c>
      <c r="Q69" s="1559">
        <v>5709</v>
      </c>
      <c r="R69" s="1559">
        <v>3218</v>
      </c>
      <c r="S69" s="1559">
        <v>6469</v>
      </c>
      <c r="T69" s="1559">
        <v>10078</v>
      </c>
      <c r="U69" s="1559">
        <v>6417</v>
      </c>
      <c r="V69" s="1556">
        <f t="shared" si="3"/>
        <v>37833</v>
      </c>
    </row>
    <row r="70" spans="2:36">
      <c r="J70" s="31" t="s">
        <v>1006</v>
      </c>
      <c r="K70" t="s">
        <v>1007</v>
      </c>
      <c r="L70" s="63">
        <v>0</v>
      </c>
    </row>
    <row r="71" spans="2:36">
      <c r="J71" s="31" t="s">
        <v>1008</v>
      </c>
      <c r="K71" t="s">
        <v>1009</v>
      </c>
      <c r="L71" s="63">
        <v>0</v>
      </c>
    </row>
    <row r="72" spans="2:36">
      <c r="J72" s="31" t="s">
        <v>1010</v>
      </c>
      <c r="K72" t="s">
        <v>1009</v>
      </c>
      <c r="L72" s="63">
        <v>0</v>
      </c>
    </row>
    <row r="73" spans="2:36">
      <c r="J73" s="7" t="s">
        <v>261</v>
      </c>
      <c r="K73" s="8" t="s">
        <v>1011</v>
      </c>
      <c r="L73" s="9">
        <v>0</v>
      </c>
    </row>
    <row r="74" spans="2:36">
      <c r="P74" t="s">
        <v>563</v>
      </c>
    </row>
    <row r="75" spans="2:36" ht="11.25" customHeight="1">
      <c r="J75" t="s">
        <v>1012</v>
      </c>
      <c r="P75" t="s">
        <v>385</v>
      </c>
      <c r="Q75">
        <f>4210+498.95</f>
        <v>4708.95</v>
      </c>
      <c r="AA75" s="1610" t="s">
        <v>1013</v>
      </c>
      <c r="AB75" s="1611" t="s">
        <v>1014</v>
      </c>
      <c r="AC75" s="1611" t="s">
        <v>1015</v>
      </c>
      <c r="AD75" s="1611" t="s">
        <v>1016</v>
      </c>
      <c r="AE75" s="1611" t="s">
        <v>1017</v>
      </c>
      <c r="AF75" s="1611" t="s">
        <v>1018</v>
      </c>
      <c r="AG75" s="1611" t="s">
        <v>1019</v>
      </c>
      <c r="AH75" s="1611" t="s">
        <v>1020</v>
      </c>
      <c r="AI75" s="1611" t="s">
        <v>1021</v>
      </c>
      <c r="AJ75" s="1611" t="s">
        <v>1022</v>
      </c>
    </row>
    <row r="76" spans="2:36" ht="14.25" customHeight="1">
      <c r="J76" t="s">
        <v>1023</v>
      </c>
      <c r="K76">
        <v>2546438</v>
      </c>
      <c r="L76" s="1515">
        <v>2546768</v>
      </c>
      <c r="P76" t="s">
        <v>976</v>
      </c>
      <c r="AA76" s="1612">
        <v>1420160</v>
      </c>
      <c r="AB76" s="1613" t="s">
        <v>1024</v>
      </c>
      <c r="AC76" s="1613" t="s">
        <v>1025</v>
      </c>
      <c r="AD76" s="1613" t="s">
        <v>1026</v>
      </c>
      <c r="AE76" s="1614">
        <v>300</v>
      </c>
      <c r="AF76" s="1614">
        <v>300</v>
      </c>
      <c r="AG76" s="1614">
        <v>2</v>
      </c>
      <c r="AH76" s="1614">
        <v>3.28</v>
      </c>
      <c r="AI76" s="1614">
        <v>1231</v>
      </c>
      <c r="AJ76" s="1613" t="s">
        <v>1027</v>
      </c>
    </row>
    <row r="77" spans="2:36" ht="17.25" customHeight="1">
      <c r="J77" t="s">
        <v>1028</v>
      </c>
      <c r="K77" s="2434" t="s">
        <v>996</v>
      </c>
      <c r="L77" s="84"/>
      <c r="P77" t="s">
        <v>500</v>
      </c>
      <c r="AA77" s="1612">
        <v>1420160</v>
      </c>
      <c r="AB77" s="1613" t="s">
        <v>1024</v>
      </c>
      <c r="AC77" s="1613" t="s">
        <v>1025</v>
      </c>
      <c r="AD77" s="1613" t="s">
        <v>1029</v>
      </c>
      <c r="AE77" s="1614">
        <v>300</v>
      </c>
      <c r="AF77" s="1614">
        <v>300</v>
      </c>
      <c r="AG77" s="1614">
        <v>1</v>
      </c>
      <c r="AH77" s="1614">
        <v>1.1100000000000001</v>
      </c>
      <c r="AI77" s="1614">
        <v>1045</v>
      </c>
      <c r="AJ77" s="1613" t="s">
        <v>1030</v>
      </c>
    </row>
    <row r="78" spans="2:36" ht="15" customHeight="1">
      <c r="J78" t="s">
        <v>1031</v>
      </c>
      <c r="K78" s="1515">
        <v>2574317</v>
      </c>
      <c r="L78" s="1515">
        <v>2545987</v>
      </c>
      <c r="M78" s="84" t="s">
        <v>1032</v>
      </c>
      <c r="AA78" s="1612">
        <v>1720079</v>
      </c>
      <c r="AB78" s="1613" t="s">
        <v>1024</v>
      </c>
      <c r="AC78" s="1613" t="s">
        <v>1025</v>
      </c>
      <c r="AD78" s="1613" t="s">
        <v>1029</v>
      </c>
      <c r="AE78" s="1614">
        <v>300</v>
      </c>
      <c r="AF78" s="1614">
        <v>300</v>
      </c>
      <c r="AG78" s="1614">
        <v>3</v>
      </c>
      <c r="AH78" s="1614">
        <v>10.073</v>
      </c>
      <c r="AI78" s="1614">
        <v>7011</v>
      </c>
      <c r="AJ78" s="1613" t="s">
        <v>1033</v>
      </c>
    </row>
    <row r="79" spans="2:36" ht="15.75" customHeight="1">
      <c r="J79" t="s">
        <v>1034</v>
      </c>
      <c r="K79">
        <v>8861</v>
      </c>
      <c r="AA79" s="1612">
        <v>1730600</v>
      </c>
      <c r="AB79" s="1613" t="s">
        <v>1024</v>
      </c>
      <c r="AC79" s="1613" t="s">
        <v>1025</v>
      </c>
      <c r="AD79" s="1613" t="s">
        <v>1035</v>
      </c>
      <c r="AE79" s="1614">
        <v>300</v>
      </c>
      <c r="AF79" s="1614">
        <v>300</v>
      </c>
      <c r="AG79" s="1614">
        <v>1</v>
      </c>
      <c r="AH79" s="1614">
        <v>1.4550000000000001</v>
      </c>
      <c r="AI79" s="1614">
        <v>8948</v>
      </c>
      <c r="AJ79" s="1613" t="s">
        <v>1036</v>
      </c>
    </row>
    <row r="80" spans="2:36" ht="15" customHeight="1">
      <c r="J80" t="s">
        <v>1037</v>
      </c>
      <c r="AA80" s="1612">
        <v>1730600</v>
      </c>
      <c r="AB80" s="1613" t="s">
        <v>1024</v>
      </c>
      <c r="AC80" s="1613" t="s">
        <v>1025</v>
      </c>
      <c r="AD80" s="1613" t="s">
        <v>1035</v>
      </c>
      <c r="AE80" s="1614">
        <v>300</v>
      </c>
      <c r="AF80" s="1614">
        <v>300</v>
      </c>
      <c r="AG80" s="1614">
        <v>2</v>
      </c>
      <c r="AH80" s="1614">
        <v>7.7450000000000001</v>
      </c>
      <c r="AI80" s="1614">
        <v>8153</v>
      </c>
      <c r="AJ80" s="1613" t="s">
        <v>1038</v>
      </c>
    </row>
    <row r="81" spans="9:36" ht="17.25" customHeight="1">
      <c r="I81" t="s">
        <v>1039</v>
      </c>
      <c r="J81" t="s">
        <v>1040</v>
      </c>
      <c r="K81">
        <v>9434791102</v>
      </c>
      <c r="AA81" s="1612">
        <v>1830217</v>
      </c>
      <c r="AB81" s="1613" t="s">
        <v>1024</v>
      </c>
      <c r="AC81" s="1613" t="s">
        <v>1025</v>
      </c>
      <c r="AD81" s="1613" t="s">
        <v>1029</v>
      </c>
      <c r="AE81" s="1614">
        <v>300</v>
      </c>
      <c r="AF81" s="1614">
        <v>300</v>
      </c>
      <c r="AG81" s="1614">
        <v>1</v>
      </c>
      <c r="AH81" s="1614">
        <v>4.6399999999999997</v>
      </c>
      <c r="AI81" s="1614">
        <v>10082</v>
      </c>
      <c r="AJ81" s="1613" t="s">
        <v>1041</v>
      </c>
    </row>
    <row r="82" spans="9:36" ht="12.75" customHeight="1">
      <c r="J82" t="s">
        <v>1042</v>
      </c>
      <c r="K82">
        <v>9434791300</v>
      </c>
      <c r="AA82" s="1612">
        <v>1830538</v>
      </c>
      <c r="AB82" s="1613" t="s">
        <v>1024</v>
      </c>
      <c r="AC82" s="1613" t="s">
        <v>1025</v>
      </c>
      <c r="AD82" s="1613" t="s">
        <v>1029</v>
      </c>
      <c r="AE82" s="1614">
        <v>300</v>
      </c>
      <c r="AF82" s="1614">
        <v>300</v>
      </c>
      <c r="AG82" s="1614">
        <v>1</v>
      </c>
      <c r="AH82" s="1614">
        <v>4.5999999999999996</v>
      </c>
      <c r="AI82" s="1614">
        <v>11927</v>
      </c>
      <c r="AJ82" s="1613" t="s">
        <v>1043</v>
      </c>
    </row>
    <row r="83" spans="9:36" ht="12.75" customHeight="1">
      <c r="J83" t="s">
        <v>1044</v>
      </c>
      <c r="K83">
        <v>2574000</v>
      </c>
      <c r="AA83" s="1612">
        <v>1420347</v>
      </c>
      <c r="AB83" s="1613" t="s">
        <v>1045</v>
      </c>
      <c r="AC83" s="1613" t="s">
        <v>80</v>
      </c>
      <c r="AD83" s="1613" t="s">
        <v>1046</v>
      </c>
      <c r="AE83" s="1614">
        <v>1605</v>
      </c>
      <c r="AF83" s="1614">
        <v>0</v>
      </c>
      <c r="AG83" s="1614">
        <v>1</v>
      </c>
      <c r="AH83" s="1614">
        <v>3.42</v>
      </c>
      <c r="AI83" s="1614">
        <v>2190</v>
      </c>
      <c r="AJ83" s="1613" t="s">
        <v>1047</v>
      </c>
    </row>
    <row r="84" spans="9:36" ht="16.5" customHeight="1">
      <c r="J84" t="s">
        <v>1044</v>
      </c>
      <c r="K84">
        <v>2574320</v>
      </c>
      <c r="AA84" s="1612">
        <v>1430404</v>
      </c>
      <c r="AB84" s="1613" t="s">
        <v>1048</v>
      </c>
      <c r="AC84" s="1613" t="s">
        <v>80</v>
      </c>
      <c r="AD84" s="1613" t="s">
        <v>1049</v>
      </c>
      <c r="AE84" s="1614">
        <v>1605</v>
      </c>
      <c r="AF84" s="1614">
        <v>0</v>
      </c>
      <c r="AG84" s="1614">
        <v>5</v>
      </c>
      <c r="AH84" s="1614">
        <v>19.73</v>
      </c>
      <c r="AI84" s="1614">
        <v>1492</v>
      </c>
      <c r="AJ84" s="1613" t="s">
        <v>1050</v>
      </c>
    </row>
    <row r="85" spans="9:36" ht="12" customHeight="1">
      <c r="AA85" s="1612">
        <v>1620399</v>
      </c>
      <c r="AB85" s="1613" t="s">
        <v>1051</v>
      </c>
      <c r="AC85" s="1613" t="s">
        <v>80</v>
      </c>
      <c r="AD85" s="1613" t="s">
        <v>1052</v>
      </c>
      <c r="AE85" s="1614">
        <v>1605</v>
      </c>
      <c r="AF85" s="1614">
        <v>0</v>
      </c>
      <c r="AG85" s="1614">
        <v>1</v>
      </c>
      <c r="AH85" s="1614">
        <v>3.3</v>
      </c>
      <c r="AI85" s="1614">
        <v>6448</v>
      </c>
      <c r="AJ85" s="1613" t="s">
        <v>1053</v>
      </c>
    </row>
    <row r="86" spans="9:36" ht="14.25" customHeight="1">
      <c r="AA86" s="1612">
        <v>1630685</v>
      </c>
      <c r="AB86" s="1613" t="s">
        <v>1051</v>
      </c>
      <c r="AC86" s="1613" t="s">
        <v>80</v>
      </c>
      <c r="AD86" s="1613" t="s">
        <v>1052</v>
      </c>
      <c r="AE86" s="1614">
        <v>1605</v>
      </c>
      <c r="AF86" s="1614">
        <v>0</v>
      </c>
      <c r="AG86" s="1614">
        <v>1</v>
      </c>
      <c r="AH86" s="1614">
        <v>3.41</v>
      </c>
      <c r="AI86" s="1614">
        <v>6596</v>
      </c>
      <c r="AJ86" s="1613" t="s">
        <v>1054</v>
      </c>
    </row>
    <row r="88" spans="9:36">
      <c r="J88" t="s">
        <v>1055</v>
      </c>
    </row>
    <row r="89" spans="9:36">
      <c r="J89" t="s">
        <v>1056</v>
      </c>
    </row>
    <row r="90" spans="9:36">
      <c r="J90" t="s">
        <v>1057</v>
      </c>
    </row>
    <row r="98" spans="1:34">
      <c r="AA98" s="1615" t="s">
        <v>1058</v>
      </c>
      <c r="AB98" s="1615"/>
      <c r="AC98" s="1615"/>
      <c r="AD98" s="1615"/>
      <c r="AE98" s="1615"/>
      <c r="AF98" s="1615"/>
      <c r="AG98" s="1615"/>
      <c r="AH98" s="1615"/>
    </row>
    <row r="99" spans="1:34">
      <c r="AA99" s="1615" t="s">
        <v>1059</v>
      </c>
      <c r="AB99" s="1615" t="s">
        <v>1060</v>
      </c>
      <c r="AC99" s="1615" t="s">
        <v>1061</v>
      </c>
      <c r="AD99" s="1615" t="s">
        <v>1062</v>
      </c>
      <c r="AE99" s="1615" t="s">
        <v>1063</v>
      </c>
      <c r="AF99" s="1615" t="s">
        <v>1064</v>
      </c>
      <c r="AG99" s="1615" t="s">
        <v>1065</v>
      </c>
      <c r="AH99" s="1615" t="s">
        <v>1066</v>
      </c>
    </row>
    <row r="100" spans="1:34">
      <c r="AA100" s="1615">
        <v>21182</v>
      </c>
      <c r="AB100" s="1615" t="s">
        <v>1067</v>
      </c>
      <c r="AC100" s="1615">
        <v>2130385</v>
      </c>
      <c r="AD100" s="1615" t="s">
        <v>1068</v>
      </c>
      <c r="AE100" s="1615" t="s">
        <v>1069</v>
      </c>
      <c r="AF100" s="1615" t="s">
        <v>1070</v>
      </c>
      <c r="AG100" s="1615" t="s">
        <v>1071</v>
      </c>
      <c r="AH100" s="1615">
        <v>40.21</v>
      </c>
    </row>
    <row r="101" spans="1:34">
      <c r="AA101" s="1615"/>
      <c r="AB101" s="1615"/>
      <c r="AC101" s="1615"/>
      <c r="AD101" s="1615"/>
      <c r="AE101" s="1615"/>
      <c r="AF101" s="1615"/>
      <c r="AG101" s="1615"/>
      <c r="AH101" s="1615"/>
    </row>
    <row r="102" spans="1:34">
      <c r="AA102" s="1615"/>
      <c r="AB102" s="1615"/>
      <c r="AC102" s="1615"/>
      <c r="AD102" s="1615"/>
      <c r="AE102" s="1615"/>
      <c r="AF102" s="1615"/>
      <c r="AG102" s="1615"/>
      <c r="AH102" s="1615"/>
    </row>
    <row r="103" spans="1:34">
      <c r="AA103" s="1615">
        <v>21183</v>
      </c>
      <c r="AB103" s="1615" t="s">
        <v>1072</v>
      </c>
      <c r="AC103" s="1615">
        <v>2120285</v>
      </c>
      <c r="AD103" s="1615" t="s">
        <v>1073</v>
      </c>
      <c r="AE103" s="1615" t="s">
        <v>1074</v>
      </c>
      <c r="AF103" s="1615" t="s">
        <v>1075</v>
      </c>
      <c r="AG103" s="1615" t="s">
        <v>1076</v>
      </c>
      <c r="AH103" s="1615">
        <v>2.93</v>
      </c>
    </row>
    <row r="104" spans="1:34">
      <c r="AA104" s="1615"/>
      <c r="AB104" s="1615" t="s">
        <v>1072</v>
      </c>
      <c r="AC104" s="1615">
        <v>213037</v>
      </c>
      <c r="AD104" s="1615" t="s">
        <v>1077</v>
      </c>
      <c r="AE104" s="1615" t="s">
        <v>1078</v>
      </c>
      <c r="AF104" s="1615" t="s">
        <v>1079</v>
      </c>
      <c r="AG104" s="1615" t="s">
        <v>1080</v>
      </c>
      <c r="AH104" s="1615">
        <v>40.840000000000003</v>
      </c>
    </row>
    <row r="106" spans="1:34" ht="15.75">
      <c r="A106" s="1599" t="s">
        <v>1081</v>
      </c>
    </row>
    <row r="113" spans="1:11" ht="15">
      <c r="A113" s="1600" t="s">
        <v>1082</v>
      </c>
      <c r="B113" s="1601" t="s">
        <v>1083</v>
      </c>
      <c r="C113" s="1601" t="s">
        <v>1084</v>
      </c>
      <c r="D113" s="1601" t="s">
        <v>1085</v>
      </c>
      <c r="E113" s="1601" t="s">
        <v>1086</v>
      </c>
      <c r="F113" s="1601" t="s">
        <v>1087</v>
      </c>
      <c r="G113" s="1601" t="s">
        <v>1088</v>
      </c>
      <c r="H113" s="1601" t="s">
        <v>1089</v>
      </c>
      <c r="I113" s="1601" t="s">
        <v>953</v>
      </c>
      <c r="J113" s="1601" t="s">
        <v>1090</v>
      </c>
      <c r="K113" s="1606" t="s">
        <v>1091</v>
      </c>
    </row>
    <row r="114" spans="1:11" ht="15">
      <c r="A114" s="1602">
        <v>1</v>
      </c>
      <c r="B114" s="1603">
        <v>89452</v>
      </c>
      <c r="C114" s="1603" t="s">
        <v>1092</v>
      </c>
      <c r="D114" s="1603" t="s">
        <v>1093</v>
      </c>
      <c r="E114" s="1603" t="s">
        <v>1094</v>
      </c>
      <c r="F114" s="1603" t="s">
        <v>1095</v>
      </c>
      <c r="G114" s="1603" t="s">
        <v>1096</v>
      </c>
      <c r="H114" s="1603">
        <v>94347</v>
      </c>
      <c r="I114" s="1603">
        <v>7608</v>
      </c>
      <c r="J114" s="1607" t="s">
        <v>1097</v>
      </c>
      <c r="K114" s="1603" t="s">
        <v>1098</v>
      </c>
    </row>
    <row r="115" spans="1:11" ht="15">
      <c r="A115" s="1604">
        <v>2</v>
      </c>
      <c r="B115" s="1605">
        <v>77002</v>
      </c>
      <c r="C115" s="1605" t="s">
        <v>1099</v>
      </c>
      <c r="D115" s="1605" t="s">
        <v>1100</v>
      </c>
      <c r="E115" s="1605" t="s">
        <v>1101</v>
      </c>
      <c r="F115" s="1605" t="s">
        <v>1102</v>
      </c>
      <c r="G115" s="1605" t="s">
        <v>1103</v>
      </c>
      <c r="H115" s="1605">
        <v>94347</v>
      </c>
      <c r="I115" s="1605">
        <v>98691</v>
      </c>
      <c r="J115" s="1605" t="s">
        <v>1104</v>
      </c>
      <c r="K115" s="1605" t="s">
        <v>1105</v>
      </c>
    </row>
    <row r="116" spans="1:11" ht="15">
      <c r="A116" s="1602">
        <v>3</v>
      </c>
      <c r="B116" s="1603">
        <v>148</v>
      </c>
      <c r="C116" s="1603" t="s">
        <v>1106</v>
      </c>
      <c r="D116" s="1603" t="s">
        <v>1107</v>
      </c>
      <c r="E116" s="1603" t="s">
        <v>1108</v>
      </c>
      <c r="F116" s="1603" t="s">
        <v>1109</v>
      </c>
      <c r="G116" s="1603" t="s">
        <v>1103</v>
      </c>
      <c r="H116" s="1603">
        <v>94347</v>
      </c>
      <c r="I116" s="1603">
        <v>98922</v>
      </c>
      <c r="J116" s="1603" t="s">
        <v>1110</v>
      </c>
      <c r="K116" s="1603" t="s">
        <v>1111</v>
      </c>
    </row>
    <row r="117" spans="1:11" ht="15">
      <c r="A117" s="1604">
        <v>4</v>
      </c>
      <c r="B117" s="1605">
        <v>14589</v>
      </c>
      <c r="C117" s="1605" t="s">
        <v>1112</v>
      </c>
      <c r="D117" s="1605" t="s">
        <v>1113</v>
      </c>
      <c r="E117" s="1605" t="s">
        <v>1114</v>
      </c>
      <c r="F117" s="1605" t="s">
        <v>1115</v>
      </c>
      <c r="G117" s="1605" t="s">
        <v>1116</v>
      </c>
      <c r="H117" s="1605">
        <v>94347</v>
      </c>
      <c r="I117" s="1605">
        <v>7607</v>
      </c>
      <c r="J117" s="1608" t="s">
        <v>1117</v>
      </c>
      <c r="K117" s="1608" t="s">
        <v>1118</v>
      </c>
    </row>
    <row r="118" spans="1:11" ht="15">
      <c r="A118" s="1602">
        <v>5</v>
      </c>
      <c r="B118" s="1603">
        <v>10627</v>
      </c>
      <c r="C118" s="1603" t="s">
        <v>1119</v>
      </c>
      <c r="D118" s="1603" t="s">
        <v>1120</v>
      </c>
      <c r="E118" s="1603" t="s">
        <v>1121</v>
      </c>
      <c r="F118" s="1603" t="s">
        <v>1122</v>
      </c>
      <c r="G118" s="1603" t="s">
        <v>1123</v>
      </c>
      <c r="H118" s="1603">
        <v>94347</v>
      </c>
      <c r="I118" s="1603">
        <v>98824</v>
      </c>
      <c r="J118" s="1603" t="s">
        <v>1124</v>
      </c>
      <c r="K118" s="1603" t="s">
        <v>1125</v>
      </c>
    </row>
    <row r="119" spans="1:11" ht="15">
      <c r="A119" s="1604">
        <v>6</v>
      </c>
      <c r="B119" s="1605">
        <v>79452</v>
      </c>
      <c r="C119" s="1605" t="s">
        <v>1126</v>
      </c>
      <c r="D119" s="1605" t="s">
        <v>1127</v>
      </c>
      <c r="E119" s="1605" t="s">
        <v>1108</v>
      </c>
      <c r="F119" s="1605" t="s">
        <v>1109</v>
      </c>
      <c r="G119" s="1605" t="s">
        <v>1123</v>
      </c>
      <c r="H119" s="1605">
        <v>94347</v>
      </c>
      <c r="I119" s="1605">
        <v>7599</v>
      </c>
      <c r="J119" s="1605" t="s">
        <v>1128</v>
      </c>
      <c r="K119" s="1605" t="s">
        <v>1129</v>
      </c>
    </row>
    <row r="120" spans="1:11" ht="15">
      <c r="A120" s="1602">
        <v>7</v>
      </c>
      <c r="B120" s="1603">
        <v>30374</v>
      </c>
      <c r="C120" s="1603" t="s">
        <v>1130</v>
      </c>
      <c r="D120" s="1603" t="s">
        <v>1131</v>
      </c>
      <c r="E120" s="1603" t="s">
        <v>1114</v>
      </c>
      <c r="F120" s="1603" t="s">
        <v>1115</v>
      </c>
      <c r="G120" s="1603" t="s">
        <v>1132</v>
      </c>
      <c r="H120" s="1603">
        <v>94347</v>
      </c>
      <c r="I120" s="1603">
        <v>98711</v>
      </c>
      <c r="J120" s="1603" t="s">
        <v>1133</v>
      </c>
      <c r="K120" s="1603" t="s">
        <v>1134</v>
      </c>
    </row>
    <row r="121" spans="1:11" ht="15">
      <c r="A121" s="1604">
        <v>8</v>
      </c>
      <c r="B121" s="1605">
        <v>84982</v>
      </c>
      <c r="C121" s="1605" t="s">
        <v>1135</v>
      </c>
      <c r="D121" s="1605" t="s">
        <v>1002</v>
      </c>
      <c r="E121" s="1605" t="s">
        <v>1136</v>
      </c>
      <c r="F121" s="1605" t="s">
        <v>1102</v>
      </c>
      <c r="G121" s="1605" t="s">
        <v>1137</v>
      </c>
      <c r="H121" s="1605">
        <v>94347</v>
      </c>
      <c r="I121" s="1605">
        <v>98971</v>
      </c>
      <c r="J121" s="1605" t="s">
        <v>1138</v>
      </c>
      <c r="K121" s="1605" t="s">
        <v>1139</v>
      </c>
    </row>
    <row r="122" spans="1:11" ht="15">
      <c r="A122" s="1602">
        <v>9</v>
      </c>
      <c r="B122" s="1603">
        <v>44438</v>
      </c>
      <c r="C122" s="1603" t="s">
        <v>1140</v>
      </c>
      <c r="D122" s="1603" t="s">
        <v>1141</v>
      </c>
      <c r="E122" s="1603" t="s">
        <v>1101</v>
      </c>
      <c r="F122" s="1603" t="s">
        <v>1102</v>
      </c>
      <c r="G122" s="1603" t="s">
        <v>1142</v>
      </c>
      <c r="H122" s="1603">
        <v>94347</v>
      </c>
      <c r="I122" s="1603">
        <v>98701</v>
      </c>
      <c r="J122" s="1603" t="s">
        <v>1143</v>
      </c>
      <c r="K122" s="1603" t="s">
        <v>1144</v>
      </c>
    </row>
    <row r="123" spans="1:11" ht="15">
      <c r="A123" s="1604">
        <v>10</v>
      </c>
      <c r="B123" s="1605">
        <v>43033</v>
      </c>
      <c r="C123" s="1605" t="s">
        <v>1145</v>
      </c>
      <c r="D123" s="1605" t="s">
        <v>1146</v>
      </c>
      <c r="E123" s="1605" t="s">
        <v>1101</v>
      </c>
      <c r="F123" s="1605" t="s">
        <v>1102</v>
      </c>
      <c r="G123" s="1605" t="s">
        <v>1142</v>
      </c>
      <c r="H123" s="1605">
        <v>94347</v>
      </c>
      <c r="I123" s="1605">
        <v>98712</v>
      </c>
      <c r="J123" s="1605" t="s">
        <v>1147</v>
      </c>
      <c r="K123" s="1605" t="s">
        <v>1148</v>
      </c>
    </row>
    <row r="124" spans="1:11" ht="15">
      <c r="A124" s="1602">
        <v>11</v>
      </c>
      <c r="B124" s="1603">
        <v>11208</v>
      </c>
      <c r="C124" s="1603" t="s">
        <v>1149</v>
      </c>
      <c r="D124" s="1603" t="s">
        <v>1150</v>
      </c>
      <c r="E124" s="1603" t="s">
        <v>1121</v>
      </c>
      <c r="F124" s="1603" t="s">
        <v>1122</v>
      </c>
      <c r="G124" s="1603" t="s">
        <v>1142</v>
      </c>
      <c r="H124" s="1603">
        <v>94347</v>
      </c>
      <c r="I124" s="1603">
        <v>98710</v>
      </c>
      <c r="J124" s="1603" t="s">
        <v>1151</v>
      </c>
      <c r="K124" s="1603" t="s">
        <v>1152</v>
      </c>
    </row>
    <row r="125" spans="1:11" ht="15">
      <c r="A125" s="1604">
        <v>12</v>
      </c>
      <c r="B125" s="1605">
        <v>86452</v>
      </c>
      <c r="C125" s="1605" t="s">
        <v>1153</v>
      </c>
      <c r="D125" s="1605" t="s">
        <v>1154</v>
      </c>
      <c r="E125" s="1605" t="s">
        <v>1121</v>
      </c>
      <c r="F125" s="1605" t="s">
        <v>1122</v>
      </c>
      <c r="G125" s="1605" t="s">
        <v>1142</v>
      </c>
      <c r="H125" s="1605">
        <v>94347</v>
      </c>
      <c r="I125" s="1605">
        <v>98785</v>
      </c>
      <c r="J125" s="1605" t="s">
        <v>1155</v>
      </c>
      <c r="K125" s="1605" t="s">
        <v>1156</v>
      </c>
    </row>
    <row r="126" spans="1:11" ht="15">
      <c r="A126" s="1602">
        <v>13</v>
      </c>
      <c r="B126" s="1603">
        <v>84424</v>
      </c>
      <c r="C126" s="1603" t="s">
        <v>1157</v>
      </c>
      <c r="D126" s="1603" t="s">
        <v>1158</v>
      </c>
      <c r="E126" s="1603" t="s">
        <v>1159</v>
      </c>
      <c r="F126" s="1603" t="s">
        <v>1160</v>
      </c>
      <c r="G126" s="1603" t="s">
        <v>1142</v>
      </c>
      <c r="H126" s="1603">
        <v>94347</v>
      </c>
      <c r="I126" s="1603">
        <v>98958</v>
      </c>
      <c r="J126" s="1603" t="s">
        <v>1161</v>
      </c>
      <c r="K126" s="1603" t="s">
        <v>1162</v>
      </c>
    </row>
    <row r="127" spans="1:11" ht="15">
      <c r="A127" s="1604">
        <v>14</v>
      </c>
      <c r="B127" s="1605">
        <v>12653</v>
      </c>
      <c r="C127" s="1605" t="s">
        <v>1163</v>
      </c>
      <c r="D127" s="1605" t="s">
        <v>1164</v>
      </c>
      <c r="E127" s="1605" t="s">
        <v>1165</v>
      </c>
      <c r="F127" s="1605" t="s">
        <v>1166</v>
      </c>
      <c r="G127" s="1605" t="s">
        <v>1142</v>
      </c>
      <c r="H127" s="1605">
        <v>94347</v>
      </c>
      <c r="I127" s="1605">
        <v>98762</v>
      </c>
      <c r="J127" s="1605" t="s">
        <v>1167</v>
      </c>
      <c r="K127" s="1605" t="s">
        <v>1168</v>
      </c>
    </row>
    <row r="128" spans="1:11" ht="15">
      <c r="A128" s="1602">
        <v>15</v>
      </c>
      <c r="B128" s="1603">
        <v>90972</v>
      </c>
      <c r="C128" s="1603" t="s">
        <v>1169</v>
      </c>
      <c r="D128" s="1603" t="s">
        <v>1170</v>
      </c>
      <c r="E128" s="1603" t="s">
        <v>1165</v>
      </c>
      <c r="F128" s="1603" t="s">
        <v>1166</v>
      </c>
      <c r="G128" s="1603" t="s">
        <v>1142</v>
      </c>
      <c r="H128" s="1603">
        <v>94347</v>
      </c>
      <c r="I128" s="1603">
        <v>98673</v>
      </c>
      <c r="J128" s="1603" t="s">
        <v>1171</v>
      </c>
      <c r="K128" s="1603" t="s">
        <v>1172</v>
      </c>
    </row>
    <row r="129" spans="1:11" ht="15">
      <c r="A129" s="1604">
        <v>16</v>
      </c>
      <c r="B129" s="1605">
        <v>6392</v>
      </c>
      <c r="C129" s="1605" t="s">
        <v>1173</v>
      </c>
      <c r="D129" s="1605" t="s">
        <v>1174</v>
      </c>
      <c r="E129" s="1605" t="s">
        <v>1165</v>
      </c>
      <c r="F129" s="1605" t="s">
        <v>1166</v>
      </c>
      <c r="G129" s="1605" t="s">
        <v>1142</v>
      </c>
      <c r="H129" s="1605">
        <v>94347</v>
      </c>
      <c r="I129" s="1605">
        <v>98751</v>
      </c>
      <c r="J129" s="1605" t="s">
        <v>1175</v>
      </c>
      <c r="K129" s="1605" t="s">
        <v>1176</v>
      </c>
    </row>
    <row r="130" spans="1:11" ht="15">
      <c r="A130" s="1602">
        <v>17</v>
      </c>
      <c r="B130" s="1603">
        <v>50171</v>
      </c>
      <c r="C130" s="1603" t="s">
        <v>1177</v>
      </c>
      <c r="D130" s="1603" t="s">
        <v>1178</v>
      </c>
      <c r="E130" s="1603" t="s">
        <v>1179</v>
      </c>
      <c r="F130" s="1603" t="s">
        <v>1180</v>
      </c>
      <c r="G130" s="1603" t="s">
        <v>1142</v>
      </c>
      <c r="H130" s="1603">
        <v>94347</v>
      </c>
      <c r="I130" s="1603">
        <v>98989</v>
      </c>
      <c r="J130" s="1603" t="s">
        <v>1181</v>
      </c>
      <c r="K130" s="1603" t="s">
        <v>1182</v>
      </c>
    </row>
    <row r="131" spans="1:11" ht="15">
      <c r="A131" s="1604">
        <v>18</v>
      </c>
      <c r="B131" s="1605">
        <v>84172</v>
      </c>
      <c r="C131" s="1605" t="s">
        <v>1183</v>
      </c>
      <c r="D131" s="1605" t="s">
        <v>998</v>
      </c>
      <c r="E131" s="1605" t="s">
        <v>1179</v>
      </c>
      <c r="F131" s="1605" t="s">
        <v>1180</v>
      </c>
      <c r="G131" s="1605" t="s">
        <v>1142</v>
      </c>
      <c r="H131" s="1605">
        <v>94347</v>
      </c>
      <c r="I131" s="1605">
        <v>98901</v>
      </c>
      <c r="J131" s="1605" t="s">
        <v>1184</v>
      </c>
      <c r="K131" s="1605" t="s">
        <v>1185</v>
      </c>
    </row>
    <row r="132" spans="1:11" ht="15">
      <c r="A132" s="1602">
        <v>19</v>
      </c>
      <c r="B132" s="1603">
        <v>90973</v>
      </c>
      <c r="C132" s="1603" t="s">
        <v>1186</v>
      </c>
      <c r="D132" s="1603" t="s">
        <v>1187</v>
      </c>
      <c r="E132" s="1603" t="s">
        <v>1188</v>
      </c>
      <c r="F132" s="1603" t="s">
        <v>1189</v>
      </c>
      <c r="G132" s="1603" t="s">
        <v>1142</v>
      </c>
      <c r="H132" s="1603">
        <v>94347</v>
      </c>
      <c r="I132" s="1603">
        <v>98753</v>
      </c>
      <c r="J132" s="1603" t="s">
        <v>1190</v>
      </c>
      <c r="K132" s="1603" t="s">
        <v>1191</v>
      </c>
    </row>
    <row r="133" spans="1:11" ht="15">
      <c r="A133" s="1604">
        <v>20</v>
      </c>
      <c r="B133" s="1605">
        <v>56427</v>
      </c>
      <c r="C133" s="1605" t="s">
        <v>1192</v>
      </c>
      <c r="D133" s="1605" t="s">
        <v>1193</v>
      </c>
      <c r="E133" s="1605" t="s">
        <v>1108</v>
      </c>
      <c r="F133" s="1605" t="s">
        <v>1109</v>
      </c>
      <c r="G133" s="1605" t="s">
        <v>1142</v>
      </c>
      <c r="H133" s="1605">
        <v>94347</v>
      </c>
      <c r="I133" s="1605">
        <v>98891</v>
      </c>
      <c r="J133" s="1608" t="s">
        <v>1194</v>
      </c>
      <c r="K133" s="1605" t="s">
        <v>1195</v>
      </c>
    </row>
    <row r="134" spans="1:11" ht="15">
      <c r="A134" s="1602">
        <v>21</v>
      </c>
      <c r="B134" s="1603">
        <v>53384</v>
      </c>
      <c r="C134" s="1603" t="s">
        <v>1196</v>
      </c>
      <c r="D134" s="1603" t="s">
        <v>1197</v>
      </c>
      <c r="E134" s="1603" t="s">
        <v>1108</v>
      </c>
      <c r="F134" s="1603" t="s">
        <v>1109</v>
      </c>
      <c r="G134" s="1603" t="s">
        <v>1142</v>
      </c>
      <c r="H134" s="1603">
        <v>94347</v>
      </c>
      <c r="I134" s="1603">
        <v>98903</v>
      </c>
      <c r="J134" s="1603" t="s">
        <v>1198</v>
      </c>
      <c r="K134" s="1603" t="s">
        <v>1199</v>
      </c>
    </row>
    <row r="135" spans="1:11" ht="15">
      <c r="A135" s="1604">
        <v>22</v>
      </c>
      <c r="B135" s="1605">
        <v>10572</v>
      </c>
      <c r="C135" s="1605" t="s">
        <v>1200</v>
      </c>
      <c r="D135" s="1605" t="s">
        <v>1201</v>
      </c>
      <c r="E135" s="1605" t="s">
        <v>1101</v>
      </c>
      <c r="F135" s="1605" t="s">
        <v>1102</v>
      </c>
      <c r="G135" s="1605" t="s">
        <v>1202</v>
      </c>
      <c r="H135" s="1605">
        <v>94347</v>
      </c>
      <c r="I135" s="1605">
        <v>98759</v>
      </c>
      <c r="J135" s="1605" t="s">
        <v>1203</v>
      </c>
      <c r="K135" s="1605" t="s">
        <v>1204</v>
      </c>
    </row>
    <row r="136" spans="1:11" ht="15">
      <c r="A136" s="1602">
        <v>23</v>
      </c>
      <c r="B136" s="1603">
        <v>8354</v>
      </c>
      <c r="C136" s="1603" t="s">
        <v>1205</v>
      </c>
      <c r="D136" s="1603" t="s">
        <v>1206</v>
      </c>
      <c r="E136" s="1603" t="s">
        <v>1121</v>
      </c>
      <c r="F136" s="1603" t="s">
        <v>1122</v>
      </c>
      <c r="G136" s="1603" t="s">
        <v>1202</v>
      </c>
      <c r="H136" s="1603">
        <v>94347</v>
      </c>
      <c r="I136" s="1603">
        <v>98699</v>
      </c>
      <c r="J136" s="1603" t="s">
        <v>1207</v>
      </c>
      <c r="K136" s="1603" t="s">
        <v>1208</v>
      </c>
    </row>
    <row r="137" spans="1:11" ht="15">
      <c r="A137" s="1604">
        <v>24</v>
      </c>
      <c r="B137" s="1605">
        <v>4598</v>
      </c>
      <c r="C137" s="1605" t="s">
        <v>1209</v>
      </c>
      <c r="D137" s="1605" t="s">
        <v>1210</v>
      </c>
      <c r="E137" s="1605" t="s">
        <v>1165</v>
      </c>
      <c r="F137" s="1605" t="s">
        <v>1166</v>
      </c>
      <c r="G137" s="1605" t="s">
        <v>1202</v>
      </c>
      <c r="H137" s="1605">
        <v>94347</v>
      </c>
      <c r="I137" s="1605">
        <v>98620</v>
      </c>
      <c r="J137" s="1605" t="s">
        <v>1211</v>
      </c>
      <c r="K137" s="1605" t="s">
        <v>1212</v>
      </c>
    </row>
    <row r="138" spans="1:11" ht="15">
      <c r="A138" s="1602">
        <v>25</v>
      </c>
      <c r="B138" s="1603">
        <v>53502</v>
      </c>
      <c r="C138" s="1603" t="s">
        <v>1213</v>
      </c>
      <c r="D138" s="1603" t="s">
        <v>1214</v>
      </c>
      <c r="E138" s="1603" t="s">
        <v>1165</v>
      </c>
      <c r="F138" s="1603" t="s">
        <v>1166</v>
      </c>
      <c r="G138" s="1603" t="s">
        <v>1202</v>
      </c>
      <c r="H138" s="1603">
        <v>94347</v>
      </c>
      <c r="I138" s="1603">
        <v>98800</v>
      </c>
      <c r="J138" s="1603" t="s">
        <v>1215</v>
      </c>
      <c r="K138" s="1603" t="s">
        <v>1216</v>
      </c>
    </row>
    <row r="139" spans="1:11" ht="15">
      <c r="A139" s="1604">
        <v>26</v>
      </c>
      <c r="B139" s="1605">
        <v>86251</v>
      </c>
      <c r="C139" s="1605" t="s">
        <v>1217</v>
      </c>
      <c r="D139" s="1605" t="s">
        <v>1218</v>
      </c>
      <c r="E139" s="1605" t="s">
        <v>1165</v>
      </c>
      <c r="F139" s="1605" t="s">
        <v>1166</v>
      </c>
      <c r="G139" s="1605" t="s">
        <v>1202</v>
      </c>
      <c r="H139" s="1605">
        <v>94347</v>
      </c>
      <c r="I139" s="1605">
        <v>98633</v>
      </c>
      <c r="J139" s="1605" t="s">
        <v>1219</v>
      </c>
      <c r="K139" s="1605" t="s">
        <v>1220</v>
      </c>
    </row>
    <row r="140" spans="1:11" ht="15">
      <c r="A140" s="1602">
        <v>27</v>
      </c>
      <c r="B140" s="1603">
        <v>55096</v>
      </c>
      <c r="C140" s="1603" t="s">
        <v>1221</v>
      </c>
      <c r="D140" s="1603" t="s">
        <v>1222</v>
      </c>
      <c r="E140" s="1603" t="s">
        <v>1101</v>
      </c>
      <c r="F140" s="1603" t="s">
        <v>1102</v>
      </c>
      <c r="G140" s="1603" t="s">
        <v>1223</v>
      </c>
      <c r="H140" s="1603">
        <v>94347</v>
      </c>
      <c r="I140" s="1603">
        <v>98870</v>
      </c>
      <c r="J140" s="1603" t="s">
        <v>1224</v>
      </c>
      <c r="K140" s="1603" t="s">
        <v>1225</v>
      </c>
    </row>
    <row r="141" spans="1:11" ht="15">
      <c r="A141" s="1604">
        <v>28</v>
      </c>
      <c r="B141" s="1605">
        <v>32999</v>
      </c>
      <c r="C141" s="1605" t="s">
        <v>1226</v>
      </c>
      <c r="D141" s="1605" t="s">
        <v>1227</v>
      </c>
      <c r="E141" s="1605" t="s">
        <v>1101</v>
      </c>
      <c r="F141" s="1605" t="s">
        <v>1102</v>
      </c>
      <c r="G141" s="1605" t="s">
        <v>1228</v>
      </c>
      <c r="H141" s="1605">
        <v>94347</v>
      </c>
      <c r="I141" s="1605">
        <v>98808</v>
      </c>
      <c r="J141" s="1605" t="s">
        <v>1229</v>
      </c>
      <c r="K141" s="1605" t="s">
        <v>1230</v>
      </c>
    </row>
    <row r="142" spans="1:11" ht="15">
      <c r="A142" s="1602">
        <v>29</v>
      </c>
      <c r="B142" s="1603">
        <v>63793</v>
      </c>
      <c r="C142" s="1603" t="s">
        <v>1231</v>
      </c>
      <c r="D142" s="1603" t="s">
        <v>1232</v>
      </c>
      <c r="E142" s="1603" t="s">
        <v>1136</v>
      </c>
      <c r="F142" s="1603" t="s">
        <v>1102</v>
      </c>
      <c r="G142" s="1603" t="s">
        <v>1233</v>
      </c>
      <c r="H142" s="1603">
        <v>94347</v>
      </c>
      <c r="I142" s="1603">
        <v>98703</v>
      </c>
      <c r="J142" s="1603" t="s">
        <v>1234</v>
      </c>
      <c r="K142" s="1603" t="s">
        <v>1235</v>
      </c>
    </row>
    <row r="143" spans="1:11" ht="15">
      <c r="A143" s="1604">
        <v>30</v>
      </c>
      <c r="B143" s="1605">
        <v>70153</v>
      </c>
      <c r="C143" s="1605" t="s">
        <v>1236</v>
      </c>
      <c r="D143" s="1605" t="s">
        <v>1237</v>
      </c>
      <c r="E143" s="1605" t="s">
        <v>1101</v>
      </c>
      <c r="F143" s="1605" t="s">
        <v>1102</v>
      </c>
      <c r="G143" s="1605" t="s">
        <v>711</v>
      </c>
      <c r="H143" s="1605">
        <v>94347</v>
      </c>
      <c r="I143" s="1605">
        <v>98814</v>
      </c>
      <c r="J143" s="1605" t="s">
        <v>1238</v>
      </c>
      <c r="K143" s="1605" t="s">
        <v>1239</v>
      </c>
    </row>
    <row r="144" spans="1:11" ht="15">
      <c r="A144" s="1602">
        <v>31</v>
      </c>
      <c r="B144" s="1603">
        <v>15251</v>
      </c>
      <c r="C144" s="1603" t="s">
        <v>1240</v>
      </c>
      <c r="D144" s="1603" t="s">
        <v>1241</v>
      </c>
      <c r="E144" s="1603" t="s">
        <v>1121</v>
      </c>
      <c r="F144" s="1603" t="s">
        <v>1122</v>
      </c>
      <c r="G144" s="1603" t="s">
        <v>711</v>
      </c>
      <c r="H144" s="1603">
        <v>94347</v>
      </c>
      <c r="I144" s="1603">
        <v>98839</v>
      </c>
      <c r="J144" s="1617" t="s">
        <v>1242</v>
      </c>
      <c r="K144" s="1603" t="s">
        <v>1243</v>
      </c>
    </row>
    <row r="145" spans="1:11" ht="15">
      <c r="A145" s="1604">
        <v>32</v>
      </c>
      <c r="B145" s="1605">
        <v>59767</v>
      </c>
      <c r="C145" s="1605" t="s">
        <v>1244</v>
      </c>
      <c r="D145" s="1605" t="s">
        <v>1245</v>
      </c>
      <c r="E145" s="1605" t="s">
        <v>1159</v>
      </c>
      <c r="F145" s="1605" t="s">
        <v>1160</v>
      </c>
      <c r="G145" s="1605" t="s">
        <v>711</v>
      </c>
      <c r="H145" s="1605">
        <v>94347</v>
      </c>
      <c r="I145" s="1605">
        <v>98662</v>
      </c>
      <c r="J145" s="1605" t="s">
        <v>1246</v>
      </c>
      <c r="K145" s="1605" t="s">
        <v>1247</v>
      </c>
    </row>
    <row r="146" spans="1:11" ht="15">
      <c r="A146" s="1602">
        <v>33</v>
      </c>
      <c r="B146" s="1603">
        <v>55091</v>
      </c>
      <c r="C146" s="1603" t="s">
        <v>1248</v>
      </c>
      <c r="D146" s="1603" t="s">
        <v>1249</v>
      </c>
      <c r="E146" s="1603" t="s">
        <v>1165</v>
      </c>
      <c r="F146" s="1603" t="s">
        <v>1166</v>
      </c>
      <c r="G146" s="1603" t="s">
        <v>711</v>
      </c>
      <c r="H146" s="1603">
        <v>94347</v>
      </c>
      <c r="I146" s="1603">
        <v>98680</v>
      </c>
      <c r="J146" s="1603" t="s">
        <v>1250</v>
      </c>
      <c r="K146" s="1603" t="s">
        <v>1251</v>
      </c>
    </row>
    <row r="147" spans="1:11" ht="15">
      <c r="A147" s="1604">
        <v>34</v>
      </c>
      <c r="B147" s="1605">
        <v>76177</v>
      </c>
      <c r="C147" s="1605" t="s">
        <v>1252</v>
      </c>
      <c r="D147" s="1605" t="s">
        <v>1253</v>
      </c>
      <c r="E147" s="1605" t="s">
        <v>1108</v>
      </c>
      <c r="F147" s="1605" t="s">
        <v>1109</v>
      </c>
      <c r="G147" s="1605" t="s">
        <v>711</v>
      </c>
      <c r="H147" s="1605">
        <v>94347</v>
      </c>
      <c r="I147" s="1605">
        <v>98783</v>
      </c>
      <c r="J147" s="1608" t="s">
        <v>1254</v>
      </c>
      <c r="K147" s="1605" t="s">
        <v>1255</v>
      </c>
    </row>
    <row r="148" spans="1:11" ht="15">
      <c r="A148" s="1602">
        <v>35</v>
      </c>
      <c r="B148" s="1603">
        <v>60118</v>
      </c>
      <c r="C148" s="1603" t="s">
        <v>1256</v>
      </c>
      <c r="D148" s="1603" t="s">
        <v>1257</v>
      </c>
      <c r="E148" s="1603" t="s">
        <v>1136</v>
      </c>
      <c r="F148" s="1603" t="s">
        <v>1102</v>
      </c>
      <c r="G148" s="1603" t="s">
        <v>1258</v>
      </c>
      <c r="H148" s="1603">
        <v>94347</v>
      </c>
      <c r="I148" s="1603">
        <v>98852</v>
      </c>
      <c r="J148" s="1603" t="s">
        <v>1259</v>
      </c>
      <c r="K148" s="1603" t="s">
        <v>1260</v>
      </c>
    </row>
    <row r="149" spans="1:11" ht="15">
      <c r="A149" s="1604">
        <v>36</v>
      </c>
      <c r="B149" s="1605">
        <v>59271</v>
      </c>
      <c r="C149" s="1605" t="s">
        <v>1261</v>
      </c>
      <c r="D149" s="1605" t="s">
        <v>1262</v>
      </c>
      <c r="E149" s="1605" t="s">
        <v>1121</v>
      </c>
      <c r="F149" s="1605" t="s">
        <v>1122</v>
      </c>
      <c r="G149" s="1605" t="s">
        <v>784</v>
      </c>
      <c r="H149" s="1605">
        <v>94347</v>
      </c>
      <c r="I149" s="1605">
        <v>98746</v>
      </c>
      <c r="J149" s="1605" t="s">
        <v>1263</v>
      </c>
      <c r="K149" s="1605" t="s">
        <v>1264</v>
      </c>
    </row>
    <row r="150" spans="1:11" ht="15">
      <c r="A150" s="1602">
        <v>37</v>
      </c>
      <c r="B150" s="1603">
        <v>32506</v>
      </c>
      <c r="C150" s="1603" t="s">
        <v>1265</v>
      </c>
      <c r="D150" s="1603" t="s">
        <v>1266</v>
      </c>
      <c r="E150" s="1603" t="s">
        <v>1165</v>
      </c>
      <c r="F150" s="1603" t="s">
        <v>1166</v>
      </c>
      <c r="G150" s="1603" t="s">
        <v>784</v>
      </c>
      <c r="H150" s="1603">
        <v>94347</v>
      </c>
      <c r="I150" s="1603">
        <v>98674</v>
      </c>
      <c r="J150" s="1603" t="s">
        <v>1267</v>
      </c>
      <c r="K150" s="1603" t="s">
        <v>1268</v>
      </c>
    </row>
    <row r="151" spans="1:11" ht="15">
      <c r="A151" s="1604">
        <v>38</v>
      </c>
      <c r="B151" s="1605">
        <v>55199</v>
      </c>
      <c r="C151" s="1605" t="s">
        <v>1269</v>
      </c>
      <c r="D151" s="1605" t="s">
        <v>1270</v>
      </c>
      <c r="E151" s="1605" t="s">
        <v>1165</v>
      </c>
      <c r="F151" s="1605" t="s">
        <v>1166</v>
      </c>
      <c r="G151" s="1605" t="s">
        <v>784</v>
      </c>
      <c r="H151" s="1605">
        <v>94347</v>
      </c>
      <c r="I151" s="1605">
        <v>98917</v>
      </c>
      <c r="J151" s="1605" t="s">
        <v>1271</v>
      </c>
      <c r="K151" s="1605" t="s">
        <v>1272</v>
      </c>
    </row>
    <row r="152" spans="1:11" ht="15">
      <c r="A152" s="1602">
        <v>39</v>
      </c>
      <c r="B152" s="1603">
        <v>58640</v>
      </c>
      <c r="C152" s="1603" t="s">
        <v>1273</v>
      </c>
      <c r="D152" s="1603" t="s">
        <v>1274</v>
      </c>
      <c r="E152" s="1603" t="s">
        <v>1188</v>
      </c>
      <c r="F152" s="1603" t="s">
        <v>1189</v>
      </c>
      <c r="G152" s="1603" t="s">
        <v>784</v>
      </c>
      <c r="H152" s="1603">
        <v>94347</v>
      </c>
      <c r="I152" s="1603">
        <v>98969</v>
      </c>
      <c r="J152" s="1603" t="s">
        <v>1275</v>
      </c>
      <c r="K152" s="1603" t="s">
        <v>1276</v>
      </c>
    </row>
    <row r="153" spans="1:11" ht="15">
      <c r="A153" s="1604">
        <v>40</v>
      </c>
      <c r="B153" s="1605">
        <v>1546</v>
      </c>
      <c r="C153" s="1605" t="s">
        <v>1277</v>
      </c>
      <c r="D153" s="1605" t="s">
        <v>1278</v>
      </c>
      <c r="E153" s="1605" t="s">
        <v>1159</v>
      </c>
      <c r="F153" s="1605" t="s">
        <v>1160</v>
      </c>
      <c r="G153" s="1605" t="s">
        <v>1279</v>
      </c>
      <c r="H153" s="1605">
        <v>94347</v>
      </c>
      <c r="I153" s="1605">
        <v>98909</v>
      </c>
      <c r="J153" s="1605" t="s">
        <v>1280</v>
      </c>
      <c r="K153" s="1605" t="s">
        <v>1281</v>
      </c>
    </row>
    <row r="154" spans="1:11" ht="15">
      <c r="A154" s="1602">
        <v>41</v>
      </c>
      <c r="B154" s="1603">
        <v>65056</v>
      </c>
      <c r="C154" s="1603" t="s">
        <v>1282</v>
      </c>
      <c r="D154" s="1603" t="s">
        <v>1283</v>
      </c>
      <c r="E154" s="1603" t="s">
        <v>1101</v>
      </c>
      <c r="F154" s="1603" t="s">
        <v>1102</v>
      </c>
      <c r="G154" s="1603" t="s">
        <v>785</v>
      </c>
      <c r="H154" s="1603">
        <v>94347</v>
      </c>
      <c r="I154" s="1603">
        <v>98893</v>
      </c>
      <c r="J154" s="1603" t="s">
        <v>1284</v>
      </c>
      <c r="K154" s="1603" t="s">
        <v>1285</v>
      </c>
    </row>
    <row r="155" spans="1:11" ht="15">
      <c r="A155" s="1604">
        <v>42</v>
      </c>
      <c r="B155" s="1605">
        <v>5754</v>
      </c>
      <c r="C155" s="1605" t="s">
        <v>1286</v>
      </c>
      <c r="D155" s="1605" t="s">
        <v>1287</v>
      </c>
      <c r="E155" s="1605" t="s">
        <v>1165</v>
      </c>
      <c r="F155" s="1605" t="s">
        <v>1166</v>
      </c>
      <c r="G155" s="1605" t="s">
        <v>785</v>
      </c>
      <c r="H155" s="1605">
        <v>94347</v>
      </c>
      <c r="I155" s="1605">
        <v>98722</v>
      </c>
      <c r="J155" s="1605" t="s">
        <v>1288</v>
      </c>
      <c r="K155" s="1605" t="s">
        <v>1289</v>
      </c>
    </row>
    <row r="156" spans="1:11" ht="15">
      <c r="A156" s="1602">
        <v>43</v>
      </c>
      <c r="B156" s="1603">
        <v>9651</v>
      </c>
      <c r="C156" s="1603" t="s">
        <v>1290</v>
      </c>
      <c r="D156" s="1603" t="s">
        <v>1291</v>
      </c>
      <c r="E156" s="1603" t="s">
        <v>1121</v>
      </c>
      <c r="F156" s="1603" t="s">
        <v>1122</v>
      </c>
      <c r="G156" s="1603" t="s">
        <v>1292</v>
      </c>
      <c r="H156" s="1603">
        <v>94347</v>
      </c>
      <c r="I156" s="1603">
        <v>98938</v>
      </c>
      <c r="J156" s="1603" t="s">
        <v>1293</v>
      </c>
      <c r="K156" s="1603" t="s">
        <v>1294</v>
      </c>
    </row>
    <row r="157" spans="1:11" ht="15">
      <c r="A157" s="1604">
        <v>44</v>
      </c>
      <c r="B157" s="1605">
        <v>55183</v>
      </c>
      <c r="C157" s="1605" t="s">
        <v>1295</v>
      </c>
      <c r="D157" s="1605" t="s">
        <v>1296</v>
      </c>
      <c r="E157" s="1605" t="s">
        <v>1165</v>
      </c>
      <c r="F157" s="1605" t="s">
        <v>1166</v>
      </c>
      <c r="G157" s="1605" t="s">
        <v>1297</v>
      </c>
      <c r="H157" s="1605">
        <v>94347</v>
      </c>
      <c r="I157" s="1605">
        <v>98948</v>
      </c>
      <c r="J157" s="1605" t="s">
        <v>1298</v>
      </c>
      <c r="K157" s="1605" t="s">
        <v>1299</v>
      </c>
    </row>
    <row r="158" spans="1:11" ht="15">
      <c r="A158" s="1602">
        <v>45</v>
      </c>
      <c r="B158" s="1603">
        <v>57512</v>
      </c>
      <c r="C158" s="1603" t="s">
        <v>1300</v>
      </c>
      <c r="D158" s="1603" t="s">
        <v>1301</v>
      </c>
      <c r="E158" s="1603" t="s">
        <v>1179</v>
      </c>
      <c r="F158" s="1603" t="s">
        <v>1180</v>
      </c>
      <c r="G158" s="1603" t="s">
        <v>1302</v>
      </c>
      <c r="H158" s="1603">
        <v>94347</v>
      </c>
      <c r="I158" s="1603">
        <v>98628</v>
      </c>
      <c r="J158" s="1603" t="s">
        <v>1303</v>
      </c>
      <c r="K158" s="1603" t="s">
        <v>1304</v>
      </c>
    </row>
    <row r="159" spans="1:11" ht="15">
      <c r="A159" s="1604">
        <v>46</v>
      </c>
      <c r="B159" s="1605">
        <v>70557</v>
      </c>
      <c r="C159" s="1605" t="s">
        <v>1305</v>
      </c>
      <c r="D159" s="1605" t="s">
        <v>1306</v>
      </c>
      <c r="E159" s="1605" t="s">
        <v>1101</v>
      </c>
      <c r="F159" s="1605" t="s">
        <v>1102</v>
      </c>
      <c r="G159" s="1605" t="s">
        <v>1307</v>
      </c>
      <c r="H159" s="1605">
        <v>94347</v>
      </c>
      <c r="I159" s="1605">
        <v>98832</v>
      </c>
      <c r="J159" s="1605" t="s">
        <v>1308</v>
      </c>
      <c r="K159" s="1605" t="s">
        <v>1309</v>
      </c>
    </row>
    <row r="160" spans="1:11" ht="15">
      <c r="A160" s="1602">
        <v>47</v>
      </c>
      <c r="B160" s="1603">
        <v>98704</v>
      </c>
      <c r="C160" s="1603" t="s">
        <v>1310</v>
      </c>
      <c r="D160" s="1603" t="s">
        <v>1311</v>
      </c>
      <c r="E160" s="1603" t="s">
        <v>1121</v>
      </c>
      <c r="F160" s="1603" t="s">
        <v>1122</v>
      </c>
      <c r="G160" s="1603" t="s">
        <v>1307</v>
      </c>
      <c r="H160" s="1603">
        <v>94347</v>
      </c>
      <c r="I160" s="1603">
        <v>98865</v>
      </c>
      <c r="J160" s="1603" t="s">
        <v>1312</v>
      </c>
      <c r="K160" s="1603" t="s">
        <v>1313</v>
      </c>
    </row>
    <row r="161" spans="1:11" ht="15">
      <c r="A161" s="1604">
        <v>48</v>
      </c>
      <c r="B161" s="1605">
        <v>94402</v>
      </c>
      <c r="C161" s="1605" t="s">
        <v>1314</v>
      </c>
      <c r="D161" s="1605" t="s">
        <v>1315</v>
      </c>
      <c r="E161" s="1605" t="s">
        <v>1121</v>
      </c>
      <c r="F161" s="1605" t="s">
        <v>1122</v>
      </c>
      <c r="G161" s="1605" t="s">
        <v>1307</v>
      </c>
      <c r="H161" s="1605">
        <v>94347</v>
      </c>
      <c r="I161" s="1605">
        <v>98828</v>
      </c>
      <c r="J161" s="1605" t="s">
        <v>1316</v>
      </c>
      <c r="K161" s="1605" t="s">
        <v>1317</v>
      </c>
    </row>
    <row r="162" spans="1:11" ht="15">
      <c r="A162" s="1602">
        <v>49</v>
      </c>
      <c r="B162" s="1603">
        <v>86589</v>
      </c>
      <c r="C162" s="1603" t="s">
        <v>1318</v>
      </c>
      <c r="D162" s="1603" t="s">
        <v>1319</v>
      </c>
      <c r="E162" s="1603" t="s">
        <v>1159</v>
      </c>
      <c r="F162" s="1603" t="s">
        <v>1160</v>
      </c>
      <c r="G162" s="1603" t="s">
        <v>1307</v>
      </c>
      <c r="H162" s="1603">
        <v>94347</v>
      </c>
      <c r="I162" s="1603">
        <v>98641</v>
      </c>
      <c r="J162" s="1603" t="s">
        <v>1320</v>
      </c>
      <c r="K162" s="1603" t="s">
        <v>1321</v>
      </c>
    </row>
    <row r="163" spans="1:11" ht="15">
      <c r="A163" s="1604">
        <v>50</v>
      </c>
      <c r="B163" s="1605">
        <v>58491</v>
      </c>
      <c r="C163" s="1605" t="s">
        <v>1322</v>
      </c>
      <c r="D163" s="1605" t="s">
        <v>1323</v>
      </c>
      <c r="E163" s="1605" t="s">
        <v>1188</v>
      </c>
      <c r="F163" s="1605" t="s">
        <v>1189</v>
      </c>
      <c r="G163" s="1605" t="s">
        <v>1307</v>
      </c>
      <c r="H163" s="1605">
        <v>94347</v>
      </c>
      <c r="I163" s="1605">
        <v>98616</v>
      </c>
      <c r="J163" s="1605" t="s">
        <v>1324</v>
      </c>
      <c r="K163" s="1605" t="s">
        <v>1325</v>
      </c>
    </row>
    <row r="164" spans="1:11" ht="15">
      <c r="A164" s="1602">
        <v>51</v>
      </c>
      <c r="B164" s="1603">
        <v>89400</v>
      </c>
      <c r="C164" s="1603" t="s">
        <v>1326</v>
      </c>
      <c r="D164" s="1603" t="s">
        <v>1327</v>
      </c>
      <c r="E164" s="1603" t="s">
        <v>1188</v>
      </c>
      <c r="F164" s="1603" t="s">
        <v>1189</v>
      </c>
      <c r="G164" s="1603" t="s">
        <v>1307</v>
      </c>
      <c r="H164" s="1603">
        <v>94347</v>
      </c>
      <c r="I164" s="1603">
        <v>98630</v>
      </c>
      <c r="J164" s="1603" t="s">
        <v>1328</v>
      </c>
      <c r="K164" s="1603" t="s">
        <v>1329</v>
      </c>
    </row>
    <row r="165" spans="1:11" ht="15">
      <c r="A165" s="1604">
        <v>52</v>
      </c>
      <c r="B165" s="1605">
        <v>48204</v>
      </c>
      <c r="C165" s="1605" t="s">
        <v>1330</v>
      </c>
      <c r="D165" s="1605" t="s">
        <v>1331</v>
      </c>
      <c r="E165" s="1605" t="s">
        <v>1101</v>
      </c>
      <c r="F165" s="1605" t="s">
        <v>1102</v>
      </c>
      <c r="G165" s="1605" t="s">
        <v>1332</v>
      </c>
      <c r="H165" s="1605">
        <v>94347</v>
      </c>
      <c r="I165" s="1605">
        <v>98874</v>
      </c>
      <c r="J165" s="1618" t="s">
        <v>1333</v>
      </c>
      <c r="K165" s="1605" t="s">
        <v>1334</v>
      </c>
    </row>
    <row r="166" spans="1:11" ht="15">
      <c r="A166" s="1602">
        <v>53</v>
      </c>
      <c r="B166" s="1603">
        <v>37360</v>
      </c>
      <c r="C166" s="1603" t="s">
        <v>1335</v>
      </c>
      <c r="D166" s="1603" t="s">
        <v>1336</v>
      </c>
      <c r="E166" s="1603" t="s">
        <v>1121</v>
      </c>
      <c r="F166" s="1603" t="s">
        <v>1122</v>
      </c>
      <c r="G166" s="1603" t="s">
        <v>1332</v>
      </c>
      <c r="H166" s="1603">
        <v>94347</v>
      </c>
      <c r="I166" s="1603">
        <v>98912</v>
      </c>
      <c r="J166" s="1603" t="s">
        <v>1337</v>
      </c>
      <c r="K166" s="1603" t="s">
        <v>1338</v>
      </c>
    </row>
    <row r="167" spans="1:11" ht="15">
      <c r="A167" s="1604">
        <v>54</v>
      </c>
      <c r="B167" s="1605">
        <v>74601</v>
      </c>
      <c r="C167" s="1605" t="s">
        <v>1339</v>
      </c>
      <c r="D167" s="1605" t="s">
        <v>1340</v>
      </c>
      <c r="E167" s="1605" t="s">
        <v>1165</v>
      </c>
      <c r="F167" s="1605" t="s">
        <v>1166</v>
      </c>
      <c r="G167" s="1605" t="s">
        <v>1332</v>
      </c>
      <c r="H167" s="1605">
        <v>94347</v>
      </c>
      <c r="I167" s="1605">
        <v>98671</v>
      </c>
      <c r="J167" s="1605" t="s">
        <v>1341</v>
      </c>
      <c r="K167" s="1605" t="s">
        <v>1342</v>
      </c>
    </row>
    <row r="168" spans="1:11" ht="15">
      <c r="A168" s="1602">
        <v>55</v>
      </c>
      <c r="B168" s="1603">
        <v>55256</v>
      </c>
      <c r="C168" s="1603" t="s">
        <v>1343</v>
      </c>
      <c r="D168" s="1603" t="s">
        <v>1249</v>
      </c>
      <c r="E168" s="1603" t="s">
        <v>1188</v>
      </c>
      <c r="F168" s="1603" t="s">
        <v>1189</v>
      </c>
      <c r="G168" s="1603" t="s">
        <v>1332</v>
      </c>
      <c r="H168" s="1603">
        <v>94347</v>
      </c>
      <c r="I168" s="1603">
        <v>98904</v>
      </c>
      <c r="J168" s="1603" t="s">
        <v>1344</v>
      </c>
      <c r="K168" s="1603" t="s">
        <v>1345</v>
      </c>
    </row>
    <row r="169" spans="1:11" ht="15">
      <c r="A169" s="1604">
        <v>56</v>
      </c>
      <c r="B169" s="1605">
        <v>12799</v>
      </c>
      <c r="C169" s="1605" t="s">
        <v>1346</v>
      </c>
      <c r="D169" s="1605" t="s">
        <v>1347</v>
      </c>
      <c r="E169" s="1605" t="s">
        <v>1136</v>
      </c>
      <c r="F169" s="1605" t="s">
        <v>1102</v>
      </c>
      <c r="G169" s="1605" t="s">
        <v>1348</v>
      </c>
      <c r="H169" s="1605">
        <v>94347</v>
      </c>
      <c r="I169" s="1605">
        <v>98818</v>
      </c>
      <c r="J169" s="1605" t="s">
        <v>1349</v>
      </c>
      <c r="K169" s="1605" t="s">
        <v>1350</v>
      </c>
    </row>
    <row r="170" spans="1:11" ht="15">
      <c r="A170" s="1602">
        <v>57</v>
      </c>
      <c r="B170" s="1603">
        <v>53042</v>
      </c>
      <c r="C170" s="1603" t="s">
        <v>1351</v>
      </c>
      <c r="D170" s="1603" t="s">
        <v>1352</v>
      </c>
      <c r="E170" s="1603" t="s">
        <v>1101</v>
      </c>
      <c r="F170" s="1603" t="s">
        <v>1102</v>
      </c>
      <c r="G170" s="1603" t="s">
        <v>1353</v>
      </c>
      <c r="H170" s="1603">
        <v>94347</v>
      </c>
      <c r="I170" s="1603">
        <v>98750</v>
      </c>
      <c r="J170" s="1603" t="s">
        <v>1354</v>
      </c>
      <c r="K170" s="1603" t="s">
        <v>1355</v>
      </c>
    </row>
    <row r="171" spans="1:11" ht="15">
      <c r="A171" s="1604">
        <v>58</v>
      </c>
      <c r="B171" s="1605">
        <v>97004</v>
      </c>
      <c r="C171" s="1605" t="s">
        <v>1356</v>
      </c>
      <c r="D171" s="1605" t="s">
        <v>1357</v>
      </c>
      <c r="E171" s="1605" t="s">
        <v>1121</v>
      </c>
      <c r="F171" s="1605" t="s">
        <v>1122</v>
      </c>
      <c r="G171" s="1605" t="s">
        <v>1358</v>
      </c>
      <c r="H171" s="1605">
        <v>94347</v>
      </c>
      <c r="I171" s="1605">
        <v>98919</v>
      </c>
      <c r="J171" s="1605" t="s">
        <v>1359</v>
      </c>
      <c r="K171" s="1605" t="s">
        <v>1360</v>
      </c>
    </row>
    <row r="172" spans="1:11" ht="15">
      <c r="A172" s="1602">
        <v>59</v>
      </c>
      <c r="B172" s="1603">
        <v>81853</v>
      </c>
      <c r="C172" s="1603" t="s">
        <v>1361</v>
      </c>
      <c r="D172" s="1603" t="s">
        <v>1362</v>
      </c>
      <c r="E172" s="1603" t="s">
        <v>1165</v>
      </c>
      <c r="F172" s="1603" t="s">
        <v>1166</v>
      </c>
      <c r="G172" s="1603" t="s">
        <v>1358</v>
      </c>
      <c r="H172" s="1603">
        <v>94347</v>
      </c>
      <c r="I172" s="1603">
        <v>98675</v>
      </c>
      <c r="J172" s="1603" t="s">
        <v>1363</v>
      </c>
      <c r="K172" s="1603" t="s">
        <v>1364</v>
      </c>
    </row>
    <row r="173" spans="1:11" ht="15">
      <c r="A173" s="1604">
        <v>60</v>
      </c>
      <c r="B173" s="1605">
        <v>55174</v>
      </c>
      <c r="C173" s="1605" t="s">
        <v>1365</v>
      </c>
      <c r="D173" s="1605" t="s">
        <v>1366</v>
      </c>
      <c r="E173" s="1605" t="s">
        <v>1165</v>
      </c>
      <c r="F173" s="1605" t="s">
        <v>1166</v>
      </c>
      <c r="G173" s="1605" t="s">
        <v>1367</v>
      </c>
      <c r="H173" s="1605">
        <v>94347</v>
      </c>
      <c r="I173" s="1605">
        <v>98949</v>
      </c>
      <c r="J173" s="1605" t="s">
        <v>1368</v>
      </c>
      <c r="K173" s="1605" t="s">
        <v>1369</v>
      </c>
    </row>
    <row r="174" spans="1:11" ht="15">
      <c r="A174" s="1602">
        <v>61</v>
      </c>
      <c r="B174" s="1603">
        <v>73133</v>
      </c>
      <c r="C174" s="1603" t="s">
        <v>1370</v>
      </c>
      <c r="D174" s="1603" t="s">
        <v>1371</v>
      </c>
      <c r="E174" s="1603" t="s">
        <v>1188</v>
      </c>
      <c r="F174" s="1603" t="s">
        <v>1189</v>
      </c>
      <c r="G174" s="1603" t="s">
        <v>1367</v>
      </c>
      <c r="H174" s="1603">
        <v>94347</v>
      </c>
      <c r="I174" s="1603">
        <v>98645</v>
      </c>
      <c r="J174" s="1603" t="s">
        <v>1372</v>
      </c>
      <c r="K174" s="1603" t="s">
        <v>1373</v>
      </c>
    </row>
    <row r="175" spans="1:11" ht="15">
      <c r="A175" s="1604">
        <v>62</v>
      </c>
      <c r="B175" s="1605">
        <v>58152</v>
      </c>
      <c r="C175" s="1605" t="s">
        <v>1374</v>
      </c>
      <c r="D175" s="1605" t="s">
        <v>1375</v>
      </c>
      <c r="E175" s="1605" t="s">
        <v>1108</v>
      </c>
      <c r="F175" s="1605" t="s">
        <v>1109</v>
      </c>
      <c r="G175" s="1605" t="s">
        <v>1376</v>
      </c>
      <c r="H175" s="1605">
        <v>94347</v>
      </c>
      <c r="I175" s="1605">
        <v>98991</v>
      </c>
      <c r="J175" s="1608" t="s">
        <v>1377</v>
      </c>
      <c r="K175" s="1605" t="s">
        <v>1378</v>
      </c>
    </row>
    <row r="176" spans="1:11" ht="15">
      <c r="A176" s="1602">
        <v>63</v>
      </c>
      <c r="B176" s="1603">
        <v>62800</v>
      </c>
      <c r="C176" s="1603" t="s">
        <v>1379</v>
      </c>
      <c r="D176" s="1603" t="s">
        <v>1380</v>
      </c>
      <c r="E176" s="1603" t="s">
        <v>1121</v>
      </c>
      <c r="F176" s="1603" t="s">
        <v>1122</v>
      </c>
      <c r="G176" s="1603" t="s">
        <v>1381</v>
      </c>
      <c r="H176" s="1603">
        <v>94347</v>
      </c>
      <c r="I176" s="1603">
        <v>98693</v>
      </c>
      <c r="J176" s="1603" t="s">
        <v>1382</v>
      </c>
      <c r="K176" s="1603" t="s">
        <v>1383</v>
      </c>
    </row>
    <row r="177" spans="1:11" ht="15">
      <c r="A177" s="1604">
        <v>64</v>
      </c>
      <c r="B177" s="1605">
        <v>99181</v>
      </c>
      <c r="C177" s="1605" t="s">
        <v>1384</v>
      </c>
      <c r="D177" s="1605" t="s">
        <v>1385</v>
      </c>
      <c r="E177" s="1605" t="s">
        <v>1165</v>
      </c>
      <c r="F177" s="1605" t="s">
        <v>1166</v>
      </c>
      <c r="G177" s="1605" t="s">
        <v>1381</v>
      </c>
      <c r="H177" s="1605">
        <v>94347</v>
      </c>
      <c r="I177" s="1605">
        <v>98916</v>
      </c>
      <c r="J177" s="1605" t="s">
        <v>1386</v>
      </c>
      <c r="K177" s="1605" t="s">
        <v>1387</v>
      </c>
    </row>
    <row r="178" spans="1:11" ht="15">
      <c r="A178" s="1602">
        <v>65</v>
      </c>
      <c r="B178" s="1603">
        <v>58487</v>
      </c>
      <c r="C178" s="1603" t="s">
        <v>1388</v>
      </c>
      <c r="D178" s="1603" t="s">
        <v>1389</v>
      </c>
      <c r="E178" s="1603" t="s">
        <v>1188</v>
      </c>
      <c r="F178" s="1603" t="s">
        <v>1189</v>
      </c>
      <c r="G178" s="1603" t="s">
        <v>1381</v>
      </c>
      <c r="H178" s="1603">
        <v>94347</v>
      </c>
      <c r="I178" s="1603">
        <v>98694</v>
      </c>
      <c r="J178" s="1603" t="s">
        <v>1390</v>
      </c>
      <c r="K178" s="1603" t="s">
        <v>1391</v>
      </c>
    </row>
    <row r="179" spans="1:11" ht="15">
      <c r="A179" s="1604">
        <v>66</v>
      </c>
      <c r="B179" s="1605">
        <v>16438</v>
      </c>
      <c r="C179" s="1605" t="s">
        <v>1392</v>
      </c>
      <c r="D179" s="1605" t="s">
        <v>1393</v>
      </c>
      <c r="E179" s="1605" t="s">
        <v>1179</v>
      </c>
      <c r="F179" s="1605" t="s">
        <v>1180</v>
      </c>
      <c r="G179" s="1605" t="s">
        <v>1394</v>
      </c>
      <c r="H179" s="1605">
        <v>94347</v>
      </c>
      <c r="I179" s="1605">
        <v>98892</v>
      </c>
      <c r="J179" s="1605" t="s">
        <v>1395</v>
      </c>
      <c r="K179" s="1605" t="s">
        <v>1396</v>
      </c>
    </row>
    <row r="180" spans="1:11" ht="15">
      <c r="A180" s="1602">
        <v>67</v>
      </c>
      <c r="B180" s="1603">
        <v>63665</v>
      </c>
      <c r="C180" s="1603" t="s">
        <v>1397</v>
      </c>
      <c r="D180" s="1603" t="s">
        <v>1398</v>
      </c>
      <c r="E180" s="1603" t="s">
        <v>1108</v>
      </c>
      <c r="F180" s="1603" t="s">
        <v>1109</v>
      </c>
      <c r="G180" s="1603" t="s">
        <v>1399</v>
      </c>
      <c r="H180" s="1603">
        <v>94347</v>
      </c>
      <c r="I180" s="1603">
        <v>7595</v>
      </c>
      <c r="J180" s="1603" t="s">
        <v>1400</v>
      </c>
      <c r="K180" s="1603" t="s">
        <v>1401</v>
      </c>
    </row>
    <row r="181" spans="1:11" ht="15">
      <c r="A181" s="1604">
        <v>68</v>
      </c>
      <c r="B181" s="1605">
        <v>79998</v>
      </c>
      <c r="C181" s="1605" t="s">
        <v>1402</v>
      </c>
      <c r="D181" s="1605" t="s">
        <v>1403</v>
      </c>
      <c r="E181" s="1605" t="s">
        <v>1101</v>
      </c>
      <c r="F181" s="1605" t="s">
        <v>1102</v>
      </c>
      <c r="G181" s="1605" t="s">
        <v>1404</v>
      </c>
      <c r="H181" s="1605">
        <v>94347</v>
      </c>
      <c r="I181" s="1605">
        <v>98702</v>
      </c>
      <c r="J181" s="1605" t="s">
        <v>1405</v>
      </c>
      <c r="K181" s="1605" t="s">
        <v>1406</v>
      </c>
    </row>
    <row r="182" spans="1:11" ht="15">
      <c r="A182" s="1602">
        <v>69</v>
      </c>
      <c r="B182" s="1603">
        <v>99461</v>
      </c>
      <c r="C182" s="1603" t="s">
        <v>1407</v>
      </c>
      <c r="D182" s="1603" t="s">
        <v>1408</v>
      </c>
      <c r="E182" s="1603" t="s">
        <v>1101</v>
      </c>
      <c r="F182" s="1603" t="s">
        <v>1102</v>
      </c>
      <c r="G182" s="1603" t="s">
        <v>1409</v>
      </c>
      <c r="H182" s="1603">
        <v>94347</v>
      </c>
      <c r="I182" s="1603">
        <v>98719</v>
      </c>
      <c r="J182" s="1603" t="s">
        <v>1410</v>
      </c>
      <c r="K182" s="1603" t="s">
        <v>1411</v>
      </c>
    </row>
    <row r="183" spans="1:11" ht="15">
      <c r="A183" s="1604">
        <v>70</v>
      </c>
      <c r="B183" s="1605">
        <v>63441</v>
      </c>
      <c r="C183" s="1605" t="s">
        <v>1412</v>
      </c>
      <c r="D183" s="1616" t="s">
        <v>1413</v>
      </c>
      <c r="E183" s="1605" t="s">
        <v>1101</v>
      </c>
      <c r="F183" s="1605" t="s">
        <v>1102</v>
      </c>
      <c r="G183" s="1605" t="s">
        <v>1409</v>
      </c>
      <c r="H183" s="1605">
        <v>94347</v>
      </c>
      <c r="I183" s="1605">
        <v>98798</v>
      </c>
      <c r="J183" s="1605" t="s">
        <v>1414</v>
      </c>
      <c r="K183" s="1605" t="s">
        <v>1415</v>
      </c>
    </row>
    <row r="184" spans="1:11" ht="15">
      <c r="A184" s="1602">
        <v>71</v>
      </c>
      <c r="B184" s="1603">
        <v>49816</v>
      </c>
      <c r="C184" s="1603" t="s">
        <v>1416</v>
      </c>
      <c r="D184" s="1603" t="s">
        <v>1417</v>
      </c>
      <c r="E184" s="1603" t="s">
        <v>1121</v>
      </c>
      <c r="F184" s="1603" t="s">
        <v>1122</v>
      </c>
      <c r="G184" s="1603" t="s">
        <v>1409</v>
      </c>
      <c r="H184" s="1603">
        <v>94347</v>
      </c>
      <c r="I184" s="1603">
        <v>98913</v>
      </c>
      <c r="J184" s="1603" t="s">
        <v>1418</v>
      </c>
      <c r="K184" s="1603" t="s">
        <v>1419</v>
      </c>
    </row>
    <row r="185" spans="1:11" ht="15">
      <c r="A185" s="1604">
        <v>72</v>
      </c>
      <c r="B185" s="1605">
        <v>89962</v>
      </c>
      <c r="C185" s="1605" t="s">
        <v>1420</v>
      </c>
      <c r="D185" s="1616" t="s">
        <v>1421</v>
      </c>
      <c r="E185" s="1605" t="s">
        <v>1159</v>
      </c>
      <c r="F185" s="1605" t="s">
        <v>1160</v>
      </c>
      <c r="G185" s="1605" t="s">
        <v>1409</v>
      </c>
      <c r="H185" s="1605">
        <v>94347</v>
      </c>
      <c r="I185" s="1605">
        <v>91718</v>
      </c>
      <c r="J185" s="1605" t="s">
        <v>1422</v>
      </c>
      <c r="K185" s="1605" t="s">
        <v>1423</v>
      </c>
    </row>
    <row r="186" spans="1:11" ht="15">
      <c r="A186" s="1602">
        <v>73</v>
      </c>
      <c r="B186" s="1603">
        <v>12571</v>
      </c>
      <c r="C186" s="1603" t="s">
        <v>1424</v>
      </c>
      <c r="D186" s="1603" t="s">
        <v>1425</v>
      </c>
      <c r="E186" s="1603" t="s">
        <v>1165</v>
      </c>
      <c r="F186" s="1603" t="s">
        <v>1166</v>
      </c>
      <c r="G186" s="1603" t="s">
        <v>1409</v>
      </c>
      <c r="H186" s="1603">
        <v>94347</v>
      </c>
      <c r="I186" s="1603">
        <v>98621</v>
      </c>
      <c r="J186" s="1603" t="s">
        <v>1426</v>
      </c>
      <c r="K186" s="1603" t="s">
        <v>1427</v>
      </c>
    </row>
    <row r="187" spans="1:11" ht="15">
      <c r="A187" s="1604">
        <v>74</v>
      </c>
      <c r="B187" s="1605">
        <v>56417</v>
      </c>
      <c r="C187" s="1605" t="s">
        <v>1428</v>
      </c>
      <c r="D187" s="1605" t="s">
        <v>1429</v>
      </c>
      <c r="E187" s="1605" t="s">
        <v>1121</v>
      </c>
      <c r="F187" s="1605" t="s">
        <v>1122</v>
      </c>
      <c r="G187" s="1605" t="s">
        <v>1430</v>
      </c>
      <c r="H187" s="1605">
        <v>94347</v>
      </c>
      <c r="I187" s="1605">
        <v>91357</v>
      </c>
      <c r="J187" s="1605" t="s">
        <v>1431</v>
      </c>
      <c r="K187" s="1605" t="s">
        <v>1432</v>
      </c>
    </row>
    <row r="188" spans="1:11" ht="15">
      <c r="A188" s="1602">
        <v>75</v>
      </c>
      <c r="B188" s="1603">
        <v>4139</v>
      </c>
      <c r="C188" s="1603" t="s">
        <v>1433</v>
      </c>
      <c r="D188" s="1603" t="s">
        <v>1434</v>
      </c>
      <c r="E188" s="1603" t="s">
        <v>1165</v>
      </c>
      <c r="F188" s="1603" t="s">
        <v>1166</v>
      </c>
      <c r="G188" s="1603" t="s">
        <v>1430</v>
      </c>
      <c r="H188" s="1603">
        <v>94347</v>
      </c>
      <c r="I188" s="1603">
        <v>98689</v>
      </c>
      <c r="J188" s="1603" t="s">
        <v>1435</v>
      </c>
      <c r="K188" s="1603" t="s">
        <v>1436</v>
      </c>
    </row>
    <row r="189" spans="1:11" ht="15">
      <c r="A189" s="1604">
        <v>76</v>
      </c>
      <c r="B189" s="1605">
        <v>66976</v>
      </c>
      <c r="C189" s="1605" t="s">
        <v>1437</v>
      </c>
      <c r="D189" s="1605" t="s">
        <v>1438</v>
      </c>
      <c r="E189" s="1605" t="s">
        <v>1165</v>
      </c>
      <c r="F189" s="1605" t="s">
        <v>1166</v>
      </c>
      <c r="G189" s="1605" t="s">
        <v>1430</v>
      </c>
      <c r="H189" s="1605">
        <v>94347</v>
      </c>
      <c r="I189" s="1605">
        <v>98964</v>
      </c>
      <c r="J189" s="1605" t="s">
        <v>1439</v>
      </c>
      <c r="K189" s="1605" t="s">
        <v>1440</v>
      </c>
    </row>
    <row r="190" spans="1:11" ht="15">
      <c r="A190" s="1602">
        <v>77</v>
      </c>
      <c r="B190" s="1603">
        <v>55160</v>
      </c>
      <c r="C190" s="1603" t="s">
        <v>1441</v>
      </c>
      <c r="D190" s="1603" t="s">
        <v>1442</v>
      </c>
      <c r="E190" s="1603" t="s">
        <v>1179</v>
      </c>
      <c r="F190" s="1603" t="s">
        <v>1180</v>
      </c>
      <c r="G190" s="1603" t="s">
        <v>1430</v>
      </c>
      <c r="H190" s="1603">
        <v>94347</v>
      </c>
      <c r="I190" s="1603">
        <v>98918</v>
      </c>
      <c r="J190" s="1603" t="s">
        <v>1443</v>
      </c>
      <c r="K190" s="1603" t="s">
        <v>1444</v>
      </c>
    </row>
    <row r="191" spans="1:11" ht="15">
      <c r="A191" s="1604">
        <v>78</v>
      </c>
      <c r="B191" s="1605">
        <v>6106</v>
      </c>
      <c r="C191" s="1605" t="s">
        <v>1445</v>
      </c>
      <c r="D191" s="1605" t="s">
        <v>1446</v>
      </c>
      <c r="E191" s="1605" t="s">
        <v>1136</v>
      </c>
      <c r="F191" s="1605" t="s">
        <v>1102</v>
      </c>
      <c r="G191" s="1605" t="s">
        <v>1447</v>
      </c>
      <c r="H191" s="1605">
        <v>94347</v>
      </c>
      <c r="I191" s="1605">
        <v>91554</v>
      </c>
      <c r="J191" s="1605" t="s">
        <v>1448</v>
      </c>
      <c r="K191" s="1605" t="s">
        <v>1449</v>
      </c>
    </row>
    <row r="192" spans="1:11" ht="15">
      <c r="A192" s="1602">
        <v>79</v>
      </c>
      <c r="B192" s="1603">
        <v>11206</v>
      </c>
      <c r="C192" s="1603" t="s">
        <v>1450</v>
      </c>
      <c r="D192" s="1603" t="s">
        <v>1451</v>
      </c>
      <c r="E192" s="1603" t="s">
        <v>1101</v>
      </c>
      <c r="F192" s="1603" t="s">
        <v>1102</v>
      </c>
      <c r="G192" s="1603" t="s">
        <v>1452</v>
      </c>
      <c r="H192" s="1603">
        <v>94347</v>
      </c>
      <c r="I192" s="1603">
        <v>98692</v>
      </c>
      <c r="J192" s="1603" t="s">
        <v>1453</v>
      </c>
      <c r="K192" s="1603" t="s">
        <v>1454</v>
      </c>
    </row>
    <row r="193" spans="1:11" ht="15">
      <c r="A193" s="1604">
        <v>80</v>
      </c>
      <c r="B193" s="1605">
        <v>99901</v>
      </c>
      <c r="C193" s="1605" t="s">
        <v>1455</v>
      </c>
      <c r="D193" s="1605" t="s">
        <v>1456</v>
      </c>
      <c r="E193" s="1605" t="s">
        <v>1101</v>
      </c>
      <c r="F193" s="1605" t="s">
        <v>1102</v>
      </c>
      <c r="G193" s="1605" t="s">
        <v>1367</v>
      </c>
      <c r="H193" s="1605">
        <v>94347</v>
      </c>
      <c r="I193" s="1605">
        <v>98720</v>
      </c>
      <c r="J193" s="1605" t="s">
        <v>1457</v>
      </c>
      <c r="K193" s="1605" t="s">
        <v>1458</v>
      </c>
    </row>
    <row r="194" spans="1:11" ht="15">
      <c r="A194" s="1602">
        <v>81</v>
      </c>
      <c r="B194" s="1603">
        <v>62783</v>
      </c>
      <c r="C194" s="1603" t="s">
        <v>1459</v>
      </c>
      <c r="D194" s="1603" t="s">
        <v>1460</v>
      </c>
      <c r="E194" s="1603" t="s">
        <v>1136</v>
      </c>
      <c r="F194" s="1603" t="s">
        <v>1102</v>
      </c>
      <c r="G194" s="1603" t="s">
        <v>1461</v>
      </c>
      <c r="H194" s="1603">
        <v>94347</v>
      </c>
      <c r="I194" s="1603">
        <v>98875</v>
      </c>
      <c r="J194" s="1603" t="s">
        <v>1462</v>
      </c>
      <c r="K194" s="1603" t="s">
        <v>1463</v>
      </c>
    </row>
    <row r="195" spans="1:11" ht="15">
      <c r="A195" s="1604">
        <v>82</v>
      </c>
      <c r="B195" s="1605">
        <v>84139</v>
      </c>
      <c r="C195" s="1605" t="s">
        <v>1464</v>
      </c>
      <c r="D195" s="1605" t="s">
        <v>1465</v>
      </c>
      <c r="E195" s="1605" t="s">
        <v>1101</v>
      </c>
      <c r="F195" s="1605" t="s">
        <v>1102</v>
      </c>
      <c r="G195" s="1605" t="s">
        <v>1461</v>
      </c>
      <c r="H195" s="1605">
        <v>94347</v>
      </c>
      <c r="I195" s="1605">
        <v>98933</v>
      </c>
      <c r="J195" s="1605" t="s">
        <v>1466</v>
      </c>
      <c r="K195" s="1605" t="s">
        <v>1467</v>
      </c>
    </row>
    <row r="196" spans="1:11" ht="15">
      <c r="A196" s="1602">
        <v>83</v>
      </c>
      <c r="B196" s="1603">
        <v>77626</v>
      </c>
      <c r="C196" s="1603" t="s">
        <v>1468</v>
      </c>
      <c r="D196" s="1603" t="s">
        <v>1469</v>
      </c>
      <c r="E196" s="1603" t="s">
        <v>1121</v>
      </c>
      <c r="F196" s="1603" t="s">
        <v>1122</v>
      </c>
      <c r="G196" s="1603" t="s">
        <v>1461</v>
      </c>
      <c r="H196" s="1603">
        <v>94347</v>
      </c>
      <c r="I196" s="1603">
        <v>98777</v>
      </c>
      <c r="J196" s="1603" t="s">
        <v>1470</v>
      </c>
      <c r="K196" s="1603" t="s">
        <v>1471</v>
      </c>
    </row>
    <row r="197" spans="1:11" ht="15">
      <c r="A197" s="1604">
        <v>84</v>
      </c>
      <c r="B197" s="1605">
        <v>63513</v>
      </c>
      <c r="C197" s="1605" t="s">
        <v>1472</v>
      </c>
      <c r="D197" s="1605" t="s">
        <v>1473</v>
      </c>
      <c r="E197" s="1605" t="s">
        <v>1108</v>
      </c>
      <c r="F197" s="1605" t="s">
        <v>1109</v>
      </c>
      <c r="G197" s="1605" t="s">
        <v>1474</v>
      </c>
      <c r="H197" s="1605">
        <v>94347</v>
      </c>
      <c r="I197" s="1605">
        <v>98647</v>
      </c>
      <c r="J197" s="1605" t="s">
        <v>1475</v>
      </c>
      <c r="K197" s="1605" t="s">
        <v>1476</v>
      </c>
    </row>
    <row r="198" spans="1:11" ht="15">
      <c r="A198" s="1602">
        <v>85</v>
      </c>
      <c r="B198" s="1603">
        <v>64884</v>
      </c>
      <c r="C198" s="1603" t="s">
        <v>1477</v>
      </c>
      <c r="D198" s="1603" t="s">
        <v>1478</v>
      </c>
      <c r="E198" s="1603" t="s">
        <v>1136</v>
      </c>
      <c r="F198" s="1603" t="s">
        <v>1102</v>
      </c>
      <c r="G198" s="1603" t="s">
        <v>1479</v>
      </c>
      <c r="H198" s="1603">
        <v>94347</v>
      </c>
      <c r="I198" s="1603">
        <v>98931</v>
      </c>
      <c r="J198" s="1603" t="s">
        <v>1480</v>
      </c>
      <c r="K198" s="1603" t="s">
        <v>1481</v>
      </c>
    </row>
    <row r="199" spans="1:11" ht="15">
      <c r="A199" s="1604">
        <v>86</v>
      </c>
      <c r="B199" s="1605">
        <v>33034</v>
      </c>
      <c r="C199" s="1605" t="s">
        <v>1482</v>
      </c>
      <c r="D199" s="1605" t="s">
        <v>760</v>
      </c>
      <c r="E199" s="1605" t="s">
        <v>1121</v>
      </c>
      <c r="F199" s="1605" t="s">
        <v>1122</v>
      </c>
      <c r="G199" s="1605" t="s">
        <v>1479</v>
      </c>
      <c r="H199" s="1605">
        <v>94347</v>
      </c>
      <c r="I199" s="1605">
        <v>98959</v>
      </c>
      <c r="J199" s="1605" t="s">
        <v>1483</v>
      </c>
      <c r="K199" s="1605" t="s">
        <v>1484</v>
      </c>
    </row>
    <row r="200" spans="1:11" ht="15">
      <c r="A200" s="1602">
        <v>87</v>
      </c>
      <c r="B200" s="1603">
        <v>55118</v>
      </c>
      <c r="C200" s="1603" t="s">
        <v>1485</v>
      </c>
      <c r="D200" s="1603" t="s">
        <v>756</v>
      </c>
      <c r="E200" s="1603" t="s">
        <v>1121</v>
      </c>
      <c r="F200" s="1603" t="s">
        <v>1122</v>
      </c>
      <c r="G200" s="1603" t="s">
        <v>1479</v>
      </c>
      <c r="H200" s="1603">
        <v>94347</v>
      </c>
      <c r="I200" s="1603">
        <v>98787</v>
      </c>
      <c r="J200" s="1603" t="s">
        <v>1486</v>
      </c>
      <c r="K200" s="1603" t="s">
        <v>1487</v>
      </c>
    </row>
    <row r="201" spans="1:11" ht="15">
      <c r="A201" s="1604">
        <v>88</v>
      </c>
      <c r="B201" s="1605">
        <v>97901</v>
      </c>
      <c r="C201" s="1605" t="s">
        <v>1488</v>
      </c>
      <c r="D201" s="1605" t="s">
        <v>1489</v>
      </c>
      <c r="E201" s="1605" t="s">
        <v>1159</v>
      </c>
      <c r="F201" s="1605" t="s">
        <v>1160</v>
      </c>
      <c r="G201" s="1605" t="s">
        <v>1490</v>
      </c>
      <c r="H201" s="1605">
        <v>94347</v>
      </c>
      <c r="I201" s="1605">
        <v>98767</v>
      </c>
      <c r="J201" s="1605" t="s">
        <v>1491</v>
      </c>
      <c r="K201" s="1605" t="s">
        <v>1492</v>
      </c>
    </row>
    <row r="202" spans="1:11" ht="15">
      <c r="A202" s="1602">
        <v>89</v>
      </c>
      <c r="B202" s="1603">
        <v>55173</v>
      </c>
      <c r="C202" s="1603" t="s">
        <v>1493</v>
      </c>
      <c r="D202" s="1603" t="s">
        <v>763</v>
      </c>
      <c r="E202" s="1603" t="s">
        <v>1165</v>
      </c>
      <c r="F202" s="1603" t="s">
        <v>1166</v>
      </c>
      <c r="G202" s="1603" t="s">
        <v>1494</v>
      </c>
      <c r="H202" s="1603">
        <v>94347</v>
      </c>
      <c r="I202" s="1603">
        <v>98866</v>
      </c>
      <c r="J202" s="1603" t="s">
        <v>1495</v>
      </c>
      <c r="K202" s="1603" t="s">
        <v>1496</v>
      </c>
    </row>
    <row r="203" spans="1:11" ht="15">
      <c r="A203" s="1604">
        <v>90</v>
      </c>
      <c r="B203" s="1605">
        <v>84211</v>
      </c>
      <c r="C203" s="1605" t="s">
        <v>1497</v>
      </c>
      <c r="D203" s="1605" t="s">
        <v>1498</v>
      </c>
      <c r="E203" s="1605" t="s">
        <v>1136</v>
      </c>
      <c r="F203" s="1605" t="s">
        <v>1102</v>
      </c>
      <c r="G203" s="1605" t="s">
        <v>1499</v>
      </c>
      <c r="H203" s="1605">
        <v>94347</v>
      </c>
      <c r="I203" s="1605">
        <v>98882</v>
      </c>
      <c r="J203" s="1605" t="s">
        <v>1500</v>
      </c>
      <c r="K203" s="1605" t="s">
        <v>1501</v>
      </c>
    </row>
    <row r="204" spans="1:11" ht="15">
      <c r="A204" s="1602">
        <v>91</v>
      </c>
      <c r="B204" s="1603">
        <v>14592</v>
      </c>
      <c r="C204" s="1603" t="s">
        <v>1502</v>
      </c>
      <c r="D204" s="1603" t="s">
        <v>1503</v>
      </c>
      <c r="E204" s="1603" t="s">
        <v>1101</v>
      </c>
      <c r="F204" s="1603" t="s">
        <v>1102</v>
      </c>
      <c r="G204" s="1603" t="s">
        <v>1499</v>
      </c>
      <c r="H204" s="1603">
        <v>94347</v>
      </c>
      <c r="I204" s="1603">
        <v>98890</v>
      </c>
      <c r="J204" s="1603" t="s">
        <v>1504</v>
      </c>
      <c r="K204" s="1603" t="s">
        <v>1505</v>
      </c>
    </row>
    <row r="205" spans="1:11" ht="15">
      <c r="A205" s="1604">
        <v>92</v>
      </c>
      <c r="B205" s="1605">
        <v>55107</v>
      </c>
      <c r="C205" s="1605" t="s">
        <v>1506</v>
      </c>
      <c r="D205" s="1605" t="s">
        <v>1507</v>
      </c>
      <c r="E205" s="1605" t="s">
        <v>1121</v>
      </c>
      <c r="F205" s="1605" t="s">
        <v>1122</v>
      </c>
      <c r="G205" s="1605" t="s">
        <v>1499</v>
      </c>
      <c r="H205" s="1605">
        <v>94347</v>
      </c>
      <c r="I205" s="1605">
        <v>98760</v>
      </c>
      <c r="J205" s="1605" t="s">
        <v>1508</v>
      </c>
      <c r="K205" s="1605" t="s">
        <v>1509</v>
      </c>
    </row>
    <row r="206" spans="1:11" ht="15">
      <c r="A206" s="1602">
        <v>93</v>
      </c>
      <c r="B206" s="1603">
        <v>75514</v>
      </c>
      <c r="C206" s="1603" t="s">
        <v>1510</v>
      </c>
      <c r="D206" s="1603" t="s">
        <v>1511</v>
      </c>
      <c r="E206" s="1603" t="s">
        <v>1159</v>
      </c>
      <c r="F206" s="1603" t="s">
        <v>1160</v>
      </c>
      <c r="G206" s="1603" t="s">
        <v>1499</v>
      </c>
      <c r="H206" s="1603">
        <v>94347</v>
      </c>
      <c r="I206" s="1603">
        <v>98721</v>
      </c>
      <c r="J206" s="1603" t="s">
        <v>1512</v>
      </c>
      <c r="K206" s="1603" t="s">
        <v>1513</v>
      </c>
    </row>
    <row r="207" spans="1:11" ht="15">
      <c r="A207" s="1604">
        <v>94</v>
      </c>
      <c r="B207" s="1605">
        <v>52107</v>
      </c>
      <c r="C207" s="1605" t="s">
        <v>1514</v>
      </c>
      <c r="D207" s="1605" t="s">
        <v>1515</v>
      </c>
      <c r="E207" s="1605" t="s">
        <v>1165</v>
      </c>
      <c r="F207" s="1605" t="s">
        <v>1166</v>
      </c>
      <c r="G207" s="1605" t="s">
        <v>1499</v>
      </c>
      <c r="H207" s="1605">
        <v>94347</v>
      </c>
      <c r="I207" s="1605">
        <v>98921</v>
      </c>
      <c r="J207" s="1605" t="s">
        <v>1516</v>
      </c>
      <c r="K207" s="1605" t="s">
        <v>1517</v>
      </c>
    </row>
    <row r="208" spans="1:11" ht="15">
      <c r="A208" s="1602">
        <v>95</v>
      </c>
      <c r="B208" s="1603">
        <v>6157</v>
      </c>
      <c r="C208" s="1603" t="s">
        <v>1518</v>
      </c>
      <c r="D208" s="1603" t="s">
        <v>1519</v>
      </c>
      <c r="E208" s="1603" t="s">
        <v>1136</v>
      </c>
      <c r="F208" s="1603" t="s">
        <v>1102</v>
      </c>
      <c r="G208" s="1603" t="s">
        <v>1520</v>
      </c>
      <c r="H208" s="1603">
        <v>94347</v>
      </c>
      <c r="I208" s="1603">
        <v>98970</v>
      </c>
      <c r="J208" s="1603" t="s">
        <v>1521</v>
      </c>
      <c r="K208" s="1603" t="s">
        <v>1522</v>
      </c>
    </row>
    <row r="209" spans="1:11" ht="15">
      <c r="A209" s="1604">
        <v>96</v>
      </c>
      <c r="B209" s="1605">
        <v>48789</v>
      </c>
      <c r="C209" s="1605" t="s">
        <v>1523</v>
      </c>
      <c r="D209" s="1605" t="s">
        <v>1524</v>
      </c>
      <c r="E209" s="1605" t="s">
        <v>1101</v>
      </c>
      <c r="F209" s="1605" t="s">
        <v>1102</v>
      </c>
      <c r="G209" s="1605" t="s">
        <v>1520</v>
      </c>
      <c r="H209" s="1605">
        <v>94347</v>
      </c>
      <c r="I209" s="1605">
        <v>98736</v>
      </c>
      <c r="J209" s="1605" t="s">
        <v>1525</v>
      </c>
      <c r="K209" s="1605" t="s">
        <v>1526</v>
      </c>
    </row>
    <row r="210" spans="1:11" ht="15">
      <c r="A210" s="1602">
        <v>97</v>
      </c>
      <c r="B210" s="1603">
        <v>84005</v>
      </c>
      <c r="C210" s="1603" t="s">
        <v>1527</v>
      </c>
      <c r="D210" s="1603" t="s">
        <v>1528</v>
      </c>
      <c r="E210" s="1603" t="s">
        <v>1165</v>
      </c>
      <c r="F210" s="1603" t="s">
        <v>1166</v>
      </c>
      <c r="G210" s="1603" t="s">
        <v>1520</v>
      </c>
      <c r="H210" s="1603">
        <v>94347</v>
      </c>
      <c r="I210" s="1603">
        <v>98939</v>
      </c>
      <c r="J210" s="1603" t="s">
        <v>1529</v>
      </c>
      <c r="K210" s="1603" t="s">
        <v>1530</v>
      </c>
    </row>
    <row r="211" spans="1:11" ht="15">
      <c r="A211" s="1604">
        <v>98</v>
      </c>
      <c r="B211" s="1605">
        <v>15486</v>
      </c>
      <c r="C211" s="1605" t="s">
        <v>1531</v>
      </c>
      <c r="D211" s="1605" t="s">
        <v>1532</v>
      </c>
      <c r="E211" s="1605" t="s">
        <v>1136</v>
      </c>
      <c r="F211" s="1605" t="s">
        <v>1102</v>
      </c>
      <c r="G211" s="1605" t="s">
        <v>1533</v>
      </c>
      <c r="H211" s="1605">
        <v>94347</v>
      </c>
      <c r="I211" s="1605">
        <v>91686</v>
      </c>
      <c r="J211" s="1605" t="s">
        <v>1534</v>
      </c>
      <c r="K211" s="1605" t="s">
        <v>1535</v>
      </c>
    </row>
    <row r="212" spans="1:11" ht="15">
      <c r="A212" s="1602">
        <v>99</v>
      </c>
      <c r="B212" s="1603">
        <v>60146</v>
      </c>
      <c r="C212" s="1603" t="s">
        <v>1536</v>
      </c>
      <c r="D212" s="1603" t="s">
        <v>1537</v>
      </c>
      <c r="E212" s="1603" t="s">
        <v>1101</v>
      </c>
      <c r="F212" s="1603" t="s">
        <v>1102</v>
      </c>
      <c r="G212" s="1603" t="s">
        <v>1533</v>
      </c>
      <c r="H212" s="1603">
        <v>94347</v>
      </c>
      <c r="I212" s="1603">
        <v>98717</v>
      </c>
      <c r="J212" s="1603" t="s">
        <v>1538</v>
      </c>
      <c r="K212" s="1603" t="s">
        <v>1539</v>
      </c>
    </row>
    <row r="213" spans="1:11" ht="15">
      <c r="A213" s="1604">
        <v>100</v>
      </c>
      <c r="B213" s="1605">
        <v>25160</v>
      </c>
      <c r="C213" s="1605" t="s">
        <v>1540</v>
      </c>
      <c r="D213" s="1605" t="s">
        <v>1541</v>
      </c>
      <c r="E213" s="1605" t="s">
        <v>1165</v>
      </c>
      <c r="F213" s="1605" t="s">
        <v>1166</v>
      </c>
      <c r="G213" s="1605" t="s">
        <v>1533</v>
      </c>
      <c r="H213" s="1605">
        <v>94347</v>
      </c>
      <c r="I213" s="1605">
        <v>98766</v>
      </c>
      <c r="J213" s="1605" t="s">
        <v>1542</v>
      </c>
      <c r="K213" s="1605" t="s">
        <v>1543</v>
      </c>
    </row>
    <row r="214" spans="1:11" ht="15">
      <c r="A214" s="1602">
        <v>101</v>
      </c>
      <c r="B214" s="1603">
        <v>78514</v>
      </c>
      <c r="C214" s="1603" t="s">
        <v>1544</v>
      </c>
      <c r="D214" s="1603" t="s">
        <v>1545</v>
      </c>
      <c r="E214" s="1603" t="s">
        <v>1136</v>
      </c>
      <c r="F214" s="1603" t="s">
        <v>1102</v>
      </c>
      <c r="G214" s="1603" t="s">
        <v>1546</v>
      </c>
      <c r="H214" s="1603">
        <v>94347</v>
      </c>
      <c r="I214" s="1603">
        <v>98724</v>
      </c>
      <c r="J214" s="1603" t="s">
        <v>1547</v>
      </c>
      <c r="K214" s="1603" t="s">
        <v>1548</v>
      </c>
    </row>
    <row r="215" spans="1:11" ht="15">
      <c r="A215" s="1604">
        <v>102</v>
      </c>
      <c r="B215" s="1605">
        <v>7141</v>
      </c>
      <c r="C215" s="1605" t="s">
        <v>1549</v>
      </c>
      <c r="D215" s="1605" t="s">
        <v>1550</v>
      </c>
      <c r="E215" s="1605" t="s">
        <v>1101</v>
      </c>
      <c r="F215" s="1605" t="s">
        <v>1102</v>
      </c>
      <c r="G215" s="1605" t="s">
        <v>1546</v>
      </c>
      <c r="H215" s="1605">
        <v>94347</v>
      </c>
      <c r="I215" s="1605">
        <v>98709</v>
      </c>
      <c r="J215" s="1605" t="s">
        <v>1551</v>
      </c>
      <c r="K215" s="1605" t="s">
        <v>1552</v>
      </c>
    </row>
    <row r="216" spans="1:11" ht="15">
      <c r="A216" s="1602">
        <v>103</v>
      </c>
      <c r="B216" s="1603">
        <v>2176</v>
      </c>
      <c r="C216" s="1603" t="s">
        <v>1553</v>
      </c>
      <c r="D216" s="1603" t="s">
        <v>1554</v>
      </c>
      <c r="E216" s="1603" t="s">
        <v>1101</v>
      </c>
      <c r="F216" s="1603" t="s">
        <v>1102</v>
      </c>
      <c r="G216" s="1603" t="s">
        <v>1546</v>
      </c>
      <c r="H216" s="1603">
        <v>94347</v>
      </c>
      <c r="I216" s="1603">
        <v>98898</v>
      </c>
      <c r="J216" s="1603" t="s">
        <v>1555</v>
      </c>
      <c r="K216" s="1603" t="s">
        <v>1556</v>
      </c>
    </row>
    <row r="217" spans="1:11" ht="15">
      <c r="A217" s="1604">
        <v>104</v>
      </c>
      <c r="B217" s="1605">
        <v>55119</v>
      </c>
      <c r="C217" s="1605" t="s">
        <v>1557</v>
      </c>
      <c r="D217" s="1605" t="s">
        <v>1558</v>
      </c>
      <c r="E217" s="1605" t="s">
        <v>1165</v>
      </c>
      <c r="F217" s="1605" t="s">
        <v>1166</v>
      </c>
      <c r="G217" s="1605" t="s">
        <v>1546</v>
      </c>
      <c r="H217" s="1605">
        <v>94347</v>
      </c>
      <c r="I217" s="1605">
        <v>98687</v>
      </c>
      <c r="J217" s="1605" t="s">
        <v>1559</v>
      </c>
      <c r="K217" s="1605" t="s">
        <v>1560</v>
      </c>
    </row>
    <row r="218" spans="1:11" ht="15">
      <c r="A218" s="1602">
        <v>105</v>
      </c>
      <c r="B218" s="1603">
        <v>53603</v>
      </c>
      <c r="C218" s="1603" t="s">
        <v>1561</v>
      </c>
      <c r="D218" s="1603" t="s">
        <v>1562</v>
      </c>
      <c r="E218" s="1603" t="s">
        <v>1165</v>
      </c>
      <c r="F218" s="1603" t="s">
        <v>1166</v>
      </c>
      <c r="G218" s="1603" t="s">
        <v>1546</v>
      </c>
      <c r="H218" s="1603">
        <v>94347</v>
      </c>
      <c r="I218" s="1603">
        <v>98688</v>
      </c>
      <c r="J218" s="1603" t="s">
        <v>1563</v>
      </c>
      <c r="K218" s="1603" t="s">
        <v>1564</v>
      </c>
    </row>
    <row r="219" spans="1:11" ht="15">
      <c r="A219" s="1604">
        <v>106</v>
      </c>
      <c r="B219" s="1605">
        <v>77252</v>
      </c>
      <c r="C219" s="1605" t="s">
        <v>1565</v>
      </c>
      <c r="D219" s="1605" t="s">
        <v>1566</v>
      </c>
      <c r="E219" s="1605" t="s">
        <v>1179</v>
      </c>
      <c r="F219" s="1605" t="s">
        <v>1180</v>
      </c>
      <c r="G219" s="1605" t="s">
        <v>1546</v>
      </c>
      <c r="H219" s="1605">
        <v>94347</v>
      </c>
      <c r="I219" s="1605">
        <v>98988</v>
      </c>
      <c r="J219" s="1605" t="s">
        <v>1567</v>
      </c>
      <c r="K219" s="1605" t="s">
        <v>1568</v>
      </c>
    </row>
    <row r="220" spans="1:11" ht="15">
      <c r="A220" s="1602">
        <v>107</v>
      </c>
      <c r="B220" s="1603">
        <v>48782</v>
      </c>
      <c r="C220" s="1603" t="s">
        <v>1569</v>
      </c>
      <c r="D220" s="1603" t="s">
        <v>1570</v>
      </c>
      <c r="E220" s="1603" t="s">
        <v>1188</v>
      </c>
      <c r="F220" s="1603" t="s">
        <v>1189</v>
      </c>
      <c r="G220" s="1603" t="s">
        <v>1546</v>
      </c>
      <c r="H220" s="1603">
        <v>94347</v>
      </c>
      <c r="I220" s="1603">
        <v>98887</v>
      </c>
      <c r="J220" s="1603" t="s">
        <v>1571</v>
      </c>
      <c r="K220" s="1603" t="s">
        <v>1572</v>
      </c>
    </row>
    <row r="221" spans="1:11" ht="15">
      <c r="A221" s="1604">
        <v>108</v>
      </c>
      <c r="B221" s="1605">
        <v>44342</v>
      </c>
      <c r="C221" s="1605" t="s">
        <v>1573</v>
      </c>
      <c r="D221" s="1605" t="s">
        <v>1574</v>
      </c>
      <c r="E221" s="1605" t="s">
        <v>1188</v>
      </c>
      <c r="F221" s="1605" t="s">
        <v>1189</v>
      </c>
      <c r="G221" s="1605" t="s">
        <v>1546</v>
      </c>
      <c r="H221" s="1605">
        <v>94347</v>
      </c>
      <c r="I221" s="1605">
        <v>98639</v>
      </c>
      <c r="J221" s="1605" t="s">
        <v>1575</v>
      </c>
      <c r="K221" s="1605" t="s">
        <v>1576</v>
      </c>
    </row>
    <row r="222" spans="1:11" ht="15">
      <c r="A222" s="1602">
        <v>109</v>
      </c>
      <c r="B222" s="1603">
        <v>44367</v>
      </c>
      <c r="C222" s="1603" t="s">
        <v>1577</v>
      </c>
      <c r="D222" s="1603" t="s">
        <v>1578</v>
      </c>
      <c r="E222" s="1603" t="s">
        <v>1108</v>
      </c>
      <c r="F222" s="1603" t="s">
        <v>1109</v>
      </c>
      <c r="G222" s="1603" t="s">
        <v>1546</v>
      </c>
      <c r="H222" s="1603">
        <v>94347</v>
      </c>
      <c r="I222" s="1603">
        <v>98934</v>
      </c>
      <c r="J222" s="1603" t="s">
        <v>1579</v>
      </c>
      <c r="K222" s="1603" t="s">
        <v>1580</v>
      </c>
    </row>
    <row r="223" spans="1:11" ht="15">
      <c r="A223" s="1604">
        <v>110</v>
      </c>
      <c r="B223" s="1605">
        <v>62799</v>
      </c>
      <c r="C223" s="1605" t="s">
        <v>1581</v>
      </c>
      <c r="D223" s="1605" t="s">
        <v>1582</v>
      </c>
      <c r="E223" s="1605" t="s">
        <v>1108</v>
      </c>
      <c r="F223" s="1605" t="s">
        <v>1109</v>
      </c>
      <c r="G223" s="1605" t="s">
        <v>1546</v>
      </c>
      <c r="H223" s="1605">
        <v>94347</v>
      </c>
      <c r="I223" s="1605">
        <v>98790</v>
      </c>
      <c r="J223" s="1608" t="s">
        <v>1583</v>
      </c>
      <c r="K223" s="1605" t="s">
        <v>1584</v>
      </c>
    </row>
    <row r="224" spans="1:11" ht="15">
      <c r="A224" s="1602">
        <v>111</v>
      </c>
      <c r="B224" s="1603">
        <v>99060</v>
      </c>
      <c r="C224" s="1603" t="s">
        <v>1585</v>
      </c>
      <c r="D224" s="1603" t="s">
        <v>1586</v>
      </c>
      <c r="E224" s="1603" t="s">
        <v>1108</v>
      </c>
      <c r="F224" s="1603" t="s">
        <v>1109</v>
      </c>
      <c r="G224" s="1603" t="s">
        <v>1546</v>
      </c>
      <c r="H224" s="1603">
        <v>94347</v>
      </c>
      <c r="I224" s="1603">
        <v>7601</v>
      </c>
      <c r="J224" s="1603" t="s">
        <v>1587</v>
      </c>
      <c r="K224" s="1603" t="s">
        <v>1588</v>
      </c>
    </row>
    <row r="225" spans="1:11" ht="15">
      <c r="A225" s="1604">
        <v>112</v>
      </c>
      <c r="B225" s="1605">
        <v>32699</v>
      </c>
      <c r="C225" s="1605" t="s">
        <v>1589</v>
      </c>
      <c r="D225" s="1605" t="s">
        <v>1590</v>
      </c>
      <c r="E225" s="1605" t="s">
        <v>1101</v>
      </c>
      <c r="F225" s="1605" t="s">
        <v>1102</v>
      </c>
      <c r="G225" s="1605" t="s">
        <v>1591</v>
      </c>
      <c r="H225" s="1605">
        <v>94347</v>
      </c>
      <c r="I225" s="1605">
        <v>98883</v>
      </c>
      <c r="J225" s="1605" t="s">
        <v>1592</v>
      </c>
      <c r="K225" s="1605" t="s">
        <v>1593</v>
      </c>
    </row>
    <row r="226" spans="1:11" ht="15">
      <c r="A226" s="1602">
        <v>113</v>
      </c>
      <c r="B226" s="1603">
        <v>8008</v>
      </c>
      <c r="C226" s="1603" t="s">
        <v>1594</v>
      </c>
      <c r="D226" s="1603" t="s">
        <v>1595</v>
      </c>
      <c r="E226" s="1603" t="s">
        <v>1121</v>
      </c>
      <c r="F226" s="1603" t="s">
        <v>1122</v>
      </c>
      <c r="G226" s="1603" t="s">
        <v>1596</v>
      </c>
      <c r="H226" s="1603">
        <v>94347</v>
      </c>
      <c r="I226" s="1603">
        <v>98725</v>
      </c>
      <c r="J226" s="1603" t="s">
        <v>1597</v>
      </c>
      <c r="K226" s="1603" t="s">
        <v>1598</v>
      </c>
    </row>
    <row r="227" spans="1:11" ht="15">
      <c r="A227" s="1604">
        <v>114</v>
      </c>
      <c r="B227" s="1605">
        <v>49892</v>
      </c>
      <c r="C227" s="1605" t="s">
        <v>1599</v>
      </c>
      <c r="D227" s="1605" t="s">
        <v>1600</v>
      </c>
      <c r="E227" s="1605" t="s">
        <v>1165</v>
      </c>
      <c r="F227" s="1605" t="s">
        <v>1166</v>
      </c>
      <c r="G227" s="1605" t="s">
        <v>1596</v>
      </c>
      <c r="H227" s="1605">
        <v>94347</v>
      </c>
      <c r="I227" s="1605">
        <v>98677</v>
      </c>
      <c r="J227" s="1605" t="s">
        <v>1601</v>
      </c>
      <c r="K227" s="1605" t="s">
        <v>1602</v>
      </c>
    </row>
    <row r="228" spans="1:11" ht="15">
      <c r="A228" s="1602">
        <v>115</v>
      </c>
      <c r="B228" s="1603">
        <v>33022</v>
      </c>
      <c r="C228" s="1603" t="s">
        <v>1603</v>
      </c>
      <c r="D228" s="1603" t="s">
        <v>1604</v>
      </c>
      <c r="E228" s="1603" t="s">
        <v>1165</v>
      </c>
      <c r="F228" s="1603" t="s">
        <v>1166</v>
      </c>
      <c r="G228" s="1603" t="s">
        <v>1605</v>
      </c>
      <c r="H228" s="1603">
        <v>94347</v>
      </c>
      <c r="I228" s="1603">
        <v>98678</v>
      </c>
      <c r="J228" s="1603" t="s">
        <v>1606</v>
      </c>
      <c r="K228" s="1603" t="s">
        <v>1607</v>
      </c>
    </row>
    <row r="229" spans="1:11" ht="15">
      <c r="A229" s="1604">
        <v>116</v>
      </c>
      <c r="B229" s="1605">
        <v>99116</v>
      </c>
      <c r="C229" s="1605" t="s">
        <v>1608</v>
      </c>
      <c r="D229" s="1605" t="s">
        <v>1609</v>
      </c>
      <c r="E229" s="1605" t="s">
        <v>1101</v>
      </c>
      <c r="F229" s="1605" t="s">
        <v>1102</v>
      </c>
      <c r="G229" s="1605" t="s">
        <v>1610</v>
      </c>
      <c r="H229" s="1605">
        <v>94347</v>
      </c>
      <c r="I229" s="1605">
        <v>98732</v>
      </c>
      <c r="J229" s="1605" t="s">
        <v>1611</v>
      </c>
      <c r="K229" s="1605" t="s">
        <v>1612</v>
      </c>
    </row>
    <row r="230" spans="1:11" ht="15">
      <c r="A230" s="1602">
        <v>117</v>
      </c>
      <c r="B230" s="1603">
        <v>55178</v>
      </c>
      <c r="C230" s="1603" t="s">
        <v>1613</v>
      </c>
      <c r="D230" s="1603" t="s">
        <v>1614</v>
      </c>
      <c r="E230" s="1603" t="s">
        <v>1121</v>
      </c>
      <c r="F230" s="1603" t="s">
        <v>1122</v>
      </c>
      <c r="G230" s="1603" t="s">
        <v>1610</v>
      </c>
      <c r="H230" s="1603">
        <v>94347</v>
      </c>
      <c r="I230" s="1603">
        <v>98756</v>
      </c>
      <c r="J230" s="1603" t="s">
        <v>1615</v>
      </c>
      <c r="K230" s="1603" t="s">
        <v>1616</v>
      </c>
    </row>
    <row r="231" spans="1:11" ht="15">
      <c r="A231" s="1604">
        <v>118</v>
      </c>
      <c r="B231" s="1605">
        <v>87151</v>
      </c>
      <c r="C231" s="1605" t="s">
        <v>1617</v>
      </c>
      <c r="D231" s="1605" t="s">
        <v>1618</v>
      </c>
      <c r="E231" s="1605" t="s">
        <v>1165</v>
      </c>
      <c r="F231" s="1605" t="s">
        <v>1166</v>
      </c>
      <c r="G231" s="1605" t="s">
        <v>1610</v>
      </c>
      <c r="H231" s="1605">
        <v>94347</v>
      </c>
      <c r="I231" s="1605">
        <v>98963</v>
      </c>
      <c r="J231" s="1605" t="s">
        <v>1619</v>
      </c>
      <c r="K231" s="1605" t="s">
        <v>1620</v>
      </c>
    </row>
    <row r="232" spans="1:11" ht="15">
      <c r="A232" s="1602">
        <v>119</v>
      </c>
      <c r="B232" s="1603">
        <v>75010</v>
      </c>
      <c r="C232" s="1603" t="s">
        <v>1621</v>
      </c>
      <c r="D232" s="1603" t="s">
        <v>1622</v>
      </c>
      <c r="E232" s="1603" t="s">
        <v>1188</v>
      </c>
      <c r="F232" s="1603" t="s">
        <v>1189</v>
      </c>
      <c r="G232" s="1603" t="s">
        <v>1610</v>
      </c>
      <c r="H232" s="1603">
        <v>94347</v>
      </c>
      <c r="I232" s="1603">
        <v>98607</v>
      </c>
      <c r="J232" s="1603" t="s">
        <v>1623</v>
      </c>
      <c r="K232" s="1603" t="s">
        <v>1624</v>
      </c>
    </row>
    <row r="233" spans="1:11" ht="15">
      <c r="A233" s="1604">
        <v>120</v>
      </c>
      <c r="B233" s="1605">
        <v>30404</v>
      </c>
      <c r="C233" s="1605" t="s">
        <v>1625</v>
      </c>
      <c r="D233" s="1605" t="s">
        <v>1626</v>
      </c>
      <c r="E233" s="1605" t="s">
        <v>1136</v>
      </c>
      <c r="F233" s="1605" t="s">
        <v>1102</v>
      </c>
      <c r="G233" s="1605" t="s">
        <v>1627</v>
      </c>
      <c r="H233" s="1605">
        <v>94347</v>
      </c>
      <c r="I233" s="1605">
        <v>98643</v>
      </c>
      <c r="J233" s="1605" t="s">
        <v>1628</v>
      </c>
      <c r="K233" s="1605" t="s">
        <v>1629</v>
      </c>
    </row>
    <row r="234" spans="1:11" ht="15">
      <c r="A234" s="1602">
        <v>121</v>
      </c>
      <c r="B234" s="1603">
        <v>60824</v>
      </c>
      <c r="C234" s="1603" t="s">
        <v>1630</v>
      </c>
      <c r="D234" s="1603" t="s">
        <v>1631</v>
      </c>
      <c r="E234" s="1603" t="s">
        <v>1101</v>
      </c>
      <c r="F234" s="1603" t="s">
        <v>1102</v>
      </c>
      <c r="G234" s="1603" t="s">
        <v>1627</v>
      </c>
      <c r="H234" s="1603">
        <v>94347</v>
      </c>
      <c r="I234" s="1603">
        <v>98733</v>
      </c>
      <c r="J234" s="1603" t="s">
        <v>1632</v>
      </c>
      <c r="K234" s="1603" t="s">
        <v>1633</v>
      </c>
    </row>
    <row r="235" spans="1:11" ht="15">
      <c r="A235" s="1604">
        <v>122</v>
      </c>
      <c r="B235" s="1605">
        <v>7138</v>
      </c>
      <c r="C235" s="1605" t="s">
        <v>1634</v>
      </c>
      <c r="D235" s="1605" t="s">
        <v>1635</v>
      </c>
      <c r="E235" s="1605" t="s">
        <v>1101</v>
      </c>
      <c r="F235" s="1605" t="s">
        <v>1102</v>
      </c>
      <c r="G235" s="1605" t="s">
        <v>1627</v>
      </c>
      <c r="H235" s="1605">
        <v>94347</v>
      </c>
      <c r="I235" s="1605">
        <v>98741</v>
      </c>
      <c r="J235" s="1605" t="s">
        <v>1636</v>
      </c>
      <c r="K235" s="1605" t="s">
        <v>1637</v>
      </c>
    </row>
    <row r="236" spans="1:11" ht="15">
      <c r="A236" s="1602">
        <v>123</v>
      </c>
      <c r="B236" s="1603">
        <v>41634</v>
      </c>
      <c r="C236" s="1603" t="s">
        <v>1638</v>
      </c>
      <c r="D236" s="1603" t="s">
        <v>1639</v>
      </c>
      <c r="E236" s="1603" t="s">
        <v>1101</v>
      </c>
      <c r="F236" s="1603" t="s">
        <v>1102</v>
      </c>
      <c r="G236" s="1603" t="s">
        <v>1627</v>
      </c>
      <c r="H236" s="1603">
        <v>94347</v>
      </c>
      <c r="I236" s="1603">
        <v>98734</v>
      </c>
      <c r="J236" s="1603" t="s">
        <v>1640</v>
      </c>
      <c r="K236" s="1603" t="s">
        <v>1641</v>
      </c>
    </row>
    <row r="237" spans="1:11" ht="15">
      <c r="A237" s="1604">
        <v>124</v>
      </c>
      <c r="B237" s="1605">
        <v>85253</v>
      </c>
      <c r="C237" s="1605" t="s">
        <v>1642</v>
      </c>
      <c r="D237" s="1605" t="s">
        <v>1643</v>
      </c>
      <c r="E237" s="1605" t="s">
        <v>1121</v>
      </c>
      <c r="F237" s="1605" t="s">
        <v>1122</v>
      </c>
      <c r="G237" s="1605" t="s">
        <v>1627</v>
      </c>
      <c r="H237" s="1605">
        <v>94347</v>
      </c>
      <c r="I237" s="1605">
        <v>98950</v>
      </c>
      <c r="J237" s="1605" t="s">
        <v>1644</v>
      </c>
      <c r="K237" s="1605" t="s">
        <v>1645</v>
      </c>
    </row>
    <row r="238" spans="1:11" ht="15">
      <c r="A238" s="1602">
        <v>125</v>
      </c>
      <c r="B238" s="1603">
        <v>63346</v>
      </c>
      <c r="C238" s="1603" t="s">
        <v>1646</v>
      </c>
      <c r="D238" s="1603" t="s">
        <v>1647</v>
      </c>
      <c r="E238" s="1603" t="s">
        <v>1121</v>
      </c>
      <c r="F238" s="1603" t="s">
        <v>1122</v>
      </c>
      <c r="G238" s="1603" t="s">
        <v>1627</v>
      </c>
      <c r="H238" s="1603">
        <v>94347</v>
      </c>
      <c r="I238" s="1603">
        <v>98942</v>
      </c>
      <c r="J238" s="1603" t="s">
        <v>1648</v>
      </c>
      <c r="K238" s="1603" t="s">
        <v>1649</v>
      </c>
    </row>
    <row r="239" spans="1:11" ht="15">
      <c r="A239" s="1604">
        <v>126</v>
      </c>
      <c r="B239" s="1605">
        <v>23416</v>
      </c>
      <c r="C239" s="1605" t="s">
        <v>1650</v>
      </c>
      <c r="D239" s="1605" t="s">
        <v>1651</v>
      </c>
      <c r="E239" s="1605" t="s">
        <v>1121</v>
      </c>
      <c r="F239" s="1605" t="s">
        <v>1122</v>
      </c>
      <c r="G239" s="1605" t="s">
        <v>1627</v>
      </c>
      <c r="H239" s="1605">
        <v>94347</v>
      </c>
      <c r="I239" s="1605">
        <v>98935</v>
      </c>
      <c r="J239" s="1605" t="s">
        <v>1652</v>
      </c>
      <c r="K239" s="1605" t="s">
        <v>1653</v>
      </c>
    </row>
    <row r="240" spans="1:11" ht="15">
      <c r="A240" s="1602">
        <v>127</v>
      </c>
      <c r="B240" s="1603">
        <v>15556</v>
      </c>
      <c r="C240" s="1603" t="s">
        <v>1654</v>
      </c>
      <c r="D240" s="1603" t="s">
        <v>1655</v>
      </c>
      <c r="E240" s="1603" t="s">
        <v>1121</v>
      </c>
      <c r="F240" s="1603" t="s">
        <v>1122</v>
      </c>
      <c r="G240" s="1603" t="s">
        <v>1627</v>
      </c>
      <c r="H240" s="1603">
        <v>94347</v>
      </c>
      <c r="I240" s="1603">
        <v>98943</v>
      </c>
      <c r="J240" s="1603" t="s">
        <v>1656</v>
      </c>
      <c r="K240" s="1603" t="s">
        <v>1657</v>
      </c>
    </row>
    <row r="241" spans="1:11" ht="15">
      <c r="A241" s="1604">
        <v>128</v>
      </c>
      <c r="B241" s="1605">
        <v>86279</v>
      </c>
      <c r="C241" s="1605" t="s">
        <v>1658</v>
      </c>
      <c r="D241" s="1605" t="s">
        <v>1659</v>
      </c>
      <c r="E241" s="1605" t="s">
        <v>1159</v>
      </c>
      <c r="F241" s="1605" t="s">
        <v>1160</v>
      </c>
      <c r="G241" s="1605" t="s">
        <v>1627</v>
      </c>
      <c r="H241" s="1605">
        <v>94347</v>
      </c>
      <c r="I241" s="1605">
        <v>98941</v>
      </c>
      <c r="J241" s="1605" t="s">
        <v>1660</v>
      </c>
      <c r="K241" s="1605" t="s">
        <v>1661</v>
      </c>
    </row>
    <row r="242" spans="1:11" ht="15">
      <c r="A242" s="1602">
        <v>129</v>
      </c>
      <c r="B242" s="1603">
        <v>34702</v>
      </c>
      <c r="C242" s="1603" t="s">
        <v>1662</v>
      </c>
      <c r="D242" s="1603" t="s">
        <v>1663</v>
      </c>
      <c r="E242" s="1603" t="s">
        <v>1165</v>
      </c>
      <c r="F242" s="1603" t="s">
        <v>1166</v>
      </c>
      <c r="G242" s="1603" t="s">
        <v>1627</v>
      </c>
      <c r="H242" s="1603">
        <v>94347</v>
      </c>
      <c r="I242" s="1603">
        <v>98669</v>
      </c>
      <c r="J242" s="1603" t="s">
        <v>1664</v>
      </c>
      <c r="K242" s="1603" t="s">
        <v>1665</v>
      </c>
    </row>
    <row r="243" spans="1:11" ht="15">
      <c r="A243" s="1604">
        <v>130</v>
      </c>
      <c r="B243" s="1605">
        <v>48988</v>
      </c>
      <c r="C243" s="1605" t="s">
        <v>1666</v>
      </c>
      <c r="D243" s="1605" t="s">
        <v>1667</v>
      </c>
      <c r="E243" s="1605" t="s">
        <v>1179</v>
      </c>
      <c r="F243" s="1605" t="s">
        <v>1180</v>
      </c>
      <c r="G243" s="1605" t="s">
        <v>1627</v>
      </c>
      <c r="H243" s="1605">
        <v>94347</v>
      </c>
      <c r="I243" s="1605">
        <v>98896</v>
      </c>
      <c r="J243" s="1605" t="s">
        <v>1668</v>
      </c>
      <c r="K243" s="1605" t="s">
        <v>1669</v>
      </c>
    </row>
    <row r="244" spans="1:11" ht="15">
      <c r="A244" s="1602">
        <v>131</v>
      </c>
      <c r="B244" s="1603">
        <v>89194</v>
      </c>
      <c r="C244" s="1603" t="s">
        <v>1670</v>
      </c>
      <c r="D244" s="1603" t="s">
        <v>1671</v>
      </c>
      <c r="E244" s="1603" t="s">
        <v>1188</v>
      </c>
      <c r="F244" s="1603" t="s">
        <v>1189</v>
      </c>
      <c r="G244" s="1603" t="s">
        <v>1627</v>
      </c>
      <c r="H244" s="1603">
        <v>94347</v>
      </c>
      <c r="I244" s="1603">
        <v>98754</v>
      </c>
      <c r="J244" s="1603" t="s">
        <v>1672</v>
      </c>
      <c r="K244" s="1603" t="s">
        <v>1673</v>
      </c>
    </row>
    <row r="245" spans="1:11" ht="15">
      <c r="A245" s="1604">
        <v>132</v>
      </c>
      <c r="B245" s="1605">
        <v>44102</v>
      </c>
      <c r="C245" s="1605" t="s">
        <v>1674</v>
      </c>
      <c r="D245" s="1605" t="s">
        <v>1675</v>
      </c>
      <c r="E245" s="1605" t="s">
        <v>1159</v>
      </c>
      <c r="F245" s="1605" t="s">
        <v>1160</v>
      </c>
      <c r="G245" s="1605" t="s">
        <v>1676</v>
      </c>
      <c r="H245" s="1605">
        <v>94347</v>
      </c>
      <c r="I245" s="1605">
        <v>98915</v>
      </c>
      <c r="J245" s="1605" t="s">
        <v>1677</v>
      </c>
      <c r="K245" s="1605" t="s">
        <v>1678</v>
      </c>
    </row>
    <row r="246" spans="1:11" ht="15">
      <c r="A246" s="1602">
        <v>133</v>
      </c>
      <c r="B246" s="1603">
        <v>91039</v>
      </c>
      <c r="C246" s="1603" t="s">
        <v>1679</v>
      </c>
      <c r="D246" s="1603" t="s">
        <v>1680</v>
      </c>
      <c r="E246" s="1603" t="s">
        <v>1136</v>
      </c>
      <c r="F246" s="1603" t="s">
        <v>1102</v>
      </c>
      <c r="G246" s="1603" t="s">
        <v>1681</v>
      </c>
      <c r="H246" s="1603">
        <v>94347</v>
      </c>
      <c r="I246" s="1603">
        <v>98727</v>
      </c>
      <c r="J246" s="1603" t="s">
        <v>1682</v>
      </c>
      <c r="K246" s="1603" t="s">
        <v>1683</v>
      </c>
    </row>
    <row r="247" spans="1:11" ht="15">
      <c r="A247" s="1604">
        <v>134</v>
      </c>
      <c r="B247" s="1605">
        <v>2129</v>
      </c>
      <c r="C247" s="1605" t="s">
        <v>1684</v>
      </c>
      <c r="D247" s="1605" t="s">
        <v>1685</v>
      </c>
      <c r="E247" s="1605" t="s">
        <v>1101</v>
      </c>
      <c r="F247" s="1605" t="s">
        <v>1102</v>
      </c>
      <c r="G247" s="1605" t="s">
        <v>1686</v>
      </c>
      <c r="H247" s="1605">
        <v>94347</v>
      </c>
      <c r="I247" s="1605">
        <v>98731</v>
      </c>
      <c r="J247" s="1605" t="s">
        <v>1687</v>
      </c>
      <c r="K247" s="1605" t="s">
        <v>1688</v>
      </c>
    </row>
    <row r="248" spans="1:11" ht="15">
      <c r="A248" s="1602">
        <v>135</v>
      </c>
      <c r="B248" s="1603">
        <v>84106</v>
      </c>
      <c r="C248" s="1603" t="s">
        <v>1689</v>
      </c>
      <c r="D248" s="1603" t="s">
        <v>1690</v>
      </c>
      <c r="E248" s="1603" t="s">
        <v>1121</v>
      </c>
      <c r="F248" s="1603" t="s">
        <v>1122</v>
      </c>
      <c r="G248" s="1603" t="s">
        <v>1686</v>
      </c>
      <c r="H248" s="1603">
        <v>94347</v>
      </c>
      <c r="I248" s="1603">
        <v>92334</v>
      </c>
      <c r="J248" s="1603" t="s">
        <v>1691</v>
      </c>
      <c r="K248" s="1603" t="s">
        <v>1692</v>
      </c>
    </row>
    <row r="249" spans="1:11" ht="15">
      <c r="A249" s="1604">
        <v>136</v>
      </c>
      <c r="B249" s="1605">
        <v>55152</v>
      </c>
      <c r="C249" s="1605" t="s">
        <v>1693</v>
      </c>
      <c r="D249" s="1605" t="s">
        <v>1694</v>
      </c>
      <c r="E249" s="1605" t="s">
        <v>1159</v>
      </c>
      <c r="F249" s="1605" t="s">
        <v>1160</v>
      </c>
      <c r="G249" s="1605" t="s">
        <v>1686</v>
      </c>
      <c r="H249" s="1605">
        <v>94347</v>
      </c>
      <c r="I249" s="1605">
        <v>98877</v>
      </c>
      <c r="J249" s="1605" t="s">
        <v>1695</v>
      </c>
      <c r="K249" s="1605" t="s">
        <v>1696</v>
      </c>
    </row>
    <row r="250" spans="1:11" ht="15">
      <c r="A250" s="1602">
        <v>137</v>
      </c>
      <c r="B250" s="1603">
        <v>15485</v>
      </c>
      <c r="C250" s="1603" t="s">
        <v>1697</v>
      </c>
      <c r="D250" s="1603" t="s">
        <v>1698</v>
      </c>
      <c r="E250" s="1603" t="s">
        <v>1165</v>
      </c>
      <c r="F250" s="1603" t="s">
        <v>1166</v>
      </c>
      <c r="G250" s="1603" t="s">
        <v>1686</v>
      </c>
      <c r="H250" s="1603">
        <v>94347</v>
      </c>
      <c r="I250" s="1603">
        <v>98667</v>
      </c>
      <c r="J250" s="1603" t="s">
        <v>1699</v>
      </c>
      <c r="K250" s="1603" t="s">
        <v>1700</v>
      </c>
    </row>
    <row r="251" spans="1:11" ht="15">
      <c r="A251" s="1604">
        <v>138</v>
      </c>
      <c r="B251" s="1605">
        <v>99841</v>
      </c>
      <c r="C251" s="1605" t="s">
        <v>1701</v>
      </c>
      <c r="D251" s="1605" t="s">
        <v>1702</v>
      </c>
      <c r="E251" s="1605" t="s">
        <v>1165</v>
      </c>
      <c r="F251" s="1605" t="s">
        <v>1166</v>
      </c>
      <c r="G251" s="1605" t="s">
        <v>1686</v>
      </c>
      <c r="H251" s="1605">
        <v>94347</v>
      </c>
      <c r="I251" s="1605">
        <v>98965</v>
      </c>
      <c r="J251" s="1605" t="s">
        <v>1703</v>
      </c>
      <c r="K251" s="1605" t="s">
        <v>1704</v>
      </c>
    </row>
    <row r="252" spans="1:11" ht="15">
      <c r="A252" s="1602">
        <v>139</v>
      </c>
      <c r="B252" s="1603">
        <v>57661</v>
      </c>
      <c r="C252" s="1603" t="s">
        <v>1705</v>
      </c>
      <c r="D252" s="1603" t="s">
        <v>1706</v>
      </c>
      <c r="E252" s="1603" t="s">
        <v>1121</v>
      </c>
      <c r="F252" s="1603" t="s">
        <v>1122</v>
      </c>
      <c r="G252" s="1603" t="s">
        <v>1707</v>
      </c>
      <c r="H252" s="1603">
        <v>94347</v>
      </c>
      <c r="I252" s="1603">
        <v>98770</v>
      </c>
      <c r="J252" s="1603" t="s">
        <v>1708</v>
      </c>
      <c r="K252" s="1603" t="s">
        <v>1709</v>
      </c>
    </row>
    <row r="253" spans="1:11" ht="15">
      <c r="A253" s="1604">
        <v>140</v>
      </c>
      <c r="B253" s="1605">
        <v>53982</v>
      </c>
      <c r="C253" s="1605" t="s">
        <v>1710</v>
      </c>
      <c r="D253" s="1605" t="s">
        <v>1711</v>
      </c>
      <c r="E253" s="1605" t="s">
        <v>1121</v>
      </c>
      <c r="F253" s="1605" t="s">
        <v>1122</v>
      </c>
      <c r="G253" s="1605" t="s">
        <v>1707</v>
      </c>
      <c r="H253" s="1605">
        <v>94347</v>
      </c>
      <c r="I253" s="1605">
        <v>98810</v>
      </c>
      <c r="J253" s="1605" t="s">
        <v>1712</v>
      </c>
      <c r="K253" s="1605" t="s">
        <v>1713</v>
      </c>
    </row>
    <row r="254" spans="1:11" ht="15">
      <c r="A254" s="1602">
        <v>141</v>
      </c>
      <c r="B254" s="1603">
        <v>92555</v>
      </c>
      <c r="C254" s="1603" t="s">
        <v>1714</v>
      </c>
      <c r="D254" s="1603" t="s">
        <v>1715</v>
      </c>
      <c r="E254" s="1603" t="s">
        <v>1108</v>
      </c>
      <c r="F254" s="1603" t="s">
        <v>1109</v>
      </c>
      <c r="G254" s="1603" t="s">
        <v>1707</v>
      </c>
      <c r="H254" s="1603">
        <v>94347</v>
      </c>
      <c r="I254" s="1603">
        <v>98834</v>
      </c>
      <c r="J254" s="1607" t="s">
        <v>1716</v>
      </c>
      <c r="K254" s="1603" t="s">
        <v>1717</v>
      </c>
    </row>
    <row r="255" spans="1:11" ht="15">
      <c r="A255" s="1604">
        <v>142</v>
      </c>
      <c r="B255" s="1605">
        <v>59676</v>
      </c>
      <c r="C255" s="1605" t="s">
        <v>1718</v>
      </c>
      <c r="D255" s="1605" t="s">
        <v>1719</v>
      </c>
      <c r="E255" s="1605" t="s">
        <v>1136</v>
      </c>
      <c r="F255" s="1605" t="s">
        <v>1102</v>
      </c>
      <c r="G255" s="1605" t="s">
        <v>1720</v>
      </c>
      <c r="H255" s="1605">
        <v>94347</v>
      </c>
      <c r="I255" s="1605">
        <v>7605</v>
      </c>
      <c r="J255" s="1608" t="s">
        <v>1721</v>
      </c>
      <c r="K255" s="1608" t="s">
        <v>1722</v>
      </c>
    </row>
    <row r="256" spans="1:11" ht="15">
      <c r="A256" s="1602">
        <v>143</v>
      </c>
      <c r="B256" s="1603">
        <v>5763</v>
      </c>
      <c r="C256" s="1603" t="s">
        <v>1723</v>
      </c>
      <c r="D256" s="1603" t="s">
        <v>1724</v>
      </c>
      <c r="E256" s="1603" t="s">
        <v>1101</v>
      </c>
      <c r="F256" s="1603" t="s">
        <v>1102</v>
      </c>
      <c r="G256" s="1603" t="s">
        <v>1720</v>
      </c>
      <c r="H256" s="1603">
        <v>94347</v>
      </c>
      <c r="I256" s="1603">
        <v>98895</v>
      </c>
      <c r="J256" s="1603" t="s">
        <v>1725</v>
      </c>
      <c r="K256" s="1603" t="s">
        <v>1726</v>
      </c>
    </row>
    <row r="257" spans="1:11" ht="15">
      <c r="A257" s="1604">
        <v>144</v>
      </c>
      <c r="B257" s="1605">
        <v>31175</v>
      </c>
      <c r="C257" s="1605" t="s">
        <v>1727</v>
      </c>
      <c r="D257" s="1605" t="s">
        <v>1728</v>
      </c>
      <c r="E257" s="1605" t="s">
        <v>1159</v>
      </c>
      <c r="F257" s="1605" t="s">
        <v>1160</v>
      </c>
      <c r="G257" s="1605" t="s">
        <v>1720</v>
      </c>
      <c r="H257" s="1605">
        <v>94347</v>
      </c>
      <c r="I257" s="1605">
        <v>98937</v>
      </c>
      <c r="J257" s="1605" t="s">
        <v>1729</v>
      </c>
      <c r="K257" s="1605" t="s">
        <v>1730</v>
      </c>
    </row>
    <row r="258" spans="1:11" ht="15">
      <c r="A258" s="1602">
        <v>145</v>
      </c>
      <c r="B258" s="1603">
        <v>59686</v>
      </c>
      <c r="C258" s="1603" t="s">
        <v>1731</v>
      </c>
      <c r="D258" s="1603" t="s">
        <v>1732</v>
      </c>
      <c r="E258" s="1603" t="s">
        <v>1165</v>
      </c>
      <c r="F258" s="1603" t="s">
        <v>1166</v>
      </c>
      <c r="G258" s="1603" t="s">
        <v>1733</v>
      </c>
      <c r="H258" s="1603">
        <v>94347</v>
      </c>
      <c r="I258" s="1603">
        <v>98954</v>
      </c>
      <c r="J258" s="1603" t="s">
        <v>1734</v>
      </c>
      <c r="K258" s="1603" t="s">
        <v>1735</v>
      </c>
    </row>
    <row r="259" spans="1:11" ht="15">
      <c r="A259" s="1604">
        <v>146</v>
      </c>
      <c r="B259" s="1605">
        <v>76552</v>
      </c>
      <c r="C259" s="1605" t="s">
        <v>1736</v>
      </c>
      <c r="D259" s="1605" t="s">
        <v>1737</v>
      </c>
      <c r="E259" s="1605" t="s">
        <v>1165</v>
      </c>
      <c r="F259" s="1605" t="s">
        <v>1166</v>
      </c>
      <c r="G259" s="1605" t="s">
        <v>1720</v>
      </c>
      <c r="H259" s="1605">
        <v>94347</v>
      </c>
      <c r="I259" s="1605">
        <v>98844</v>
      </c>
      <c r="J259" s="1605" t="s">
        <v>1738</v>
      </c>
      <c r="K259" s="1605" t="s">
        <v>1739</v>
      </c>
    </row>
    <row r="260" spans="1:11" ht="15">
      <c r="A260" s="1602">
        <v>147</v>
      </c>
      <c r="B260" s="1603">
        <v>15293</v>
      </c>
      <c r="C260" s="1603" t="s">
        <v>1740</v>
      </c>
      <c r="D260" s="1603" t="s">
        <v>1741</v>
      </c>
      <c r="E260" s="1603" t="s">
        <v>1179</v>
      </c>
      <c r="F260" s="1603" t="s">
        <v>1180</v>
      </c>
      <c r="G260" s="1603" t="s">
        <v>1742</v>
      </c>
      <c r="H260" s="1603">
        <v>94347</v>
      </c>
      <c r="I260" s="1603">
        <v>98973</v>
      </c>
      <c r="J260" s="1603" t="s">
        <v>1743</v>
      </c>
      <c r="K260" s="1603" t="s">
        <v>1744</v>
      </c>
    </row>
    <row r="261" spans="1:11" ht="15">
      <c r="A261" s="1604">
        <v>148</v>
      </c>
      <c r="B261" s="1605">
        <v>81557</v>
      </c>
      <c r="C261" s="1605" t="s">
        <v>1745</v>
      </c>
      <c r="D261" s="1605" t="s">
        <v>1746</v>
      </c>
      <c r="E261" s="1605" t="s">
        <v>1179</v>
      </c>
      <c r="F261" s="1605" t="s">
        <v>1180</v>
      </c>
      <c r="G261" s="1605" t="s">
        <v>1720</v>
      </c>
      <c r="H261" s="1605">
        <v>94347</v>
      </c>
      <c r="I261" s="1605">
        <v>98997</v>
      </c>
      <c r="J261" s="1605" t="s">
        <v>1747</v>
      </c>
      <c r="K261" s="1605" t="s">
        <v>1748</v>
      </c>
    </row>
    <row r="262" spans="1:11" ht="15">
      <c r="A262" s="1602">
        <v>149</v>
      </c>
      <c r="B262" s="1603">
        <v>86593</v>
      </c>
      <c r="C262" s="1603" t="s">
        <v>1749</v>
      </c>
      <c r="D262" s="1603" t="s">
        <v>1750</v>
      </c>
      <c r="E262" s="1603" t="s">
        <v>1108</v>
      </c>
      <c r="F262" s="1603" t="s">
        <v>1109</v>
      </c>
      <c r="G262" s="1603" t="s">
        <v>1751</v>
      </c>
      <c r="H262" s="1603">
        <v>94347</v>
      </c>
      <c r="I262" s="1603">
        <v>7594</v>
      </c>
      <c r="J262" s="1603" t="s">
        <v>1752</v>
      </c>
      <c r="K262" s="1603" t="s">
        <v>1753</v>
      </c>
    </row>
    <row r="263" spans="1:11" ht="15">
      <c r="A263" s="1604">
        <v>150</v>
      </c>
      <c r="B263" s="1605">
        <v>44318</v>
      </c>
      <c r="C263" s="1605" t="s">
        <v>1754</v>
      </c>
      <c r="D263" s="1605" t="s">
        <v>1755</v>
      </c>
      <c r="E263" s="1605" t="s">
        <v>1756</v>
      </c>
      <c r="F263" s="1605" t="s">
        <v>1102</v>
      </c>
      <c r="G263" s="1605" t="s">
        <v>1757</v>
      </c>
      <c r="H263" s="1605">
        <v>94347</v>
      </c>
      <c r="I263" s="1605">
        <v>98853</v>
      </c>
      <c r="J263" s="1605" t="s">
        <v>1758</v>
      </c>
      <c r="K263" s="1605" t="s">
        <v>1759</v>
      </c>
    </row>
    <row r="264" spans="1:11" ht="15">
      <c r="A264" s="1602">
        <v>151</v>
      </c>
      <c r="B264" s="1603">
        <v>57952</v>
      </c>
      <c r="C264" s="1603" t="s">
        <v>1760</v>
      </c>
      <c r="D264" s="1603" t="s">
        <v>1761</v>
      </c>
      <c r="E264" s="1603" t="s">
        <v>1762</v>
      </c>
      <c r="F264" s="1603" t="s">
        <v>1122</v>
      </c>
      <c r="G264" s="1603" t="s">
        <v>1757</v>
      </c>
      <c r="H264" s="1603">
        <v>94347</v>
      </c>
      <c r="I264" s="1603">
        <v>98955</v>
      </c>
      <c r="J264" s="1603" t="s">
        <v>1763</v>
      </c>
      <c r="K264" s="1603" t="s">
        <v>1764</v>
      </c>
    </row>
    <row r="265" spans="1:11" ht="15">
      <c r="A265" s="1604">
        <v>152</v>
      </c>
      <c r="B265" s="1605">
        <v>70563</v>
      </c>
      <c r="C265" s="1605" t="s">
        <v>1765</v>
      </c>
      <c r="D265" s="1605" t="s">
        <v>1766</v>
      </c>
      <c r="E265" s="1605" t="s">
        <v>1767</v>
      </c>
      <c r="F265" s="1605" t="s">
        <v>1166</v>
      </c>
      <c r="G265" s="1605" t="s">
        <v>1757</v>
      </c>
      <c r="H265" s="1605">
        <v>94347</v>
      </c>
      <c r="I265" s="1605">
        <v>98811</v>
      </c>
      <c r="J265" s="1605" t="s">
        <v>1768</v>
      </c>
      <c r="K265" s="1605" t="s">
        <v>1769</v>
      </c>
    </row>
    <row r="266" spans="1:11" ht="15">
      <c r="A266" s="1602">
        <v>153</v>
      </c>
      <c r="B266" s="1603">
        <v>38402</v>
      </c>
      <c r="C266" s="1603" t="s">
        <v>1770</v>
      </c>
      <c r="D266" s="1603" t="s">
        <v>1771</v>
      </c>
      <c r="E266" s="1603" t="s">
        <v>1121</v>
      </c>
      <c r="F266" s="1603" t="s">
        <v>1122</v>
      </c>
      <c r="G266" s="1603" t="s">
        <v>1772</v>
      </c>
      <c r="H266" s="1603">
        <v>94347</v>
      </c>
      <c r="I266" s="1603">
        <v>98820</v>
      </c>
      <c r="J266" s="1603" t="s">
        <v>1773</v>
      </c>
      <c r="K266" s="1603" t="s">
        <v>1774</v>
      </c>
    </row>
    <row r="267" spans="1:11" ht="15">
      <c r="A267" s="1604">
        <v>154</v>
      </c>
      <c r="B267" s="1605">
        <v>88843</v>
      </c>
      <c r="C267" s="1605" t="s">
        <v>1775</v>
      </c>
      <c r="D267" s="1605" t="s">
        <v>1776</v>
      </c>
      <c r="E267" s="1605" t="s">
        <v>1777</v>
      </c>
      <c r="F267" s="1605" t="s">
        <v>1122</v>
      </c>
      <c r="G267" s="1605" t="s">
        <v>1778</v>
      </c>
      <c r="H267" s="1605">
        <v>94347</v>
      </c>
      <c r="I267" s="1605">
        <v>98659</v>
      </c>
      <c r="J267" s="1605" t="s">
        <v>1779</v>
      </c>
      <c r="K267" s="1605" t="s">
        <v>1780</v>
      </c>
    </row>
    <row r="268" spans="1:11" ht="15">
      <c r="A268" s="1602">
        <v>155</v>
      </c>
      <c r="B268" s="1603">
        <v>89096</v>
      </c>
      <c r="C268" s="1603" t="s">
        <v>1781</v>
      </c>
      <c r="D268" s="1603" t="s">
        <v>1782</v>
      </c>
      <c r="E268" s="1603" t="s">
        <v>1165</v>
      </c>
      <c r="F268" s="1603" t="s">
        <v>1166</v>
      </c>
      <c r="G268" s="1603" t="s">
        <v>1783</v>
      </c>
      <c r="H268" s="1603">
        <v>94347</v>
      </c>
      <c r="I268" s="1603">
        <v>98679</v>
      </c>
      <c r="J268" s="1603" t="s">
        <v>1784</v>
      </c>
      <c r="K268" s="1607" t="s">
        <v>1785</v>
      </c>
    </row>
    <row r="269" spans="1:11" ht="15">
      <c r="A269" s="1604">
        <v>156</v>
      </c>
      <c r="B269" s="1605">
        <v>70852</v>
      </c>
      <c r="C269" s="1605" t="s">
        <v>1786</v>
      </c>
      <c r="D269" s="1605" t="s">
        <v>1787</v>
      </c>
      <c r="E269" s="1605" t="s">
        <v>1121</v>
      </c>
      <c r="F269" s="1605" t="s">
        <v>1122</v>
      </c>
      <c r="G269" s="1605" t="s">
        <v>1788</v>
      </c>
      <c r="H269" s="1605">
        <v>94347</v>
      </c>
      <c r="I269" s="1605">
        <v>98708</v>
      </c>
      <c r="J269" s="1605" t="s">
        <v>1789</v>
      </c>
      <c r="K269" s="1605" t="s">
        <v>1790</v>
      </c>
    </row>
    <row r="270" spans="1:11" ht="15">
      <c r="A270" s="1602">
        <v>157</v>
      </c>
      <c r="B270" s="1603">
        <v>55092</v>
      </c>
      <c r="C270" s="1603" t="s">
        <v>1791</v>
      </c>
      <c r="D270" s="1603" t="s">
        <v>1792</v>
      </c>
      <c r="E270" s="1603" t="s">
        <v>1159</v>
      </c>
      <c r="F270" s="1603" t="s">
        <v>1160</v>
      </c>
      <c r="G270" s="1603" t="s">
        <v>1788</v>
      </c>
      <c r="H270" s="1603">
        <v>94347</v>
      </c>
      <c r="I270" s="1603">
        <v>98655</v>
      </c>
      <c r="J270" s="1603" t="s">
        <v>1793</v>
      </c>
      <c r="K270" s="1603" t="s">
        <v>1794</v>
      </c>
    </row>
    <row r="275" spans="1:12" ht="21">
      <c r="A275" s="2924" t="s">
        <v>1795</v>
      </c>
      <c r="B275" s="2924"/>
      <c r="C275" s="2924"/>
      <c r="D275" s="2924"/>
      <c r="E275" s="2924"/>
      <c r="F275" s="2924"/>
      <c r="G275" s="2924"/>
      <c r="H275" s="2924"/>
      <c r="I275" s="2924"/>
      <c r="J275" s="2924"/>
      <c r="K275" s="2924"/>
      <c r="L275" s="2924"/>
    </row>
    <row r="276" spans="1:12" ht="15">
      <c r="A276" s="1619"/>
      <c r="B276" s="1620"/>
      <c r="C276" s="1620"/>
      <c r="D276" s="1620"/>
      <c r="E276" s="1620"/>
      <c r="F276" s="1620"/>
      <c r="G276" s="1620"/>
      <c r="H276" s="1620"/>
      <c r="I276" s="1620"/>
      <c r="J276" s="1620"/>
      <c r="K276" s="1620"/>
      <c r="L276" s="1620"/>
    </row>
    <row r="277" spans="1:12" ht="15">
      <c r="A277" s="1600" t="s">
        <v>1082</v>
      </c>
      <c r="B277" s="1601" t="s">
        <v>1083</v>
      </c>
      <c r="C277" s="1601" t="s">
        <v>1084</v>
      </c>
      <c r="D277" s="1601" t="s">
        <v>1085</v>
      </c>
      <c r="E277" s="1601" t="s">
        <v>1086</v>
      </c>
      <c r="F277" s="1601" t="s">
        <v>1087</v>
      </c>
      <c r="G277" s="1601" t="s">
        <v>1088</v>
      </c>
      <c r="H277" s="1601" t="s">
        <v>1796</v>
      </c>
      <c r="I277" s="1601" t="s">
        <v>1797</v>
      </c>
      <c r="J277" s="1601" t="s">
        <v>1090</v>
      </c>
      <c r="K277" s="1624" t="s">
        <v>1091</v>
      </c>
      <c r="L277" s="1625" t="s">
        <v>1798</v>
      </c>
    </row>
    <row r="278" spans="1:12" ht="15">
      <c r="A278" s="1604">
        <v>86</v>
      </c>
      <c r="B278" s="1605">
        <v>79998</v>
      </c>
      <c r="C278" s="1605" t="s">
        <v>1402</v>
      </c>
      <c r="D278" s="1605" t="s">
        <v>1403</v>
      </c>
      <c r="E278" s="1605" t="s">
        <v>1101</v>
      </c>
      <c r="F278" s="1605" t="s">
        <v>1102</v>
      </c>
      <c r="G278" s="1605" t="s">
        <v>1404</v>
      </c>
      <c r="H278" s="1605">
        <v>94347</v>
      </c>
      <c r="I278" s="1605">
        <v>98702</v>
      </c>
      <c r="J278" s="1605" t="s">
        <v>1405</v>
      </c>
      <c r="K278" s="1605" t="s">
        <v>1406</v>
      </c>
      <c r="L278" s="1626">
        <v>22654</v>
      </c>
    </row>
    <row r="279" spans="1:12" ht="15">
      <c r="A279" s="1602">
        <v>57</v>
      </c>
      <c r="B279" s="1603">
        <v>65056</v>
      </c>
      <c r="C279" s="1603" t="s">
        <v>1282</v>
      </c>
      <c r="D279" s="1603" t="s">
        <v>1283</v>
      </c>
      <c r="E279" s="1603" t="s">
        <v>1101</v>
      </c>
      <c r="F279" s="1603" t="s">
        <v>1102</v>
      </c>
      <c r="G279" s="1603" t="s">
        <v>785</v>
      </c>
      <c r="H279" s="1603">
        <v>94347</v>
      </c>
      <c r="I279" s="1603">
        <v>98893</v>
      </c>
      <c r="J279" s="1603" t="s">
        <v>1284</v>
      </c>
      <c r="K279" s="1627" t="s">
        <v>1285</v>
      </c>
      <c r="L279" s="1628">
        <v>22767</v>
      </c>
    </row>
    <row r="280" spans="1:12" ht="15">
      <c r="A280" s="1602">
        <v>7</v>
      </c>
      <c r="B280" s="1603">
        <v>30374</v>
      </c>
      <c r="C280" s="1603" t="s">
        <v>1130</v>
      </c>
      <c r="D280" s="1603" t="s">
        <v>1131</v>
      </c>
      <c r="E280" s="1603" t="s">
        <v>1799</v>
      </c>
      <c r="F280" s="1603" t="s">
        <v>1115</v>
      </c>
      <c r="G280" s="1603" t="s">
        <v>1800</v>
      </c>
      <c r="H280" s="1603">
        <v>94347</v>
      </c>
      <c r="I280" s="1603">
        <v>98711</v>
      </c>
      <c r="J280" s="1603" t="s">
        <v>1133</v>
      </c>
      <c r="K280" s="1603" t="s">
        <v>1134</v>
      </c>
      <c r="L280" s="1629">
        <v>22867</v>
      </c>
    </row>
    <row r="281" spans="1:12" ht="15">
      <c r="A281" s="1604">
        <v>124</v>
      </c>
      <c r="B281" s="1605">
        <v>62799</v>
      </c>
      <c r="C281" s="1605" t="s">
        <v>1581</v>
      </c>
      <c r="D281" s="1605" t="s">
        <v>1582</v>
      </c>
      <c r="E281" s="1605" t="s">
        <v>1108</v>
      </c>
      <c r="F281" s="1605" t="s">
        <v>1109</v>
      </c>
      <c r="G281" s="1605" t="s">
        <v>1546</v>
      </c>
      <c r="H281" s="1605">
        <v>94347</v>
      </c>
      <c r="I281" s="1605">
        <v>98790</v>
      </c>
      <c r="J281" s="1608" t="s">
        <v>1801</v>
      </c>
      <c r="K281" s="1608" t="s">
        <v>1584</v>
      </c>
      <c r="L281" s="1630">
        <v>22921</v>
      </c>
    </row>
    <row r="282" spans="1:12" ht="15">
      <c r="A282" s="1602">
        <v>105</v>
      </c>
      <c r="B282" s="1603">
        <v>84211</v>
      </c>
      <c r="C282" s="1603" t="s">
        <v>1497</v>
      </c>
      <c r="D282" s="1603" t="s">
        <v>1498</v>
      </c>
      <c r="E282" s="1603" t="s">
        <v>1136</v>
      </c>
      <c r="F282" s="1603" t="s">
        <v>1102</v>
      </c>
      <c r="G282" s="1603" t="s">
        <v>1499</v>
      </c>
      <c r="H282" s="1603">
        <v>94347</v>
      </c>
      <c r="I282" s="1603">
        <v>98882</v>
      </c>
      <c r="J282" s="1603" t="s">
        <v>1500</v>
      </c>
      <c r="K282" s="1603" t="s">
        <v>1501</v>
      </c>
      <c r="L282" s="1629">
        <v>22962</v>
      </c>
    </row>
    <row r="283" spans="1:12" ht="15">
      <c r="A283" s="1602">
        <v>29</v>
      </c>
      <c r="B283" s="1603">
        <v>84424</v>
      </c>
      <c r="C283" s="1603" t="s">
        <v>1157</v>
      </c>
      <c r="D283" s="1603" t="s">
        <v>1158</v>
      </c>
      <c r="E283" s="1603" t="s">
        <v>1159</v>
      </c>
      <c r="F283" s="1603" t="s">
        <v>1160</v>
      </c>
      <c r="G283" s="1603" t="s">
        <v>1142</v>
      </c>
      <c r="H283" s="1603">
        <v>94347</v>
      </c>
      <c r="I283" s="1603">
        <v>98958</v>
      </c>
      <c r="J283" s="1603" t="s">
        <v>1161</v>
      </c>
      <c r="K283" s="1627" t="s">
        <v>1162</v>
      </c>
      <c r="L283" s="1628">
        <v>22992</v>
      </c>
    </row>
    <row r="284" spans="1:12" ht="15">
      <c r="A284" s="1602">
        <v>45</v>
      </c>
      <c r="B284" s="1603">
        <v>63793</v>
      </c>
      <c r="C284" s="1603" t="s">
        <v>1231</v>
      </c>
      <c r="D284" s="1603" t="s">
        <v>1232</v>
      </c>
      <c r="E284" s="1603" t="s">
        <v>1136</v>
      </c>
      <c r="F284" s="1603" t="s">
        <v>1102</v>
      </c>
      <c r="G284" s="1603" t="s">
        <v>1233</v>
      </c>
      <c r="H284" s="1603">
        <v>94347</v>
      </c>
      <c r="I284" s="1603">
        <v>98703</v>
      </c>
      <c r="J284" s="1603" t="s">
        <v>1234</v>
      </c>
      <c r="K284" s="1603" t="s">
        <v>1235</v>
      </c>
      <c r="L284" s="1629">
        <v>23000</v>
      </c>
    </row>
    <row r="285" spans="1:12" ht="30">
      <c r="A285" s="1602">
        <v>143</v>
      </c>
      <c r="B285" s="1621">
        <v>57952</v>
      </c>
      <c r="C285" s="1621" t="s">
        <v>1760</v>
      </c>
      <c r="D285" s="1621" t="s">
        <v>1761</v>
      </c>
      <c r="E285" s="1622" t="s">
        <v>1802</v>
      </c>
      <c r="F285" s="1621" t="s">
        <v>1122</v>
      </c>
      <c r="G285" s="1621" t="s">
        <v>1757</v>
      </c>
      <c r="H285" s="1621">
        <v>94347</v>
      </c>
      <c r="I285" s="1621">
        <v>98955</v>
      </c>
      <c r="J285" s="1621" t="s">
        <v>1763</v>
      </c>
      <c r="K285" s="1631" t="s">
        <v>1764</v>
      </c>
      <c r="L285" s="1628">
        <v>23040</v>
      </c>
    </row>
    <row r="286" spans="1:12" ht="15">
      <c r="A286" s="1604">
        <v>18</v>
      </c>
      <c r="B286" s="1605">
        <v>85253</v>
      </c>
      <c r="C286" s="1605" t="s">
        <v>1642</v>
      </c>
      <c r="D286" s="1605" t="s">
        <v>1643</v>
      </c>
      <c r="E286" s="1605" t="s">
        <v>1121</v>
      </c>
      <c r="F286" s="1605" t="s">
        <v>1122</v>
      </c>
      <c r="G286" s="1605" t="s">
        <v>1627</v>
      </c>
      <c r="H286" s="1605">
        <v>94347</v>
      </c>
      <c r="I286" s="1605">
        <v>98950</v>
      </c>
      <c r="J286" s="1605" t="s">
        <v>1644</v>
      </c>
      <c r="K286" s="1605" t="s">
        <v>1645</v>
      </c>
      <c r="L286" s="1626">
        <v>23056</v>
      </c>
    </row>
    <row r="287" spans="1:12" ht="15">
      <c r="A287" s="1604">
        <v>72</v>
      </c>
      <c r="B287" s="1605">
        <v>12799</v>
      </c>
      <c r="C287" s="1605" t="s">
        <v>1346</v>
      </c>
      <c r="D287" s="1605" t="s">
        <v>1347</v>
      </c>
      <c r="E287" s="1605" t="s">
        <v>1799</v>
      </c>
      <c r="F287" s="1605" t="s">
        <v>1115</v>
      </c>
      <c r="G287" s="1605" t="s">
        <v>1803</v>
      </c>
      <c r="H287" s="1605">
        <v>94347</v>
      </c>
      <c r="I287" s="1605">
        <v>98818</v>
      </c>
      <c r="J287" s="1605" t="s">
        <v>1349</v>
      </c>
      <c r="K287" s="1632" t="s">
        <v>1350</v>
      </c>
      <c r="L287" s="1633">
        <v>23071</v>
      </c>
    </row>
    <row r="288" spans="1:12" ht="15">
      <c r="A288" s="1602">
        <v>99</v>
      </c>
      <c r="B288" s="1603">
        <v>63513</v>
      </c>
      <c r="C288" s="1603" t="s">
        <v>1472</v>
      </c>
      <c r="D288" s="1603" t="s">
        <v>1473</v>
      </c>
      <c r="E288" s="1603" t="s">
        <v>1108</v>
      </c>
      <c r="F288" s="1603" t="s">
        <v>1109</v>
      </c>
      <c r="G288" s="1603" t="s">
        <v>1474</v>
      </c>
      <c r="H288" s="1603">
        <v>94347</v>
      </c>
      <c r="I288" s="1603">
        <v>98647</v>
      </c>
      <c r="J288" s="1607" t="s">
        <v>1804</v>
      </c>
      <c r="K288" s="1603" t="s">
        <v>1476</v>
      </c>
      <c r="L288" s="1629">
        <v>23377</v>
      </c>
    </row>
    <row r="289" spans="1:12" ht="15">
      <c r="A289" s="1602">
        <v>115</v>
      </c>
      <c r="B289" s="1603">
        <v>25160</v>
      </c>
      <c r="C289" s="1603" t="s">
        <v>1540</v>
      </c>
      <c r="D289" s="1603" t="s">
        <v>1541</v>
      </c>
      <c r="E289" s="1603" t="s">
        <v>1165</v>
      </c>
      <c r="F289" s="1603" t="s">
        <v>1166</v>
      </c>
      <c r="G289" s="1603" t="s">
        <v>1533</v>
      </c>
      <c r="H289" s="1603">
        <v>94347</v>
      </c>
      <c r="I289" s="1603">
        <v>98766</v>
      </c>
      <c r="J289" s="1603" t="s">
        <v>1542</v>
      </c>
      <c r="K289" s="1603" t="s">
        <v>1543</v>
      </c>
      <c r="L289" s="1628">
        <v>23377</v>
      </c>
    </row>
    <row r="290" spans="1:12" ht="15">
      <c r="A290" s="1604">
        <v>120</v>
      </c>
      <c r="B290" s="1605">
        <v>77252</v>
      </c>
      <c r="C290" s="1605" t="s">
        <v>1565</v>
      </c>
      <c r="D290" s="1605" t="s">
        <v>1566</v>
      </c>
      <c r="E290" s="1605" t="s">
        <v>1179</v>
      </c>
      <c r="F290" s="1605" t="s">
        <v>1180</v>
      </c>
      <c r="G290" s="1605" t="s">
        <v>1546</v>
      </c>
      <c r="H290" s="1605">
        <v>94347</v>
      </c>
      <c r="I290" s="1605">
        <v>98988</v>
      </c>
      <c r="J290" s="1605" t="s">
        <v>1567</v>
      </c>
      <c r="K290" s="1605" t="s">
        <v>1568</v>
      </c>
      <c r="L290" s="1626">
        <v>23392</v>
      </c>
    </row>
    <row r="291" spans="1:12" ht="15">
      <c r="A291" s="1604">
        <v>14</v>
      </c>
      <c r="B291" s="1605">
        <v>60824</v>
      </c>
      <c r="C291" s="1605" t="s">
        <v>1630</v>
      </c>
      <c r="D291" s="1605" t="s">
        <v>1631</v>
      </c>
      <c r="E291" s="1605" t="s">
        <v>1101</v>
      </c>
      <c r="F291" s="1605" t="s">
        <v>1102</v>
      </c>
      <c r="G291" s="1605" t="s">
        <v>1627</v>
      </c>
      <c r="H291" s="1605">
        <v>94347</v>
      </c>
      <c r="I291" s="1605">
        <v>98733</v>
      </c>
      <c r="J291" s="1608" t="s">
        <v>1632</v>
      </c>
      <c r="K291" s="1632" t="s">
        <v>1633</v>
      </c>
      <c r="L291" s="1630">
        <v>23411</v>
      </c>
    </row>
    <row r="292" spans="1:12" ht="15">
      <c r="A292" s="1602">
        <v>15</v>
      </c>
      <c r="B292" s="1603">
        <v>7138</v>
      </c>
      <c r="C292" s="1603" t="s">
        <v>1634</v>
      </c>
      <c r="D292" s="1603" t="s">
        <v>1635</v>
      </c>
      <c r="E292" s="1603" t="s">
        <v>1101</v>
      </c>
      <c r="F292" s="1603" t="s">
        <v>1102</v>
      </c>
      <c r="G292" s="1603" t="s">
        <v>1627</v>
      </c>
      <c r="H292" s="1603">
        <v>94347</v>
      </c>
      <c r="I292" s="1603">
        <v>98741</v>
      </c>
      <c r="J292" s="1607" t="s">
        <v>1636</v>
      </c>
      <c r="K292" s="1603" t="s">
        <v>1637</v>
      </c>
      <c r="L292" s="1629">
        <v>23514</v>
      </c>
    </row>
    <row r="293" spans="1:12" ht="15">
      <c r="A293" s="1604">
        <v>4</v>
      </c>
      <c r="B293" s="1605">
        <v>14589</v>
      </c>
      <c r="C293" s="1605" t="s">
        <v>1112</v>
      </c>
      <c r="D293" s="1605" t="s">
        <v>1113</v>
      </c>
      <c r="E293" s="1605" t="s">
        <v>1799</v>
      </c>
      <c r="F293" s="1605" t="s">
        <v>1115</v>
      </c>
      <c r="G293" s="1605" t="s">
        <v>1116</v>
      </c>
      <c r="H293" s="1605">
        <v>94347</v>
      </c>
      <c r="I293" s="1605">
        <v>7607</v>
      </c>
      <c r="J293" s="1608" t="s">
        <v>1117</v>
      </c>
      <c r="K293" s="1634" t="s">
        <v>1118</v>
      </c>
      <c r="L293" s="1630">
        <v>23522</v>
      </c>
    </row>
    <row r="294" spans="1:12" ht="15">
      <c r="A294" s="1604">
        <v>44</v>
      </c>
      <c r="B294" s="1605">
        <v>55185</v>
      </c>
      <c r="C294" s="1605" t="s">
        <v>1805</v>
      </c>
      <c r="D294" s="1605" t="s">
        <v>1806</v>
      </c>
      <c r="E294" s="1605" t="s">
        <v>1799</v>
      </c>
      <c r="F294" s="1605" t="s">
        <v>1115</v>
      </c>
      <c r="G294" s="1605" t="s">
        <v>1233</v>
      </c>
      <c r="H294" s="1623">
        <v>94347</v>
      </c>
      <c r="I294" s="1623">
        <v>98879</v>
      </c>
      <c r="J294" s="1608" t="s">
        <v>1807</v>
      </c>
      <c r="K294" s="1608" t="s">
        <v>1808</v>
      </c>
      <c r="L294" s="1626">
        <v>23566</v>
      </c>
    </row>
    <row r="295" spans="1:12" ht="15">
      <c r="A295" s="1604">
        <v>42</v>
      </c>
      <c r="B295" s="1605">
        <v>55096</v>
      </c>
      <c r="C295" s="1605" t="s">
        <v>1221</v>
      </c>
      <c r="D295" s="1605" t="s">
        <v>1222</v>
      </c>
      <c r="E295" s="1605" t="s">
        <v>1101</v>
      </c>
      <c r="F295" s="1605" t="s">
        <v>1102</v>
      </c>
      <c r="G295" s="1605" t="s">
        <v>1223</v>
      </c>
      <c r="H295" s="1605">
        <v>94347</v>
      </c>
      <c r="I295" s="1605">
        <v>98870</v>
      </c>
      <c r="J295" s="1605" t="s">
        <v>1224</v>
      </c>
      <c r="K295" s="1632" t="s">
        <v>1225</v>
      </c>
      <c r="L295" s="1630">
        <v>23783</v>
      </c>
    </row>
    <row r="296" spans="1:12" ht="15">
      <c r="A296" s="1604">
        <v>38</v>
      </c>
      <c r="B296" s="1605">
        <v>10572</v>
      </c>
      <c r="C296" s="1605" t="s">
        <v>1200</v>
      </c>
      <c r="D296" s="1605" t="s">
        <v>1201</v>
      </c>
      <c r="E296" s="1605" t="s">
        <v>1101</v>
      </c>
      <c r="F296" s="1605" t="s">
        <v>1102</v>
      </c>
      <c r="G296" s="1605" t="s">
        <v>1202</v>
      </c>
      <c r="H296" s="1605">
        <v>94347</v>
      </c>
      <c r="I296" s="1605">
        <v>98759</v>
      </c>
      <c r="J296" s="1605" t="s">
        <v>1203</v>
      </c>
      <c r="K296" s="1605" t="s">
        <v>1204</v>
      </c>
      <c r="L296" s="1626">
        <v>24140</v>
      </c>
    </row>
    <row r="297" spans="1:12" ht="15">
      <c r="A297" s="1604">
        <v>110</v>
      </c>
      <c r="B297" s="1605">
        <v>6157</v>
      </c>
      <c r="C297" s="1605" t="s">
        <v>1518</v>
      </c>
      <c r="D297" s="1605" t="s">
        <v>1519</v>
      </c>
      <c r="E297" s="1605" t="s">
        <v>1136</v>
      </c>
      <c r="F297" s="1605" t="s">
        <v>1102</v>
      </c>
      <c r="G297" s="1605" t="s">
        <v>1520</v>
      </c>
      <c r="H297" s="1605">
        <v>94347</v>
      </c>
      <c r="I297" s="1605">
        <v>98970</v>
      </c>
      <c r="J297" s="1605" t="s">
        <v>1521</v>
      </c>
      <c r="K297" s="1632" t="s">
        <v>1522</v>
      </c>
      <c r="L297" s="1630">
        <v>24170</v>
      </c>
    </row>
    <row r="298" spans="1:12" ht="15">
      <c r="A298" s="1604">
        <v>126</v>
      </c>
      <c r="B298" s="1605">
        <v>32699</v>
      </c>
      <c r="C298" s="1605" t="s">
        <v>1589</v>
      </c>
      <c r="D298" s="1605" t="s">
        <v>1590</v>
      </c>
      <c r="E298" s="1605" t="s">
        <v>1101</v>
      </c>
      <c r="F298" s="1605" t="s">
        <v>1102</v>
      </c>
      <c r="G298" s="1605" t="s">
        <v>1591</v>
      </c>
      <c r="H298" s="1605">
        <v>94347</v>
      </c>
      <c r="I298" s="1605">
        <v>98883</v>
      </c>
      <c r="J298" s="1605" t="s">
        <v>1592</v>
      </c>
      <c r="K298" s="1605" t="s">
        <v>1593</v>
      </c>
      <c r="L298" s="1626">
        <v>24202</v>
      </c>
    </row>
    <row r="299" spans="1:12" ht="15">
      <c r="A299" s="1604">
        <v>26</v>
      </c>
      <c r="B299" s="1605">
        <v>43033</v>
      </c>
      <c r="C299" s="1605" t="s">
        <v>1145</v>
      </c>
      <c r="D299" s="1605" t="s">
        <v>1146</v>
      </c>
      <c r="E299" s="1605" t="s">
        <v>1101</v>
      </c>
      <c r="F299" s="1605" t="s">
        <v>1102</v>
      </c>
      <c r="G299" s="1605" t="s">
        <v>1142</v>
      </c>
      <c r="H299" s="1605">
        <v>94347</v>
      </c>
      <c r="I299" s="1605">
        <v>98712</v>
      </c>
      <c r="J299" s="1605" t="s">
        <v>1147</v>
      </c>
      <c r="K299" s="1632" t="s">
        <v>1148</v>
      </c>
      <c r="L299" s="1630">
        <v>24234</v>
      </c>
    </row>
    <row r="300" spans="1:12" ht="15">
      <c r="A300" s="1604">
        <v>144</v>
      </c>
      <c r="B300" s="1605">
        <v>70563</v>
      </c>
      <c r="C300" s="1605" t="s">
        <v>1765</v>
      </c>
      <c r="D300" s="1605" t="s">
        <v>1766</v>
      </c>
      <c r="E300" s="1605" t="s">
        <v>1809</v>
      </c>
      <c r="F300" s="1605" t="s">
        <v>1166</v>
      </c>
      <c r="G300" s="1605" t="s">
        <v>1757</v>
      </c>
      <c r="H300" s="1605">
        <v>94347</v>
      </c>
      <c r="I300" s="1605">
        <v>98811</v>
      </c>
      <c r="J300" s="1605" t="s">
        <v>1768</v>
      </c>
      <c r="K300" s="1605" t="s">
        <v>1769</v>
      </c>
      <c r="L300" s="1626">
        <v>24387</v>
      </c>
    </row>
    <row r="301" spans="1:12" ht="15">
      <c r="A301" s="1604">
        <v>148</v>
      </c>
      <c r="B301" s="1605">
        <v>55092</v>
      </c>
      <c r="C301" s="1605" t="s">
        <v>1791</v>
      </c>
      <c r="D301" s="1605" t="s">
        <v>1792</v>
      </c>
      <c r="E301" s="1605" t="s">
        <v>1159</v>
      </c>
      <c r="F301" s="1605" t="s">
        <v>1160</v>
      </c>
      <c r="G301" s="1605" t="s">
        <v>1788</v>
      </c>
      <c r="H301" s="1605">
        <v>94347</v>
      </c>
      <c r="I301" s="1605">
        <v>98655</v>
      </c>
      <c r="J301" s="1605" t="s">
        <v>1793</v>
      </c>
      <c r="K301" s="1632" t="s">
        <v>1794</v>
      </c>
      <c r="L301" s="1630">
        <v>24398</v>
      </c>
    </row>
    <row r="302" spans="1:12" ht="15">
      <c r="A302" s="1604">
        <v>8</v>
      </c>
      <c r="B302" s="1605">
        <v>5763</v>
      </c>
      <c r="C302" s="1605" t="s">
        <v>1723</v>
      </c>
      <c r="D302" s="1605" t="s">
        <v>1724</v>
      </c>
      <c r="E302" s="1605" t="s">
        <v>1101</v>
      </c>
      <c r="F302" s="1605" t="s">
        <v>1102</v>
      </c>
      <c r="G302" s="1605" t="s">
        <v>1720</v>
      </c>
      <c r="H302" s="1605">
        <v>94347</v>
      </c>
      <c r="I302" s="1605">
        <v>98895</v>
      </c>
      <c r="J302" s="1608" t="s">
        <v>1725</v>
      </c>
      <c r="K302" s="1605" t="s">
        <v>1726</v>
      </c>
      <c r="L302" s="1626">
        <v>24418</v>
      </c>
    </row>
    <row r="303" spans="1:12" ht="15">
      <c r="A303" s="1604">
        <v>74</v>
      </c>
      <c r="B303" s="1605">
        <v>97004</v>
      </c>
      <c r="C303" s="1605" t="s">
        <v>1356</v>
      </c>
      <c r="D303" s="1605" t="s">
        <v>1357</v>
      </c>
      <c r="E303" s="1605" t="s">
        <v>1121</v>
      </c>
      <c r="F303" s="1605" t="s">
        <v>1122</v>
      </c>
      <c r="G303" s="1605" t="s">
        <v>1358</v>
      </c>
      <c r="H303" s="1605">
        <v>94347</v>
      </c>
      <c r="I303" s="1605">
        <v>98919</v>
      </c>
      <c r="J303" s="1605" t="s">
        <v>1359</v>
      </c>
      <c r="K303" s="1632" t="s">
        <v>1360</v>
      </c>
      <c r="L303" s="1633">
        <v>24425</v>
      </c>
    </row>
    <row r="304" spans="1:12" ht="15">
      <c r="A304" s="1604">
        <v>68</v>
      </c>
      <c r="B304" s="1605">
        <v>48204</v>
      </c>
      <c r="C304" s="1605" t="s">
        <v>1330</v>
      </c>
      <c r="D304" s="1605" t="s">
        <v>1331</v>
      </c>
      <c r="E304" s="1605" t="s">
        <v>1101</v>
      </c>
      <c r="F304" s="1605" t="s">
        <v>1102</v>
      </c>
      <c r="G304" s="1605" t="s">
        <v>1332</v>
      </c>
      <c r="H304" s="1605">
        <v>94347</v>
      </c>
      <c r="I304" s="1605">
        <v>98874</v>
      </c>
      <c r="J304" s="1608" t="s">
        <v>1810</v>
      </c>
      <c r="K304" s="1605" t="s">
        <v>1334</v>
      </c>
      <c r="L304" s="1635">
        <v>24437</v>
      </c>
    </row>
    <row r="305" spans="1:12" ht="15">
      <c r="A305" s="1604">
        <v>114</v>
      </c>
      <c r="B305" s="1605">
        <v>60146</v>
      </c>
      <c r="C305" s="1605" t="s">
        <v>1536</v>
      </c>
      <c r="D305" s="1605" t="s">
        <v>1537</v>
      </c>
      <c r="E305" s="1605" t="s">
        <v>1101</v>
      </c>
      <c r="F305" s="1605" t="s">
        <v>1102</v>
      </c>
      <c r="G305" s="1605" t="s">
        <v>1533</v>
      </c>
      <c r="H305" s="1605">
        <v>94347</v>
      </c>
      <c r="I305" s="1605">
        <v>98717</v>
      </c>
      <c r="J305" s="1605" t="s">
        <v>1538</v>
      </c>
      <c r="K305" s="1632" t="s">
        <v>1539</v>
      </c>
      <c r="L305" s="1630">
        <v>24472</v>
      </c>
    </row>
    <row r="306" spans="1:12" ht="15">
      <c r="A306" s="1604">
        <v>96</v>
      </c>
      <c r="B306" s="1605">
        <v>62783</v>
      </c>
      <c r="C306" s="1605" t="s">
        <v>1459</v>
      </c>
      <c r="D306" s="1605" t="s">
        <v>1460</v>
      </c>
      <c r="E306" s="1605" t="s">
        <v>1136</v>
      </c>
      <c r="F306" s="1605" t="s">
        <v>1102</v>
      </c>
      <c r="G306" s="1605" t="s">
        <v>1461</v>
      </c>
      <c r="H306" s="1605">
        <v>94347</v>
      </c>
      <c r="I306" s="1605">
        <v>98875</v>
      </c>
      <c r="J306" s="1605" t="s">
        <v>1462</v>
      </c>
      <c r="K306" s="1605" t="s">
        <v>1463</v>
      </c>
      <c r="L306" s="1626">
        <v>24518</v>
      </c>
    </row>
    <row r="307" spans="1:12" ht="15">
      <c r="A307" s="1604">
        <v>106</v>
      </c>
      <c r="B307" s="1605">
        <v>14592</v>
      </c>
      <c r="C307" s="1605" t="s">
        <v>1502</v>
      </c>
      <c r="D307" s="1605" t="s">
        <v>1503</v>
      </c>
      <c r="E307" s="1605" t="s">
        <v>1101</v>
      </c>
      <c r="F307" s="1605" t="s">
        <v>1102</v>
      </c>
      <c r="G307" s="1605" t="s">
        <v>1499</v>
      </c>
      <c r="H307" s="1605">
        <v>94347</v>
      </c>
      <c r="I307" s="1605">
        <v>98890</v>
      </c>
      <c r="J307" s="1605" t="s">
        <v>1504</v>
      </c>
      <c r="K307" s="1632" t="s">
        <v>1505</v>
      </c>
      <c r="L307" s="1630">
        <v>24539</v>
      </c>
    </row>
    <row r="308" spans="1:12" ht="15">
      <c r="A308" s="1604">
        <v>30</v>
      </c>
      <c r="B308" s="1605">
        <v>12653</v>
      </c>
      <c r="C308" s="1605" t="s">
        <v>1163</v>
      </c>
      <c r="D308" s="1605" t="s">
        <v>1164</v>
      </c>
      <c r="E308" s="1605" t="s">
        <v>1159</v>
      </c>
      <c r="F308" s="1605" t="s">
        <v>1160</v>
      </c>
      <c r="G308" s="1605" t="s">
        <v>1142</v>
      </c>
      <c r="H308" s="1605">
        <v>94347</v>
      </c>
      <c r="I308" s="1605">
        <v>98762</v>
      </c>
      <c r="J308" s="1605" t="s">
        <v>1167</v>
      </c>
      <c r="K308" s="1605" t="s">
        <v>1168</v>
      </c>
      <c r="L308" s="1626">
        <v>24576</v>
      </c>
    </row>
    <row r="309" spans="1:12" ht="15">
      <c r="A309" s="1602">
        <v>51</v>
      </c>
      <c r="B309" s="1603">
        <v>60118</v>
      </c>
      <c r="C309" s="1603" t="s">
        <v>1256</v>
      </c>
      <c r="D309" s="1603" t="s">
        <v>1257</v>
      </c>
      <c r="E309" s="1603" t="s">
        <v>1136</v>
      </c>
      <c r="F309" s="1603" t="s">
        <v>1102</v>
      </c>
      <c r="G309" s="1603" t="s">
        <v>1258</v>
      </c>
      <c r="H309" s="1603">
        <v>94347</v>
      </c>
      <c r="I309" s="1603">
        <v>98852</v>
      </c>
      <c r="J309" s="1603" t="s">
        <v>1259</v>
      </c>
      <c r="K309" s="1627" t="s">
        <v>1260</v>
      </c>
      <c r="L309" s="1628">
        <v>24586</v>
      </c>
    </row>
    <row r="310" spans="1:12" ht="15">
      <c r="A310" s="1604">
        <v>90</v>
      </c>
      <c r="B310" s="1605">
        <v>56417</v>
      </c>
      <c r="C310" s="1605" t="s">
        <v>1428</v>
      </c>
      <c r="D310" s="1605" t="s">
        <v>1429</v>
      </c>
      <c r="E310" s="1605" t="s">
        <v>1101</v>
      </c>
      <c r="F310" s="1605" t="s">
        <v>1102</v>
      </c>
      <c r="G310" s="1605" t="s">
        <v>1430</v>
      </c>
      <c r="H310" s="1605">
        <v>94347</v>
      </c>
      <c r="I310" s="1605">
        <v>91357</v>
      </c>
      <c r="J310" s="1605" t="s">
        <v>1431</v>
      </c>
      <c r="K310" s="1605" t="s">
        <v>1432</v>
      </c>
      <c r="L310" s="1635">
        <v>24597</v>
      </c>
    </row>
    <row r="311" spans="1:12" ht="15">
      <c r="A311" s="1602">
        <v>125</v>
      </c>
      <c r="B311" s="1603">
        <v>99060</v>
      </c>
      <c r="C311" s="1603" t="s">
        <v>1585</v>
      </c>
      <c r="D311" s="1603" t="s">
        <v>1586</v>
      </c>
      <c r="E311" s="1603" t="s">
        <v>1108</v>
      </c>
      <c r="F311" s="1603" t="s">
        <v>1109</v>
      </c>
      <c r="G311" s="1603" t="s">
        <v>1546</v>
      </c>
      <c r="H311" s="1603">
        <v>94347</v>
      </c>
      <c r="I311" s="1603">
        <v>7601</v>
      </c>
      <c r="J311" s="1603" t="s">
        <v>1587</v>
      </c>
      <c r="K311" s="1627" t="s">
        <v>1588</v>
      </c>
      <c r="L311" s="1628">
        <v>24614</v>
      </c>
    </row>
    <row r="312" spans="1:12" ht="15">
      <c r="A312" s="1602">
        <v>101</v>
      </c>
      <c r="B312" s="1603">
        <v>33034</v>
      </c>
      <c r="C312" s="1603" t="s">
        <v>1482</v>
      </c>
      <c r="D312" s="1603" t="s">
        <v>760</v>
      </c>
      <c r="E312" s="1603" t="s">
        <v>1121</v>
      </c>
      <c r="F312" s="1603" t="s">
        <v>1122</v>
      </c>
      <c r="G312" s="1603" t="s">
        <v>1811</v>
      </c>
      <c r="H312" s="1603">
        <v>94347</v>
      </c>
      <c r="I312" s="1603">
        <v>98959</v>
      </c>
      <c r="J312" s="1603" t="s">
        <v>1483</v>
      </c>
      <c r="K312" s="1603" t="s">
        <v>1484</v>
      </c>
      <c r="L312" s="1629">
        <v>24623</v>
      </c>
    </row>
    <row r="313" spans="1:12" ht="15">
      <c r="A313" s="1602">
        <v>23</v>
      </c>
      <c r="B313" s="1603">
        <v>48988</v>
      </c>
      <c r="C313" s="1603" t="s">
        <v>1666</v>
      </c>
      <c r="D313" s="1603" t="s">
        <v>1667</v>
      </c>
      <c r="E313" s="1603" t="s">
        <v>1179</v>
      </c>
      <c r="F313" s="1603" t="s">
        <v>1180</v>
      </c>
      <c r="G313" s="1603" t="s">
        <v>1627</v>
      </c>
      <c r="H313" s="1603">
        <v>94347</v>
      </c>
      <c r="I313" s="1603">
        <v>98896</v>
      </c>
      <c r="J313" s="1603" t="s">
        <v>1668</v>
      </c>
      <c r="K313" s="1627" t="s">
        <v>1669</v>
      </c>
      <c r="L313" s="1628">
        <v>24628</v>
      </c>
    </row>
    <row r="314" spans="1:12" ht="15">
      <c r="A314" s="1604">
        <v>102</v>
      </c>
      <c r="B314" s="1605">
        <v>55118</v>
      </c>
      <c r="C314" s="1605" t="s">
        <v>1485</v>
      </c>
      <c r="D314" s="1605" t="s">
        <v>756</v>
      </c>
      <c r="E314" s="1605" t="s">
        <v>1121</v>
      </c>
      <c r="F314" s="1605" t="s">
        <v>1122</v>
      </c>
      <c r="G314" s="1605" t="s">
        <v>1479</v>
      </c>
      <c r="H314" s="1605">
        <v>94347</v>
      </c>
      <c r="I314" s="1605">
        <v>98787</v>
      </c>
      <c r="J314" s="1605" t="s">
        <v>1486</v>
      </c>
      <c r="K314" s="1605" t="s">
        <v>1487</v>
      </c>
      <c r="L314" s="1626">
        <v>24654</v>
      </c>
    </row>
    <row r="315" spans="1:12" ht="15">
      <c r="A315" s="1602">
        <v>41</v>
      </c>
      <c r="B315" s="1603">
        <v>86251</v>
      </c>
      <c r="C315" s="1603" t="s">
        <v>1217</v>
      </c>
      <c r="D315" s="1603" t="s">
        <v>1218</v>
      </c>
      <c r="E315" s="1603" t="s">
        <v>1165</v>
      </c>
      <c r="F315" s="1603" t="s">
        <v>1166</v>
      </c>
      <c r="G315" s="1603" t="s">
        <v>1202</v>
      </c>
      <c r="H315" s="1603">
        <v>94347</v>
      </c>
      <c r="I315" s="1603">
        <v>98633</v>
      </c>
      <c r="J315" s="1603" t="s">
        <v>1219</v>
      </c>
      <c r="K315" s="1627" t="s">
        <v>1220</v>
      </c>
      <c r="L315" s="1628">
        <v>24698</v>
      </c>
    </row>
    <row r="316" spans="1:12" ht="15">
      <c r="A316" s="1602">
        <v>63</v>
      </c>
      <c r="B316" s="1603">
        <v>98704</v>
      </c>
      <c r="C316" s="1603" t="s">
        <v>1310</v>
      </c>
      <c r="D316" s="1603" t="s">
        <v>1311</v>
      </c>
      <c r="E316" s="1603" t="s">
        <v>1121</v>
      </c>
      <c r="F316" s="1603" t="s">
        <v>1122</v>
      </c>
      <c r="G316" s="1603" t="s">
        <v>1307</v>
      </c>
      <c r="H316" s="1603">
        <v>94347</v>
      </c>
      <c r="I316" s="1603">
        <v>98865</v>
      </c>
      <c r="J316" s="1603" t="s">
        <v>1312</v>
      </c>
      <c r="K316" s="1603" t="s">
        <v>1313</v>
      </c>
      <c r="L316" s="1629">
        <v>24755</v>
      </c>
    </row>
    <row r="317" spans="1:12" ht="15">
      <c r="A317" s="1602">
        <v>27</v>
      </c>
      <c r="B317" s="1603">
        <v>86452</v>
      </c>
      <c r="C317" s="1603" t="s">
        <v>1153</v>
      </c>
      <c r="D317" s="1603" t="s">
        <v>1154</v>
      </c>
      <c r="E317" s="1603" t="s">
        <v>1101</v>
      </c>
      <c r="F317" s="1603" t="s">
        <v>1102</v>
      </c>
      <c r="G317" s="1603" t="s">
        <v>1142</v>
      </c>
      <c r="H317" s="1603">
        <v>94347</v>
      </c>
      <c r="I317" s="1603">
        <v>98785</v>
      </c>
      <c r="J317" s="1603" t="s">
        <v>1155</v>
      </c>
      <c r="K317" s="1627" t="s">
        <v>1156</v>
      </c>
      <c r="L317" s="1628">
        <v>24774</v>
      </c>
    </row>
    <row r="318" spans="1:12" ht="15">
      <c r="A318" s="1602">
        <v>55</v>
      </c>
      <c r="B318" s="1603">
        <v>58640</v>
      </c>
      <c r="C318" s="1603" t="s">
        <v>1273</v>
      </c>
      <c r="D318" s="1603" t="s">
        <v>1274</v>
      </c>
      <c r="E318" s="1603" t="s">
        <v>1179</v>
      </c>
      <c r="F318" s="1603" t="s">
        <v>1180</v>
      </c>
      <c r="G318" s="1603" t="s">
        <v>784</v>
      </c>
      <c r="H318" s="1603">
        <v>94347</v>
      </c>
      <c r="I318" s="1603">
        <v>98969</v>
      </c>
      <c r="J318" s="1603" t="s">
        <v>1275</v>
      </c>
      <c r="K318" s="1603" t="s">
        <v>1276</v>
      </c>
      <c r="L318" s="1629">
        <v>24789</v>
      </c>
    </row>
    <row r="319" spans="1:12" ht="15">
      <c r="A319" s="1604">
        <v>62</v>
      </c>
      <c r="B319" s="1605">
        <v>70557</v>
      </c>
      <c r="C319" s="1605" t="s">
        <v>1305</v>
      </c>
      <c r="D319" s="1605" t="s">
        <v>1306</v>
      </c>
      <c r="E319" s="1605" t="s">
        <v>1101</v>
      </c>
      <c r="F319" s="1605" t="s">
        <v>1102</v>
      </c>
      <c r="G319" s="1605" t="s">
        <v>1307</v>
      </c>
      <c r="H319" s="1605">
        <v>94347</v>
      </c>
      <c r="I319" s="1605">
        <v>98832</v>
      </c>
      <c r="J319" s="1605" t="s">
        <v>1308</v>
      </c>
      <c r="K319" s="1632" t="s">
        <v>1309</v>
      </c>
      <c r="L319" s="1630">
        <v>24794</v>
      </c>
    </row>
    <row r="320" spans="1:12" ht="15">
      <c r="A320" s="1602">
        <v>25</v>
      </c>
      <c r="B320" s="1603">
        <v>44438</v>
      </c>
      <c r="C320" s="1603" t="s">
        <v>1140</v>
      </c>
      <c r="D320" s="1603" t="s">
        <v>1141</v>
      </c>
      <c r="E320" s="1603" t="s">
        <v>1136</v>
      </c>
      <c r="F320" s="1603" t="s">
        <v>1102</v>
      </c>
      <c r="G320" s="1603" t="s">
        <v>1137</v>
      </c>
      <c r="H320" s="1603">
        <v>94347</v>
      </c>
      <c r="I320" s="1603">
        <v>98701</v>
      </c>
      <c r="J320" s="1603" t="s">
        <v>1143</v>
      </c>
      <c r="K320" s="1607" t="s">
        <v>1144</v>
      </c>
      <c r="L320" s="1629">
        <v>24813</v>
      </c>
    </row>
    <row r="321" spans="1:12" ht="15">
      <c r="A321" s="1602">
        <v>113</v>
      </c>
      <c r="B321" s="1603">
        <v>15486</v>
      </c>
      <c r="C321" s="1603" t="s">
        <v>1531</v>
      </c>
      <c r="D321" s="1603" t="s">
        <v>1532</v>
      </c>
      <c r="E321" s="1603" t="s">
        <v>1136</v>
      </c>
      <c r="F321" s="1603" t="s">
        <v>1102</v>
      </c>
      <c r="G321" s="1603" t="s">
        <v>1533</v>
      </c>
      <c r="H321" s="1617">
        <v>94347</v>
      </c>
      <c r="I321" s="1617">
        <v>91686</v>
      </c>
      <c r="J321" s="1617" t="s">
        <v>1534</v>
      </c>
      <c r="K321" s="1603" t="s">
        <v>1535</v>
      </c>
      <c r="L321" s="1628">
        <v>24841</v>
      </c>
    </row>
    <row r="322" spans="1:12" ht="15">
      <c r="A322" s="1602">
        <v>73</v>
      </c>
      <c r="B322" s="1603">
        <v>53042</v>
      </c>
      <c r="C322" s="1603" t="s">
        <v>1351</v>
      </c>
      <c r="D322" s="1603" t="s">
        <v>1352</v>
      </c>
      <c r="E322" s="1603" t="s">
        <v>1101</v>
      </c>
      <c r="F322" s="1603" t="s">
        <v>1102</v>
      </c>
      <c r="G322" s="1603" t="s">
        <v>1353</v>
      </c>
      <c r="H322" s="1603">
        <v>94347</v>
      </c>
      <c r="I322" s="1603">
        <v>98750</v>
      </c>
      <c r="J322" s="1603" t="s">
        <v>1354</v>
      </c>
      <c r="K322" s="1603" t="s">
        <v>1355</v>
      </c>
      <c r="L322" s="1636">
        <v>24874</v>
      </c>
    </row>
    <row r="323" spans="1:12" ht="15">
      <c r="A323" s="1604">
        <v>100</v>
      </c>
      <c r="B323" s="1605">
        <v>64884</v>
      </c>
      <c r="C323" s="1605" t="s">
        <v>1477</v>
      </c>
      <c r="D323" s="1605" t="s">
        <v>1478</v>
      </c>
      <c r="E323" s="1605" t="s">
        <v>1136</v>
      </c>
      <c r="F323" s="1605" t="s">
        <v>1102</v>
      </c>
      <c r="G323" s="1605" t="s">
        <v>1479</v>
      </c>
      <c r="H323" s="1605">
        <v>94347</v>
      </c>
      <c r="I323" s="1605">
        <v>98931</v>
      </c>
      <c r="J323" s="1605" t="s">
        <v>1480</v>
      </c>
      <c r="K323" s="1632" t="s">
        <v>1481</v>
      </c>
      <c r="L323" s="1630">
        <v>24887</v>
      </c>
    </row>
    <row r="324" spans="1:12" ht="15">
      <c r="A324" s="1602">
        <v>129</v>
      </c>
      <c r="B324" s="1603">
        <v>99116</v>
      </c>
      <c r="C324" s="1603" t="s">
        <v>1608</v>
      </c>
      <c r="D324" s="1603" t="s">
        <v>1609</v>
      </c>
      <c r="E324" s="1603" t="s">
        <v>1101</v>
      </c>
      <c r="F324" s="1603" t="s">
        <v>1102</v>
      </c>
      <c r="G324" s="1603" t="s">
        <v>1610</v>
      </c>
      <c r="H324" s="1603">
        <v>94347</v>
      </c>
      <c r="I324" s="1603">
        <v>98732</v>
      </c>
      <c r="J324" s="1617" t="s">
        <v>1611</v>
      </c>
      <c r="K324" s="1603" t="s">
        <v>1612</v>
      </c>
      <c r="L324" s="1637">
        <v>24947</v>
      </c>
    </row>
    <row r="325" spans="1:12" ht="15">
      <c r="A325" s="1602">
        <v>13</v>
      </c>
      <c r="B325" s="1603">
        <v>30404</v>
      </c>
      <c r="C325" s="1603" t="s">
        <v>1625</v>
      </c>
      <c r="D325" s="1603" t="s">
        <v>1626</v>
      </c>
      <c r="E325" s="1603" t="s">
        <v>1136</v>
      </c>
      <c r="F325" s="1603" t="s">
        <v>1102</v>
      </c>
      <c r="G325" s="1603" t="s">
        <v>1627</v>
      </c>
      <c r="H325" s="1603">
        <v>94347</v>
      </c>
      <c r="I325" s="1603">
        <v>98643</v>
      </c>
      <c r="J325" s="1607" t="s">
        <v>1628</v>
      </c>
      <c r="K325" s="1627" t="s">
        <v>1629</v>
      </c>
      <c r="L325" s="1628">
        <v>24965</v>
      </c>
    </row>
    <row r="326" spans="1:12" ht="15">
      <c r="A326" s="1602">
        <v>87</v>
      </c>
      <c r="B326" s="1603">
        <v>99461</v>
      </c>
      <c r="C326" s="1603" t="s">
        <v>1407</v>
      </c>
      <c r="D326" s="1603" t="s">
        <v>1408</v>
      </c>
      <c r="E326" s="1603" t="s">
        <v>1101</v>
      </c>
      <c r="F326" s="1603" t="s">
        <v>1102</v>
      </c>
      <c r="G326" s="1603" t="s">
        <v>1409</v>
      </c>
      <c r="H326" s="1603">
        <v>94347</v>
      </c>
      <c r="I326" s="1603">
        <v>98719</v>
      </c>
      <c r="J326" s="1603" t="s">
        <v>1410</v>
      </c>
      <c r="K326" s="1603" t="s">
        <v>1411</v>
      </c>
      <c r="L326" s="1629">
        <v>24968</v>
      </c>
    </row>
    <row r="327" spans="1:12" ht="15">
      <c r="A327" s="1602">
        <v>111</v>
      </c>
      <c r="B327" s="1603">
        <v>48789</v>
      </c>
      <c r="C327" s="1603" t="s">
        <v>1523</v>
      </c>
      <c r="D327" s="1603" t="s">
        <v>1524</v>
      </c>
      <c r="E327" s="1603" t="s">
        <v>1101</v>
      </c>
      <c r="F327" s="1603" t="s">
        <v>1102</v>
      </c>
      <c r="G327" s="1603" t="s">
        <v>1520</v>
      </c>
      <c r="H327" s="1603">
        <v>94347</v>
      </c>
      <c r="I327" s="1603">
        <v>98736</v>
      </c>
      <c r="J327" s="1603" t="s">
        <v>1525</v>
      </c>
      <c r="K327" s="1627" t="s">
        <v>1526</v>
      </c>
      <c r="L327" s="1628">
        <v>24999</v>
      </c>
    </row>
    <row r="328" spans="1:12" ht="15">
      <c r="A328" s="1604">
        <v>116</v>
      </c>
      <c r="B328" s="1605">
        <v>78514</v>
      </c>
      <c r="C328" s="1605" t="s">
        <v>1544</v>
      </c>
      <c r="D328" s="1605" t="s">
        <v>1545</v>
      </c>
      <c r="E328" s="1605" t="s">
        <v>1136</v>
      </c>
      <c r="F328" s="1605" t="s">
        <v>1102</v>
      </c>
      <c r="G328" s="1605" t="s">
        <v>1546</v>
      </c>
      <c r="H328" s="1605">
        <v>94347</v>
      </c>
      <c r="I328" s="1605">
        <v>98724</v>
      </c>
      <c r="J328" s="1605" t="s">
        <v>1547</v>
      </c>
      <c r="K328" s="1605" t="s">
        <v>1548</v>
      </c>
      <c r="L328" s="1626">
        <v>25011</v>
      </c>
    </row>
    <row r="329" spans="1:12" ht="15">
      <c r="A329" s="1604">
        <v>2</v>
      </c>
      <c r="B329" s="1605">
        <v>77002</v>
      </c>
      <c r="C329" s="1605" t="s">
        <v>1099</v>
      </c>
      <c r="D329" s="1605" t="s">
        <v>1100</v>
      </c>
      <c r="E329" s="1605" t="s">
        <v>1101</v>
      </c>
      <c r="F329" s="1605" t="s">
        <v>1102</v>
      </c>
      <c r="G329" s="1605" t="s">
        <v>1103</v>
      </c>
      <c r="H329" s="1605">
        <v>94347</v>
      </c>
      <c r="I329" s="1605">
        <v>98691</v>
      </c>
      <c r="J329" s="1608" t="s">
        <v>1104</v>
      </c>
      <c r="K329" s="1605" t="s">
        <v>1105</v>
      </c>
      <c r="L329" s="1630">
        <v>25024</v>
      </c>
    </row>
    <row r="330" spans="1:12" ht="15">
      <c r="A330" s="1602">
        <v>117</v>
      </c>
      <c r="B330" s="1603">
        <v>7141</v>
      </c>
      <c r="C330" s="1603" t="s">
        <v>1549</v>
      </c>
      <c r="D330" s="1603" t="s">
        <v>1550</v>
      </c>
      <c r="E330" s="1603" t="s">
        <v>1101</v>
      </c>
      <c r="F330" s="1603" t="s">
        <v>1102</v>
      </c>
      <c r="G330" s="1603" t="s">
        <v>1546</v>
      </c>
      <c r="H330" s="1603">
        <v>94347</v>
      </c>
      <c r="I330" s="1603">
        <v>98709</v>
      </c>
      <c r="J330" s="1603" t="s">
        <v>1551</v>
      </c>
      <c r="K330" s="1603" t="s">
        <v>1552</v>
      </c>
      <c r="L330" s="1629">
        <v>25078</v>
      </c>
    </row>
    <row r="331" spans="1:12" ht="15">
      <c r="A331" s="1604">
        <v>76</v>
      </c>
      <c r="B331" s="1605">
        <v>99901</v>
      </c>
      <c r="C331" s="1605" t="s">
        <v>1455</v>
      </c>
      <c r="D331" s="1605" t="s">
        <v>1456</v>
      </c>
      <c r="E331" s="1605" t="s">
        <v>1101</v>
      </c>
      <c r="F331" s="1605" t="s">
        <v>1102</v>
      </c>
      <c r="G331" s="1605" t="s">
        <v>1367</v>
      </c>
      <c r="H331" s="1605">
        <v>94347</v>
      </c>
      <c r="I331" s="1605">
        <v>98720</v>
      </c>
      <c r="J331" s="1605" t="s">
        <v>1457</v>
      </c>
      <c r="K331" s="1632" t="s">
        <v>1458</v>
      </c>
      <c r="L331" s="1630">
        <v>25081</v>
      </c>
    </row>
    <row r="332" spans="1:12" ht="15">
      <c r="A332" s="1604">
        <v>134</v>
      </c>
      <c r="B332" s="1605">
        <v>91039</v>
      </c>
      <c r="C332" s="1605" t="s">
        <v>1679</v>
      </c>
      <c r="D332" s="1605" t="s">
        <v>1680</v>
      </c>
      <c r="E332" s="1605" t="s">
        <v>1136</v>
      </c>
      <c r="F332" s="1605" t="s">
        <v>1102</v>
      </c>
      <c r="G332" s="1605" t="s">
        <v>1681</v>
      </c>
      <c r="H332" s="1605">
        <v>94347</v>
      </c>
      <c r="I332" s="1605">
        <v>98727</v>
      </c>
      <c r="J332" s="1605" t="s">
        <v>1683</v>
      </c>
      <c r="K332" s="1605" t="s">
        <v>1683</v>
      </c>
      <c r="L332" s="1626">
        <v>25126</v>
      </c>
    </row>
    <row r="333" spans="1:12" ht="15">
      <c r="A333" s="1602">
        <v>43</v>
      </c>
      <c r="B333" s="1603">
        <v>32999</v>
      </c>
      <c r="C333" s="1603" t="s">
        <v>1226</v>
      </c>
      <c r="D333" s="1603" t="s">
        <v>1227</v>
      </c>
      <c r="E333" s="1603" t="s">
        <v>1101</v>
      </c>
      <c r="F333" s="1603" t="s">
        <v>1102</v>
      </c>
      <c r="G333" s="1603" t="s">
        <v>1228</v>
      </c>
      <c r="H333" s="1603">
        <v>94347</v>
      </c>
      <c r="I333" s="1603">
        <v>98808</v>
      </c>
      <c r="J333" s="1603" t="s">
        <v>1229</v>
      </c>
      <c r="K333" s="1627" t="s">
        <v>1230</v>
      </c>
      <c r="L333" s="1628">
        <v>25171</v>
      </c>
    </row>
    <row r="334" spans="1:12" ht="15">
      <c r="A334" s="1604">
        <v>118</v>
      </c>
      <c r="B334" s="1605">
        <v>55119</v>
      </c>
      <c r="C334" s="1605" t="s">
        <v>1557</v>
      </c>
      <c r="D334" s="1605" t="s">
        <v>1558</v>
      </c>
      <c r="E334" s="1605" t="s">
        <v>1165</v>
      </c>
      <c r="F334" s="1605" t="s">
        <v>1166</v>
      </c>
      <c r="G334" s="1605" t="s">
        <v>1546</v>
      </c>
      <c r="H334" s="1605">
        <v>94347</v>
      </c>
      <c r="I334" s="1605">
        <v>98687</v>
      </c>
      <c r="J334" s="1605" t="s">
        <v>1559</v>
      </c>
      <c r="K334" s="1605" t="s">
        <v>1560</v>
      </c>
      <c r="L334" s="1626">
        <v>25196</v>
      </c>
    </row>
    <row r="335" spans="1:12" ht="15">
      <c r="A335" s="1602">
        <v>1</v>
      </c>
      <c r="B335" s="1603">
        <v>89452</v>
      </c>
      <c r="C335" s="1603" t="s">
        <v>1092</v>
      </c>
      <c r="D335" s="1603" t="s">
        <v>1093</v>
      </c>
      <c r="E335" s="1603" t="s">
        <v>1094</v>
      </c>
      <c r="F335" s="1603" t="s">
        <v>1095</v>
      </c>
      <c r="G335" s="1603" t="s">
        <v>1096</v>
      </c>
      <c r="H335" s="1603">
        <v>94347</v>
      </c>
      <c r="I335" s="1603">
        <v>7608</v>
      </c>
      <c r="J335" s="1607" t="s">
        <v>1097</v>
      </c>
      <c r="K335" s="1627" t="s">
        <v>1098</v>
      </c>
      <c r="L335" s="1628">
        <v>25274</v>
      </c>
    </row>
    <row r="336" spans="1:12" ht="15">
      <c r="A336" s="1604">
        <v>130</v>
      </c>
      <c r="B336" s="1605">
        <v>55178</v>
      </c>
      <c r="C336" s="1605" t="s">
        <v>1613</v>
      </c>
      <c r="D336" s="1605" t="s">
        <v>1614</v>
      </c>
      <c r="E336" s="1605" t="s">
        <v>1101</v>
      </c>
      <c r="F336" s="1605" t="s">
        <v>1102</v>
      </c>
      <c r="G336" s="1605" t="s">
        <v>1610</v>
      </c>
      <c r="H336" s="1605">
        <v>94347</v>
      </c>
      <c r="I336" s="1605">
        <v>98756</v>
      </c>
      <c r="J336" s="1605" t="s">
        <v>1615</v>
      </c>
      <c r="K336" s="1605" t="s">
        <v>1616</v>
      </c>
      <c r="L336" s="1626">
        <v>25357</v>
      </c>
    </row>
    <row r="337" spans="1:12" ht="15">
      <c r="A337" s="1604">
        <v>10</v>
      </c>
      <c r="B337" s="1605">
        <v>76552</v>
      </c>
      <c r="C337" s="1605" t="s">
        <v>1736</v>
      </c>
      <c r="D337" s="1605" t="s">
        <v>1737</v>
      </c>
      <c r="E337" s="1605" t="s">
        <v>1165</v>
      </c>
      <c r="F337" s="1605" t="s">
        <v>1166</v>
      </c>
      <c r="G337" s="1605" t="s">
        <v>1720</v>
      </c>
      <c r="H337" s="1605">
        <v>94347</v>
      </c>
      <c r="I337" s="1605">
        <v>98844</v>
      </c>
      <c r="J337" s="1608" t="s">
        <v>1738</v>
      </c>
      <c r="K337" s="1632" t="s">
        <v>1739</v>
      </c>
      <c r="L337" s="1630">
        <v>25364</v>
      </c>
    </row>
    <row r="338" spans="1:12" ht="15">
      <c r="A338" s="1602">
        <v>17</v>
      </c>
      <c r="B338" s="1603">
        <v>63346</v>
      </c>
      <c r="C338" s="1603" t="s">
        <v>1646</v>
      </c>
      <c r="D338" s="1603" t="s">
        <v>1647</v>
      </c>
      <c r="E338" s="1603" t="s">
        <v>1101</v>
      </c>
      <c r="F338" s="1603" t="s">
        <v>1102</v>
      </c>
      <c r="G338" s="1603" t="s">
        <v>1627</v>
      </c>
      <c r="H338" s="1603">
        <v>94347</v>
      </c>
      <c r="I338" s="1603">
        <v>98942</v>
      </c>
      <c r="J338" s="1603" t="s">
        <v>1648</v>
      </c>
      <c r="K338" s="1603" t="s">
        <v>1649</v>
      </c>
      <c r="L338" s="1629">
        <v>25417</v>
      </c>
    </row>
    <row r="339" spans="1:12" ht="15">
      <c r="A339" s="1602">
        <v>9</v>
      </c>
      <c r="B339" s="1603">
        <v>31175</v>
      </c>
      <c r="C339" s="1603" t="s">
        <v>1727</v>
      </c>
      <c r="D339" s="1603" t="s">
        <v>1728</v>
      </c>
      <c r="E339" s="1603" t="s">
        <v>1159</v>
      </c>
      <c r="F339" s="1603" t="s">
        <v>1160</v>
      </c>
      <c r="G339" s="1603" t="s">
        <v>1720</v>
      </c>
      <c r="H339" s="1603">
        <v>94347</v>
      </c>
      <c r="I339" s="1603">
        <v>98937</v>
      </c>
      <c r="J339" s="1607" t="s">
        <v>1729</v>
      </c>
      <c r="K339" s="1627" t="s">
        <v>1730</v>
      </c>
      <c r="L339" s="1628">
        <v>25508</v>
      </c>
    </row>
    <row r="340" spans="1:12" ht="15">
      <c r="A340" s="1602">
        <v>139</v>
      </c>
      <c r="B340" s="1603">
        <v>57661</v>
      </c>
      <c r="C340" s="1603" t="s">
        <v>1705</v>
      </c>
      <c r="D340" s="1603" t="s">
        <v>1706</v>
      </c>
      <c r="E340" s="1603" t="s">
        <v>1101</v>
      </c>
      <c r="F340" s="1603" t="s">
        <v>1102</v>
      </c>
      <c r="G340" s="1603" t="s">
        <v>1707</v>
      </c>
      <c r="H340" s="1603">
        <v>94347</v>
      </c>
      <c r="I340" s="1603">
        <v>98770</v>
      </c>
      <c r="J340" s="1603" t="s">
        <v>1708</v>
      </c>
      <c r="K340" s="1603" t="s">
        <v>1709</v>
      </c>
      <c r="L340" s="1629">
        <v>25528</v>
      </c>
    </row>
    <row r="341" spans="1:12" ht="15">
      <c r="A341" s="1602">
        <v>91</v>
      </c>
      <c r="B341" s="1603">
        <v>4139</v>
      </c>
      <c r="C341" s="1603" t="s">
        <v>1433</v>
      </c>
      <c r="D341" s="1603" t="s">
        <v>1434</v>
      </c>
      <c r="E341" s="1603" t="s">
        <v>1165</v>
      </c>
      <c r="F341" s="1603" t="s">
        <v>1166</v>
      </c>
      <c r="G341" s="1603" t="s">
        <v>1430</v>
      </c>
      <c r="H341" s="1603">
        <v>94347</v>
      </c>
      <c r="I341" s="1603">
        <v>98689</v>
      </c>
      <c r="J341" s="1603" t="s">
        <v>1435</v>
      </c>
      <c r="K341" s="1627" t="s">
        <v>1436</v>
      </c>
      <c r="L341" s="1628">
        <v>25531</v>
      </c>
    </row>
    <row r="342" spans="1:12" ht="15">
      <c r="A342" s="1602">
        <v>119</v>
      </c>
      <c r="B342" s="1603">
        <v>53603</v>
      </c>
      <c r="C342" s="1603" t="s">
        <v>1561</v>
      </c>
      <c r="D342" s="1603" t="s">
        <v>1562</v>
      </c>
      <c r="E342" s="1603" t="s">
        <v>1165</v>
      </c>
      <c r="F342" s="1603" t="s">
        <v>1166</v>
      </c>
      <c r="G342" s="1603" t="s">
        <v>1546</v>
      </c>
      <c r="H342" s="1603">
        <v>94347</v>
      </c>
      <c r="I342" s="1603">
        <v>98688</v>
      </c>
      <c r="J342" s="1603" t="s">
        <v>1563</v>
      </c>
      <c r="K342" s="1603" t="s">
        <v>1564</v>
      </c>
      <c r="L342" s="1629">
        <v>25537</v>
      </c>
    </row>
    <row r="343" spans="1:12" ht="15">
      <c r="A343" s="1602">
        <v>33</v>
      </c>
      <c r="B343" s="1603">
        <v>50171</v>
      </c>
      <c r="C343" s="1603" t="s">
        <v>1177</v>
      </c>
      <c r="D343" s="1603" t="s">
        <v>1178</v>
      </c>
      <c r="E343" s="1603" t="s">
        <v>1179</v>
      </c>
      <c r="F343" s="1603" t="s">
        <v>1180</v>
      </c>
      <c r="G343" s="1603" t="s">
        <v>1142</v>
      </c>
      <c r="H343" s="1603">
        <v>94347</v>
      </c>
      <c r="I343" s="1603">
        <v>98989</v>
      </c>
      <c r="J343" s="1603" t="s">
        <v>1181</v>
      </c>
      <c r="K343" s="1627" t="s">
        <v>1182</v>
      </c>
      <c r="L343" s="1628">
        <v>25580</v>
      </c>
    </row>
    <row r="344" spans="1:12" ht="15">
      <c r="A344" s="1604">
        <v>140</v>
      </c>
      <c r="B344" s="1605">
        <v>53982</v>
      </c>
      <c r="C344" s="1605" t="s">
        <v>1710</v>
      </c>
      <c r="D344" s="1605" t="s">
        <v>1711</v>
      </c>
      <c r="E344" s="1605" t="s">
        <v>1121</v>
      </c>
      <c r="F344" s="1605" t="s">
        <v>1122</v>
      </c>
      <c r="G344" s="1605" t="s">
        <v>1707</v>
      </c>
      <c r="H344" s="1605">
        <v>94347</v>
      </c>
      <c r="I344" s="1605">
        <v>98810</v>
      </c>
      <c r="J344" s="1605" t="s">
        <v>1712</v>
      </c>
      <c r="K344" s="1608" t="s">
        <v>1713</v>
      </c>
      <c r="L344" s="1626">
        <v>25655</v>
      </c>
    </row>
    <row r="345" spans="1:12" ht="15">
      <c r="A345" s="1604">
        <v>52</v>
      </c>
      <c r="B345" s="1605">
        <v>59271</v>
      </c>
      <c r="C345" s="1605" t="s">
        <v>1261</v>
      </c>
      <c r="D345" s="1605" t="s">
        <v>1262</v>
      </c>
      <c r="E345" s="1605" t="s">
        <v>1121</v>
      </c>
      <c r="F345" s="1605" t="s">
        <v>1122</v>
      </c>
      <c r="G345" s="1605" t="s">
        <v>784</v>
      </c>
      <c r="H345" s="1605">
        <v>94347</v>
      </c>
      <c r="I345" s="1605">
        <v>98746</v>
      </c>
      <c r="J345" s="1605" t="s">
        <v>1263</v>
      </c>
      <c r="K345" s="1634" t="s">
        <v>1264</v>
      </c>
      <c r="L345" s="1630">
        <v>25699</v>
      </c>
    </row>
    <row r="346" spans="1:12" ht="15">
      <c r="A346" s="1604">
        <v>94</v>
      </c>
      <c r="B346" s="1605">
        <v>11206</v>
      </c>
      <c r="C346" s="1605" t="s">
        <v>1450</v>
      </c>
      <c r="D346" s="1605" t="s">
        <v>1451</v>
      </c>
      <c r="E346" s="1605" t="s">
        <v>1101</v>
      </c>
      <c r="F346" s="1605" t="s">
        <v>1102</v>
      </c>
      <c r="G346" s="1605" t="s">
        <v>1452</v>
      </c>
      <c r="H346" s="1605">
        <v>94347</v>
      </c>
      <c r="I346" s="1605">
        <v>98692</v>
      </c>
      <c r="J346" s="1605" t="s">
        <v>1453</v>
      </c>
      <c r="K346" s="1605" t="s">
        <v>1454</v>
      </c>
      <c r="L346" s="1626">
        <v>25718</v>
      </c>
    </row>
    <row r="347" spans="1:12" ht="15">
      <c r="A347" s="1604">
        <v>98</v>
      </c>
      <c r="B347" s="1605">
        <v>77626</v>
      </c>
      <c r="C347" s="1605" t="s">
        <v>1468</v>
      </c>
      <c r="D347" s="1605" t="s">
        <v>1469</v>
      </c>
      <c r="E347" s="1605" t="s">
        <v>1121</v>
      </c>
      <c r="F347" s="1605" t="s">
        <v>1122</v>
      </c>
      <c r="G347" s="1605" t="s">
        <v>1461</v>
      </c>
      <c r="H347" s="1605">
        <v>94347</v>
      </c>
      <c r="I347" s="1605">
        <v>98777</v>
      </c>
      <c r="J347" s="1605" t="s">
        <v>1470</v>
      </c>
      <c r="K347" s="1632" t="s">
        <v>1471</v>
      </c>
      <c r="L347" s="1630">
        <v>25753</v>
      </c>
    </row>
    <row r="348" spans="1:12" ht="15">
      <c r="A348" s="1602">
        <v>47</v>
      </c>
      <c r="B348" s="1603">
        <v>15251</v>
      </c>
      <c r="C348" s="1603" t="s">
        <v>1240</v>
      </c>
      <c r="D348" s="1603" t="s">
        <v>1241</v>
      </c>
      <c r="E348" s="1603" t="s">
        <v>1101</v>
      </c>
      <c r="F348" s="1603" t="s">
        <v>1102</v>
      </c>
      <c r="G348" s="1603" t="s">
        <v>711</v>
      </c>
      <c r="H348" s="1603">
        <v>94347</v>
      </c>
      <c r="I348" s="1603">
        <v>98839</v>
      </c>
      <c r="J348" s="1603" t="s">
        <v>1242</v>
      </c>
      <c r="K348" s="1603" t="s">
        <v>1243</v>
      </c>
      <c r="L348" s="1629">
        <v>25795</v>
      </c>
    </row>
    <row r="349" spans="1:12" ht="15">
      <c r="A349" s="1604">
        <v>32</v>
      </c>
      <c r="B349" s="1605">
        <v>6392</v>
      </c>
      <c r="C349" s="1605" t="s">
        <v>1173</v>
      </c>
      <c r="D349" s="1605" t="s">
        <v>1174</v>
      </c>
      <c r="E349" s="1605" t="s">
        <v>1165</v>
      </c>
      <c r="F349" s="1605" t="s">
        <v>1166</v>
      </c>
      <c r="G349" s="1605" t="s">
        <v>1142</v>
      </c>
      <c r="H349" s="1605">
        <v>94347</v>
      </c>
      <c r="I349" s="1605">
        <v>98751</v>
      </c>
      <c r="J349" s="1605" t="s">
        <v>1175</v>
      </c>
      <c r="K349" s="1632" t="s">
        <v>1176</v>
      </c>
      <c r="L349" s="1630">
        <v>25796</v>
      </c>
    </row>
    <row r="350" spans="1:12" ht="15">
      <c r="A350" s="1602">
        <v>135</v>
      </c>
      <c r="B350" s="1603">
        <v>2129</v>
      </c>
      <c r="C350" s="1603" t="s">
        <v>1684</v>
      </c>
      <c r="D350" s="1603" t="s">
        <v>1685</v>
      </c>
      <c r="E350" s="1603" t="s">
        <v>1101</v>
      </c>
      <c r="F350" s="1603" t="s">
        <v>1102</v>
      </c>
      <c r="G350" s="1603" t="s">
        <v>1686</v>
      </c>
      <c r="H350" s="1603">
        <v>94347</v>
      </c>
      <c r="I350" s="1603">
        <v>98731</v>
      </c>
      <c r="J350" s="1603" t="s">
        <v>1687</v>
      </c>
      <c r="K350" s="1603" t="s">
        <v>1688</v>
      </c>
      <c r="L350" s="1629">
        <v>25820</v>
      </c>
    </row>
    <row r="351" spans="1:12" ht="15">
      <c r="A351" s="1604">
        <v>88</v>
      </c>
      <c r="B351" s="1605">
        <v>63441</v>
      </c>
      <c r="C351" s="1605" t="s">
        <v>1412</v>
      </c>
      <c r="D351" s="1616" t="s">
        <v>1413</v>
      </c>
      <c r="E351" s="1605" t="s">
        <v>1101</v>
      </c>
      <c r="F351" s="1605" t="s">
        <v>1102</v>
      </c>
      <c r="G351" s="1605" t="s">
        <v>1409</v>
      </c>
      <c r="H351" s="1605">
        <v>94347</v>
      </c>
      <c r="I351" s="1605">
        <v>98798</v>
      </c>
      <c r="J351" s="1605" t="s">
        <v>1414</v>
      </c>
      <c r="K351" s="1632" t="s">
        <v>1415</v>
      </c>
      <c r="L351" s="1630">
        <v>25840</v>
      </c>
    </row>
    <row r="352" spans="1:12" ht="15">
      <c r="A352" s="1604">
        <v>58</v>
      </c>
      <c r="B352" s="1605">
        <v>5754</v>
      </c>
      <c r="C352" s="1605" t="s">
        <v>1286</v>
      </c>
      <c r="D352" s="1605" t="s">
        <v>1287</v>
      </c>
      <c r="E352" s="1605" t="s">
        <v>1159</v>
      </c>
      <c r="F352" s="1605" t="s">
        <v>1160</v>
      </c>
      <c r="G352" s="1605" t="s">
        <v>785</v>
      </c>
      <c r="H352" s="1605">
        <v>94347</v>
      </c>
      <c r="I352" s="1605">
        <v>98722</v>
      </c>
      <c r="J352" s="1605" t="s">
        <v>1288</v>
      </c>
      <c r="K352" s="1605" t="s">
        <v>1289</v>
      </c>
      <c r="L352" s="1626">
        <v>25842</v>
      </c>
    </row>
    <row r="353" spans="1:12" ht="15">
      <c r="A353" s="1602">
        <v>97</v>
      </c>
      <c r="B353" s="1603">
        <v>84139</v>
      </c>
      <c r="C353" s="1603" t="s">
        <v>1464</v>
      </c>
      <c r="D353" s="1603" t="s">
        <v>1465</v>
      </c>
      <c r="E353" s="1603" t="s">
        <v>1101</v>
      </c>
      <c r="F353" s="1603" t="s">
        <v>1102</v>
      </c>
      <c r="G353" s="1603" t="s">
        <v>1461</v>
      </c>
      <c r="H353" s="1603">
        <v>94347</v>
      </c>
      <c r="I353" s="1603">
        <v>98933</v>
      </c>
      <c r="J353" s="1603" t="s">
        <v>1466</v>
      </c>
      <c r="K353" s="1627" t="s">
        <v>1467</v>
      </c>
      <c r="L353" s="1628">
        <v>25843</v>
      </c>
    </row>
    <row r="354" spans="1:12" ht="15">
      <c r="A354" s="1604">
        <v>12</v>
      </c>
      <c r="B354" s="1605">
        <v>86593</v>
      </c>
      <c r="C354" s="1605" t="s">
        <v>1749</v>
      </c>
      <c r="D354" s="1605" t="s">
        <v>1750</v>
      </c>
      <c r="E354" s="1605" t="s">
        <v>1108</v>
      </c>
      <c r="F354" s="1605" t="s">
        <v>1109</v>
      </c>
      <c r="G354" s="1605" t="s">
        <v>1751</v>
      </c>
      <c r="H354" s="1605">
        <v>94347</v>
      </c>
      <c r="I354" s="1605">
        <v>7594</v>
      </c>
      <c r="J354" s="1608" t="s">
        <v>1752</v>
      </c>
      <c r="K354" s="1608" t="s">
        <v>1753</v>
      </c>
      <c r="L354" s="1626">
        <v>25888</v>
      </c>
    </row>
    <row r="355" spans="1:12" ht="15">
      <c r="A355" s="1604">
        <v>80</v>
      </c>
      <c r="B355" s="1605">
        <v>70852</v>
      </c>
      <c r="C355" s="1605" t="s">
        <v>1786</v>
      </c>
      <c r="D355" s="1605" t="s">
        <v>1787</v>
      </c>
      <c r="E355" s="1605" t="s">
        <v>1121</v>
      </c>
      <c r="F355" s="1605" t="s">
        <v>1122</v>
      </c>
      <c r="G355" s="1605" t="s">
        <v>1381</v>
      </c>
      <c r="H355" s="1605">
        <v>94347</v>
      </c>
      <c r="I355" s="1605">
        <v>98708</v>
      </c>
      <c r="J355" s="1605" t="s">
        <v>1789</v>
      </c>
      <c r="K355" s="1632" t="s">
        <v>1790</v>
      </c>
      <c r="L355" s="1630">
        <v>25922</v>
      </c>
    </row>
    <row r="356" spans="1:12" ht="15">
      <c r="A356" s="1602">
        <v>123</v>
      </c>
      <c r="B356" s="1603">
        <v>44367</v>
      </c>
      <c r="C356" s="1603" t="s">
        <v>1577</v>
      </c>
      <c r="D356" s="1603" t="s">
        <v>1578</v>
      </c>
      <c r="E356" s="1603" t="s">
        <v>1108</v>
      </c>
      <c r="F356" s="1603" t="s">
        <v>1109</v>
      </c>
      <c r="G356" s="1603" t="s">
        <v>1546</v>
      </c>
      <c r="H356" s="1603">
        <v>94347</v>
      </c>
      <c r="I356" s="1603">
        <v>98934</v>
      </c>
      <c r="J356" s="1603" t="s">
        <v>1579</v>
      </c>
      <c r="K356" s="1603" t="s">
        <v>1580</v>
      </c>
      <c r="L356" s="1629">
        <v>25927</v>
      </c>
    </row>
    <row r="357" spans="1:12" ht="15">
      <c r="A357" s="1604">
        <v>112</v>
      </c>
      <c r="B357" s="1605">
        <v>84005</v>
      </c>
      <c r="C357" s="1605" t="s">
        <v>1527</v>
      </c>
      <c r="D357" s="1605" t="s">
        <v>1528</v>
      </c>
      <c r="E357" s="1605" t="s">
        <v>1165</v>
      </c>
      <c r="F357" s="1605" t="s">
        <v>1166</v>
      </c>
      <c r="G357" s="1605" t="s">
        <v>1520</v>
      </c>
      <c r="H357" s="1605">
        <v>94347</v>
      </c>
      <c r="I357" s="1605">
        <v>98939</v>
      </c>
      <c r="J357" s="1605" t="s">
        <v>1529</v>
      </c>
      <c r="K357" s="1632" t="s">
        <v>1530</v>
      </c>
      <c r="L357" s="1630">
        <v>25955</v>
      </c>
    </row>
    <row r="358" spans="1:12" ht="15">
      <c r="A358" s="1604">
        <v>136</v>
      </c>
      <c r="B358" s="1605">
        <v>84106</v>
      </c>
      <c r="C358" s="1605" t="s">
        <v>1689</v>
      </c>
      <c r="D358" s="1605" t="s">
        <v>1690</v>
      </c>
      <c r="E358" s="1605" t="s">
        <v>1121</v>
      </c>
      <c r="F358" s="1605" t="s">
        <v>1122</v>
      </c>
      <c r="G358" s="1605" t="s">
        <v>1686</v>
      </c>
      <c r="H358" s="1605">
        <v>94347</v>
      </c>
      <c r="I358" s="1605">
        <v>92334</v>
      </c>
      <c r="J358" s="1605" t="s">
        <v>1691</v>
      </c>
      <c r="K358" s="1605" t="s">
        <v>1692</v>
      </c>
      <c r="L358" s="1635">
        <v>25993</v>
      </c>
    </row>
    <row r="359" spans="1:12" ht="15">
      <c r="A359" s="1602">
        <v>141</v>
      </c>
      <c r="B359" s="1603">
        <v>92555</v>
      </c>
      <c r="C359" s="1603" t="s">
        <v>1714</v>
      </c>
      <c r="D359" s="1603" t="s">
        <v>1715</v>
      </c>
      <c r="E359" s="1603" t="s">
        <v>1108</v>
      </c>
      <c r="F359" s="1603" t="s">
        <v>1109</v>
      </c>
      <c r="G359" s="1603" t="s">
        <v>1707</v>
      </c>
      <c r="H359" s="1603">
        <v>94347</v>
      </c>
      <c r="I359" s="1603">
        <v>98834</v>
      </c>
      <c r="J359" s="1607" t="s">
        <v>1716</v>
      </c>
      <c r="K359" s="1627" t="s">
        <v>1717</v>
      </c>
      <c r="L359" s="1628">
        <v>26001</v>
      </c>
    </row>
    <row r="360" spans="1:12" ht="15">
      <c r="A360" s="1604">
        <v>70</v>
      </c>
      <c r="B360" s="1605">
        <v>74601</v>
      </c>
      <c r="C360" s="1605" t="s">
        <v>1339</v>
      </c>
      <c r="D360" s="1605" t="s">
        <v>1340</v>
      </c>
      <c r="E360" s="1605" t="s">
        <v>1165</v>
      </c>
      <c r="F360" s="1605" t="s">
        <v>1166</v>
      </c>
      <c r="G360" s="1605" t="s">
        <v>1332</v>
      </c>
      <c r="H360" s="1605">
        <v>94347</v>
      </c>
      <c r="I360" s="1605">
        <v>98671</v>
      </c>
      <c r="J360" s="1605" t="s">
        <v>1341</v>
      </c>
      <c r="K360" s="1605" t="s">
        <v>1342</v>
      </c>
      <c r="L360" s="1626">
        <v>26100</v>
      </c>
    </row>
    <row r="361" spans="1:12" ht="15">
      <c r="A361" s="1602">
        <v>5</v>
      </c>
      <c r="B361" s="1603">
        <v>10627</v>
      </c>
      <c r="C361" s="1603" t="s">
        <v>1119</v>
      </c>
      <c r="D361" s="1603" t="s">
        <v>1120</v>
      </c>
      <c r="E361" s="1603" t="s">
        <v>1121</v>
      </c>
      <c r="F361" s="1603" t="s">
        <v>1122</v>
      </c>
      <c r="G361" s="1603" t="s">
        <v>1812</v>
      </c>
      <c r="H361" s="1603">
        <v>94347</v>
      </c>
      <c r="I361" s="1603">
        <v>98824</v>
      </c>
      <c r="J361" s="1603" t="s">
        <v>1124</v>
      </c>
      <c r="K361" s="1627" t="s">
        <v>1125</v>
      </c>
      <c r="L361" s="1628">
        <v>26124</v>
      </c>
    </row>
    <row r="362" spans="1:12" ht="15">
      <c r="A362" s="1604">
        <v>50</v>
      </c>
      <c r="B362" s="1605">
        <v>76177</v>
      </c>
      <c r="C362" s="1605" t="s">
        <v>1252</v>
      </c>
      <c r="D362" s="1605" t="s">
        <v>1253</v>
      </c>
      <c r="E362" s="1605" t="s">
        <v>1108</v>
      </c>
      <c r="F362" s="1605" t="s">
        <v>1109</v>
      </c>
      <c r="G362" s="1605" t="s">
        <v>711</v>
      </c>
      <c r="H362" s="1605">
        <v>94347</v>
      </c>
      <c r="I362" s="1605">
        <v>98783</v>
      </c>
      <c r="J362" s="1608" t="s">
        <v>1254</v>
      </c>
      <c r="K362" s="1605" t="s">
        <v>1255</v>
      </c>
      <c r="L362" s="1626">
        <v>26198</v>
      </c>
    </row>
    <row r="363" spans="1:12" ht="15">
      <c r="A363" s="1604">
        <v>84</v>
      </c>
      <c r="B363" s="1605">
        <v>16438</v>
      </c>
      <c r="C363" s="1605" t="s">
        <v>1392</v>
      </c>
      <c r="D363" s="1605" t="s">
        <v>1393</v>
      </c>
      <c r="E363" s="1605" t="s">
        <v>1179</v>
      </c>
      <c r="F363" s="1605" t="s">
        <v>1180</v>
      </c>
      <c r="G363" s="1605" t="s">
        <v>1394</v>
      </c>
      <c r="H363" s="1605">
        <v>94347</v>
      </c>
      <c r="I363" s="1605">
        <v>98892</v>
      </c>
      <c r="J363" s="1605" t="s">
        <v>1395</v>
      </c>
      <c r="K363" s="1632" t="s">
        <v>1396</v>
      </c>
      <c r="L363" s="1630">
        <v>26210</v>
      </c>
    </row>
    <row r="364" spans="1:12" ht="15">
      <c r="A364" s="1604">
        <v>16</v>
      </c>
      <c r="B364" s="1605">
        <v>41634</v>
      </c>
      <c r="C364" s="1605" t="s">
        <v>1638</v>
      </c>
      <c r="D364" s="1605" t="s">
        <v>1639</v>
      </c>
      <c r="E364" s="1605" t="s">
        <v>1101</v>
      </c>
      <c r="F364" s="1605" t="s">
        <v>1102</v>
      </c>
      <c r="G364" s="1605" t="s">
        <v>1627</v>
      </c>
      <c r="H364" s="1605">
        <v>94347</v>
      </c>
      <c r="I364" s="1605">
        <v>98734</v>
      </c>
      <c r="J364" s="1605" t="s">
        <v>1640</v>
      </c>
      <c r="K364" s="1605" t="s">
        <v>1641</v>
      </c>
      <c r="L364" s="1626">
        <v>26232</v>
      </c>
    </row>
    <row r="365" spans="1:12" ht="15">
      <c r="A365" s="1604">
        <v>34</v>
      </c>
      <c r="B365" s="1605">
        <v>84172</v>
      </c>
      <c r="C365" s="1605" t="s">
        <v>1183</v>
      </c>
      <c r="D365" s="1605" t="s">
        <v>998</v>
      </c>
      <c r="E365" s="1605" t="s">
        <v>1179</v>
      </c>
      <c r="F365" s="1605" t="s">
        <v>1180</v>
      </c>
      <c r="G365" s="1605" t="s">
        <v>1142</v>
      </c>
      <c r="H365" s="1605">
        <v>94347</v>
      </c>
      <c r="I365" s="1605">
        <v>98901</v>
      </c>
      <c r="J365" s="1605" t="s">
        <v>1184</v>
      </c>
      <c r="K365" s="1632" t="s">
        <v>1185</v>
      </c>
      <c r="L365" s="1633">
        <v>26257</v>
      </c>
    </row>
    <row r="366" spans="1:12" ht="15">
      <c r="A366" s="1602">
        <v>19</v>
      </c>
      <c r="B366" s="1603">
        <v>23416</v>
      </c>
      <c r="C366" s="1603" t="s">
        <v>1650</v>
      </c>
      <c r="D366" s="1603" t="s">
        <v>1651</v>
      </c>
      <c r="E366" s="1603" t="s">
        <v>1121</v>
      </c>
      <c r="F366" s="1603" t="s">
        <v>1122</v>
      </c>
      <c r="G366" s="1603" t="s">
        <v>1627</v>
      </c>
      <c r="H366" s="1603">
        <v>94347</v>
      </c>
      <c r="I366" s="1603">
        <v>98935</v>
      </c>
      <c r="J366" s="1603" t="s">
        <v>1652</v>
      </c>
      <c r="K366" s="1603" t="s">
        <v>1653</v>
      </c>
      <c r="L366" s="1629">
        <v>26298</v>
      </c>
    </row>
    <row r="367" spans="1:12" ht="15">
      <c r="A367" s="1602">
        <v>59</v>
      </c>
      <c r="B367" s="1603">
        <v>9651</v>
      </c>
      <c r="C367" s="1603" t="s">
        <v>1290</v>
      </c>
      <c r="D367" s="1603" t="s">
        <v>1291</v>
      </c>
      <c r="E367" s="1603" t="s">
        <v>1121</v>
      </c>
      <c r="F367" s="1603" t="s">
        <v>1122</v>
      </c>
      <c r="G367" s="1603" t="s">
        <v>1292</v>
      </c>
      <c r="H367" s="1603">
        <v>94347</v>
      </c>
      <c r="I367" s="1603">
        <v>98938</v>
      </c>
      <c r="J367" s="1603" t="s">
        <v>1293</v>
      </c>
      <c r="K367" s="1627" t="s">
        <v>1294</v>
      </c>
      <c r="L367" s="1628">
        <v>26310</v>
      </c>
    </row>
    <row r="368" spans="1:12" ht="15">
      <c r="A368" s="1604">
        <v>20</v>
      </c>
      <c r="B368" s="1605">
        <v>15556</v>
      </c>
      <c r="C368" s="1605" t="s">
        <v>1654</v>
      </c>
      <c r="D368" s="1605" t="s">
        <v>1655</v>
      </c>
      <c r="E368" s="1605" t="s">
        <v>1121</v>
      </c>
      <c r="F368" s="1605" t="s">
        <v>1122</v>
      </c>
      <c r="G368" s="1605" t="s">
        <v>1627</v>
      </c>
      <c r="H368" s="1605">
        <v>94347</v>
      </c>
      <c r="I368" s="1605">
        <v>98943</v>
      </c>
      <c r="J368" s="1605" t="s">
        <v>1656</v>
      </c>
      <c r="K368" s="1605" t="s">
        <v>1657</v>
      </c>
      <c r="L368" s="1626">
        <v>26395</v>
      </c>
    </row>
    <row r="369" spans="1:12" ht="15">
      <c r="A369" s="1602">
        <v>53</v>
      </c>
      <c r="B369" s="1603">
        <v>32506</v>
      </c>
      <c r="C369" s="1603" t="s">
        <v>1265</v>
      </c>
      <c r="D369" s="1603" t="s">
        <v>1266</v>
      </c>
      <c r="E369" s="1603" t="s">
        <v>1165</v>
      </c>
      <c r="F369" s="1603" t="s">
        <v>1166</v>
      </c>
      <c r="G369" s="1603" t="s">
        <v>784</v>
      </c>
      <c r="H369" s="1603">
        <v>94347</v>
      </c>
      <c r="I369" s="1603">
        <v>98674</v>
      </c>
      <c r="J369" s="1603" t="s">
        <v>1267</v>
      </c>
      <c r="K369" s="1627" t="s">
        <v>1268</v>
      </c>
      <c r="L369" s="1638">
        <v>26517</v>
      </c>
    </row>
    <row r="370" spans="1:12" ht="15">
      <c r="A370" s="1602">
        <v>133</v>
      </c>
      <c r="B370" s="1603">
        <v>44102</v>
      </c>
      <c r="C370" s="1603" t="s">
        <v>1674</v>
      </c>
      <c r="D370" s="1603" t="s">
        <v>1675</v>
      </c>
      <c r="E370" s="1603" t="s">
        <v>1159</v>
      </c>
      <c r="F370" s="1603" t="s">
        <v>1160</v>
      </c>
      <c r="G370" s="1603" t="s">
        <v>1676</v>
      </c>
      <c r="H370" s="1603">
        <v>94347</v>
      </c>
      <c r="I370" s="1603">
        <v>98915</v>
      </c>
      <c r="J370" s="1603" t="s">
        <v>1677</v>
      </c>
      <c r="K370" s="1603" t="s">
        <v>1678</v>
      </c>
      <c r="L370" s="1629">
        <v>26588</v>
      </c>
    </row>
    <row r="371" spans="1:12" ht="15">
      <c r="A371" s="1602">
        <v>79</v>
      </c>
      <c r="B371" s="1603">
        <v>58152</v>
      </c>
      <c r="C371" s="1603" t="s">
        <v>1374</v>
      </c>
      <c r="D371" s="1603" t="s">
        <v>1375</v>
      </c>
      <c r="E371" s="1603" t="s">
        <v>1108</v>
      </c>
      <c r="F371" s="1603" t="s">
        <v>1109</v>
      </c>
      <c r="G371" s="1603" t="s">
        <v>1376</v>
      </c>
      <c r="H371" s="1603">
        <v>94347</v>
      </c>
      <c r="I371" s="1603">
        <v>98991</v>
      </c>
      <c r="J371" s="1607" t="s">
        <v>1377</v>
      </c>
      <c r="K371" s="1627" t="s">
        <v>1378</v>
      </c>
      <c r="L371" s="1628">
        <v>26742</v>
      </c>
    </row>
    <row r="372" spans="1:12" ht="15">
      <c r="A372" s="1602">
        <v>39</v>
      </c>
      <c r="B372" s="1603">
        <v>8354</v>
      </c>
      <c r="C372" s="1603" t="s">
        <v>1205</v>
      </c>
      <c r="D372" s="1603" t="s">
        <v>1206</v>
      </c>
      <c r="E372" s="1603" t="s">
        <v>1121</v>
      </c>
      <c r="F372" s="1603" t="s">
        <v>1122</v>
      </c>
      <c r="G372" s="1603" t="s">
        <v>1202</v>
      </c>
      <c r="H372" s="1603">
        <v>94347</v>
      </c>
      <c r="I372" s="1603">
        <v>98699</v>
      </c>
      <c r="J372" s="1603" t="s">
        <v>1207</v>
      </c>
      <c r="K372" s="1603" t="s">
        <v>1208</v>
      </c>
      <c r="L372" s="1629">
        <v>26750</v>
      </c>
    </row>
    <row r="373" spans="1:12" ht="15">
      <c r="A373" s="1602">
        <v>147</v>
      </c>
      <c r="B373" s="1603">
        <v>90974</v>
      </c>
      <c r="C373" s="1603" t="s">
        <v>1813</v>
      </c>
      <c r="D373" s="1603" t="s">
        <v>1170</v>
      </c>
      <c r="E373" s="1603" t="s">
        <v>1101</v>
      </c>
      <c r="F373" s="1603" t="s">
        <v>1102</v>
      </c>
      <c r="G373" s="1603" t="s">
        <v>1788</v>
      </c>
      <c r="H373" s="1603">
        <v>94347</v>
      </c>
      <c r="I373" s="1603">
        <v>91811</v>
      </c>
      <c r="J373" s="1639"/>
      <c r="K373" s="1640" t="s">
        <v>1814</v>
      </c>
      <c r="L373" s="1628">
        <v>26850</v>
      </c>
    </row>
    <row r="374" spans="1:12" ht="15">
      <c r="A374" s="1602">
        <v>95</v>
      </c>
      <c r="B374" s="1603">
        <v>89962</v>
      </c>
      <c r="C374" s="1603" t="s">
        <v>1420</v>
      </c>
      <c r="D374" s="1616" t="s">
        <v>1421</v>
      </c>
      <c r="E374" s="1603" t="s">
        <v>1159</v>
      </c>
      <c r="F374" s="1603" t="s">
        <v>1160</v>
      </c>
      <c r="G374" s="1603" t="s">
        <v>1815</v>
      </c>
      <c r="H374" s="1603">
        <v>94347</v>
      </c>
      <c r="I374" s="1603">
        <v>91718</v>
      </c>
      <c r="J374" s="1603" t="s">
        <v>1422</v>
      </c>
      <c r="K374" s="1603" t="s">
        <v>1423</v>
      </c>
      <c r="L374" s="1629">
        <v>26865</v>
      </c>
    </row>
    <row r="375" spans="1:12" ht="15">
      <c r="A375" s="1604">
        <v>28</v>
      </c>
      <c r="B375" s="1605">
        <v>11208</v>
      </c>
      <c r="C375" s="1605" t="s">
        <v>1149</v>
      </c>
      <c r="D375" s="1605" t="s">
        <v>1150</v>
      </c>
      <c r="E375" s="1605" t="s">
        <v>1121</v>
      </c>
      <c r="F375" s="1605" t="s">
        <v>1122</v>
      </c>
      <c r="G375" s="1605" t="s">
        <v>1142</v>
      </c>
      <c r="H375" s="1605">
        <v>94347</v>
      </c>
      <c r="I375" s="1605">
        <v>98710</v>
      </c>
      <c r="J375" s="1605" t="s">
        <v>1151</v>
      </c>
      <c r="K375" s="1632" t="s">
        <v>1152</v>
      </c>
      <c r="L375" s="1630">
        <v>27018</v>
      </c>
    </row>
    <row r="376" spans="1:12" ht="15">
      <c r="A376" s="1602">
        <v>81</v>
      </c>
      <c r="B376" s="1603">
        <v>62800</v>
      </c>
      <c r="C376" s="1603" t="s">
        <v>1379</v>
      </c>
      <c r="D376" s="1603" t="s">
        <v>1380</v>
      </c>
      <c r="E376" s="1603" t="s">
        <v>1121</v>
      </c>
      <c r="F376" s="1603" t="s">
        <v>1122</v>
      </c>
      <c r="G376" s="1603" t="s">
        <v>1381</v>
      </c>
      <c r="H376" s="1603">
        <v>94347</v>
      </c>
      <c r="I376" s="1603">
        <v>98693</v>
      </c>
      <c r="J376" s="1603" t="s">
        <v>1382</v>
      </c>
      <c r="K376" s="1603" t="s">
        <v>1383</v>
      </c>
      <c r="L376" s="1629">
        <v>27035</v>
      </c>
    </row>
    <row r="377" spans="1:12" ht="15">
      <c r="A377" s="1602">
        <v>61</v>
      </c>
      <c r="B377" s="1603">
        <v>57512</v>
      </c>
      <c r="C377" s="1603" t="s">
        <v>1300</v>
      </c>
      <c r="D377" s="1603" t="s">
        <v>1301</v>
      </c>
      <c r="E377" s="1603" t="s">
        <v>1179</v>
      </c>
      <c r="F377" s="1603" t="s">
        <v>1180</v>
      </c>
      <c r="G377" s="1603" t="s">
        <v>1302</v>
      </c>
      <c r="H377" s="1603">
        <v>94347</v>
      </c>
      <c r="I377" s="1603">
        <v>98628</v>
      </c>
      <c r="J377" s="1603" t="s">
        <v>1303</v>
      </c>
      <c r="K377" s="1627" t="s">
        <v>1304</v>
      </c>
      <c r="L377" s="1628">
        <v>27036</v>
      </c>
    </row>
    <row r="378" spans="1:12" ht="15">
      <c r="A378" s="1602">
        <v>3</v>
      </c>
      <c r="B378" s="1603">
        <v>148</v>
      </c>
      <c r="C378" s="1603" t="s">
        <v>1106</v>
      </c>
      <c r="D378" s="1603" t="s">
        <v>1107</v>
      </c>
      <c r="E378" s="1603" t="s">
        <v>1108</v>
      </c>
      <c r="F378" s="1603" t="s">
        <v>1109</v>
      </c>
      <c r="G378" s="1603" t="s">
        <v>1816</v>
      </c>
      <c r="H378" s="1603">
        <v>94347</v>
      </c>
      <c r="I378" s="1603">
        <v>98922</v>
      </c>
      <c r="J378" s="1603" t="s">
        <v>1110</v>
      </c>
      <c r="K378" s="1603" t="s">
        <v>1111</v>
      </c>
      <c r="L378" s="1629">
        <v>27082</v>
      </c>
    </row>
    <row r="379" spans="1:12" ht="15">
      <c r="A379" s="1602">
        <v>127</v>
      </c>
      <c r="B379" s="1603">
        <v>8008</v>
      </c>
      <c r="C379" s="1603" t="s">
        <v>1594</v>
      </c>
      <c r="D379" s="1603" t="s">
        <v>1595</v>
      </c>
      <c r="E379" s="1603" t="s">
        <v>1121</v>
      </c>
      <c r="F379" s="1603" t="s">
        <v>1122</v>
      </c>
      <c r="G379" s="1603" t="s">
        <v>1596</v>
      </c>
      <c r="H379" s="1603">
        <v>94347</v>
      </c>
      <c r="I379" s="1603">
        <v>98725</v>
      </c>
      <c r="J379" s="1603" t="s">
        <v>1597</v>
      </c>
      <c r="K379" s="1627" t="s">
        <v>1598</v>
      </c>
      <c r="L379" s="1638">
        <v>27242</v>
      </c>
    </row>
    <row r="380" spans="1:12" ht="15">
      <c r="A380" s="1602">
        <v>107</v>
      </c>
      <c r="B380" s="1603">
        <v>55107</v>
      </c>
      <c r="C380" s="1603" t="s">
        <v>1506</v>
      </c>
      <c r="D380" s="1603" t="s">
        <v>1507</v>
      </c>
      <c r="E380" s="1603" t="s">
        <v>1121</v>
      </c>
      <c r="F380" s="1603" t="s">
        <v>1122</v>
      </c>
      <c r="G380" s="1603" t="s">
        <v>1499</v>
      </c>
      <c r="H380" s="1603">
        <v>94347</v>
      </c>
      <c r="I380" s="1603">
        <v>98760</v>
      </c>
      <c r="J380" s="1603" t="s">
        <v>1508</v>
      </c>
      <c r="K380" s="1603" t="s">
        <v>1509</v>
      </c>
      <c r="L380" s="1629">
        <v>27278</v>
      </c>
    </row>
    <row r="381" spans="1:12" ht="15">
      <c r="A381" s="1602">
        <v>89</v>
      </c>
      <c r="B381" s="1603">
        <v>49816</v>
      </c>
      <c r="C381" s="1603" t="s">
        <v>1416</v>
      </c>
      <c r="D381" s="1603" t="s">
        <v>1417</v>
      </c>
      <c r="E381" s="1603" t="s">
        <v>1121</v>
      </c>
      <c r="F381" s="1603" t="s">
        <v>1122</v>
      </c>
      <c r="G381" s="1603" t="s">
        <v>1409</v>
      </c>
      <c r="H381" s="1603">
        <v>94347</v>
      </c>
      <c r="I381" s="1603">
        <v>98913</v>
      </c>
      <c r="J381" s="1603" t="s">
        <v>1418</v>
      </c>
      <c r="K381" s="1627" t="s">
        <v>1419</v>
      </c>
      <c r="L381" s="1638">
        <v>27292</v>
      </c>
    </row>
    <row r="382" spans="1:12" ht="15">
      <c r="A382" s="1602">
        <v>85</v>
      </c>
      <c r="B382" s="1603">
        <v>63665</v>
      </c>
      <c r="C382" s="1603" t="s">
        <v>1397</v>
      </c>
      <c r="D382" s="1603" t="s">
        <v>1398</v>
      </c>
      <c r="E382" s="1603" t="s">
        <v>1108</v>
      </c>
      <c r="F382" s="1603" t="s">
        <v>1109</v>
      </c>
      <c r="G382" s="1603" t="s">
        <v>1399</v>
      </c>
      <c r="H382" s="1603">
        <v>94347</v>
      </c>
      <c r="I382" s="1603">
        <v>7595</v>
      </c>
      <c r="J382" s="1603" t="s">
        <v>1400</v>
      </c>
      <c r="K382" s="1603" t="s">
        <v>1401</v>
      </c>
      <c r="L382" s="1637">
        <v>27404</v>
      </c>
    </row>
    <row r="383" spans="1:12" ht="15">
      <c r="A383" s="1602">
        <v>69</v>
      </c>
      <c r="B383" s="1603">
        <v>37360</v>
      </c>
      <c r="C383" s="1603" t="s">
        <v>1335</v>
      </c>
      <c r="D383" s="1603" t="s">
        <v>1336</v>
      </c>
      <c r="E383" s="1603" t="s">
        <v>1121</v>
      </c>
      <c r="F383" s="1603" t="s">
        <v>1122</v>
      </c>
      <c r="G383" s="1603" t="s">
        <v>1332</v>
      </c>
      <c r="H383" s="1603">
        <v>94347</v>
      </c>
      <c r="I383" s="1603">
        <v>98912</v>
      </c>
      <c r="J383" s="1603" t="s">
        <v>1337</v>
      </c>
      <c r="K383" s="1627" t="s">
        <v>1338</v>
      </c>
      <c r="L383" s="1628">
        <v>27722</v>
      </c>
    </row>
    <row r="384" spans="1:12" ht="15">
      <c r="A384" s="1602">
        <v>65</v>
      </c>
      <c r="B384" s="1603">
        <v>15485</v>
      </c>
      <c r="C384" s="1603" t="s">
        <v>1697</v>
      </c>
      <c r="D384" s="1603" t="s">
        <v>1698</v>
      </c>
      <c r="E384" s="1603" t="s">
        <v>1165</v>
      </c>
      <c r="F384" s="1603" t="s">
        <v>1166</v>
      </c>
      <c r="G384" s="1603" t="s">
        <v>1307</v>
      </c>
      <c r="H384" s="1603">
        <v>94347</v>
      </c>
      <c r="I384" s="1603">
        <v>98667</v>
      </c>
      <c r="J384" s="1603" t="s">
        <v>1699</v>
      </c>
      <c r="K384" s="1603" t="s">
        <v>1700</v>
      </c>
      <c r="L384" s="1629">
        <v>27759</v>
      </c>
    </row>
    <row r="385" spans="1:12" ht="15">
      <c r="A385" s="1602">
        <v>21</v>
      </c>
      <c r="B385" s="1603">
        <v>86279</v>
      </c>
      <c r="C385" s="1603" t="s">
        <v>1658</v>
      </c>
      <c r="D385" s="1603" t="s">
        <v>1659</v>
      </c>
      <c r="E385" s="1603" t="s">
        <v>1159</v>
      </c>
      <c r="F385" s="1603" t="s">
        <v>1160</v>
      </c>
      <c r="G385" s="1603" t="s">
        <v>1627</v>
      </c>
      <c r="H385" s="1603">
        <v>94347</v>
      </c>
      <c r="I385" s="1603">
        <v>98941</v>
      </c>
      <c r="J385" s="1603" t="s">
        <v>1660</v>
      </c>
      <c r="K385" s="1627" t="s">
        <v>1661</v>
      </c>
      <c r="L385" s="1628">
        <v>28195</v>
      </c>
    </row>
    <row r="386" spans="1:12" ht="15">
      <c r="A386" s="1604">
        <v>56</v>
      </c>
      <c r="B386" s="1605">
        <v>1546</v>
      </c>
      <c r="C386" s="1605" t="s">
        <v>1277</v>
      </c>
      <c r="D386" s="1605" t="s">
        <v>1278</v>
      </c>
      <c r="E386" s="1605" t="s">
        <v>1159</v>
      </c>
      <c r="F386" s="1605" t="s">
        <v>1160</v>
      </c>
      <c r="G386" s="1605" t="s">
        <v>1279</v>
      </c>
      <c r="H386" s="1605">
        <v>94347</v>
      </c>
      <c r="I386" s="1605">
        <v>98909</v>
      </c>
      <c r="J386" s="1605" t="s">
        <v>1280</v>
      </c>
      <c r="K386" s="1605" t="s">
        <v>1281</v>
      </c>
      <c r="L386" s="1626">
        <v>28479</v>
      </c>
    </row>
    <row r="387" spans="1:12" ht="15">
      <c r="A387" s="1602">
        <v>37</v>
      </c>
      <c r="B387" s="1603">
        <v>53384</v>
      </c>
      <c r="C387" s="1603" t="s">
        <v>1196</v>
      </c>
      <c r="D387" s="1603" t="s">
        <v>1197</v>
      </c>
      <c r="E387" s="1603" t="s">
        <v>1108</v>
      </c>
      <c r="F387" s="1603" t="s">
        <v>1109</v>
      </c>
      <c r="G387" s="1603" t="s">
        <v>1142</v>
      </c>
      <c r="H387" s="1603">
        <v>94347</v>
      </c>
      <c r="I387" s="1603">
        <v>7600</v>
      </c>
      <c r="J387" s="1603" t="s">
        <v>1198</v>
      </c>
      <c r="K387" s="1627" t="s">
        <v>1199</v>
      </c>
      <c r="L387" s="1628">
        <v>28483</v>
      </c>
    </row>
    <row r="388" spans="1:12" ht="15">
      <c r="A388" s="1604">
        <v>48</v>
      </c>
      <c r="B388" s="1605">
        <v>59767</v>
      </c>
      <c r="C388" s="1605" t="s">
        <v>1244</v>
      </c>
      <c r="D388" s="1605" t="s">
        <v>1245</v>
      </c>
      <c r="E388" s="1605" t="s">
        <v>1159</v>
      </c>
      <c r="F388" s="1605" t="s">
        <v>1160</v>
      </c>
      <c r="G388" s="1605" t="s">
        <v>711</v>
      </c>
      <c r="H388" s="1605">
        <v>94347</v>
      </c>
      <c r="I388" s="1605">
        <v>98662</v>
      </c>
      <c r="J388" s="1605" t="s">
        <v>1246</v>
      </c>
      <c r="K388" s="1605" t="s">
        <v>1247</v>
      </c>
      <c r="L388" s="1626">
        <v>28550</v>
      </c>
    </row>
    <row r="389" spans="1:12" ht="15">
      <c r="A389" s="1604">
        <v>108</v>
      </c>
      <c r="B389" s="1605">
        <v>75514</v>
      </c>
      <c r="C389" s="1605" t="s">
        <v>1510</v>
      </c>
      <c r="D389" s="1605" t="s">
        <v>1511</v>
      </c>
      <c r="E389" s="1605" t="s">
        <v>1159</v>
      </c>
      <c r="F389" s="1605" t="s">
        <v>1160</v>
      </c>
      <c r="G389" s="1605" t="s">
        <v>1499</v>
      </c>
      <c r="H389" s="1605">
        <v>94347</v>
      </c>
      <c r="I389" s="1605">
        <v>98721</v>
      </c>
      <c r="J389" s="1605" t="s">
        <v>1512</v>
      </c>
      <c r="K389" s="1632" t="s">
        <v>1513</v>
      </c>
      <c r="L389" s="1630">
        <v>28682</v>
      </c>
    </row>
    <row r="390" spans="1:12" ht="15">
      <c r="A390" s="1604">
        <v>36</v>
      </c>
      <c r="B390" s="1605">
        <v>56427</v>
      </c>
      <c r="C390" s="1605" t="s">
        <v>1192</v>
      </c>
      <c r="D390" s="1605" t="s">
        <v>1193</v>
      </c>
      <c r="E390" s="1605" t="s">
        <v>1108</v>
      </c>
      <c r="F390" s="1605" t="s">
        <v>1109</v>
      </c>
      <c r="G390" s="1605" t="s">
        <v>1142</v>
      </c>
      <c r="H390" s="1605">
        <v>94347</v>
      </c>
      <c r="I390" s="1605">
        <v>98891</v>
      </c>
      <c r="J390" s="1608" t="s">
        <v>1194</v>
      </c>
      <c r="K390" s="1605" t="s">
        <v>1195</v>
      </c>
      <c r="L390" s="1626">
        <v>28767</v>
      </c>
    </row>
    <row r="391" spans="1:12" ht="15">
      <c r="A391" s="1602">
        <v>103</v>
      </c>
      <c r="B391" s="1603">
        <v>97901</v>
      </c>
      <c r="C391" s="1603" t="s">
        <v>1488</v>
      </c>
      <c r="D391" s="1603" t="s">
        <v>1489</v>
      </c>
      <c r="E391" s="1603" t="s">
        <v>1159</v>
      </c>
      <c r="F391" s="1603" t="s">
        <v>1160</v>
      </c>
      <c r="G391" s="1603" t="s">
        <v>1490</v>
      </c>
      <c r="H391" s="1603">
        <v>94347</v>
      </c>
      <c r="I391" s="1603">
        <v>98767</v>
      </c>
      <c r="J391" s="1603" t="s">
        <v>1491</v>
      </c>
      <c r="K391" s="1627" t="s">
        <v>1492</v>
      </c>
      <c r="L391" s="1628">
        <v>28767</v>
      </c>
    </row>
    <row r="392" spans="1:12" ht="15">
      <c r="A392" s="1602">
        <v>145</v>
      </c>
      <c r="B392" s="1603">
        <v>89096</v>
      </c>
      <c r="C392" s="1603" t="s">
        <v>1781</v>
      </c>
      <c r="D392" s="1603" t="s">
        <v>1782</v>
      </c>
      <c r="E392" s="1603" t="s">
        <v>1165</v>
      </c>
      <c r="F392" s="1603" t="s">
        <v>1166</v>
      </c>
      <c r="G392" s="1603" t="s">
        <v>1783</v>
      </c>
      <c r="H392" s="1603">
        <v>94347</v>
      </c>
      <c r="I392" s="1603">
        <v>98679</v>
      </c>
      <c r="J392" s="1603" t="s">
        <v>1784</v>
      </c>
      <c r="K392" s="1607" t="s">
        <v>1785</v>
      </c>
      <c r="L392" s="1629">
        <v>28839</v>
      </c>
    </row>
    <row r="393" spans="1:12" ht="15">
      <c r="A393" s="1604">
        <v>64</v>
      </c>
      <c r="B393" s="1605">
        <v>86589</v>
      </c>
      <c r="C393" s="1605" t="s">
        <v>1318</v>
      </c>
      <c r="D393" s="1605" t="s">
        <v>1319</v>
      </c>
      <c r="E393" s="1605" t="s">
        <v>1121</v>
      </c>
      <c r="F393" s="1605" t="s">
        <v>1122</v>
      </c>
      <c r="G393" s="1605" t="s">
        <v>1307</v>
      </c>
      <c r="H393" s="1605">
        <v>94347</v>
      </c>
      <c r="I393" s="1605">
        <v>98641</v>
      </c>
      <c r="J393" s="1605" t="s">
        <v>1320</v>
      </c>
      <c r="K393" s="1632" t="s">
        <v>1321</v>
      </c>
      <c r="L393" s="1630">
        <v>28920</v>
      </c>
    </row>
    <row r="394" spans="1:12" ht="15">
      <c r="A394" s="1604">
        <v>60</v>
      </c>
      <c r="B394" s="1605">
        <v>55183</v>
      </c>
      <c r="C394" s="1605" t="s">
        <v>1295</v>
      </c>
      <c r="D394" s="1605" t="s">
        <v>1296</v>
      </c>
      <c r="E394" s="1605" t="s">
        <v>1159</v>
      </c>
      <c r="F394" s="1605" t="s">
        <v>1160</v>
      </c>
      <c r="G394" s="1605" t="s">
        <v>1297</v>
      </c>
      <c r="H394" s="1605">
        <v>94347</v>
      </c>
      <c r="I394" s="1605">
        <v>98948</v>
      </c>
      <c r="J394" s="1605" t="s">
        <v>1298</v>
      </c>
      <c r="K394" s="1605" t="s">
        <v>1299</v>
      </c>
      <c r="L394" s="1626">
        <v>29096</v>
      </c>
    </row>
    <row r="395" spans="1:12" ht="15">
      <c r="A395" s="1604">
        <v>6</v>
      </c>
      <c r="B395" s="1605">
        <v>79452</v>
      </c>
      <c r="C395" s="1605" t="s">
        <v>1126</v>
      </c>
      <c r="D395" s="1605" t="s">
        <v>1127</v>
      </c>
      <c r="E395" s="1605" t="s">
        <v>1108</v>
      </c>
      <c r="F395" s="1605" t="s">
        <v>1109</v>
      </c>
      <c r="G395" s="1605" t="s">
        <v>1812</v>
      </c>
      <c r="H395" s="1605">
        <v>94347</v>
      </c>
      <c r="I395" s="1605">
        <v>7599</v>
      </c>
      <c r="J395" s="1608" t="s">
        <v>1817</v>
      </c>
      <c r="K395" s="1632" t="s">
        <v>1129</v>
      </c>
      <c r="L395" s="1630">
        <v>29152</v>
      </c>
    </row>
    <row r="396" spans="1:12" ht="15">
      <c r="A396" s="1604">
        <v>142</v>
      </c>
      <c r="B396" s="1623">
        <v>44318</v>
      </c>
      <c r="C396" s="1623" t="s">
        <v>1754</v>
      </c>
      <c r="D396" s="1623" t="s">
        <v>1755</v>
      </c>
      <c r="E396" s="1641" t="s">
        <v>1818</v>
      </c>
      <c r="F396" s="1623" t="s">
        <v>1102</v>
      </c>
      <c r="G396" s="1623" t="s">
        <v>1757</v>
      </c>
      <c r="H396" s="1623">
        <v>94347</v>
      </c>
      <c r="I396" s="1623">
        <v>98853</v>
      </c>
      <c r="J396" s="1623" t="s">
        <v>1758</v>
      </c>
      <c r="K396" s="1623" t="s">
        <v>1759</v>
      </c>
      <c r="L396" s="1626">
        <v>29392</v>
      </c>
    </row>
    <row r="397" spans="1:12" ht="15">
      <c r="A397" s="1602">
        <v>137</v>
      </c>
      <c r="B397" s="1603">
        <v>55152</v>
      </c>
      <c r="C397" s="1603" t="s">
        <v>1693</v>
      </c>
      <c r="D397" s="1603" t="s">
        <v>1694</v>
      </c>
      <c r="E397" s="1603" t="s">
        <v>1159</v>
      </c>
      <c r="F397" s="1603" t="s">
        <v>1160</v>
      </c>
      <c r="G397" s="1603" t="s">
        <v>1686</v>
      </c>
      <c r="H397" s="1603">
        <v>94347</v>
      </c>
      <c r="I397" s="1603">
        <v>98877</v>
      </c>
      <c r="J397" s="1603" t="s">
        <v>1695</v>
      </c>
      <c r="K397" s="1627" t="s">
        <v>1696</v>
      </c>
      <c r="L397" s="1628">
        <v>29745</v>
      </c>
    </row>
    <row r="398" spans="1:12" ht="15">
      <c r="A398" s="1604">
        <v>22</v>
      </c>
      <c r="B398" s="1605">
        <v>34702</v>
      </c>
      <c r="C398" s="1605" t="s">
        <v>1662</v>
      </c>
      <c r="D398" s="1605" t="s">
        <v>1663</v>
      </c>
      <c r="E398" s="1605" t="s">
        <v>1165</v>
      </c>
      <c r="F398" s="1605" t="s">
        <v>1166</v>
      </c>
      <c r="G398" s="1605" t="s">
        <v>1627</v>
      </c>
      <c r="H398" s="1605">
        <v>94347</v>
      </c>
      <c r="I398" s="1605">
        <v>98669</v>
      </c>
      <c r="J398" s="1605" t="s">
        <v>1664</v>
      </c>
      <c r="K398" s="1605" t="s">
        <v>1665</v>
      </c>
      <c r="L398" s="1626">
        <v>30242</v>
      </c>
    </row>
    <row r="399" spans="1:12" ht="15">
      <c r="A399" s="1604">
        <v>146</v>
      </c>
      <c r="B399" s="1605">
        <v>15293</v>
      </c>
      <c r="C399" s="1605" t="s">
        <v>1740</v>
      </c>
      <c r="D399" s="1605" t="s">
        <v>1741</v>
      </c>
      <c r="E399" s="1605" t="s">
        <v>1165</v>
      </c>
      <c r="F399" s="1605" t="s">
        <v>1166</v>
      </c>
      <c r="G399" s="1605" t="s">
        <v>1819</v>
      </c>
      <c r="H399" s="1605">
        <v>94347</v>
      </c>
      <c r="I399" s="1605">
        <v>98973</v>
      </c>
      <c r="J399" s="1605" t="s">
        <v>1743</v>
      </c>
      <c r="K399" s="1634" t="s">
        <v>1744</v>
      </c>
      <c r="L399" s="1630">
        <v>30447</v>
      </c>
    </row>
    <row r="400" spans="1:12" ht="15">
      <c r="A400" s="1604">
        <v>92</v>
      </c>
      <c r="B400" s="1605">
        <v>66976</v>
      </c>
      <c r="C400" s="1605" t="s">
        <v>1437</v>
      </c>
      <c r="D400" s="1605" t="s">
        <v>1438</v>
      </c>
      <c r="E400" s="1605" t="s">
        <v>1165</v>
      </c>
      <c r="F400" s="1605" t="s">
        <v>1166</v>
      </c>
      <c r="G400" s="1605" t="s">
        <v>1430</v>
      </c>
      <c r="H400" s="1605">
        <v>94347</v>
      </c>
      <c r="I400" s="1605">
        <v>98964</v>
      </c>
      <c r="J400" s="1605" t="s">
        <v>1439</v>
      </c>
      <c r="K400" s="1605" t="s">
        <v>1440</v>
      </c>
      <c r="L400" s="1635">
        <v>30529</v>
      </c>
    </row>
    <row r="401" spans="1:12" ht="15">
      <c r="A401" s="1602">
        <v>49</v>
      </c>
      <c r="B401" s="1603">
        <v>55091</v>
      </c>
      <c r="C401" s="1603" t="s">
        <v>1248</v>
      </c>
      <c r="D401" s="1603" t="s">
        <v>1249</v>
      </c>
      <c r="E401" s="1603" t="s">
        <v>1159</v>
      </c>
      <c r="F401" s="1603" t="s">
        <v>1160</v>
      </c>
      <c r="G401" s="1603" t="s">
        <v>711</v>
      </c>
      <c r="H401" s="1603">
        <v>94347</v>
      </c>
      <c r="I401" s="1603">
        <v>98680</v>
      </c>
      <c r="J401" s="1603" t="s">
        <v>1250</v>
      </c>
      <c r="K401" s="1603" t="s">
        <v>1251</v>
      </c>
      <c r="L401" s="1628">
        <v>30614</v>
      </c>
    </row>
    <row r="402" spans="1:12" ht="15">
      <c r="A402" s="1602">
        <v>11</v>
      </c>
      <c r="B402" s="1603">
        <v>81557</v>
      </c>
      <c r="C402" s="1603" t="s">
        <v>1745</v>
      </c>
      <c r="D402" s="1603" t="s">
        <v>1746</v>
      </c>
      <c r="E402" s="1603" t="s">
        <v>1179</v>
      </c>
      <c r="F402" s="1603" t="s">
        <v>1180</v>
      </c>
      <c r="G402" s="1603" t="s">
        <v>1720</v>
      </c>
      <c r="H402" s="1603">
        <v>94347</v>
      </c>
      <c r="I402" s="1603">
        <v>98997</v>
      </c>
      <c r="J402" s="1607" t="s">
        <v>1747</v>
      </c>
      <c r="K402" s="1603" t="s">
        <v>1748</v>
      </c>
      <c r="L402" s="1629">
        <v>30645</v>
      </c>
    </row>
    <row r="403" spans="1:12" ht="15">
      <c r="A403" s="1604">
        <v>54</v>
      </c>
      <c r="B403" s="1605">
        <v>55199</v>
      </c>
      <c r="C403" s="1605" t="s">
        <v>1269</v>
      </c>
      <c r="D403" s="1605" t="s">
        <v>1270</v>
      </c>
      <c r="E403" s="1605" t="s">
        <v>1165</v>
      </c>
      <c r="F403" s="1605" t="s">
        <v>1166</v>
      </c>
      <c r="G403" s="1605" t="s">
        <v>784</v>
      </c>
      <c r="H403" s="1605">
        <v>94347</v>
      </c>
      <c r="I403" s="1605">
        <v>98917</v>
      </c>
      <c r="J403" s="1605" t="s">
        <v>1271</v>
      </c>
      <c r="K403" s="1632" t="s">
        <v>1272</v>
      </c>
      <c r="L403" s="1630">
        <v>30806</v>
      </c>
    </row>
    <row r="404" spans="1:12" ht="15">
      <c r="A404" s="1602">
        <v>77</v>
      </c>
      <c r="B404" s="1603">
        <v>55174</v>
      </c>
      <c r="C404" s="1603" t="s">
        <v>1365</v>
      </c>
      <c r="D404" s="1603" t="s">
        <v>1366</v>
      </c>
      <c r="E404" s="1603" t="s">
        <v>1165</v>
      </c>
      <c r="F404" s="1603" t="s">
        <v>1166</v>
      </c>
      <c r="G404" s="1603" t="s">
        <v>1367</v>
      </c>
      <c r="H404" s="1603">
        <v>94347</v>
      </c>
      <c r="I404" s="1603">
        <v>98949</v>
      </c>
      <c r="J404" s="1603" t="s">
        <v>1368</v>
      </c>
      <c r="K404" s="1603" t="s">
        <v>1369</v>
      </c>
      <c r="L404" s="1637">
        <v>31029</v>
      </c>
    </row>
    <row r="405" spans="1:12" ht="15">
      <c r="A405" s="1602">
        <v>109</v>
      </c>
      <c r="B405" s="1603">
        <v>52107</v>
      </c>
      <c r="C405" s="1603" t="s">
        <v>1514</v>
      </c>
      <c r="D405" s="1603" t="s">
        <v>1515</v>
      </c>
      <c r="E405" s="1603" t="s">
        <v>1165</v>
      </c>
      <c r="F405" s="1603" t="s">
        <v>1166</v>
      </c>
      <c r="G405" s="1603" t="s">
        <v>1499</v>
      </c>
      <c r="H405" s="1603">
        <v>94347</v>
      </c>
      <c r="I405" s="1603">
        <v>98921</v>
      </c>
      <c r="J405" s="1603" t="s">
        <v>1516</v>
      </c>
      <c r="K405" s="1603" t="s">
        <v>1517</v>
      </c>
      <c r="L405" s="1638">
        <v>31031</v>
      </c>
    </row>
    <row r="406" spans="1:12" ht="15">
      <c r="A406" s="1604">
        <v>104</v>
      </c>
      <c r="B406" s="1605">
        <v>55173</v>
      </c>
      <c r="C406" s="1605" t="s">
        <v>1493</v>
      </c>
      <c r="D406" s="1605" t="s">
        <v>763</v>
      </c>
      <c r="E406" s="1605" t="s">
        <v>1165</v>
      </c>
      <c r="F406" s="1605" t="s">
        <v>1166</v>
      </c>
      <c r="G406" s="1605" t="s">
        <v>1494</v>
      </c>
      <c r="H406" s="1605">
        <v>94347</v>
      </c>
      <c r="I406" s="1605">
        <v>98866</v>
      </c>
      <c r="J406" s="1605" t="s">
        <v>1495</v>
      </c>
      <c r="K406" s="1605" t="s">
        <v>1496</v>
      </c>
      <c r="L406" s="1626">
        <v>31200</v>
      </c>
    </row>
    <row r="407" spans="1:12" ht="15">
      <c r="A407" s="1604">
        <v>138</v>
      </c>
      <c r="B407" s="1605">
        <v>99841</v>
      </c>
      <c r="C407" s="1605" t="s">
        <v>1701</v>
      </c>
      <c r="D407" s="1605" t="s">
        <v>1702</v>
      </c>
      <c r="E407" s="1605" t="s">
        <v>1165</v>
      </c>
      <c r="F407" s="1605" t="s">
        <v>1166</v>
      </c>
      <c r="G407" s="1605" t="s">
        <v>1686</v>
      </c>
      <c r="H407" s="1605">
        <v>94347</v>
      </c>
      <c r="I407" s="1605">
        <v>98965</v>
      </c>
      <c r="J407" s="1605" t="s">
        <v>1703</v>
      </c>
      <c r="K407" s="1632" t="s">
        <v>1704</v>
      </c>
      <c r="L407" s="1633">
        <v>31208</v>
      </c>
    </row>
    <row r="408" spans="1:12" ht="15">
      <c r="A408" s="1602">
        <v>31</v>
      </c>
      <c r="B408" s="1603">
        <v>90972</v>
      </c>
      <c r="C408" s="1603" t="s">
        <v>1169</v>
      </c>
      <c r="D408" s="1603" t="s">
        <v>1170</v>
      </c>
      <c r="E408" s="1603" t="s">
        <v>1165</v>
      </c>
      <c r="F408" s="1603" t="s">
        <v>1166</v>
      </c>
      <c r="G408" s="1603" t="s">
        <v>1142</v>
      </c>
      <c r="H408" s="1603">
        <v>94347</v>
      </c>
      <c r="I408" s="1603">
        <v>98673</v>
      </c>
      <c r="J408" s="1603" t="s">
        <v>1171</v>
      </c>
      <c r="K408" s="1603" t="s">
        <v>1172</v>
      </c>
      <c r="L408" s="1629">
        <v>31370</v>
      </c>
    </row>
    <row r="409" spans="1:12" ht="15">
      <c r="A409" s="1602">
        <v>131</v>
      </c>
      <c r="B409" s="1603">
        <v>87151</v>
      </c>
      <c r="C409" s="1603" t="s">
        <v>1617</v>
      </c>
      <c r="D409" s="1603" t="s">
        <v>1618</v>
      </c>
      <c r="E409" s="1603" t="s">
        <v>1165</v>
      </c>
      <c r="F409" s="1603" t="s">
        <v>1166</v>
      </c>
      <c r="G409" s="1603" t="s">
        <v>1610</v>
      </c>
      <c r="H409" s="1603">
        <v>94347</v>
      </c>
      <c r="I409" s="1603">
        <v>98963</v>
      </c>
      <c r="J409" s="1603" t="s">
        <v>1619</v>
      </c>
      <c r="K409" s="1627" t="s">
        <v>1620</v>
      </c>
      <c r="L409" s="1638">
        <v>31418</v>
      </c>
    </row>
    <row r="410" spans="1:12" ht="15">
      <c r="A410" s="1604">
        <v>128</v>
      </c>
      <c r="B410" s="1605">
        <v>49892</v>
      </c>
      <c r="C410" s="1605" t="s">
        <v>1599</v>
      </c>
      <c r="D410" s="1605" t="s">
        <v>1600</v>
      </c>
      <c r="E410" s="1605" t="s">
        <v>1165</v>
      </c>
      <c r="F410" s="1605" t="s">
        <v>1166</v>
      </c>
      <c r="G410" s="1605" t="s">
        <v>1596</v>
      </c>
      <c r="H410" s="1605">
        <v>94347</v>
      </c>
      <c r="I410" s="1605">
        <v>98677</v>
      </c>
      <c r="J410" s="1608" t="s">
        <v>1820</v>
      </c>
      <c r="K410" s="1608" t="s">
        <v>1602</v>
      </c>
      <c r="L410" s="1626">
        <v>31541</v>
      </c>
    </row>
    <row r="411" spans="1:12" ht="15">
      <c r="A411" s="1602">
        <v>75</v>
      </c>
      <c r="B411" s="1603">
        <v>81853</v>
      </c>
      <c r="C411" s="1603" t="s">
        <v>1361</v>
      </c>
      <c r="D411" s="1603" t="s">
        <v>1362</v>
      </c>
      <c r="E411" s="1603" t="s">
        <v>1165</v>
      </c>
      <c r="F411" s="1603" t="s">
        <v>1166</v>
      </c>
      <c r="G411" s="1603" t="s">
        <v>1358</v>
      </c>
      <c r="H411" s="1603">
        <v>94347</v>
      </c>
      <c r="I411" s="1603">
        <v>98675</v>
      </c>
      <c r="J411" s="1627" t="s">
        <v>1363</v>
      </c>
      <c r="K411" s="1627" t="s">
        <v>1364</v>
      </c>
      <c r="L411" s="1638">
        <v>31967</v>
      </c>
    </row>
    <row r="412" spans="1:12" ht="15">
      <c r="A412" s="1604">
        <v>82</v>
      </c>
      <c r="B412" s="1605">
        <v>99181</v>
      </c>
      <c r="C412" s="1605" t="s">
        <v>1384</v>
      </c>
      <c r="D412" s="1605" t="s">
        <v>1385</v>
      </c>
      <c r="E412" s="1605" t="s">
        <v>1165</v>
      </c>
      <c r="F412" s="1605" t="s">
        <v>1166</v>
      </c>
      <c r="G412" s="1605" t="s">
        <v>1381</v>
      </c>
      <c r="H412" s="1605">
        <v>94347</v>
      </c>
      <c r="I412" s="1605">
        <v>98916</v>
      </c>
      <c r="J412" s="1605" t="s">
        <v>1386</v>
      </c>
      <c r="K412" s="1605" t="s">
        <v>1387</v>
      </c>
      <c r="L412" s="1626">
        <v>31990</v>
      </c>
    </row>
    <row r="413" spans="1:12" ht="15">
      <c r="A413" s="1602">
        <v>93</v>
      </c>
      <c r="B413" s="1603">
        <v>55160</v>
      </c>
      <c r="C413" s="1603" t="s">
        <v>1441</v>
      </c>
      <c r="D413" s="1603" t="s">
        <v>1442</v>
      </c>
      <c r="E413" s="1603" t="s">
        <v>1165</v>
      </c>
      <c r="F413" s="1603" t="s">
        <v>1166</v>
      </c>
      <c r="G413" s="1603" t="s">
        <v>1430</v>
      </c>
      <c r="H413" s="1603">
        <v>94347</v>
      </c>
      <c r="I413" s="1603">
        <v>98918</v>
      </c>
      <c r="J413" s="1603" t="s">
        <v>1443</v>
      </c>
      <c r="K413" s="1627" t="s">
        <v>1444</v>
      </c>
      <c r="L413" s="1638">
        <v>32024</v>
      </c>
    </row>
    <row r="414" spans="1:12" ht="15">
      <c r="A414" s="1604">
        <v>132</v>
      </c>
      <c r="B414" s="1605">
        <v>75010</v>
      </c>
      <c r="C414" s="1605" t="s">
        <v>1621</v>
      </c>
      <c r="D414" s="1605" t="s">
        <v>1622</v>
      </c>
      <c r="E414" s="1605" t="s">
        <v>1188</v>
      </c>
      <c r="F414" s="1605" t="s">
        <v>1189</v>
      </c>
      <c r="G414" s="1605" t="s">
        <v>1610</v>
      </c>
      <c r="H414" s="1605">
        <v>94347</v>
      </c>
      <c r="I414" s="1605">
        <v>98607</v>
      </c>
      <c r="J414" s="1605" t="s">
        <v>1623</v>
      </c>
      <c r="K414" s="1605" t="s">
        <v>1624</v>
      </c>
      <c r="L414" s="1626">
        <v>32163</v>
      </c>
    </row>
    <row r="415" spans="1:12" ht="15">
      <c r="A415" s="1604">
        <v>24</v>
      </c>
      <c r="B415" s="1605">
        <v>89194</v>
      </c>
      <c r="C415" s="1605" t="s">
        <v>1670</v>
      </c>
      <c r="D415" s="1605" t="s">
        <v>1671</v>
      </c>
      <c r="E415" s="1605" t="s">
        <v>1188</v>
      </c>
      <c r="F415" s="1605" t="s">
        <v>1189</v>
      </c>
      <c r="G415" s="1605" t="s">
        <v>1627</v>
      </c>
      <c r="H415" s="1605">
        <v>94347</v>
      </c>
      <c r="I415" s="1605">
        <v>98754</v>
      </c>
      <c r="J415" s="1605" t="s">
        <v>1672</v>
      </c>
      <c r="K415" s="1632" t="s">
        <v>1673</v>
      </c>
      <c r="L415" s="1630">
        <v>32301</v>
      </c>
    </row>
    <row r="416" spans="1:12" ht="15">
      <c r="A416" s="1604">
        <v>46</v>
      </c>
      <c r="B416" s="1605">
        <v>70153</v>
      </c>
      <c r="C416" s="1605" t="s">
        <v>1236</v>
      </c>
      <c r="D416" s="1605" t="s">
        <v>1237</v>
      </c>
      <c r="E416" s="1605" t="s">
        <v>1101</v>
      </c>
      <c r="F416" s="1605" t="s">
        <v>1102</v>
      </c>
      <c r="G416" s="1605" t="s">
        <v>711</v>
      </c>
      <c r="H416" s="1605">
        <v>94347</v>
      </c>
      <c r="I416" s="1605">
        <v>98814</v>
      </c>
      <c r="J416" s="1605" t="s">
        <v>1238</v>
      </c>
      <c r="K416" s="1605" t="s">
        <v>1239</v>
      </c>
      <c r="L416" s="1626">
        <v>32347</v>
      </c>
    </row>
    <row r="417" spans="1:12" ht="15">
      <c r="A417" s="1604">
        <v>40</v>
      </c>
      <c r="B417" s="1605">
        <v>53502</v>
      </c>
      <c r="C417" s="1605" t="s">
        <v>1213</v>
      </c>
      <c r="D417" s="1605" t="s">
        <v>1214</v>
      </c>
      <c r="E417" s="1605" t="s">
        <v>1165</v>
      </c>
      <c r="F417" s="1605" t="s">
        <v>1166</v>
      </c>
      <c r="G417" s="1605" t="s">
        <v>1202</v>
      </c>
      <c r="H417" s="1605">
        <v>94347</v>
      </c>
      <c r="I417" s="1605">
        <v>98800</v>
      </c>
      <c r="J417" s="1605" t="s">
        <v>1215</v>
      </c>
      <c r="K417" s="1605" t="s">
        <v>1216</v>
      </c>
      <c r="L417" s="1630">
        <v>32381</v>
      </c>
    </row>
    <row r="418" spans="1:12" ht="15">
      <c r="A418" s="1604">
        <v>78</v>
      </c>
      <c r="B418" s="1605">
        <v>73133</v>
      </c>
      <c r="C418" s="1605" t="s">
        <v>1370</v>
      </c>
      <c r="D418" s="1605" t="s">
        <v>1371</v>
      </c>
      <c r="E418" s="1605" t="s">
        <v>1179</v>
      </c>
      <c r="F418" s="1605" t="s">
        <v>1180</v>
      </c>
      <c r="G418" s="1605" t="s">
        <v>1367</v>
      </c>
      <c r="H418" s="1605">
        <v>94347</v>
      </c>
      <c r="I418" s="1605">
        <v>98645</v>
      </c>
      <c r="J418" s="1605" t="s">
        <v>1372</v>
      </c>
      <c r="K418" s="1605" t="s">
        <v>1373</v>
      </c>
      <c r="L418" s="1626">
        <v>32649</v>
      </c>
    </row>
    <row r="419" spans="1:12" ht="15">
      <c r="A419" s="1602">
        <v>67</v>
      </c>
      <c r="B419" s="1603">
        <v>89400</v>
      </c>
      <c r="C419" s="1603" t="s">
        <v>1326</v>
      </c>
      <c r="D419" s="1603" t="s">
        <v>1327</v>
      </c>
      <c r="E419" s="1603" t="s">
        <v>1188</v>
      </c>
      <c r="F419" s="1603" t="s">
        <v>1189</v>
      </c>
      <c r="G419" s="1603" t="s">
        <v>1307</v>
      </c>
      <c r="H419" s="1603">
        <v>94347</v>
      </c>
      <c r="I419" s="1603">
        <v>98630</v>
      </c>
      <c r="J419" s="1603" t="s">
        <v>1328</v>
      </c>
      <c r="K419" s="1627" t="s">
        <v>1329</v>
      </c>
      <c r="L419" s="1628">
        <v>32729</v>
      </c>
    </row>
    <row r="420" spans="1:12" ht="15">
      <c r="A420" s="1602">
        <v>121</v>
      </c>
      <c r="B420" s="1603">
        <v>48782</v>
      </c>
      <c r="C420" s="1603" t="s">
        <v>1569</v>
      </c>
      <c r="D420" s="1603" t="s">
        <v>1570</v>
      </c>
      <c r="E420" s="1603" t="s">
        <v>1179</v>
      </c>
      <c r="F420" s="1603" t="s">
        <v>1180</v>
      </c>
      <c r="G420" s="1603" t="s">
        <v>1546</v>
      </c>
      <c r="H420" s="1603">
        <v>94347</v>
      </c>
      <c r="I420" s="1603">
        <v>98887</v>
      </c>
      <c r="J420" s="1603" t="s">
        <v>1571</v>
      </c>
      <c r="K420" s="1603" t="s">
        <v>1572</v>
      </c>
      <c r="L420" s="1629">
        <v>32802</v>
      </c>
    </row>
    <row r="421" spans="1:12" ht="15">
      <c r="A421" s="1602">
        <v>35</v>
      </c>
      <c r="B421" s="1603">
        <v>90973</v>
      </c>
      <c r="C421" s="1603" t="s">
        <v>1186</v>
      </c>
      <c r="D421" s="1603" t="s">
        <v>1187</v>
      </c>
      <c r="E421" s="1603" t="s">
        <v>1188</v>
      </c>
      <c r="F421" s="1603" t="s">
        <v>1189</v>
      </c>
      <c r="G421" s="1603" t="s">
        <v>1142</v>
      </c>
      <c r="H421" s="1603">
        <v>94347</v>
      </c>
      <c r="I421" s="1603">
        <v>98753</v>
      </c>
      <c r="J421" s="1603" t="s">
        <v>1190</v>
      </c>
      <c r="K421" s="1627" t="s">
        <v>1191</v>
      </c>
      <c r="L421" s="1628">
        <v>32977</v>
      </c>
    </row>
    <row r="422" spans="1:12" ht="15">
      <c r="A422" s="1604">
        <v>122</v>
      </c>
      <c r="B422" s="1605">
        <v>44342</v>
      </c>
      <c r="C422" s="1605" t="s">
        <v>1573</v>
      </c>
      <c r="D422" s="1605" t="s">
        <v>1574</v>
      </c>
      <c r="E422" s="1605" t="s">
        <v>1188</v>
      </c>
      <c r="F422" s="1605" t="s">
        <v>1189</v>
      </c>
      <c r="G422" s="1605" t="s">
        <v>1546</v>
      </c>
      <c r="H422" s="1605">
        <v>94347</v>
      </c>
      <c r="I422" s="1605">
        <v>98639</v>
      </c>
      <c r="J422" s="1605" t="s">
        <v>1575</v>
      </c>
      <c r="K422" s="1605" t="s">
        <v>1576</v>
      </c>
      <c r="L422" s="1626">
        <v>33168</v>
      </c>
    </row>
    <row r="423" spans="1:12" ht="15">
      <c r="A423" s="1602">
        <v>71</v>
      </c>
      <c r="B423" s="1603">
        <v>55256</v>
      </c>
      <c r="C423" s="1603" t="s">
        <v>1343</v>
      </c>
      <c r="D423" s="1603" t="s">
        <v>1249</v>
      </c>
      <c r="E423" s="1603" t="s">
        <v>1188</v>
      </c>
      <c r="F423" s="1603" t="s">
        <v>1189</v>
      </c>
      <c r="G423" s="1603" t="s">
        <v>1332</v>
      </c>
      <c r="H423" s="1603">
        <v>94347</v>
      </c>
      <c r="I423" s="1603">
        <v>98904</v>
      </c>
      <c r="J423" s="1603" t="s">
        <v>1344</v>
      </c>
      <c r="K423" s="1603" t="s">
        <v>1345</v>
      </c>
      <c r="L423" s="1628">
        <v>33261</v>
      </c>
    </row>
    <row r="424" spans="1:12" ht="15">
      <c r="A424" s="1604">
        <v>66</v>
      </c>
      <c r="B424" s="1605">
        <v>58491</v>
      </c>
      <c r="C424" s="1605" t="s">
        <v>1322</v>
      </c>
      <c r="D424" s="1605" t="s">
        <v>1323</v>
      </c>
      <c r="E424" s="1605" t="s">
        <v>1179</v>
      </c>
      <c r="F424" s="1605" t="s">
        <v>1180</v>
      </c>
      <c r="G424" s="1605" t="s">
        <v>1307</v>
      </c>
      <c r="H424" s="1605">
        <v>94347</v>
      </c>
      <c r="I424" s="1605">
        <v>98616</v>
      </c>
      <c r="J424" s="1605" t="s">
        <v>1324</v>
      </c>
      <c r="K424" s="1650" t="s">
        <v>1325</v>
      </c>
      <c r="L424" s="1626">
        <v>33319</v>
      </c>
    </row>
    <row r="425" spans="1:12" ht="15">
      <c r="A425" s="1602">
        <v>83</v>
      </c>
      <c r="B425" s="1603">
        <v>58487</v>
      </c>
      <c r="C425" s="1603" t="s">
        <v>1388</v>
      </c>
      <c r="D425" s="1603" t="s">
        <v>1389</v>
      </c>
      <c r="E425" s="1603" t="s">
        <v>1188</v>
      </c>
      <c r="F425" s="1603" t="s">
        <v>1189</v>
      </c>
      <c r="G425" s="1603" t="s">
        <v>1381</v>
      </c>
      <c r="H425" s="1603">
        <v>94347</v>
      </c>
      <c r="I425" s="1603">
        <v>98694</v>
      </c>
      <c r="J425" s="1603" t="s">
        <v>1390</v>
      </c>
      <c r="K425" s="1603" t="s">
        <v>1391</v>
      </c>
      <c r="L425" s="1629">
        <v>33436</v>
      </c>
    </row>
    <row r="430" spans="1:12" ht="15.75">
      <c r="E430" s="2925" t="s">
        <v>1821</v>
      </c>
      <c r="F430" s="2925"/>
      <c r="G430" s="2925"/>
    </row>
    <row r="431" spans="1:12" ht="15">
      <c r="A431" s="1600" t="s">
        <v>1822</v>
      </c>
      <c r="B431" s="1600" t="s">
        <v>1083</v>
      </c>
      <c r="C431" s="1600" t="s">
        <v>1084</v>
      </c>
      <c r="D431" s="1601" t="s">
        <v>1085</v>
      </c>
      <c r="E431" s="1600" t="s">
        <v>1086</v>
      </c>
      <c r="F431" s="1600" t="s">
        <v>1087</v>
      </c>
      <c r="G431" s="1601" t="s">
        <v>1088</v>
      </c>
      <c r="H431" s="1600" t="s">
        <v>1089</v>
      </c>
      <c r="I431" s="1600" t="s">
        <v>1823</v>
      </c>
      <c r="J431" s="1601" t="s">
        <v>1824</v>
      </c>
      <c r="K431" s="1606" t="s">
        <v>1091</v>
      </c>
    </row>
    <row r="432" spans="1:12" ht="15">
      <c r="A432" s="1642">
        <v>1</v>
      </c>
      <c r="B432" s="1642">
        <v>89452</v>
      </c>
      <c r="C432" s="1642" t="s">
        <v>1092</v>
      </c>
      <c r="D432" s="1643" t="s">
        <v>1093</v>
      </c>
      <c r="E432" s="1642" t="s">
        <v>1094</v>
      </c>
      <c r="F432" s="1642" t="s">
        <v>1095</v>
      </c>
      <c r="G432" s="1643" t="s">
        <v>1096</v>
      </c>
      <c r="H432" s="1642">
        <v>9434707608</v>
      </c>
      <c r="I432" s="1642">
        <v>8200</v>
      </c>
      <c r="J432" s="1643" t="s">
        <v>1097</v>
      </c>
      <c r="K432" s="1607" t="s">
        <v>1098</v>
      </c>
    </row>
    <row r="433" spans="1:11" ht="15">
      <c r="A433" s="1604">
        <v>2</v>
      </c>
      <c r="B433" s="1604">
        <v>2129</v>
      </c>
      <c r="C433" s="1604" t="s">
        <v>1684</v>
      </c>
      <c r="D433" s="1644" t="s">
        <v>1685</v>
      </c>
      <c r="E433" s="1604" t="s">
        <v>1101</v>
      </c>
      <c r="F433" s="1604" t="s">
        <v>1102</v>
      </c>
      <c r="G433" s="1644" t="s">
        <v>1825</v>
      </c>
      <c r="H433" s="1604">
        <v>9434798731</v>
      </c>
      <c r="I433" s="1604">
        <v>8265</v>
      </c>
      <c r="J433" s="1644" t="s">
        <v>1687</v>
      </c>
      <c r="K433" s="1644" t="s">
        <v>1688</v>
      </c>
    </row>
    <row r="434" spans="1:11" ht="15">
      <c r="A434" s="1602">
        <v>3</v>
      </c>
      <c r="B434" s="1602">
        <v>148</v>
      </c>
      <c r="C434" s="1602" t="s">
        <v>1106</v>
      </c>
      <c r="D434" s="1645" t="s">
        <v>1107</v>
      </c>
      <c r="E434" s="1602" t="s">
        <v>1188</v>
      </c>
      <c r="F434" s="1602" t="s">
        <v>1189</v>
      </c>
      <c r="G434" s="1645" t="s">
        <v>1816</v>
      </c>
      <c r="H434" s="1602">
        <v>9434798922</v>
      </c>
      <c r="I434" s="1602">
        <v>8917</v>
      </c>
      <c r="J434" s="1645" t="s">
        <v>1110</v>
      </c>
      <c r="K434" s="1651" t="s">
        <v>1111</v>
      </c>
    </row>
    <row r="435" spans="1:11" ht="15">
      <c r="A435" s="648">
        <v>4</v>
      </c>
      <c r="B435" s="648">
        <v>44438</v>
      </c>
      <c r="C435" s="648" t="s">
        <v>1140</v>
      </c>
      <c r="D435" s="1646" t="s">
        <v>1141</v>
      </c>
      <c r="E435" s="648" t="s">
        <v>1826</v>
      </c>
      <c r="F435" s="648" t="s">
        <v>1115</v>
      </c>
      <c r="G435" s="1646" t="s">
        <v>1827</v>
      </c>
      <c r="H435" s="648">
        <v>9434798701</v>
      </c>
      <c r="I435" s="648">
        <v>8360</v>
      </c>
      <c r="J435" s="1646" t="s">
        <v>1143</v>
      </c>
      <c r="K435" s="1646" t="s">
        <v>1144</v>
      </c>
    </row>
    <row r="436" spans="1:11" ht="15">
      <c r="A436" s="1602">
        <v>5</v>
      </c>
      <c r="B436" s="1602">
        <v>10627</v>
      </c>
      <c r="C436" s="1602" t="s">
        <v>1119</v>
      </c>
      <c r="D436" s="1603" t="s">
        <v>1120</v>
      </c>
      <c r="E436" s="1602" t="s">
        <v>1101</v>
      </c>
      <c r="F436" s="1602" t="s">
        <v>1102</v>
      </c>
      <c r="G436" s="1603" t="s">
        <v>1812</v>
      </c>
      <c r="H436" s="1602">
        <v>9434798824</v>
      </c>
      <c r="I436" s="1602">
        <v>8035</v>
      </c>
      <c r="J436" s="1603" t="s">
        <v>1124</v>
      </c>
      <c r="K436" s="1603" t="s">
        <v>1125</v>
      </c>
    </row>
    <row r="437" spans="1:11" ht="15">
      <c r="A437" s="1604">
        <v>6</v>
      </c>
      <c r="B437" s="1604">
        <v>79452</v>
      </c>
      <c r="C437" s="1604" t="s">
        <v>1126</v>
      </c>
      <c r="D437" s="1644" t="s">
        <v>1127</v>
      </c>
      <c r="E437" s="1604" t="s">
        <v>1188</v>
      </c>
      <c r="F437" s="1604" t="s">
        <v>1189</v>
      </c>
      <c r="G437" s="1644" t="s">
        <v>1812</v>
      </c>
      <c r="H437" s="1604">
        <v>9434707599</v>
      </c>
      <c r="I437" s="1604">
        <v>8999</v>
      </c>
      <c r="J437" s="1644" t="s">
        <v>1817</v>
      </c>
      <c r="K437" s="1644" t="s">
        <v>1129</v>
      </c>
    </row>
    <row r="438" spans="1:11" ht="15">
      <c r="A438" s="1642">
        <v>7</v>
      </c>
      <c r="B438" s="1647">
        <v>77004</v>
      </c>
      <c r="C438" s="1642" t="s">
        <v>1828</v>
      </c>
      <c r="D438" s="1643" t="s">
        <v>1829</v>
      </c>
      <c r="E438" s="1642" t="s">
        <v>1799</v>
      </c>
      <c r="F438" s="1648" t="s">
        <v>1115</v>
      </c>
      <c r="G438" s="1649" t="s">
        <v>1137</v>
      </c>
      <c r="H438" s="1647">
        <v>9434791386</v>
      </c>
      <c r="I438" s="1642"/>
      <c r="J438" s="1652"/>
      <c r="K438" s="1607" t="s">
        <v>1830</v>
      </c>
    </row>
    <row r="439" spans="1:11" ht="15">
      <c r="A439" s="648">
        <v>8</v>
      </c>
      <c r="B439" s="648">
        <v>60118</v>
      </c>
      <c r="C439" s="648" t="s">
        <v>1256</v>
      </c>
      <c r="D439" s="1646" t="s">
        <v>1257</v>
      </c>
      <c r="E439" s="648" t="s">
        <v>1136</v>
      </c>
      <c r="F439" s="648" t="s">
        <v>1102</v>
      </c>
      <c r="G439" s="1646" t="s">
        <v>1137</v>
      </c>
      <c r="H439" s="648">
        <v>9434798852</v>
      </c>
      <c r="I439" s="648">
        <v>8354</v>
      </c>
      <c r="J439" s="1646" t="s">
        <v>1259</v>
      </c>
      <c r="K439" s="1608" t="s">
        <v>1831</v>
      </c>
    </row>
    <row r="440" spans="1:11" ht="15">
      <c r="A440" s="1602">
        <v>9</v>
      </c>
      <c r="B440" s="1602">
        <v>6392</v>
      </c>
      <c r="C440" s="1602" t="s">
        <v>1173</v>
      </c>
      <c r="D440" s="1645" t="s">
        <v>1174</v>
      </c>
      <c r="E440" s="1602" t="s">
        <v>1159</v>
      </c>
      <c r="F440" s="1602" t="s">
        <v>1160</v>
      </c>
      <c r="G440" s="1645" t="s">
        <v>1223</v>
      </c>
      <c r="H440" s="1602">
        <v>9434798751</v>
      </c>
      <c r="I440" s="1602">
        <v>8059</v>
      </c>
      <c r="J440" s="1645" t="s">
        <v>1832</v>
      </c>
      <c r="K440" s="1645" t="s">
        <v>1176</v>
      </c>
    </row>
    <row r="441" spans="1:11" ht="15">
      <c r="A441" s="1604">
        <v>10</v>
      </c>
      <c r="B441" s="1604">
        <v>70153</v>
      </c>
      <c r="C441" s="1604" t="s">
        <v>1236</v>
      </c>
      <c r="D441" s="1644" t="s">
        <v>1237</v>
      </c>
      <c r="E441" s="1604" t="s">
        <v>1101</v>
      </c>
      <c r="F441" s="1604" t="s">
        <v>1102</v>
      </c>
      <c r="G441" s="1644" t="s">
        <v>1142</v>
      </c>
      <c r="H441" s="1604">
        <v>9434798814</v>
      </c>
      <c r="I441" s="1604">
        <v>8686</v>
      </c>
      <c r="J441" s="1644" t="s">
        <v>1238</v>
      </c>
      <c r="K441" s="1653" t="s">
        <v>1833</v>
      </c>
    </row>
    <row r="442" spans="1:11" ht="15">
      <c r="A442" s="1602">
        <v>11</v>
      </c>
      <c r="B442" s="1602">
        <v>11208</v>
      </c>
      <c r="C442" s="1602" t="s">
        <v>1149</v>
      </c>
      <c r="D442" s="1645" t="s">
        <v>1150</v>
      </c>
      <c r="E442" s="1602" t="s">
        <v>1101</v>
      </c>
      <c r="F442" s="1602" t="s">
        <v>1102</v>
      </c>
      <c r="G442" s="1645" t="s">
        <v>1142</v>
      </c>
      <c r="H442" s="1602">
        <v>9434798710</v>
      </c>
      <c r="I442" s="1602">
        <v>8933</v>
      </c>
      <c r="J442" s="1645" t="s">
        <v>1151</v>
      </c>
      <c r="K442" s="1651" t="s">
        <v>1152</v>
      </c>
    </row>
    <row r="443" spans="1:11" ht="15">
      <c r="A443" s="1604">
        <v>12</v>
      </c>
      <c r="B443" s="1604">
        <v>84424</v>
      </c>
      <c r="C443" s="1604" t="s">
        <v>1157</v>
      </c>
      <c r="D443" s="1644" t="s">
        <v>1158</v>
      </c>
      <c r="E443" s="1604" t="s">
        <v>1159</v>
      </c>
      <c r="F443" s="1604" t="s">
        <v>1160</v>
      </c>
      <c r="G443" s="1644" t="s">
        <v>1142</v>
      </c>
      <c r="H443" s="1604">
        <v>9434798958</v>
      </c>
      <c r="I443" s="1604"/>
      <c r="J443" s="1644" t="s">
        <v>1161</v>
      </c>
      <c r="K443" s="1653" t="s">
        <v>1162</v>
      </c>
    </row>
    <row r="444" spans="1:11" ht="15">
      <c r="A444" s="1602">
        <v>13</v>
      </c>
      <c r="B444" s="1602">
        <v>12653</v>
      </c>
      <c r="C444" s="1602" t="s">
        <v>1163</v>
      </c>
      <c r="D444" s="1645" t="s">
        <v>1164</v>
      </c>
      <c r="E444" s="1602" t="s">
        <v>1159</v>
      </c>
      <c r="F444" s="1602" t="s">
        <v>1160</v>
      </c>
      <c r="G444" s="1645" t="s">
        <v>1142</v>
      </c>
      <c r="H444" s="1602">
        <v>9434798762</v>
      </c>
      <c r="I444" s="1602"/>
      <c r="J444" s="1645" t="s">
        <v>1167</v>
      </c>
      <c r="K444" s="1651" t="s">
        <v>1168</v>
      </c>
    </row>
    <row r="445" spans="1:11" ht="15">
      <c r="A445" s="1604">
        <v>14</v>
      </c>
      <c r="B445" s="1604">
        <v>90972</v>
      </c>
      <c r="C445" s="1604" t="s">
        <v>1169</v>
      </c>
      <c r="D445" s="1644" t="s">
        <v>1170</v>
      </c>
      <c r="E445" s="1604" t="s">
        <v>1159</v>
      </c>
      <c r="F445" s="1604" t="s">
        <v>1160</v>
      </c>
      <c r="G445" s="1644" t="s">
        <v>1142</v>
      </c>
      <c r="H445" s="1604">
        <v>9434798673</v>
      </c>
      <c r="I445" s="1604"/>
      <c r="J445" s="1644" t="s">
        <v>1171</v>
      </c>
      <c r="K445" s="1644" t="s">
        <v>1172</v>
      </c>
    </row>
    <row r="446" spans="1:11" ht="15">
      <c r="A446" s="1602">
        <v>15</v>
      </c>
      <c r="B446" s="1602">
        <v>50171</v>
      </c>
      <c r="C446" s="1602" t="s">
        <v>1177</v>
      </c>
      <c r="D446" s="1645" t="s">
        <v>1178</v>
      </c>
      <c r="E446" s="1602" t="s">
        <v>1165</v>
      </c>
      <c r="F446" s="1602" t="s">
        <v>1166</v>
      </c>
      <c r="G446" s="1645" t="s">
        <v>1142</v>
      </c>
      <c r="H446" s="1602">
        <v>9434798989</v>
      </c>
      <c r="I446" s="1602"/>
      <c r="J446" s="1645" t="s">
        <v>1181</v>
      </c>
      <c r="K446" s="1645" t="s">
        <v>1182</v>
      </c>
    </row>
    <row r="447" spans="1:11" ht="15">
      <c r="A447" s="1604">
        <v>16</v>
      </c>
      <c r="B447" s="1604">
        <v>84172</v>
      </c>
      <c r="C447" s="1604" t="s">
        <v>1183</v>
      </c>
      <c r="D447" s="1605" t="s">
        <v>998</v>
      </c>
      <c r="E447" s="1604" t="s">
        <v>1165</v>
      </c>
      <c r="F447" s="1604" t="s">
        <v>1166</v>
      </c>
      <c r="G447" s="1605" t="s">
        <v>1142</v>
      </c>
      <c r="H447" s="1604">
        <v>9434798901</v>
      </c>
      <c r="I447" s="1604"/>
      <c r="J447" s="1605" t="s">
        <v>1184</v>
      </c>
      <c r="K447" s="1608" t="s">
        <v>1185</v>
      </c>
    </row>
    <row r="448" spans="1:11" ht="15">
      <c r="A448" s="1602">
        <v>17</v>
      </c>
      <c r="B448" s="1602">
        <v>44367</v>
      </c>
      <c r="C448" s="1602" t="s">
        <v>1577</v>
      </c>
      <c r="D448" s="1645" t="s">
        <v>1578</v>
      </c>
      <c r="E448" s="1602" t="s">
        <v>1188</v>
      </c>
      <c r="F448" s="1602" t="s">
        <v>1189</v>
      </c>
      <c r="G448" s="1645" t="s">
        <v>1142</v>
      </c>
      <c r="H448" s="1602">
        <v>9434798934</v>
      </c>
      <c r="I448" s="1602"/>
      <c r="J448" s="1645" t="s">
        <v>1579</v>
      </c>
      <c r="K448" s="1651" t="s">
        <v>1834</v>
      </c>
    </row>
    <row r="449" spans="1:11" ht="15">
      <c r="A449" s="1604">
        <v>18</v>
      </c>
      <c r="B449" s="1604">
        <v>56427</v>
      </c>
      <c r="C449" s="1604" t="s">
        <v>1192</v>
      </c>
      <c r="D449" s="1644" t="s">
        <v>1193</v>
      </c>
      <c r="E449" s="1604" t="s">
        <v>1188</v>
      </c>
      <c r="F449" s="1604" t="s">
        <v>1189</v>
      </c>
      <c r="G449" s="1644" t="s">
        <v>1142</v>
      </c>
      <c r="H449" s="1604">
        <v>9434798891</v>
      </c>
      <c r="I449" s="1604"/>
      <c r="J449" s="1644" t="s">
        <v>1194</v>
      </c>
      <c r="K449" s="1644" t="s">
        <v>1195</v>
      </c>
    </row>
    <row r="450" spans="1:11" ht="15">
      <c r="A450" s="1602">
        <v>19</v>
      </c>
      <c r="B450" s="1602">
        <v>53384</v>
      </c>
      <c r="C450" s="1602" t="s">
        <v>1196</v>
      </c>
      <c r="D450" s="1645" t="s">
        <v>1197</v>
      </c>
      <c r="E450" s="1602" t="s">
        <v>1188</v>
      </c>
      <c r="F450" s="1602" t="s">
        <v>1189</v>
      </c>
      <c r="G450" s="1645" t="s">
        <v>1142</v>
      </c>
      <c r="H450" s="1602">
        <v>9434707600</v>
      </c>
      <c r="I450" s="1602"/>
      <c r="J450" s="1645" t="s">
        <v>1198</v>
      </c>
      <c r="K450" s="1651" t="s">
        <v>1199</v>
      </c>
    </row>
    <row r="451" spans="1:11" ht="15">
      <c r="A451" s="1604">
        <v>20</v>
      </c>
      <c r="B451" s="1604">
        <v>62151</v>
      </c>
      <c r="C451" s="1604" t="s">
        <v>1835</v>
      </c>
      <c r="D451" s="1644" t="s">
        <v>1836</v>
      </c>
      <c r="E451" s="1654" t="s">
        <v>1108</v>
      </c>
      <c r="F451" s="1604" t="s">
        <v>1109</v>
      </c>
      <c r="G451" s="1644" t="s">
        <v>1142</v>
      </c>
      <c r="H451" s="1604">
        <v>9434777010</v>
      </c>
      <c r="I451" s="1604"/>
      <c r="J451" s="1644" t="s">
        <v>1837</v>
      </c>
      <c r="K451" s="1644" t="s">
        <v>1838</v>
      </c>
    </row>
    <row r="452" spans="1:11" ht="15">
      <c r="A452" s="1602">
        <v>21</v>
      </c>
      <c r="B452" s="1602">
        <v>55121</v>
      </c>
      <c r="C452" s="1602" t="s">
        <v>1839</v>
      </c>
      <c r="D452" s="1645" t="s">
        <v>1840</v>
      </c>
      <c r="E452" s="1602" t="s">
        <v>1108</v>
      </c>
      <c r="F452" s="1602" t="s">
        <v>1109</v>
      </c>
      <c r="G452" s="1645" t="s">
        <v>1142</v>
      </c>
      <c r="H452" s="1602">
        <v>9434799008</v>
      </c>
      <c r="I452" s="1602"/>
      <c r="J452" s="1645" t="s">
        <v>1841</v>
      </c>
      <c r="K452" s="1645" t="s">
        <v>1838</v>
      </c>
    </row>
    <row r="453" spans="1:11" ht="15">
      <c r="A453" s="1604">
        <v>22</v>
      </c>
      <c r="B453" s="1604">
        <v>30373</v>
      </c>
      <c r="C453" s="1604" t="s">
        <v>1842</v>
      </c>
      <c r="D453" s="1644" t="s">
        <v>1843</v>
      </c>
      <c r="E453" s="1654" t="s">
        <v>1108</v>
      </c>
      <c r="F453" s="1604" t="s">
        <v>1109</v>
      </c>
      <c r="G453" s="1644" t="s">
        <v>1142</v>
      </c>
      <c r="H453" s="1604">
        <v>9475006878</v>
      </c>
      <c r="I453" s="1604"/>
      <c r="J453" s="1644" t="s">
        <v>1844</v>
      </c>
      <c r="K453" s="1644" t="s">
        <v>1838</v>
      </c>
    </row>
    <row r="454" spans="1:11" ht="15">
      <c r="A454" s="1602">
        <v>23</v>
      </c>
      <c r="B454" s="1655">
        <v>14706</v>
      </c>
      <c r="C454" s="1602" t="s">
        <v>1845</v>
      </c>
      <c r="D454" s="1603" t="s">
        <v>1846</v>
      </c>
      <c r="E454" s="1602" t="s">
        <v>1847</v>
      </c>
      <c r="F454" s="1656" t="s">
        <v>1848</v>
      </c>
      <c r="G454" s="1603" t="s">
        <v>1142</v>
      </c>
      <c r="H454" s="1655">
        <v>9434799022</v>
      </c>
      <c r="I454" s="1602"/>
      <c r="J454" s="1603" t="s">
        <v>1849</v>
      </c>
      <c r="K454" s="1607" t="s">
        <v>1850</v>
      </c>
    </row>
    <row r="455" spans="1:11" ht="15">
      <c r="A455" s="648">
        <v>24</v>
      </c>
      <c r="B455" s="648">
        <v>10572</v>
      </c>
      <c r="C455" s="648" t="s">
        <v>1200</v>
      </c>
      <c r="D455" s="1646" t="s">
        <v>1201</v>
      </c>
      <c r="E455" s="648" t="s">
        <v>1101</v>
      </c>
      <c r="F455" s="648" t="s">
        <v>1102</v>
      </c>
      <c r="G455" s="1646" t="s">
        <v>1202</v>
      </c>
      <c r="H455" s="648">
        <v>9434798759</v>
      </c>
      <c r="I455" s="648">
        <v>8650</v>
      </c>
      <c r="J455" s="1646" t="s">
        <v>1203</v>
      </c>
      <c r="K455" s="1646" t="s">
        <v>1204</v>
      </c>
    </row>
    <row r="456" spans="1:11" ht="15">
      <c r="A456" s="1602">
        <v>25</v>
      </c>
      <c r="B456" s="1602">
        <v>32999</v>
      </c>
      <c r="C456" s="1602" t="s">
        <v>1226</v>
      </c>
      <c r="D456" s="1645" t="s">
        <v>1227</v>
      </c>
      <c r="E456" s="1602" t="s">
        <v>1101</v>
      </c>
      <c r="F456" s="1602" t="s">
        <v>1102</v>
      </c>
      <c r="G456" s="1645" t="s">
        <v>1228</v>
      </c>
      <c r="H456" s="1602">
        <v>9434798808</v>
      </c>
      <c r="I456" s="1602">
        <v>8758</v>
      </c>
      <c r="J456" s="1645" t="s">
        <v>1229</v>
      </c>
      <c r="K456" s="1645" t="s">
        <v>1230</v>
      </c>
    </row>
    <row r="457" spans="1:11" ht="15">
      <c r="A457" s="1604">
        <v>26</v>
      </c>
      <c r="B457" s="1604">
        <v>8354</v>
      </c>
      <c r="C457" s="1604" t="s">
        <v>1205</v>
      </c>
      <c r="D457" s="1644" t="s">
        <v>1206</v>
      </c>
      <c r="E457" s="1604" t="s">
        <v>1121</v>
      </c>
      <c r="F457" s="1604" t="s">
        <v>1122</v>
      </c>
      <c r="G457" s="1644" t="s">
        <v>1202</v>
      </c>
      <c r="H457" s="1604">
        <v>9434798699</v>
      </c>
      <c r="I457" s="1604"/>
      <c r="J457" s="1644" t="s">
        <v>1207</v>
      </c>
      <c r="K457" s="1644" t="s">
        <v>1208</v>
      </c>
    </row>
    <row r="458" spans="1:11" ht="15">
      <c r="A458" s="1602">
        <v>27</v>
      </c>
      <c r="B458" s="1602">
        <v>53502</v>
      </c>
      <c r="C458" s="1602" t="s">
        <v>1213</v>
      </c>
      <c r="D458" s="1645" t="s">
        <v>1214</v>
      </c>
      <c r="E458" s="1602" t="s">
        <v>1159</v>
      </c>
      <c r="F458" s="1602" t="s">
        <v>1160</v>
      </c>
      <c r="G458" s="1645" t="s">
        <v>1202</v>
      </c>
      <c r="H458" s="1602">
        <v>9434798800</v>
      </c>
      <c r="I458" s="1602"/>
      <c r="J458" s="1645" t="s">
        <v>1215</v>
      </c>
      <c r="K458" s="1651" t="s">
        <v>1216</v>
      </c>
    </row>
    <row r="459" spans="1:11" ht="15">
      <c r="A459" s="1604">
        <v>28</v>
      </c>
      <c r="B459" s="1604">
        <v>86251</v>
      </c>
      <c r="C459" s="1604" t="s">
        <v>1217</v>
      </c>
      <c r="D459" s="1644" t="s">
        <v>1218</v>
      </c>
      <c r="E459" s="1604" t="s">
        <v>1159</v>
      </c>
      <c r="F459" s="1604" t="s">
        <v>1160</v>
      </c>
      <c r="G459" s="1644" t="s">
        <v>1202</v>
      </c>
      <c r="H459" s="1604">
        <v>9434798633</v>
      </c>
      <c r="I459" s="1604"/>
      <c r="J459" s="1644" t="s">
        <v>1219</v>
      </c>
      <c r="K459" s="1644" t="s">
        <v>1220</v>
      </c>
    </row>
    <row r="460" spans="1:11" ht="15">
      <c r="A460" s="1642">
        <v>29</v>
      </c>
      <c r="B460" s="1642">
        <v>43033</v>
      </c>
      <c r="C460" s="1642" t="s">
        <v>1145</v>
      </c>
      <c r="D460" s="1643" t="s">
        <v>1146</v>
      </c>
      <c r="E460" s="1642" t="s">
        <v>1136</v>
      </c>
      <c r="F460" s="1642" t="s">
        <v>1102</v>
      </c>
      <c r="G460" s="1643" t="s">
        <v>1233</v>
      </c>
      <c r="H460" s="1642">
        <v>9434798712</v>
      </c>
      <c r="I460" s="1642">
        <v>8212</v>
      </c>
      <c r="J460" s="1643" t="s">
        <v>1147</v>
      </c>
      <c r="K460" s="1643" t="s">
        <v>1148</v>
      </c>
    </row>
    <row r="461" spans="1:11" ht="15">
      <c r="A461" s="648">
        <v>30</v>
      </c>
      <c r="B461" s="648">
        <v>15251</v>
      </c>
      <c r="C461" s="648" t="s">
        <v>1240</v>
      </c>
      <c r="D461" s="1646" t="s">
        <v>1241</v>
      </c>
      <c r="E461" s="648" t="s">
        <v>1101</v>
      </c>
      <c r="F461" s="648" t="s">
        <v>1102</v>
      </c>
      <c r="G461" s="1646" t="s">
        <v>1851</v>
      </c>
      <c r="H461" s="648">
        <v>9434798839</v>
      </c>
      <c r="I461" s="648">
        <v>8732</v>
      </c>
      <c r="J461" s="1646" t="s">
        <v>1242</v>
      </c>
      <c r="K461" s="1646" t="s">
        <v>1852</v>
      </c>
    </row>
    <row r="462" spans="1:11" ht="15">
      <c r="A462" s="1602">
        <v>31</v>
      </c>
      <c r="B462" s="1602">
        <v>59767</v>
      </c>
      <c r="C462" s="1602" t="s">
        <v>1244</v>
      </c>
      <c r="D462" s="1645" t="s">
        <v>1245</v>
      </c>
      <c r="E462" s="1602" t="s">
        <v>1121</v>
      </c>
      <c r="F462" s="1602" t="s">
        <v>1122</v>
      </c>
      <c r="G462" s="1645" t="s">
        <v>1851</v>
      </c>
      <c r="H462" s="1602">
        <v>9434798662</v>
      </c>
      <c r="I462" s="1602">
        <v>8339</v>
      </c>
      <c r="J462" s="1645" t="s">
        <v>1246</v>
      </c>
      <c r="K462" s="1645" t="s">
        <v>1853</v>
      </c>
    </row>
    <row r="463" spans="1:11" ht="15">
      <c r="A463" s="1604">
        <v>32</v>
      </c>
      <c r="B463" s="1604">
        <v>55091</v>
      </c>
      <c r="C463" s="1604" t="s">
        <v>1248</v>
      </c>
      <c r="D463" s="1644" t="s">
        <v>1249</v>
      </c>
      <c r="E463" s="1604" t="s">
        <v>1159</v>
      </c>
      <c r="F463" s="1604" t="s">
        <v>1160</v>
      </c>
      <c r="G463" s="1644" t="s">
        <v>711</v>
      </c>
      <c r="H463" s="1604">
        <v>9434798680</v>
      </c>
      <c r="I463" s="1604">
        <v>8516</v>
      </c>
      <c r="J463" s="1644" t="s">
        <v>1250</v>
      </c>
      <c r="K463" s="1644" t="s">
        <v>1251</v>
      </c>
    </row>
    <row r="464" spans="1:11" ht="15">
      <c r="A464" s="1602">
        <v>33</v>
      </c>
      <c r="B464" s="1602">
        <v>76177</v>
      </c>
      <c r="C464" s="1602" t="s">
        <v>1252</v>
      </c>
      <c r="D464" s="1645" t="s">
        <v>1253</v>
      </c>
      <c r="E464" s="1602" t="s">
        <v>1188</v>
      </c>
      <c r="F464" s="1602" t="s">
        <v>1189</v>
      </c>
      <c r="G464" s="1645" t="s">
        <v>711</v>
      </c>
      <c r="H464" s="1602">
        <v>9434798783</v>
      </c>
      <c r="I464" s="1602"/>
      <c r="J464" s="1645" t="s">
        <v>1254</v>
      </c>
      <c r="K464" s="1645" t="s">
        <v>1854</v>
      </c>
    </row>
    <row r="465" spans="1:11" ht="15">
      <c r="A465" s="1654">
        <v>34</v>
      </c>
      <c r="B465" s="1654">
        <v>63803</v>
      </c>
      <c r="C465" s="1654" t="s">
        <v>1855</v>
      </c>
      <c r="D465" s="1616" t="s">
        <v>1856</v>
      </c>
      <c r="E465" s="1654" t="s">
        <v>1108</v>
      </c>
      <c r="F465" s="1654" t="s">
        <v>1109</v>
      </c>
      <c r="G465" s="1616" t="s">
        <v>1533</v>
      </c>
      <c r="H465" s="1654">
        <v>9434799011</v>
      </c>
      <c r="I465" s="1654"/>
      <c r="J465" s="1616" t="s">
        <v>1857</v>
      </c>
      <c r="K465" s="1616" t="s">
        <v>1838</v>
      </c>
    </row>
    <row r="466" spans="1:11" ht="15">
      <c r="A466" s="1602">
        <v>35</v>
      </c>
      <c r="B466" s="1602">
        <v>5198</v>
      </c>
      <c r="C466" s="1602" t="s">
        <v>1858</v>
      </c>
      <c r="D466" s="1603" t="s">
        <v>1859</v>
      </c>
      <c r="E466" s="1602" t="s">
        <v>1108</v>
      </c>
      <c r="F466" s="1602" t="s">
        <v>1109</v>
      </c>
      <c r="G466" s="1603" t="s">
        <v>1279</v>
      </c>
      <c r="H466" s="1602">
        <v>9434799005</v>
      </c>
      <c r="I466" s="1602"/>
      <c r="J466" s="1603" t="s">
        <v>1860</v>
      </c>
      <c r="K466" s="1603" t="s">
        <v>1838</v>
      </c>
    </row>
    <row r="467" spans="1:11" ht="15">
      <c r="A467" s="1604">
        <v>36</v>
      </c>
      <c r="B467" s="1604">
        <v>9651</v>
      </c>
      <c r="C467" s="1604" t="s">
        <v>1290</v>
      </c>
      <c r="D467" s="1644" t="s">
        <v>1291</v>
      </c>
      <c r="E467" s="1604" t="s">
        <v>1101</v>
      </c>
      <c r="F467" s="1604" t="s">
        <v>1102</v>
      </c>
      <c r="G467" s="1644" t="s">
        <v>1861</v>
      </c>
      <c r="H467" s="1604">
        <v>9434798938</v>
      </c>
      <c r="I467" s="1604"/>
      <c r="J467" s="1644" t="s">
        <v>1293</v>
      </c>
      <c r="K467" s="1644" t="s">
        <v>1294</v>
      </c>
    </row>
    <row r="468" spans="1:11" ht="15">
      <c r="A468" s="1602">
        <v>37</v>
      </c>
      <c r="B468" s="1602">
        <v>57512</v>
      </c>
      <c r="C468" s="1602" t="s">
        <v>1300</v>
      </c>
      <c r="D468" s="1645" t="s">
        <v>1301</v>
      </c>
      <c r="E468" s="1602" t="s">
        <v>1165</v>
      </c>
      <c r="F468" s="1602" t="s">
        <v>1166</v>
      </c>
      <c r="G468" s="1645" t="s">
        <v>1861</v>
      </c>
      <c r="H468" s="1602">
        <v>9434798628</v>
      </c>
      <c r="I468" s="1602">
        <v>8245</v>
      </c>
      <c r="J468" s="1645" t="s">
        <v>1303</v>
      </c>
      <c r="K468" s="1651" t="s">
        <v>1862</v>
      </c>
    </row>
    <row r="469" spans="1:11" ht="15">
      <c r="A469" s="648">
        <v>38</v>
      </c>
      <c r="B469" s="648">
        <v>32699</v>
      </c>
      <c r="C469" s="648" t="s">
        <v>1589</v>
      </c>
      <c r="D469" s="1646" t="s">
        <v>1590</v>
      </c>
      <c r="E469" s="648" t="s">
        <v>1101</v>
      </c>
      <c r="F469" s="648" t="s">
        <v>1102</v>
      </c>
      <c r="G469" s="1646" t="s">
        <v>1863</v>
      </c>
      <c r="H469" s="648">
        <v>9434798883</v>
      </c>
      <c r="I469" s="648">
        <v>8606</v>
      </c>
      <c r="J469" s="1646" t="s">
        <v>1592</v>
      </c>
      <c r="K469" s="1646" t="s">
        <v>1864</v>
      </c>
    </row>
    <row r="470" spans="1:11" ht="15">
      <c r="A470" s="1602">
        <v>39</v>
      </c>
      <c r="B470" s="1602">
        <v>1546</v>
      </c>
      <c r="C470" s="1602" t="s">
        <v>1277</v>
      </c>
      <c r="D470" s="1645" t="s">
        <v>1278</v>
      </c>
      <c r="E470" s="1602" t="s">
        <v>1121</v>
      </c>
      <c r="F470" s="1602" t="s">
        <v>1122</v>
      </c>
      <c r="G470" s="1645" t="s">
        <v>1863</v>
      </c>
      <c r="H470" s="1602">
        <v>9434798909</v>
      </c>
      <c r="I470" s="1602">
        <v>8256</v>
      </c>
      <c r="J470" s="1645" t="s">
        <v>1280</v>
      </c>
      <c r="K470" s="1651" t="s">
        <v>1865</v>
      </c>
    </row>
    <row r="471" spans="1:11" ht="15">
      <c r="A471" s="1604">
        <v>40</v>
      </c>
      <c r="B471" s="1604">
        <v>5754</v>
      </c>
      <c r="C471" s="1604" t="s">
        <v>1286</v>
      </c>
      <c r="D471" s="1644" t="s">
        <v>1287</v>
      </c>
      <c r="E471" s="1604" t="s">
        <v>1159</v>
      </c>
      <c r="F471" s="1604" t="s">
        <v>1160</v>
      </c>
      <c r="G471" s="1644" t="s">
        <v>1863</v>
      </c>
      <c r="H471" s="1604">
        <v>9434798722</v>
      </c>
      <c r="I471" s="1604"/>
      <c r="J471" s="1644" t="s">
        <v>1288</v>
      </c>
      <c r="K471" s="1653" t="s">
        <v>1866</v>
      </c>
    </row>
    <row r="472" spans="1:11" ht="15">
      <c r="A472" s="1602">
        <v>41</v>
      </c>
      <c r="B472" s="1602">
        <v>32506</v>
      </c>
      <c r="C472" s="1602" t="s">
        <v>1265</v>
      </c>
      <c r="D472" s="1645" t="s">
        <v>1867</v>
      </c>
      <c r="E472" s="1602" t="s">
        <v>1159</v>
      </c>
      <c r="F472" s="1602" t="s">
        <v>1160</v>
      </c>
      <c r="G472" s="1645" t="s">
        <v>1863</v>
      </c>
      <c r="H472" s="1602">
        <v>9434798674</v>
      </c>
      <c r="I472" s="1602"/>
      <c r="J472" s="1645" t="s">
        <v>1267</v>
      </c>
      <c r="K472" s="1651" t="s">
        <v>1868</v>
      </c>
    </row>
    <row r="473" spans="1:11" ht="15">
      <c r="A473" s="1604">
        <v>42</v>
      </c>
      <c r="B473" s="1604">
        <v>55199</v>
      </c>
      <c r="C473" s="1604" t="s">
        <v>1269</v>
      </c>
      <c r="D473" s="1605" t="s">
        <v>1270</v>
      </c>
      <c r="E473" s="1604" t="s">
        <v>1159</v>
      </c>
      <c r="F473" s="1604" t="s">
        <v>1160</v>
      </c>
      <c r="G473" s="1605" t="s">
        <v>1863</v>
      </c>
      <c r="H473" s="1604">
        <v>9434798917</v>
      </c>
      <c r="I473" s="1604"/>
      <c r="J473" s="1605" t="s">
        <v>1271</v>
      </c>
      <c r="K473" s="1605" t="s">
        <v>1869</v>
      </c>
    </row>
    <row r="474" spans="1:11" ht="15">
      <c r="A474" s="1602">
        <v>43</v>
      </c>
      <c r="B474" s="1602">
        <v>58640</v>
      </c>
      <c r="C474" s="1602" t="s">
        <v>1273</v>
      </c>
      <c r="D474" s="1645" t="s">
        <v>1274</v>
      </c>
      <c r="E474" s="1602" t="s">
        <v>1165</v>
      </c>
      <c r="F474" s="1602" t="s">
        <v>1166</v>
      </c>
      <c r="G474" s="1645" t="s">
        <v>1863</v>
      </c>
      <c r="H474" s="1602">
        <v>9434798969</v>
      </c>
      <c r="I474" s="1602"/>
      <c r="J474" s="1645" t="s">
        <v>1275</v>
      </c>
      <c r="K474" s="1645" t="s">
        <v>1870</v>
      </c>
    </row>
    <row r="475" spans="1:11" ht="15">
      <c r="A475" s="648">
        <v>44</v>
      </c>
      <c r="B475" s="648">
        <v>48204</v>
      </c>
      <c r="C475" s="648" t="s">
        <v>1330</v>
      </c>
      <c r="D475" s="1646" t="s">
        <v>1331</v>
      </c>
      <c r="E475" s="648" t="s">
        <v>1114</v>
      </c>
      <c r="F475" s="648" t="s">
        <v>1115</v>
      </c>
      <c r="G475" s="1646" t="s">
        <v>1871</v>
      </c>
      <c r="H475" s="648">
        <v>9434798874</v>
      </c>
      <c r="I475" s="648">
        <v>8900</v>
      </c>
      <c r="J475" s="1646" t="s">
        <v>1810</v>
      </c>
      <c r="K475" s="1646" t="s">
        <v>1872</v>
      </c>
    </row>
    <row r="476" spans="1:11" ht="15">
      <c r="A476" s="1642">
        <v>45</v>
      </c>
      <c r="B476" s="1642">
        <v>70557</v>
      </c>
      <c r="C476" s="1642" t="s">
        <v>1305</v>
      </c>
      <c r="D476" s="1643" t="s">
        <v>1306</v>
      </c>
      <c r="E476" s="1642" t="s">
        <v>1136</v>
      </c>
      <c r="F476" s="1642" t="s">
        <v>1102</v>
      </c>
      <c r="G476" s="1643" t="s">
        <v>1873</v>
      </c>
      <c r="H476" s="1642">
        <v>9434798832</v>
      </c>
      <c r="I476" s="1642">
        <v>8510</v>
      </c>
      <c r="J476" s="1643" t="s">
        <v>1308</v>
      </c>
      <c r="K476" s="1643" t="s">
        <v>1874</v>
      </c>
    </row>
    <row r="477" spans="1:11" ht="15">
      <c r="A477" s="1604">
        <v>46</v>
      </c>
      <c r="B477" s="1604">
        <v>99461</v>
      </c>
      <c r="C477" s="1604" t="s">
        <v>1407</v>
      </c>
      <c r="D477" s="1644" t="s">
        <v>1408</v>
      </c>
      <c r="E477" s="1604" t="s">
        <v>1101</v>
      </c>
      <c r="F477" s="1604" t="s">
        <v>1102</v>
      </c>
      <c r="G477" s="1644" t="s">
        <v>1409</v>
      </c>
      <c r="H477" s="1604">
        <v>9434798719</v>
      </c>
      <c r="I477" s="1604">
        <v>8535</v>
      </c>
      <c r="J477" s="1644" t="s">
        <v>1410</v>
      </c>
      <c r="K477" s="1644" t="s">
        <v>1411</v>
      </c>
    </row>
    <row r="478" spans="1:11" ht="15">
      <c r="A478" s="1602">
        <v>47</v>
      </c>
      <c r="B478" s="1602">
        <v>63441</v>
      </c>
      <c r="C478" s="1602" t="s">
        <v>1412</v>
      </c>
      <c r="D478" s="1603" t="s">
        <v>1413</v>
      </c>
      <c r="E478" s="1602" t="s">
        <v>1101</v>
      </c>
      <c r="F478" s="1602" t="s">
        <v>1102</v>
      </c>
      <c r="G478" s="1603" t="s">
        <v>1409</v>
      </c>
      <c r="H478" s="1602">
        <v>9434798798</v>
      </c>
      <c r="I478" s="1602">
        <v>8298</v>
      </c>
      <c r="J478" s="1603" t="s">
        <v>1414</v>
      </c>
      <c r="K478" s="1603" t="s">
        <v>1415</v>
      </c>
    </row>
    <row r="479" spans="1:11" ht="15">
      <c r="A479" s="1604">
        <v>48</v>
      </c>
      <c r="B479" s="1604">
        <v>49816</v>
      </c>
      <c r="C479" s="1604" t="s">
        <v>1416</v>
      </c>
      <c r="D479" s="1644" t="s">
        <v>1417</v>
      </c>
      <c r="E479" s="1604" t="s">
        <v>1121</v>
      </c>
      <c r="F479" s="1604" t="s">
        <v>1122</v>
      </c>
      <c r="G479" s="1644" t="s">
        <v>1409</v>
      </c>
      <c r="H479" s="1604">
        <v>9434798913</v>
      </c>
      <c r="I479" s="1604"/>
      <c r="J479" s="1644" t="s">
        <v>1418</v>
      </c>
      <c r="K479" s="1644" t="s">
        <v>1419</v>
      </c>
    </row>
    <row r="480" spans="1:11" ht="15">
      <c r="A480" s="1602">
        <v>49</v>
      </c>
      <c r="B480" s="1602">
        <v>55183</v>
      </c>
      <c r="C480" s="1602" t="s">
        <v>1295</v>
      </c>
      <c r="D480" s="1645" t="s">
        <v>1296</v>
      </c>
      <c r="E480" s="1602" t="s">
        <v>1159</v>
      </c>
      <c r="F480" s="1602" t="s">
        <v>1160</v>
      </c>
      <c r="G480" s="1645" t="s">
        <v>1875</v>
      </c>
      <c r="H480" s="1602">
        <v>9434798948</v>
      </c>
      <c r="I480" s="1602"/>
      <c r="J480" s="1645" t="s">
        <v>1298</v>
      </c>
      <c r="K480" s="1651" t="s">
        <v>1299</v>
      </c>
    </row>
    <row r="481" spans="1:11" ht="15">
      <c r="A481" s="1604">
        <v>50</v>
      </c>
      <c r="B481" s="1604">
        <v>90973</v>
      </c>
      <c r="C481" s="1604" t="s">
        <v>1186</v>
      </c>
      <c r="D481" s="1644" t="s">
        <v>1187</v>
      </c>
      <c r="E481" s="1604" t="s">
        <v>1179</v>
      </c>
      <c r="F481" s="1604" t="s">
        <v>1180</v>
      </c>
      <c r="G481" s="1644" t="s">
        <v>1875</v>
      </c>
      <c r="H481" s="1604">
        <v>9434798753</v>
      </c>
      <c r="I481" s="1604"/>
      <c r="J481" s="1644" t="s">
        <v>1190</v>
      </c>
      <c r="K481" s="1644" t="s">
        <v>1191</v>
      </c>
    </row>
    <row r="482" spans="1:11" ht="15">
      <c r="A482" s="1602">
        <v>51</v>
      </c>
      <c r="B482" s="1602">
        <v>56417</v>
      </c>
      <c r="C482" s="1602" t="s">
        <v>1428</v>
      </c>
      <c r="D482" s="1603" t="s">
        <v>1429</v>
      </c>
      <c r="E482" s="1602" t="s">
        <v>1101</v>
      </c>
      <c r="F482" s="1602" t="s">
        <v>1102</v>
      </c>
      <c r="G482" s="1603" t="s">
        <v>1430</v>
      </c>
      <c r="H482" s="1602">
        <v>9434791357</v>
      </c>
      <c r="I482" s="1602"/>
      <c r="J482" s="1603" t="s">
        <v>1431</v>
      </c>
      <c r="K482" s="1603" t="s">
        <v>1432</v>
      </c>
    </row>
    <row r="483" spans="1:11" ht="15">
      <c r="A483" s="1604">
        <v>52</v>
      </c>
      <c r="B483" s="1604">
        <v>4139</v>
      </c>
      <c r="C483" s="1604" t="s">
        <v>1433</v>
      </c>
      <c r="D483" s="1644" t="s">
        <v>1876</v>
      </c>
      <c r="E483" s="1604" t="s">
        <v>1159</v>
      </c>
      <c r="F483" s="1604" t="s">
        <v>1160</v>
      </c>
      <c r="G483" s="1644" t="s">
        <v>1430</v>
      </c>
      <c r="H483" s="1604">
        <v>9434798689</v>
      </c>
      <c r="I483" s="1604">
        <v>8915</v>
      </c>
      <c r="J483" s="1644" t="s">
        <v>1435</v>
      </c>
      <c r="K483" s="1644" t="s">
        <v>1436</v>
      </c>
    </row>
    <row r="484" spans="1:11" ht="15">
      <c r="A484" s="1602">
        <v>53</v>
      </c>
      <c r="B484" s="1602">
        <v>66976</v>
      </c>
      <c r="C484" s="1602" t="s">
        <v>1437</v>
      </c>
      <c r="D484" s="1645" t="s">
        <v>1438</v>
      </c>
      <c r="E484" s="1602" t="s">
        <v>1159</v>
      </c>
      <c r="F484" s="1602" t="s">
        <v>1160</v>
      </c>
      <c r="G484" s="1645" t="s">
        <v>1430</v>
      </c>
      <c r="H484" s="1602">
        <v>9434798964</v>
      </c>
      <c r="I484" s="1602"/>
      <c r="J484" s="1645" t="s">
        <v>1439</v>
      </c>
      <c r="K484" s="1645" t="s">
        <v>1440</v>
      </c>
    </row>
    <row r="485" spans="1:11" ht="15">
      <c r="A485" s="1604">
        <v>54</v>
      </c>
      <c r="B485" s="1604">
        <v>55160</v>
      </c>
      <c r="C485" s="1604" t="s">
        <v>1441</v>
      </c>
      <c r="D485" s="1644" t="s">
        <v>1442</v>
      </c>
      <c r="E485" s="1604" t="s">
        <v>1159</v>
      </c>
      <c r="F485" s="1604" t="s">
        <v>1160</v>
      </c>
      <c r="G485" s="1644" t="s">
        <v>1430</v>
      </c>
      <c r="H485" s="1604">
        <v>9434798918</v>
      </c>
      <c r="I485" s="1604"/>
      <c r="J485" s="1644" t="s">
        <v>1443</v>
      </c>
      <c r="K485" s="1653" t="s">
        <v>1444</v>
      </c>
    </row>
    <row r="486" spans="1:11" ht="15">
      <c r="A486" s="1602">
        <v>55</v>
      </c>
      <c r="B486" s="1602">
        <v>98704</v>
      </c>
      <c r="C486" s="1602" t="s">
        <v>1310</v>
      </c>
      <c r="D486" s="1645" t="s">
        <v>1311</v>
      </c>
      <c r="E486" s="1602" t="s">
        <v>1101</v>
      </c>
      <c r="F486" s="1602" t="s">
        <v>1102</v>
      </c>
      <c r="G486" s="1645" t="s">
        <v>1307</v>
      </c>
      <c r="H486" s="1602">
        <v>9434798865</v>
      </c>
      <c r="I486" s="1602"/>
      <c r="J486" s="1645" t="s">
        <v>1312</v>
      </c>
      <c r="K486" s="1645" t="s">
        <v>1877</v>
      </c>
    </row>
    <row r="487" spans="1:11" ht="15">
      <c r="A487" s="1604">
        <v>56</v>
      </c>
      <c r="B487" s="1604">
        <v>86589</v>
      </c>
      <c r="C487" s="1604" t="s">
        <v>1318</v>
      </c>
      <c r="D487" s="1644" t="s">
        <v>1319</v>
      </c>
      <c r="E487" s="1604" t="s">
        <v>1121</v>
      </c>
      <c r="F487" s="1604" t="s">
        <v>1122</v>
      </c>
      <c r="G487" s="1644" t="s">
        <v>1307</v>
      </c>
      <c r="H487" s="1604">
        <v>9434798641</v>
      </c>
      <c r="I487" s="1604">
        <v>8745</v>
      </c>
      <c r="J487" s="1644" t="s">
        <v>1320</v>
      </c>
      <c r="K487" s="1644" t="s">
        <v>1878</v>
      </c>
    </row>
    <row r="488" spans="1:11" ht="15">
      <c r="A488" s="1602">
        <v>57</v>
      </c>
      <c r="B488" s="1602">
        <v>15485</v>
      </c>
      <c r="C488" s="1602" t="s">
        <v>1697</v>
      </c>
      <c r="D488" s="1645" t="s">
        <v>1698</v>
      </c>
      <c r="E488" s="1602" t="s">
        <v>1159</v>
      </c>
      <c r="F488" s="1602" t="s">
        <v>1160</v>
      </c>
      <c r="G488" s="1645" t="s">
        <v>1307</v>
      </c>
      <c r="H488" s="1602">
        <v>9434798667</v>
      </c>
      <c r="I488" s="1602"/>
      <c r="J488" s="1645" t="s">
        <v>1699</v>
      </c>
      <c r="K488" s="1645" t="s">
        <v>1700</v>
      </c>
    </row>
    <row r="489" spans="1:11" ht="15">
      <c r="A489" s="1604">
        <v>58</v>
      </c>
      <c r="B489" s="1604">
        <v>58491</v>
      </c>
      <c r="C489" s="1604" t="s">
        <v>1322</v>
      </c>
      <c r="D489" s="1644" t="s">
        <v>1323</v>
      </c>
      <c r="E489" s="1604" t="s">
        <v>1165</v>
      </c>
      <c r="F489" s="1604" t="s">
        <v>1166</v>
      </c>
      <c r="G489" s="1644" t="s">
        <v>1307</v>
      </c>
      <c r="H489" s="1604">
        <v>9434798616</v>
      </c>
      <c r="I489" s="1604"/>
      <c r="J489" s="1644" t="s">
        <v>1324</v>
      </c>
      <c r="K489" s="1644" t="s">
        <v>1879</v>
      </c>
    </row>
    <row r="490" spans="1:11" ht="15">
      <c r="A490" s="1602">
        <v>59</v>
      </c>
      <c r="B490" s="1602">
        <v>89400</v>
      </c>
      <c r="C490" s="1602" t="s">
        <v>1326</v>
      </c>
      <c r="D490" s="1645" t="s">
        <v>1327</v>
      </c>
      <c r="E490" s="1602" t="s">
        <v>1179</v>
      </c>
      <c r="F490" s="1602" t="s">
        <v>1180</v>
      </c>
      <c r="G490" s="1645" t="s">
        <v>1307</v>
      </c>
      <c r="H490" s="1602">
        <v>9434798630</v>
      </c>
      <c r="I490" s="1602"/>
      <c r="J490" s="1645" t="s">
        <v>1328</v>
      </c>
      <c r="K490" s="1645" t="s">
        <v>1880</v>
      </c>
    </row>
    <row r="491" spans="1:11" ht="15">
      <c r="A491" s="1604">
        <v>60</v>
      </c>
      <c r="B491" s="1604">
        <v>62802</v>
      </c>
      <c r="C491" s="1604" t="s">
        <v>1881</v>
      </c>
      <c r="D491" s="1644" t="s">
        <v>1882</v>
      </c>
      <c r="E491" s="1604" t="s">
        <v>1101</v>
      </c>
      <c r="F491" s="1604" t="s">
        <v>1102</v>
      </c>
      <c r="G491" s="1644" t="s">
        <v>1332</v>
      </c>
      <c r="H491" s="1604">
        <v>9434791839</v>
      </c>
      <c r="I491" s="1604">
        <v>8092</v>
      </c>
      <c r="J491" s="1644"/>
      <c r="K491" s="1644" t="s">
        <v>1883</v>
      </c>
    </row>
    <row r="492" spans="1:11" ht="15">
      <c r="A492" s="1602">
        <v>61</v>
      </c>
      <c r="B492" s="1602">
        <v>37360</v>
      </c>
      <c r="C492" s="1602" t="s">
        <v>1335</v>
      </c>
      <c r="D492" s="1645" t="s">
        <v>1336</v>
      </c>
      <c r="E492" s="1602" t="s">
        <v>1121</v>
      </c>
      <c r="F492" s="1602" t="s">
        <v>1122</v>
      </c>
      <c r="G492" s="1645" t="s">
        <v>1332</v>
      </c>
      <c r="H492" s="1602">
        <v>9434798912</v>
      </c>
      <c r="I492" s="1602">
        <v>8842</v>
      </c>
      <c r="J492" s="1645" t="s">
        <v>1337</v>
      </c>
      <c r="K492" s="1645" t="s">
        <v>1884</v>
      </c>
    </row>
    <row r="493" spans="1:11" ht="15">
      <c r="A493" s="1604">
        <v>62</v>
      </c>
      <c r="B493" s="1604">
        <v>74601</v>
      </c>
      <c r="C493" s="1604" t="s">
        <v>1339</v>
      </c>
      <c r="D493" s="1644" t="s">
        <v>1885</v>
      </c>
      <c r="E493" s="1604" t="s">
        <v>1159</v>
      </c>
      <c r="F493" s="1604" t="s">
        <v>1160</v>
      </c>
      <c r="G493" s="1644" t="s">
        <v>1332</v>
      </c>
      <c r="H493" s="1604">
        <v>9434798671</v>
      </c>
      <c r="I493" s="1604">
        <v>8608</v>
      </c>
      <c r="J493" s="1644" t="s">
        <v>1341</v>
      </c>
      <c r="K493" s="1644" t="s">
        <v>1886</v>
      </c>
    </row>
    <row r="494" spans="1:11" ht="15">
      <c r="A494" s="1602">
        <v>63</v>
      </c>
      <c r="B494" s="1602">
        <v>55256</v>
      </c>
      <c r="C494" s="1602" t="s">
        <v>1343</v>
      </c>
      <c r="D494" s="1645" t="s">
        <v>1249</v>
      </c>
      <c r="E494" s="1602" t="s">
        <v>1179</v>
      </c>
      <c r="F494" s="1602" t="s">
        <v>1180</v>
      </c>
      <c r="G494" s="1645" t="s">
        <v>1332</v>
      </c>
      <c r="H494" s="1602">
        <v>9434798904</v>
      </c>
      <c r="I494" s="1602"/>
      <c r="J494" s="1645" t="s">
        <v>1344</v>
      </c>
      <c r="K494" s="1651" t="s">
        <v>1345</v>
      </c>
    </row>
    <row r="495" spans="1:11" ht="15">
      <c r="A495" s="1654">
        <v>64</v>
      </c>
      <c r="B495" s="1657">
        <v>139</v>
      </c>
      <c r="C495" s="1654" t="s">
        <v>1887</v>
      </c>
      <c r="D495" s="1616" t="s">
        <v>1888</v>
      </c>
      <c r="E495" s="1654" t="s">
        <v>1847</v>
      </c>
      <c r="F495" s="1658" t="s">
        <v>1848</v>
      </c>
      <c r="G495" s="1616" t="s">
        <v>1332</v>
      </c>
      <c r="H495" s="1657">
        <v>9434799019</v>
      </c>
      <c r="I495" s="1654"/>
      <c r="J495" s="1616" t="s">
        <v>1889</v>
      </c>
      <c r="K495" s="1660" t="s">
        <v>1890</v>
      </c>
    </row>
    <row r="496" spans="1:11" ht="15">
      <c r="A496" s="1602">
        <v>65</v>
      </c>
      <c r="B496" s="1602">
        <v>11206</v>
      </c>
      <c r="C496" s="1602" t="s">
        <v>1450</v>
      </c>
      <c r="D496" s="1645" t="s">
        <v>1451</v>
      </c>
      <c r="E496" s="1602" t="s">
        <v>1101</v>
      </c>
      <c r="F496" s="1602" t="s">
        <v>1102</v>
      </c>
      <c r="G496" s="1645" t="s">
        <v>1452</v>
      </c>
      <c r="H496" s="1602">
        <v>9434798692</v>
      </c>
      <c r="I496" s="1602">
        <v>8778</v>
      </c>
      <c r="J496" s="1645" t="s">
        <v>1453</v>
      </c>
      <c r="K496" s="1645" t="s">
        <v>1891</v>
      </c>
    </row>
    <row r="497" spans="1:11" ht="15">
      <c r="A497" s="1654">
        <v>66</v>
      </c>
      <c r="B497" s="1657">
        <v>63667</v>
      </c>
      <c r="C497" s="1654" t="s">
        <v>1892</v>
      </c>
      <c r="D497" s="1616" t="s">
        <v>1893</v>
      </c>
      <c r="E497" s="1654" t="s">
        <v>1847</v>
      </c>
      <c r="F497" s="1658" t="s">
        <v>1848</v>
      </c>
      <c r="G497" s="1616" t="s">
        <v>1452</v>
      </c>
      <c r="H497" s="1657">
        <v>9434799023</v>
      </c>
      <c r="I497" s="1654"/>
      <c r="J497" s="1660" t="s">
        <v>1894</v>
      </c>
      <c r="K497" s="1660" t="s">
        <v>1895</v>
      </c>
    </row>
    <row r="498" spans="1:11" ht="15">
      <c r="A498" s="1642">
        <v>67</v>
      </c>
      <c r="B498" s="1642">
        <v>53042</v>
      </c>
      <c r="C498" s="1642" t="s">
        <v>1351</v>
      </c>
      <c r="D498" s="1643" t="s">
        <v>1352</v>
      </c>
      <c r="E498" s="1642" t="s">
        <v>1136</v>
      </c>
      <c r="F498" s="1642" t="s">
        <v>1102</v>
      </c>
      <c r="G498" s="1643" t="s">
        <v>1353</v>
      </c>
      <c r="H498" s="1642">
        <v>9434798750</v>
      </c>
      <c r="I498" s="1642">
        <v>8327</v>
      </c>
      <c r="J498" s="1643" t="s">
        <v>1354</v>
      </c>
      <c r="K498" s="1643" t="s">
        <v>1896</v>
      </c>
    </row>
    <row r="499" spans="1:11" ht="15">
      <c r="A499" s="1654">
        <v>68</v>
      </c>
      <c r="B499" s="1657">
        <v>15356</v>
      </c>
      <c r="C499" s="1654" t="s">
        <v>1897</v>
      </c>
      <c r="D499" s="1616" t="s">
        <v>1898</v>
      </c>
      <c r="E499" s="1654" t="s">
        <v>1847</v>
      </c>
      <c r="F499" s="1658" t="s">
        <v>1848</v>
      </c>
      <c r="G499" s="1659" t="s">
        <v>1899</v>
      </c>
      <c r="H499" s="1657">
        <v>9434707605</v>
      </c>
      <c r="I499" s="1654"/>
      <c r="J499" s="1616" t="s">
        <v>1900</v>
      </c>
      <c r="K499" s="1660" t="s">
        <v>1901</v>
      </c>
    </row>
    <row r="500" spans="1:11" ht="15">
      <c r="A500" s="1602">
        <v>69</v>
      </c>
      <c r="B500" s="1602">
        <v>97901</v>
      </c>
      <c r="C500" s="1602" t="s">
        <v>1488</v>
      </c>
      <c r="D500" s="1645" t="s">
        <v>1489</v>
      </c>
      <c r="E500" s="1602" t="s">
        <v>1159</v>
      </c>
      <c r="F500" s="1602" t="s">
        <v>1160</v>
      </c>
      <c r="G500" s="1645" t="s">
        <v>1376</v>
      </c>
      <c r="H500" s="1602">
        <v>9434798767</v>
      </c>
      <c r="I500" s="1602">
        <v>8556</v>
      </c>
      <c r="J500" s="1645" t="s">
        <v>1491</v>
      </c>
      <c r="K500" s="1645" t="s">
        <v>1902</v>
      </c>
    </row>
    <row r="501" spans="1:11" ht="15">
      <c r="A501" s="1604">
        <v>70</v>
      </c>
      <c r="B501" s="1604">
        <v>55174</v>
      </c>
      <c r="C501" s="1604" t="s">
        <v>1365</v>
      </c>
      <c r="D501" s="1644" t="s">
        <v>1366</v>
      </c>
      <c r="E501" s="1604" t="s">
        <v>1159</v>
      </c>
      <c r="F501" s="1604" t="s">
        <v>1160</v>
      </c>
      <c r="G501" s="1644" t="s">
        <v>1376</v>
      </c>
      <c r="H501" s="1604">
        <v>9434798949</v>
      </c>
      <c r="I501" s="1604"/>
      <c r="J501" s="1644" t="s">
        <v>1368</v>
      </c>
      <c r="K501" s="1644" t="s">
        <v>1369</v>
      </c>
    </row>
    <row r="502" spans="1:11" ht="15">
      <c r="A502" s="1602">
        <v>71</v>
      </c>
      <c r="B502" s="1602">
        <v>73133</v>
      </c>
      <c r="C502" s="1602" t="s">
        <v>1370</v>
      </c>
      <c r="D502" s="1645" t="s">
        <v>1903</v>
      </c>
      <c r="E502" s="1602" t="s">
        <v>1165</v>
      </c>
      <c r="F502" s="1602" t="s">
        <v>1166</v>
      </c>
      <c r="G502" s="1645" t="s">
        <v>1376</v>
      </c>
      <c r="H502" s="1602">
        <v>9434798645</v>
      </c>
      <c r="I502" s="1602">
        <v>8519</v>
      </c>
      <c r="J502" s="1645" t="s">
        <v>1372</v>
      </c>
      <c r="K502" s="1645" t="s">
        <v>1904</v>
      </c>
    </row>
    <row r="503" spans="1:11" ht="15">
      <c r="A503" s="1604">
        <v>72</v>
      </c>
      <c r="B503" s="1604">
        <v>58152</v>
      </c>
      <c r="C503" s="1604" t="s">
        <v>1374</v>
      </c>
      <c r="D503" s="1644" t="s">
        <v>1375</v>
      </c>
      <c r="E503" s="1604" t="s">
        <v>1188</v>
      </c>
      <c r="F503" s="1604" t="s">
        <v>1189</v>
      </c>
      <c r="G503" s="1644" t="s">
        <v>1376</v>
      </c>
      <c r="H503" s="1604">
        <v>9434798991</v>
      </c>
      <c r="I503" s="1604"/>
      <c r="J503" s="1644" t="s">
        <v>1377</v>
      </c>
      <c r="K503" s="1644" t="s">
        <v>1905</v>
      </c>
    </row>
    <row r="504" spans="1:11" ht="15">
      <c r="A504" s="1602">
        <v>73</v>
      </c>
      <c r="B504" s="1602">
        <v>99902</v>
      </c>
      <c r="C504" s="1602" t="s">
        <v>1906</v>
      </c>
      <c r="D504" s="1645" t="s">
        <v>1907</v>
      </c>
      <c r="E504" s="1602" t="s">
        <v>1108</v>
      </c>
      <c r="F504" s="1602" t="s">
        <v>1109</v>
      </c>
      <c r="G504" s="1645" t="s">
        <v>1376</v>
      </c>
      <c r="H504" s="1602">
        <v>9434799009</v>
      </c>
      <c r="I504" s="1602"/>
      <c r="J504" s="1645" t="s">
        <v>1908</v>
      </c>
      <c r="K504" s="1645" t="s">
        <v>1838</v>
      </c>
    </row>
    <row r="505" spans="1:11" ht="15">
      <c r="A505" s="1604">
        <v>74</v>
      </c>
      <c r="B505" s="1604">
        <v>70852</v>
      </c>
      <c r="C505" s="1604" t="s">
        <v>1786</v>
      </c>
      <c r="D505" s="1644" t="s">
        <v>1787</v>
      </c>
      <c r="E505" s="1604" t="s">
        <v>1101</v>
      </c>
      <c r="F505" s="1604" t="s">
        <v>1102</v>
      </c>
      <c r="G505" s="1644" t="s">
        <v>1381</v>
      </c>
      <c r="H505" s="1604">
        <v>9434798708</v>
      </c>
      <c r="I505" s="1604">
        <v>8363</v>
      </c>
      <c r="J505" s="1644" t="s">
        <v>1789</v>
      </c>
      <c r="K505" s="1644" t="s">
        <v>1790</v>
      </c>
    </row>
    <row r="506" spans="1:11" ht="15">
      <c r="A506" s="1602">
        <v>75</v>
      </c>
      <c r="B506" s="1602">
        <v>62800</v>
      </c>
      <c r="C506" s="1602" t="s">
        <v>1379</v>
      </c>
      <c r="D506" s="1645" t="s">
        <v>1380</v>
      </c>
      <c r="E506" s="1602" t="s">
        <v>1101</v>
      </c>
      <c r="F506" s="1602" t="s">
        <v>1102</v>
      </c>
      <c r="G506" s="1645" t="s">
        <v>1381</v>
      </c>
      <c r="H506" s="1602">
        <v>9434798693</v>
      </c>
      <c r="I506" s="1602">
        <v>8336</v>
      </c>
      <c r="J506" s="1645" t="s">
        <v>1382</v>
      </c>
      <c r="K506" s="1645" t="s">
        <v>1909</v>
      </c>
    </row>
    <row r="507" spans="1:11" ht="15">
      <c r="A507" s="1604">
        <v>76</v>
      </c>
      <c r="B507" s="1604">
        <v>99181</v>
      </c>
      <c r="C507" s="1604" t="s">
        <v>1384</v>
      </c>
      <c r="D507" s="1644" t="s">
        <v>1385</v>
      </c>
      <c r="E507" s="1604" t="s">
        <v>1159</v>
      </c>
      <c r="F507" s="1604" t="s">
        <v>1160</v>
      </c>
      <c r="G507" s="1644" t="s">
        <v>1381</v>
      </c>
      <c r="H507" s="1604">
        <v>9434798916</v>
      </c>
      <c r="I507" s="1604"/>
      <c r="J507" s="1644" t="s">
        <v>1386</v>
      </c>
      <c r="K507" s="1644" t="s">
        <v>1910</v>
      </c>
    </row>
    <row r="508" spans="1:11" ht="15">
      <c r="A508" s="1602">
        <v>77</v>
      </c>
      <c r="B508" s="1602">
        <v>58487</v>
      </c>
      <c r="C508" s="1602" t="s">
        <v>1388</v>
      </c>
      <c r="D508" s="1645" t="s">
        <v>1389</v>
      </c>
      <c r="E508" s="1602" t="s">
        <v>1179</v>
      </c>
      <c r="F508" s="1602" t="s">
        <v>1180</v>
      </c>
      <c r="G508" s="1645" t="s">
        <v>1381</v>
      </c>
      <c r="H508" s="1602">
        <v>9434798694</v>
      </c>
      <c r="I508" s="1602"/>
      <c r="J508" s="1645" t="s">
        <v>1390</v>
      </c>
      <c r="K508" s="1645" t="s">
        <v>1911</v>
      </c>
    </row>
    <row r="509" spans="1:11" ht="15">
      <c r="A509" s="1604">
        <v>78</v>
      </c>
      <c r="B509" s="1604">
        <v>63665</v>
      </c>
      <c r="C509" s="1604" t="s">
        <v>1397</v>
      </c>
      <c r="D509" s="1644" t="s">
        <v>1398</v>
      </c>
      <c r="E509" s="1604" t="s">
        <v>1188</v>
      </c>
      <c r="F509" s="1604" t="s">
        <v>1189</v>
      </c>
      <c r="G509" s="1644" t="s">
        <v>1381</v>
      </c>
      <c r="H509" s="1604">
        <v>9434707595</v>
      </c>
      <c r="I509" s="1604"/>
      <c r="J509" s="1644" t="s">
        <v>1400</v>
      </c>
      <c r="K509" s="1644" t="s">
        <v>1401</v>
      </c>
    </row>
    <row r="510" spans="1:11" ht="15">
      <c r="A510" s="1602">
        <v>79</v>
      </c>
      <c r="B510" s="1602">
        <v>87152</v>
      </c>
      <c r="C510" s="1602" t="s">
        <v>1912</v>
      </c>
      <c r="D510" s="1645" t="s">
        <v>1913</v>
      </c>
      <c r="E510" s="1602" t="s">
        <v>1101</v>
      </c>
      <c r="F510" s="1602" t="s">
        <v>1102</v>
      </c>
      <c r="G510" s="1645" t="s">
        <v>1914</v>
      </c>
      <c r="H510" s="1602">
        <v>9434791855</v>
      </c>
      <c r="I510" s="1602">
        <v>8384</v>
      </c>
      <c r="J510" s="1645"/>
      <c r="K510" s="1645" t="s">
        <v>1915</v>
      </c>
    </row>
    <row r="511" spans="1:11" ht="15">
      <c r="A511" s="1604">
        <v>80</v>
      </c>
      <c r="B511" s="1604">
        <v>81853</v>
      </c>
      <c r="C511" s="1604" t="s">
        <v>1361</v>
      </c>
      <c r="D511" s="1644" t="s">
        <v>1362</v>
      </c>
      <c r="E511" s="1604" t="s">
        <v>1159</v>
      </c>
      <c r="F511" s="1604" t="s">
        <v>1160</v>
      </c>
      <c r="G511" s="1644" t="s">
        <v>1916</v>
      </c>
      <c r="H511" s="1604">
        <v>9434798675</v>
      </c>
      <c r="I511" s="1604">
        <v>8647</v>
      </c>
      <c r="J511" s="1644" t="s">
        <v>1363</v>
      </c>
      <c r="K511" s="1653" t="s">
        <v>1917</v>
      </c>
    </row>
    <row r="512" spans="1:11" ht="15">
      <c r="A512" s="1602">
        <v>81</v>
      </c>
      <c r="B512" s="1602">
        <v>84941</v>
      </c>
      <c r="C512" s="1602" t="s">
        <v>1918</v>
      </c>
      <c r="D512" s="1645" t="s">
        <v>1919</v>
      </c>
      <c r="E512" s="1602" t="s">
        <v>1108</v>
      </c>
      <c r="F512" s="1602" t="s">
        <v>1109</v>
      </c>
      <c r="G512" s="1645" t="s">
        <v>1916</v>
      </c>
      <c r="H512" s="1602">
        <v>9434799007</v>
      </c>
      <c r="I512" s="1602"/>
      <c r="J512" s="1645" t="s">
        <v>1920</v>
      </c>
      <c r="K512" s="1651" t="s">
        <v>1838</v>
      </c>
    </row>
    <row r="513" spans="1:11" ht="15">
      <c r="A513" s="648">
        <v>82</v>
      </c>
      <c r="B513" s="648">
        <v>62783</v>
      </c>
      <c r="C513" s="648" t="s">
        <v>1459</v>
      </c>
      <c r="D513" s="1646" t="s">
        <v>1460</v>
      </c>
      <c r="E513" s="648" t="s">
        <v>1136</v>
      </c>
      <c r="F513" s="648" t="s">
        <v>1102</v>
      </c>
      <c r="G513" s="1646" t="s">
        <v>1461</v>
      </c>
      <c r="H513" s="648">
        <v>9434798875</v>
      </c>
      <c r="I513" s="648">
        <v>8695</v>
      </c>
      <c r="J513" s="1646" t="s">
        <v>1462</v>
      </c>
      <c r="K513" s="1646" t="s">
        <v>1921</v>
      </c>
    </row>
    <row r="514" spans="1:11" ht="15">
      <c r="A514" s="1602">
        <v>83</v>
      </c>
      <c r="B514" s="1602">
        <v>84139</v>
      </c>
      <c r="C514" s="1602" t="s">
        <v>1464</v>
      </c>
      <c r="D514" s="1645" t="s">
        <v>1465</v>
      </c>
      <c r="E514" s="1602" t="s">
        <v>1101</v>
      </c>
      <c r="F514" s="1602" t="s">
        <v>1102</v>
      </c>
      <c r="G514" s="1645" t="s">
        <v>1461</v>
      </c>
      <c r="H514" s="1602">
        <v>9434798933</v>
      </c>
      <c r="I514" s="1602">
        <v>8316</v>
      </c>
      <c r="J514" s="1645" t="s">
        <v>1466</v>
      </c>
      <c r="K514" s="1645" t="s">
        <v>1922</v>
      </c>
    </row>
    <row r="515" spans="1:11" ht="15">
      <c r="A515" s="1604">
        <v>84</v>
      </c>
      <c r="B515" s="1604">
        <v>77626</v>
      </c>
      <c r="C515" s="1604" t="s">
        <v>1468</v>
      </c>
      <c r="D515" s="1644" t="s">
        <v>1469</v>
      </c>
      <c r="E515" s="1604" t="s">
        <v>1121</v>
      </c>
      <c r="F515" s="1604" t="s">
        <v>1122</v>
      </c>
      <c r="G515" s="1644" t="s">
        <v>1461</v>
      </c>
      <c r="H515" s="1604">
        <v>9434798777</v>
      </c>
      <c r="I515" s="1604">
        <v>8314</v>
      </c>
      <c r="J515" s="1644" t="s">
        <v>1470</v>
      </c>
      <c r="K515" s="1644" t="s">
        <v>1471</v>
      </c>
    </row>
    <row r="516" spans="1:11" ht="15">
      <c r="A516" s="1602">
        <v>85</v>
      </c>
      <c r="B516" s="1602">
        <v>63513</v>
      </c>
      <c r="C516" s="1602" t="s">
        <v>1472</v>
      </c>
      <c r="D516" s="1645" t="s">
        <v>1473</v>
      </c>
      <c r="E516" s="1602" t="s">
        <v>1188</v>
      </c>
      <c r="F516" s="1602" t="s">
        <v>1189</v>
      </c>
      <c r="G516" s="1645" t="s">
        <v>1474</v>
      </c>
      <c r="H516" s="1602">
        <v>9434798647</v>
      </c>
      <c r="I516" s="1602">
        <v>8273</v>
      </c>
      <c r="J516" s="1645" t="s">
        <v>1804</v>
      </c>
      <c r="K516" s="1645" t="s">
        <v>1923</v>
      </c>
    </row>
    <row r="517" spans="1:11" ht="15">
      <c r="A517" s="648">
        <v>86</v>
      </c>
      <c r="B517" s="648">
        <v>64884</v>
      </c>
      <c r="C517" s="648" t="s">
        <v>1477</v>
      </c>
      <c r="D517" s="1646" t="s">
        <v>1478</v>
      </c>
      <c r="E517" s="648" t="s">
        <v>1136</v>
      </c>
      <c r="F517" s="648" t="s">
        <v>1102</v>
      </c>
      <c r="G517" s="1646" t="s">
        <v>1800</v>
      </c>
      <c r="H517" s="648">
        <v>9434798931</v>
      </c>
      <c r="I517" s="648">
        <v>8742</v>
      </c>
      <c r="J517" s="1646" t="s">
        <v>1480</v>
      </c>
      <c r="K517" s="1646" t="s">
        <v>1924</v>
      </c>
    </row>
    <row r="518" spans="1:11" ht="15">
      <c r="A518" s="1642">
        <v>87</v>
      </c>
      <c r="B518" s="1642">
        <v>77002</v>
      </c>
      <c r="C518" s="1642" t="s">
        <v>1099</v>
      </c>
      <c r="D518" s="1643" t="s">
        <v>1100</v>
      </c>
      <c r="E518" s="1642" t="s">
        <v>1136</v>
      </c>
      <c r="F518" s="1642" t="s">
        <v>1102</v>
      </c>
      <c r="G518" s="1643" t="s">
        <v>1925</v>
      </c>
      <c r="H518" s="1642">
        <v>9434798691</v>
      </c>
      <c r="I518" s="1642">
        <v>8949</v>
      </c>
      <c r="J518" s="1643" t="s">
        <v>1104</v>
      </c>
      <c r="K518" s="1643" t="s">
        <v>1105</v>
      </c>
    </row>
    <row r="519" spans="1:11" ht="15">
      <c r="A519" s="1604">
        <v>88</v>
      </c>
      <c r="B519" s="1604">
        <v>14592</v>
      </c>
      <c r="C519" s="1604" t="s">
        <v>1502</v>
      </c>
      <c r="D519" s="1605" t="s">
        <v>1503</v>
      </c>
      <c r="E519" s="1604" t="s">
        <v>1101</v>
      </c>
      <c r="F519" s="1604" t="s">
        <v>1102</v>
      </c>
      <c r="G519" s="1605" t="s">
        <v>1925</v>
      </c>
      <c r="H519" s="1604">
        <v>9434798890</v>
      </c>
      <c r="I519" s="1604">
        <v>8397</v>
      </c>
      <c r="J519" s="1605" t="s">
        <v>1504</v>
      </c>
      <c r="K519" s="1608" t="s">
        <v>1926</v>
      </c>
    </row>
    <row r="520" spans="1:11" ht="15">
      <c r="A520" s="1602">
        <v>89</v>
      </c>
      <c r="B520" s="1602">
        <v>33034</v>
      </c>
      <c r="C520" s="1602" t="s">
        <v>1482</v>
      </c>
      <c r="D520" s="1645" t="s">
        <v>760</v>
      </c>
      <c r="E520" s="1602" t="s">
        <v>1101</v>
      </c>
      <c r="F520" s="1602" t="s">
        <v>1102</v>
      </c>
      <c r="G520" s="1645" t="s">
        <v>1925</v>
      </c>
      <c r="H520" s="1602">
        <v>9434798959</v>
      </c>
      <c r="I520" s="1602">
        <v>8965</v>
      </c>
      <c r="J520" s="1645" t="s">
        <v>1483</v>
      </c>
      <c r="K520" s="1645" t="s">
        <v>1927</v>
      </c>
    </row>
    <row r="521" spans="1:11" ht="15">
      <c r="A521" s="1604">
        <v>90</v>
      </c>
      <c r="B521" s="1604">
        <v>53982</v>
      </c>
      <c r="C521" s="1604" t="s">
        <v>1710</v>
      </c>
      <c r="D521" s="1644" t="s">
        <v>1711</v>
      </c>
      <c r="E521" s="1604" t="s">
        <v>1121</v>
      </c>
      <c r="F521" s="1604" t="s">
        <v>1122</v>
      </c>
      <c r="G521" s="1644" t="s">
        <v>1925</v>
      </c>
      <c r="H521" s="1604">
        <v>9434798810</v>
      </c>
      <c r="I521" s="1604">
        <v>8604</v>
      </c>
      <c r="J521" s="1644" t="s">
        <v>1712</v>
      </c>
      <c r="K521" s="1644" t="s">
        <v>1713</v>
      </c>
    </row>
    <row r="522" spans="1:11" ht="15">
      <c r="A522" s="1602">
        <v>91</v>
      </c>
      <c r="B522" s="1602">
        <v>55118</v>
      </c>
      <c r="C522" s="1602" t="s">
        <v>1485</v>
      </c>
      <c r="D522" s="1645" t="s">
        <v>756</v>
      </c>
      <c r="E522" s="1602" t="s">
        <v>1121</v>
      </c>
      <c r="F522" s="1602" t="s">
        <v>1122</v>
      </c>
      <c r="G522" s="1645" t="s">
        <v>1925</v>
      </c>
      <c r="H522" s="1602">
        <v>9434798787</v>
      </c>
      <c r="I522" s="1602">
        <v>8045</v>
      </c>
      <c r="J522" s="1645" t="s">
        <v>1486</v>
      </c>
      <c r="K522" s="1645" t="s">
        <v>1487</v>
      </c>
    </row>
    <row r="523" spans="1:11" ht="15">
      <c r="A523" s="1604">
        <v>92</v>
      </c>
      <c r="B523" s="1604">
        <v>55173</v>
      </c>
      <c r="C523" s="1604" t="s">
        <v>1493</v>
      </c>
      <c r="D523" s="1644" t="s">
        <v>763</v>
      </c>
      <c r="E523" s="1604" t="s">
        <v>1159</v>
      </c>
      <c r="F523" s="1604" t="s">
        <v>1160</v>
      </c>
      <c r="G523" s="1644" t="s">
        <v>1925</v>
      </c>
      <c r="H523" s="1604">
        <v>9434798866</v>
      </c>
      <c r="I523" s="1604"/>
      <c r="J523" s="1644" t="s">
        <v>1495</v>
      </c>
      <c r="K523" s="1644" t="s">
        <v>1928</v>
      </c>
    </row>
    <row r="524" spans="1:11" ht="15">
      <c r="A524" s="1602">
        <v>93</v>
      </c>
      <c r="B524" s="1602">
        <v>86452</v>
      </c>
      <c r="C524" s="1602" t="s">
        <v>1153</v>
      </c>
      <c r="D524" s="1645" t="s">
        <v>1154</v>
      </c>
      <c r="E524" s="1602" t="s">
        <v>1101</v>
      </c>
      <c r="F524" s="1602" t="s">
        <v>1102</v>
      </c>
      <c r="G524" s="1645" t="s">
        <v>1929</v>
      </c>
      <c r="H524" s="1602">
        <v>9434798785</v>
      </c>
      <c r="I524" s="1602">
        <v>8257</v>
      </c>
      <c r="J524" s="1645" t="s">
        <v>1155</v>
      </c>
      <c r="K524" s="1645" t="s">
        <v>1156</v>
      </c>
    </row>
    <row r="525" spans="1:11" ht="15">
      <c r="A525" s="1604">
        <v>94</v>
      </c>
      <c r="B525" s="1604">
        <v>75514</v>
      </c>
      <c r="C525" s="1604" t="s">
        <v>1510</v>
      </c>
      <c r="D525" s="1644" t="s">
        <v>1511</v>
      </c>
      <c r="E525" s="1604" t="s">
        <v>1121</v>
      </c>
      <c r="F525" s="1604" t="s">
        <v>1122</v>
      </c>
      <c r="G525" s="1644" t="s">
        <v>1929</v>
      </c>
      <c r="H525" s="1604">
        <v>9434798721</v>
      </c>
      <c r="I525" s="1604">
        <v>8851</v>
      </c>
      <c r="J525" s="1644" t="s">
        <v>1512</v>
      </c>
      <c r="K525" s="1644" t="s">
        <v>1930</v>
      </c>
    </row>
    <row r="526" spans="1:11" ht="15">
      <c r="A526" s="1602">
        <v>95</v>
      </c>
      <c r="B526" s="1602">
        <v>49091</v>
      </c>
      <c r="C526" s="1602" t="s">
        <v>1931</v>
      </c>
      <c r="D526" s="1645" t="s">
        <v>1932</v>
      </c>
      <c r="E526" s="1602" t="s">
        <v>1108</v>
      </c>
      <c r="F526" s="1602" t="s">
        <v>1109</v>
      </c>
      <c r="G526" s="1645" t="s">
        <v>1929</v>
      </c>
      <c r="H526" s="1602">
        <v>9434799006</v>
      </c>
      <c r="I526" s="1602">
        <v>8367</v>
      </c>
      <c r="J526" s="1645" t="s">
        <v>1933</v>
      </c>
      <c r="K526" s="1645" t="s">
        <v>1838</v>
      </c>
    </row>
    <row r="527" spans="1:11" ht="15">
      <c r="A527" s="1654">
        <v>96</v>
      </c>
      <c r="B527" s="1657">
        <v>55181</v>
      </c>
      <c r="C527" s="1654" t="s">
        <v>1934</v>
      </c>
      <c r="D527" s="1616" t="s">
        <v>1935</v>
      </c>
      <c r="E527" s="1654" t="s">
        <v>1847</v>
      </c>
      <c r="F527" s="1658" t="s">
        <v>1848</v>
      </c>
      <c r="G527" s="1616" t="s">
        <v>1929</v>
      </c>
      <c r="H527" s="1657">
        <v>9434799020</v>
      </c>
      <c r="I527" s="1654"/>
      <c r="J527" s="1616" t="s">
        <v>1936</v>
      </c>
      <c r="K527" s="1660" t="s">
        <v>1937</v>
      </c>
    </row>
    <row r="528" spans="1:11" ht="15">
      <c r="A528" s="1642">
        <v>97</v>
      </c>
      <c r="B528" s="1642">
        <v>6157</v>
      </c>
      <c r="C528" s="1642" t="s">
        <v>1518</v>
      </c>
      <c r="D528" s="1643" t="s">
        <v>1519</v>
      </c>
      <c r="E528" s="1642" t="s">
        <v>1136</v>
      </c>
      <c r="F528" s="1642" t="s">
        <v>1102</v>
      </c>
      <c r="G528" s="1643" t="s">
        <v>1938</v>
      </c>
      <c r="H528" s="1642">
        <v>9434798970</v>
      </c>
      <c r="I528" s="1642">
        <v>8477</v>
      </c>
      <c r="J528" s="1643" t="s">
        <v>1521</v>
      </c>
      <c r="K528" s="1643" t="s">
        <v>1939</v>
      </c>
    </row>
    <row r="529" spans="1:11" ht="15">
      <c r="A529" s="1604">
        <v>98</v>
      </c>
      <c r="B529" s="1604">
        <v>60146</v>
      </c>
      <c r="C529" s="1604" t="s">
        <v>1536</v>
      </c>
      <c r="D529" s="1644" t="s">
        <v>1537</v>
      </c>
      <c r="E529" s="1604" t="s">
        <v>1101</v>
      </c>
      <c r="F529" s="1604" t="s">
        <v>1102</v>
      </c>
      <c r="G529" s="1644" t="s">
        <v>1938</v>
      </c>
      <c r="H529" s="1604">
        <v>9434798717</v>
      </c>
      <c r="I529" s="1604">
        <v>8065</v>
      </c>
      <c r="J529" s="1644" t="s">
        <v>1538</v>
      </c>
      <c r="K529" s="1644" t="s">
        <v>1940</v>
      </c>
    </row>
    <row r="530" spans="1:11" ht="15">
      <c r="A530" s="1602">
        <v>99</v>
      </c>
      <c r="B530" s="1602">
        <v>84005</v>
      </c>
      <c r="C530" s="1602" t="s">
        <v>1527</v>
      </c>
      <c r="D530" s="1645" t="s">
        <v>1528</v>
      </c>
      <c r="E530" s="1602" t="s">
        <v>1159</v>
      </c>
      <c r="F530" s="1602" t="s">
        <v>1160</v>
      </c>
      <c r="G530" s="1645" t="s">
        <v>1938</v>
      </c>
      <c r="H530" s="1602">
        <v>9434798939</v>
      </c>
      <c r="I530" s="1602">
        <v>8069</v>
      </c>
      <c r="J530" s="1645" t="s">
        <v>1529</v>
      </c>
      <c r="K530" s="1645" t="s">
        <v>1941</v>
      </c>
    </row>
    <row r="531" spans="1:11" ht="15">
      <c r="A531" s="648">
        <v>100</v>
      </c>
      <c r="B531" s="648">
        <v>15486</v>
      </c>
      <c r="C531" s="648" t="s">
        <v>1531</v>
      </c>
      <c r="D531" s="1646" t="s">
        <v>1532</v>
      </c>
      <c r="E531" s="648" t="s">
        <v>1101</v>
      </c>
      <c r="F531" s="648" t="s">
        <v>1102</v>
      </c>
      <c r="G531" s="1646" t="s">
        <v>1533</v>
      </c>
      <c r="H531" s="648">
        <v>9434791686</v>
      </c>
      <c r="I531" s="648">
        <v>2048</v>
      </c>
      <c r="J531" s="1646" t="s">
        <v>1534</v>
      </c>
      <c r="K531" s="1646" t="s">
        <v>1942</v>
      </c>
    </row>
    <row r="532" spans="1:11" ht="15">
      <c r="A532" s="1602">
        <v>101</v>
      </c>
      <c r="B532" s="1655">
        <v>5199</v>
      </c>
      <c r="C532" s="1602" t="s">
        <v>1943</v>
      </c>
      <c r="D532" s="1603" t="s">
        <v>1944</v>
      </c>
      <c r="E532" s="1602" t="s">
        <v>1108</v>
      </c>
      <c r="F532" s="1656" t="s">
        <v>1109</v>
      </c>
      <c r="G532" s="1603" t="s">
        <v>1533</v>
      </c>
      <c r="H532" s="1655">
        <v>9434798871</v>
      </c>
      <c r="I532" s="1602"/>
      <c r="J532" s="1607" t="s">
        <v>1945</v>
      </c>
      <c r="K532" s="1607" t="s">
        <v>1946</v>
      </c>
    </row>
    <row r="533" spans="1:11" ht="15">
      <c r="A533" s="648">
        <v>102</v>
      </c>
      <c r="B533" s="648">
        <v>78514</v>
      </c>
      <c r="C533" s="648" t="s">
        <v>1544</v>
      </c>
      <c r="D533" s="1646" t="s">
        <v>1545</v>
      </c>
      <c r="E533" s="648" t="s">
        <v>1136</v>
      </c>
      <c r="F533" s="648" t="s">
        <v>1102</v>
      </c>
      <c r="G533" s="1646" t="s">
        <v>1546</v>
      </c>
      <c r="H533" s="648">
        <v>9434798724</v>
      </c>
      <c r="I533" s="648"/>
      <c r="J533" s="1646" t="s">
        <v>1947</v>
      </c>
      <c r="K533" s="1646" t="s">
        <v>1548</v>
      </c>
    </row>
    <row r="534" spans="1:11" ht="15">
      <c r="A534" s="1602">
        <v>103</v>
      </c>
      <c r="B534" s="1602">
        <v>7141</v>
      </c>
      <c r="C534" s="1602" t="s">
        <v>1549</v>
      </c>
      <c r="D534" s="1645" t="s">
        <v>1550</v>
      </c>
      <c r="E534" s="1602" t="s">
        <v>1101</v>
      </c>
      <c r="F534" s="1602" t="s">
        <v>1102</v>
      </c>
      <c r="G534" s="1645" t="s">
        <v>1546</v>
      </c>
      <c r="H534" s="1602">
        <v>9434798709</v>
      </c>
      <c r="I534" s="1602"/>
      <c r="J534" s="1645" t="s">
        <v>1551</v>
      </c>
      <c r="K534" s="1645" t="s">
        <v>1948</v>
      </c>
    </row>
    <row r="535" spans="1:11" ht="15">
      <c r="A535" s="1604">
        <v>104</v>
      </c>
      <c r="B535" s="1604">
        <v>55119</v>
      </c>
      <c r="C535" s="1604" t="s">
        <v>1557</v>
      </c>
      <c r="D535" s="1644" t="s">
        <v>1558</v>
      </c>
      <c r="E535" s="1604" t="s">
        <v>1159</v>
      </c>
      <c r="F535" s="1604" t="s">
        <v>1160</v>
      </c>
      <c r="G535" s="1644" t="s">
        <v>1546</v>
      </c>
      <c r="H535" s="1604">
        <v>9434798687</v>
      </c>
      <c r="I535" s="1604">
        <v>8353</v>
      </c>
      <c r="J535" s="1644" t="s">
        <v>1559</v>
      </c>
      <c r="K535" s="1653" t="s">
        <v>1949</v>
      </c>
    </row>
    <row r="536" spans="1:11" ht="15">
      <c r="A536" s="1602">
        <v>105</v>
      </c>
      <c r="B536" s="1602">
        <v>53603</v>
      </c>
      <c r="C536" s="1602" t="s">
        <v>1561</v>
      </c>
      <c r="D536" s="1645" t="s">
        <v>1562</v>
      </c>
      <c r="E536" s="1602" t="s">
        <v>1159</v>
      </c>
      <c r="F536" s="1602" t="s">
        <v>1160</v>
      </c>
      <c r="G536" s="1645" t="s">
        <v>1546</v>
      </c>
      <c r="H536" s="1602">
        <v>9434798688</v>
      </c>
      <c r="I536" s="1602">
        <v>8812</v>
      </c>
      <c r="J536" s="1645" t="s">
        <v>1563</v>
      </c>
      <c r="K536" s="1645" t="s">
        <v>1950</v>
      </c>
    </row>
    <row r="537" spans="1:11" ht="15">
      <c r="A537" s="1604">
        <v>106</v>
      </c>
      <c r="B537" s="1604">
        <v>48782</v>
      </c>
      <c r="C537" s="1604" t="s">
        <v>1569</v>
      </c>
      <c r="D537" s="1644" t="s">
        <v>1570</v>
      </c>
      <c r="E537" s="1604" t="s">
        <v>1179</v>
      </c>
      <c r="F537" s="1604" t="s">
        <v>1180</v>
      </c>
      <c r="G537" s="1644" t="s">
        <v>1546</v>
      </c>
      <c r="H537" s="1604">
        <v>9434798887</v>
      </c>
      <c r="I537" s="1604"/>
      <c r="J537" s="1644" t="s">
        <v>1571</v>
      </c>
      <c r="K537" s="1644" t="s">
        <v>1951</v>
      </c>
    </row>
    <row r="538" spans="1:11" ht="15">
      <c r="A538" s="1602">
        <v>107</v>
      </c>
      <c r="B538" s="1602">
        <v>44342</v>
      </c>
      <c r="C538" s="1602" t="s">
        <v>1573</v>
      </c>
      <c r="D538" s="1645" t="s">
        <v>1574</v>
      </c>
      <c r="E538" s="1602" t="s">
        <v>1179</v>
      </c>
      <c r="F538" s="1602" t="s">
        <v>1180</v>
      </c>
      <c r="G538" s="1645" t="s">
        <v>1546</v>
      </c>
      <c r="H538" s="1602">
        <v>9434798639</v>
      </c>
      <c r="I538" s="1602"/>
      <c r="J538" s="1645" t="s">
        <v>1575</v>
      </c>
      <c r="K538" s="1645" t="s">
        <v>1952</v>
      </c>
    </row>
    <row r="539" spans="1:11" ht="15">
      <c r="A539" s="1604">
        <v>108</v>
      </c>
      <c r="B539" s="1604">
        <v>99060</v>
      </c>
      <c r="C539" s="1604" t="s">
        <v>1585</v>
      </c>
      <c r="D539" s="1644" t="s">
        <v>1586</v>
      </c>
      <c r="E539" s="1604" t="s">
        <v>1188</v>
      </c>
      <c r="F539" s="1604" t="s">
        <v>1189</v>
      </c>
      <c r="G539" s="1644" t="s">
        <v>1546</v>
      </c>
      <c r="H539" s="1604">
        <v>9434707601</v>
      </c>
      <c r="I539" s="1604"/>
      <c r="J539" s="1644" t="s">
        <v>1587</v>
      </c>
      <c r="K539" s="1644" t="s">
        <v>1953</v>
      </c>
    </row>
    <row r="540" spans="1:11" ht="15">
      <c r="A540" s="1602">
        <v>109</v>
      </c>
      <c r="B540" s="1655">
        <v>53366</v>
      </c>
      <c r="C540" s="1602" t="s">
        <v>1954</v>
      </c>
      <c r="D540" s="1603" t="s">
        <v>1955</v>
      </c>
      <c r="E540" s="1602" t="s">
        <v>1847</v>
      </c>
      <c r="F540" s="1656" t="s">
        <v>1848</v>
      </c>
      <c r="G540" s="1603" t="s">
        <v>1546</v>
      </c>
      <c r="H540" s="1655">
        <v>9434799021</v>
      </c>
      <c r="I540" s="1602"/>
      <c r="J540" s="1603" t="s">
        <v>1956</v>
      </c>
      <c r="K540" s="1607" t="s">
        <v>1957</v>
      </c>
    </row>
    <row r="541" spans="1:11" ht="15">
      <c r="A541" s="1604">
        <v>110</v>
      </c>
      <c r="B541" s="1604">
        <v>48789</v>
      </c>
      <c r="C541" s="1604" t="s">
        <v>1523</v>
      </c>
      <c r="D541" s="1644" t="s">
        <v>1524</v>
      </c>
      <c r="E541" s="1604" t="s">
        <v>1101</v>
      </c>
      <c r="F541" s="1604" t="s">
        <v>1102</v>
      </c>
      <c r="G541" s="1644" t="s">
        <v>1958</v>
      </c>
      <c r="H541" s="1604">
        <v>9434798736</v>
      </c>
      <c r="I541" s="1604">
        <v>8331</v>
      </c>
      <c r="J541" s="1644" t="s">
        <v>1525</v>
      </c>
      <c r="K541" s="1644" t="s">
        <v>1959</v>
      </c>
    </row>
    <row r="542" spans="1:11" ht="15">
      <c r="A542" s="1602">
        <v>111</v>
      </c>
      <c r="B542" s="1602">
        <v>52107</v>
      </c>
      <c r="C542" s="1602" t="s">
        <v>1514</v>
      </c>
      <c r="D542" s="1645" t="s">
        <v>1515</v>
      </c>
      <c r="E542" s="1602" t="s">
        <v>1159</v>
      </c>
      <c r="F542" s="1602" t="s">
        <v>1160</v>
      </c>
      <c r="G542" s="1645" t="s">
        <v>1960</v>
      </c>
      <c r="H542" s="1602">
        <v>9434798921</v>
      </c>
      <c r="I542" s="1602">
        <v>8505</v>
      </c>
      <c r="J542" s="1645" t="s">
        <v>1516</v>
      </c>
      <c r="K542" s="1645" t="s">
        <v>1961</v>
      </c>
    </row>
    <row r="543" spans="1:11" ht="15">
      <c r="A543" s="1604">
        <v>112</v>
      </c>
      <c r="B543" s="1604">
        <v>8008</v>
      </c>
      <c r="C543" s="1604" t="s">
        <v>1594</v>
      </c>
      <c r="D543" s="1644" t="s">
        <v>1595</v>
      </c>
      <c r="E543" s="1604" t="s">
        <v>1101</v>
      </c>
      <c r="F543" s="1604" t="s">
        <v>1102</v>
      </c>
      <c r="G543" s="1644" t="s">
        <v>1962</v>
      </c>
      <c r="H543" s="1604">
        <v>9434798725</v>
      </c>
      <c r="I543" s="1604">
        <v>8898</v>
      </c>
      <c r="J543" s="1644" t="s">
        <v>1597</v>
      </c>
      <c r="K543" s="1653" t="s">
        <v>1598</v>
      </c>
    </row>
    <row r="544" spans="1:11" ht="15">
      <c r="A544" s="1602">
        <v>113</v>
      </c>
      <c r="B544" s="1602">
        <v>49892</v>
      </c>
      <c r="C544" s="1602" t="s">
        <v>1599</v>
      </c>
      <c r="D544" s="1645" t="s">
        <v>1600</v>
      </c>
      <c r="E544" s="1602" t="s">
        <v>1159</v>
      </c>
      <c r="F544" s="1602" t="s">
        <v>1160</v>
      </c>
      <c r="G544" s="1645" t="s">
        <v>1962</v>
      </c>
      <c r="H544" s="1602">
        <v>9434798677</v>
      </c>
      <c r="I544" s="1602">
        <v>8302</v>
      </c>
      <c r="J544" s="1645" t="s">
        <v>1820</v>
      </c>
      <c r="K544" s="1645" t="s">
        <v>1602</v>
      </c>
    </row>
    <row r="545" spans="1:11" ht="15">
      <c r="A545" s="648">
        <v>114</v>
      </c>
      <c r="B545" s="648">
        <v>55178</v>
      </c>
      <c r="C545" s="648" t="s">
        <v>1613</v>
      </c>
      <c r="D545" s="1646" t="s">
        <v>1614</v>
      </c>
      <c r="E545" s="648" t="s">
        <v>1101</v>
      </c>
      <c r="F545" s="648" t="s">
        <v>1102</v>
      </c>
      <c r="G545" s="1646" t="s">
        <v>1610</v>
      </c>
      <c r="H545" s="648">
        <v>9434798756</v>
      </c>
      <c r="I545" s="648">
        <v>8744</v>
      </c>
      <c r="J545" s="1646" t="s">
        <v>1615</v>
      </c>
      <c r="K545" s="1646" t="s">
        <v>1616</v>
      </c>
    </row>
    <row r="546" spans="1:11" ht="15">
      <c r="A546" s="1602">
        <v>115</v>
      </c>
      <c r="B546" s="1602">
        <v>87151</v>
      </c>
      <c r="C546" s="1602" t="s">
        <v>1617</v>
      </c>
      <c r="D546" s="1645" t="s">
        <v>1618</v>
      </c>
      <c r="E546" s="1602" t="s">
        <v>1159</v>
      </c>
      <c r="F546" s="1602" t="s">
        <v>1160</v>
      </c>
      <c r="G546" s="1645" t="s">
        <v>1610</v>
      </c>
      <c r="H546" s="1602">
        <v>9434798963</v>
      </c>
      <c r="I546" s="1602">
        <v>8572</v>
      </c>
      <c r="J546" s="1645" t="s">
        <v>1619</v>
      </c>
      <c r="K546" s="1645" t="s">
        <v>1620</v>
      </c>
    </row>
    <row r="547" spans="1:11" ht="15">
      <c r="A547" s="1604">
        <v>116</v>
      </c>
      <c r="B547" s="1604">
        <v>75010</v>
      </c>
      <c r="C547" s="1604" t="s">
        <v>1621</v>
      </c>
      <c r="D547" s="1605" t="s">
        <v>1622</v>
      </c>
      <c r="E547" s="1604" t="s">
        <v>1179</v>
      </c>
      <c r="F547" s="1604" t="s">
        <v>1180</v>
      </c>
      <c r="G547" s="1605" t="s">
        <v>1610</v>
      </c>
      <c r="H547" s="1604">
        <v>9434798607</v>
      </c>
      <c r="I547" s="1604">
        <v>8993</v>
      </c>
      <c r="J547" s="1605" t="s">
        <v>1623</v>
      </c>
      <c r="K547" s="1605" t="s">
        <v>1624</v>
      </c>
    </row>
    <row r="548" spans="1:11" ht="15">
      <c r="A548" s="1642">
        <v>117</v>
      </c>
      <c r="B548" s="1642">
        <v>5763</v>
      </c>
      <c r="C548" s="1642" t="s">
        <v>1723</v>
      </c>
      <c r="D548" s="1643" t="s">
        <v>1724</v>
      </c>
      <c r="E548" s="1642" t="s">
        <v>1101</v>
      </c>
      <c r="F548" s="1642" t="s">
        <v>1102</v>
      </c>
      <c r="G548" s="1643" t="s">
        <v>1963</v>
      </c>
      <c r="H548" s="1642">
        <v>9434798895</v>
      </c>
      <c r="I548" s="1642">
        <v>8343</v>
      </c>
      <c r="J548" s="1643" t="s">
        <v>1725</v>
      </c>
      <c r="K548" s="1643" t="s">
        <v>1726</v>
      </c>
    </row>
    <row r="549" spans="1:11" ht="15">
      <c r="A549" s="1604">
        <v>118</v>
      </c>
      <c r="B549" s="1604">
        <v>31175</v>
      </c>
      <c r="C549" s="1604" t="s">
        <v>1727</v>
      </c>
      <c r="D549" s="1644" t="s">
        <v>1728</v>
      </c>
      <c r="E549" s="1604" t="s">
        <v>1121</v>
      </c>
      <c r="F549" s="1604" t="s">
        <v>1122</v>
      </c>
      <c r="G549" s="1644" t="s">
        <v>689</v>
      </c>
      <c r="H549" s="1604">
        <v>9434798937</v>
      </c>
      <c r="I549" s="1604">
        <v>8216</v>
      </c>
      <c r="J549" s="1644" t="s">
        <v>1729</v>
      </c>
      <c r="K549" s="1653" t="s">
        <v>1730</v>
      </c>
    </row>
    <row r="550" spans="1:11" ht="15">
      <c r="A550" s="1602">
        <v>119</v>
      </c>
      <c r="B550" s="1602">
        <v>76552</v>
      </c>
      <c r="C550" s="1602" t="s">
        <v>1736</v>
      </c>
      <c r="D550" s="1645" t="s">
        <v>1737</v>
      </c>
      <c r="E550" s="1602" t="s">
        <v>1159</v>
      </c>
      <c r="F550" s="1602" t="s">
        <v>1160</v>
      </c>
      <c r="G550" s="1645" t="s">
        <v>689</v>
      </c>
      <c r="H550" s="1602">
        <v>9434798844</v>
      </c>
      <c r="I550" s="1602">
        <v>8413</v>
      </c>
      <c r="J550" s="1645" t="s">
        <v>1738</v>
      </c>
      <c r="K550" s="1651" t="s">
        <v>1739</v>
      </c>
    </row>
    <row r="551" spans="1:11" ht="15">
      <c r="A551" s="1604">
        <v>120</v>
      </c>
      <c r="B551" s="1604">
        <v>81557</v>
      </c>
      <c r="C551" s="1604" t="s">
        <v>1745</v>
      </c>
      <c r="D551" s="1644" t="s">
        <v>1746</v>
      </c>
      <c r="E551" s="1604" t="s">
        <v>1165</v>
      </c>
      <c r="F551" s="1604" t="s">
        <v>1166</v>
      </c>
      <c r="G551" s="1644" t="s">
        <v>689</v>
      </c>
      <c r="H551" s="1604">
        <v>9434798997</v>
      </c>
      <c r="I551" s="1604">
        <v>8569</v>
      </c>
      <c r="J551" s="1644" t="s">
        <v>1747</v>
      </c>
      <c r="K551" s="1644" t="s">
        <v>1748</v>
      </c>
    </row>
    <row r="552" spans="1:11" ht="15">
      <c r="A552" s="1602">
        <v>121</v>
      </c>
      <c r="B552" s="1602">
        <v>86593</v>
      </c>
      <c r="C552" s="1602" t="s">
        <v>1749</v>
      </c>
      <c r="D552" s="1645" t="s">
        <v>1750</v>
      </c>
      <c r="E552" s="1602" t="s">
        <v>1188</v>
      </c>
      <c r="F552" s="1602" t="s">
        <v>1189</v>
      </c>
      <c r="G552" s="1645" t="s">
        <v>689</v>
      </c>
      <c r="H552" s="1602">
        <v>9434707594</v>
      </c>
      <c r="I552" s="1602">
        <v>8761</v>
      </c>
      <c r="J552" s="1645" t="s">
        <v>1752</v>
      </c>
      <c r="K552" s="1645" t="s">
        <v>1964</v>
      </c>
    </row>
    <row r="553" spans="1:11" ht="15">
      <c r="A553" s="1604">
        <v>122</v>
      </c>
      <c r="B553" s="1604">
        <v>15293</v>
      </c>
      <c r="C553" s="1604" t="s">
        <v>1740</v>
      </c>
      <c r="D553" s="1644" t="s">
        <v>1741</v>
      </c>
      <c r="E553" s="1604" t="s">
        <v>1159</v>
      </c>
      <c r="F553" s="1604" t="s">
        <v>1160</v>
      </c>
      <c r="G553" s="1644" t="s">
        <v>1965</v>
      </c>
      <c r="H553" s="1604">
        <v>9434798973</v>
      </c>
      <c r="I553" s="1604">
        <v>8241</v>
      </c>
      <c r="J553" s="1644" t="s">
        <v>1743</v>
      </c>
      <c r="K553" s="1644" t="s">
        <v>1744</v>
      </c>
    </row>
    <row r="554" spans="1:11" ht="15">
      <c r="A554" s="1602">
        <v>123</v>
      </c>
      <c r="B554" s="1602">
        <v>89096</v>
      </c>
      <c r="C554" s="1602" t="s">
        <v>1781</v>
      </c>
      <c r="D554" s="1645" t="s">
        <v>1782</v>
      </c>
      <c r="E554" s="1602" t="s">
        <v>1159</v>
      </c>
      <c r="F554" s="1602" t="s">
        <v>1160</v>
      </c>
      <c r="G554" s="1645" t="s">
        <v>1783</v>
      </c>
      <c r="H554" s="1602">
        <v>9434798679</v>
      </c>
      <c r="I554" s="1602"/>
      <c r="J554" s="1645" t="s">
        <v>1784</v>
      </c>
      <c r="K554" s="1645" t="s">
        <v>1785</v>
      </c>
    </row>
    <row r="555" spans="1:11" ht="15">
      <c r="A555" s="1604">
        <v>124</v>
      </c>
      <c r="B555" s="1604">
        <v>57952</v>
      </c>
      <c r="C555" s="1604" t="s">
        <v>1760</v>
      </c>
      <c r="D555" s="1644" t="s">
        <v>1761</v>
      </c>
      <c r="E555" s="1604" t="s">
        <v>1966</v>
      </c>
      <c r="F555" s="1604" t="s">
        <v>1122</v>
      </c>
      <c r="G555" s="1644" t="s">
        <v>1757</v>
      </c>
      <c r="H555" s="1604">
        <v>9434798955</v>
      </c>
      <c r="I555" s="1604"/>
      <c r="J555" s="1644" t="s">
        <v>1763</v>
      </c>
      <c r="K555" s="1644" t="s">
        <v>1764</v>
      </c>
    </row>
    <row r="556" spans="1:11" ht="15">
      <c r="A556" s="1602">
        <v>125</v>
      </c>
      <c r="B556" s="1602">
        <v>70563</v>
      </c>
      <c r="C556" s="1602" t="s">
        <v>1765</v>
      </c>
      <c r="D556" s="1645" t="s">
        <v>1766</v>
      </c>
      <c r="E556" s="1602" t="s">
        <v>1967</v>
      </c>
      <c r="F556" s="1602" t="s">
        <v>1160</v>
      </c>
      <c r="G556" s="1645" t="s">
        <v>1757</v>
      </c>
      <c r="H556" s="1602">
        <v>9434798811</v>
      </c>
      <c r="I556" s="1602"/>
      <c r="J556" s="1645" t="s">
        <v>1768</v>
      </c>
      <c r="K556" s="1645" t="s">
        <v>1769</v>
      </c>
    </row>
    <row r="557" spans="1:11" ht="15">
      <c r="A557" s="648">
        <v>126</v>
      </c>
      <c r="B557" s="648">
        <v>50811</v>
      </c>
      <c r="C557" s="648" t="s">
        <v>1968</v>
      </c>
      <c r="D557" s="1646" t="s">
        <v>1969</v>
      </c>
      <c r="E557" s="648" t="s">
        <v>1136</v>
      </c>
      <c r="F557" s="648" t="s">
        <v>1102</v>
      </c>
      <c r="G557" s="1646" t="s">
        <v>1627</v>
      </c>
      <c r="H557" s="648">
        <v>9434792258</v>
      </c>
      <c r="I557" s="648"/>
      <c r="J557" s="1646" t="s">
        <v>1838</v>
      </c>
      <c r="K557" s="1646" t="s">
        <v>1970</v>
      </c>
    </row>
    <row r="558" spans="1:11" ht="15">
      <c r="A558" s="1602">
        <v>127</v>
      </c>
      <c r="B558" s="1602">
        <v>41634</v>
      </c>
      <c r="C558" s="1602" t="s">
        <v>1638</v>
      </c>
      <c r="D558" s="1645" t="s">
        <v>1639</v>
      </c>
      <c r="E558" s="1602" t="s">
        <v>1101</v>
      </c>
      <c r="F558" s="1602" t="s">
        <v>1102</v>
      </c>
      <c r="G558" s="1645" t="s">
        <v>1627</v>
      </c>
      <c r="H558" s="1602">
        <v>9434798734</v>
      </c>
      <c r="I558" s="1602"/>
      <c r="J558" s="1645" t="s">
        <v>1640</v>
      </c>
      <c r="K558" s="1651" t="s">
        <v>1641</v>
      </c>
    </row>
    <row r="559" spans="1:11" ht="15">
      <c r="A559" s="1604">
        <v>128</v>
      </c>
      <c r="B559" s="1604">
        <v>63346</v>
      </c>
      <c r="C559" s="1604" t="s">
        <v>1646</v>
      </c>
      <c r="D559" s="1644" t="s">
        <v>1647</v>
      </c>
      <c r="E559" s="1604" t="s">
        <v>1101</v>
      </c>
      <c r="F559" s="1604" t="s">
        <v>1102</v>
      </c>
      <c r="G559" s="1644" t="s">
        <v>1627</v>
      </c>
      <c r="H559" s="1604">
        <v>9434798942</v>
      </c>
      <c r="I559" s="1604"/>
      <c r="J559" s="1644" t="s">
        <v>1648</v>
      </c>
      <c r="K559" s="1644" t="s">
        <v>1649</v>
      </c>
    </row>
    <row r="560" spans="1:11" ht="15">
      <c r="A560" s="1602">
        <v>129</v>
      </c>
      <c r="B560" s="1602">
        <v>23416</v>
      </c>
      <c r="C560" s="1602" t="s">
        <v>1650</v>
      </c>
      <c r="D560" s="1645" t="s">
        <v>1651</v>
      </c>
      <c r="E560" s="1602" t="s">
        <v>1101</v>
      </c>
      <c r="F560" s="1602" t="s">
        <v>1102</v>
      </c>
      <c r="G560" s="1645" t="s">
        <v>1627</v>
      </c>
      <c r="H560" s="1602">
        <v>9434798935</v>
      </c>
      <c r="I560" s="1602">
        <v>8821</v>
      </c>
      <c r="J560" s="1645" t="s">
        <v>1652</v>
      </c>
      <c r="K560" s="1645" t="s">
        <v>1653</v>
      </c>
    </row>
    <row r="561" spans="1:11" ht="15">
      <c r="A561" s="1604">
        <v>130</v>
      </c>
      <c r="B561" s="1604">
        <v>15556</v>
      </c>
      <c r="C561" s="1604" t="s">
        <v>1654</v>
      </c>
      <c r="D561" s="1644" t="s">
        <v>1655</v>
      </c>
      <c r="E561" s="1604" t="s">
        <v>1121</v>
      </c>
      <c r="F561" s="1604" t="s">
        <v>1122</v>
      </c>
      <c r="G561" s="1644" t="s">
        <v>1627</v>
      </c>
      <c r="H561" s="1604">
        <v>9434798943</v>
      </c>
      <c r="I561" s="1604">
        <v>8672</v>
      </c>
      <c r="J561" s="1644" t="s">
        <v>1656</v>
      </c>
      <c r="K561" s="1653" t="s">
        <v>1657</v>
      </c>
    </row>
    <row r="562" spans="1:11" ht="15">
      <c r="A562" s="1602">
        <v>131</v>
      </c>
      <c r="B562" s="1602">
        <v>34702</v>
      </c>
      <c r="C562" s="1602" t="s">
        <v>1662</v>
      </c>
      <c r="D562" s="1603" t="s">
        <v>1663</v>
      </c>
      <c r="E562" s="1602" t="s">
        <v>1159</v>
      </c>
      <c r="F562" s="1602" t="s">
        <v>1160</v>
      </c>
      <c r="G562" s="1603" t="s">
        <v>1627</v>
      </c>
      <c r="H562" s="1602">
        <v>9434798669</v>
      </c>
      <c r="I562" s="1602">
        <v>8621</v>
      </c>
      <c r="J562" s="1603" t="s">
        <v>1664</v>
      </c>
      <c r="K562" s="1603" t="s">
        <v>1665</v>
      </c>
    </row>
    <row r="563" spans="1:11" ht="15">
      <c r="A563" s="1604">
        <v>132</v>
      </c>
      <c r="B563" s="1604">
        <v>48988</v>
      </c>
      <c r="C563" s="1604" t="s">
        <v>1666</v>
      </c>
      <c r="D563" s="1644" t="s">
        <v>1667</v>
      </c>
      <c r="E563" s="1604" t="s">
        <v>1165</v>
      </c>
      <c r="F563" s="1604" t="s">
        <v>1166</v>
      </c>
      <c r="G563" s="1644" t="s">
        <v>1627</v>
      </c>
      <c r="H563" s="1604">
        <v>9434798896</v>
      </c>
      <c r="I563" s="1604">
        <v>8225</v>
      </c>
      <c r="J563" s="1644" t="s">
        <v>1668</v>
      </c>
      <c r="K563" s="1644" t="s">
        <v>1669</v>
      </c>
    </row>
    <row r="564" spans="1:11" ht="15">
      <c r="A564" s="1602">
        <v>133</v>
      </c>
      <c r="B564" s="1602">
        <v>89194</v>
      </c>
      <c r="C564" s="1602" t="s">
        <v>1670</v>
      </c>
      <c r="D564" s="1645" t="s">
        <v>1671</v>
      </c>
      <c r="E564" s="1602" t="s">
        <v>1179</v>
      </c>
      <c r="F564" s="1602" t="s">
        <v>1180</v>
      </c>
      <c r="G564" s="1645" t="s">
        <v>1627</v>
      </c>
      <c r="H564" s="1602">
        <v>9434798754</v>
      </c>
      <c r="I564" s="1602">
        <v>8692</v>
      </c>
      <c r="J564" s="1645" t="s">
        <v>1672</v>
      </c>
      <c r="K564" s="1645" t="s">
        <v>1673</v>
      </c>
    </row>
    <row r="565" spans="1:11" ht="15">
      <c r="A565" s="1604">
        <v>134</v>
      </c>
      <c r="B565" s="1604">
        <v>1251</v>
      </c>
      <c r="C565" s="1604" t="s">
        <v>1971</v>
      </c>
      <c r="D565" s="1605" t="s">
        <v>1972</v>
      </c>
      <c r="E565" s="1654" t="s">
        <v>1108</v>
      </c>
      <c r="F565" s="1654" t="s">
        <v>1109</v>
      </c>
      <c r="G565" s="1605" t="s">
        <v>1627</v>
      </c>
      <c r="H565" s="1604">
        <v>9474994224</v>
      </c>
      <c r="I565" s="1604">
        <v>8682</v>
      </c>
      <c r="J565" s="1605" t="s">
        <v>1973</v>
      </c>
      <c r="K565" s="1605" t="s">
        <v>1838</v>
      </c>
    </row>
    <row r="566" spans="1:11" ht="15">
      <c r="A566" s="1642">
        <v>135</v>
      </c>
      <c r="B566" s="1642">
        <v>44102</v>
      </c>
      <c r="C566" s="1642" t="s">
        <v>1674</v>
      </c>
      <c r="D566" s="1643" t="s">
        <v>1675</v>
      </c>
      <c r="E566" s="1642" t="s">
        <v>1121</v>
      </c>
      <c r="F566" s="1642" t="s">
        <v>1122</v>
      </c>
      <c r="G566" s="1643" t="s">
        <v>1676</v>
      </c>
      <c r="H566" s="1642">
        <v>9434798915</v>
      </c>
      <c r="I566" s="1642">
        <v>8266</v>
      </c>
      <c r="J566" s="1643" t="s">
        <v>1677</v>
      </c>
      <c r="K566" s="1643" t="s">
        <v>1678</v>
      </c>
    </row>
    <row r="567" spans="1:11" ht="15">
      <c r="A567" s="648">
        <v>136</v>
      </c>
      <c r="B567" s="648">
        <v>91039</v>
      </c>
      <c r="C567" s="648" t="s">
        <v>1679</v>
      </c>
      <c r="D567" s="1646" t="s">
        <v>1680</v>
      </c>
      <c r="E567" s="648" t="s">
        <v>1136</v>
      </c>
      <c r="F567" s="648" t="s">
        <v>1102</v>
      </c>
      <c r="G567" s="1646" t="s">
        <v>1681</v>
      </c>
      <c r="H567" s="648">
        <v>9434798727</v>
      </c>
      <c r="I567" s="648">
        <v>8532</v>
      </c>
      <c r="J567" s="1646" t="s">
        <v>1683</v>
      </c>
      <c r="K567" s="1646" t="s">
        <v>1683</v>
      </c>
    </row>
    <row r="568" spans="1:11" ht="15">
      <c r="A568" s="1602">
        <v>137</v>
      </c>
      <c r="B568" s="1602">
        <v>54101</v>
      </c>
      <c r="C568" s="1602" t="s">
        <v>1974</v>
      </c>
      <c r="D568" s="1645" t="s">
        <v>1975</v>
      </c>
      <c r="E568" s="1602" t="s">
        <v>1101</v>
      </c>
      <c r="F568" s="1602" t="s">
        <v>1102</v>
      </c>
      <c r="G568" s="1645" t="s">
        <v>1686</v>
      </c>
      <c r="H568" s="1602">
        <v>9434792317</v>
      </c>
      <c r="I568" s="1602">
        <v>8737</v>
      </c>
      <c r="J568" s="1645" t="s">
        <v>1838</v>
      </c>
      <c r="K568" s="1645" t="s">
        <v>1976</v>
      </c>
    </row>
    <row r="569" spans="1:11" ht="15">
      <c r="A569" s="1604">
        <v>138</v>
      </c>
      <c r="B569" s="1604">
        <v>55152</v>
      </c>
      <c r="C569" s="1604" t="s">
        <v>1693</v>
      </c>
      <c r="D569" s="1644" t="s">
        <v>1694</v>
      </c>
      <c r="E569" s="1604" t="s">
        <v>1159</v>
      </c>
      <c r="F569" s="1604" t="s">
        <v>1160</v>
      </c>
      <c r="G569" s="1644" t="s">
        <v>1686</v>
      </c>
      <c r="H569" s="1604">
        <v>9434798877</v>
      </c>
      <c r="I569" s="1604">
        <v>8850</v>
      </c>
      <c r="J569" s="1644" t="s">
        <v>1695</v>
      </c>
      <c r="K569" s="1644" t="s">
        <v>1696</v>
      </c>
    </row>
    <row r="570" spans="1:11" ht="15">
      <c r="A570" s="1602">
        <v>139</v>
      </c>
      <c r="B570" s="1602">
        <v>99841</v>
      </c>
      <c r="C570" s="1602" t="s">
        <v>1701</v>
      </c>
      <c r="D570" s="1645" t="s">
        <v>1702</v>
      </c>
      <c r="E570" s="1602" t="s">
        <v>1159</v>
      </c>
      <c r="F570" s="1602" t="s">
        <v>1160</v>
      </c>
      <c r="G570" s="1645" t="s">
        <v>1686</v>
      </c>
      <c r="H570" s="1602">
        <v>9434798965</v>
      </c>
      <c r="I570" s="1602">
        <v>8238</v>
      </c>
      <c r="J570" s="1645" t="s">
        <v>1703</v>
      </c>
      <c r="K570" s="1645" t="s">
        <v>1977</v>
      </c>
    </row>
    <row r="571" spans="1:11" ht="15">
      <c r="A571" s="1604">
        <v>140</v>
      </c>
      <c r="B571" s="1604">
        <v>57661</v>
      </c>
      <c r="C571" s="1604" t="s">
        <v>1705</v>
      </c>
      <c r="D571" s="1644" t="s">
        <v>1706</v>
      </c>
      <c r="E571" s="1604" t="s">
        <v>1101</v>
      </c>
      <c r="F571" s="1604" t="s">
        <v>1102</v>
      </c>
      <c r="G571" s="1644" t="s">
        <v>1707</v>
      </c>
      <c r="H571" s="1604">
        <v>9434798770</v>
      </c>
      <c r="I571" s="1604">
        <v>8311</v>
      </c>
      <c r="J571" s="1644" t="s">
        <v>1708</v>
      </c>
      <c r="K571" s="1644" t="s">
        <v>1709</v>
      </c>
    </row>
    <row r="572" spans="1:11" ht="15">
      <c r="A572" s="1602">
        <v>141</v>
      </c>
      <c r="B572" s="1602">
        <v>92555</v>
      </c>
      <c r="C572" s="1602" t="s">
        <v>1714</v>
      </c>
      <c r="D572" s="1645" t="s">
        <v>1715</v>
      </c>
      <c r="E572" s="1602" t="s">
        <v>1188</v>
      </c>
      <c r="F572" s="1602" t="s">
        <v>1189</v>
      </c>
      <c r="G572" s="1645" t="s">
        <v>1707</v>
      </c>
      <c r="H572" s="1602">
        <v>9434798834</v>
      </c>
      <c r="I572" s="1602">
        <v>8943</v>
      </c>
      <c r="J572" s="1645" t="s">
        <v>1716</v>
      </c>
      <c r="K572" s="1651" t="s">
        <v>1717</v>
      </c>
    </row>
    <row r="573" spans="1:11" ht="15">
      <c r="A573" s="1604">
        <v>142</v>
      </c>
      <c r="B573" s="1604">
        <v>88844</v>
      </c>
      <c r="C573" s="1604" t="s">
        <v>1978</v>
      </c>
      <c r="D573" s="1644" t="s">
        <v>1979</v>
      </c>
      <c r="E573" s="1654" t="s">
        <v>1108</v>
      </c>
      <c r="F573" s="1604" t="s">
        <v>1109</v>
      </c>
      <c r="G573" s="1644" t="s">
        <v>1707</v>
      </c>
      <c r="H573" s="1604">
        <v>9434799003</v>
      </c>
      <c r="I573" s="1604"/>
      <c r="J573" s="1644" t="s">
        <v>1980</v>
      </c>
      <c r="K573" s="1653" t="s">
        <v>1838</v>
      </c>
    </row>
  </sheetData>
  <mergeCells count="16">
    <mergeCell ref="P60:P61"/>
    <mergeCell ref="P65:P66"/>
    <mergeCell ref="AA43:AA44"/>
    <mergeCell ref="AC43:AC44"/>
    <mergeCell ref="AE43:AE44"/>
    <mergeCell ref="Q60:Q61"/>
    <mergeCell ref="R60:R61"/>
    <mergeCell ref="R65:R66"/>
    <mergeCell ref="S65:S66"/>
    <mergeCell ref="T65:T66"/>
    <mergeCell ref="Z43:Z44"/>
    <mergeCell ref="A1:J1"/>
    <mergeCell ref="A2:J2"/>
    <mergeCell ref="I6:J6"/>
    <mergeCell ref="A275:L275"/>
    <mergeCell ref="E430:G430"/>
  </mergeCells>
  <hyperlinks>
    <hyperlink ref="J114" r:id="rId1"/>
    <hyperlink ref="J117" r:id="rId2"/>
    <hyperlink ref="K117" r:id="rId3"/>
    <hyperlink ref="J133" r:id="rId4"/>
    <hyperlink ref="J147" r:id="rId5"/>
    <hyperlink ref="J165" r:id="rId6"/>
    <hyperlink ref="J175" r:id="rId7"/>
    <hyperlink ref="J223" r:id="rId8"/>
    <hyperlink ref="J254" r:id="rId9"/>
    <hyperlink ref="J255" r:id="rId10"/>
    <hyperlink ref="K255" r:id="rId11"/>
    <hyperlink ref="K268" r:id="rId12"/>
    <hyperlink ref="J335" r:id="rId13"/>
    <hyperlink ref="J329" r:id="rId14"/>
    <hyperlink ref="J293" r:id="rId15"/>
    <hyperlink ref="K293" r:id="rId16"/>
    <hyperlink ref="J395" r:id="rId17"/>
    <hyperlink ref="J302" r:id="rId18"/>
    <hyperlink ref="J339" r:id="rId19"/>
    <hyperlink ref="J337" r:id="rId20"/>
    <hyperlink ref="J402" r:id="rId21"/>
    <hyperlink ref="J354" r:id="rId22"/>
    <hyperlink ref="K354" r:id="rId23"/>
    <hyperlink ref="J325" r:id="rId24"/>
    <hyperlink ref="J291" r:id="rId25"/>
    <hyperlink ref="J292" r:id="rId26"/>
    <hyperlink ref="K320" r:id="rId27"/>
    <hyperlink ref="J390" r:id="rId28"/>
    <hyperlink ref="J294" r:id="rId29"/>
    <hyperlink ref="K294" r:id="rId30"/>
    <hyperlink ref="J362" r:id="rId31"/>
    <hyperlink ref="K345" r:id="rId32"/>
    <hyperlink ref="J304" r:id="rId33"/>
    <hyperlink ref="J371" r:id="rId34"/>
    <hyperlink ref="J288" r:id="rId35"/>
    <hyperlink ref="J281" r:id="rId36"/>
    <hyperlink ref="K281" r:id="rId37"/>
    <hyperlink ref="J410" r:id="rId38"/>
    <hyperlink ref="K410" r:id="rId39"/>
    <hyperlink ref="K344" r:id="rId40"/>
    <hyperlink ref="J359" r:id="rId41"/>
    <hyperlink ref="K392" r:id="rId42"/>
    <hyperlink ref="K399" r:id="rId43"/>
    <hyperlink ref="K373" r:id="rId44"/>
    <hyperlink ref="K432" r:id="rId45"/>
    <hyperlink ref="K434" r:id="rId46"/>
    <hyperlink ref="K438" r:id="rId47"/>
    <hyperlink ref="K439" r:id="rId48"/>
    <hyperlink ref="K441" r:id="rId49"/>
    <hyperlink ref="K442" r:id="rId50"/>
    <hyperlink ref="K443" r:id="rId51"/>
    <hyperlink ref="K444" r:id="rId52"/>
    <hyperlink ref="K447" r:id="rId53"/>
    <hyperlink ref="K448" r:id="rId54"/>
    <hyperlink ref="K450" r:id="rId55"/>
    <hyperlink ref="K454" r:id="rId56"/>
    <hyperlink ref="K458" r:id="rId57"/>
    <hyperlink ref="K468" r:id="rId58"/>
    <hyperlink ref="K470" r:id="rId59"/>
    <hyperlink ref="K471" r:id="rId60"/>
    <hyperlink ref="K472" r:id="rId61"/>
    <hyperlink ref="K480" r:id="rId62"/>
    <hyperlink ref="K485" r:id="rId63"/>
    <hyperlink ref="K494" r:id="rId64"/>
    <hyperlink ref="K495" r:id="rId65"/>
    <hyperlink ref="J497" r:id="rId66"/>
    <hyperlink ref="K497" r:id="rId67"/>
    <hyperlink ref="K499" r:id="rId68"/>
    <hyperlink ref="K511" r:id="rId69"/>
    <hyperlink ref="K512" r:id="rId70"/>
    <hyperlink ref="K519" r:id="rId71"/>
    <hyperlink ref="K527" r:id="rId72"/>
    <hyperlink ref="J532" r:id="rId73"/>
    <hyperlink ref="K532" r:id="rId74"/>
    <hyperlink ref="K535" r:id="rId75"/>
    <hyperlink ref="K540" r:id="rId76"/>
    <hyperlink ref="K543" r:id="rId77"/>
    <hyperlink ref="K549" r:id="rId78"/>
    <hyperlink ref="K550" r:id="rId79"/>
    <hyperlink ref="K558" r:id="rId80"/>
    <hyperlink ref="K561" r:id="rId81"/>
    <hyperlink ref="K572" r:id="rId82"/>
    <hyperlink ref="K573" r:id="rId83"/>
  </hyperlinks>
  <pageMargins left="0.75" right="0.75" top="1" bottom="1" header="0.5" footer="0.5"/>
  <pageSetup scale="65" orientation="landscape" r:id="rId84"/>
  <headerFooter alignWithMargins="0"/>
  <drawing r:id="rId8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808"/>
  <sheetViews>
    <sheetView topLeftCell="M1" zoomScaleSheetLayoutView="100" workbookViewId="0">
      <selection activeCell="F24" sqref="F24"/>
    </sheetView>
  </sheetViews>
  <sheetFormatPr defaultColWidth="9" defaultRowHeight="18"/>
  <cols>
    <col min="1" max="1" width="0.28515625" customWidth="1"/>
    <col min="2" max="2" width="23.42578125" customWidth="1"/>
    <col min="3" max="3" width="9.140625" hidden="1" customWidth="1"/>
    <col min="4" max="4" width="14.85546875" hidden="1" customWidth="1"/>
    <col min="5" max="5" width="24.85546875" customWidth="1"/>
    <col min="6" max="6" width="12.7109375" customWidth="1"/>
    <col min="7" max="8" width="16.42578125" customWidth="1"/>
    <col min="9" max="9" width="21" customWidth="1"/>
    <col min="10" max="10" width="23.7109375" customWidth="1"/>
    <col min="11" max="11" width="12.7109375" customWidth="1"/>
    <col min="12" max="12" width="19.5703125" customWidth="1"/>
    <col min="13" max="13" width="25.85546875" customWidth="1"/>
    <col min="14" max="14" width="15.5703125" customWidth="1"/>
    <col min="15" max="15" width="12.42578125" customWidth="1"/>
    <col min="16" max="16" width="14.140625" customWidth="1"/>
    <col min="17" max="17" width="12.42578125" customWidth="1"/>
    <col min="18" max="18" width="13.5703125" customWidth="1"/>
    <col min="19" max="19" width="10.28515625" customWidth="1"/>
    <col min="20" max="20" width="12.28515625" customWidth="1"/>
    <col min="21" max="21" width="10.85546875" customWidth="1"/>
    <col min="22" max="22" width="10.5703125" customWidth="1"/>
    <col min="23" max="23" width="11.140625" customWidth="1"/>
    <col min="24" max="28" width="13.5703125" customWidth="1"/>
    <col min="29" max="29" width="11.5703125" customWidth="1"/>
    <col min="30" max="30" width="10.85546875" customWidth="1"/>
    <col min="31" max="31" width="13.85546875" customWidth="1"/>
    <col min="32" max="32" width="13.42578125" customWidth="1"/>
    <col min="33" max="34" width="12.140625" style="1305" customWidth="1"/>
    <col min="35" max="36" width="10.85546875" customWidth="1"/>
    <col min="37" max="37" width="12.85546875" customWidth="1"/>
    <col min="38" max="38" width="28.28515625" customWidth="1"/>
    <col min="39" max="39" width="22.85546875" customWidth="1"/>
    <col min="40" max="40" width="17.85546875" customWidth="1"/>
    <col min="41" max="41" width="18.140625" customWidth="1"/>
    <col min="42" max="42" width="18.7109375" customWidth="1"/>
    <col min="43" max="43" width="14" customWidth="1"/>
    <col min="45" max="45" width="9.140625" customWidth="1"/>
  </cols>
  <sheetData>
    <row r="1" spans="2:57" ht="23.25">
      <c r="J1" s="2930" t="s">
        <v>1981</v>
      </c>
      <c r="K1" s="2930"/>
      <c r="L1" s="2930"/>
      <c r="M1" s="2930"/>
      <c r="N1" s="2930"/>
      <c r="O1" s="2930"/>
      <c r="P1" s="2930"/>
      <c r="Q1" s="2930"/>
      <c r="R1" s="2930"/>
      <c r="S1" s="2930"/>
      <c r="T1" s="2930"/>
      <c r="AS1" s="2930" t="s">
        <v>1982</v>
      </c>
      <c r="AT1" s="2930"/>
      <c r="AU1" s="2930"/>
      <c r="AV1" s="2930"/>
      <c r="AW1" s="2930"/>
      <c r="AX1" s="2930"/>
      <c r="AY1" s="2930"/>
      <c r="AZ1" s="2930"/>
      <c r="BA1" s="2930"/>
      <c r="BB1" s="2930"/>
      <c r="BC1" s="2930"/>
      <c r="BD1" s="2930"/>
    </row>
    <row r="2" spans="2:57" ht="21.75">
      <c r="J2" s="1312" t="s">
        <v>721</v>
      </c>
      <c r="K2" s="1313" t="s">
        <v>722</v>
      </c>
      <c r="L2" s="1313" t="s">
        <v>723</v>
      </c>
      <c r="M2" s="1313" t="s">
        <v>724</v>
      </c>
      <c r="N2" s="1313" t="s">
        <v>726</v>
      </c>
      <c r="O2" s="1313" t="s">
        <v>727</v>
      </c>
      <c r="P2" s="1314" t="s">
        <v>1983</v>
      </c>
      <c r="Q2" s="1313" t="s">
        <v>729</v>
      </c>
      <c r="R2" s="1313" t="s">
        <v>730</v>
      </c>
      <c r="S2" s="1313" t="s">
        <v>731</v>
      </c>
      <c r="T2" s="1313" t="s">
        <v>91</v>
      </c>
      <c r="U2" s="833" t="s">
        <v>733</v>
      </c>
      <c r="V2" s="833" t="s">
        <v>734</v>
      </c>
      <c r="AS2" s="1312" t="s">
        <v>721</v>
      </c>
      <c r="AT2" s="1313" t="s">
        <v>722</v>
      </c>
      <c r="AU2" s="1313" t="s">
        <v>723</v>
      </c>
      <c r="AV2" s="1313" t="s">
        <v>724</v>
      </c>
      <c r="AW2" s="1313" t="s">
        <v>725</v>
      </c>
      <c r="AX2" s="1313" t="s">
        <v>726</v>
      </c>
      <c r="AY2" s="1313" t="s">
        <v>727</v>
      </c>
      <c r="AZ2" s="1314" t="s">
        <v>1983</v>
      </c>
      <c r="BA2" s="1313" t="s">
        <v>729</v>
      </c>
      <c r="BB2" s="1313" t="s">
        <v>730</v>
      </c>
      <c r="BC2" s="1313" t="s">
        <v>731</v>
      </c>
      <c r="BD2" s="1313" t="s">
        <v>91</v>
      </c>
      <c r="BE2" s="1335" t="s">
        <v>92</v>
      </c>
    </row>
    <row r="3" spans="2:57" ht="21.75">
      <c r="J3" s="1315" t="s">
        <v>1984</v>
      </c>
      <c r="K3" s="836">
        <v>546</v>
      </c>
      <c r="L3" s="714">
        <v>498</v>
      </c>
      <c r="M3" s="714">
        <v>2515</v>
      </c>
      <c r="N3" s="714">
        <v>1116</v>
      </c>
      <c r="O3" s="714">
        <v>2160</v>
      </c>
      <c r="P3" s="1316">
        <f>SUM(K3:O3)</f>
        <v>6835</v>
      </c>
      <c r="Q3" s="714">
        <v>1920</v>
      </c>
      <c r="R3" s="714">
        <v>2298</v>
      </c>
      <c r="S3" s="714">
        <v>1176</v>
      </c>
      <c r="T3" s="714">
        <v>180</v>
      </c>
      <c r="U3" s="714">
        <v>2136</v>
      </c>
      <c r="V3" s="833">
        <v>2994</v>
      </c>
      <c r="W3" s="520">
        <f>+V3+U3+T3+S3+R3+Q3</f>
        <v>10704</v>
      </c>
      <c r="AL3" s="520">
        <f>+AZ3+BA3+BB3+BC3+BD3+BE3</f>
        <v>18157</v>
      </c>
      <c r="AS3" s="1315" t="s">
        <v>1984</v>
      </c>
      <c r="AT3" s="836">
        <v>546</v>
      </c>
      <c r="AU3" s="714">
        <v>498</v>
      </c>
      <c r="AV3" s="714">
        <v>2515</v>
      </c>
      <c r="AW3" s="714">
        <v>3612</v>
      </c>
      <c r="AX3" s="714">
        <v>1116</v>
      </c>
      <c r="AY3" s="714">
        <v>2160</v>
      </c>
      <c r="AZ3" s="1316">
        <f>AT3+AU3+AV3+AW3+AX3+AY3</f>
        <v>10447</v>
      </c>
      <c r="BA3" s="714">
        <v>1920</v>
      </c>
      <c r="BB3" s="714">
        <v>2298</v>
      </c>
      <c r="BC3" s="714">
        <v>1176</v>
      </c>
      <c r="BD3" s="714">
        <v>180</v>
      </c>
      <c r="BE3" s="1320">
        <v>2136</v>
      </c>
    </row>
    <row r="4" spans="2:57" ht="21.75">
      <c r="J4" s="1315"/>
      <c r="K4" s="836"/>
      <c r="L4" s="714"/>
      <c r="M4" s="714"/>
      <c r="N4" s="714"/>
      <c r="O4" s="714"/>
      <c r="P4" s="1316"/>
      <c r="Q4" s="714"/>
      <c r="R4" s="714"/>
      <c r="S4" s="714"/>
      <c r="T4" s="714"/>
      <c r="U4" s="13"/>
      <c r="V4" s="1330"/>
      <c r="AL4" s="520">
        <f>+AZ4+BA4+BB4+BC4+BD4+BE4</f>
        <v>18031</v>
      </c>
      <c r="AS4" s="1315" t="s">
        <v>1985</v>
      </c>
      <c r="AT4" s="836">
        <v>958</v>
      </c>
      <c r="AU4" s="714">
        <v>498</v>
      </c>
      <c r="AV4" s="714">
        <v>2017</v>
      </c>
      <c r="AW4" s="714">
        <v>3918</v>
      </c>
      <c r="AX4" s="714">
        <v>1290</v>
      </c>
      <c r="AY4" s="714">
        <v>2160</v>
      </c>
      <c r="AZ4" s="1316">
        <f>AT4+AU4+AV4+AW4+AX4+AY4</f>
        <v>10841</v>
      </c>
      <c r="BA4" s="714">
        <v>1920</v>
      </c>
      <c r="BB4" s="714">
        <v>1984</v>
      </c>
      <c r="BC4" s="714">
        <v>1490</v>
      </c>
      <c r="BD4" s="714">
        <v>180</v>
      </c>
      <c r="BE4" s="1320">
        <v>1616</v>
      </c>
    </row>
    <row r="5" spans="2:57" ht="21.75">
      <c r="J5" s="834" t="s">
        <v>1986</v>
      </c>
      <c r="K5" s="1317">
        <v>1134</v>
      </c>
      <c r="L5" s="1317">
        <v>482</v>
      </c>
      <c r="M5" s="1317">
        <v>1860</v>
      </c>
      <c r="N5" s="1317">
        <v>1466</v>
      </c>
      <c r="O5" s="1317">
        <v>2121</v>
      </c>
      <c r="P5" s="1316">
        <f>SUM(K5:O5)</f>
        <v>7063</v>
      </c>
      <c r="Q5" s="714">
        <v>1825</v>
      </c>
      <c r="R5" s="714">
        <v>1876</v>
      </c>
      <c r="S5" s="714">
        <v>1540</v>
      </c>
      <c r="T5" s="714">
        <v>174</v>
      </c>
      <c r="U5" s="714">
        <v>1550</v>
      </c>
      <c r="V5" s="714">
        <v>3405</v>
      </c>
      <c r="AL5" s="520">
        <f>+AZ5+BA5+BB5+BC5+BD5+BE5</f>
        <v>17739</v>
      </c>
      <c r="AS5" s="834" t="s">
        <v>1986</v>
      </c>
      <c r="AT5" s="1317">
        <v>1132</v>
      </c>
      <c r="AU5" s="1317">
        <v>482</v>
      </c>
      <c r="AV5" s="1317">
        <v>1860</v>
      </c>
      <c r="AW5" s="1317">
        <v>3713</v>
      </c>
      <c r="AX5" s="1317">
        <v>1466</v>
      </c>
      <c r="AY5" s="1317">
        <v>2121</v>
      </c>
      <c r="AZ5" s="1316">
        <f>SUM(AT5:AY5)</f>
        <v>10774</v>
      </c>
      <c r="BA5" s="714">
        <v>1825</v>
      </c>
      <c r="BB5" s="714">
        <v>1876</v>
      </c>
      <c r="BC5" s="714">
        <v>1540</v>
      </c>
      <c r="BD5" s="714">
        <v>174</v>
      </c>
      <c r="BE5" s="1320">
        <v>1550</v>
      </c>
    </row>
    <row r="6" spans="2:57" ht="23.25">
      <c r="J6" s="835" t="s">
        <v>1987</v>
      </c>
      <c r="K6" s="1318">
        <v>1040</v>
      </c>
      <c r="L6" s="1318">
        <v>538</v>
      </c>
      <c r="M6" s="1318">
        <v>1494</v>
      </c>
      <c r="N6" s="1318">
        <v>1546</v>
      </c>
      <c r="O6" s="1318">
        <v>2261</v>
      </c>
      <c r="P6" s="1316">
        <f>SUM(K6:O6)</f>
        <v>6879</v>
      </c>
      <c r="Q6" s="714">
        <v>1139</v>
      </c>
      <c r="R6" s="714"/>
      <c r="S6" s="714">
        <v>1582</v>
      </c>
      <c r="T6" s="714">
        <v>547</v>
      </c>
      <c r="U6" s="1331">
        <v>2184</v>
      </c>
      <c r="V6" s="833">
        <v>2508</v>
      </c>
      <c r="AL6" s="520">
        <f>+AZ6+BA6+BB6+BC6+BD6+BE6</f>
        <v>17067</v>
      </c>
      <c r="AS6" s="835" t="s">
        <v>1987</v>
      </c>
      <c r="AT6" s="1318">
        <v>1040</v>
      </c>
      <c r="AU6" s="1318">
        <v>538</v>
      </c>
      <c r="AV6" s="1318">
        <v>1494</v>
      </c>
      <c r="AW6" s="1318">
        <v>3471</v>
      </c>
      <c r="AX6" s="1318">
        <v>1546</v>
      </c>
      <c r="AY6" s="1318">
        <v>2261</v>
      </c>
      <c r="AZ6" s="1316">
        <f>SUM(AT6:AY6)</f>
        <v>10350</v>
      </c>
      <c r="BA6" s="714">
        <v>1139</v>
      </c>
      <c r="BB6" s="714">
        <v>1265</v>
      </c>
      <c r="BC6" s="714">
        <v>1582</v>
      </c>
      <c r="BD6" s="714">
        <v>547</v>
      </c>
      <c r="BE6" s="1320">
        <v>2184</v>
      </c>
    </row>
    <row r="7" spans="2:57" ht="21.75">
      <c r="J7" t="s">
        <v>1987</v>
      </c>
      <c r="K7" s="714"/>
      <c r="L7" s="714"/>
      <c r="M7" s="714"/>
      <c r="N7" s="714"/>
      <c r="O7" s="714"/>
      <c r="P7" s="1316"/>
      <c r="Q7" s="714"/>
      <c r="R7" s="714"/>
      <c r="S7" s="714"/>
      <c r="T7" s="714"/>
      <c r="U7" s="13"/>
      <c r="V7" s="1330"/>
      <c r="AT7" s="714"/>
      <c r="AU7" s="714"/>
      <c r="AV7" s="714"/>
      <c r="AW7" s="714"/>
      <c r="AX7" s="714"/>
      <c r="AY7" s="714"/>
      <c r="AZ7" s="1316"/>
      <c r="BA7" s="714"/>
      <c r="BB7" s="714"/>
      <c r="BC7" s="714"/>
      <c r="BD7" s="714"/>
    </row>
    <row r="8" spans="2:57" ht="21.75">
      <c r="E8" s="84" t="s">
        <v>1988</v>
      </c>
      <c r="F8" s="84"/>
      <c r="G8" s="84"/>
      <c r="H8" s="84"/>
      <c r="K8" s="836"/>
      <c r="L8" s="714"/>
      <c r="M8" s="714"/>
      <c r="N8" s="714"/>
      <c r="O8" s="714"/>
      <c r="P8" s="1316"/>
      <c r="Q8" s="714"/>
      <c r="R8" s="714"/>
      <c r="S8" s="714"/>
      <c r="T8" s="714"/>
      <c r="U8" s="13"/>
      <c r="V8" s="1330"/>
      <c r="AT8" s="836"/>
      <c r="AU8" s="714"/>
      <c r="AV8" s="714"/>
      <c r="AW8" s="714"/>
      <c r="AX8" s="714"/>
      <c r="AY8" s="714"/>
      <c r="AZ8" s="1316"/>
      <c r="BA8" s="714"/>
      <c r="BB8" s="714"/>
      <c r="BC8" s="714"/>
      <c r="BD8" s="714"/>
    </row>
    <row r="9" spans="2:57" ht="21.75">
      <c r="B9" s="758" t="s">
        <v>1989</v>
      </c>
      <c r="C9" s="1306"/>
      <c r="D9" s="1306"/>
      <c r="E9" s="1306"/>
      <c r="F9" s="2782" t="s">
        <v>1990</v>
      </c>
      <c r="G9" s="2783"/>
      <c r="H9" s="2784"/>
      <c r="I9" s="84"/>
      <c r="J9" s="84"/>
      <c r="K9" s="1319"/>
      <c r="L9" s="1320"/>
      <c r="M9" s="1320"/>
      <c r="N9" s="1320"/>
      <c r="O9" s="1320"/>
      <c r="P9" s="1320"/>
    </row>
    <row r="10" spans="2:57" ht="23.25">
      <c r="B10" s="31" t="s">
        <v>429</v>
      </c>
      <c r="E10" s="84">
        <v>1568.405</v>
      </c>
      <c r="F10" s="988"/>
      <c r="G10" t="s">
        <v>429</v>
      </c>
      <c r="H10" s="96">
        <v>1747.68</v>
      </c>
      <c r="J10" s="84">
        <v>1568.405</v>
      </c>
      <c r="K10" s="1319"/>
      <c r="L10" s="2931" t="s">
        <v>1991</v>
      </c>
      <c r="M10" s="2932"/>
      <c r="N10" s="2932"/>
      <c r="O10" s="2932"/>
      <c r="P10" s="2932"/>
      <c r="Q10" s="2932"/>
      <c r="R10" s="2932"/>
      <c r="S10" s="2932"/>
      <c r="T10" s="2933"/>
      <c r="U10" s="1333"/>
      <c r="V10" s="1333"/>
      <c r="AL10" s="2937" t="s">
        <v>1992</v>
      </c>
      <c r="AM10" s="2938"/>
      <c r="AN10" s="2938"/>
      <c r="AO10" s="2938"/>
      <c r="AP10" s="2938"/>
      <c r="AQ10" s="2939"/>
      <c r="AR10" s="1333"/>
      <c r="AS10" s="1333"/>
      <c r="AT10" s="1333"/>
      <c r="AU10" s="1333"/>
      <c r="AV10" s="1333"/>
      <c r="AW10" s="1333"/>
    </row>
    <row r="11" spans="2:57" ht="23.25">
      <c r="B11" s="31"/>
      <c r="E11" s="84"/>
      <c r="F11" s="988"/>
      <c r="H11" s="96"/>
      <c r="J11" s="84"/>
      <c r="K11" s="1319"/>
      <c r="L11" s="390"/>
      <c r="M11" s="833" t="s">
        <v>722</v>
      </c>
      <c r="N11" s="833" t="s">
        <v>723</v>
      </c>
      <c r="O11" s="833" t="s">
        <v>724</v>
      </c>
      <c r="P11" s="833" t="s">
        <v>1993</v>
      </c>
      <c r="Q11" s="833" t="s">
        <v>726</v>
      </c>
      <c r="R11" s="720" t="s">
        <v>1994</v>
      </c>
      <c r="S11" s="720" t="s">
        <v>729</v>
      </c>
      <c r="T11" s="869" t="s">
        <v>730</v>
      </c>
      <c r="U11" s="858" t="s">
        <v>731</v>
      </c>
      <c r="V11" s="858" t="s">
        <v>732</v>
      </c>
      <c r="W11" s="858" t="s">
        <v>176</v>
      </c>
      <c r="X11" s="858" t="s">
        <v>177</v>
      </c>
      <c r="AL11" s="2940"/>
      <c r="AM11" s="2904"/>
      <c r="AN11" s="2904"/>
      <c r="AO11" s="2904"/>
      <c r="AP11" s="2904"/>
      <c r="AQ11" s="2941"/>
      <c r="AR11" s="1333"/>
      <c r="AS11" s="1333"/>
      <c r="AT11" s="1333"/>
      <c r="AU11" s="1333"/>
      <c r="AV11" s="1333"/>
      <c r="AW11" s="1333"/>
    </row>
    <row r="12" spans="2:57" ht="23.25">
      <c r="B12" s="31"/>
      <c r="E12" s="84"/>
      <c r="F12" s="988"/>
      <c r="H12" s="96"/>
      <c r="J12" s="84"/>
      <c r="K12" s="1319"/>
      <c r="L12" s="390" t="s">
        <v>1995</v>
      </c>
      <c r="M12" s="833">
        <v>1116</v>
      </c>
      <c r="N12" s="596">
        <v>2172</v>
      </c>
      <c r="O12" s="833">
        <v>660</v>
      </c>
      <c r="P12" s="833">
        <v>1008</v>
      </c>
      <c r="Q12" s="833">
        <v>1048</v>
      </c>
      <c r="R12" s="833">
        <v>768</v>
      </c>
      <c r="S12" s="720">
        <v>1278</v>
      </c>
      <c r="T12" s="720">
        <v>3078</v>
      </c>
      <c r="U12" s="714">
        <v>0</v>
      </c>
      <c r="V12" s="718"/>
      <c r="X12" s="718">
        <f>222+2763</f>
        <v>2985</v>
      </c>
      <c r="AL12" s="2940"/>
      <c r="AM12" s="2904"/>
      <c r="AN12" s="2904"/>
      <c r="AO12" s="2904"/>
      <c r="AP12" s="2904"/>
      <c r="AQ12" s="2941"/>
      <c r="AR12" s="1333"/>
      <c r="AS12" s="1333"/>
      <c r="AT12" s="1333"/>
      <c r="AU12" s="1333"/>
      <c r="AV12" s="1333"/>
      <c r="AW12" s="1333"/>
    </row>
    <row r="13" spans="2:57" ht="23.25">
      <c r="B13" s="31" t="s">
        <v>1996</v>
      </c>
      <c r="E13" s="84">
        <v>6.62</v>
      </c>
      <c r="F13" s="988"/>
      <c r="G13" t="s">
        <v>1996</v>
      </c>
      <c r="H13" s="96">
        <v>0</v>
      </c>
      <c r="J13" s="84">
        <v>6.62</v>
      </c>
      <c r="K13" s="1319"/>
      <c r="L13" s="834" t="s">
        <v>1986</v>
      </c>
      <c r="M13" s="1317">
        <v>1069</v>
      </c>
      <c r="N13" s="596">
        <v>1557</v>
      </c>
      <c r="O13" s="1317">
        <v>1176</v>
      </c>
      <c r="P13" s="1317">
        <v>955</v>
      </c>
      <c r="Q13" s="1317">
        <v>1019</v>
      </c>
      <c r="R13" s="1317">
        <v>581</v>
      </c>
      <c r="S13" s="714">
        <v>1376</v>
      </c>
      <c r="T13" s="714">
        <v>1865</v>
      </c>
      <c r="U13" s="714">
        <v>134</v>
      </c>
      <c r="V13" s="1334">
        <v>1010</v>
      </c>
      <c r="W13" s="1334">
        <v>2269</v>
      </c>
      <c r="X13" s="718">
        <f>213+481</f>
        <v>694</v>
      </c>
      <c r="AL13" s="2942"/>
      <c r="AM13" s="2943"/>
      <c r="AN13" s="2943"/>
      <c r="AO13" s="2943"/>
      <c r="AP13" s="2943"/>
      <c r="AQ13" s="2944"/>
      <c r="AR13" s="1335"/>
      <c r="AS13" s="858"/>
      <c r="AT13" s="1335"/>
      <c r="AU13" s="1335"/>
      <c r="AV13" s="1335"/>
      <c r="AW13" s="1335" t="s">
        <v>91</v>
      </c>
    </row>
    <row r="14" spans="2:57" ht="23.25">
      <c r="B14" s="31"/>
      <c r="E14" s="84"/>
      <c r="F14" s="988"/>
      <c r="H14" s="96"/>
      <c r="J14" s="84"/>
      <c r="K14" s="1319"/>
      <c r="L14" s="835" t="s">
        <v>1987</v>
      </c>
      <c r="M14" s="1317">
        <v>1632</v>
      </c>
      <c r="N14" s="596">
        <v>1379</v>
      </c>
      <c r="O14" s="1317">
        <v>1156</v>
      </c>
      <c r="P14" s="1317">
        <v>753</v>
      </c>
      <c r="Q14" s="1317">
        <v>1362</v>
      </c>
      <c r="R14" s="1317">
        <v>779</v>
      </c>
      <c r="S14" s="714">
        <v>1619</v>
      </c>
      <c r="T14" s="714">
        <v>922</v>
      </c>
      <c r="U14" s="714">
        <v>1424</v>
      </c>
      <c r="V14" s="1334">
        <v>1038</v>
      </c>
      <c r="W14" s="337">
        <f>256+691</f>
        <v>947</v>
      </c>
      <c r="X14" s="718">
        <f>101+456</f>
        <v>557</v>
      </c>
      <c r="AL14" s="821" t="s">
        <v>704</v>
      </c>
      <c r="AM14" s="1352" t="s">
        <v>1997</v>
      </c>
      <c r="AN14" s="1352" t="s">
        <v>1029</v>
      </c>
      <c r="AO14" s="1352" t="s">
        <v>1998</v>
      </c>
      <c r="AP14" s="1352" t="s">
        <v>1999</v>
      </c>
      <c r="AQ14" s="1361" t="s">
        <v>798</v>
      </c>
      <c r="AR14" s="1335"/>
      <c r="AS14" s="858"/>
      <c r="AT14" s="1335"/>
      <c r="AU14" s="1335"/>
      <c r="AV14" s="1335"/>
      <c r="AW14" s="1335"/>
    </row>
    <row r="15" spans="2:57" ht="23.25">
      <c r="B15" s="31" t="s">
        <v>425</v>
      </c>
      <c r="E15" s="84">
        <v>2027.96</v>
      </c>
      <c r="F15" s="31"/>
      <c r="G15" t="s">
        <v>425</v>
      </c>
      <c r="H15" s="96">
        <v>1188.21</v>
      </c>
      <c r="J15" s="84">
        <v>2027.96</v>
      </c>
      <c r="M15" s="831" t="s">
        <v>722</v>
      </c>
      <c r="N15" s="831" t="s">
        <v>723</v>
      </c>
      <c r="O15" s="831" t="s">
        <v>724</v>
      </c>
      <c r="P15" s="831" t="s">
        <v>1993</v>
      </c>
      <c r="Q15" s="831" t="s">
        <v>726</v>
      </c>
      <c r="R15" s="832" t="s">
        <v>1994</v>
      </c>
      <c r="S15" s="832" t="s">
        <v>729</v>
      </c>
      <c r="T15" s="869" t="s">
        <v>730</v>
      </c>
      <c r="U15" s="858" t="s">
        <v>731</v>
      </c>
      <c r="V15" s="858"/>
      <c r="W15" s="858"/>
      <c r="X15" s="858"/>
      <c r="Y15" s="858"/>
      <c r="Z15" s="858"/>
      <c r="AA15" s="858"/>
      <c r="AB15" s="858"/>
      <c r="AC15" s="858"/>
      <c r="AD15" s="858"/>
      <c r="AE15" s="944"/>
      <c r="AL15" s="1315" t="s">
        <v>2000</v>
      </c>
      <c r="AM15" s="836">
        <v>1417</v>
      </c>
      <c r="AN15" s="714">
        <f>139+306+954</f>
        <v>1399</v>
      </c>
      <c r="AO15" s="714">
        <v>1349.77</v>
      </c>
      <c r="AP15" s="714">
        <v>1107.8499999999999</v>
      </c>
      <c r="AQ15" s="1316">
        <v>260</v>
      </c>
      <c r="AR15" s="1320"/>
      <c r="AS15" s="1320"/>
      <c r="AT15" s="1320"/>
      <c r="AU15" s="1320"/>
      <c r="AV15" s="1320"/>
      <c r="AW15" s="1320">
        <v>180</v>
      </c>
    </row>
    <row r="16" spans="2:57" ht="23.25">
      <c r="B16" s="31" t="s">
        <v>2001</v>
      </c>
      <c r="E16" s="84">
        <v>29.11</v>
      </c>
      <c r="F16" s="31"/>
      <c r="G16" t="s">
        <v>2001</v>
      </c>
      <c r="H16" s="96">
        <v>0</v>
      </c>
      <c r="J16" s="84">
        <v>29.11</v>
      </c>
      <c r="L16" s="390" t="s">
        <v>1995</v>
      </c>
      <c r="M16" s="833">
        <v>1116</v>
      </c>
      <c r="N16" s="596">
        <v>2172</v>
      </c>
      <c r="O16" s="833">
        <v>660</v>
      </c>
      <c r="P16" s="833">
        <v>1008</v>
      </c>
      <c r="Q16" s="833">
        <v>1048</v>
      </c>
      <c r="R16" s="833">
        <v>768</v>
      </c>
      <c r="S16" s="720">
        <v>1278</v>
      </c>
      <c r="T16" s="720">
        <v>3078</v>
      </c>
      <c r="U16" s="714">
        <v>0</v>
      </c>
      <c r="V16" s="718"/>
      <c r="W16" s="1335"/>
      <c r="X16" s="1320"/>
      <c r="Y16" s="1335"/>
      <c r="Z16" s="1335"/>
      <c r="AA16" s="1335"/>
      <c r="AB16" s="1335"/>
      <c r="AC16" s="1335"/>
      <c r="AD16" s="1335"/>
      <c r="AE16" s="1344"/>
      <c r="AL16" s="1315" t="s">
        <v>2002</v>
      </c>
      <c r="AM16" s="836">
        <v>114</v>
      </c>
      <c r="AN16" s="714">
        <v>114</v>
      </c>
      <c r="AO16" s="714">
        <v>107</v>
      </c>
      <c r="AP16" s="714">
        <v>96.05</v>
      </c>
      <c r="AQ16" s="1316">
        <v>56</v>
      </c>
      <c r="AR16" s="1320"/>
      <c r="AS16" s="1320"/>
      <c r="AT16" s="1320"/>
      <c r="AU16" s="1320"/>
      <c r="AV16" s="1320"/>
      <c r="AW16" s="1320">
        <v>180</v>
      </c>
    </row>
    <row r="17" spans="2:51" ht="21.75">
      <c r="B17" s="31" t="s">
        <v>427</v>
      </c>
      <c r="E17" s="84">
        <v>4374.68</v>
      </c>
      <c r="F17" s="31"/>
      <c r="G17" t="s">
        <v>427</v>
      </c>
      <c r="H17" s="96">
        <v>4163.1099999999997</v>
      </c>
      <c r="J17" s="84">
        <v>4374.68</v>
      </c>
      <c r="L17" s="84" t="s">
        <v>2003</v>
      </c>
      <c r="M17">
        <v>441</v>
      </c>
      <c r="N17">
        <v>963</v>
      </c>
      <c r="O17">
        <v>749</v>
      </c>
      <c r="P17">
        <v>1299</v>
      </c>
      <c r="Q17">
        <v>729</v>
      </c>
      <c r="R17">
        <v>480</v>
      </c>
      <c r="S17">
        <v>203</v>
      </c>
      <c r="T17" s="1336"/>
      <c r="U17" s="1335"/>
      <c r="V17" s="1335"/>
      <c r="W17" s="1335"/>
      <c r="X17" s="1320"/>
      <c r="Y17" s="1335"/>
      <c r="Z17" s="1335"/>
      <c r="AA17" s="1335"/>
      <c r="AB17" s="1335"/>
      <c r="AC17" s="1335"/>
      <c r="AD17" s="1335"/>
      <c r="AE17" s="1344"/>
      <c r="AL17" s="834" t="s">
        <v>2004</v>
      </c>
      <c r="AM17" s="1353">
        <v>16626</v>
      </c>
      <c r="AN17" s="833">
        <v>16518</v>
      </c>
      <c r="AO17" s="833">
        <v>16282</v>
      </c>
      <c r="AP17" s="833">
        <v>15863</v>
      </c>
      <c r="AQ17" s="935">
        <f>441-45</f>
        <v>396</v>
      </c>
      <c r="AR17" s="858"/>
      <c r="AS17" s="1320"/>
      <c r="AT17" s="1320"/>
      <c r="AU17" s="1320"/>
      <c r="AV17" s="1320"/>
      <c r="AW17" s="1320">
        <v>174</v>
      </c>
    </row>
    <row r="18" spans="2:51" ht="21.75">
      <c r="B18" s="31" t="s">
        <v>2005</v>
      </c>
      <c r="E18" s="84">
        <v>141.13999999999999</v>
      </c>
      <c r="F18" s="31"/>
      <c r="G18" t="s">
        <v>2005</v>
      </c>
      <c r="H18" s="96">
        <v>2</v>
      </c>
      <c r="J18" s="84">
        <v>141.13999999999999</v>
      </c>
      <c r="L18" s="84" t="s">
        <v>514</v>
      </c>
      <c r="M18">
        <v>831</v>
      </c>
      <c r="N18">
        <v>2397</v>
      </c>
      <c r="O18">
        <v>2336.2000000000003</v>
      </c>
      <c r="P18">
        <v>3116.1</v>
      </c>
      <c r="Q18">
        <v>3408.7</v>
      </c>
      <c r="R18">
        <v>2833</v>
      </c>
      <c r="S18">
        <v>1867</v>
      </c>
      <c r="T18" s="1336"/>
      <c r="U18" s="1335"/>
      <c r="V18" s="1335"/>
      <c r="W18" s="1320"/>
      <c r="X18" s="1320"/>
      <c r="Y18" s="1335"/>
      <c r="Z18" s="1335"/>
      <c r="AA18" s="1335"/>
      <c r="AB18" s="1335"/>
      <c r="AC18" s="1335"/>
      <c r="AD18" s="1335"/>
      <c r="AE18" s="1344"/>
      <c r="AL18" s="835" t="s">
        <v>23</v>
      </c>
      <c r="AM18" s="1354">
        <f>SUM(AM15:AM17)</f>
        <v>18157</v>
      </c>
      <c r="AN18" s="926">
        <f>SUM(AN15:AN17)</f>
        <v>18031</v>
      </c>
      <c r="AO18" s="1343">
        <f>SUM(AO15:AO17)</f>
        <v>17738.77</v>
      </c>
      <c r="AP18" s="1343">
        <f>SUM(AP15:AP17)</f>
        <v>17066.900000000001</v>
      </c>
      <c r="AQ18" s="1351">
        <f>SUM(AQ15:AQ17)</f>
        <v>712</v>
      </c>
      <c r="AR18" s="858"/>
      <c r="AS18" s="1320"/>
      <c r="AT18" s="1320"/>
      <c r="AU18" s="1320"/>
      <c r="AV18" s="1320"/>
      <c r="AW18" s="1320">
        <v>547</v>
      </c>
    </row>
    <row r="19" spans="2:51" ht="21.75">
      <c r="B19" s="31" t="s">
        <v>431</v>
      </c>
      <c r="E19" s="84">
        <v>740.07500000000005</v>
      </c>
      <c r="F19" s="31"/>
      <c r="G19" t="s">
        <v>431</v>
      </c>
      <c r="H19" s="96">
        <f>421.05+11.88</f>
        <v>432.93</v>
      </c>
      <c r="J19" s="84">
        <v>740.07500000000005</v>
      </c>
      <c r="T19" s="1336"/>
      <c r="U19" s="1335"/>
      <c r="V19" s="1335"/>
      <c r="W19" s="1335"/>
      <c r="X19" s="1335"/>
      <c r="Y19" s="1335"/>
      <c r="Z19" s="1335"/>
      <c r="AA19" s="1335"/>
      <c r="AB19" s="1335"/>
      <c r="AC19" s="1335"/>
      <c r="AD19" s="1335"/>
      <c r="AE19" s="1344"/>
      <c r="AM19" s="1320"/>
      <c r="AN19" s="1320"/>
      <c r="AO19" s="1320"/>
      <c r="AP19" s="1320"/>
      <c r="AQ19" s="1320"/>
      <c r="AR19" s="1320"/>
      <c r="AS19" s="1320"/>
      <c r="AT19" s="1320"/>
      <c r="AU19" s="1320"/>
      <c r="AV19" s="1320"/>
      <c r="AW19" s="1320"/>
    </row>
    <row r="20" spans="2:51" ht="21.75">
      <c r="B20" s="31" t="s">
        <v>2006</v>
      </c>
      <c r="E20" s="84">
        <v>6.82</v>
      </c>
      <c r="F20" s="31"/>
      <c r="G20" t="s">
        <v>2006</v>
      </c>
      <c r="H20" s="96"/>
      <c r="J20" s="84">
        <v>6.82</v>
      </c>
      <c r="T20" s="1336"/>
      <c r="U20" s="1335"/>
      <c r="V20" s="1335"/>
      <c r="W20" s="1335"/>
      <c r="X20" s="1335"/>
      <c r="Y20" s="1335"/>
      <c r="Z20" s="1335"/>
      <c r="AA20" s="1335"/>
      <c r="AB20" s="1335"/>
      <c r="AC20" s="1335"/>
      <c r="AD20" s="1335"/>
      <c r="AE20" s="1344"/>
      <c r="AM20" s="1319"/>
      <c r="AN20" s="1320"/>
      <c r="AO20" s="1320"/>
      <c r="AP20" s="1320"/>
      <c r="AQ20" s="1320"/>
      <c r="AR20" s="1320"/>
      <c r="AS20" s="1320"/>
      <c r="AT20" s="1320"/>
      <c r="AU20" s="1320"/>
      <c r="AV20" s="1320"/>
      <c r="AW20" s="1320"/>
    </row>
    <row r="21" spans="2:51" ht="21.75">
      <c r="B21" s="31" t="s">
        <v>437</v>
      </c>
      <c r="E21" s="84">
        <v>4618.9070000000002</v>
      </c>
      <c r="F21" s="31"/>
      <c r="G21" t="s">
        <v>437</v>
      </c>
      <c r="H21" s="96">
        <v>2834.498</v>
      </c>
      <c r="J21" s="84">
        <v>4618.9070000000002</v>
      </c>
      <c r="T21" s="1336"/>
      <c r="U21" s="1335"/>
      <c r="V21" s="1335"/>
      <c r="W21" s="1335"/>
      <c r="X21" s="1335"/>
      <c r="Y21" s="1335"/>
      <c r="Z21" s="1335"/>
      <c r="AA21" s="1335"/>
      <c r="AB21" s="1335"/>
      <c r="AC21" s="1335"/>
      <c r="AD21" s="1335"/>
      <c r="AE21" s="1344"/>
    </row>
    <row r="22" spans="2:51" ht="21.75">
      <c r="B22" s="31" t="s">
        <v>2007</v>
      </c>
      <c r="E22" s="84">
        <v>204.9</v>
      </c>
      <c r="F22" s="31"/>
      <c r="G22" t="s">
        <v>2007</v>
      </c>
      <c r="H22" s="96">
        <v>140.91</v>
      </c>
      <c r="J22" s="84">
        <v>204.9</v>
      </c>
      <c r="M22" s="18" t="s">
        <v>34</v>
      </c>
      <c r="T22" s="1337" t="s">
        <v>704</v>
      </c>
      <c r="U22" s="833" t="s">
        <v>722</v>
      </c>
      <c r="V22" s="833" t="s">
        <v>723</v>
      </c>
      <c r="W22" s="833"/>
      <c r="X22" s="833" t="s">
        <v>724</v>
      </c>
      <c r="Y22" s="833"/>
      <c r="Z22" s="833"/>
      <c r="AA22" s="833"/>
      <c r="AB22" s="833" t="s">
        <v>725</v>
      </c>
      <c r="AC22" s="833" t="s">
        <v>726</v>
      </c>
      <c r="AD22" s="833" t="s">
        <v>727</v>
      </c>
      <c r="AE22" s="1345" t="s">
        <v>1983</v>
      </c>
      <c r="AN22">
        <f>18031-1399-114</f>
        <v>16518</v>
      </c>
      <c r="AP22">
        <f>17067-96-1108</f>
        <v>15863</v>
      </c>
    </row>
    <row r="23" spans="2:51" ht="21.75">
      <c r="B23" s="31" t="s">
        <v>434</v>
      </c>
      <c r="E23" s="84">
        <v>90.25</v>
      </c>
      <c r="F23" s="31"/>
      <c r="G23" t="s">
        <v>434</v>
      </c>
      <c r="H23" s="96">
        <f>456.88+21.54</f>
        <v>478.42</v>
      </c>
      <c r="J23" s="84">
        <v>90.25</v>
      </c>
      <c r="N23" s="84"/>
      <c r="T23" s="1338"/>
      <c r="U23" s="836">
        <v>546</v>
      </c>
      <c r="V23" s="714">
        <v>498</v>
      </c>
      <c r="W23" s="714"/>
      <c r="X23" s="714">
        <f>+X24+X25</f>
        <v>2515</v>
      </c>
      <c r="Y23" s="714"/>
      <c r="Z23" s="714"/>
      <c r="AA23" s="714"/>
      <c r="AB23" s="714">
        <f>+AB24+AB25</f>
        <v>3612</v>
      </c>
      <c r="AC23" s="714">
        <f>+AC24+AC25</f>
        <v>1116</v>
      </c>
      <c r="AD23" s="714">
        <v>2160</v>
      </c>
      <c r="AE23" s="1316">
        <f>SUM(U23:AD23)</f>
        <v>10447</v>
      </c>
    </row>
    <row r="24" spans="2:51" ht="23.25">
      <c r="B24" s="31" t="s">
        <v>433</v>
      </c>
      <c r="E24" s="84">
        <v>2933.79</v>
      </c>
      <c r="F24" s="31"/>
      <c r="G24" t="s">
        <v>433</v>
      </c>
      <c r="H24" s="96">
        <v>2295.59</v>
      </c>
      <c r="J24" s="84">
        <v>2933.79</v>
      </c>
      <c r="L24" s="84"/>
      <c r="M24" s="84"/>
      <c r="N24" s="84"/>
      <c r="O24" s="84"/>
      <c r="P24" s="84"/>
      <c r="Q24" s="84"/>
      <c r="R24" s="84"/>
      <c r="T24" s="341" t="s">
        <v>712</v>
      </c>
      <c r="U24" s="836">
        <v>546</v>
      </c>
      <c r="V24" s="836">
        <v>498</v>
      </c>
      <c r="W24" s="836"/>
      <c r="X24" s="1317">
        <v>2358</v>
      </c>
      <c r="Y24" s="1317"/>
      <c r="Z24" s="1317"/>
      <c r="AA24" s="1317"/>
      <c r="AB24" s="1346">
        <v>3132</v>
      </c>
      <c r="AC24" s="833">
        <v>336</v>
      </c>
      <c r="AD24" s="833">
        <v>2160</v>
      </c>
      <c r="AE24" s="1316">
        <f>SUM(U24:AD24)</f>
        <v>9030</v>
      </c>
      <c r="AL24" s="2931" t="s">
        <v>2008</v>
      </c>
      <c r="AM24" s="2932"/>
      <c r="AN24" s="2932"/>
      <c r="AO24" s="2932"/>
      <c r="AP24" s="2932"/>
      <c r="AQ24" s="2932"/>
      <c r="AR24" s="2932"/>
      <c r="AS24" s="2932"/>
      <c r="AT24" s="2933"/>
      <c r="AU24" s="1333"/>
      <c r="AV24" s="1333"/>
    </row>
    <row r="25" spans="2:51" ht="23.25">
      <c r="B25" s="7"/>
      <c r="C25" s="8"/>
      <c r="D25" s="8"/>
      <c r="E25" s="1307">
        <f>SUM(E10:E24)</f>
        <v>16742.656999999999</v>
      </c>
      <c r="F25" s="7"/>
      <c r="G25" s="8"/>
      <c r="H25" s="1308">
        <f>SUM(H10:H24)</f>
        <v>13283.348</v>
      </c>
      <c r="J25" s="733">
        <f>SUM(J10:J24)</f>
        <v>16742.656999999999</v>
      </c>
      <c r="L25" s="18"/>
      <c r="M25" s="18"/>
      <c r="N25" s="18"/>
      <c r="O25" s="18"/>
      <c r="P25" s="18"/>
      <c r="Q25" s="18"/>
      <c r="R25" s="18"/>
      <c r="T25" s="878" t="s">
        <v>2000</v>
      </c>
      <c r="U25" s="13"/>
      <c r="V25" s="13"/>
      <c r="W25" s="13"/>
      <c r="X25" s="1317">
        <v>157</v>
      </c>
      <c r="Y25" s="1317"/>
      <c r="Z25" s="1317"/>
      <c r="AA25" s="1317"/>
      <c r="AB25" s="1331">
        <f>3612-3132</f>
        <v>480</v>
      </c>
      <c r="AC25" s="833">
        <v>780</v>
      </c>
      <c r="AD25" s="13"/>
      <c r="AE25" s="1316">
        <f>SUM(U25:AD25)</f>
        <v>1417</v>
      </c>
      <c r="AL25" s="390"/>
      <c r="AM25" s="833" t="s">
        <v>722</v>
      </c>
      <c r="AN25" s="833" t="s">
        <v>723</v>
      </c>
      <c r="AO25" s="833" t="s">
        <v>724</v>
      </c>
      <c r="AP25" s="833" t="s">
        <v>1993</v>
      </c>
      <c r="AQ25" s="833" t="s">
        <v>726</v>
      </c>
      <c r="AR25" s="720" t="s">
        <v>1994</v>
      </c>
      <c r="AS25" s="720" t="s">
        <v>729</v>
      </c>
      <c r="AT25" s="869" t="s">
        <v>730</v>
      </c>
      <c r="AU25" s="858" t="s">
        <v>731</v>
      </c>
      <c r="AV25" s="858" t="s">
        <v>732</v>
      </c>
      <c r="AW25" s="858" t="s">
        <v>176</v>
      </c>
      <c r="AX25" s="858" t="s">
        <v>177</v>
      </c>
    </row>
    <row r="26" spans="2:51" ht="23.25">
      <c r="L26" s="18"/>
      <c r="M26" s="18"/>
      <c r="N26" s="18"/>
      <c r="O26" s="18"/>
      <c r="P26" s="18"/>
      <c r="Q26" s="18"/>
      <c r="R26" s="18"/>
      <c r="T26" s="17"/>
      <c r="AE26" s="63"/>
      <c r="AL26" s="390" t="s">
        <v>1995</v>
      </c>
      <c r="AM26" s="833">
        <v>810</v>
      </c>
      <c r="AN26" s="596">
        <v>0</v>
      </c>
      <c r="AO26" s="833">
        <v>0</v>
      </c>
      <c r="AP26" s="833">
        <v>195.8</v>
      </c>
      <c r="AQ26" s="833">
        <v>528</v>
      </c>
      <c r="AR26" s="833">
        <v>2444</v>
      </c>
      <c r="AS26" s="720">
        <v>0</v>
      </c>
      <c r="AT26" s="720">
        <v>2262</v>
      </c>
      <c r="AU26" s="714">
        <v>109.51</v>
      </c>
      <c r="AV26" s="718">
        <v>1578</v>
      </c>
      <c r="AX26" s="718">
        <v>2148</v>
      </c>
      <c r="AY26" s="257">
        <f>SUM(AM26:AX26)</f>
        <v>10075.310000000001</v>
      </c>
    </row>
    <row r="27" spans="2:51" ht="23.25">
      <c r="L27" s="18"/>
      <c r="M27" s="18"/>
      <c r="N27" s="18"/>
      <c r="O27" s="18"/>
      <c r="P27" s="18"/>
      <c r="Q27" s="18"/>
      <c r="R27" s="18"/>
      <c r="T27" s="869"/>
      <c r="U27" s="858"/>
      <c r="V27" s="858"/>
      <c r="W27" s="858"/>
      <c r="X27" s="858"/>
      <c r="Y27" s="858"/>
      <c r="Z27" s="858"/>
      <c r="AA27" s="858"/>
      <c r="AB27" s="858"/>
      <c r="AC27" s="858"/>
      <c r="AD27" s="1320"/>
      <c r="AE27" s="63"/>
      <c r="AL27" s="834" t="s">
        <v>1986</v>
      </c>
      <c r="AM27" s="714">
        <v>96.21</v>
      </c>
      <c r="AN27" s="392">
        <v>0</v>
      </c>
      <c r="AO27" s="714">
        <v>24.62</v>
      </c>
      <c r="AP27" s="1317"/>
      <c r="AQ27" s="1362">
        <v>293.72000000000003</v>
      </c>
      <c r="AR27" s="1317">
        <v>206.38</v>
      </c>
      <c r="AS27" s="714"/>
      <c r="AT27" s="714">
        <v>204</v>
      </c>
      <c r="AU27" s="714">
        <v>156.46</v>
      </c>
      <c r="AV27" s="1334">
        <v>1304</v>
      </c>
      <c r="AW27" s="1334">
        <v>490</v>
      </c>
      <c r="AX27" s="718">
        <v>1503.63</v>
      </c>
      <c r="AY27" s="257">
        <f>SUM(AM27:AX27)</f>
        <v>4279.0200000000004</v>
      </c>
    </row>
    <row r="28" spans="2:51" ht="23.25">
      <c r="E28" s="102"/>
      <c r="F28" s="103" t="s">
        <v>791</v>
      </c>
      <c r="G28" s="103" t="s">
        <v>29</v>
      </c>
      <c r="H28" s="103" t="s">
        <v>30</v>
      </c>
      <c r="I28" s="103" t="s">
        <v>31</v>
      </c>
      <c r="J28" s="103" t="s">
        <v>32</v>
      </c>
      <c r="K28" s="2435" t="s">
        <v>33</v>
      </c>
      <c r="L28" s="84"/>
      <c r="M28" s="84"/>
      <c r="N28" s="84"/>
      <c r="O28" s="84"/>
      <c r="P28" s="84"/>
      <c r="Q28" s="84"/>
      <c r="R28" s="84"/>
      <c r="T28" s="2934" t="s">
        <v>2009</v>
      </c>
      <c r="U28" s="2935"/>
      <c r="V28" s="2935"/>
      <c r="W28" s="2935"/>
      <c r="X28" s="2935"/>
      <c r="Y28" s="2935"/>
      <c r="Z28" s="2935"/>
      <c r="AA28" s="2935"/>
      <c r="AB28" s="2935"/>
      <c r="AC28" s="2935"/>
      <c r="AD28" s="2935"/>
      <c r="AE28" s="2936"/>
      <c r="AL28" s="835" t="s">
        <v>1987</v>
      </c>
      <c r="AM28" s="1317"/>
      <c r="AN28" s="596">
        <v>447.53</v>
      </c>
      <c r="AO28" s="1317">
        <v>13.5</v>
      </c>
      <c r="AP28" s="1317"/>
      <c r="AQ28" s="1317">
        <v>645.11</v>
      </c>
      <c r="AR28" s="1317"/>
      <c r="AS28" s="714">
        <v>428.41</v>
      </c>
      <c r="AT28" s="714">
        <v>537.6</v>
      </c>
      <c r="AU28" s="714">
        <v>302.07</v>
      </c>
      <c r="AV28" s="1334">
        <v>29.86</v>
      </c>
      <c r="AW28" s="337">
        <v>1627.8</v>
      </c>
      <c r="AX28" s="718">
        <v>1143.68</v>
      </c>
      <c r="AY28" s="257">
        <f>SUM(AM28:AX28)</f>
        <v>5175.5600000000004</v>
      </c>
    </row>
    <row r="29" spans="2:51" ht="21.75">
      <c r="E29" s="17" t="s">
        <v>554</v>
      </c>
      <c r="F29" s="18">
        <v>215340</v>
      </c>
      <c r="G29" s="18">
        <v>208615</v>
      </c>
      <c r="H29" s="18">
        <v>210355</v>
      </c>
      <c r="I29" s="18">
        <v>145486</v>
      </c>
      <c r="J29" s="18">
        <v>126817</v>
      </c>
      <c r="K29" s="63"/>
      <c r="L29" s="18"/>
      <c r="M29" s="18"/>
      <c r="N29" s="18"/>
      <c r="O29" s="18"/>
      <c r="P29" s="18"/>
      <c r="Q29" s="18"/>
      <c r="R29" s="18"/>
      <c r="T29" s="1337" t="s">
        <v>704</v>
      </c>
      <c r="U29" s="833" t="s">
        <v>722</v>
      </c>
      <c r="V29" s="833" t="s">
        <v>723</v>
      </c>
      <c r="W29" s="833"/>
      <c r="X29" s="833" t="s">
        <v>724</v>
      </c>
      <c r="Y29" s="833"/>
      <c r="Z29" s="833"/>
      <c r="AA29" s="833"/>
      <c r="AB29" s="833" t="s">
        <v>725</v>
      </c>
      <c r="AC29" s="833" t="s">
        <v>726</v>
      </c>
      <c r="AD29" s="833" t="s">
        <v>727</v>
      </c>
      <c r="AE29" s="1345" t="s">
        <v>1983</v>
      </c>
      <c r="AP29" s="472" t="s">
        <v>2010</v>
      </c>
    </row>
    <row r="30" spans="2:51" ht="21.75">
      <c r="E30" s="17" t="s">
        <v>80</v>
      </c>
      <c r="F30" s="18">
        <f>111582-105</f>
        <v>111477</v>
      </c>
      <c r="G30" s="18">
        <v>88162</v>
      </c>
      <c r="H30" s="18">
        <v>107812</v>
      </c>
      <c r="I30" s="18">
        <v>102922</v>
      </c>
      <c r="J30" s="18">
        <v>110820</v>
      </c>
      <c r="K30" s="96"/>
      <c r="T30" s="1338" t="s">
        <v>23</v>
      </c>
      <c r="U30" s="836">
        <v>1134</v>
      </c>
      <c r="V30" s="714">
        <v>482</v>
      </c>
      <c r="W30" s="714"/>
      <c r="X30" s="714">
        <f>+X31+X32</f>
        <v>1860</v>
      </c>
      <c r="Y30" s="714"/>
      <c r="Z30" s="714"/>
      <c r="AA30" s="714"/>
      <c r="AB30" s="714">
        <f>+AB31+AB32</f>
        <v>3713</v>
      </c>
      <c r="AC30" s="714">
        <f>+AC31+AC32</f>
        <v>1466</v>
      </c>
      <c r="AD30" s="714">
        <v>2121</v>
      </c>
      <c r="AE30" s="1316">
        <f>SUM(U30:AD30)</f>
        <v>10776</v>
      </c>
    </row>
    <row r="31" spans="2:51" ht="23.25">
      <c r="E31" s="17" t="s">
        <v>2011</v>
      </c>
      <c r="F31" s="18">
        <v>93415</v>
      </c>
      <c r="G31" s="18">
        <v>112288</v>
      </c>
      <c r="H31" s="18">
        <v>92582</v>
      </c>
      <c r="I31" s="18">
        <v>32381</v>
      </c>
      <c r="J31" s="18">
        <v>11165</v>
      </c>
      <c r="K31" s="24"/>
      <c r="T31" s="341" t="s">
        <v>712</v>
      </c>
      <c r="U31" s="836">
        <v>1134</v>
      </c>
      <c r="V31" s="836">
        <v>482</v>
      </c>
      <c r="W31" s="836"/>
      <c r="X31" s="1317">
        <v>1724.7</v>
      </c>
      <c r="Y31" s="1317"/>
      <c r="Z31" s="1317"/>
      <c r="AA31" s="1317"/>
      <c r="AB31" s="1346">
        <f>3713-80</f>
        <v>3633</v>
      </c>
      <c r="AC31" s="833">
        <v>331</v>
      </c>
      <c r="AD31" s="833">
        <v>2121</v>
      </c>
      <c r="AE31" s="1316">
        <f>SUM(U31:AD31)</f>
        <v>9425.7000000000007</v>
      </c>
      <c r="AL31" s="2931" t="s">
        <v>2008</v>
      </c>
      <c r="AM31" s="2932"/>
      <c r="AN31" s="2932"/>
      <c r="AO31" s="2932"/>
      <c r="AP31" s="2932"/>
      <c r="AQ31" s="2932"/>
      <c r="AR31" s="2932"/>
      <c r="AS31" s="2932"/>
      <c r="AT31" s="2933"/>
      <c r="AU31" s="1333"/>
      <c r="AV31" s="1333"/>
    </row>
    <row r="32" spans="2:51" ht="23.25">
      <c r="E32" s="17" t="s">
        <v>36</v>
      </c>
      <c r="F32" s="18">
        <f>+F31+F30</f>
        <v>204892</v>
      </c>
      <c r="G32" s="18">
        <f>+G31+G30</f>
        <v>200450</v>
      </c>
      <c r="H32" s="18">
        <f>+H31+H30</f>
        <v>200394</v>
      </c>
      <c r="I32" s="18">
        <f>+I31+I30</f>
        <v>135303</v>
      </c>
      <c r="J32" s="18">
        <f>+J31+J30</f>
        <v>121985</v>
      </c>
      <c r="K32" s="24"/>
      <c r="T32" s="878" t="s">
        <v>2000</v>
      </c>
      <c r="U32" s="13"/>
      <c r="V32" s="13"/>
      <c r="W32" s="13"/>
      <c r="X32" s="1317">
        <f>1860-1724.7</f>
        <v>135.29999999999995</v>
      </c>
      <c r="Y32" s="1317"/>
      <c r="Z32" s="1317"/>
      <c r="AA32" s="1317"/>
      <c r="AB32" s="1331">
        <v>80</v>
      </c>
      <c r="AC32" s="833">
        <f>1466-331</f>
        <v>1135</v>
      </c>
      <c r="AD32" s="13"/>
      <c r="AE32" s="1316">
        <f>SUM(U32:AD32)</f>
        <v>1350.3</v>
      </c>
      <c r="AL32" s="390"/>
      <c r="AM32" s="833" t="s">
        <v>722</v>
      </c>
      <c r="AN32" s="833" t="s">
        <v>723</v>
      </c>
      <c r="AO32" s="833" t="s">
        <v>724</v>
      </c>
      <c r="AP32" s="833" t="s">
        <v>1993</v>
      </c>
      <c r="AQ32" s="833" t="s">
        <v>726</v>
      </c>
      <c r="AR32" s="720" t="s">
        <v>1994</v>
      </c>
      <c r="AS32" s="720" t="s">
        <v>729</v>
      </c>
      <c r="AT32" s="869" t="s">
        <v>730</v>
      </c>
      <c r="AU32" s="858" t="s">
        <v>731</v>
      </c>
      <c r="AV32" s="858" t="s">
        <v>732</v>
      </c>
      <c r="AW32" s="858" t="s">
        <v>176</v>
      </c>
      <c r="AX32" s="858" t="s">
        <v>177</v>
      </c>
    </row>
    <row r="33" spans="2:51" ht="23.25">
      <c r="E33" s="17" t="s">
        <v>2012</v>
      </c>
      <c r="F33" s="18"/>
      <c r="G33" s="18"/>
      <c r="H33" s="18"/>
      <c r="I33" s="18"/>
      <c r="J33" s="18"/>
      <c r="K33" s="24"/>
      <c r="T33" s="31"/>
      <c r="AE33" s="63"/>
      <c r="AL33" s="390" t="s">
        <v>1995</v>
      </c>
      <c r="AM33" s="1355">
        <v>0</v>
      </c>
      <c r="AN33" s="714">
        <v>732</v>
      </c>
      <c r="AO33" s="714">
        <v>0</v>
      </c>
      <c r="AP33" s="714">
        <v>0</v>
      </c>
      <c r="AQ33" s="714">
        <v>1038</v>
      </c>
      <c r="AR33" s="714">
        <v>576</v>
      </c>
      <c r="AS33" s="714">
        <v>1770</v>
      </c>
      <c r="AT33" s="714">
        <v>834</v>
      </c>
      <c r="AU33" s="714">
        <v>1956</v>
      </c>
      <c r="AV33" s="714">
        <v>1374</v>
      </c>
      <c r="AW33" s="714">
        <v>0</v>
      </c>
      <c r="AX33" s="714">
        <v>576</v>
      </c>
      <c r="AY33" s="257">
        <f>SUM(AM33:AX33)</f>
        <v>8856</v>
      </c>
    </row>
    <row r="34" spans="2:51" ht="23.25">
      <c r="E34" s="17" t="s">
        <v>255</v>
      </c>
      <c r="F34" s="18">
        <f>212391-102030</f>
        <v>110361</v>
      </c>
      <c r="G34" s="18">
        <f>96341-2190</f>
        <v>94151</v>
      </c>
      <c r="H34" s="18">
        <v>107821</v>
      </c>
      <c r="I34" s="18">
        <f>103054-323</f>
        <v>102731</v>
      </c>
      <c r="J34" s="18">
        <v>111158</v>
      </c>
      <c r="K34" s="96"/>
      <c r="T34" s="869"/>
      <c r="U34" s="858"/>
      <c r="V34" s="858"/>
      <c r="W34" s="858"/>
      <c r="X34" s="858"/>
      <c r="Y34" s="858"/>
      <c r="Z34" s="858"/>
      <c r="AA34" s="858"/>
      <c r="AB34" s="858"/>
      <c r="AC34" s="858"/>
      <c r="AD34" s="1320"/>
      <c r="AE34" s="63"/>
      <c r="AL34" s="834" t="s">
        <v>1986</v>
      </c>
      <c r="AM34" s="714">
        <v>96.21</v>
      </c>
      <c r="AN34" s="392">
        <v>0</v>
      </c>
      <c r="AO34" s="714">
        <v>24.62</v>
      </c>
      <c r="AP34" s="1317"/>
      <c r="AQ34" s="1362">
        <v>293.72000000000003</v>
      </c>
      <c r="AR34" s="1317">
        <v>206.38</v>
      </c>
      <c r="AS34" s="714"/>
      <c r="AT34" s="714">
        <v>204</v>
      </c>
      <c r="AU34" s="714">
        <v>156.46</v>
      </c>
      <c r="AV34" s="1334">
        <v>1304</v>
      </c>
      <c r="AW34" s="1334">
        <v>490</v>
      </c>
      <c r="AX34" s="718">
        <v>1503.63</v>
      </c>
      <c r="AY34" s="257">
        <f>SUM(AM34:AX34)</f>
        <v>4279.0200000000004</v>
      </c>
    </row>
    <row r="35" spans="2:51" ht="23.25">
      <c r="E35" s="17" t="s">
        <v>256</v>
      </c>
      <c r="F35" s="18"/>
      <c r="G35" s="18"/>
      <c r="H35" s="18"/>
      <c r="I35" s="18"/>
      <c r="J35" s="18"/>
      <c r="K35" s="24"/>
      <c r="L35" s="18"/>
      <c r="M35" s="18"/>
      <c r="N35" s="18"/>
      <c r="O35" s="18"/>
      <c r="P35" s="18"/>
      <c r="Q35" s="18"/>
      <c r="R35" s="18"/>
      <c r="T35" s="2934" t="s">
        <v>2013</v>
      </c>
      <c r="U35" s="2935"/>
      <c r="V35" s="2935"/>
      <c r="W35" s="2935"/>
      <c r="X35" s="2935"/>
      <c r="Y35" s="2935"/>
      <c r="Z35" s="2935"/>
      <c r="AA35" s="2935"/>
      <c r="AB35" s="2935"/>
      <c r="AC35" s="2935"/>
      <c r="AD35" s="2935"/>
      <c r="AE35" s="2936"/>
      <c r="AL35" s="835" t="s">
        <v>1987</v>
      </c>
      <c r="AM35" s="1317"/>
      <c r="AN35" s="596">
        <v>447.53</v>
      </c>
      <c r="AO35" s="1317">
        <v>13.5</v>
      </c>
      <c r="AP35" s="1317"/>
      <c r="AQ35" s="1317">
        <v>645.11</v>
      </c>
      <c r="AR35" s="1317"/>
      <c r="AS35" s="714">
        <v>428.41</v>
      </c>
      <c r="AT35" s="714">
        <v>537.6</v>
      </c>
      <c r="AU35" s="714">
        <v>302.07</v>
      </c>
      <c r="AV35" s="1334">
        <v>29.86</v>
      </c>
      <c r="AW35" s="337">
        <v>1627.8</v>
      </c>
      <c r="AX35" s="718">
        <v>1143.68</v>
      </c>
      <c r="AY35" s="257">
        <f>SUM(AM35:AX35)</f>
        <v>5175.5600000000004</v>
      </c>
    </row>
    <row r="36" spans="2:51" ht="21.75">
      <c r="E36" s="17" t="s">
        <v>643</v>
      </c>
      <c r="F36" s="18">
        <v>4309</v>
      </c>
      <c r="G36" s="18">
        <v>4577</v>
      </c>
      <c r="H36" s="18">
        <v>5882</v>
      </c>
      <c r="I36" s="18">
        <v>5513</v>
      </c>
      <c r="J36" s="18">
        <v>6852</v>
      </c>
      <c r="K36" s="63"/>
      <c r="L36" s="18"/>
      <c r="M36" s="18"/>
      <c r="N36" s="18"/>
      <c r="O36" s="18"/>
      <c r="P36" s="18"/>
      <c r="Q36" s="18"/>
      <c r="R36" s="18"/>
      <c r="T36" s="1337" t="s">
        <v>704</v>
      </c>
      <c r="U36" s="833" t="s">
        <v>722</v>
      </c>
      <c r="V36" s="833" t="s">
        <v>723</v>
      </c>
      <c r="W36" s="833"/>
      <c r="X36" s="833" t="s">
        <v>724</v>
      </c>
      <c r="Y36" s="833"/>
      <c r="Z36" s="833"/>
      <c r="AA36" s="833"/>
      <c r="AB36" s="833" t="s">
        <v>725</v>
      </c>
      <c r="AC36" s="833" t="s">
        <v>726</v>
      </c>
      <c r="AD36" s="833" t="s">
        <v>727</v>
      </c>
      <c r="AE36" s="1345" t="s">
        <v>1983</v>
      </c>
    </row>
    <row r="37" spans="2:51" ht="21.75">
      <c r="E37" s="17" t="s">
        <v>81</v>
      </c>
      <c r="F37" s="18">
        <v>93889</v>
      </c>
      <c r="G37" s="18">
        <v>111575</v>
      </c>
      <c r="H37" s="18">
        <v>92582</v>
      </c>
      <c r="I37" s="18">
        <f>28759+3385</f>
        <v>32144</v>
      </c>
      <c r="J37" s="18">
        <v>11116</v>
      </c>
      <c r="K37" s="63"/>
      <c r="T37" s="1338" t="s">
        <v>23</v>
      </c>
      <c r="U37" s="836">
        <v>1040</v>
      </c>
      <c r="V37" s="714">
        <v>538</v>
      </c>
      <c r="W37" s="714"/>
      <c r="X37" s="714">
        <f>+X38+X39</f>
        <v>1494</v>
      </c>
      <c r="Y37" s="714"/>
      <c r="Z37" s="714"/>
      <c r="AA37" s="714"/>
      <c r="AB37" s="714">
        <f>+AB38+AB39</f>
        <v>3471</v>
      </c>
      <c r="AC37" s="714">
        <f>+AC38+AC39</f>
        <v>1546</v>
      </c>
      <c r="AD37" s="714">
        <f>+AD38+AD39</f>
        <v>2261</v>
      </c>
      <c r="AE37" s="1316">
        <f>SUM(U37:AD37)</f>
        <v>10350</v>
      </c>
    </row>
    <row r="38" spans="2:51" ht="21.75">
      <c r="B38" s="308"/>
      <c r="C38" s="127"/>
      <c r="D38" s="102"/>
      <c r="E38" s="17" t="s">
        <v>257</v>
      </c>
      <c r="F38" s="18">
        <v>2192</v>
      </c>
      <c r="G38" s="18">
        <v>2133</v>
      </c>
      <c r="H38" s="18">
        <v>1628</v>
      </c>
      <c r="I38" s="18">
        <v>1794</v>
      </c>
      <c r="J38" s="18">
        <v>1887</v>
      </c>
      <c r="K38" s="63"/>
      <c r="L38" s="354"/>
      <c r="M38" s="354"/>
      <c r="T38" s="341" t="s">
        <v>712</v>
      </c>
      <c r="U38" s="836">
        <v>1040</v>
      </c>
      <c r="V38" s="836">
        <v>538</v>
      </c>
      <c r="W38" s="836"/>
      <c r="X38" s="1317">
        <f>1494-28</f>
        <v>1466</v>
      </c>
      <c r="Y38" s="1317"/>
      <c r="Z38" s="1317"/>
      <c r="AA38" s="1317"/>
      <c r="AB38" s="1346">
        <v>3290</v>
      </c>
      <c r="AC38" s="833">
        <f>1546-132</f>
        <v>1414</v>
      </c>
      <c r="AD38" s="833">
        <f>2261-137</f>
        <v>2124</v>
      </c>
      <c r="AE38" s="1316">
        <f>SUM(U38:AD38)</f>
        <v>9872</v>
      </c>
    </row>
    <row r="39" spans="2:51" ht="23.25">
      <c r="B39" s="988" t="s">
        <v>79</v>
      </c>
      <c r="D39" s="17"/>
      <c r="E39" s="17" t="s">
        <v>80</v>
      </c>
      <c r="F39" s="18">
        <v>1640</v>
      </c>
      <c r="G39" s="18">
        <f>2022+2190</f>
        <v>4212</v>
      </c>
      <c r="H39" s="18">
        <f>1732+73</f>
        <v>1805</v>
      </c>
      <c r="I39" s="18">
        <f>2411+392</f>
        <v>2803</v>
      </c>
      <c r="J39" s="18">
        <v>2263</v>
      </c>
      <c r="K39" s="63"/>
      <c r="L39" s="24"/>
      <c r="M39" s="1322"/>
      <c r="T39" s="878" t="s">
        <v>2000</v>
      </c>
      <c r="U39" s="13"/>
      <c r="V39" s="13"/>
      <c r="W39" s="13"/>
      <c r="X39" s="1317">
        <v>28</v>
      </c>
      <c r="Y39" s="1317"/>
      <c r="Z39" s="1317"/>
      <c r="AA39" s="1317"/>
      <c r="AB39" s="1331">
        <v>181</v>
      </c>
      <c r="AC39" s="833">
        <v>132</v>
      </c>
      <c r="AD39" s="342">
        <v>137</v>
      </c>
      <c r="AE39" s="1316">
        <f>SUM(U39:AD39)</f>
        <v>478</v>
      </c>
    </row>
    <row r="40" spans="2:51">
      <c r="B40" s="491" t="s">
        <v>81</v>
      </c>
      <c r="C40" s="8"/>
      <c r="D40" s="21" t="s">
        <v>81</v>
      </c>
      <c r="E40" s="17"/>
      <c r="F40" s="18">
        <f>SUM(F34:F39)</f>
        <v>212391</v>
      </c>
      <c r="G40" s="18">
        <f>SUM(G34:G39)</f>
        <v>216648</v>
      </c>
      <c r="H40" s="18">
        <f>SUM(H34:H39)</f>
        <v>209718</v>
      </c>
      <c r="I40" s="18">
        <f>SUM(I34:I39)</f>
        <v>144985</v>
      </c>
      <c r="J40" s="18">
        <f>SUM(J34:J39)</f>
        <v>133276</v>
      </c>
      <c r="K40" s="63"/>
      <c r="L40" s="1323"/>
      <c r="M40" s="1324"/>
      <c r="T40" s="31"/>
      <c r="AE40" s="63"/>
    </row>
    <row r="41" spans="2:51">
      <c r="B41" s="496" t="s">
        <v>2014</v>
      </c>
      <c r="D41" s="17" t="s">
        <v>2014</v>
      </c>
      <c r="E41" s="21"/>
      <c r="F41" s="591"/>
      <c r="G41" s="591"/>
      <c r="H41" s="591"/>
      <c r="I41" s="591"/>
      <c r="J41" s="591"/>
      <c r="K41" s="26"/>
      <c r="L41" s="1013"/>
      <c r="M41" s="1322"/>
      <c r="T41" s="31"/>
      <c r="AE41" s="63"/>
    </row>
    <row r="42" spans="2:51">
      <c r="B42" s="496" t="s">
        <v>2015</v>
      </c>
      <c r="D42" s="17" t="s">
        <v>2016</v>
      </c>
      <c r="E42" s="1012">
        <f>3098.693+818.125</f>
        <v>3916.8180000000002</v>
      </c>
      <c r="F42" s="1012"/>
      <c r="G42" s="1012">
        <f>503.305+162.29</f>
        <v>665.59500000000003</v>
      </c>
      <c r="H42" s="1012"/>
      <c r="I42" s="87">
        <v>254.3</v>
      </c>
      <c r="J42" s="87">
        <v>2715.4250000000002</v>
      </c>
      <c r="K42" s="1012">
        <f t="shared" ref="K42:K47" si="0">+J42+I42+H42+G42+F42+E42</f>
        <v>7552.1380000000008</v>
      </c>
      <c r="L42" s="1013"/>
      <c r="M42" s="1322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356"/>
      <c r="AH42" s="1356"/>
      <c r="AI42" s="354"/>
    </row>
    <row r="43" spans="2:51" ht="23.25">
      <c r="B43" s="496" t="s">
        <v>2017</v>
      </c>
      <c r="D43" s="17" t="s">
        <v>2018</v>
      </c>
      <c r="E43" s="1012">
        <f>1371.784+277.63</f>
        <v>1649.4140000000002</v>
      </c>
      <c r="F43" s="1012">
        <f>5.18+54</f>
        <v>59.18</v>
      </c>
      <c r="G43" s="1012">
        <f>192.67+15.22</f>
        <v>207.89</v>
      </c>
      <c r="H43" s="1012"/>
      <c r="I43" s="87">
        <f>506.15+97.1</f>
        <v>603.25</v>
      </c>
      <c r="J43" s="87"/>
      <c r="K43" s="1012">
        <f t="shared" si="0"/>
        <v>2519.7340000000004</v>
      </c>
      <c r="L43" s="1013"/>
      <c r="M43" s="1322"/>
      <c r="R43" s="2930"/>
      <c r="S43" s="2930"/>
      <c r="T43" s="2930"/>
      <c r="U43" s="2930"/>
      <c r="V43" s="2930"/>
      <c r="W43" s="2930"/>
      <c r="X43" s="2930"/>
      <c r="Y43" s="2930"/>
      <c r="Z43" s="2930"/>
      <c r="AA43" s="2930"/>
      <c r="AB43" s="2930"/>
      <c r="AC43" s="2930"/>
      <c r="AD43" s="2930"/>
      <c r="AE43" s="2930"/>
      <c r="AF43" s="2930"/>
      <c r="AG43"/>
      <c r="AH43"/>
      <c r="AI43" s="63"/>
    </row>
    <row r="44" spans="2:51" ht="87">
      <c r="B44" s="496" t="s">
        <v>2019</v>
      </c>
      <c r="D44" s="17" t="s">
        <v>2020</v>
      </c>
      <c r="E44" s="1012"/>
      <c r="F44" s="1012"/>
      <c r="G44" s="1012">
        <f>1037.339+199.99</f>
        <v>1237.329</v>
      </c>
      <c r="H44" s="1012"/>
      <c r="I44" s="87"/>
      <c r="J44" s="87"/>
      <c r="K44" s="1012">
        <f t="shared" si="0"/>
        <v>1237.329</v>
      </c>
      <c r="L44" s="1013"/>
      <c r="M44" s="1322"/>
      <c r="R44" s="353"/>
      <c r="S44" s="833" t="s">
        <v>722</v>
      </c>
      <c r="T44" s="833" t="s">
        <v>723</v>
      </c>
      <c r="U44" s="833" t="s">
        <v>724</v>
      </c>
      <c r="V44" s="833" t="s">
        <v>725</v>
      </c>
      <c r="W44" s="833" t="s">
        <v>726</v>
      </c>
      <c r="X44" s="833" t="s">
        <v>727</v>
      </c>
      <c r="Y44" s="833"/>
      <c r="Z44" s="833"/>
      <c r="AA44" s="833"/>
      <c r="AB44" s="1317" t="s">
        <v>1983</v>
      </c>
      <c r="AC44" s="833" t="s">
        <v>729</v>
      </c>
      <c r="AD44" s="833" t="s">
        <v>730</v>
      </c>
      <c r="AE44" s="833" t="s">
        <v>731</v>
      </c>
      <c r="AF44" s="833" t="s">
        <v>732</v>
      </c>
      <c r="AG44" s="833" t="s">
        <v>733</v>
      </c>
      <c r="AH44" s="833" t="s">
        <v>734</v>
      </c>
      <c r="AI44" s="935" t="s">
        <v>115</v>
      </c>
      <c r="AJ44" s="1347" t="s">
        <v>2021</v>
      </c>
      <c r="AK44" s="1348" t="s">
        <v>2022</v>
      </c>
    </row>
    <row r="45" spans="2:51" ht="21.75">
      <c r="B45" s="496" t="s">
        <v>2023</v>
      </c>
      <c r="D45" s="17" t="s">
        <v>2024</v>
      </c>
      <c r="E45" s="1012"/>
      <c r="F45" s="1012"/>
      <c r="G45" s="1012">
        <f>110.024+45.3</f>
        <v>155.32400000000001</v>
      </c>
      <c r="H45" s="1012">
        <f>29.12+9.68</f>
        <v>38.799999999999997</v>
      </c>
      <c r="I45" s="87"/>
      <c r="J45" s="87"/>
      <c r="K45" s="1012">
        <f t="shared" si="0"/>
        <v>194.12400000000002</v>
      </c>
      <c r="L45" s="1013"/>
      <c r="M45" s="1322"/>
      <c r="R45" s="1339"/>
      <c r="S45" s="836">
        <v>2201</v>
      </c>
      <c r="T45" s="714">
        <v>0</v>
      </c>
      <c r="U45" s="714">
        <v>3584</v>
      </c>
      <c r="V45" s="714">
        <v>3303</v>
      </c>
      <c r="W45" s="714">
        <v>3492</v>
      </c>
      <c r="X45" s="714">
        <v>2911</v>
      </c>
      <c r="Y45" s="714"/>
      <c r="Z45" s="714"/>
      <c r="AA45" s="714"/>
      <c r="AB45" s="714">
        <f>S45+T45+U45+V45+W45+X45</f>
        <v>15491</v>
      </c>
      <c r="AC45" s="714">
        <v>2735</v>
      </c>
      <c r="AD45" s="714">
        <v>3031</v>
      </c>
      <c r="AE45" s="714">
        <v>2939</v>
      </c>
      <c r="AF45" s="714">
        <v>3921</v>
      </c>
      <c r="AG45" s="714">
        <v>1392</v>
      </c>
      <c r="AH45" s="714">
        <v>2568</v>
      </c>
      <c r="AI45" s="1357">
        <f>+AB45+AC45+AD45+AE45+AF45+AG45+AH45</f>
        <v>32077</v>
      </c>
      <c r="AJ45" s="1358">
        <v>33653</v>
      </c>
      <c r="AK45" s="1320">
        <v>32094.1</v>
      </c>
    </row>
    <row r="46" spans="2:51" ht="12.75">
      <c r="B46" s="496" t="s">
        <v>2025</v>
      </c>
      <c r="D46" s="17" t="s">
        <v>99</v>
      </c>
      <c r="E46" s="1012">
        <f>444.006+139.85</f>
        <v>583.85599999999999</v>
      </c>
      <c r="F46" s="1012"/>
      <c r="G46" s="1012">
        <f>38.165+34.91</f>
        <v>73.074999999999989</v>
      </c>
      <c r="H46" s="1012">
        <f>3.74+20.94</f>
        <v>24.68</v>
      </c>
      <c r="I46" s="87"/>
      <c r="J46" s="87"/>
      <c r="K46" s="1012">
        <f t="shared" si="0"/>
        <v>681.61099999999999</v>
      </c>
      <c r="L46" s="1013"/>
      <c r="M46" s="1322"/>
      <c r="R46" s="84"/>
      <c r="AG46"/>
      <c r="AH46"/>
      <c r="AI46" s="63"/>
      <c r="AJ46" s="84" t="s">
        <v>2026</v>
      </c>
      <c r="AK46" s="84">
        <v>28699.5</v>
      </c>
    </row>
    <row r="47" spans="2:51" ht="87">
      <c r="B47" s="496" t="s">
        <v>185</v>
      </c>
      <c r="D47" s="17" t="s">
        <v>185</v>
      </c>
      <c r="E47" s="1012">
        <f>331.421+40.45</f>
        <v>371.87099999999998</v>
      </c>
      <c r="F47" s="1012"/>
      <c r="G47" s="1012">
        <v>31.51</v>
      </c>
      <c r="H47" s="1012">
        <f>974.182+321.53</f>
        <v>1295.712</v>
      </c>
      <c r="I47" s="87">
        <f>41.2+339.22</f>
        <v>380.42</v>
      </c>
      <c r="J47" s="87">
        <f>6962.655+3376.805</f>
        <v>10339.459999999999</v>
      </c>
      <c r="K47" s="1012">
        <f t="shared" si="0"/>
        <v>12418.972999999998</v>
      </c>
      <c r="L47" s="1013"/>
      <c r="M47" s="1322"/>
      <c r="R47" s="1333"/>
      <c r="S47" s="1333"/>
      <c r="T47" s="1333"/>
      <c r="U47" s="1333"/>
      <c r="V47" s="1333"/>
      <c r="W47" s="1333"/>
      <c r="X47" s="1333"/>
      <c r="Y47" s="1333"/>
      <c r="Z47" s="1333"/>
      <c r="AA47" s="1333"/>
      <c r="AB47" s="1333"/>
      <c r="AC47" s="1347" t="s">
        <v>2021</v>
      </c>
      <c r="AD47" s="1348" t="s">
        <v>2022</v>
      </c>
      <c r="AE47" s="1333"/>
      <c r="AF47" s="1333"/>
      <c r="AG47"/>
      <c r="AH47"/>
      <c r="AI47" s="63"/>
    </row>
    <row r="48" spans="2:51" ht="21.75">
      <c r="B48" s="95" t="s">
        <v>103</v>
      </c>
      <c r="D48" s="102"/>
      <c r="E48" s="1016">
        <f t="shared" ref="E48:J48" si="1">SUM(E42:E47)</f>
        <v>6521.9589999999998</v>
      </c>
      <c r="F48" s="1016">
        <f t="shared" si="1"/>
        <v>59.18</v>
      </c>
      <c r="G48" s="1016">
        <f t="shared" si="1"/>
        <v>2370.723</v>
      </c>
      <c r="H48" s="1016">
        <f t="shared" si="1"/>
        <v>1359.192</v>
      </c>
      <c r="I48" s="1011">
        <f t="shared" si="1"/>
        <v>1237.97</v>
      </c>
      <c r="J48" s="1011">
        <f t="shared" si="1"/>
        <v>13054.884999999998</v>
      </c>
      <c r="K48" s="1016">
        <f>SUM(K42:K47)-87</f>
        <v>24516.909</v>
      </c>
      <c r="L48" s="1013"/>
      <c r="M48" s="1322"/>
      <c r="R48" s="1340"/>
      <c r="S48" s="1313" t="s">
        <v>722</v>
      </c>
      <c r="T48" s="1313" t="s">
        <v>723</v>
      </c>
      <c r="U48" s="1313" t="s">
        <v>724</v>
      </c>
      <c r="V48" s="1313" t="s">
        <v>725</v>
      </c>
      <c r="W48" s="1313" t="s">
        <v>726</v>
      </c>
      <c r="X48" s="1313" t="s">
        <v>727</v>
      </c>
      <c r="Y48" s="1349" t="s">
        <v>729</v>
      </c>
      <c r="Z48" s="1349" t="s">
        <v>730</v>
      </c>
      <c r="AA48" s="1349" t="s">
        <v>731</v>
      </c>
      <c r="AB48" s="1314" t="s">
        <v>2027</v>
      </c>
      <c r="AC48" s="1335"/>
      <c r="AD48" s="1335"/>
      <c r="AE48" s="1335"/>
      <c r="AF48" s="1335"/>
      <c r="AG48"/>
      <c r="AH48"/>
      <c r="AI48" s="63"/>
    </row>
    <row r="49" spans="2:35" ht="21.75">
      <c r="B49" s="1309"/>
      <c r="C49" s="852"/>
      <c r="D49" s="488"/>
      <c r="E49" s="1310"/>
      <c r="F49" s="1310"/>
      <c r="G49" s="1310"/>
      <c r="H49" s="1310"/>
      <c r="I49" s="1325"/>
      <c r="J49" s="1325"/>
      <c r="K49" s="1310"/>
      <c r="L49" s="1326"/>
      <c r="M49" s="1327"/>
      <c r="R49" s="1341"/>
      <c r="S49" s="1342">
        <v>831</v>
      </c>
      <c r="T49" s="1343">
        <v>2397</v>
      </c>
      <c r="U49" s="1343">
        <v>2336</v>
      </c>
      <c r="V49" s="1343">
        <v>3116</v>
      </c>
      <c r="W49" s="1343">
        <v>3409</v>
      </c>
      <c r="X49" s="1343">
        <v>2833</v>
      </c>
      <c r="Y49" s="1350">
        <v>1708</v>
      </c>
      <c r="Z49" s="1350">
        <v>3418</v>
      </c>
      <c r="AA49" s="1350">
        <v>2471</v>
      </c>
      <c r="AB49" s="1351">
        <f>S49+T49+U49+V49+W49+X49+Y49+Z49+AA49</f>
        <v>22519</v>
      </c>
      <c r="AC49" s="1320">
        <v>15949</v>
      </c>
      <c r="AD49" s="1320">
        <v>14923.61</v>
      </c>
      <c r="AE49" s="1320"/>
      <c r="AF49" s="1320"/>
      <c r="AG49"/>
      <c r="AH49"/>
      <c r="AI49" s="63"/>
    </row>
    <row r="50" spans="2:35">
      <c r="AC50" s="84" t="s">
        <v>2028</v>
      </c>
      <c r="AD50" s="84">
        <v>13645.05</v>
      </c>
      <c r="AI50" s="63"/>
    </row>
    <row r="51" spans="2:35"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359"/>
      <c r="AH51" s="1359"/>
      <c r="AI51" s="9"/>
    </row>
    <row r="53" spans="2:35">
      <c r="B53" s="308"/>
      <c r="C53" s="127"/>
      <c r="D53" s="102"/>
      <c r="E53" s="233" t="s">
        <v>2029</v>
      </c>
      <c r="F53" s="127"/>
      <c r="G53" s="127"/>
      <c r="H53" s="127"/>
      <c r="I53" s="127"/>
      <c r="J53" s="127"/>
      <c r="K53" s="1328"/>
    </row>
    <row r="54" spans="2:35">
      <c r="B54" s="988" t="s">
        <v>79</v>
      </c>
      <c r="D54" s="17"/>
      <c r="E54" s="491" t="s">
        <v>255</v>
      </c>
      <c r="F54" s="491" t="s">
        <v>256</v>
      </c>
      <c r="G54" s="491" t="s">
        <v>643</v>
      </c>
      <c r="H54" s="491" t="s">
        <v>261</v>
      </c>
      <c r="I54" s="504" t="s">
        <v>265</v>
      </c>
      <c r="J54" s="504" t="s">
        <v>664</v>
      </c>
      <c r="K54" s="491" t="s">
        <v>23</v>
      </c>
      <c r="L54" s="18"/>
    </row>
    <row r="55" spans="2:35">
      <c r="B55" s="491" t="s">
        <v>81</v>
      </c>
      <c r="C55" s="8"/>
      <c r="D55" s="21" t="s">
        <v>81</v>
      </c>
      <c r="E55" s="1014">
        <v>76528</v>
      </c>
      <c r="F55" s="1311">
        <v>125</v>
      </c>
      <c r="G55" s="1311">
        <v>3525</v>
      </c>
      <c r="H55" s="1311">
        <v>90</v>
      </c>
      <c r="I55" s="1329">
        <v>790</v>
      </c>
      <c r="J55" s="1329"/>
      <c r="K55" s="1311">
        <f>+J55+I55+H55+G55+F55+E55</f>
        <v>81058</v>
      </c>
      <c r="L55" s="87"/>
    </row>
    <row r="56" spans="2:35">
      <c r="B56" s="496" t="s">
        <v>2014</v>
      </c>
      <c r="D56" s="17" t="s">
        <v>2014</v>
      </c>
      <c r="E56" s="1012">
        <f>8852-187</f>
        <v>8665</v>
      </c>
      <c r="F56" s="1012">
        <v>150</v>
      </c>
      <c r="G56" s="1012">
        <v>580</v>
      </c>
      <c r="H56" s="1012">
        <v>80</v>
      </c>
      <c r="I56" s="87">
        <v>150</v>
      </c>
      <c r="J56" s="87">
        <v>1502</v>
      </c>
      <c r="K56" s="1012">
        <f t="shared" ref="K56:K62" si="2">+J56+I56+H56+G56+F56+E56</f>
        <v>11127</v>
      </c>
      <c r="L56" s="87"/>
    </row>
    <row r="57" spans="2:35">
      <c r="B57" s="496" t="s">
        <v>2015</v>
      </c>
      <c r="D57" s="17" t="s">
        <v>2016</v>
      </c>
      <c r="E57" s="1012">
        <v>3316</v>
      </c>
      <c r="F57" s="1012"/>
      <c r="G57" s="1012">
        <v>0</v>
      </c>
      <c r="H57" s="1012"/>
      <c r="I57" s="87">
        <v>300</v>
      </c>
      <c r="J57" s="87">
        <f>1713+201+1037</f>
        <v>2951</v>
      </c>
      <c r="K57" s="1012">
        <f t="shared" si="2"/>
        <v>6567</v>
      </c>
      <c r="L57" s="87"/>
    </row>
    <row r="58" spans="2:35">
      <c r="B58" s="496" t="s">
        <v>2017</v>
      </c>
      <c r="D58" s="17" t="s">
        <v>2018</v>
      </c>
      <c r="E58" s="1012">
        <v>500</v>
      </c>
      <c r="F58" s="1012">
        <v>60</v>
      </c>
      <c r="G58" s="1012">
        <v>740</v>
      </c>
      <c r="H58" s="1012"/>
      <c r="I58" s="87">
        <v>700</v>
      </c>
      <c r="J58" s="87"/>
      <c r="K58" s="1012">
        <f t="shared" si="2"/>
        <v>2000</v>
      </c>
      <c r="L58" s="87"/>
    </row>
    <row r="59" spans="2:35">
      <c r="B59" s="496" t="s">
        <v>2019</v>
      </c>
      <c r="D59" s="17" t="s">
        <v>2020</v>
      </c>
      <c r="E59" s="1012">
        <v>700</v>
      </c>
      <c r="F59" s="1012"/>
      <c r="G59" s="1012">
        <v>525</v>
      </c>
      <c r="H59" s="1012"/>
      <c r="I59" s="87"/>
      <c r="J59" s="87"/>
      <c r="K59" s="1012">
        <f t="shared" si="2"/>
        <v>1225</v>
      </c>
      <c r="L59" s="87"/>
    </row>
    <row r="60" spans="2:35">
      <c r="B60" s="496" t="s">
        <v>2023</v>
      </c>
      <c r="D60" s="17" t="s">
        <v>2024</v>
      </c>
      <c r="E60" s="1012">
        <v>187</v>
      </c>
      <c r="F60" s="1012"/>
      <c r="G60" s="1012">
        <v>0</v>
      </c>
      <c r="H60" s="1012">
        <v>13</v>
      </c>
      <c r="I60" s="87"/>
      <c r="J60" s="87"/>
      <c r="K60" s="1012">
        <f t="shared" si="2"/>
        <v>200</v>
      </c>
      <c r="L60" s="87"/>
    </row>
    <row r="61" spans="2:35">
      <c r="B61" s="496" t="s">
        <v>2025</v>
      </c>
      <c r="D61" s="17" t="s">
        <v>99</v>
      </c>
      <c r="E61" s="1012">
        <v>597</v>
      </c>
      <c r="F61" s="1012"/>
      <c r="G61" s="1012">
        <v>75</v>
      </c>
      <c r="H61" s="1012">
        <v>36</v>
      </c>
      <c r="I61" s="87"/>
      <c r="J61" s="87"/>
      <c r="K61" s="1012">
        <f t="shared" si="2"/>
        <v>708</v>
      </c>
      <c r="L61" s="87"/>
      <c r="N61">
        <f>114346-708-11127</f>
        <v>102511</v>
      </c>
    </row>
    <row r="62" spans="2:35">
      <c r="B62" s="496" t="s">
        <v>185</v>
      </c>
      <c r="D62" s="17" t="s">
        <v>185</v>
      </c>
      <c r="E62" s="1012">
        <f>92882-90493</f>
        <v>2389</v>
      </c>
      <c r="F62" s="1012"/>
      <c r="G62" s="1012">
        <v>32</v>
      </c>
      <c r="H62" s="1012">
        <f>1411+33</f>
        <v>1444</v>
      </c>
      <c r="I62" s="87">
        <f>353</f>
        <v>353</v>
      </c>
      <c r="J62" s="87">
        <f>5066+303+107+141+1626</f>
        <v>7243</v>
      </c>
      <c r="K62" s="1012">
        <f t="shared" si="2"/>
        <v>11461</v>
      </c>
      <c r="L62" s="87"/>
      <c r="N62">
        <v>708</v>
      </c>
    </row>
    <row r="63" spans="2:35">
      <c r="B63" s="95" t="s">
        <v>103</v>
      </c>
      <c r="D63" s="102"/>
      <c r="E63" s="1016">
        <f t="shared" ref="E63:K63" si="3">SUM(E55:E62)</f>
        <v>92882</v>
      </c>
      <c r="F63" s="1016">
        <f t="shared" si="3"/>
        <v>335</v>
      </c>
      <c r="G63" s="1016">
        <f t="shared" si="3"/>
        <v>5477</v>
      </c>
      <c r="H63" s="1016">
        <f t="shared" si="3"/>
        <v>1663</v>
      </c>
      <c r="I63" s="1011">
        <f t="shared" si="3"/>
        <v>2293</v>
      </c>
      <c r="J63" s="1011">
        <f t="shared" si="3"/>
        <v>11696</v>
      </c>
      <c r="K63" s="1016">
        <f t="shared" si="3"/>
        <v>114346</v>
      </c>
      <c r="L63" s="87"/>
      <c r="N63">
        <v>11127</v>
      </c>
    </row>
    <row r="64" spans="2:35">
      <c r="B64" s="1309"/>
      <c r="C64" s="852"/>
      <c r="D64" s="488"/>
      <c r="E64" s="1310"/>
      <c r="F64" s="1310"/>
      <c r="G64" s="1310"/>
      <c r="H64" s="1310"/>
      <c r="I64" s="1325"/>
      <c r="J64" s="1325"/>
      <c r="K64" s="1310"/>
      <c r="L64" s="86"/>
      <c r="N64">
        <f>+N63+N62+N61</f>
        <v>114346</v>
      </c>
    </row>
    <row r="67" spans="2:12">
      <c r="B67" s="308"/>
      <c r="C67" s="127"/>
      <c r="D67" s="102"/>
      <c r="E67" s="233" t="s">
        <v>2030</v>
      </c>
      <c r="F67" s="127"/>
      <c r="G67" s="127"/>
      <c r="H67" s="127"/>
      <c r="I67" s="127"/>
      <c r="J67" s="127"/>
      <c r="K67" s="1328"/>
    </row>
    <row r="68" spans="2:12">
      <c r="B68" s="988" t="s">
        <v>79</v>
      </c>
      <c r="D68" s="17"/>
      <c r="E68" s="491" t="s">
        <v>255</v>
      </c>
      <c r="F68" s="491" t="s">
        <v>256</v>
      </c>
      <c r="G68" s="491" t="s">
        <v>643</v>
      </c>
      <c r="H68" s="491" t="s">
        <v>261</v>
      </c>
      <c r="I68" s="504" t="s">
        <v>265</v>
      </c>
      <c r="J68" s="504" t="s">
        <v>664</v>
      </c>
      <c r="K68" s="491" t="s">
        <v>23</v>
      </c>
      <c r="L68" s="18"/>
    </row>
    <row r="69" spans="2:12">
      <c r="B69" s="491" t="s">
        <v>81</v>
      </c>
      <c r="C69" s="8"/>
      <c r="D69" s="21" t="s">
        <v>81</v>
      </c>
      <c r="E69" s="1014">
        <v>10500</v>
      </c>
      <c r="F69" s="1311">
        <v>74</v>
      </c>
      <c r="G69" s="1311">
        <f>850-59</f>
        <v>791</v>
      </c>
      <c r="H69" s="1311">
        <v>0</v>
      </c>
      <c r="I69" s="1329">
        <v>550</v>
      </c>
      <c r="J69" s="1329"/>
      <c r="K69" s="1311">
        <f>+J69+I69+H69+G69+F69+E69</f>
        <v>11915</v>
      </c>
      <c r="L69" s="87"/>
    </row>
    <row r="70" spans="2:12">
      <c r="B70" s="496" t="s">
        <v>2014</v>
      </c>
      <c r="D70" s="17" t="s">
        <v>2014</v>
      </c>
      <c r="E70" s="1012">
        <v>3260</v>
      </c>
      <c r="F70" s="1012">
        <v>0</v>
      </c>
      <c r="G70" s="1012">
        <v>205</v>
      </c>
      <c r="H70" s="1012">
        <f>19+0.128+9.762+3.112+25-4</f>
        <v>53.002000000000002</v>
      </c>
      <c r="I70" s="87">
        <v>370</v>
      </c>
      <c r="J70" s="87">
        <v>0</v>
      </c>
      <c r="K70" s="1012">
        <f t="shared" ref="K70:K76" si="4">+J70+I70+H70+G70+F70+E70</f>
        <v>3888.002</v>
      </c>
      <c r="L70" s="87"/>
    </row>
    <row r="71" spans="2:12">
      <c r="B71" s="496" t="s">
        <v>2015</v>
      </c>
      <c r="D71" s="17" t="s">
        <v>2016</v>
      </c>
      <c r="E71" s="1012">
        <v>1602</v>
      </c>
      <c r="F71" s="1012"/>
      <c r="G71" s="1012">
        <v>40</v>
      </c>
      <c r="H71" s="1012"/>
      <c r="I71" s="87">
        <v>0</v>
      </c>
      <c r="J71" s="87">
        <v>0</v>
      </c>
      <c r="K71" s="1012">
        <f t="shared" si="4"/>
        <v>1642</v>
      </c>
      <c r="L71" s="87"/>
    </row>
    <row r="72" spans="2:12">
      <c r="B72" s="496" t="s">
        <v>2017</v>
      </c>
      <c r="D72" s="17" t="s">
        <v>2018</v>
      </c>
      <c r="E72" s="1012">
        <v>1050</v>
      </c>
      <c r="F72" s="1012">
        <v>0</v>
      </c>
      <c r="G72" s="1012">
        <v>10</v>
      </c>
      <c r="H72" s="1012"/>
      <c r="I72" s="87">
        <v>0</v>
      </c>
      <c r="J72" s="87"/>
      <c r="K72" s="1012">
        <f t="shared" si="4"/>
        <v>1060</v>
      </c>
      <c r="L72" s="87"/>
    </row>
    <row r="73" spans="2:12">
      <c r="B73" s="496" t="s">
        <v>2019</v>
      </c>
      <c r="D73" s="17" t="s">
        <v>2020</v>
      </c>
      <c r="E73" s="1012">
        <v>0</v>
      </c>
      <c r="F73" s="1012"/>
      <c r="G73" s="1012">
        <v>110</v>
      </c>
      <c r="H73" s="1012"/>
      <c r="I73" s="87"/>
      <c r="J73" s="87"/>
      <c r="K73" s="1012">
        <f t="shared" si="4"/>
        <v>110</v>
      </c>
      <c r="L73" s="87"/>
    </row>
    <row r="74" spans="2:12">
      <c r="B74" s="496" t="s">
        <v>2023</v>
      </c>
      <c r="D74" s="17" t="s">
        <v>2024</v>
      </c>
      <c r="E74" s="1012">
        <v>0</v>
      </c>
      <c r="F74" s="1012"/>
      <c r="G74" s="1012">
        <v>0</v>
      </c>
      <c r="H74" s="1012">
        <v>5.6280000000000001</v>
      </c>
      <c r="I74" s="87"/>
      <c r="J74" s="87"/>
      <c r="K74" s="1012">
        <f t="shared" si="4"/>
        <v>5.6280000000000001</v>
      </c>
      <c r="L74" s="87"/>
    </row>
    <row r="75" spans="2:12">
      <c r="B75" s="496" t="s">
        <v>2025</v>
      </c>
      <c r="D75" s="17" t="s">
        <v>99</v>
      </c>
      <c r="E75" s="1012">
        <v>80</v>
      </c>
      <c r="F75" s="1012"/>
      <c r="G75" s="1012">
        <v>25</v>
      </c>
      <c r="H75" s="1012">
        <v>0</v>
      </c>
      <c r="I75" s="87"/>
      <c r="J75" s="87"/>
      <c r="K75" s="1012">
        <f t="shared" si="4"/>
        <v>105</v>
      </c>
      <c r="L75" s="87"/>
    </row>
    <row r="76" spans="2:12">
      <c r="B76" s="496" t="s">
        <v>185</v>
      </c>
      <c r="D76" s="17" t="s">
        <v>185</v>
      </c>
      <c r="E76" s="1012">
        <f>17574-16492</f>
        <v>1082</v>
      </c>
      <c r="F76" s="1012"/>
      <c r="G76" s="1012">
        <v>32</v>
      </c>
      <c r="H76" s="1012">
        <f>131+79+117+28.812</f>
        <v>355.81200000000001</v>
      </c>
      <c r="I76" s="87">
        <f>1097-920</f>
        <v>177</v>
      </c>
      <c r="J76" s="87">
        <f>339</f>
        <v>339</v>
      </c>
      <c r="K76" s="1012">
        <f t="shared" si="4"/>
        <v>1985.8119999999999</v>
      </c>
      <c r="L76" s="87"/>
    </row>
    <row r="77" spans="2:12">
      <c r="B77" s="95" t="s">
        <v>103</v>
      </c>
      <c r="D77" s="102"/>
      <c r="E77" s="1016">
        <f t="shared" ref="E77:K77" si="5">SUM(E69:E76)</f>
        <v>17574</v>
      </c>
      <c r="F77" s="1016">
        <f t="shared" si="5"/>
        <v>74</v>
      </c>
      <c r="G77" s="1016">
        <f t="shared" si="5"/>
        <v>1213</v>
      </c>
      <c r="H77" s="1016">
        <f t="shared" si="5"/>
        <v>414.44200000000001</v>
      </c>
      <c r="I77" s="1011">
        <f t="shared" si="5"/>
        <v>1097</v>
      </c>
      <c r="J77" s="1011">
        <f t="shared" si="5"/>
        <v>339</v>
      </c>
      <c r="K77" s="1016">
        <f t="shared" si="5"/>
        <v>20711.442000000003</v>
      </c>
      <c r="L77" s="87"/>
    </row>
    <row r="78" spans="2:12">
      <c r="B78" s="1309"/>
      <c r="C78" s="852"/>
      <c r="D78" s="488"/>
      <c r="E78" s="1310"/>
      <c r="F78" s="1310"/>
      <c r="G78" s="1310"/>
      <c r="H78" s="1310"/>
      <c r="I78" s="1325"/>
      <c r="J78" s="1325"/>
      <c r="K78" s="1310"/>
      <c r="L78" s="86"/>
    </row>
    <row r="81" spans="2:13">
      <c r="B81" s="308"/>
      <c r="C81" s="127"/>
      <c r="D81" s="102"/>
      <c r="E81" s="233" t="s">
        <v>2031</v>
      </c>
      <c r="F81" s="127"/>
      <c r="G81" s="127"/>
      <c r="H81" s="127"/>
      <c r="I81" s="127"/>
      <c r="J81" s="127"/>
      <c r="K81" s="1328"/>
    </row>
    <row r="82" spans="2:13">
      <c r="B82" s="988" t="s">
        <v>79</v>
      </c>
      <c r="D82" s="17"/>
      <c r="E82" s="491" t="s">
        <v>255</v>
      </c>
      <c r="F82" s="491" t="s">
        <v>256</v>
      </c>
      <c r="G82" s="491" t="s">
        <v>643</v>
      </c>
      <c r="H82" s="491" t="s">
        <v>261</v>
      </c>
      <c r="I82" s="504" t="s">
        <v>265</v>
      </c>
      <c r="J82" s="504" t="s">
        <v>664</v>
      </c>
      <c r="K82" s="491" t="s">
        <v>23</v>
      </c>
      <c r="L82" s="18"/>
    </row>
    <row r="83" spans="2:13">
      <c r="B83" s="491" t="s">
        <v>81</v>
      </c>
      <c r="C83" s="8"/>
      <c r="D83" s="21" t="s">
        <v>81</v>
      </c>
      <c r="E83" s="1014">
        <f>10500+6000-9</f>
        <v>16491</v>
      </c>
      <c r="F83" s="1311">
        <v>74</v>
      </c>
      <c r="G83" s="1311">
        <f>850-59+150-44</f>
        <v>897</v>
      </c>
      <c r="H83" s="1311">
        <f>565-486</f>
        <v>79</v>
      </c>
      <c r="I83" s="1329">
        <f>550+150</f>
        <v>700</v>
      </c>
      <c r="J83" s="1329"/>
      <c r="K83" s="1311">
        <f>+J83+I83+H83+G83+F83+E83</f>
        <v>18241</v>
      </c>
      <c r="L83" s="87"/>
    </row>
    <row r="84" spans="2:13">
      <c r="B84" s="496" t="s">
        <v>2014</v>
      </c>
      <c r="D84" s="17" t="s">
        <v>2014</v>
      </c>
      <c r="E84" s="1012">
        <v>3660</v>
      </c>
      <c r="F84" s="1012">
        <v>0</v>
      </c>
      <c r="G84" s="1012">
        <f>205+80+45</f>
        <v>330</v>
      </c>
      <c r="H84" s="1012">
        <f>20</f>
        <v>20</v>
      </c>
      <c r="I84" s="87">
        <f>370+90</f>
        <v>460</v>
      </c>
      <c r="J84" s="87">
        <v>0</v>
      </c>
      <c r="K84" s="1012">
        <f t="shared" ref="K84:K90" si="6">+J84+I84+H84+G84+F84+E84</f>
        <v>4470</v>
      </c>
      <c r="L84" s="87"/>
    </row>
    <row r="85" spans="2:13">
      <c r="B85" s="496" t="s">
        <v>2015</v>
      </c>
      <c r="D85" s="17" t="s">
        <v>2016</v>
      </c>
      <c r="E85" s="1012">
        <v>1602</v>
      </c>
      <c r="F85" s="1012"/>
      <c r="G85" s="1012">
        <v>65</v>
      </c>
      <c r="H85" s="1012">
        <v>40</v>
      </c>
      <c r="I85" s="87">
        <v>30</v>
      </c>
      <c r="J85" s="87">
        <v>0</v>
      </c>
      <c r="K85" s="1012">
        <f t="shared" si="6"/>
        <v>1737</v>
      </c>
      <c r="L85" s="87"/>
    </row>
    <row r="86" spans="2:13">
      <c r="B86" s="496" t="s">
        <v>2017</v>
      </c>
      <c r="D86" s="17" t="s">
        <v>2018</v>
      </c>
      <c r="E86" s="1012">
        <v>1050</v>
      </c>
      <c r="F86" s="1012">
        <v>0</v>
      </c>
      <c r="G86" s="1012">
        <f>10</f>
        <v>10</v>
      </c>
      <c r="H86" s="1012"/>
      <c r="I86" s="87">
        <v>0</v>
      </c>
      <c r="J86" s="87"/>
      <c r="K86" s="1012">
        <f t="shared" si="6"/>
        <v>1060</v>
      </c>
      <c r="L86" s="87"/>
    </row>
    <row r="87" spans="2:13">
      <c r="B87" s="496" t="s">
        <v>2019</v>
      </c>
      <c r="D87" s="17" t="s">
        <v>2020</v>
      </c>
      <c r="E87" s="1012">
        <v>0</v>
      </c>
      <c r="F87" s="1012"/>
      <c r="G87" s="1012">
        <f>110+150</f>
        <v>260</v>
      </c>
      <c r="H87" s="1012"/>
      <c r="I87" s="87"/>
      <c r="J87" s="87"/>
      <c r="K87" s="1012">
        <f t="shared" si="6"/>
        <v>260</v>
      </c>
      <c r="L87" s="87"/>
    </row>
    <row r="88" spans="2:13">
      <c r="B88" s="496" t="s">
        <v>2023</v>
      </c>
      <c r="D88" s="17" t="s">
        <v>2024</v>
      </c>
      <c r="E88" s="1012">
        <v>0</v>
      </c>
      <c r="F88" s="1012"/>
      <c r="G88" s="1012">
        <v>0</v>
      </c>
      <c r="H88" s="1012">
        <v>5.6280000000000001</v>
      </c>
      <c r="I88" s="87"/>
      <c r="J88" s="87"/>
      <c r="K88" s="1012">
        <f t="shared" si="6"/>
        <v>5.6280000000000001</v>
      </c>
      <c r="L88" s="87"/>
    </row>
    <row r="89" spans="2:13">
      <c r="B89" s="496" t="s">
        <v>2025</v>
      </c>
      <c r="D89" s="17" t="s">
        <v>99</v>
      </c>
      <c r="E89" s="1012">
        <v>101</v>
      </c>
      <c r="F89" s="1012"/>
      <c r="G89" s="1012">
        <v>25</v>
      </c>
      <c r="H89" s="1012">
        <v>0</v>
      </c>
      <c r="I89" s="87"/>
      <c r="J89" s="87"/>
      <c r="K89" s="1012">
        <f t="shared" si="6"/>
        <v>126</v>
      </c>
      <c r="L89" s="87"/>
    </row>
    <row r="90" spans="2:13">
      <c r="B90" s="496" t="s">
        <v>185</v>
      </c>
      <c r="D90" s="17" t="s">
        <v>185</v>
      </c>
      <c r="E90" s="1012">
        <f>17574-16492</f>
        <v>1082</v>
      </c>
      <c r="F90" s="1012"/>
      <c r="G90" s="1012">
        <v>32</v>
      </c>
      <c r="H90" s="1012">
        <f>131+79+117+28.812+65</f>
        <v>420.81200000000001</v>
      </c>
      <c r="I90" s="87">
        <f>1412-1190</f>
        <v>222</v>
      </c>
      <c r="J90" s="87">
        <f>339</f>
        <v>339</v>
      </c>
      <c r="K90" s="1012">
        <f t="shared" si="6"/>
        <v>2095.8119999999999</v>
      </c>
      <c r="L90" s="87"/>
    </row>
    <row r="91" spans="2:13">
      <c r="B91" s="95" t="s">
        <v>103</v>
      </c>
      <c r="D91" s="102"/>
      <c r="E91" s="1016">
        <f t="shared" ref="E91:K91" si="7">SUM(E83:E90)</f>
        <v>23986</v>
      </c>
      <c r="F91" s="1016">
        <f t="shared" si="7"/>
        <v>74</v>
      </c>
      <c r="G91" s="1016">
        <f t="shared" si="7"/>
        <v>1619</v>
      </c>
      <c r="H91" s="1016">
        <f t="shared" si="7"/>
        <v>565.44000000000005</v>
      </c>
      <c r="I91" s="1011">
        <f t="shared" si="7"/>
        <v>1412</v>
      </c>
      <c r="J91" s="1011">
        <f t="shared" si="7"/>
        <v>339</v>
      </c>
      <c r="K91" s="1016">
        <f t="shared" si="7"/>
        <v>27995.440000000002</v>
      </c>
      <c r="L91" s="87"/>
    </row>
    <row r="92" spans="2:13">
      <c r="B92" s="1309"/>
      <c r="C92" s="852"/>
      <c r="D92" s="488"/>
      <c r="E92" s="1310"/>
      <c r="F92" s="1310"/>
      <c r="G92" s="1310"/>
      <c r="H92" s="1310"/>
      <c r="I92" s="1325"/>
      <c r="J92" s="1325"/>
      <c r="K92" s="1310"/>
      <c r="L92" s="86"/>
    </row>
    <row r="93" spans="2:13">
      <c r="G93" s="1012"/>
      <c r="K93" s="520"/>
      <c r="L93" s="520"/>
    </row>
    <row r="96" spans="2:13">
      <c r="B96" s="308"/>
      <c r="C96" s="127"/>
      <c r="D96" s="102"/>
      <c r="E96" s="233" t="s">
        <v>2032</v>
      </c>
      <c r="F96" s="127"/>
      <c r="G96" s="127"/>
      <c r="H96" s="127"/>
      <c r="I96" s="127"/>
      <c r="J96" s="127"/>
      <c r="K96" s="1328"/>
      <c r="L96" s="354"/>
      <c r="M96" s="354"/>
    </row>
    <row r="97" spans="2:14">
      <c r="B97" s="988" t="s">
        <v>79</v>
      </c>
      <c r="D97" s="17"/>
      <c r="E97" s="491" t="s">
        <v>2033</v>
      </c>
      <c r="F97" s="491" t="s">
        <v>2034</v>
      </c>
      <c r="G97" s="491" t="s">
        <v>2035</v>
      </c>
      <c r="H97" s="491" t="s">
        <v>2036</v>
      </c>
      <c r="I97" s="504" t="s">
        <v>2037</v>
      </c>
      <c r="J97" s="504" t="s">
        <v>2038</v>
      </c>
      <c r="K97" s="491" t="s">
        <v>23</v>
      </c>
      <c r="L97" s="24"/>
      <c r="M97" s="1322"/>
    </row>
    <row r="98" spans="2:14">
      <c r="B98" s="491" t="s">
        <v>81</v>
      </c>
      <c r="C98" s="8"/>
      <c r="D98" s="21" t="s">
        <v>81</v>
      </c>
      <c r="E98" s="1014">
        <f>111.73+44.78+51.1+43.24+460.36+1746.96+53.9+16+22.5+21.2+16.25+72+2393</f>
        <v>5053.0200000000004</v>
      </c>
      <c r="F98" s="1311">
        <f>110.75+11.05+9.06+57.84+19.03+25.11+58.879+1+46.54+572.46+387.92+21.72+119.54+25.42+60.97+40.46+8.1+34.43+41.37+84.68+574.34+1335.21+35.25+28.78+9.1+176.4+13.9+105.1+281.47+124.65+843</f>
        <v>5263.5290000000005</v>
      </c>
      <c r="G98" s="1311">
        <f>16.43+177.57+13.19+53.85+18.99+147.76+289.09+129.71+242.99+93.22+48.5+10.27+55.95+43.07+287.68+51.78+27.14+6.76+3.77+19.14+22.93+14.33+476.33+81.26+49.2+37.35+55.8+32.54+118.8+34.2+13.6+73.65+700</f>
        <v>3446.8500000000004</v>
      </c>
      <c r="H98" s="1311">
        <f>7263-3132</f>
        <v>4131</v>
      </c>
      <c r="I98" s="1329">
        <f>72.49+158.18+187.35+371.9+299.49+142.69+314.89+177.65+25.03+45.8+6.21+16.63+38.75+66.52+445.59+2281.99+93.6+43+39.59+16+80+124.4+60+53</f>
        <v>5160.75</v>
      </c>
      <c r="J98" s="1329">
        <f>154.99+13.31+80.06+5.36+343.05+249.85+692.2+16.91+23.3+60.09+41.77+37.74+453.56+584.25+3.9+54.44+126.23+20.58+54.2+49.6+24.3+138.15+0+2954</f>
        <v>6181.84</v>
      </c>
      <c r="K98" s="1311">
        <f>+J98+I98+H98+G98+F98+E98</f>
        <v>29236.989000000005</v>
      </c>
      <c r="L98" s="1323"/>
      <c r="M98" s="1324"/>
    </row>
    <row r="99" spans="2:14">
      <c r="B99" s="496" t="s">
        <v>2014</v>
      </c>
      <c r="D99" s="17" t="s">
        <v>2014</v>
      </c>
      <c r="E99" s="1012">
        <f>14.53+132.29+168.61+26.33+65.49+25.3+18.14+40.08+7.22+25.48+16.32+286.33+56.73</f>
        <v>882.85000000000014</v>
      </c>
      <c r="F99" s="1012">
        <f>71.23+188.66+64.79+155.64+22.11+39.44+108.79+117.82+57.34+36.93+19.61+9.77+41.29+37.5+57.05+7.5+237.95+7.11+53.25+46.1+44.55</f>
        <v>1424.4299999999998</v>
      </c>
      <c r="G99" s="1012">
        <f>29.93+40.37+67.61+98.3+20.1+151.59+27.89+20.61+9.33+36.49+3.25+14.56+78.15+44.55+10.1+27.43+54.11+17.6+13.6+3.2</f>
        <v>768.77</v>
      </c>
      <c r="H99" s="1012">
        <f>13.22+83.16+43.73+385.44+88.84+22.52+17.05+57.01+469.15+32.4+49.3+46.8+49.85+68.32+59.32+328.83+7+183.15</f>
        <v>2005.0899999999997</v>
      </c>
      <c r="I99" s="87">
        <f>40.46+35.54+71.94+66.09+173.32+231.32+65.1+131.09+64.85+106.32+42.4+75.3+34.96+46.86+51.1+8.1+46.1+34.4+115.53+36+202.94+192.81</f>
        <v>1872.53</v>
      </c>
      <c r="J99" s="87">
        <f>44.37+46.1+334.6+69.89+61.14+68.58+10.85+16.1+154.73+37.23+31.59+273.07+42+30.35+16.15+76.75+49.2+49.2+40.95+19.06</f>
        <v>1471.9100000000003</v>
      </c>
      <c r="K99" s="1012">
        <f t="shared" ref="K99:K105" si="8">+J99+I99+H99+G99+F99+E99</f>
        <v>8425.5800000000017</v>
      </c>
      <c r="L99" s="1013"/>
      <c r="M99" s="1322"/>
    </row>
    <row r="100" spans="2:14">
      <c r="B100" s="496" t="s">
        <v>2015</v>
      </c>
      <c r="D100" s="17" t="s">
        <v>2016</v>
      </c>
      <c r="E100" s="1012">
        <f>107.7+151.82</f>
        <v>259.52</v>
      </c>
      <c r="F100" s="1012">
        <f>66.64+40.16+38.8+142.12+31.47+280.71+41.28+5.6+33.17</f>
        <v>679.95</v>
      </c>
      <c r="G100" s="1012">
        <f>45.15+42.668+42.07+152.57+99.11+79.66+42.18</f>
        <v>503.40799999999996</v>
      </c>
      <c r="H100" s="1012">
        <f>23.26+20.5+40.01+40+12.72+117.37+35.8+55.34+119.8</f>
        <v>464.8</v>
      </c>
      <c r="I100" s="87">
        <f>86.59+37.8+82.55+87.99+21.34+0</f>
        <v>316.27</v>
      </c>
      <c r="J100" s="87">
        <f>38.18+32.62+64.6+18.5+14.48+44.06+41.2+19.37+167.08+84.8+67.14</f>
        <v>592.03</v>
      </c>
      <c r="K100" s="1012">
        <f t="shared" si="8"/>
        <v>2815.9779999999996</v>
      </c>
      <c r="L100" s="1013"/>
      <c r="M100" s="1322"/>
    </row>
    <row r="101" spans="2:14">
      <c r="B101" s="496" t="s">
        <v>2017</v>
      </c>
      <c r="D101" s="17" t="s">
        <v>2018</v>
      </c>
      <c r="E101" s="1012">
        <f>26.35+25.65</f>
        <v>52</v>
      </c>
      <c r="F101" s="1012">
        <f>32.4+70.31+24.86+337.17+72.9</f>
        <v>537.64</v>
      </c>
      <c r="G101" s="1012">
        <f>40.59+19.73+338.85+0</f>
        <v>399.17</v>
      </c>
      <c r="H101" s="1012">
        <f>59.57+81+305.9</f>
        <v>446.46999999999997</v>
      </c>
      <c r="I101" s="87">
        <f>73.48+115.53+110.1</f>
        <v>299.11</v>
      </c>
      <c r="J101" s="87">
        <f>34.84+44.76+150.65+0</f>
        <v>230.25</v>
      </c>
      <c r="K101" s="1012">
        <f t="shared" si="8"/>
        <v>1964.6399999999999</v>
      </c>
      <c r="L101" s="1013"/>
      <c r="M101" s="1322"/>
    </row>
    <row r="102" spans="2:14">
      <c r="B102" s="496" t="s">
        <v>2019</v>
      </c>
      <c r="D102" s="17" t="s">
        <v>2020</v>
      </c>
      <c r="E102" s="1012"/>
      <c r="F102" s="1012">
        <f>11.2+5.5</f>
        <v>16.7</v>
      </c>
      <c r="G102" s="1012">
        <v>15.6</v>
      </c>
      <c r="H102" s="1012">
        <f>9.71+40.9</f>
        <v>50.61</v>
      </c>
      <c r="I102" s="87">
        <f>23.04+53.1+0</f>
        <v>76.14</v>
      </c>
      <c r="J102" s="87">
        <f>20.4+46.4+5.7+0</f>
        <v>72.5</v>
      </c>
      <c r="K102" s="1012">
        <f t="shared" si="8"/>
        <v>231.54999999999998</v>
      </c>
      <c r="L102" s="1013"/>
      <c r="M102" s="1322"/>
    </row>
    <row r="103" spans="2:14">
      <c r="B103" s="496" t="s">
        <v>2023</v>
      </c>
      <c r="D103" s="17" t="s">
        <v>2024</v>
      </c>
      <c r="E103" s="1012">
        <f>7.1+31.2+3.69</f>
        <v>41.989999999999995</v>
      </c>
      <c r="F103" s="1012">
        <f>9.6+20.8+22.92</f>
        <v>53.32</v>
      </c>
      <c r="G103" s="1012">
        <f>18.25+12.8+0</f>
        <v>31.05</v>
      </c>
      <c r="H103" s="1012">
        <f>60.25+0</f>
        <v>60.25</v>
      </c>
      <c r="I103" s="87">
        <v>22.7</v>
      </c>
      <c r="J103" s="87"/>
      <c r="K103" s="1012">
        <f t="shared" si="8"/>
        <v>209.31</v>
      </c>
      <c r="L103" s="1013"/>
      <c r="M103" s="1322"/>
    </row>
    <row r="104" spans="2:14">
      <c r="B104" s="496" t="s">
        <v>2025</v>
      </c>
      <c r="D104" s="17" t="s">
        <v>99</v>
      </c>
      <c r="E104" s="1012">
        <v>28.76</v>
      </c>
      <c r="F104" s="1012"/>
      <c r="G104" s="1012">
        <v>14.83</v>
      </c>
      <c r="H104" s="1012"/>
      <c r="I104" s="87">
        <v>21.09</v>
      </c>
      <c r="J104" s="87">
        <v>62.1</v>
      </c>
      <c r="K104" s="1012">
        <f t="shared" si="8"/>
        <v>126.78</v>
      </c>
      <c r="L104" s="1013"/>
      <c r="M104" s="1322"/>
    </row>
    <row r="105" spans="2:14">
      <c r="B105" s="496" t="s">
        <v>185</v>
      </c>
      <c r="D105" s="17" t="s">
        <v>185</v>
      </c>
      <c r="E105" s="1012">
        <f>19.17+170.48+52.58+124.36</f>
        <v>366.59</v>
      </c>
      <c r="F105" s="1012">
        <f>13.38+45.8</f>
        <v>59.18</v>
      </c>
      <c r="G105" s="1012">
        <f>117.22+11.25+109.35+575</f>
        <v>812.81999999999994</v>
      </c>
      <c r="H105" s="1012">
        <f>86.57+18.7</f>
        <v>105.27</v>
      </c>
      <c r="I105" s="87">
        <f>7.71+104.33+15.4+68.67</f>
        <v>196.11</v>
      </c>
      <c r="J105" s="87">
        <f>45.92+54.8+53.41+49.7+0</f>
        <v>203.82999999999998</v>
      </c>
      <c r="K105" s="1012">
        <f t="shared" si="8"/>
        <v>1743.8</v>
      </c>
      <c r="L105" s="1013"/>
      <c r="M105" s="1322"/>
    </row>
    <row r="106" spans="2:14">
      <c r="B106" s="95" t="s">
        <v>103</v>
      </c>
      <c r="D106" s="102"/>
      <c r="E106" s="1016">
        <f t="shared" ref="E106:K106" si="9">SUM(E98:E105)</f>
        <v>6684.7300000000014</v>
      </c>
      <c r="F106" s="1016">
        <f t="shared" si="9"/>
        <v>8034.7490000000007</v>
      </c>
      <c r="G106" s="1016">
        <f t="shared" si="9"/>
        <v>5992.4980000000014</v>
      </c>
      <c r="H106" s="1016">
        <f t="shared" si="9"/>
        <v>7263.4900000000007</v>
      </c>
      <c r="I106" s="1011">
        <f t="shared" si="9"/>
        <v>7964.6999999999989</v>
      </c>
      <c r="J106" s="1011">
        <f t="shared" si="9"/>
        <v>8814.4600000000009</v>
      </c>
      <c r="K106" s="1016">
        <f t="shared" si="9"/>
        <v>44754.627000000008</v>
      </c>
      <c r="L106" s="1013"/>
      <c r="M106" s="1322"/>
      <c r="N106">
        <v>44770</v>
      </c>
    </row>
    <row r="107" spans="2:14">
      <c r="B107" s="1309"/>
      <c r="C107" s="852"/>
      <c r="D107" s="488"/>
      <c r="E107" s="1310"/>
      <c r="F107" s="1310"/>
      <c r="G107" s="1310"/>
      <c r="H107" s="1310"/>
      <c r="I107" s="1325"/>
      <c r="J107" s="1325"/>
      <c r="K107" s="1310"/>
      <c r="L107" s="1326"/>
      <c r="M107" s="1327"/>
    </row>
    <row r="110" spans="2:14">
      <c r="B110" s="308"/>
      <c r="C110" s="127"/>
      <c r="D110" s="102"/>
      <c r="E110" s="233" t="s">
        <v>2039</v>
      </c>
      <c r="F110" s="127"/>
      <c r="G110" s="127"/>
      <c r="H110" s="127"/>
      <c r="I110" s="127"/>
      <c r="J110" s="127"/>
      <c r="K110" s="1328"/>
    </row>
    <row r="111" spans="2:14">
      <c r="B111" s="988" t="s">
        <v>79</v>
      </c>
      <c r="D111" s="17"/>
      <c r="E111" s="491" t="s">
        <v>2033</v>
      </c>
      <c r="F111" s="491" t="s">
        <v>2034</v>
      </c>
      <c r="G111" s="491" t="s">
        <v>2035</v>
      </c>
      <c r="H111" s="491" t="s">
        <v>2036</v>
      </c>
      <c r="I111" s="504" t="s">
        <v>2037</v>
      </c>
      <c r="J111" s="504" t="s">
        <v>2038</v>
      </c>
      <c r="K111" s="491" t="s">
        <v>23</v>
      </c>
      <c r="L111" s="18"/>
    </row>
    <row r="112" spans="2:14">
      <c r="B112" s="491" t="s">
        <v>81</v>
      </c>
      <c r="C112" s="8"/>
      <c r="D112" s="21" t="s">
        <v>81</v>
      </c>
      <c r="E112" s="1014">
        <v>5068.7</v>
      </c>
      <c r="F112" s="1311">
        <v>3540.7240000000002</v>
      </c>
      <c r="G112" s="1311">
        <f>2723.425+10.4</f>
        <v>2733.8250000000003</v>
      </c>
      <c r="H112" s="1311">
        <v>7682.6</v>
      </c>
      <c r="I112" s="1329">
        <v>5878.6049999999996</v>
      </c>
      <c r="J112" s="1329">
        <v>2685.6889999999999</v>
      </c>
      <c r="K112" s="1311">
        <f>+J112+I112+H112+G112+F112+E112</f>
        <v>27590.143</v>
      </c>
      <c r="L112" s="87"/>
    </row>
    <row r="113" spans="2:12">
      <c r="B113" s="496" t="s">
        <v>2014</v>
      </c>
      <c r="D113" s="17" t="s">
        <v>2014</v>
      </c>
      <c r="E113" s="1012">
        <v>1225.4480000000001</v>
      </c>
      <c r="F113" s="1311">
        <v>1198.413</v>
      </c>
      <c r="G113" s="1311">
        <v>1477.259</v>
      </c>
      <c r="H113" s="1311">
        <v>1673.4369999999999</v>
      </c>
      <c r="I113" s="1329">
        <v>2280.54</v>
      </c>
      <c r="J113" s="1329">
        <v>1564.578</v>
      </c>
      <c r="K113" s="1012">
        <f t="shared" ref="K113:K119" si="10">+J113+I113+H113+G113+F113+E113</f>
        <v>9419.6750000000011</v>
      </c>
      <c r="L113" s="87"/>
    </row>
    <row r="114" spans="2:12">
      <c r="B114" s="496" t="s">
        <v>2015</v>
      </c>
      <c r="D114" s="17" t="s">
        <v>2016</v>
      </c>
      <c r="E114" s="1012">
        <v>309.83</v>
      </c>
      <c r="F114" s="1311">
        <v>598.88</v>
      </c>
      <c r="G114" s="1311">
        <v>666.27</v>
      </c>
      <c r="H114" s="1311">
        <v>397.6</v>
      </c>
      <c r="I114" s="1329">
        <v>461.8</v>
      </c>
      <c r="J114" s="1329">
        <v>607</v>
      </c>
      <c r="K114" s="1012">
        <f t="shared" si="10"/>
        <v>3041.38</v>
      </c>
      <c r="L114" s="87"/>
    </row>
    <row r="115" spans="2:12">
      <c r="B115" s="496" t="s">
        <v>2017</v>
      </c>
      <c r="D115" s="17" t="s">
        <v>2018</v>
      </c>
      <c r="E115" s="1012">
        <v>117.16500000000001</v>
      </c>
      <c r="F115" s="1311">
        <v>418.73200000000003</v>
      </c>
      <c r="G115" s="1311">
        <v>616.15800000000002</v>
      </c>
      <c r="H115" s="1311">
        <v>402.75</v>
      </c>
      <c r="I115" s="1329">
        <v>287.875</v>
      </c>
      <c r="J115" s="1329">
        <v>291.04500000000002</v>
      </c>
      <c r="K115" s="1012">
        <f t="shared" si="10"/>
        <v>2133.7249999999999</v>
      </c>
      <c r="L115" s="87"/>
    </row>
    <row r="116" spans="2:12">
      <c r="B116" s="496" t="s">
        <v>2019</v>
      </c>
      <c r="D116" s="17" t="s">
        <v>2020</v>
      </c>
      <c r="E116" s="1012">
        <v>69.23</v>
      </c>
      <c r="F116" s="1311">
        <v>93.74</v>
      </c>
      <c r="G116" s="1311">
        <v>32.859000000000002</v>
      </c>
      <c r="H116" s="1311">
        <v>11.2</v>
      </c>
      <c r="I116" s="1329">
        <v>181.14</v>
      </c>
      <c r="J116" s="1329">
        <v>43.241999999999997</v>
      </c>
      <c r="K116" s="1012">
        <f t="shared" si="10"/>
        <v>431.411</v>
      </c>
      <c r="L116" s="87"/>
    </row>
    <row r="117" spans="2:12">
      <c r="B117" s="496" t="s">
        <v>2023</v>
      </c>
      <c r="D117" s="17" t="s">
        <v>2024</v>
      </c>
      <c r="E117" s="1012">
        <v>30.61</v>
      </c>
      <c r="F117" s="1311">
        <v>45.002000000000002</v>
      </c>
      <c r="G117" s="1311">
        <v>37.146000000000001</v>
      </c>
      <c r="H117" s="1311">
        <v>19.43</v>
      </c>
      <c r="I117" s="1329">
        <v>19.64</v>
      </c>
      <c r="J117" s="1329">
        <v>31.45</v>
      </c>
      <c r="K117" s="1012">
        <f t="shared" si="10"/>
        <v>183.27800000000002</v>
      </c>
      <c r="L117" s="87"/>
    </row>
    <row r="118" spans="2:12">
      <c r="B118" s="496" t="s">
        <v>2025</v>
      </c>
      <c r="D118" s="17" t="s">
        <v>99</v>
      </c>
      <c r="E118" s="1012">
        <v>85.59</v>
      </c>
      <c r="F118" s="1311">
        <v>4.24</v>
      </c>
      <c r="G118" s="1311">
        <v>58.613</v>
      </c>
      <c r="H118" s="1311">
        <v>60.905000000000001</v>
      </c>
      <c r="I118" s="1329">
        <f>0.55+4.564+21</f>
        <v>26.114000000000001</v>
      </c>
      <c r="J118" s="1329">
        <v>60.67</v>
      </c>
      <c r="K118" s="1012">
        <f t="shared" si="10"/>
        <v>296.13200000000006</v>
      </c>
      <c r="L118" s="87"/>
    </row>
    <row r="119" spans="2:12">
      <c r="B119" s="496" t="s">
        <v>185</v>
      </c>
      <c r="D119" s="17" t="s">
        <v>185</v>
      </c>
      <c r="E119" s="1012">
        <v>459.50200000000001</v>
      </c>
      <c r="F119" s="1311">
        <v>97.941999999999993</v>
      </c>
      <c r="G119" s="1311">
        <v>2080.634</v>
      </c>
      <c r="H119" s="1311">
        <v>65.893000000000001</v>
      </c>
      <c r="I119" s="1329">
        <v>435.64100000000002</v>
      </c>
      <c r="J119" s="1329">
        <v>234.76300000000001</v>
      </c>
      <c r="K119" s="1012">
        <f t="shared" si="10"/>
        <v>3374.375</v>
      </c>
      <c r="L119" s="87"/>
    </row>
    <row r="120" spans="2:12">
      <c r="B120" s="95" t="s">
        <v>103</v>
      </c>
      <c r="D120" s="102"/>
      <c r="E120" s="1016">
        <f t="shared" ref="E120:K120" si="11">SUM(E112:E119)</f>
        <v>7366.0749999999998</v>
      </c>
      <c r="F120" s="1016">
        <f t="shared" si="11"/>
        <v>5997.6730000000007</v>
      </c>
      <c r="G120" s="1016">
        <f t="shared" si="11"/>
        <v>7702.7640000000019</v>
      </c>
      <c r="H120" s="1016">
        <f t="shared" si="11"/>
        <v>10313.815000000002</v>
      </c>
      <c r="I120" s="1011">
        <f t="shared" si="11"/>
        <v>9571.3549999999977</v>
      </c>
      <c r="J120" s="1011">
        <f t="shared" si="11"/>
        <v>5518.4369999999999</v>
      </c>
      <c r="K120" s="1016">
        <f t="shared" si="11"/>
        <v>46470.118999999992</v>
      </c>
      <c r="L120" s="87"/>
    </row>
    <row r="124" spans="2:12">
      <c r="B124" s="308"/>
      <c r="C124" s="127"/>
      <c r="D124" s="102"/>
      <c r="E124" s="233" t="s">
        <v>2040</v>
      </c>
      <c r="F124" s="127"/>
      <c r="G124" s="127"/>
      <c r="H124" s="127"/>
      <c r="I124" s="127"/>
      <c r="J124" s="127"/>
      <c r="K124" s="1328"/>
    </row>
    <row r="125" spans="2:12">
      <c r="B125" s="988" t="s">
        <v>79</v>
      </c>
      <c r="D125" s="17"/>
      <c r="E125" s="491" t="s">
        <v>2033</v>
      </c>
      <c r="F125" s="491" t="s">
        <v>2034</v>
      </c>
      <c r="G125" s="491" t="s">
        <v>2035</v>
      </c>
      <c r="H125" s="491" t="s">
        <v>2036</v>
      </c>
      <c r="I125" s="504" t="s">
        <v>2037</v>
      </c>
      <c r="J125" s="504" t="s">
        <v>2038</v>
      </c>
      <c r="K125" s="491" t="s">
        <v>23</v>
      </c>
      <c r="L125" s="18"/>
    </row>
    <row r="126" spans="2:12">
      <c r="B126" s="491" t="s">
        <v>255</v>
      </c>
      <c r="C126" s="8"/>
      <c r="D126" s="21" t="s">
        <v>81</v>
      </c>
      <c r="E126" s="1014">
        <v>6227.1629999999996</v>
      </c>
      <c r="F126" s="1311">
        <v>4939.3410000000003</v>
      </c>
      <c r="G126" s="1311">
        <v>4687.2020000000002</v>
      </c>
      <c r="H126" s="1311">
        <v>9684.5910000000003</v>
      </c>
      <c r="I126" s="1329">
        <v>8362.19</v>
      </c>
      <c r="J126" s="1329">
        <v>4535.7060000000001</v>
      </c>
      <c r="K126" s="1311">
        <f>+J126+I126+H126+G126+F126+E126</f>
        <v>38436.192999999999</v>
      </c>
      <c r="L126" s="87"/>
    </row>
    <row r="127" spans="2:12">
      <c r="B127" s="496" t="s">
        <v>256</v>
      </c>
      <c r="D127" s="17" t="s">
        <v>2014</v>
      </c>
      <c r="E127" s="1012">
        <v>88.18</v>
      </c>
      <c r="F127" s="1311">
        <v>5.2720000000000002</v>
      </c>
      <c r="G127" s="1311">
        <v>55.08</v>
      </c>
      <c r="H127" s="1311">
        <v>7.1059999999999999</v>
      </c>
      <c r="I127" s="1329">
        <v>3.55</v>
      </c>
      <c r="J127" s="1329">
        <v>0</v>
      </c>
      <c r="K127" s="1012">
        <f t="shared" ref="K127:K138" si="12">+J127+I127+H127+G127+F127+E127</f>
        <v>159.18799999999999</v>
      </c>
      <c r="L127" s="87"/>
    </row>
    <row r="128" spans="2:12">
      <c r="B128" s="496" t="s">
        <v>258</v>
      </c>
      <c r="D128" s="17" t="s">
        <v>2016</v>
      </c>
      <c r="E128" s="1012">
        <f>413.99+8</f>
        <v>421.99</v>
      </c>
      <c r="F128" s="1311">
        <v>646.09199999999998</v>
      </c>
      <c r="G128" s="1311">
        <v>373.19799999999998</v>
      </c>
      <c r="H128" s="1311">
        <v>266.255</v>
      </c>
      <c r="I128" s="1329">
        <v>517.13</v>
      </c>
      <c r="J128" s="1329">
        <f>279.87+31+20</f>
        <v>330.87</v>
      </c>
      <c r="K128" s="1012">
        <f t="shared" si="12"/>
        <v>2555.5349999999999</v>
      </c>
      <c r="L128" s="87"/>
    </row>
    <row r="129" spans="1:12">
      <c r="B129" s="496" t="s">
        <v>261</v>
      </c>
      <c r="D129" s="17" t="s">
        <v>2018</v>
      </c>
      <c r="E129" s="1012">
        <v>171.642</v>
      </c>
      <c r="F129" s="1311">
        <v>110.658</v>
      </c>
      <c r="G129" s="1311">
        <v>129.04400000000001</v>
      </c>
      <c r="H129" s="1311">
        <v>106.01300000000001</v>
      </c>
      <c r="I129" s="1329">
        <v>150.33500000000001</v>
      </c>
      <c r="J129" s="1329">
        <v>120.235</v>
      </c>
      <c r="K129" s="1012">
        <f t="shared" si="12"/>
        <v>787.92699999999991</v>
      </c>
      <c r="L129" s="87"/>
    </row>
    <row r="130" spans="1:12">
      <c r="B130" s="496" t="s">
        <v>664</v>
      </c>
      <c r="D130" s="17"/>
      <c r="E130" s="1012">
        <v>0</v>
      </c>
      <c r="F130" s="1311"/>
      <c r="G130" s="1311"/>
      <c r="H130" s="1311"/>
      <c r="I130" s="1329"/>
      <c r="J130" s="1329"/>
      <c r="K130" s="1012">
        <f t="shared" si="12"/>
        <v>0</v>
      </c>
      <c r="L130" s="87"/>
    </row>
    <row r="131" spans="1:12">
      <c r="B131" s="496" t="s">
        <v>123</v>
      </c>
      <c r="D131" s="17"/>
      <c r="E131" s="1012">
        <v>211.65</v>
      </c>
      <c r="F131" s="1311"/>
      <c r="G131" s="1311">
        <v>132.88999999999999</v>
      </c>
      <c r="H131" s="1311"/>
      <c r="I131" s="1329">
        <v>107.44</v>
      </c>
      <c r="J131" s="1329">
        <v>2.91</v>
      </c>
      <c r="K131" s="1012">
        <f t="shared" si="12"/>
        <v>454.89</v>
      </c>
      <c r="L131" s="87"/>
    </row>
    <row r="132" spans="1:12">
      <c r="B132" s="496" t="s">
        <v>2041</v>
      </c>
      <c r="D132" s="17"/>
      <c r="E132" s="1012">
        <v>49.55</v>
      </c>
      <c r="F132" s="1311"/>
      <c r="G132" s="1311"/>
      <c r="H132" s="1311"/>
      <c r="I132" s="1329"/>
      <c r="J132" s="1329"/>
      <c r="K132" s="1012">
        <f t="shared" si="12"/>
        <v>49.55</v>
      </c>
      <c r="L132" s="87"/>
    </row>
    <row r="133" spans="1:12">
      <c r="B133" s="496" t="s">
        <v>2042</v>
      </c>
      <c r="D133" s="17"/>
      <c r="E133" s="1012"/>
      <c r="F133" s="1311"/>
      <c r="G133" s="1311">
        <v>1814.3</v>
      </c>
      <c r="H133" s="1311"/>
      <c r="I133" s="1329">
        <v>162.91</v>
      </c>
      <c r="J133" s="1329">
        <v>33</v>
      </c>
      <c r="K133" s="1012">
        <f t="shared" si="12"/>
        <v>2010.21</v>
      </c>
      <c r="L133" s="87"/>
    </row>
    <row r="134" spans="1:12">
      <c r="B134" s="496" t="s">
        <v>2043</v>
      </c>
      <c r="D134" s="17"/>
      <c r="E134" s="1012"/>
      <c r="F134" s="1311"/>
      <c r="G134" s="1311"/>
      <c r="H134" s="1311"/>
      <c r="I134" s="1329"/>
      <c r="J134" s="1329">
        <v>49.67</v>
      </c>
      <c r="K134" s="1012"/>
      <c r="L134" s="87"/>
    </row>
    <row r="135" spans="1:12">
      <c r="B135" s="496" t="s">
        <v>2044</v>
      </c>
      <c r="D135" s="17"/>
      <c r="E135" s="1012"/>
      <c r="F135" s="1311"/>
      <c r="G135" s="1311"/>
      <c r="H135" s="1311"/>
      <c r="I135" s="1329"/>
      <c r="J135" s="1329">
        <v>49.24</v>
      </c>
      <c r="K135" s="1012"/>
      <c r="L135" s="87"/>
    </row>
    <row r="136" spans="1:12">
      <c r="B136" s="496" t="s">
        <v>2045</v>
      </c>
      <c r="D136" s="17"/>
      <c r="E136" s="1012"/>
      <c r="F136" s="1311"/>
      <c r="G136" s="1311"/>
      <c r="H136" s="1311"/>
      <c r="I136" s="1329"/>
      <c r="J136" s="1329">
        <v>33.840000000000003</v>
      </c>
      <c r="K136" s="1012"/>
      <c r="L136" s="87"/>
    </row>
    <row r="137" spans="1:12">
      <c r="B137" s="496"/>
      <c r="D137" s="17"/>
      <c r="E137" s="1012"/>
      <c r="F137" s="1311"/>
      <c r="G137" s="1311"/>
      <c r="H137" s="1311"/>
      <c r="I137" s="1329"/>
      <c r="J137" s="1329"/>
      <c r="K137" s="1012"/>
      <c r="L137" s="87"/>
    </row>
    <row r="138" spans="1:12">
      <c r="B138" s="496" t="s">
        <v>80</v>
      </c>
      <c r="D138" s="17" t="s">
        <v>2020</v>
      </c>
      <c r="E138" s="1012">
        <v>196.11</v>
      </c>
      <c r="F138" s="1311">
        <v>296.31</v>
      </c>
      <c r="G138" s="1311">
        <v>510.97</v>
      </c>
      <c r="H138" s="1311">
        <v>249.55</v>
      </c>
      <c r="I138" s="1329">
        <v>267.8</v>
      </c>
      <c r="J138" s="1329">
        <v>363.53399999999999</v>
      </c>
      <c r="K138" s="1012">
        <f t="shared" si="12"/>
        <v>1884.2739999999999</v>
      </c>
      <c r="L138" s="87"/>
    </row>
    <row r="139" spans="1:12">
      <c r="B139" s="95" t="s">
        <v>103</v>
      </c>
      <c r="D139" s="102"/>
      <c r="E139" s="1016">
        <f t="shared" ref="E139:K139" si="13">SUM(E126:E138)</f>
        <v>7366.2849999999989</v>
      </c>
      <c r="F139" s="1016">
        <f t="shared" si="13"/>
        <v>5997.6730000000007</v>
      </c>
      <c r="G139" s="1016">
        <f t="shared" si="13"/>
        <v>7702.6840000000011</v>
      </c>
      <c r="H139" s="1016">
        <f t="shared" si="13"/>
        <v>10313.514999999999</v>
      </c>
      <c r="I139" s="1011">
        <f t="shared" si="13"/>
        <v>9571.3549999999977</v>
      </c>
      <c r="J139" s="1011">
        <f t="shared" si="13"/>
        <v>5519.0049999999992</v>
      </c>
      <c r="K139" s="1016">
        <f t="shared" si="13"/>
        <v>46337.767</v>
      </c>
      <c r="L139" s="87"/>
    </row>
    <row r="143" spans="1:12">
      <c r="A143" s="308"/>
      <c r="B143" s="233" t="s">
        <v>2046</v>
      </c>
      <c r="C143" s="127"/>
      <c r="D143" s="127"/>
      <c r="E143" s="127"/>
      <c r="F143" s="127"/>
      <c r="G143" s="127"/>
      <c r="H143" s="127"/>
      <c r="I143" s="354"/>
    </row>
    <row r="144" spans="1:12">
      <c r="A144" s="1363"/>
      <c r="B144" s="2783" t="s">
        <v>2047</v>
      </c>
      <c r="C144" s="2783"/>
      <c r="D144" s="2783"/>
      <c r="E144" s="2783"/>
      <c r="F144" s="2783"/>
      <c r="G144" s="2783"/>
      <c r="H144" s="2783"/>
      <c r="I144" s="853"/>
    </row>
    <row r="145" spans="1:36">
      <c r="A145" s="507" t="s">
        <v>79</v>
      </c>
      <c r="B145" s="2436" t="s">
        <v>155</v>
      </c>
      <c r="C145" s="18"/>
      <c r="D145" s="18"/>
      <c r="E145" s="2436" t="s">
        <v>388</v>
      </c>
      <c r="F145" s="2436" t="s">
        <v>2048</v>
      </c>
      <c r="G145" s="2436" t="s">
        <v>2049</v>
      </c>
      <c r="H145" s="2436" t="s">
        <v>2050</v>
      </c>
      <c r="I145" s="63"/>
    </row>
    <row r="146" spans="1:36">
      <c r="A146" s="496" t="s">
        <v>2014</v>
      </c>
      <c r="B146" s="496">
        <f>202913-66706-21987</f>
        <v>114220</v>
      </c>
      <c r="C146" s="18"/>
      <c r="D146" s="18"/>
      <c r="E146" s="496">
        <f>184484-27674-29160</f>
        <v>127650</v>
      </c>
      <c r="F146" s="496">
        <f>126394-1019-11522</f>
        <v>113853</v>
      </c>
      <c r="G146" s="496">
        <v>102511</v>
      </c>
      <c r="H146" s="1012">
        <f>62976-164.492-18633.85</f>
        <v>44177.658000000003</v>
      </c>
      <c r="I146" s="63"/>
    </row>
    <row r="147" spans="1:36">
      <c r="A147" s="496" t="s">
        <v>2051</v>
      </c>
      <c r="B147" s="496">
        <v>66706</v>
      </c>
      <c r="C147" s="18"/>
      <c r="D147" s="18"/>
      <c r="E147" s="496">
        <v>29160</v>
      </c>
      <c r="F147" s="496">
        <v>1019</v>
      </c>
      <c r="G147" s="496">
        <v>708</v>
      </c>
      <c r="H147" s="1012">
        <f>14.83+5+15+23.91+38.1+4.9+8.35+1.13+1.7+0.9+0.8+0.82+0.9+2.55+2.2+1.38+1+3.2+3.86+2.39+2.812+21.79+6.97</f>
        <v>164.49199999999999</v>
      </c>
      <c r="I147" s="63"/>
    </row>
    <row r="148" spans="1:36">
      <c r="A148" s="496" t="s">
        <v>2052</v>
      </c>
      <c r="B148" s="496">
        <v>21987</v>
      </c>
      <c r="C148" s="18"/>
      <c r="D148" s="18"/>
      <c r="E148" s="496">
        <v>27674</v>
      </c>
      <c r="F148" s="496">
        <v>11522</v>
      </c>
      <c r="G148" s="496">
        <v>11127</v>
      </c>
      <c r="H148" s="1012">
        <v>18633.849999999999</v>
      </c>
      <c r="I148" s="63"/>
    </row>
    <row r="149" spans="1:36">
      <c r="A149" s="1014"/>
      <c r="B149" s="1014">
        <f>+B146+B147+B148</f>
        <v>202913</v>
      </c>
      <c r="C149" s="18"/>
      <c r="D149" s="18"/>
      <c r="E149" s="1014">
        <f>+E146+E147+E148</f>
        <v>184484</v>
      </c>
      <c r="F149" s="1014">
        <f>+F146+F147+F148</f>
        <v>126394</v>
      </c>
      <c r="G149" s="1014">
        <f>+G146+G147+G148</f>
        <v>114346</v>
      </c>
      <c r="H149" s="1014">
        <f>+H146+H147+H148</f>
        <v>62976</v>
      </c>
      <c r="I149" s="63"/>
    </row>
    <row r="150" spans="1:36">
      <c r="A150" s="988"/>
      <c r="B150" s="84"/>
      <c r="C150" s="84"/>
      <c r="D150" s="84"/>
      <c r="E150" s="84"/>
      <c r="F150" s="84"/>
      <c r="G150" s="84"/>
      <c r="H150" s="84"/>
      <c r="I150" s="63"/>
    </row>
    <row r="151" spans="1:36">
      <c r="A151" s="31"/>
      <c r="I151" s="63"/>
    </row>
    <row r="152" spans="1:36">
      <c r="A152" s="1072" t="s">
        <v>2053</v>
      </c>
      <c r="B152" s="2945" t="s">
        <v>2054</v>
      </c>
      <c r="C152" s="2945"/>
      <c r="D152" s="2945"/>
      <c r="E152" s="2945"/>
      <c r="F152" s="2945"/>
      <c r="G152" s="2945"/>
      <c r="H152" s="2945"/>
      <c r="I152" s="2945"/>
      <c r="J152" s="2945"/>
      <c r="K152" s="2945"/>
      <c r="L152" s="2945"/>
      <c r="M152" s="2945"/>
      <c r="N152" s="2945"/>
      <c r="O152" s="2945"/>
      <c r="P152" s="2945"/>
      <c r="Q152" s="2945"/>
      <c r="R152" s="101"/>
      <c r="S152" s="1138"/>
      <c r="T152" s="511"/>
      <c r="U152" s="1138"/>
      <c r="V152" s="511"/>
      <c r="W152" s="1138"/>
      <c r="X152" s="511"/>
      <c r="Y152" s="14"/>
      <c r="Z152" s="14"/>
      <c r="AA152" s="14"/>
      <c r="AB152" s="14"/>
      <c r="AG152"/>
      <c r="AH152"/>
      <c r="AI152" s="1305"/>
      <c r="AJ152" s="1305"/>
    </row>
    <row r="153" spans="1:36">
      <c r="A153" s="1363"/>
      <c r="B153" s="491"/>
      <c r="C153" s="504"/>
      <c r="D153" s="504"/>
      <c r="E153" s="2782" t="s">
        <v>791</v>
      </c>
      <c r="F153" s="2784"/>
      <c r="G153" s="2782" t="s">
        <v>29</v>
      </c>
      <c r="H153" s="2784"/>
      <c r="I153" s="2782" t="s">
        <v>30</v>
      </c>
      <c r="J153" s="2784"/>
      <c r="K153" s="2782" t="s">
        <v>31</v>
      </c>
      <c r="L153" s="2783"/>
      <c r="M153" s="2784"/>
      <c r="N153" s="490"/>
      <c r="O153" s="2782" t="s">
        <v>33</v>
      </c>
      <c r="P153" s="2783"/>
      <c r="Q153" s="504" t="s">
        <v>2055</v>
      </c>
      <c r="R153" s="504"/>
      <c r="S153" s="2782" t="s">
        <v>2056</v>
      </c>
      <c r="T153" s="2784"/>
      <c r="U153" s="2782" t="s">
        <v>2057</v>
      </c>
      <c r="V153" s="2784"/>
      <c r="W153" s="2782" t="s">
        <v>115</v>
      </c>
      <c r="X153" s="2784"/>
      <c r="Y153" s="18"/>
      <c r="Z153" s="18"/>
      <c r="AA153" s="18"/>
      <c r="AB153" s="18"/>
      <c r="AG153"/>
      <c r="AH153"/>
      <c r="AI153" s="1305"/>
      <c r="AJ153" s="1305"/>
    </row>
    <row r="154" spans="1:36">
      <c r="A154" s="988"/>
      <c r="B154" s="491"/>
      <c r="C154" s="504"/>
      <c r="D154" s="504"/>
      <c r="E154" s="491" t="s">
        <v>275</v>
      </c>
      <c r="F154" s="490" t="s">
        <v>312</v>
      </c>
      <c r="G154" s="491" t="s">
        <v>275</v>
      </c>
      <c r="H154" s="490" t="s">
        <v>312</v>
      </c>
      <c r="I154" s="491" t="s">
        <v>275</v>
      </c>
      <c r="J154" s="491" t="s">
        <v>312</v>
      </c>
      <c r="K154" s="491" t="s">
        <v>275</v>
      </c>
      <c r="L154" s="491"/>
      <c r="M154" s="491" t="s">
        <v>312</v>
      </c>
      <c r="N154" s="491" t="s">
        <v>312</v>
      </c>
      <c r="O154" s="491" t="s">
        <v>275</v>
      </c>
      <c r="P154" s="491" t="s">
        <v>312</v>
      </c>
      <c r="Q154" s="491" t="s">
        <v>275</v>
      </c>
      <c r="R154" s="490"/>
      <c r="S154" s="490" t="s">
        <v>275</v>
      </c>
      <c r="T154" s="490" t="s">
        <v>312</v>
      </c>
      <c r="U154" s="490" t="s">
        <v>275</v>
      </c>
      <c r="V154" s="490" t="s">
        <v>312</v>
      </c>
      <c r="W154" s="490" t="s">
        <v>275</v>
      </c>
      <c r="X154" s="490" t="s">
        <v>312</v>
      </c>
      <c r="Y154" s="18"/>
      <c r="Z154" s="18"/>
      <c r="AA154" s="18"/>
      <c r="AB154" s="18"/>
      <c r="AG154"/>
      <c r="AH154"/>
      <c r="AI154" s="1305"/>
      <c r="AJ154" s="1305"/>
    </row>
    <row r="155" spans="1:36">
      <c r="A155" s="988"/>
      <c r="B155" s="496" t="s">
        <v>2058</v>
      </c>
      <c r="C155" s="18"/>
      <c r="D155" s="18"/>
      <c r="E155" s="496">
        <v>185000</v>
      </c>
      <c r="F155" s="24">
        <v>215340</v>
      </c>
      <c r="G155" s="496">
        <v>240000</v>
      </c>
      <c r="H155" s="24">
        <v>208615</v>
      </c>
      <c r="I155" s="496">
        <v>240000</v>
      </c>
      <c r="J155" s="496">
        <v>210355</v>
      </c>
      <c r="K155" s="496">
        <v>201500</v>
      </c>
      <c r="L155" s="496"/>
      <c r="M155" s="496">
        <v>145486</v>
      </c>
      <c r="N155" s="496">
        <v>126817</v>
      </c>
      <c r="O155" s="496">
        <v>139150</v>
      </c>
      <c r="P155" s="496">
        <v>108474</v>
      </c>
      <c r="Q155" s="496">
        <v>132920</v>
      </c>
      <c r="R155" s="24"/>
      <c r="S155" s="24">
        <v>89028</v>
      </c>
      <c r="T155" s="24">
        <v>91149</v>
      </c>
      <c r="U155" s="24">
        <v>99401</v>
      </c>
      <c r="V155" s="24">
        <v>98979</v>
      </c>
      <c r="W155" s="24">
        <v>93515</v>
      </c>
      <c r="X155" s="24">
        <v>104762</v>
      </c>
      <c r="Y155" s="24"/>
      <c r="Z155" s="24"/>
      <c r="AA155" s="24"/>
      <c r="AB155" s="24"/>
      <c r="AC155" s="496" t="s">
        <v>2058</v>
      </c>
      <c r="AG155"/>
      <c r="AH155"/>
      <c r="AI155" s="1305"/>
      <c r="AJ155" s="1305"/>
    </row>
    <row r="156" spans="1:36">
      <c r="A156" s="988"/>
      <c r="B156" s="496" t="s">
        <v>633</v>
      </c>
      <c r="C156" s="18"/>
      <c r="D156" s="18"/>
      <c r="E156" s="496">
        <f t="shared" ref="E156:K156" si="14">+E157+E158</f>
        <v>177985</v>
      </c>
      <c r="F156" s="24">
        <f t="shared" si="14"/>
        <v>204892</v>
      </c>
      <c r="G156" s="496">
        <f t="shared" si="14"/>
        <v>230640</v>
      </c>
      <c r="H156" s="24">
        <f t="shared" si="14"/>
        <v>200450</v>
      </c>
      <c r="I156" s="496">
        <f t="shared" si="14"/>
        <v>230700</v>
      </c>
      <c r="J156" s="496">
        <f t="shared" si="14"/>
        <v>200395</v>
      </c>
      <c r="K156" s="496">
        <f t="shared" si="14"/>
        <v>193500</v>
      </c>
      <c r="L156" s="496"/>
      <c r="M156" s="496">
        <f>+M157+M158</f>
        <v>135303</v>
      </c>
      <c r="N156" s="496">
        <f>+N157+N158</f>
        <v>121485</v>
      </c>
      <c r="O156" s="496">
        <v>132750</v>
      </c>
      <c r="P156" s="1372">
        <f>+P157+P158</f>
        <v>104029.74800000001</v>
      </c>
      <c r="Q156" s="496">
        <v>127120</v>
      </c>
      <c r="R156" s="24"/>
      <c r="S156" s="24">
        <v>85164</v>
      </c>
      <c r="T156" s="24">
        <v>88106</v>
      </c>
      <c r="U156" s="24">
        <v>95473</v>
      </c>
      <c r="V156" s="24">
        <v>95281</v>
      </c>
      <c r="W156" s="24">
        <v>94967</v>
      </c>
      <c r="X156" s="24">
        <v>101156</v>
      </c>
      <c r="Y156" s="24"/>
      <c r="Z156" s="24"/>
      <c r="AA156" s="24"/>
      <c r="AB156" s="24"/>
      <c r="AC156" s="496" t="s">
        <v>633</v>
      </c>
      <c r="AG156"/>
      <c r="AH156"/>
      <c r="AI156" s="1305"/>
      <c r="AJ156" s="1305"/>
    </row>
    <row r="157" spans="1:36">
      <c r="A157" s="988"/>
      <c r="B157" s="496" t="s">
        <v>80</v>
      </c>
      <c r="C157" s="18"/>
      <c r="D157" s="18"/>
      <c r="E157" s="496">
        <v>75320</v>
      </c>
      <c r="F157" s="24">
        <v>111582</v>
      </c>
      <c r="G157" s="496">
        <v>105881</v>
      </c>
      <c r="H157" s="24">
        <v>88162</v>
      </c>
      <c r="I157" s="496">
        <v>102000</v>
      </c>
      <c r="J157" s="496">
        <v>107812</v>
      </c>
      <c r="K157" s="496">
        <v>111000</v>
      </c>
      <c r="L157" s="496"/>
      <c r="M157" s="496">
        <v>102922</v>
      </c>
      <c r="N157" s="496">
        <v>110320</v>
      </c>
      <c r="O157" s="496">
        <v>111800</v>
      </c>
      <c r="P157" s="1012">
        <v>100464.5</v>
      </c>
      <c r="Q157" s="496">
        <v>112410</v>
      </c>
      <c r="R157" s="1013"/>
      <c r="S157" s="24">
        <v>78198</v>
      </c>
      <c r="T157" s="24">
        <v>81774</v>
      </c>
      <c r="U157" s="24">
        <v>88617</v>
      </c>
      <c r="V157" s="24">
        <v>80905</v>
      </c>
      <c r="W157" s="24">
        <v>80955</v>
      </c>
      <c r="X157" s="24">
        <v>93629</v>
      </c>
      <c r="Y157" s="24"/>
      <c r="Z157" s="24"/>
      <c r="AA157" s="24"/>
      <c r="AB157" s="24"/>
      <c r="AC157" s="496" t="s">
        <v>80</v>
      </c>
      <c r="AG157"/>
      <c r="AH157"/>
      <c r="AI157" s="1305"/>
      <c r="AJ157" s="1305"/>
    </row>
    <row r="158" spans="1:36">
      <c r="A158" s="988"/>
      <c r="B158" s="496" t="s">
        <v>2059</v>
      </c>
      <c r="C158" s="18"/>
      <c r="D158" s="18"/>
      <c r="E158" s="496">
        <v>102665</v>
      </c>
      <c r="F158" s="24">
        <v>93310</v>
      </c>
      <c r="G158" s="496">
        <v>124759</v>
      </c>
      <c r="H158" s="24">
        <v>112288</v>
      </c>
      <c r="I158" s="496">
        <v>128700</v>
      </c>
      <c r="J158" s="496">
        <v>92583</v>
      </c>
      <c r="K158" s="496">
        <v>82500</v>
      </c>
      <c r="L158" s="496"/>
      <c r="M158" s="496">
        <v>32381</v>
      </c>
      <c r="N158" s="496">
        <v>11165</v>
      </c>
      <c r="O158" s="496">
        <v>20950</v>
      </c>
      <c r="P158" s="532">
        <v>3565.248</v>
      </c>
      <c r="Q158" s="496">
        <f>+Q156-Q157</f>
        <v>14710</v>
      </c>
      <c r="R158" s="1013"/>
      <c r="S158" s="24">
        <v>6966</v>
      </c>
      <c r="T158" s="24">
        <v>6332</v>
      </c>
      <c r="U158" s="24">
        <v>6856</v>
      </c>
      <c r="V158" s="24">
        <v>14376</v>
      </c>
      <c r="W158" s="24">
        <v>14012</v>
      </c>
      <c r="X158" s="24">
        <v>7528</v>
      </c>
      <c r="Y158" s="24"/>
      <c r="Z158" s="24"/>
      <c r="AA158" s="24"/>
      <c r="AB158" s="24"/>
      <c r="AC158" s="496" t="s">
        <v>2059</v>
      </c>
      <c r="AG158"/>
      <c r="AH158"/>
      <c r="AI158" s="1305"/>
      <c r="AJ158" s="1305"/>
    </row>
    <row r="159" spans="1:36">
      <c r="A159" s="988"/>
      <c r="B159" s="496" t="s">
        <v>2060</v>
      </c>
      <c r="C159" s="18"/>
      <c r="D159" s="18"/>
      <c r="E159" s="496">
        <f>195000-83500-12000</f>
        <v>99500</v>
      </c>
      <c r="F159" s="24">
        <v>86156</v>
      </c>
      <c r="G159" s="496">
        <f>230100-118000</f>
        <v>112100</v>
      </c>
      <c r="H159" s="24">
        <v>91338</v>
      </c>
      <c r="I159" s="496">
        <f>231100-120600</f>
        <v>110500</v>
      </c>
      <c r="J159" s="496">
        <v>101451</v>
      </c>
      <c r="K159" s="496">
        <f>190500-76300</f>
        <v>114200</v>
      </c>
      <c r="L159" s="496"/>
      <c r="M159" s="496">
        <v>95868</v>
      </c>
      <c r="N159" s="496">
        <v>102680</v>
      </c>
      <c r="O159" s="496">
        <f>124390-14500-5000</f>
        <v>104890</v>
      </c>
      <c r="P159" s="1012">
        <v>92382.688999999998</v>
      </c>
      <c r="Q159" s="496">
        <f>117980-13450</f>
        <v>104530</v>
      </c>
      <c r="R159" s="1013"/>
      <c r="S159" s="24">
        <f>86992-6047</f>
        <v>80945</v>
      </c>
      <c r="T159" s="24">
        <f>83067-5221</f>
        <v>77846</v>
      </c>
      <c r="U159" s="24">
        <f>88964-5315</f>
        <v>83649</v>
      </c>
      <c r="V159" s="24">
        <f>89108-12183</f>
        <v>76925</v>
      </c>
      <c r="W159" s="24">
        <f>126912-9862</f>
        <v>117050</v>
      </c>
      <c r="X159" s="1013">
        <f>108913-11</f>
        <v>108902</v>
      </c>
      <c r="Y159" s="1013"/>
      <c r="Z159" s="1013"/>
      <c r="AA159" s="1013"/>
      <c r="AB159" s="24"/>
      <c r="AC159" s="496" t="s">
        <v>2060</v>
      </c>
      <c r="AG159"/>
      <c r="AH159"/>
      <c r="AI159" s="1305"/>
      <c r="AJ159" s="1305"/>
    </row>
    <row r="160" spans="1:36">
      <c r="A160" s="988"/>
      <c r="B160" s="496" t="s">
        <v>2061</v>
      </c>
      <c r="C160" s="18"/>
      <c r="D160" s="18"/>
      <c r="E160" s="496">
        <v>95500</v>
      </c>
      <c r="F160" s="24">
        <v>93889</v>
      </c>
      <c r="G160" s="496">
        <v>118000</v>
      </c>
      <c r="H160" s="24">
        <v>111575</v>
      </c>
      <c r="I160" s="496">
        <v>120600</v>
      </c>
      <c r="J160" s="496">
        <v>83033</v>
      </c>
      <c r="K160" s="496">
        <f>25000+36300+15000</f>
        <v>76300</v>
      </c>
      <c r="L160" s="496"/>
      <c r="M160" s="496">
        <v>30526</v>
      </c>
      <c r="N160" s="496">
        <v>11666</v>
      </c>
      <c r="O160" s="496">
        <v>19500</v>
      </c>
      <c r="P160" s="496">
        <v>3581.6</v>
      </c>
      <c r="Q160" s="496">
        <v>13450</v>
      </c>
      <c r="R160" s="1013"/>
      <c r="S160" s="24">
        <v>6047</v>
      </c>
      <c r="T160" s="24">
        <v>5221</v>
      </c>
      <c r="U160" s="24">
        <v>5315</v>
      </c>
      <c r="V160" s="24">
        <v>12183</v>
      </c>
      <c r="W160" s="24">
        <v>9862</v>
      </c>
      <c r="X160" s="1013">
        <v>6782</v>
      </c>
      <c r="Y160" s="1013"/>
      <c r="Z160" s="1013"/>
      <c r="AA160" s="1013"/>
      <c r="AB160" s="24"/>
      <c r="AC160" s="496" t="s">
        <v>2061</v>
      </c>
      <c r="AG160"/>
      <c r="AH160"/>
      <c r="AI160" s="1305"/>
      <c r="AJ160" s="1305"/>
    </row>
    <row r="161" spans="1:36">
      <c r="A161" s="988"/>
      <c r="B161" s="496" t="s">
        <v>521</v>
      </c>
      <c r="C161" s="18"/>
      <c r="D161" s="18"/>
      <c r="E161" s="496">
        <f t="shared" ref="E161:X161" si="15">+E159+E160</f>
        <v>195000</v>
      </c>
      <c r="F161" s="24">
        <f t="shared" si="15"/>
        <v>180045</v>
      </c>
      <c r="G161" s="496">
        <f t="shared" si="15"/>
        <v>230100</v>
      </c>
      <c r="H161" s="24">
        <f t="shared" si="15"/>
        <v>202913</v>
      </c>
      <c r="I161" s="496">
        <f t="shared" si="15"/>
        <v>231100</v>
      </c>
      <c r="J161" s="496">
        <f t="shared" si="15"/>
        <v>184484</v>
      </c>
      <c r="K161" s="496">
        <f t="shared" si="15"/>
        <v>190500</v>
      </c>
      <c r="L161" s="496"/>
      <c r="M161" s="496">
        <f>+M159+M160</f>
        <v>126394</v>
      </c>
      <c r="N161" s="496">
        <f>+N159+N160</f>
        <v>114346</v>
      </c>
      <c r="O161" s="496">
        <f t="shared" si="15"/>
        <v>124390</v>
      </c>
      <c r="P161" s="1012">
        <f>+P160+P159</f>
        <v>95964.289000000004</v>
      </c>
      <c r="Q161" s="496">
        <f t="shared" si="15"/>
        <v>117980</v>
      </c>
      <c r="R161" s="1012"/>
      <c r="S161" s="496">
        <f t="shared" si="15"/>
        <v>86992</v>
      </c>
      <c r="T161" s="496">
        <f t="shared" si="15"/>
        <v>83067</v>
      </c>
      <c r="U161" s="496">
        <f t="shared" si="15"/>
        <v>88964</v>
      </c>
      <c r="V161" s="496">
        <f t="shared" si="15"/>
        <v>89108</v>
      </c>
      <c r="W161" s="496">
        <f t="shared" si="15"/>
        <v>126912</v>
      </c>
      <c r="X161" s="1012">
        <f t="shared" si="15"/>
        <v>115684</v>
      </c>
      <c r="Y161" s="1012"/>
      <c r="Z161" s="1012"/>
      <c r="AA161" s="1012"/>
      <c r="AB161" s="496"/>
      <c r="AC161" s="496" t="s">
        <v>521</v>
      </c>
      <c r="AG161"/>
      <c r="AH161"/>
      <c r="AI161" s="1305"/>
      <c r="AJ161" s="1305"/>
    </row>
    <row r="162" spans="1:36">
      <c r="A162" s="988"/>
      <c r="B162" s="496" t="s">
        <v>142</v>
      </c>
      <c r="C162" s="18"/>
      <c r="D162" s="18"/>
      <c r="E162" s="496">
        <v>199500</v>
      </c>
      <c r="F162" s="24">
        <v>180062</v>
      </c>
      <c r="G162" s="496">
        <v>236070</v>
      </c>
      <c r="H162" s="24">
        <v>200533</v>
      </c>
      <c r="I162" s="496">
        <v>233428</v>
      </c>
      <c r="J162" s="496">
        <v>188046</v>
      </c>
      <c r="K162" s="496">
        <v>193000</v>
      </c>
      <c r="L162" s="496"/>
      <c r="M162" s="496">
        <v>118679</v>
      </c>
      <c r="N162" s="496">
        <v>111192</v>
      </c>
      <c r="O162" s="496">
        <v>126890</v>
      </c>
      <c r="P162" s="496">
        <v>98687</v>
      </c>
      <c r="Q162" s="496">
        <v>119980</v>
      </c>
      <c r="R162" s="24"/>
      <c r="S162" s="24">
        <v>88992</v>
      </c>
      <c r="T162" s="24">
        <v>80416</v>
      </c>
      <c r="U162" s="24">
        <v>91964</v>
      </c>
      <c r="V162" s="24">
        <v>95919</v>
      </c>
      <c r="W162" s="24">
        <v>131912</v>
      </c>
      <c r="X162" s="24">
        <v>116118</v>
      </c>
      <c r="Y162" s="24"/>
      <c r="Z162" s="24"/>
      <c r="AA162" s="24"/>
      <c r="AB162" s="24"/>
      <c r="AC162" s="496" t="s">
        <v>142</v>
      </c>
      <c r="AG162"/>
      <c r="AH162"/>
      <c r="AI162" s="1305"/>
      <c r="AJ162" s="1305"/>
    </row>
    <row r="163" spans="1:36">
      <c r="A163" s="590"/>
      <c r="B163" s="496" t="s">
        <v>2062</v>
      </c>
      <c r="C163" s="22"/>
      <c r="D163" s="22"/>
      <c r="E163" s="1014">
        <v>114665</v>
      </c>
      <c r="F163" s="18">
        <v>131966</v>
      </c>
      <c r="G163" s="1014">
        <v>130000</v>
      </c>
      <c r="H163" s="18">
        <v>120580</v>
      </c>
      <c r="I163" s="1014">
        <v>127500</v>
      </c>
      <c r="J163" s="18">
        <v>132198</v>
      </c>
      <c r="K163" s="1014">
        <v>168000</v>
      </c>
      <c r="L163" s="18"/>
      <c r="M163" s="18">
        <v>196380</v>
      </c>
      <c r="N163" s="18">
        <v>136149</v>
      </c>
      <c r="O163" s="496">
        <v>128200</v>
      </c>
      <c r="P163" s="18">
        <v>120402</v>
      </c>
      <c r="Q163" s="496">
        <v>135450</v>
      </c>
      <c r="R163" s="18"/>
      <c r="S163" s="1020">
        <v>100814</v>
      </c>
      <c r="T163" s="1020">
        <v>94919</v>
      </c>
      <c r="U163" s="1020">
        <v>102689</v>
      </c>
      <c r="V163" s="1020">
        <v>100660</v>
      </c>
      <c r="W163" s="1020">
        <v>125680</v>
      </c>
      <c r="X163" s="1020">
        <v>125950</v>
      </c>
      <c r="Y163" s="24"/>
      <c r="Z163" s="24"/>
      <c r="AA163" s="24"/>
      <c r="AB163" s="24"/>
      <c r="AC163" s="496" t="s">
        <v>290</v>
      </c>
      <c r="AG163"/>
      <c r="AH163"/>
      <c r="AI163" s="1305"/>
      <c r="AJ163" s="1305"/>
    </row>
    <row r="164" spans="1:36">
      <c r="E164" s="18" t="s">
        <v>791</v>
      </c>
      <c r="F164" s="18" t="s">
        <v>29</v>
      </c>
      <c r="G164" s="18" t="s">
        <v>30</v>
      </c>
      <c r="H164" s="18" t="s">
        <v>31</v>
      </c>
      <c r="I164" s="18" t="s">
        <v>32</v>
      </c>
      <c r="J164" s="18" t="s">
        <v>33</v>
      </c>
      <c r="K164" s="18" t="s">
        <v>34</v>
      </c>
      <c r="L164" s="18"/>
    </row>
    <row r="165" spans="1:36">
      <c r="B165" s="496" t="s">
        <v>2062</v>
      </c>
      <c r="E165" s="18">
        <v>131815</v>
      </c>
      <c r="F165" s="18">
        <v>120580</v>
      </c>
      <c r="G165" s="18">
        <v>132070</v>
      </c>
      <c r="H165" s="18">
        <v>196380</v>
      </c>
      <c r="I165" s="18">
        <v>121480</v>
      </c>
      <c r="J165" s="18">
        <v>120402</v>
      </c>
      <c r="K165" s="18">
        <f>'DAILY FLASH'!AP31</f>
        <v>25549.398999999998</v>
      </c>
      <c r="L165" s="18"/>
    </row>
    <row r="166" spans="1:36">
      <c r="B166" s="18" t="s">
        <v>2063</v>
      </c>
      <c r="F166" s="18"/>
      <c r="G166" s="18"/>
      <c r="H166" s="18"/>
      <c r="I166" s="18"/>
      <c r="J166" s="18"/>
      <c r="K166" s="18"/>
      <c r="L166" s="18"/>
    </row>
    <row r="167" spans="1:36">
      <c r="B167" s="18" t="s">
        <v>255</v>
      </c>
      <c r="E167" s="18">
        <v>75524</v>
      </c>
      <c r="F167" s="18">
        <f>83006+333</f>
        <v>83339</v>
      </c>
      <c r="G167" s="18">
        <v>92912</v>
      </c>
      <c r="H167" s="18">
        <v>86624</v>
      </c>
      <c r="I167" s="87">
        <v>92716</v>
      </c>
      <c r="J167" s="20">
        <v>82254</v>
      </c>
      <c r="K167" s="18"/>
      <c r="L167" s="18"/>
    </row>
    <row r="168" spans="1:36">
      <c r="B168" s="18" t="s">
        <v>256</v>
      </c>
      <c r="E168" s="18">
        <v>1238</v>
      </c>
      <c r="F168" s="18">
        <v>761</v>
      </c>
      <c r="G168" s="18">
        <v>1027</v>
      </c>
      <c r="H168" s="18">
        <v>457</v>
      </c>
      <c r="I168" s="18">
        <v>335</v>
      </c>
      <c r="J168" s="20">
        <v>798.26</v>
      </c>
      <c r="K168" s="18"/>
      <c r="L168" s="18"/>
    </row>
    <row r="169" spans="1:36">
      <c r="B169" s="18" t="s">
        <v>643</v>
      </c>
      <c r="E169" s="18">
        <v>3731</v>
      </c>
      <c r="F169" s="18">
        <v>3737</v>
      </c>
      <c r="G169" s="18">
        <v>4263</v>
      </c>
      <c r="H169" s="18">
        <v>4556</v>
      </c>
      <c r="I169" s="18">
        <v>5477</v>
      </c>
      <c r="J169" s="20">
        <v>4330</v>
      </c>
      <c r="K169" s="18"/>
      <c r="L169" s="18"/>
    </row>
    <row r="170" spans="1:36">
      <c r="B170" s="18" t="s">
        <v>2064</v>
      </c>
      <c r="E170" s="18">
        <v>1831</v>
      </c>
      <c r="F170" s="18">
        <v>1809</v>
      </c>
      <c r="G170" s="18">
        <v>1466</v>
      </c>
      <c r="H170" s="18">
        <v>1428</v>
      </c>
      <c r="I170" s="18">
        <v>1663</v>
      </c>
      <c r="J170" s="20">
        <v>1500.46</v>
      </c>
      <c r="K170" s="18"/>
      <c r="L170" s="18"/>
    </row>
    <row r="171" spans="1:36">
      <c r="B171" s="18" t="s">
        <v>2065</v>
      </c>
      <c r="E171" s="18">
        <v>93889</v>
      </c>
      <c r="F171" s="18">
        <v>111575</v>
      </c>
      <c r="G171" s="18">
        <v>82730</v>
      </c>
      <c r="H171" s="18">
        <v>27572</v>
      </c>
      <c r="I171" s="18">
        <v>9328</v>
      </c>
      <c r="J171" s="20">
        <v>2520</v>
      </c>
      <c r="K171" s="18"/>
      <c r="L171" s="18"/>
    </row>
    <row r="172" spans="1:36">
      <c r="B172" s="18" t="s">
        <v>335</v>
      </c>
      <c r="E172" s="18"/>
      <c r="F172" s="18"/>
      <c r="G172" s="18">
        <v>324</v>
      </c>
      <c r="H172" s="18">
        <v>2954</v>
      </c>
      <c r="I172" s="18">
        <v>2534</v>
      </c>
      <c r="J172" s="20">
        <v>1061.28</v>
      </c>
      <c r="K172" s="18"/>
      <c r="L172" s="18"/>
    </row>
    <row r="173" spans="1:36">
      <c r="B173" s="18" t="s">
        <v>80</v>
      </c>
      <c r="E173" s="18">
        <v>3832</v>
      </c>
      <c r="F173" s="18">
        <v>1692</v>
      </c>
      <c r="G173" s="18">
        <f>1689+73</f>
        <v>1762</v>
      </c>
      <c r="H173" s="18">
        <f>2411+392</f>
        <v>2803</v>
      </c>
      <c r="I173" s="18">
        <v>2293</v>
      </c>
      <c r="J173" s="20">
        <v>3500</v>
      </c>
      <c r="K173" s="18"/>
      <c r="L173" s="18"/>
    </row>
    <row r="174" spans="1:36">
      <c r="E174" s="18">
        <f t="shared" ref="E174:J174" si="16">SUM(E167:E173)</f>
        <v>180045</v>
      </c>
      <c r="F174" s="18">
        <f t="shared" si="16"/>
        <v>202913</v>
      </c>
      <c r="G174" s="18">
        <f t="shared" si="16"/>
        <v>184484</v>
      </c>
      <c r="H174" s="18">
        <f t="shared" si="16"/>
        <v>126394</v>
      </c>
      <c r="I174" s="87">
        <f t="shared" si="16"/>
        <v>114346</v>
      </c>
      <c r="J174" s="20">
        <f t="shared" si="16"/>
        <v>95964</v>
      </c>
      <c r="K174" s="18">
        <f>95964-J174</f>
        <v>0</v>
      </c>
      <c r="L174" s="18"/>
    </row>
    <row r="175" spans="1:36">
      <c r="F175" s="18"/>
    </row>
    <row r="176" spans="1:36" ht="19.5">
      <c r="E176" s="1364" t="s">
        <v>2066</v>
      </c>
      <c r="F176" s="1365"/>
      <c r="G176" s="1365"/>
      <c r="H176" s="1365"/>
      <c r="I176" s="1373"/>
      <c r="J176" s="1374"/>
    </row>
    <row r="177" spans="5:13" ht="19.5">
      <c r="E177" s="1366" t="s">
        <v>2067</v>
      </c>
      <c r="F177" s="1367" t="s">
        <v>2068</v>
      </c>
      <c r="G177" s="1367" t="s">
        <v>704</v>
      </c>
      <c r="H177" s="1368" t="s">
        <v>2069</v>
      </c>
      <c r="I177" s="1375"/>
      <c r="J177" s="1375"/>
      <c r="M177" s="472"/>
    </row>
    <row r="178" spans="5:13" ht="19.5">
      <c r="E178" s="2437" t="s">
        <v>2070</v>
      </c>
      <c r="F178" s="1370">
        <v>1</v>
      </c>
      <c r="G178" s="1370" t="s">
        <v>2071</v>
      </c>
      <c r="H178" s="1371" t="s">
        <v>2072</v>
      </c>
      <c r="I178" s="1376"/>
      <c r="J178" s="1376"/>
      <c r="M178" s="472"/>
    </row>
    <row r="179" spans="5:13" ht="19.5">
      <c r="E179" s="1369"/>
      <c r="F179" s="1370">
        <v>2</v>
      </c>
      <c r="G179" s="1370" t="s">
        <v>2073</v>
      </c>
      <c r="H179" s="1371" t="s">
        <v>2074</v>
      </c>
      <c r="I179" s="1376"/>
      <c r="J179" s="1376"/>
      <c r="M179" s="472"/>
    </row>
    <row r="180" spans="5:13" ht="19.5">
      <c r="E180" s="1369"/>
      <c r="F180" s="1370">
        <v>3</v>
      </c>
      <c r="G180" s="1370" t="s">
        <v>2075</v>
      </c>
      <c r="H180" s="1371">
        <v>605</v>
      </c>
      <c r="I180" s="1376"/>
      <c r="J180" s="1376"/>
      <c r="M180" s="472"/>
    </row>
    <row r="181" spans="5:13" ht="19.5">
      <c r="E181" s="1369"/>
      <c r="F181" s="1370">
        <v>4</v>
      </c>
      <c r="G181" s="1370" t="s">
        <v>2071</v>
      </c>
      <c r="H181" s="1371" t="s">
        <v>2076</v>
      </c>
      <c r="I181" s="1376"/>
      <c r="J181" s="1376"/>
      <c r="M181" s="472"/>
    </row>
    <row r="182" spans="5:13" ht="19.5">
      <c r="E182" s="1369"/>
      <c r="F182" s="1370">
        <v>5</v>
      </c>
      <c r="G182" s="1370" t="s">
        <v>2071</v>
      </c>
      <c r="H182" s="1371" t="s">
        <v>2076</v>
      </c>
      <c r="I182" s="1376"/>
      <c r="J182" s="1376"/>
      <c r="M182" s="472"/>
    </row>
    <row r="183" spans="5:13" ht="19.5">
      <c r="E183" s="1369"/>
      <c r="F183" s="1370">
        <v>6</v>
      </c>
      <c r="G183" s="1370" t="s">
        <v>2077</v>
      </c>
      <c r="H183" s="1371" t="s">
        <v>2078</v>
      </c>
      <c r="I183" s="1376"/>
      <c r="J183" s="1376"/>
      <c r="M183" s="472"/>
    </row>
    <row r="184" spans="5:13" ht="19.5">
      <c r="E184" s="1369"/>
      <c r="F184" s="1370">
        <v>7</v>
      </c>
      <c r="G184" s="1370" t="s">
        <v>2071</v>
      </c>
      <c r="H184" s="1371" t="s">
        <v>2076</v>
      </c>
      <c r="I184" s="1376"/>
      <c r="J184" s="1376"/>
      <c r="M184" s="472"/>
    </row>
    <row r="185" spans="5:13" ht="19.5">
      <c r="E185" s="1369"/>
      <c r="F185" s="1370"/>
      <c r="G185" s="1370"/>
      <c r="H185" s="1371"/>
      <c r="I185" s="1376"/>
      <c r="J185" s="1376"/>
      <c r="M185" s="472"/>
    </row>
    <row r="186" spans="5:13" ht="19.5">
      <c r="E186" s="1369" t="s">
        <v>2079</v>
      </c>
      <c r="F186" s="1370">
        <v>1</v>
      </c>
      <c r="G186" s="1370" t="s">
        <v>2071</v>
      </c>
      <c r="H186" s="1371" t="s">
        <v>2076</v>
      </c>
      <c r="I186" s="63"/>
      <c r="J186" s="1376"/>
      <c r="M186" s="472"/>
    </row>
    <row r="187" spans="5:13" ht="19.5">
      <c r="E187" s="1369"/>
      <c r="F187" s="1370">
        <v>2</v>
      </c>
      <c r="G187" s="1370" t="s">
        <v>2080</v>
      </c>
      <c r="H187" s="1371" t="s">
        <v>2081</v>
      </c>
      <c r="I187" s="1376"/>
      <c r="J187" s="1376"/>
      <c r="M187" s="472"/>
    </row>
    <row r="188" spans="5:13" ht="19.5">
      <c r="E188" s="1369"/>
      <c r="F188" s="1370">
        <v>3</v>
      </c>
      <c r="G188" s="1370" t="s">
        <v>2082</v>
      </c>
      <c r="H188" s="1371" t="s">
        <v>2083</v>
      </c>
      <c r="I188" s="1376"/>
      <c r="J188" s="1376"/>
      <c r="M188" s="472"/>
    </row>
    <row r="189" spans="5:13" ht="19.5">
      <c r="E189" s="1369"/>
      <c r="F189" s="1370">
        <v>4</v>
      </c>
      <c r="G189" s="1370" t="s">
        <v>2075</v>
      </c>
      <c r="H189" s="1371">
        <v>605</v>
      </c>
      <c r="I189" s="1376"/>
      <c r="J189" s="1376"/>
      <c r="M189" s="472"/>
    </row>
    <row r="190" spans="5:13" ht="19.5">
      <c r="E190" s="1369"/>
      <c r="F190" s="1370">
        <v>5</v>
      </c>
      <c r="G190" s="1370" t="s">
        <v>111</v>
      </c>
      <c r="H190" s="1371" t="s">
        <v>2084</v>
      </c>
      <c r="I190" s="1376"/>
      <c r="J190" s="1376"/>
      <c r="M190" s="472"/>
    </row>
    <row r="191" spans="5:13" ht="19.5">
      <c r="E191" s="1369"/>
      <c r="F191" s="1370">
        <v>6</v>
      </c>
      <c r="G191" s="1370" t="s">
        <v>2085</v>
      </c>
      <c r="H191" s="1371" t="s">
        <v>2086</v>
      </c>
      <c r="I191" s="1376"/>
      <c r="J191" s="1376"/>
      <c r="M191" s="472"/>
    </row>
    <row r="192" spans="5:13" ht="19.5">
      <c r="E192" s="1369"/>
      <c r="F192" s="1370"/>
      <c r="G192" s="1370"/>
      <c r="H192" s="1371"/>
      <c r="I192" s="1376"/>
      <c r="J192" s="1376"/>
      <c r="M192" s="472"/>
    </row>
    <row r="193" spans="5:13" ht="19.5">
      <c r="E193" s="2437" t="s">
        <v>2087</v>
      </c>
      <c r="F193" s="1370">
        <v>1</v>
      </c>
      <c r="G193" s="1370" t="s">
        <v>2077</v>
      </c>
      <c r="H193" s="1371" t="s">
        <v>2088</v>
      </c>
      <c r="I193" s="1376"/>
      <c r="J193" s="1376"/>
      <c r="M193" s="472"/>
    </row>
    <row r="194" spans="5:13" ht="19.5">
      <c r="E194" s="1369"/>
      <c r="F194" s="1370">
        <v>2</v>
      </c>
      <c r="G194" s="1370" t="s">
        <v>2089</v>
      </c>
      <c r="H194" s="1371" t="s">
        <v>2090</v>
      </c>
      <c r="I194" s="1376"/>
      <c r="J194" s="1376"/>
      <c r="M194" s="472"/>
    </row>
    <row r="195" spans="5:13" ht="19.5">
      <c r="E195" s="1369"/>
      <c r="F195" s="1370">
        <v>3</v>
      </c>
      <c r="G195" s="1370" t="s">
        <v>111</v>
      </c>
      <c r="H195" s="1371" t="s">
        <v>2084</v>
      </c>
      <c r="I195" s="1376"/>
      <c r="J195" s="1376"/>
      <c r="M195" s="472"/>
    </row>
    <row r="196" spans="5:13" ht="19.5">
      <c r="E196" s="1369"/>
      <c r="F196" s="1370">
        <v>4</v>
      </c>
      <c r="G196" s="1370" t="s">
        <v>2077</v>
      </c>
      <c r="H196" s="1371" t="s">
        <v>2091</v>
      </c>
      <c r="I196" s="1376"/>
      <c r="J196" s="1376"/>
      <c r="M196" s="472"/>
    </row>
    <row r="197" spans="5:13" ht="19.5">
      <c r="E197" s="1369"/>
      <c r="F197" s="1370">
        <v>5</v>
      </c>
      <c r="G197" s="1370" t="s">
        <v>2073</v>
      </c>
      <c r="H197" s="1371" t="s">
        <v>2092</v>
      </c>
      <c r="I197" s="1376"/>
      <c r="J197" s="1376"/>
      <c r="M197" s="472"/>
    </row>
    <row r="198" spans="5:13" ht="19.5">
      <c r="E198" s="1369"/>
      <c r="F198" s="1370"/>
      <c r="G198" s="1370"/>
      <c r="H198" s="1371"/>
      <c r="I198" s="1376"/>
      <c r="J198" s="1376"/>
      <c r="M198" s="472"/>
    </row>
    <row r="199" spans="5:13" ht="19.5">
      <c r="E199" s="1369" t="s">
        <v>2093</v>
      </c>
      <c r="F199" s="1370">
        <v>1</v>
      </c>
      <c r="G199" s="1370" t="s">
        <v>2077</v>
      </c>
      <c r="H199" s="1371" t="s">
        <v>2086</v>
      </c>
      <c r="I199" s="1376"/>
      <c r="J199" s="1376"/>
      <c r="M199" s="472"/>
    </row>
    <row r="200" spans="5:13" ht="19.5">
      <c r="E200" s="1369"/>
      <c r="F200" s="1370">
        <v>2</v>
      </c>
      <c r="G200" s="1370" t="s">
        <v>2077</v>
      </c>
      <c r="H200" s="1371" t="s">
        <v>2088</v>
      </c>
      <c r="I200" s="1376"/>
      <c r="J200" s="1376"/>
      <c r="M200" s="472"/>
    </row>
    <row r="201" spans="5:13" ht="19.5">
      <c r="E201" s="1369"/>
      <c r="F201" s="1370">
        <v>3</v>
      </c>
      <c r="G201" s="1370" t="s">
        <v>2094</v>
      </c>
      <c r="H201" s="1371" t="s">
        <v>2095</v>
      </c>
      <c r="I201" s="1376"/>
      <c r="J201" s="1376"/>
      <c r="M201" s="472"/>
    </row>
    <row r="202" spans="5:13" ht="19.5">
      <c r="E202" s="1369"/>
      <c r="F202" s="1370">
        <v>4</v>
      </c>
      <c r="G202" s="1370" t="s">
        <v>2089</v>
      </c>
      <c r="H202" s="1371" t="s">
        <v>2096</v>
      </c>
      <c r="I202" s="1376"/>
      <c r="J202" s="1376"/>
      <c r="M202" s="472"/>
    </row>
    <row r="203" spans="5:13" ht="19.5">
      <c r="E203" s="1369"/>
      <c r="F203" s="1370">
        <v>5</v>
      </c>
      <c r="G203" s="1370" t="s">
        <v>2075</v>
      </c>
      <c r="H203" s="1371">
        <v>605</v>
      </c>
      <c r="I203" s="1376"/>
      <c r="J203" s="1376"/>
      <c r="M203" s="472"/>
    </row>
    <row r="204" spans="5:13" ht="19.5">
      <c r="E204" s="1369"/>
      <c r="F204" s="1370"/>
      <c r="G204" s="1370"/>
      <c r="H204" s="1371"/>
      <c r="I204" s="1376"/>
      <c r="J204" s="1376"/>
      <c r="M204" s="472"/>
    </row>
    <row r="205" spans="5:13" ht="19.5">
      <c r="E205" s="1369" t="s">
        <v>2097</v>
      </c>
      <c r="F205" s="1370">
        <v>1</v>
      </c>
      <c r="G205" s="1370" t="s">
        <v>2094</v>
      </c>
      <c r="H205" s="1371" t="s">
        <v>2098</v>
      </c>
      <c r="I205" s="1376"/>
      <c r="J205" s="1376"/>
      <c r="M205" s="472"/>
    </row>
    <row r="206" spans="5:13" ht="19.5">
      <c r="E206" s="1369"/>
      <c r="F206" s="1370">
        <v>2</v>
      </c>
      <c r="G206" s="1370" t="s">
        <v>2099</v>
      </c>
      <c r="H206" s="1371" t="s">
        <v>2081</v>
      </c>
      <c r="I206" s="1376" t="s">
        <v>2100</v>
      </c>
      <c r="J206" s="1376"/>
      <c r="M206" s="472"/>
    </row>
    <row r="207" spans="5:13" ht="19.5">
      <c r="E207" s="1369"/>
      <c r="F207" s="1370">
        <v>3</v>
      </c>
      <c r="G207" s="1370" t="s">
        <v>2075</v>
      </c>
      <c r="H207" s="1371" t="s">
        <v>2101</v>
      </c>
      <c r="I207" s="1376"/>
      <c r="J207" s="1376"/>
      <c r="M207" s="472"/>
    </row>
    <row r="208" spans="5:13" ht="19.5">
      <c r="E208" s="1369"/>
      <c r="F208" s="1370">
        <v>4</v>
      </c>
      <c r="G208" s="1370" t="s">
        <v>2077</v>
      </c>
      <c r="H208" s="1371">
        <v>605</v>
      </c>
      <c r="I208" s="1376"/>
      <c r="J208" s="1376"/>
      <c r="M208" s="472"/>
    </row>
    <row r="209" spans="5:13" ht="19.5">
      <c r="E209" s="1369"/>
      <c r="F209" s="1370">
        <v>5</v>
      </c>
      <c r="G209" s="1370" t="s">
        <v>2077</v>
      </c>
      <c r="H209" s="1371">
        <v>605</v>
      </c>
      <c r="I209" s="1376"/>
      <c r="J209" s="1376"/>
      <c r="M209" s="472"/>
    </row>
    <row r="210" spans="5:13" ht="19.5">
      <c r="E210" s="1369"/>
      <c r="F210" s="1370"/>
      <c r="G210" s="1370"/>
      <c r="H210" s="1371"/>
      <c r="I210" s="1376"/>
      <c r="J210" s="1376"/>
      <c r="M210" s="472"/>
    </row>
    <row r="211" spans="5:13" ht="19.5">
      <c r="E211" s="1369" t="s">
        <v>2102</v>
      </c>
      <c r="F211" s="1370">
        <v>1</v>
      </c>
      <c r="G211" s="1370" t="s">
        <v>2103</v>
      </c>
      <c r="H211" s="1371" t="s">
        <v>2104</v>
      </c>
      <c r="I211" s="1376"/>
      <c r="J211" s="1376"/>
      <c r="M211" s="472"/>
    </row>
    <row r="212" spans="5:13" ht="19.5">
      <c r="E212" s="1369"/>
      <c r="F212" s="1370">
        <v>2</v>
      </c>
      <c r="G212" s="1370" t="s">
        <v>2105</v>
      </c>
      <c r="H212" s="1371" t="s">
        <v>2106</v>
      </c>
      <c r="I212" s="1376"/>
      <c r="J212" s="1376"/>
      <c r="M212" s="472"/>
    </row>
    <row r="213" spans="5:13" ht="19.5">
      <c r="E213" s="1369"/>
      <c r="F213" s="1370">
        <v>3</v>
      </c>
      <c r="G213" s="1370" t="s">
        <v>2094</v>
      </c>
      <c r="H213" s="1371" t="s">
        <v>2106</v>
      </c>
      <c r="I213" s="1376"/>
      <c r="J213" s="1376"/>
      <c r="M213" s="472"/>
    </row>
    <row r="214" spans="5:13" ht="19.5">
      <c r="E214" s="1369"/>
      <c r="F214" s="1370">
        <v>4</v>
      </c>
      <c r="G214" s="1370" t="s">
        <v>2107</v>
      </c>
      <c r="H214" s="1371" t="s">
        <v>2108</v>
      </c>
      <c r="I214" s="1376"/>
      <c r="J214" s="1376"/>
      <c r="M214" s="472"/>
    </row>
    <row r="215" spans="5:13" ht="19.5">
      <c r="E215" s="1369"/>
      <c r="F215" s="1370">
        <v>5</v>
      </c>
      <c r="G215" s="1370" t="s">
        <v>337</v>
      </c>
      <c r="H215" s="1371" t="s">
        <v>2109</v>
      </c>
      <c r="I215" s="1376"/>
      <c r="J215" s="1376"/>
      <c r="M215" s="472"/>
    </row>
    <row r="216" spans="5:13">
      <c r="E216" s="7"/>
      <c r="F216" s="8"/>
      <c r="G216" s="8"/>
      <c r="H216" s="1377"/>
      <c r="I216" s="9"/>
    </row>
    <row r="218" spans="5:13" ht="18" customHeight="1">
      <c r="E218" s="2946" t="s">
        <v>2110</v>
      </c>
      <c r="F218" s="2946"/>
      <c r="G218" s="2946"/>
      <c r="H218" s="1378"/>
    </row>
    <row r="219" spans="5:13">
      <c r="E219" s="1379" t="s">
        <v>2111</v>
      </c>
      <c r="F219" s="1380"/>
      <c r="G219" s="1381" t="s">
        <v>2112</v>
      </c>
      <c r="H219" s="27"/>
    </row>
    <row r="220" spans="5:13">
      <c r="E220" s="1382" t="s">
        <v>385</v>
      </c>
      <c r="F220" s="1383">
        <f>+G220/G226*100</f>
        <v>9.9210030832021463</v>
      </c>
      <c r="G220" s="1384">
        <v>1003.04</v>
      </c>
    </row>
    <row r="221" spans="5:13">
      <c r="E221" s="536" t="s">
        <v>564</v>
      </c>
      <c r="F221" s="484">
        <f>+G221/G226*100</f>
        <v>19.366430246952902</v>
      </c>
      <c r="G221" s="1385">
        <v>1957.998</v>
      </c>
    </row>
    <row r="222" spans="5:13">
      <c r="E222" s="536" t="s">
        <v>2113</v>
      </c>
      <c r="F222" s="484">
        <f>+G222/G226*100</f>
        <v>41.524418541625202</v>
      </c>
      <c r="G222" s="1385">
        <v>4198.2299999999996</v>
      </c>
    </row>
    <row r="223" spans="5:13">
      <c r="E223" s="536" t="s">
        <v>2114</v>
      </c>
      <c r="F223" s="484">
        <f>+G223/G226*100</f>
        <v>16.389278701613051</v>
      </c>
      <c r="G223" s="1110">
        <v>1657</v>
      </c>
    </row>
    <row r="224" spans="5:13">
      <c r="E224" s="536" t="s">
        <v>2115</v>
      </c>
      <c r="F224" s="484">
        <f>+G224/G226*100</f>
        <v>1.4341855230741658</v>
      </c>
      <c r="G224" s="1110">
        <v>145</v>
      </c>
    </row>
    <row r="225" spans="2:11">
      <c r="E225" s="536" t="s">
        <v>500</v>
      </c>
      <c r="F225" s="484">
        <f>+G225/G226*100</f>
        <v>11.364683903532526</v>
      </c>
      <c r="G225" s="1110">
        <v>1149</v>
      </c>
    </row>
    <row r="226" spans="2:11">
      <c r="E226" s="1386" t="s">
        <v>23</v>
      </c>
      <c r="F226" s="1380"/>
      <c r="G226" s="1381">
        <f>SUM(G220:G225)</f>
        <v>10110.268</v>
      </c>
    </row>
    <row r="230" spans="2:11">
      <c r="B230" s="84" t="s">
        <v>2116</v>
      </c>
    </row>
    <row r="231" spans="2:11">
      <c r="B231" s="2782" t="s">
        <v>2117</v>
      </c>
      <c r="C231" s="2783"/>
      <c r="D231" s="2783"/>
      <c r="E231" s="2783"/>
      <c r="F231" s="2783"/>
      <c r="G231" s="2783"/>
      <c r="H231" s="2783"/>
      <c r="I231" s="2783"/>
      <c r="J231" s="2784"/>
    </row>
    <row r="232" spans="2:11">
      <c r="B232" s="988"/>
      <c r="C232" s="84"/>
      <c r="D232" s="84"/>
      <c r="E232" s="2438" t="s">
        <v>33</v>
      </c>
      <c r="F232" s="1387" t="s">
        <v>34</v>
      </c>
      <c r="G232" s="1387" t="s">
        <v>40</v>
      </c>
      <c r="H232" s="1387" t="s">
        <v>41</v>
      </c>
      <c r="I232" s="1387" t="s">
        <v>170</v>
      </c>
      <c r="J232" s="1387" t="s">
        <v>2118</v>
      </c>
      <c r="K232" s="1388" t="s">
        <v>176</v>
      </c>
    </row>
    <row r="233" spans="2:11">
      <c r="B233" s="232" t="s">
        <v>2119</v>
      </c>
      <c r="C233" s="233"/>
      <c r="D233" s="233"/>
      <c r="E233" s="1387">
        <f>31825.935-2320.31-2831.975-1994.445</f>
        <v>24679.205000000002</v>
      </c>
      <c r="F233" s="1387">
        <f>86.33+43.3+292+614.635+6572.19+1992.04+6372.27+41.23+776.405+42.86+561.265+1748.025+122.46+207.93+41.57+131.29+222.335</f>
        <v>19868.134999999998</v>
      </c>
      <c r="G233" s="1387">
        <f>35.04+84.25+7983.525+6211.456+41.64+456.51+296.66+1779.31+43.74+437.33+219.02+165.82+1627.265</f>
        <v>19381.566000000003</v>
      </c>
      <c r="H233" s="1387">
        <f>42.5+86.38+847.66+9383.53+50.17+1811.555+1251.79+171.275+41.7+2751.295+47.31+83.82</f>
        <v>16568.985000000001</v>
      </c>
      <c r="I233" s="1387">
        <f>30520.33-5.6-1636.31-1467.6-4124.24</f>
        <v>23286.58</v>
      </c>
      <c r="J233" s="1387">
        <f>38299.27-21.52-526.1-526.76-4275.38</f>
        <v>32949.51</v>
      </c>
      <c r="K233">
        <v>3583.43</v>
      </c>
    </row>
    <row r="234" spans="2:11">
      <c r="B234" s="988" t="s">
        <v>2120</v>
      </c>
      <c r="C234" s="84"/>
      <c r="D234" s="84"/>
      <c r="E234" s="1388">
        <f>1754.545+41.75+41.1+39.42+39.95+40.55+245.295+78.64+39.06</f>
        <v>2320.31</v>
      </c>
      <c r="F234" s="1388">
        <f>79.37+173.29+771.79+264.74+1121.075+40.53+38.26+122.08+281.82+351.67+36.19+115.13+40.56+116.41+79.97+37.31+160.52</f>
        <v>3830.7150000000006</v>
      </c>
      <c r="G234" s="1388">
        <f>135.64+283.66+38.71+73.79+121.71+140.08+233.88+79.31+123.58+34.49+41.03</f>
        <v>1305.8799999999999</v>
      </c>
      <c r="H234" s="1388">
        <f>22153.84-865.35-1314.14-16568.985</f>
        <v>3405.3650000000016</v>
      </c>
      <c r="I234" s="1388">
        <f>208.945+1220.015+41.7+165.65</f>
        <v>1636.3100000000002</v>
      </c>
      <c r="J234" s="1388">
        <f>25.08+500.93</f>
        <v>526.01</v>
      </c>
    </row>
    <row r="235" spans="2:11">
      <c r="B235" s="988" t="s">
        <v>2121</v>
      </c>
      <c r="C235" s="84"/>
      <c r="D235" s="84"/>
      <c r="E235" s="1388">
        <f>343+0.82+114.83+85.92+112.79+102.45+38.48+39.24+463.135+228.08+65.98+784.31+96.79+35.49+205.51+73.18+20.87+21.1</f>
        <v>2831.9749999999995</v>
      </c>
      <c r="F235" s="1388">
        <f>45.23+143.65+165.16+33.13+37.78+34.85+112.79+458.38+70.96+165.43+240.38+145.17+235.86</f>
        <v>1888.77</v>
      </c>
      <c r="G235" s="1388">
        <f>26451.9-19381.566-1305.88-1494.3</f>
        <v>4270.1540000000023</v>
      </c>
      <c r="H235" s="1388">
        <f>595.38+147.33+429.02+25.62+36.38+41.1+39.31</f>
        <v>1314.1399999999999</v>
      </c>
      <c r="I235" s="1388">
        <f>115.27+1267.82+84.51</f>
        <v>1467.6</v>
      </c>
      <c r="J235" s="1388">
        <v>526.76</v>
      </c>
    </row>
    <row r="236" spans="2:11">
      <c r="B236" s="988" t="s">
        <v>2122</v>
      </c>
      <c r="C236" s="84"/>
      <c r="D236" s="84"/>
      <c r="E236" s="1388">
        <f>463.135+228.08+65.98+784.31+96.79+35.49+205.51+73.18+20.87+21.1</f>
        <v>1994.4449999999999</v>
      </c>
      <c r="F236" s="1388">
        <f>28443.255-19868.135-3830.715-1888.77</f>
        <v>2855.6350000000025</v>
      </c>
      <c r="G236" s="1388">
        <f>78.19+133.02+35.98+402.91+115.32+127.19+74.39+39.01+37.06+228.29+84.82+35.02+35.06+68.04</f>
        <v>1494.3</v>
      </c>
      <c r="H236" s="1388">
        <f>194.5+30.55+146.6+196.79+45.81+31.55+39.08+32.42+106.95+41.1</f>
        <v>865.35</v>
      </c>
      <c r="I236" s="1388">
        <f>383.29+803.87+2537.94+33.64+68.22+37.6+111.51+148.17</f>
        <v>4124.24</v>
      </c>
      <c r="J236" s="1388">
        <f>92.37+3300.11+66.81+31.25+113.42+628.41+43.01</f>
        <v>4275.38</v>
      </c>
    </row>
    <row r="237" spans="2:11">
      <c r="B237" s="91" t="s">
        <v>23</v>
      </c>
      <c r="C237" s="591"/>
      <c r="D237" s="591"/>
      <c r="E237" s="1389">
        <f t="shared" ref="E237:J237" si="17">SUM(E233:E236)</f>
        <v>31825.935000000001</v>
      </c>
      <c r="F237" s="1389">
        <f t="shared" si="17"/>
        <v>28443.255000000001</v>
      </c>
      <c r="G237" s="1389">
        <f t="shared" si="17"/>
        <v>26451.900000000005</v>
      </c>
      <c r="H237" s="1389">
        <f t="shared" si="17"/>
        <v>22153.84</v>
      </c>
      <c r="I237" s="1389">
        <f t="shared" si="17"/>
        <v>30514.730000000003</v>
      </c>
      <c r="J237" s="1389">
        <f t="shared" si="17"/>
        <v>38277.660000000003</v>
      </c>
    </row>
    <row r="239" spans="2:11">
      <c r="B239" s="2782" t="s">
        <v>2123</v>
      </c>
      <c r="C239" s="2783"/>
      <c r="D239" s="2783"/>
      <c r="E239" s="2783"/>
      <c r="F239" s="2783"/>
      <c r="G239" s="2784"/>
    </row>
    <row r="240" spans="2:11">
      <c r="B240" s="988"/>
      <c r="C240" s="84"/>
      <c r="D240" s="84"/>
      <c r="E240" s="2439" t="s">
        <v>155</v>
      </c>
      <c r="F240" s="2440" t="s">
        <v>168</v>
      </c>
      <c r="G240" s="2439" t="s">
        <v>166</v>
      </c>
    </row>
    <row r="241" spans="2:13">
      <c r="B241" s="988" t="s">
        <v>2124</v>
      </c>
      <c r="C241" s="84"/>
      <c r="D241" s="84"/>
      <c r="E241" s="95">
        <v>19.734999999999999</v>
      </c>
      <c r="F241" s="95">
        <v>32.369999999999997</v>
      </c>
      <c r="G241" s="95">
        <v>4639.04</v>
      </c>
    </row>
    <row r="242" spans="2:13">
      <c r="B242" s="988" t="s">
        <v>2125</v>
      </c>
      <c r="C242" s="84"/>
      <c r="D242" s="84"/>
      <c r="E242" s="95">
        <v>579.73500000000001</v>
      </c>
      <c r="F242" s="95">
        <v>366.21499999999997</v>
      </c>
      <c r="G242" s="95">
        <v>197.70500000000001</v>
      </c>
    </row>
    <row r="243" spans="2:13">
      <c r="B243" s="988" t="s">
        <v>2126</v>
      </c>
      <c r="C243" s="84"/>
      <c r="D243" s="84"/>
      <c r="E243" s="95"/>
      <c r="F243" s="95">
        <v>4586.1099999999997</v>
      </c>
      <c r="G243" s="95">
        <v>62.18</v>
      </c>
    </row>
    <row r="244" spans="2:13">
      <c r="B244" s="988" t="s">
        <v>2127</v>
      </c>
      <c r="C244" s="84"/>
      <c r="D244" s="84"/>
      <c r="E244" s="95">
        <v>0</v>
      </c>
      <c r="F244" s="95"/>
      <c r="G244" s="95">
        <v>398.95</v>
      </c>
    </row>
    <row r="245" spans="2:13">
      <c r="B245" s="590" t="s">
        <v>23</v>
      </c>
      <c r="C245" s="591"/>
      <c r="D245" s="591"/>
      <c r="E245" s="97">
        <f>SUM(E241:E244)</f>
        <v>599.47</v>
      </c>
      <c r="F245" s="97">
        <f>SUM(F241:F244)</f>
        <v>4984.6949999999997</v>
      </c>
      <c r="G245" s="97">
        <f>SUM(G241:G244)</f>
        <v>5297.875</v>
      </c>
      <c r="K245" s="290" t="s">
        <v>704</v>
      </c>
      <c r="L245" s="290" t="s">
        <v>1060</v>
      </c>
      <c r="M245" s="290" t="s">
        <v>2128</v>
      </c>
    </row>
    <row r="247" spans="2:13">
      <c r="B247" s="2774" t="s">
        <v>2129</v>
      </c>
      <c r="C247" s="2778"/>
      <c r="D247" s="2778"/>
      <c r="E247" s="2778"/>
      <c r="F247" s="2778"/>
      <c r="G247" s="354"/>
    </row>
    <row r="248" spans="2:13">
      <c r="B248" s="111"/>
      <c r="C248" s="121"/>
      <c r="D248" s="121"/>
      <c r="E248" s="1391" t="s">
        <v>2130</v>
      </c>
      <c r="F248" s="1391" t="s">
        <v>2131</v>
      </c>
      <c r="G248" s="1392" t="s">
        <v>2132</v>
      </c>
    </row>
    <row r="249" spans="2:13">
      <c r="B249" s="139" t="s">
        <v>2133</v>
      </c>
      <c r="C249" s="13"/>
      <c r="D249" s="13"/>
      <c r="E249" s="89">
        <f>21*3.9</f>
        <v>81.899999999999991</v>
      </c>
      <c r="F249" s="89">
        <v>66.7</v>
      </c>
      <c r="G249" s="64">
        <v>42</v>
      </c>
    </row>
    <row r="250" spans="2:13">
      <c r="B250" s="139" t="s">
        <v>2134</v>
      </c>
      <c r="C250" s="13"/>
      <c r="D250" s="13"/>
      <c r="E250" s="89">
        <f>27*3.9</f>
        <v>105.3</v>
      </c>
      <c r="F250" s="89">
        <f>45.82*2</f>
        <v>91.64</v>
      </c>
      <c r="G250" s="64">
        <v>54</v>
      </c>
    </row>
    <row r="251" spans="2:13">
      <c r="B251" s="139" t="s">
        <v>2135</v>
      </c>
      <c r="C251" s="13"/>
      <c r="D251" s="13"/>
      <c r="E251" s="89">
        <f>28*3.9</f>
        <v>109.2</v>
      </c>
      <c r="F251" s="89">
        <f>45.85*2</f>
        <v>91.7</v>
      </c>
      <c r="G251" s="64">
        <v>56</v>
      </c>
    </row>
    <row r="252" spans="2:13">
      <c r="B252" s="139" t="s">
        <v>2136</v>
      </c>
      <c r="C252" s="13"/>
      <c r="D252" s="13"/>
      <c r="E252" s="89">
        <f>27*3.9</f>
        <v>105.3</v>
      </c>
      <c r="F252" s="89">
        <f>38.28+36.54</f>
        <v>74.819999999999993</v>
      </c>
      <c r="G252" s="64">
        <v>46</v>
      </c>
    </row>
    <row r="253" spans="2:13">
      <c r="B253" s="141" t="s">
        <v>2137</v>
      </c>
      <c r="C253" s="109"/>
      <c r="D253" s="109"/>
      <c r="E253" s="984">
        <f>27*3.9</f>
        <v>105.3</v>
      </c>
      <c r="F253" s="984">
        <f>39.44+38.28</f>
        <v>77.72</v>
      </c>
      <c r="G253" s="887">
        <v>46</v>
      </c>
    </row>
    <row r="257" spans="1:16">
      <c r="B257" s="2947" t="s">
        <v>2138</v>
      </c>
      <c r="C257" s="2948"/>
      <c r="D257" s="2948"/>
      <c r="E257" s="2948"/>
      <c r="F257" s="2948"/>
      <c r="G257" s="2948"/>
      <c r="H257" s="2949"/>
    </row>
    <row r="258" spans="1:16">
      <c r="B258" s="1393" t="s">
        <v>2139</v>
      </c>
      <c r="C258" s="1394"/>
      <c r="D258" s="1394"/>
      <c r="E258" s="1395" t="s">
        <v>41</v>
      </c>
      <c r="F258" s="1395" t="s">
        <v>170</v>
      </c>
      <c r="G258" s="1396"/>
      <c r="H258" s="1397"/>
    </row>
    <row r="259" spans="1:16">
      <c r="B259" s="1398" t="s">
        <v>2140</v>
      </c>
      <c r="C259" s="1394"/>
      <c r="D259" s="1394"/>
      <c r="E259" s="1399">
        <f>2041.13+4980.41</f>
        <v>7021.54</v>
      </c>
      <c r="F259" s="1399">
        <f>3894.35+1909.89</f>
        <v>5804.24</v>
      </c>
      <c r="G259" s="1400"/>
      <c r="H259" s="1397"/>
    </row>
    <row r="260" spans="1:16">
      <c r="B260" s="1398" t="s">
        <v>2141</v>
      </c>
      <c r="C260" s="1394"/>
      <c r="D260" s="1394"/>
      <c r="E260" s="1399">
        <v>2763.13</v>
      </c>
      <c r="F260" s="1399">
        <v>1463.92</v>
      </c>
      <c r="G260" s="1400"/>
      <c r="H260" s="1397"/>
    </row>
    <row r="261" spans="1:16">
      <c r="B261" s="1398" t="s">
        <v>2142</v>
      </c>
      <c r="C261" s="1394"/>
      <c r="D261" s="1394"/>
      <c r="E261" s="1399">
        <f>163.95+52.54</f>
        <v>216.48999999999998</v>
      </c>
      <c r="F261" s="1399">
        <v>221.75</v>
      </c>
      <c r="G261" s="1400"/>
      <c r="H261" s="1397"/>
    </row>
    <row r="262" spans="1:16" ht="20.25">
      <c r="A262" t="s">
        <v>2143</v>
      </c>
      <c r="B262" s="1401"/>
      <c r="C262" s="1394"/>
      <c r="D262" s="1394"/>
      <c r="E262" s="1399">
        <v>22.41</v>
      </c>
      <c r="F262" s="1399"/>
      <c r="G262" s="1400"/>
      <c r="H262" s="1397"/>
    </row>
    <row r="263" spans="1:16">
      <c r="B263" s="1398" t="s">
        <v>123</v>
      </c>
      <c r="C263" s="1394"/>
      <c r="D263" s="1394"/>
      <c r="E263" s="1399">
        <v>1033.23</v>
      </c>
      <c r="F263" s="1399">
        <f>11.8+198.24+214.27+2.96</f>
        <v>427.27000000000004</v>
      </c>
      <c r="G263" s="1400"/>
      <c r="H263" s="1397"/>
    </row>
    <row r="264" spans="1:16">
      <c r="B264" s="1398" t="s">
        <v>2045</v>
      </c>
      <c r="C264" s="1394"/>
      <c r="D264" s="1394"/>
      <c r="E264" s="1399">
        <v>2891.1179999999999</v>
      </c>
      <c r="F264" s="1399">
        <v>1714.595</v>
      </c>
      <c r="G264" s="1400"/>
      <c r="H264" s="1397"/>
    </row>
    <row r="265" spans="1:16">
      <c r="B265" s="1398" t="s">
        <v>2144</v>
      </c>
      <c r="C265" s="1394"/>
      <c r="D265" s="1394"/>
      <c r="E265" s="1399"/>
      <c r="F265" s="1399">
        <v>11</v>
      </c>
      <c r="G265" s="1402" t="s">
        <v>2145</v>
      </c>
      <c r="H265" s="1397"/>
    </row>
    <row r="266" spans="1:16">
      <c r="B266" s="1403"/>
      <c r="C266" s="1404"/>
      <c r="D266" s="1404"/>
      <c r="E266" s="1405">
        <f>SUM(E259:E265)</f>
        <v>13947.918</v>
      </c>
      <c r="F266" s="1405">
        <f>SUM(F259:F265)-11</f>
        <v>9631.7749999999996</v>
      </c>
      <c r="G266" s="1400"/>
      <c r="H266" s="1397"/>
    </row>
    <row r="267" spans="1:16">
      <c r="B267" s="1406"/>
      <c r="C267" s="1404"/>
      <c r="D267" s="1404"/>
      <c r="E267" s="1404"/>
      <c r="F267" s="1404"/>
      <c r="G267" s="1404"/>
      <c r="H267" s="1407"/>
    </row>
    <row r="270" spans="1:16">
      <c r="B270" s="353" t="s">
        <v>2146</v>
      </c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</row>
    <row r="271" spans="1:16">
      <c r="B271" s="353"/>
      <c r="C271" s="353"/>
      <c r="D271" s="353"/>
      <c r="E271" s="353" t="s">
        <v>69</v>
      </c>
      <c r="F271" s="353" t="s">
        <v>723</v>
      </c>
      <c r="G271" s="353" t="s">
        <v>2147</v>
      </c>
      <c r="H271" s="353" t="s">
        <v>1993</v>
      </c>
      <c r="I271" s="353" t="s">
        <v>2148</v>
      </c>
      <c r="J271" s="353" t="s">
        <v>2149</v>
      </c>
      <c r="K271" s="353" t="s">
        <v>2150</v>
      </c>
      <c r="L271" s="353" t="s">
        <v>2151</v>
      </c>
      <c r="M271" s="353" t="s">
        <v>2152</v>
      </c>
      <c r="N271" s="353" t="s">
        <v>2153</v>
      </c>
      <c r="O271" s="353" t="s">
        <v>734</v>
      </c>
      <c r="P271" s="353"/>
    </row>
    <row r="272" spans="1:16">
      <c r="B272" s="353" t="s">
        <v>335</v>
      </c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</row>
    <row r="273" spans="2:16">
      <c r="B273" s="353" t="s">
        <v>2154</v>
      </c>
      <c r="C273" s="353"/>
      <c r="D273" s="353"/>
      <c r="E273" s="353">
        <v>724.41200000000003</v>
      </c>
      <c r="F273" s="353">
        <v>1036.249</v>
      </c>
      <c r="G273" s="353">
        <v>288.61799999999999</v>
      </c>
      <c r="H273" s="353">
        <v>1182.595</v>
      </c>
      <c r="I273" s="353">
        <v>423.67700000000002</v>
      </c>
      <c r="J273" s="353">
        <v>239.405</v>
      </c>
      <c r="K273" s="353">
        <v>375.01900000000001</v>
      </c>
      <c r="L273" s="353"/>
      <c r="M273" s="353"/>
      <c r="N273" s="353"/>
      <c r="O273" s="353"/>
      <c r="P273" s="353" t="e">
        <f t="shared" ref="P273:P286" si="18">+E2715+F273+G273+H273+I273+J273+K273+L273+M273+#REF!+N273+O273+E273</f>
        <v>#REF!</v>
      </c>
    </row>
    <row r="274" spans="2:16">
      <c r="B274" s="353" t="s">
        <v>2155</v>
      </c>
      <c r="C274" s="353"/>
      <c r="D274" s="353"/>
      <c r="E274" s="353"/>
      <c r="F274" s="353"/>
      <c r="G274" s="353"/>
      <c r="H274" s="353"/>
      <c r="I274" s="353">
        <v>93.245999999999995</v>
      </c>
      <c r="J274" s="353"/>
      <c r="K274" s="353"/>
      <c r="L274" s="353"/>
      <c r="M274" s="353"/>
      <c r="N274" s="353"/>
      <c r="O274" s="353"/>
      <c r="P274" s="353" t="e">
        <f t="shared" si="18"/>
        <v>#REF!</v>
      </c>
    </row>
    <row r="275" spans="2:16">
      <c r="B275" s="353" t="s">
        <v>2156</v>
      </c>
      <c r="C275" s="353"/>
      <c r="D275" s="353"/>
      <c r="E275" s="353"/>
      <c r="F275" s="353"/>
      <c r="G275" s="353"/>
      <c r="H275" s="353"/>
      <c r="I275" s="353"/>
      <c r="J275" s="353"/>
      <c r="K275" s="353">
        <v>94.911000000000001</v>
      </c>
      <c r="L275" s="353"/>
      <c r="M275" s="353">
        <v>49.076999999999998</v>
      </c>
      <c r="N275" s="353"/>
      <c r="O275" s="353"/>
      <c r="P275" s="353" t="e">
        <f t="shared" si="18"/>
        <v>#REF!</v>
      </c>
    </row>
    <row r="276" spans="2:16">
      <c r="B276" s="353" t="s">
        <v>2157</v>
      </c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>
        <v>99.906999999999996</v>
      </c>
      <c r="N276" s="353"/>
      <c r="O276" s="353"/>
      <c r="P276" s="353" t="e">
        <f t="shared" si="18"/>
        <v>#REF!</v>
      </c>
    </row>
    <row r="277" spans="2:16">
      <c r="B277" s="353" t="s">
        <v>2158</v>
      </c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>
        <v>92.912000000000006</v>
      </c>
      <c r="N277" s="353"/>
      <c r="O277" s="353"/>
      <c r="P277" s="353" t="e">
        <f t="shared" si="18"/>
        <v>#REF!</v>
      </c>
    </row>
    <row r="278" spans="2:16">
      <c r="B278" s="353" t="s">
        <v>2159</v>
      </c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 t="e">
        <f t="shared" si="18"/>
        <v>#REF!</v>
      </c>
    </row>
    <row r="279" spans="2:16">
      <c r="B279" s="353" t="s">
        <v>23</v>
      </c>
      <c r="C279" s="353"/>
      <c r="D279" s="353"/>
      <c r="E279" s="353">
        <f>SUM(E273:E278)</f>
        <v>724.41200000000003</v>
      </c>
      <c r="F279" s="353">
        <f t="shared" ref="F279:O279" si="19">SUM(F273:F278)</f>
        <v>1036.249</v>
      </c>
      <c r="G279" s="353">
        <f t="shared" si="19"/>
        <v>288.61799999999999</v>
      </c>
      <c r="H279" s="353">
        <f t="shared" si="19"/>
        <v>1182.595</v>
      </c>
      <c r="I279" s="353">
        <f t="shared" si="19"/>
        <v>516.923</v>
      </c>
      <c r="J279" s="353">
        <f t="shared" si="19"/>
        <v>239.405</v>
      </c>
      <c r="K279" s="353">
        <f t="shared" si="19"/>
        <v>469.93</v>
      </c>
      <c r="L279" s="353"/>
      <c r="M279" s="353">
        <f t="shared" si="19"/>
        <v>241.89599999999999</v>
      </c>
      <c r="N279" s="353">
        <f t="shared" si="19"/>
        <v>0</v>
      </c>
      <c r="O279" s="353">
        <f t="shared" si="19"/>
        <v>0</v>
      </c>
      <c r="P279" s="353" t="e">
        <f t="shared" si="18"/>
        <v>#REF!</v>
      </c>
    </row>
    <row r="280" spans="2:16">
      <c r="B280" s="353" t="s">
        <v>2065</v>
      </c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 t="e">
        <f t="shared" si="18"/>
        <v>#REF!</v>
      </c>
    </row>
    <row r="281" spans="2:16">
      <c r="B281" s="353" t="s">
        <v>2045</v>
      </c>
      <c r="C281" s="353"/>
      <c r="D281" s="353"/>
      <c r="E281" s="353">
        <v>596.56500000000005</v>
      </c>
      <c r="F281" s="353">
        <v>96.78</v>
      </c>
      <c r="G281" s="353">
        <v>192.322</v>
      </c>
      <c r="H281" s="353">
        <v>194.15100000000001</v>
      </c>
      <c r="I281" s="353">
        <v>144.875</v>
      </c>
      <c r="J281" s="353"/>
      <c r="K281" s="353"/>
      <c r="L281" s="353"/>
      <c r="M281" s="353"/>
      <c r="N281" s="353"/>
      <c r="O281" s="353"/>
      <c r="P281" s="353" t="e">
        <f t="shared" si="18"/>
        <v>#REF!</v>
      </c>
    </row>
    <row r="282" spans="2:16">
      <c r="B282" s="353" t="s">
        <v>2157</v>
      </c>
      <c r="C282" s="353"/>
      <c r="D282" s="353"/>
      <c r="E282" s="353">
        <v>46.273000000000003</v>
      </c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 t="e">
        <f t="shared" si="18"/>
        <v>#REF!</v>
      </c>
    </row>
    <row r="283" spans="2:16">
      <c r="B283" s="353" t="s">
        <v>2160</v>
      </c>
      <c r="C283" s="353"/>
      <c r="D283" s="353"/>
      <c r="E283" s="353"/>
      <c r="F283" s="353"/>
      <c r="G283" s="353">
        <v>125.759</v>
      </c>
      <c r="H283" s="353"/>
      <c r="I283" s="353"/>
      <c r="J283" s="353"/>
      <c r="K283" s="353"/>
      <c r="L283" s="353"/>
      <c r="M283" s="353"/>
      <c r="N283" s="353"/>
      <c r="O283" s="353">
        <v>51</v>
      </c>
      <c r="P283" s="353" t="e">
        <f t="shared" si="18"/>
        <v>#REF!</v>
      </c>
    </row>
    <row r="284" spans="2:16">
      <c r="B284" s="353" t="s">
        <v>123</v>
      </c>
      <c r="C284" s="353"/>
      <c r="D284" s="353"/>
      <c r="E284" s="353"/>
      <c r="F284" s="353"/>
      <c r="G284" s="353">
        <v>90.091999999999999</v>
      </c>
      <c r="H284" s="353"/>
      <c r="I284" s="353"/>
      <c r="J284" s="353">
        <v>92.998000000000005</v>
      </c>
      <c r="K284" s="353">
        <v>165.65199999999999</v>
      </c>
      <c r="L284" s="353"/>
      <c r="M284" s="353">
        <v>189.227</v>
      </c>
      <c r="N284" s="353"/>
      <c r="O284" s="353"/>
      <c r="P284" s="353" t="e">
        <f t="shared" si="18"/>
        <v>#REF!</v>
      </c>
    </row>
    <row r="285" spans="2:16">
      <c r="B285" s="353" t="s">
        <v>2161</v>
      </c>
      <c r="C285" s="353"/>
      <c r="D285" s="353"/>
      <c r="E285" s="353">
        <f>SUM(E281:E284)</f>
        <v>642.83800000000008</v>
      </c>
      <c r="F285" s="353">
        <f t="shared" ref="F285:O285" si="20">SUM(F281:F284)</f>
        <v>96.78</v>
      </c>
      <c r="G285" s="353">
        <f t="shared" si="20"/>
        <v>408.173</v>
      </c>
      <c r="H285" s="353">
        <f t="shared" si="20"/>
        <v>194.15100000000001</v>
      </c>
      <c r="I285" s="353">
        <f t="shared" si="20"/>
        <v>144.875</v>
      </c>
      <c r="J285" s="353">
        <f t="shared" si="20"/>
        <v>92.998000000000005</v>
      </c>
      <c r="K285" s="353">
        <f t="shared" si="20"/>
        <v>165.65199999999999</v>
      </c>
      <c r="L285" s="353"/>
      <c r="M285" s="353">
        <f t="shared" si="20"/>
        <v>189.227</v>
      </c>
      <c r="N285" s="353"/>
      <c r="O285" s="353">
        <f t="shared" si="20"/>
        <v>51</v>
      </c>
      <c r="P285" s="353" t="e">
        <f t="shared" si="18"/>
        <v>#REF!</v>
      </c>
    </row>
    <row r="286" spans="2:16">
      <c r="B286" s="353"/>
      <c r="C286" s="353"/>
      <c r="D286" s="353"/>
      <c r="E286" s="353">
        <f t="shared" ref="E286:K286" si="21">+E285+E279</f>
        <v>1367.25</v>
      </c>
      <c r="F286" s="353">
        <f t="shared" si="21"/>
        <v>1133.029</v>
      </c>
      <c r="G286" s="353">
        <f t="shared" si="21"/>
        <v>696.79099999999994</v>
      </c>
      <c r="H286" s="353">
        <f t="shared" si="21"/>
        <v>1376.7460000000001</v>
      </c>
      <c r="I286" s="353">
        <f t="shared" si="21"/>
        <v>661.798</v>
      </c>
      <c r="J286" s="353">
        <f t="shared" si="21"/>
        <v>332.40300000000002</v>
      </c>
      <c r="K286" s="353">
        <f t="shared" si="21"/>
        <v>635.58199999999999</v>
      </c>
      <c r="L286" s="353"/>
      <c r="M286" s="353">
        <f>+M285+M279</f>
        <v>431.12299999999999</v>
      </c>
      <c r="N286" s="353"/>
      <c r="O286" s="353">
        <f>+O285+O279</f>
        <v>51</v>
      </c>
      <c r="P286" s="353" t="e">
        <f t="shared" si="18"/>
        <v>#REF!</v>
      </c>
    </row>
    <row r="288" spans="2:16">
      <c r="B288" s="308"/>
      <c r="C288" s="127"/>
      <c r="D288" s="127"/>
      <c r="E288" s="127"/>
      <c r="F288" s="354"/>
    </row>
    <row r="289" spans="2:7">
      <c r="B289" s="2794" t="s">
        <v>2162</v>
      </c>
      <c r="C289" s="2793"/>
      <c r="D289" s="2793"/>
      <c r="E289" s="2793"/>
      <c r="F289" s="2802"/>
    </row>
    <row r="290" spans="2:7">
      <c r="B290" s="17"/>
      <c r="C290" s="18"/>
      <c r="D290" s="18"/>
      <c r="E290" s="2793" t="s">
        <v>2047</v>
      </c>
      <c r="F290" s="2802"/>
    </row>
    <row r="291" spans="2:7">
      <c r="B291" s="17" t="s">
        <v>704</v>
      </c>
      <c r="C291" s="18"/>
      <c r="D291" s="18"/>
      <c r="E291" s="18" t="s">
        <v>170</v>
      </c>
      <c r="F291" s="24" t="s">
        <v>41</v>
      </c>
    </row>
    <row r="292" spans="2:7">
      <c r="B292" s="988" t="s">
        <v>2045</v>
      </c>
      <c r="C292" s="84"/>
      <c r="D292" s="84"/>
      <c r="E292" s="84">
        <v>1729.93</v>
      </c>
      <c r="F292" s="96">
        <v>3096</v>
      </c>
    </row>
    <row r="293" spans="2:7">
      <c r="B293" s="988" t="s">
        <v>123</v>
      </c>
      <c r="C293" s="84"/>
      <c r="D293" s="84"/>
      <c r="E293" s="84">
        <v>430.11500000000001</v>
      </c>
      <c r="F293" s="96">
        <v>1030.79</v>
      </c>
    </row>
    <row r="294" spans="2:7">
      <c r="B294" s="988" t="s">
        <v>2163</v>
      </c>
      <c r="C294" s="84"/>
      <c r="D294" s="84"/>
      <c r="E294" s="84">
        <v>3817.9</v>
      </c>
      <c r="F294" s="96">
        <v>2548.9</v>
      </c>
    </row>
    <row r="295" spans="2:7">
      <c r="B295" s="988" t="s">
        <v>342</v>
      </c>
      <c r="C295" s="84"/>
      <c r="D295" s="84"/>
      <c r="E295" s="84">
        <v>157.94999999999999</v>
      </c>
      <c r="F295" s="96">
        <v>2265.65</v>
      </c>
    </row>
    <row r="296" spans="2:7">
      <c r="B296" s="988" t="s">
        <v>2164</v>
      </c>
      <c r="C296" s="84"/>
      <c r="D296" s="84"/>
      <c r="E296" s="84">
        <v>150.80000000000001</v>
      </c>
      <c r="F296" s="96">
        <v>931.75</v>
      </c>
    </row>
    <row r="297" spans="2:7">
      <c r="B297" s="988"/>
      <c r="C297" s="84"/>
      <c r="D297" s="84"/>
      <c r="E297" s="84">
        <f>SUM(E292:E296)</f>
        <v>6286.6949999999997</v>
      </c>
      <c r="F297" s="96">
        <f>SUM(F292:F296)</f>
        <v>9873.09</v>
      </c>
    </row>
    <row r="298" spans="2:7">
      <c r="B298" s="2782" t="s">
        <v>2165</v>
      </c>
      <c r="C298" s="2783"/>
      <c r="D298" s="2783"/>
      <c r="E298" s="2783"/>
      <c r="F298" s="2783"/>
      <c r="G298" s="2784"/>
    </row>
    <row r="299" spans="2:7">
      <c r="B299" s="17" t="s">
        <v>34</v>
      </c>
      <c r="C299" s="472"/>
      <c r="D299" s="472"/>
      <c r="E299" s="472" t="s">
        <v>40</v>
      </c>
      <c r="F299" s="472" t="s">
        <v>41</v>
      </c>
      <c r="G299" s="1408" t="s">
        <v>170</v>
      </c>
    </row>
    <row r="300" spans="2:7">
      <c r="B300" s="21">
        <f>92.14+691.964+107.9+389.279+3329.501+116.72+147.55+3034+857.65</f>
        <v>8766.7039999999997</v>
      </c>
      <c r="C300" s="591"/>
      <c r="D300" s="591"/>
      <c r="E300" s="22">
        <f>500.782+647+1274.4+589.368+7428.6+83+328.758+33+4819.268+557.174</f>
        <v>16261.349999999999</v>
      </c>
      <c r="F300" s="22">
        <f>883.73+574.48+1045+1058+787+7+4288.486+575.38</f>
        <v>9219.0759999999991</v>
      </c>
      <c r="G300" s="26">
        <f>652.41+856.42+910.4+1002.06+474.17+31.77+2608.94+720.07+345.78+19.3+295</f>
        <v>7916.32</v>
      </c>
    </row>
    <row r="307" spans="2:40">
      <c r="B307" s="308"/>
      <c r="C307" s="127"/>
      <c r="D307" s="127"/>
      <c r="E307" s="127"/>
      <c r="F307" s="127"/>
      <c r="G307" s="127"/>
      <c r="H307" s="127"/>
      <c r="I307" s="127"/>
      <c r="J307" s="127"/>
      <c r="K307" s="354"/>
      <c r="L307" s="1328"/>
    </row>
    <row r="308" spans="2:40">
      <c r="B308" s="988" t="s">
        <v>2166</v>
      </c>
      <c r="C308" s="84"/>
      <c r="D308" s="84"/>
      <c r="E308" s="84"/>
      <c r="F308" s="84"/>
      <c r="G308" s="84"/>
      <c r="H308" s="84"/>
      <c r="I308" s="84"/>
      <c r="J308" s="84"/>
      <c r="K308" s="63"/>
      <c r="L308" s="1409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14"/>
      <c r="AH308" s="14"/>
      <c r="AI308" s="84"/>
      <c r="AJ308" s="84"/>
    </row>
    <row r="309" spans="2:40" ht="20.25">
      <c r="B309" s="988" t="s">
        <v>39</v>
      </c>
      <c r="C309" s="84"/>
      <c r="D309" s="84"/>
      <c r="E309" s="2441" t="s">
        <v>168</v>
      </c>
      <c r="F309" s="2441" t="s">
        <v>2167</v>
      </c>
      <c r="G309" s="2441" t="s">
        <v>155</v>
      </c>
      <c r="H309" s="2441" t="s">
        <v>388</v>
      </c>
      <c r="I309" s="2441" t="s">
        <v>2048</v>
      </c>
      <c r="J309" s="2441" t="s">
        <v>2049</v>
      </c>
      <c r="K309" s="2442" t="s">
        <v>2050</v>
      </c>
      <c r="L309" s="1014" t="s">
        <v>2055</v>
      </c>
      <c r="N309" s="2443" t="s">
        <v>2168</v>
      </c>
      <c r="O309" s="2443" t="s">
        <v>2169</v>
      </c>
      <c r="P309" s="261" t="s">
        <v>275</v>
      </c>
      <c r="Q309" s="1410" t="s">
        <v>2170</v>
      </c>
      <c r="R309" s="1410"/>
      <c r="S309" s="2443" t="s">
        <v>2171</v>
      </c>
      <c r="T309" s="2443" t="s">
        <v>2172</v>
      </c>
      <c r="U309" s="2443" t="s">
        <v>2173</v>
      </c>
      <c r="V309" s="1277" t="s">
        <v>275</v>
      </c>
      <c r="W309" s="1277"/>
      <c r="X309" s="261" t="s">
        <v>2174</v>
      </c>
      <c r="Y309" s="261"/>
      <c r="Z309" s="261"/>
      <c r="AA309" s="261"/>
      <c r="AB309" s="261" t="s">
        <v>2175</v>
      </c>
      <c r="AC309" s="2443" t="s">
        <v>2176</v>
      </c>
      <c r="AD309" s="2443" t="s">
        <v>2177</v>
      </c>
      <c r="AE309" s="2443" t="s">
        <v>2178</v>
      </c>
      <c r="AF309" s="1411" t="s">
        <v>275</v>
      </c>
      <c r="AG309" s="1277" t="s">
        <v>2179</v>
      </c>
      <c r="AH309" s="1277" t="str">
        <f>+AB309</f>
        <v>SHORT FALL</v>
      </c>
      <c r="AI309" s="2443" t="s">
        <v>2180</v>
      </c>
      <c r="AJ309" s="2443" t="s">
        <v>2181</v>
      </c>
      <c r="AK309" s="2443" t="s">
        <v>2182</v>
      </c>
      <c r="AL309" s="2443" t="s">
        <v>2050</v>
      </c>
      <c r="AM309" s="84"/>
    </row>
    <row r="310" spans="2:40">
      <c r="B310" s="126" t="s">
        <v>79</v>
      </c>
      <c r="C310" s="852"/>
      <c r="D310" s="852"/>
      <c r="E310" s="126"/>
      <c r="F310" s="126"/>
      <c r="G310" s="126"/>
      <c r="H310" s="852"/>
      <c r="I310" s="126"/>
      <c r="J310" s="1309"/>
      <c r="K310" s="126"/>
      <c r="L310" s="126"/>
      <c r="M310" s="84" t="s">
        <v>524</v>
      </c>
      <c r="N310" s="84">
        <v>7077.32</v>
      </c>
      <c r="O310" s="84">
        <v>7802.33</v>
      </c>
      <c r="P310" s="84">
        <v>30500</v>
      </c>
      <c r="Q310" s="620" t="e">
        <f>+O310+N310+#REF!</f>
        <v>#REF!</v>
      </c>
      <c r="R310" s="620"/>
      <c r="S310" s="84">
        <v>8248.4</v>
      </c>
      <c r="T310" s="84">
        <v>8357.9969999999994</v>
      </c>
      <c r="U310" s="991">
        <v>7926.8029999999999</v>
      </c>
      <c r="V310" s="991">
        <v>31000</v>
      </c>
      <c r="W310" s="991"/>
      <c r="X310" s="620">
        <f>+U310+T310+S310</f>
        <v>24533.199999999997</v>
      </c>
      <c r="Y310" s="620"/>
      <c r="Z310" s="620"/>
      <c r="AA310" s="620"/>
      <c r="AB310" s="620">
        <f>+V310-X310</f>
        <v>6466.8000000000029</v>
      </c>
      <c r="AC310" s="84">
        <v>8206.1679999999997</v>
      </c>
      <c r="AD310" s="84">
        <v>8053.2129999999997</v>
      </c>
      <c r="AE310" s="84">
        <v>8094.1350000000002</v>
      </c>
      <c r="AF310" s="84">
        <v>35100</v>
      </c>
      <c r="AG310" s="620">
        <f>+AE310+AD310+AC310</f>
        <v>24353.516</v>
      </c>
      <c r="AH310" s="620">
        <f>+AF310-AG310</f>
        <v>10746.484</v>
      </c>
      <c r="AI310" s="84">
        <v>0</v>
      </c>
      <c r="AJ310" s="84">
        <v>0</v>
      </c>
      <c r="AK310" s="84">
        <v>0</v>
      </c>
      <c r="AL310" s="84" t="e">
        <f t="shared" ref="AL310:AL326" si="22">SUM(N310:AK310)</f>
        <v>#REF!</v>
      </c>
      <c r="AM310" s="84"/>
    </row>
    <row r="311" spans="2:40">
      <c r="B311" s="496" t="s">
        <v>2183</v>
      </c>
      <c r="C311" s="18"/>
      <c r="D311" s="18"/>
      <c r="E311" s="496">
        <v>1471</v>
      </c>
      <c r="F311" s="496">
        <v>1813</v>
      </c>
      <c r="G311" s="496">
        <v>1085</v>
      </c>
      <c r="H311" s="18">
        <v>1398</v>
      </c>
      <c r="I311" s="496">
        <v>1104</v>
      </c>
      <c r="J311" s="17">
        <v>1089</v>
      </c>
      <c r="K311" s="17">
        <v>1071</v>
      </c>
      <c r="L311" s="507">
        <v>1148</v>
      </c>
      <c r="M311" s="84" t="s">
        <v>80</v>
      </c>
      <c r="N311" s="17">
        <v>6599.36</v>
      </c>
      <c r="O311" s="17">
        <v>7273.7</v>
      </c>
      <c r="P311" s="18">
        <v>27660</v>
      </c>
      <c r="Q311" s="620" t="e">
        <f>+O311+N311+#REF!</f>
        <v>#REF!</v>
      </c>
      <c r="R311" s="620"/>
      <c r="S311" s="17">
        <v>7939.4</v>
      </c>
      <c r="T311" s="17">
        <v>7638.6</v>
      </c>
      <c r="U311" s="515">
        <v>7287.5</v>
      </c>
      <c r="V311" s="20">
        <v>25450</v>
      </c>
      <c r="W311" s="20"/>
      <c r="X311" s="620">
        <f>+U311+T311+S311</f>
        <v>22865.5</v>
      </c>
      <c r="Y311" s="620"/>
      <c r="Z311" s="620"/>
      <c r="AA311" s="620"/>
      <c r="AB311" s="620">
        <f>+V311-X311</f>
        <v>2584.5</v>
      </c>
      <c r="AC311" s="17">
        <v>7496.1</v>
      </c>
      <c r="AD311" s="17">
        <v>7603.4</v>
      </c>
      <c r="AE311" s="17">
        <v>7451.08</v>
      </c>
      <c r="AF311" s="18">
        <v>28910</v>
      </c>
      <c r="AG311" s="620">
        <f>+AE311+AD311+AC311</f>
        <v>22550.58</v>
      </c>
      <c r="AH311" s="620">
        <f>+AF311-AG311</f>
        <v>6359.4199999999983</v>
      </c>
      <c r="AI311" s="17">
        <v>0</v>
      </c>
      <c r="AJ311" s="17">
        <v>0</v>
      </c>
      <c r="AK311" s="17">
        <v>0</v>
      </c>
      <c r="AL311" s="84" t="e">
        <f t="shared" si="22"/>
        <v>#REF!</v>
      </c>
      <c r="AM311" s="84"/>
    </row>
    <row r="312" spans="2:40">
      <c r="B312" s="496" t="s">
        <v>2184</v>
      </c>
      <c r="C312" s="18"/>
      <c r="D312" s="18"/>
      <c r="E312" s="496">
        <v>18499</v>
      </c>
      <c r="F312" s="496">
        <v>20790</v>
      </c>
      <c r="G312" s="496">
        <v>21380</v>
      </c>
      <c r="H312" s="18">
        <v>17379</v>
      </c>
      <c r="I312" s="496">
        <v>8558</v>
      </c>
      <c r="J312" s="17">
        <v>8262</v>
      </c>
      <c r="K312" s="17">
        <v>4980</v>
      </c>
      <c r="L312" s="496">
        <v>8409</v>
      </c>
      <c r="M312" s="84" t="s">
        <v>2185</v>
      </c>
      <c r="N312" s="84"/>
      <c r="O312" s="84"/>
      <c r="P312" s="84"/>
      <c r="Q312" s="620"/>
      <c r="R312" s="620"/>
      <c r="S312" s="84"/>
      <c r="T312" s="84"/>
      <c r="U312" s="991"/>
      <c r="V312" s="991"/>
      <c r="W312" s="991"/>
      <c r="X312" s="620"/>
      <c r="Y312" s="620"/>
      <c r="Z312" s="620"/>
      <c r="AA312" s="620"/>
      <c r="AB312" s="620"/>
      <c r="AC312" s="84"/>
      <c r="AD312" s="84"/>
      <c r="AE312" s="84"/>
      <c r="AF312" s="84"/>
      <c r="AG312" s="620"/>
      <c r="AH312" s="620"/>
      <c r="AI312" s="84"/>
      <c r="AJ312" s="84"/>
      <c r="AK312" s="84"/>
      <c r="AL312" s="84">
        <f t="shared" si="22"/>
        <v>0</v>
      </c>
      <c r="AM312" s="84"/>
    </row>
    <row r="313" spans="2:40">
      <c r="B313" s="496" t="s">
        <v>2186</v>
      </c>
      <c r="C313" s="18"/>
      <c r="D313" s="18"/>
      <c r="E313" s="496">
        <v>3868</v>
      </c>
      <c r="F313" s="496">
        <v>4769</v>
      </c>
      <c r="G313" s="496">
        <v>4030</v>
      </c>
      <c r="H313" s="18">
        <v>2767</v>
      </c>
      <c r="I313" s="496">
        <v>638</v>
      </c>
      <c r="J313" s="17">
        <v>1395</v>
      </c>
      <c r="K313" s="17">
        <v>2282</v>
      </c>
      <c r="L313" s="496">
        <v>2167</v>
      </c>
      <c r="M313" s="84" t="s">
        <v>123</v>
      </c>
      <c r="N313" s="17">
        <v>0</v>
      </c>
      <c r="O313" s="17">
        <v>0</v>
      </c>
      <c r="P313" s="17"/>
      <c r="Q313" s="1078"/>
      <c r="R313" s="1078"/>
      <c r="S313" s="17">
        <v>0</v>
      </c>
      <c r="T313" s="17">
        <v>0</v>
      </c>
      <c r="U313" s="515">
        <v>0</v>
      </c>
      <c r="V313" s="515"/>
      <c r="W313" s="515"/>
      <c r="X313" s="1078"/>
      <c r="Y313" s="1078"/>
      <c r="Z313" s="1078"/>
      <c r="AA313" s="1078"/>
      <c r="AB313" s="1078"/>
      <c r="AC313" s="17">
        <v>138.16200000000001</v>
      </c>
      <c r="AD313" s="17">
        <v>0</v>
      </c>
      <c r="AE313" s="17">
        <v>0</v>
      </c>
      <c r="AF313" s="18"/>
      <c r="AG313" s="620">
        <f t="shared" ref="AG313:AG325" si="23">+AE313+AD313+AC313</f>
        <v>138.16200000000001</v>
      </c>
      <c r="AH313" s="620"/>
      <c r="AI313" s="17">
        <v>0</v>
      </c>
      <c r="AJ313" s="17">
        <v>0</v>
      </c>
      <c r="AK313" s="17">
        <v>0</v>
      </c>
      <c r="AL313" s="84">
        <f t="shared" si="22"/>
        <v>276.32400000000001</v>
      </c>
      <c r="AM313" s="84"/>
    </row>
    <row r="314" spans="2:40">
      <c r="B314" s="496" t="s">
        <v>2187</v>
      </c>
      <c r="C314" s="18"/>
      <c r="D314" s="18"/>
      <c r="E314" s="496">
        <v>1783</v>
      </c>
      <c r="F314" s="496">
        <v>5574</v>
      </c>
      <c r="G314" s="496">
        <v>2718</v>
      </c>
      <c r="H314" s="18">
        <v>1921</v>
      </c>
      <c r="I314" s="496">
        <v>1317</v>
      </c>
      <c r="J314" s="17">
        <v>1388</v>
      </c>
      <c r="K314" s="17">
        <v>1262</v>
      </c>
      <c r="L314" s="496">
        <v>903</v>
      </c>
      <c r="M314" s="84" t="s">
        <v>2045</v>
      </c>
      <c r="N314" s="84">
        <v>215.83199999999999</v>
      </c>
      <c r="O314" s="84"/>
      <c r="P314" s="84"/>
      <c r="Q314" s="620" t="e">
        <f>+O314+N314+#REF!</f>
        <v>#REF!</v>
      </c>
      <c r="R314" s="620"/>
      <c r="S314" s="84">
        <v>0</v>
      </c>
      <c r="T314" s="84">
        <v>413.726</v>
      </c>
      <c r="U314" s="991">
        <v>352.73399999999998</v>
      </c>
      <c r="V314" s="991">
        <f>550*3</f>
        <v>1650</v>
      </c>
      <c r="W314" s="991"/>
      <c r="X314" s="620">
        <f t="shared" ref="X314:X326" si="24">+U314+T314+S314</f>
        <v>766.46</v>
      </c>
      <c r="Y314" s="620"/>
      <c r="Z314" s="620"/>
      <c r="AA314" s="620"/>
      <c r="AB314" s="620">
        <f>+V314-X314</f>
        <v>883.54</v>
      </c>
      <c r="AC314" s="84">
        <v>140.43100000000001</v>
      </c>
      <c r="AD314" s="84">
        <v>150.52199999999999</v>
      </c>
      <c r="AE314" s="84">
        <v>199.55199999999999</v>
      </c>
      <c r="AF314" s="84">
        <v>0</v>
      </c>
      <c r="AG314" s="620">
        <f t="shared" si="23"/>
        <v>490.505</v>
      </c>
      <c r="AH314" s="620"/>
      <c r="AI314" s="84">
        <v>0</v>
      </c>
      <c r="AJ314" s="84">
        <v>0</v>
      </c>
      <c r="AK314" s="84">
        <v>0</v>
      </c>
      <c r="AL314" s="84" t="e">
        <f t="shared" si="22"/>
        <v>#REF!</v>
      </c>
      <c r="AM314" s="84" t="e">
        <f>+AL314+AL315+AL316+AL318+AL313+52.153</f>
        <v>#REF!</v>
      </c>
    </row>
    <row r="315" spans="2:40">
      <c r="B315" s="496" t="s">
        <v>2188</v>
      </c>
      <c r="C315" s="18"/>
      <c r="D315" s="18"/>
      <c r="E315" s="496">
        <v>3947</v>
      </c>
      <c r="F315" s="496">
        <v>3836</v>
      </c>
      <c r="G315" s="496">
        <v>4966</v>
      </c>
      <c r="H315" s="18">
        <v>3524</v>
      </c>
      <c r="I315" s="496">
        <v>1251</v>
      </c>
      <c r="J315" s="17">
        <v>815</v>
      </c>
      <c r="K315" s="17">
        <v>689</v>
      </c>
      <c r="L315" s="496">
        <v>589</v>
      </c>
      <c r="M315" s="84" t="s">
        <v>2189</v>
      </c>
      <c r="N315" s="84"/>
      <c r="O315" s="84">
        <v>53.021000000000001</v>
      </c>
      <c r="P315" s="84"/>
      <c r="Q315" s="620" t="e">
        <f>+O315+N315+#REF!</f>
        <v>#REF!</v>
      </c>
      <c r="R315" s="620"/>
      <c r="S315" s="84"/>
      <c r="T315" s="18">
        <v>0</v>
      </c>
      <c r="U315" s="20">
        <v>0</v>
      </c>
      <c r="V315" s="20"/>
      <c r="W315" s="20"/>
      <c r="X315" s="620">
        <f t="shared" si="24"/>
        <v>0</v>
      </c>
      <c r="Y315" s="620"/>
      <c r="Z315" s="620"/>
      <c r="AA315" s="620"/>
      <c r="AB315" s="620"/>
      <c r="AC315" s="18">
        <v>0</v>
      </c>
      <c r="AD315" s="18">
        <v>0</v>
      </c>
      <c r="AE315" s="18">
        <v>0</v>
      </c>
      <c r="AF315" s="18"/>
      <c r="AG315" s="620">
        <f t="shared" si="23"/>
        <v>0</v>
      </c>
      <c r="AH315" s="620"/>
      <c r="AI315" s="18">
        <v>0</v>
      </c>
      <c r="AJ315" s="18">
        <v>0</v>
      </c>
      <c r="AK315" s="18">
        <v>0</v>
      </c>
      <c r="AL315" s="84" t="e">
        <f t="shared" si="22"/>
        <v>#REF!</v>
      </c>
      <c r="AM315" s="84"/>
    </row>
    <row r="316" spans="2:40">
      <c r="B316" s="496" t="s">
        <v>2190</v>
      </c>
      <c r="C316" s="18"/>
      <c r="D316" s="18"/>
      <c r="E316" s="496">
        <v>263</v>
      </c>
      <c r="F316" s="496">
        <v>134</v>
      </c>
      <c r="G316" s="496">
        <v>73</v>
      </c>
      <c r="H316" s="18">
        <v>26</v>
      </c>
      <c r="I316" s="496">
        <v>244</v>
      </c>
      <c r="J316" s="17">
        <v>310</v>
      </c>
      <c r="K316" s="17">
        <v>289</v>
      </c>
      <c r="L316" s="496">
        <v>468</v>
      </c>
      <c r="M316" s="84" t="s">
        <v>2191</v>
      </c>
      <c r="N316" s="84"/>
      <c r="O316" s="84">
        <v>97.277000000000001</v>
      </c>
      <c r="P316" s="84"/>
      <c r="Q316" s="620" t="e">
        <f>+O316+N316+#REF!</f>
        <v>#REF!</v>
      </c>
      <c r="R316" s="620"/>
      <c r="S316" s="84"/>
      <c r="T316" s="84">
        <v>0</v>
      </c>
      <c r="U316" s="991">
        <v>0</v>
      </c>
      <c r="V316" s="991"/>
      <c r="W316" s="991"/>
      <c r="X316" s="620">
        <f t="shared" si="24"/>
        <v>0</v>
      </c>
      <c r="Y316" s="620"/>
      <c r="Z316" s="620"/>
      <c r="AA316" s="620"/>
      <c r="AB316" s="620"/>
      <c r="AC316" s="84">
        <v>0</v>
      </c>
      <c r="AD316" s="84">
        <v>0</v>
      </c>
      <c r="AE316" s="84">
        <v>0</v>
      </c>
      <c r="AF316" s="84"/>
      <c r="AG316" s="620">
        <f t="shared" si="23"/>
        <v>0</v>
      </c>
      <c r="AH316" s="620"/>
      <c r="AI316" s="84">
        <v>0</v>
      </c>
      <c r="AJ316" s="84">
        <v>0</v>
      </c>
      <c r="AK316" s="84">
        <v>0</v>
      </c>
      <c r="AL316" s="84" t="e">
        <f t="shared" si="22"/>
        <v>#REF!</v>
      </c>
      <c r="AM316" s="84"/>
    </row>
    <row r="317" spans="2:40">
      <c r="B317" s="496" t="s">
        <v>2192</v>
      </c>
      <c r="C317" s="18"/>
      <c r="D317" s="18"/>
      <c r="E317" s="496">
        <v>573</v>
      </c>
      <c r="F317" s="496">
        <v>2524</v>
      </c>
      <c r="G317" s="496">
        <v>1719</v>
      </c>
      <c r="H317" s="18">
        <v>425</v>
      </c>
      <c r="I317" s="496">
        <v>180</v>
      </c>
      <c r="J317" s="17">
        <v>166</v>
      </c>
      <c r="K317" s="17">
        <v>187</v>
      </c>
      <c r="L317" s="496">
        <v>151</v>
      </c>
      <c r="M317" s="84" t="s">
        <v>2193</v>
      </c>
      <c r="Q317" s="620"/>
      <c r="R317" s="620"/>
      <c r="S317" s="84"/>
      <c r="T317" s="18">
        <v>0</v>
      </c>
      <c r="U317" s="20">
        <v>0</v>
      </c>
      <c r="V317" s="20"/>
      <c r="W317" s="20"/>
      <c r="X317" s="620">
        <f t="shared" si="24"/>
        <v>0</v>
      </c>
      <c r="Y317" s="620"/>
      <c r="Z317" s="620"/>
      <c r="AA317" s="620"/>
      <c r="AB317" s="620"/>
      <c r="AC317" s="18">
        <v>52.152999999999999</v>
      </c>
      <c r="AD317" s="18">
        <v>0</v>
      </c>
      <c r="AE317" s="18">
        <v>148.75299999999999</v>
      </c>
      <c r="AF317" s="18"/>
      <c r="AG317" s="620">
        <f t="shared" si="23"/>
        <v>200.90599999999998</v>
      </c>
      <c r="AH317" s="620"/>
      <c r="AI317" s="18">
        <v>0</v>
      </c>
      <c r="AJ317" s="18">
        <v>0</v>
      </c>
      <c r="AK317" s="18">
        <v>0</v>
      </c>
      <c r="AL317" s="84">
        <f t="shared" si="22"/>
        <v>401.81199999999995</v>
      </c>
      <c r="AM317" s="84"/>
    </row>
    <row r="318" spans="2:40">
      <c r="B318" s="496" t="s">
        <v>2194</v>
      </c>
      <c r="C318" s="18"/>
      <c r="D318" s="18"/>
      <c r="E318" s="496">
        <v>40</v>
      </c>
      <c r="F318" s="496">
        <v>5</v>
      </c>
      <c r="G318" s="496">
        <v>14</v>
      </c>
      <c r="H318" s="18">
        <v>40</v>
      </c>
      <c r="I318" s="496">
        <v>15</v>
      </c>
      <c r="J318" s="17">
        <v>39</v>
      </c>
      <c r="K318" s="17">
        <v>16</v>
      </c>
      <c r="L318" s="496">
        <v>14</v>
      </c>
      <c r="M318" s="84" t="s">
        <v>886</v>
      </c>
      <c r="Q318" s="620"/>
      <c r="R318" s="620"/>
      <c r="U318" s="1003"/>
      <c r="V318" s="1003"/>
      <c r="W318" s="1003"/>
      <c r="X318" s="620">
        <f t="shared" si="24"/>
        <v>0</v>
      </c>
      <c r="Y318" s="620"/>
      <c r="Z318" s="620"/>
      <c r="AA318" s="620"/>
      <c r="AB318" s="620"/>
      <c r="AC318" s="84">
        <v>50.540999999999997</v>
      </c>
      <c r="AG318" s="620">
        <f t="shared" si="23"/>
        <v>50.540999999999997</v>
      </c>
      <c r="AH318" s="620"/>
      <c r="AL318" s="84">
        <f t="shared" si="22"/>
        <v>101.08199999999999</v>
      </c>
      <c r="AM318" s="84"/>
    </row>
    <row r="319" spans="2:40">
      <c r="B319" s="496" t="s">
        <v>2195</v>
      </c>
      <c r="C319" s="18"/>
      <c r="D319" s="18"/>
      <c r="E319" s="496">
        <v>0</v>
      </c>
      <c r="F319" s="496">
        <v>2</v>
      </c>
      <c r="G319" s="496"/>
      <c r="H319" s="18"/>
      <c r="I319" s="496"/>
      <c r="J319" s="17">
        <v>2</v>
      </c>
      <c r="K319" s="31"/>
      <c r="L319" s="1409"/>
      <c r="M319" s="84" t="s">
        <v>2196</v>
      </c>
      <c r="N319" s="595">
        <f>SUM(N314:N318)</f>
        <v>215.83199999999999</v>
      </c>
      <c r="O319" s="595">
        <f>SUM(O314:O318)</f>
        <v>150.298</v>
      </c>
      <c r="P319" s="595">
        <v>1500</v>
      </c>
      <c r="Q319" s="620" t="e">
        <f>+O319+N319+#REF!</f>
        <v>#REF!</v>
      </c>
      <c r="R319" s="620"/>
      <c r="S319" s="595">
        <f>SUM(S314:S318)</f>
        <v>0</v>
      </c>
      <c r="T319" s="595">
        <f>SUM(T314:T318)</f>
        <v>413.726</v>
      </c>
      <c r="U319" s="595">
        <f>SUM(U314:U318)</f>
        <v>352.73399999999998</v>
      </c>
      <c r="V319" s="595">
        <f>+V314</f>
        <v>1650</v>
      </c>
      <c r="W319" s="595"/>
      <c r="X319" s="620">
        <f t="shared" si="24"/>
        <v>766.46</v>
      </c>
      <c r="Y319" s="620"/>
      <c r="Z319" s="620"/>
      <c r="AA319" s="620"/>
      <c r="AB319" s="620">
        <f>+V319-X319</f>
        <v>883.54</v>
      </c>
      <c r="AC319" s="595">
        <f>SUM(AC313:AC318)</f>
        <v>381.28700000000003</v>
      </c>
      <c r="AD319" s="595">
        <f>SUM(AD314:AD318)</f>
        <v>150.52199999999999</v>
      </c>
      <c r="AE319" s="595">
        <f>SUM(AE314:AE318)</f>
        <v>348.30499999999995</v>
      </c>
      <c r="AF319" s="595">
        <v>2700</v>
      </c>
      <c r="AG319" s="620">
        <f t="shared" si="23"/>
        <v>880.11400000000003</v>
      </c>
      <c r="AH319" s="620">
        <f>+AF319-AG319</f>
        <v>1819.886</v>
      </c>
      <c r="AI319">
        <f>SUM(AI314:AI318)</f>
        <v>0</v>
      </c>
      <c r="AJ319">
        <f>SUM(AJ314:AJ318)</f>
        <v>0</v>
      </c>
      <c r="AK319">
        <f>SUM(AK314:AK318)</f>
        <v>0</v>
      </c>
      <c r="AL319" s="84" t="e">
        <f t="shared" si="22"/>
        <v>#REF!</v>
      </c>
      <c r="AM319" s="84" t="e">
        <f>+AL323-AM320</f>
        <v>#REF!</v>
      </c>
      <c r="AN319" s="84" t="s">
        <v>2197</v>
      </c>
    </row>
    <row r="320" spans="2:40">
      <c r="B320" s="496" t="s">
        <v>2198</v>
      </c>
      <c r="C320" s="18"/>
      <c r="D320" s="18"/>
      <c r="E320" s="496">
        <v>171</v>
      </c>
      <c r="F320" s="496">
        <v>88</v>
      </c>
      <c r="G320" s="496">
        <v>166</v>
      </c>
      <c r="H320" s="18">
        <v>173</v>
      </c>
      <c r="I320" s="496">
        <v>94</v>
      </c>
      <c r="J320" s="17">
        <v>147</v>
      </c>
      <c r="K320" s="17">
        <v>139</v>
      </c>
      <c r="L320" s="496">
        <v>87</v>
      </c>
      <c r="M320" s="84" t="s">
        <v>335</v>
      </c>
      <c r="N320" s="84"/>
      <c r="O320" s="84"/>
      <c r="P320" s="84"/>
      <c r="Q320" s="620"/>
      <c r="R320" s="620"/>
      <c r="S320" s="84"/>
      <c r="T320" s="84"/>
      <c r="U320" s="991"/>
      <c r="V320" s="991"/>
      <c r="W320" s="991"/>
      <c r="X320" s="620">
        <f t="shared" si="24"/>
        <v>0</v>
      </c>
      <c r="Y320" s="620"/>
      <c r="Z320" s="620"/>
      <c r="AA320" s="620"/>
      <c r="AB320" s="620"/>
      <c r="AC320" s="84"/>
      <c r="AD320" s="84"/>
      <c r="AE320" s="84"/>
      <c r="AF320" s="84"/>
      <c r="AG320" s="620">
        <f t="shared" si="23"/>
        <v>0</v>
      </c>
      <c r="AH320" s="620"/>
      <c r="AI320" s="84"/>
      <c r="AJ320" s="84"/>
      <c r="AK320" s="84"/>
      <c r="AL320" s="84">
        <f t="shared" si="22"/>
        <v>0</v>
      </c>
      <c r="AM320" s="84" t="e">
        <f>+AL322+AL321</f>
        <v>#REF!</v>
      </c>
      <c r="AN320" s="84" t="s">
        <v>411</v>
      </c>
    </row>
    <row r="321" spans="2:44">
      <c r="B321" s="496" t="s">
        <v>2199</v>
      </c>
      <c r="C321" s="18"/>
      <c r="D321" s="18"/>
      <c r="E321" s="496">
        <v>13909</v>
      </c>
      <c r="F321" s="496">
        <v>21659</v>
      </c>
      <c r="G321" s="496">
        <v>19739</v>
      </c>
      <c r="H321" s="18">
        <v>8659</v>
      </c>
      <c r="I321" s="496">
        <v>942</v>
      </c>
      <c r="J321" s="17">
        <v>1133</v>
      </c>
      <c r="K321" s="17">
        <v>896</v>
      </c>
      <c r="L321" s="496">
        <v>794</v>
      </c>
      <c r="M321" s="84" t="s">
        <v>2200</v>
      </c>
      <c r="N321" s="84"/>
      <c r="O321" s="84"/>
      <c r="P321" s="84"/>
      <c r="Q321" s="620"/>
      <c r="R321" s="620"/>
      <c r="S321" s="84"/>
      <c r="T321" s="84"/>
      <c r="U321" s="991">
        <v>0</v>
      </c>
      <c r="V321" s="991"/>
      <c r="W321" s="991"/>
      <c r="X321" s="620">
        <f t="shared" si="24"/>
        <v>0</v>
      </c>
      <c r="Y321" s="620"/>
      <c r="Z321" s="620"/>
      <c r="AA321" s="620"/>
      <c r="AB321" s="620"/>
      <c r="AC321" s="84"/>
      <c r="AD321" s="84"/>
      <c r="AE321" s="84"/>
      <c r="AF321" s="84"/>
      <c r="AG321" s="620">
        <f t="shared" si="23"/>
        <v>0</v>
      </c>
      <c r="AH321" s="620"/>
      <c r="AI321" s="84"/>
      <c r="AJ321" s="84"/>
      <c r="AK321" s="84"/>
      <c r="AL321" s="84">
        <f t="shared" si="22"/>
        <v>0</v>
      </c>
      <c r="AM321" s="84"/>
    </row>
    <row r="322" spans="2:44">
      <c r="B322" s="496" t="s">
        <v>2201</v>
      </c>
      <c r="C322" s="18"/>
      <c r="D322" s="18"/>
      <c r="E322" s="496">
        <v>520</v>
      </c>
      <c r="F322" s="496">
        <v>1123</v>
      </c>
      <c r="G322" s="496">
        <v>916</v>
      </c>
      <c r="H322" s="18">
        <v>733</v>
      </c>
      <c r="I322" s="496">
        <v>159</v>
      </c>
      <c r="J322" s="17">
        <v>85</v>
      </c>
      <c r="K322" s="17">
        <v>60</v>
      </c>
      <c r="L322" s="496">
        <v>239</v>
      </c>
      <c r="M322" s="84" t="s">
        <v>328</v>
      </c>
      <c r="N322" s="84"/>
      <c r="O322" s="84">
        <v>97.870999999999995</v>
      </c>
      <c r="P322" s="84"/>
      <c r="Q322" s="620" t="e">
        <f>+O322+N322+#REF!</f>
        <v>#REF!</v>
      </c>
      <c r="R322" s="620"/>
      <c r="S322" s="84"/>
      <c r="T322" s="84"/>
      <c r="U322" s="991"/>
      <c r="V322" s="991"/>
      <c r="W322" s="991"/>
      <c r="X322" s="620">
        <f t="shared" si="24"/>
        <v>0</v>
      </c>
      <c r="Y322" s="620"/>
      <c r="Z322" s="620"/>
      <c r="AA322" s="620"/>
      <c r="AB322" s="620"/>
      <c r="AC322" s="84">
        <v>0</v>
      </c>
      <c r="AD322" s="84">
        <v>0</v>
      </c>
      <c r="AE322" s="84"/>
      <c r="AF322" s="84"/>
      <c r="AG322" s="620">
        <f t="shared" si="23"/>
        <v>0</v>
      </c>
      <c r="AH322" s="620"/>
      <c r="AI322" s="84"/>
      <c r="AJ322" s="84">
        <v>0</v>
      </c>
      <c r="AK322" s="84"/>
      <c r="AL322" s="84" t="e">
        <f t="shared" si="22"/>
        <v>#REF!</v>
      </c>
      <c r="AM322" s="84"/>
    </row>
    <row r="323" spans="2:44">
      <c r="B323" s="496" t="s">
        <v>2202</v>
      </c>
      <c r="C323" s="18"/>
      <c r="D323" s="18"/>
      <c r="E323" s="496">
        <v>51</v>
      </c>
      <c r="F323" s="496">
        <v>363</v>
      </c>
      <c r="G323" s="496">
        <v>192</v>
      </c>
      <c r="H323" s="18">
        <v>186</v>
      </c>
      <c r="I323" s="496">
        <v>77</v>
      </c>
      <c r="J323" s="17">
        <v>15</v>
      </c>
      <c r="K323" s="17">
        <v>1.44</v>
      </c>
      <c r="L323" s="496">
        <v>6</v>
      </c>
      <c r="M323" s="84" t="s">
        <v>2203</v>
      </c>
      <c r="N323" s="84">
        <f>SUM(N320:N322)</f>
        <v>0</v>
      </c>
      <c r="O323" s="84">
        <f>SUM(O320:O322)</f>
        <v>97.870999999999995</v>
      </c>
      <c r="P323" s="84"/>
      <c r="Q323" s="620" t="e">
        <f>+O323+N323+#REF!</f>
        <v>#REF!</v>
      </c>
      <c r="R323" s="620"/>
      <c r="S323" s="84">
        <f>SUM(S320:S322)</f>
        <v>0</v>
      </c>
      <c r="T323" s="84">
        <f>SUM(T320:T322)</f>
        <v>0</v>
      </c>
      <c r="U323" s="84">
        <f>SUM(U320:U322)</f>
        <v>0</v>
      </c>
      <c r="V323" s="84">
        <f>850*3</f>
        <v>2550</v>
      </c>
      <c r="W323" s="84"/>
      <c r="X323" s="620">
        <f t="shared" si="24"/>
        <v>0</v>
      </c>
      <c r="Y323" s="620"/>
      <c r="Z323" s="620"/>
      <c r="AA323" s="620"/>
      <c r="AB323" s="620">
        <f>+V323-X323</f>
        <v>2550</v>
      </c>
      <c r="AC323" s="84">
        <f>SUM(AC320:AC322)</f>
        <v>0</v>
      </c>
      <c r="AD323" s="84">
        <f>SUM(AD320:AD322)</f>
        <v>0</v>
      </c>
      <c r="AE323" s="84">
        <f>SUM(AE320:AE322)</f>
        <v>0</v>
      </c>
      <c r="AF323" s="84">
        <v>1950</v>
      </c>
      <c r="AG323" s="620">
        <f t="shared" si="23"/>
        <v>0</v>
      </c>
      <c r="AH323" s="620">
        <f>+AF323-AG323</f>
        <v>1950</v>
      </c>
      <c r="AI323" s="84">
        <f>SUM(AI320:AI322)</f>
        <v>0</v>
      </c>
      <c r="AJ323" s="84">
        <f>SUM(AJ320:AJ322)</f>
        <v>0</v>
      </c>
      <c r="AK323" s="84">
        <f>SUM(AK320:AK322)</f>
        <v>0</v>
      </c>
      <c r="AL323" s="84" t="e">
        <f t="shared" si="22"/>
        <v>#REF!</v>
      </c>
    </row>
    <row r="324" spans="2:44">
      <c r="B324" s="496" t="s">
        <v>2204</v>
      </c>
      <c r="C324" s="18"/>
      <c r="D324" s="18"/>
      <c r="E324" s="496">
        <v>699</v>
      </c>
      <c r="F324" s="496">
        <v>920</v>
      </c>
      <c r="G324" s="496">
        <v>741</v>
      </c>
      <c r="H324" s="18">
        <v>814</v>
      </c>
      <c r="I324" s="496">
        <v>493</v>
      </c>
      <c r="J324" s="17">
        <v>464</v>
      </c>
      <c r="K324" s="17">
        <v>516</v>
      </c>
      <c r="L324" s="496">
        <v>387</v>
      </c>
      <c r="M324" s="84" t="s">
        <v>2205</v>
      </c>
      <c r="N324" s="87">
        <f>+N323+N319</f>
        <v>215.83199999999999</v>
      </c>
      <c r="O324" s="87">
        <f>+O323+O319</f>
        <v>248.16899999999998</v>
      </c>
      <c r="P324" s="87">
        <v>1500</v>
      </c>
      <c r="Q324" s="620" t="e">
        <f>+O324+N324+#REF!</f>
        <v>#REF!</v>
      </c>
      <c r="R324" s="620"/>
      <c r="S324" s="87">
        <f>+S323+S319</f>
        <v>0</v>
      </c>
      <c r="T324" s="87">
        <f>+T323+T319</f>
        <v>413.726</v>
      </c>
      <c r="U324" s="87">
        <f>+U323+U319</f>
        <v>352.73399999999998</v>
      </c>
      <c r="V324" s="87">
        <v>4200</v>
      </c>
      <c r="W324" s="87"/>
      <c r="X324" s="620">
        <f t="shared" si="24"/>
        <v>766.46</v>
      </c>
      <c r="Y324" s="620"/>
      <c r="Z324" s="620"/>
      <c r="AA324" s="620"/>
      <c r="AB324" s="620">
        <f>+V324-X324</f>
        <v>3433.54</v>
      </c>
      <c r="AC324" s="87">
        <f>+AC323+AC319</f>
        <v>381.28700000000003</v>
      </c>
      <c r="AD324" s="87">
        <f>+AD323+AD319</f>
        <v>150.52199999999999</v>
      </c>
      <c r="AE324" s="87">
        <f>+AE323+AE319</f>
        <v>348.30499999999995</v>
      </c>
      <c r="AF324" s="87">
        <f>2700+1950</f>
        <v>4650</v>
      </c>
      <c r="AG324" s="620">
        <f t="shared" si="23"/>
        <v>880.11400000000003</v>
      </c>
      <c r="AH324" s="620">
        <f>+AF324-AG324</f>
        <v>3769.886</v>
      </c>
      <c r="AI324" s="520">
        <f>+AI323+AI319</f>
        <v>0</v>
      </c>
      <c r="AJ324" s="520">
        <f>+AJ323+AJ319</f>
        <v>0</v>
      </c>
      <c r="AK324" s="520">
        <f>+AK323+AK319</f>
        <v>0</v>
      </c>
      <c r="AL324" s="84" t="e">
        <f t="shared" si="22"/>
        <v>#REF!</v>
      </c>
      <c r="AN324">
        <f>2472.791-2327.557</f>
        <v>145.23400000000038</v>
      </c>
    </row>
    <row r="325" spans="2:44">
      <c r="B325" s="496" t="s">
        <v>2206</v>
      </c>
      <c r="C325" s="18"/>
      <c r="D325" s="18"/>
      <c r="E325" s="496">
        <v>48787</v>
      </c>
      <c r="F325" s="496">
        <v>30794</v>
      </c>
      <c r="G325" s="496">
        <v>40093</v>
      </c>
      <c r="H325" s="18">
        <v>31147</v>
      </c>
      <c r="I325" s="496">
        <v>51148</v>
      </c>
      <c r="J325" s="17">
        <v>42490</v>
      </c>
      <c r="K325" s="17">
        <f>24433+26125</f>
        <v>50558</v>
      </c>
      <c r="L325" s="496">
        <v>29449</v>
      </c>
      <c r="M325" s="353" t="s">
        <v>633</v>
      </c>
      <c r="N325" s="1413">
        <f>+N324+N311</f>
        <v>6815.192</v>
      </c>
      <c r="O325" s="1413">
        <f>+O324+O311</f>
        <v>7521.8689999999997</v>
      </c>
      <c r="P325" s="1413">
        <f>+P324+P311</f>
        <v>29160</v>
      </c>
      <c r="Q325" s="620" t="e">
        <f>+O325+N325+#REF!</f>
        <v>#REF!</v>
      </c>
      <c r="R325" s="620"/>
      <c r="S325" s="1413">
        <f>+S324+S311</f>
        <v>7939.4</v>
      </c>
      <c r="T325" s="1413">
        <f>+T324+T311</f>
        <v>8052.326</v>
      </c>
      <c r="U325" s="1413">
        <f>+U324+U311</f>
        <v>7640.2340000000004</v>
      </c>
      <c r="V325" s="1413">
        <f>+V311+V324</f>
        <v>29650</v>
      </c>
      <c r="W325" s="1413"/>
      <c r="X325" s="620">
        <f t="shared" si="24"/>
        <v>23631.96</v>
      </c>
      <c r="Y325" s="620"/>
      <c r="Z325" s="620"/>
      <c r="AA325" s="620"/>
      <c r="AB325" s="620">
        <f>+V325-X325</f>
        <v>6018.0400000000009</v>
      </c>
      <c r="AC325" s="1413">
        <f>+AC324+AC311</f>
        <v>7877.3870000000006</v>
      </c>
      <c r="AD325" s="1413">
        <f>+AD324+AD311</f>
        <v>7753.9219999999996</v>
      </c>
      <c r="AE325" s="1413">
        <f>+AE324+AE311</f>
        <v>7799.3850000000002</v>
      </c>
      <c r="AF325" s="1413">
        <f>+AF324+AF311</f>
        <v>33560</v>
      </c>
      <c r="AG325" s="620">
        <f t="shared" si="23"/>
        <v>23430.694000000003</v>
      </c>
      <c r="AH325" s="620">
        <f>+AF325-AG325</f>
        <v>10129.305999999997</v>
      </c>
      <c r="AI325" s="353">
        <f>+AI323+AI311</f>
        <v>0</v>
      </c>
      <c r="AJ325" s="353">
        <f>+AJ323+AJ311</f>
        <v>0</v>
      </c>
      <c r="AK325" s="353">
        <f>+AK323+AK311</f>
        <v>0</v>
      </c>
      <c r="AL325" s="353" t="e">
        <f t="shared" si="22"/>
        <v>#REF!</v>
      </c>
      <c r="AM325" t="e">
        <f>+AL324+AL311</f>
        <v>#REF!</v>
      </c>
    </row>
    <row r="326" spans="2:44">
      <c r="L326" s="1377"/>
      <c r="M326" s="84" t="s">
        <v>421</v>
      </c>
      <c r="N326" s="17">
        <v>1851</v>
      </c>
      <c r="O326" s="17">
        <v>1510</v>
      </c>
      <c r="P326" s="18"/>
      <c r="Q326" s="620" t="e">
        <f>+O326+N326+#REF!</f>
        <v>#REF!</v>
      </c>
      <c r="R326" s="620"/>
      <c r="S326" s="17">
        <v>1169</v>
      </c>
      <c r="T326" s="17">
        <v>1459</v>
      </c>
      <c r="U326" s="17">
        <v>1133</v>
      </c>
      <c r="V326" s="18"/>
      <c r="W326" s="18"/>
      <c r="X326" s="620">
        <f t="shared" si="24"/>
        <v>3761</v>
      </c>
      <c r="Y326" s="620"/>
      <c r="Z326" s="620"/>
      <c r="AA326" s="620"/>
      <c r="AB326" s="620"/>
      <c r="AC326" s="17">
        <v>1280</v>
      </c>
      <c r="AD326" s="17">
        <v>1034</v>
      </c>
      <c r="AE326" s="17">
        <v>613</v>
      </c>
      <c r="AF326" s="18"/>
      <c r="AG326" s="257"/>
      <c r="AH326" s="257"/>
      <c r="AL326" s="84" t="e">
        <f t="shared" si="22"/>
        <v>#REF!</v>
      </c>
      <c r="AM326" t="e">
        <f>+AD326+AC326+U326+T326+S326+O326+N326+#REF!</f>
        <v>#REF!</v>
      </c>
      <c r="AO326" s="620" t="e">
        <f>+#REF!+N326+O326+S326</f>
        <v>#REF!</v>
      </c>
    </row>
    <row r="327" spans="2:44">
      <c r="B327" s="491"/>
      <c r="C327" s="504"/>
      <c r="D327" s="504"/>
      <c r="E327" s="491">
        <f t="shared" ref="E327:L327" si="25">SUM(E311:E325)</f>
        <v>94581</v>
      </c>
      <c r="F327" s="491">
        <f t="shared" si="25"/>
        <v>94394</v>
      </c>
      <c r="G327" s="491">
        <f t="shared" si="25"/>
        <v>97832</v>
      </c>
      <c r="H327" s="491">
        <f t="shared" si="25"/>
        <v>69192</v>
      </c>
      <c r="I327" s="491">
        <f t="shared" si="25"/>
        <v>66220</v>
      </c>
      <c r="J327" s="491">
        <f t="shared" si="25"/>
        <v>57800</v>
      </c>
      <c r="K327" s="1412">
        <f t="shared" si="25"/>
        <v>62946.44</v>
      </c>
      <c r="L327" s="1412">
        <f t="shared" si="25"/>
        <v>44811</v>
      </c>
      <c r="M327" s="84" t="s">
        <v>2207</v>
      </c>
      <c r="N327" s="2443" t="s">
        <v>2168</v>
      </c>
      <c r="O327" s="2443" t="s">
        <v>2169</v>
      </c>
      <c r="P327" s="261" t="str">
        <f>+P309</f>
        <v>ABP</v>
      </c>
      <c r="Q327" s="531" t="str">
        <f>+Q309</f>
        <v>IST QTR</v>
      </c>
      <c r="R327" s="87"/>
      <c r="S327" s="2443" t="s">
        <v>2208</v>
      </c>
      <c r="T327" s="2443" t="s">
        <v>2172</v>
      </c>
      <c r="U327" s="2443" t="s">
        <v>2173</v>
      </c>
      <c r="V327" s="261" t="str">
        <f>+V309</f>
        <v>ABP</v>
      </c>
      <c r="W327" s="261"/>
      <c r="X327" s="620" t="str">
        <f>+X309</f>
        <v>2ND QTR</v>
      </c>
      <c r="Y327" s="620"/>
      <c r="Z327" s="620"/>
      <c r="AA327" s="620"/>
      <c r="AB327" s="87" t="str">
        <f>AB309</f>
        <v>SHORT FALL</v>
      </c>
      <c r="AC327" s="2443" t="s">
        <v>2176</v>
      </c>
      <c r="AD327" s="2443" t="s">
        <v>2177</v>
      </c>
      <c r="AE327" s="2443" t="s">
        <v>2178</v>
      </c>
      <c r="AF327" s="261" t="str">
        <f>+AF309</f>
        <v>ABP</v>
      </c>
      <c r="AG327" s="620" t="str">
        <f>AG309</f>
        <v>3RD QTR</v>
      </c>
      <c r="AH327" s="87" t="str">
        <f>+AH309</f>
        <v>SHORT FALL</v>
      </c>
      <c r="AI327" s="2443" t="s">
        <v>2209</v>
      </c>
      <c r="AJ327" s="2443" t="s">
        <v>2181</v>
      </c>
      <c r="AK327" s="2443" t="s">
        <v>2182</v>
      </c>
      <c r="AO327" s="620" t="e">
        <f>SUM(AO319:AO326)</f>
        <v>#REF!</v>
      </c>
    </row>
    <row r="328" spans="2:44">
      <c r="B328" s="496" t="s">
        <v>2210</v>
      </c>
      <c r="C328" s="18"/>
      <c r="D328" s="18"/>
      <c r="E328" s="507">
        <v>12142</v>
      </c>
      <c r="F328" s="496">
        <v>20827</v>
      </c>
      <c r="G328" s="496">
        <v>24976</v>
      </c>
      <c r="H328" s="496">
        <v>17132</v>
      </c>
      <c r="I328" s="496">
        <v>22431</v>
      </c>
      <c r="J328" s="496">
        <v>15563</v>
      </c>
      <c r="K328" s="1012">
        <v>9237.5</v>
      </c>
      <c r="L328" s="1012">
        <v>9579</v>
      </c>
      <c r="M328" s="84" t="s">
        <v>2211</v>
      </c>
      <c r="N328" s="518">
        <v>5242.72</v>
      </c>
      <c r="O328" s="518">
        <v>5471.2020000000002</v>
      </c>
      <c r="P328" s="620">
        <f>20500+750</f>
        <v>21250</v>
      </c>
      <c r="Q328" s="620" t="e">
        <f t="shared" ref="Q328:Q335" si="26">+O328+N328+#REF!</f>
        <v>#REF!</v>
      </c>
      <c r="R328" s="620"/>
      <c r="S328" s="518">
        <v>5684.3940000000002</v>
      </c>
      <c r="T328" s="518">
        <v>6825.1679999999997</v>
      </c>
      <c r="U328" s="518">
        <v>6668.09</v>
      </c>
      <c r="V328" s="620">
        <f>22250+750</f>
        <v>23000</v>
      </c>
      <c r="W328" s="620"/>
      <c r="X328" s="620">
        <f t="shared" ref="X328:X335" si="27">+U328+T328+S328</f>
        <v>19177.652000000002</v>
      </c>
      <c r="Y328" s="620"/>
      <c r="Z328" s="620"/>
      <c r="AA328" s="620"/>
      <c r="AB328" s="620">
        <f>+V328-X328</f>
        <v>3822.3479999999981</v>
      </c>
      <c r="AC328" s="518">
        <v>6011.2110000000002</v>
      </c>
      <c r="AD328" s="518">
        <v>6630.0550000000003</v>
      </c>
      <c r="AE328" s="518">
        <v>5627.1</v>
      </c>
      <c r="AF328" s="87">
        <f>21300+750</f>
        <v>22050</v>
      </c>
      <c r="AG328" s="620">
        <f t="shared" ref="AG328:AG335" si="28">+AE328+AD328+AC328</f>
        <v>18268.366000000002</v>
      </c>
      <c r="AH328" s="620">
        <f t="shared" ref="AH328:AH335" si="29">+AF328-AG328</f>
        <v>3781.6339999999982</v>
      </c>
      <c r="AI328">
        <v>5156.8599999999997</v>
      </c>
      <c r="AJ328">
        <v>5932.69</v>
      </c>
      <c r="AK328">
        <v>5858.16</v>
      </c>
      <c r="AL328" s="595" t="e">
        <f t="shared" ref="AL328:AL335" si="30">+AK328+AJ328+AI328+AE328+AD328+AC328+U328+T328+S328+O328+N328+#REF!</f>
        <v>#REF!</v>
      </c>
      <c r="AM328" s="520" t="e">
        <f t="shared" ref="AM328:AM335" si="31">+#REF!+N328</f>
        <v>#REF!</v>
      </c>
      <c r="AN328">
        <v>16686.121999999999</v>
      </c>
      <c r="AO328" s="595" t="e">
        <f t="shared" ref="AO328:AO334" si="32">+Q328+S328</f>
        <v>#REF!</v>
      </c>
      <c r="AP328" s="520" t="e">
        <f>+AO328+T328</f>
        <v>#REF!</v>
      </c>
      <c r="AQ328" s="520" t="e">
        <f t="shared" ref="AQ328:AQ334" si="33">#REF!+N328+O328+S328+T328+U328+AC328</f>
        <v>#REF!</v>
      </c>
      <c r="AR328" s="520" t="e">
        <f t="shared" ref="AR328:AR334" si="34">+#REF!+N328+O328+S328+T328+U328+AC328+AD328+AE328</f>
        <v>#REF!</v>
      </c>
    </row>
    <row r="329" spans="2:44">
      <c r="B329" s="496" t="s">
        <v>2212</v>
      </c>
      <c r="C329" s="18"/>
      <c r="D329" s="18"/>
      <c r="E329" s="496">
        <v>139673</v>
      </c>
      <c r="F329" s="496">
        <v>141257</v>
      </c>
      <c r="G329" s="496">
        <v>136351</v>
      </c>
      <c r="H329" s="496">
        <v>140978</v>
      </c>
      <c r="I329" s="496">
        <v>82784</v>
      </c>
      <c r="J329" s="496">
        <v>85901</v>
      </c>
      <c r="K329" s="1012">
        <v>57652.5</v>
      </c>
      <c r="L329" s="1012">
        <v>33584</v>
      </c>
      <c r="M329" s="84" t="s">
        <v>256</v>
      </c>
      <c r="N329" s="87">
        <v>101.92</v>
      </c>
      <c r="O329" s="87">
        <v>1.92</v>
      </c>
      <c r="P329" s="620">
        <v>210</v>
      </c>
      <c r="Q329" s="620" t="e">
        <f t="shared" si="26"/>
        <v>#REF!</v>
      </c>
      <c r="R329" s="620"/>
      <c r="S329" s="87">
        <v>0</v>
      </c>
      <c r="T329" s="87">
        <v>6.97</v>
      </c>
      <c r="V329" s="620">
        <v>210</v>
      </c>
      <c r="W329" s="620"/>
      <c r="X329" s="620">
        <f t="shared" si="27"/>
        <v>6.97</v>
      </c>
      <c r="Y329" s="620"/>
      <c r="Z329" s="620"/>
      <c r="AA329" s="620"/>
      <c r="AB329" s="620">
        <f t="shared" ref="AB329:AB335" si="35">+V329-X329</f>
        <v>203.03</v>
      </c>
      <c r="AD329" s="87">
        <v>45.9</v>
      </c>
      <c r="AE329" s="87">
        <v>11.13</v>
      </c>
      <c r="AF329" s="87">
        <v>210</v>
      </c>
      <c r="AG329" s="620">
        <f t="shared" si="28"/>
        <v>57.03</v>
      </c>
      <c r="AH329" s="620">
        <f t="shared" si="29"/>
        <v>152.97</v>
      </c>
      <c r="AI329" s="87">
        <v>21.033999999999999</v>
      </c>
      <c r="AL329" s="595" t="e">
        <f t="shared" si="30"/>
        <v>#REF!</v>
      </c>
      <c r="AM329" s="520" t="e">
        <f t="shared" si="31"/>
        <v>#REF!</v>
      </c>
      <c r="AN329">
        <v>177.84</v>
      </c>
      <c r="AO329" s="595" t="e">
        <f t="shared" si="32"/>
        <v>#REF!</v>
      </c>
      <c r="AP329" s="520" t="e">
        <f t="shared" ref="AP329:AP334" si="36">+AO329+T329</f>
        <v>#REF!</v>
      </c>
      <c r="AQ329" s="520" t="e">
        <f t="shared" si="33"/>
        <v>#REF!</v>
      </c>
      <c r="AR329" s="520" t="e">
        <f t="shared" si="34"/>
        <v>#REF!</v>
      </c>
    </row>
    <row r="330" spans="2:44">
      <c r="B330" s="17" t="s">
        <v>23</v>
      </c>
      <c r="C330" s="18"/>
      <c r="D330" s="18"/>
      <c r="E330" s="496">
        <f>SUM(E328:E329)</f>
        <v>151815</v>
      </c>
      <c r="F330" s="496">
        <f t="shared" ref="F330:L330" si="37">SUM(F328:F329)</f>
        <v>162084</v>
      </c>
      <c r="G330" s="496">
        <f t="shared" si="37"/>
        <v>161327</v>
      </c>
      <c r="H330" s="496">
        <f t="shared" si="37"/>
        <v>158110</v>
      </c>
      <c r="I330" s="496">
        <f t="shared" si="37"/>
        <v>105215</v>
      </c>
      <c r="J330" s="496">
        <f t="shared" si="37"/>
        <v>101464</v>
      </c>
      <c r="K330" s="496">
        <f t="shared" si="37"/>
        <v>66890</v>
      </c>
      <c r="L330" s="496">
        <f t="shared" si="37"/>
        <v>43163</v>
      </c>
      <c r="M330" s="84" t="s">
        <v>643</v>
      </c>
      <c r="N330" s="87">
        <v>364.10399999999998</v>
      </c>
      <c r="O330" s="87">
        <v>206.39</v>
      </c>
      <c r="P330" s="620">
        <v>1050</v>
      </c>
      <c r="Q330" s="620" t="e">
        <f t="shared" si="26"/>
        <v>#REF!</v>
      </c>
      <c r="R330" s="620"/>
      <c r="S330" s="87">
        <v>297.49</v>
      </c>
      <c r="T330" s="87">
        <v>549.41999999999996</v>
      </c>
      <c r="U330" s="87">
        <v>474.78</v>
      </c>
      <c r="V330" s="620">
        <v>1300</v>
      </c>
      <c r="W330" s="620"/>
      <c r="X330" s="620">
        <f t="shared" si="27"/>
        <v>1321.6899999999998</v>
      </c>
      <c r="Y330" s="620"/>
      <c r="Z330" s="620"/>
      <c r="AA330" s="620"/>
      <c r="AB330" s="620">
        <f t="shared" si="35"/>
        <v>-21.689999999999827</v>
      </c>
      <c r="AC330" s="87">
        <v>269.17</v>
      </c>
      <c r="AD330" s="87">
        <v>317.3</v>
      </c>
      <c r="AE330" s="87">
        <v>463.83</v>
      </c>
      <c r="AF330" s="87">
        <v>1450</v>
      </c>
      <c r="AG330" s="620">
        <f t="shared" si="28"/>
        <v>1050.3</v>
      </c>
      <c r="AH330" s="620">
        <f t="shared" si="29"/>
        <v>399.70000000000005</v>
      </c>
      <c r="AI330" s="87">
        <v>372.47800000000001</v>
      </c>
      <c r="AJ330" s="87">
        <v>312.3</v>
      </c>
      <c r="AK330" s="87">
        <v>412.08</v>
      </c>
      <c r="AL330" s="595" t="e">
        <f t="shared" si="30"/>
        <v>#REF!</v>
      </c>
      <c r="AM330" s="520" t="e">
        <f t="shared" si="31"/>
        <v>#REF!</v>
      </c>
      <c r="AN330">
        <v>875.46799999999985</v>
      </c>
      <c r="AO330" s="595" t="e">
        <f t="shared" si="32"/>
        <v>#REF!</v>
      </c>
      <c r="AP330" s="520" t="e">
        <f t="shared" si="36"/>
        <v>#REF!</v>
      </c>
      <c r="AQ330" s="520" t="e">
        <f t="shared" si="33"/>
        <v>#REF!</v>
      </c>
      <c r="AR330" s="520" t="e">
        <f t="shared" si="34"/>
        <v>#REF!</v>
      </c>
    </row>
    <row r="331" spans="2:44">
      <c r="B331" s="488" t="s">
        <v>103</v>
      </c>
      <c r="C331" s="504"/>
      <c r="D331" s="504"/>
      <c r="E331" s="491">
        <f>+E330+E327</f>
        <v>246396</v>
      </c>
      <c r="F331" s="491">
        <f t="shared" ref="F331:L331" si="38">+F330+F327</f>
        <v>256478</v>
      </c>
      <c r="G331" s="491">
        <f t="shared" si="38"/>
        <v>259159</v>
      </c>
      <c r="H331" s="491">
        <f t="shared" si="38"/>
        <v>227302</v>
      </c>
      <c r="I331" s="491">
        <f t="shared" si="38"/>
        <v>171435</v>
      </c>
      <c r="J331" s="491">
        <f t="shared" si="38"/>
        <v>159264</v>
      </c>
      <c r="K331" s="1412">
        <f t="shared" si="38"/>
        <v>129836.44</v>
      </c>
      <c r="L331" s="1412">
        <f t="shared" si="38"/>
        <v>87974</v>
      </c>
      <c r="M331" s="84" t="s">
        <v>257</v>
      </c>
      <c r="N331" s="518">
        <v>123.036</v>
      </c>
      <c r="O331" s="518">
        <v>149.50299999999999</v>
      </c>
      <c r="P331" s="620">
        <v>345</v>
      </c>
      <c r="Q331" s="620" t="e">
        <f t="shared" si="26"/>
        <v>#REF!</v>
      </c>
      <c r="R331" s="620"/>
      <c r="S331" s="518">
        <v>135.14500000000001</v>
      </c>
      <c r="T331" s="87">
        <v>165.72499999999999</v>
      </c>
      <c r="U331" s="87">
        <v>153.14500000000001</v>
      </c>
      <c r="V331" s="620">
        <v>450</v>
      </c>
      <c r="W331" s="620"/>
      <c r="X331" s="620">
        <f t="shared" si="27"/>
        <v>454.01499999999999</v>
      </c>
      <c r="Y331" s="620"/>
      <c r="Z331" s="620"/>
      <c r="AA331" s="620"/>
      <c r="AB331" s="620">
        <f t="shared" si="35"/>
        <v>-4.0149999999999864</v>
      </c>
      <c r="AC331" s="87">
        <v>67.415000000000006</v>
      </c>
      <c r="AD331" s="87">
        <v>146.476</v>
      </c>
      <c r="AE331" s="87">
        <v>44.226999999999997</v>
      </c>
      <c r="AF331" s="87">
        <v>450</v>
      </c>
      <c r="AG331" s="620">
        <f t="shared" si="28"/>
        <v>258.11799999999999</v>
      </c>
      <c r="AH331" s="620">
        <f t="shared" si="29"/>
        <v>191.88200000000001</v>
      </c>
      <c r="AI331" s="87">
        <v>99.432000000000002</v>
      </c>
      <c r="AJ331" s="87">
        <v>59.265000000000001</v>
      </c>
      <c r="AK331" s="87">
        <v>85.173000000000002</v>
      </c>
      <c r="AL331" s="595" t="e">
        <f t="shared" si="30"/>
        <v>#REF!</v>
      </c>
      <c r="AM331" s="520" t="e">
        <f t="shared" si="31"/>
        <v>#REF!</v>
      </c>
      <c r="AN331">
        <v>346.86899999999997</v>
      </c>
      <c r="AO331" s="595" t="e">
        <f t="shared" si="32"/>
        <v>#REF!</v>
      </c>
      <c r="AP331" s="520" t="e">
        <f t="shared" si="36"/>
        <v>#REF!</v>
      </c>
      <c r="AQ331" s="520" t="e">
        <f t="shared" si="33"/>
        <v>#REF!</v>
      </c>
      <c r="AR331" s="520" t="e">
        <f t="shared" si="34"/>
        <v>#REF!</v>
      </c>
    </row>
    <row r="332" spans="2:44">
      <c r="M332" s="84" t="s">
        <v>2185</v>
      </c>
      <c r="N332" s="518">
        <v>195.72</v>
      </c>
      <c r="O332" s="518">
        <v>153.08000000000001</v>
      </c>
      <c r="P332" s="620">
        <v>1350</v>
      </c>
      <c r="Q332" s="620" t="e">
        <f t="shared" si="26"/>
        <v>#REF!</v>
      </c>
      <c r="R332" s="620"/>
      <c r="T332" s="87">
        <v>447.9</v>
      </c>
      <c r="U332" s="87">
        <v>353.56599999999997</v>
      </c>
      <c r="V332" s="620">
        <f>2400+1500</f>
        <v>3900</v>
      </c>
      <c r="W332" s="620"/>
      <c r="X332" s="620">
        <f t="shared" si="27"/>
        <v>801.46599999999989</v>
      </c>
      <c r="Y332" s="620"/>
      <c r="Z332" s="620"/>
      <c r="AA332" s="620"/>
      <c r="AB332" s="620">
        <f t="shared" si="35"/>
        <v>3098.5340000000001</v>
      </c>
      <c r="AC332" s="87">
        <v>275.27</v>
      </c>
      <c r="AD332" s="87">
        <v>153.02000000000001</v>
      </c>
      <c r="AE332" s="87">
        <v>202.92</v>
      </c>
      <c r="AF332" s="87">
        <v>4200</v>
      </c>
      <c r="AG332" s="620">
        <f t="shared" si="28"/>
        <v>631.21</v>
      </c>
      <c r="AH332" s="620">
        <f t="shared" si="29"/>
        <v>3568.79</v>
      </c>
      <c r="AI332" s="87">
        <v>232.56</v>
      </c>
      <c r="AJ332" s="87">
        <v>452.98</v>
      </c>
      <c r="AK332" s="87">
        <v>439.19</v>
      </c>
      <c r="AL332" s="595" t="e">
        <f t="shared" si="30"/>
        <v>#REF!</v>
      </c>
      <c r="AM332" s="520" t="e">
        <f t="shared" si="31"/>
        <v>#REF!</v>
      </c>
      <c r="AN332">
        <v>667.0440000000001</v>
      </c>
      <c r="AO332" s="595" t="e">
        <f t="shared" si="32"/>
        <v>#REF!</v>
      </c>
      <c r="AP332" s="520" t="e">
        <f t="shared" si="36"/>
        <v>#REF!</v>
      </c>
      <c r="AQ332" s="520" t="e">
        <f t="shared" si="33"/>
        <v>#REF!</v>
      </c>
      <c r="AR332" s="520" t="e">
        <f t="shared" si="34"/>
        <v>#REF!</v>
      </c>
    </row>
    <row r="333" spans="2:44">
      <c r="M333" s="84" t="s">
        <v>814</v>
      </c>
      <c r="N333" s="87">
        <v>140.69999999999999</v>
      </c>
      <c r="O333" s="87">
        <v>172.6</v>
      </c>
      <c r="P333" s="620">
        <v>660</v>
      </c>
      <c r="Q333" s="620" t="e">
        <f t="shared" si="26"/>
        <v>#REF!</v>
      </c>
      <c r="R333" s="620"/>
      <c r="S333" s="87">
        <v>51.75</v>
      </c>
      <c r="T333" s="87">
        <v>214.6</v>
      </c>
      <c r="U333" s="87">
        <v>76.95</v>
      </c>
      <c r="V333" s="620">
        <v>660</v>
      </c>
      <c r="W333" s="620"/>
      <c r="X333" s="620">
        <f t="shared" si="27"/>
        <v>343.3</v>
      </c>
      <c r="Y333" s="620"/>
      <c r="Z333" s="620"/>
      <c r="AA333" s="620"/>
      <c r="AB333" s="620">
        <f t="shared" si="35"/>
        <v>316.7</v>
      </c>
      <c r="AC333" s="87">
        <v>250.2</v>
      </c>
      <c r="AD333" s="87">
        <v>279.95</v>
      </c>
      <c r="AE333" s="87">
        <f>200.3-72.8</f>
        <v>127.50000000000001</v>
      </c>
      <c r="AF333" s="87">
        <v>960</v>
      </c>
      <c r="AG333" s="620">
        <f t="shared" si="28"/>
        <v>657.65</v>
      </c>
      <c r="AH333" s="620">
        <f t="shared" si="29"/>
        <v>302.35000000000002</v>
      </c>
      <c r="AI333" s="87">
        <v>202.4</v>
      </c>
      <c r="AJ333" s="87">
        <v>262.3</v>
      </c>
      <c r="AK333" s="87">
        <v>246.2</v>
      </c>
      <c r="AL333" s="595" t="e">
        <f t="shared" si="30"/>
        <v>#REF!</v>
      </c>
      <c r="AM333" s="520" t="e">
        <f t="shared" si="31"/>
        <v>#REF!</v>
      </c>
      <c r="AN333">
        <v>492.99999999999994</v>
      </c>
      <c r="AO333" s="595" t="e">
        <f t="shared" si="32"/>
        <v>#REF!</v>
      </c>
      <c r="AP333" s="520" t="e">
        <f t="shared" si="36"/>
        <v>#REF!</v>
      </c>
      <c r="AQ333" s="520" t="e">
        <f t="shared" si="33"/>
        <v>#REF!</v>
      </c>
      <c r="AR333" s="520" t="e">
        <f t="shared" si="34"/>
        <v>#REF!</v>
      </c>
    </row>
    <row r="334" spans="2:44">
      <c r="B334" s="308"/>
      <c r="C334" s="127"/>
      <c r="D334" s="127"/>
      <c r="E334" s="354"/>
      <c r="F334" s="127"/>
      <c r="G334" s="127"/>
      <c r="H334" s="127"/>
      <c r="I334" s="127"/>
      <c r="J334" s="127"/>
      <c r="K334" s="354"/>
      <c r="N334" s="87"/>
      <c r="O334" s="87"/>
      <c r="P334" s="87">
        <v>150</v>
      </c>
      <c r="Q334" s="620" t="e">
        <f t="shared" si="26"/>
        <v>#REF!</v>
      </c>
      <c r="R334" s="620"/>
      <c r="U334" s="87">
        <v>0</v>
      </c>
      <c r="V334" s="87">
        <v>150</v>
      </c>
      <c r="W334" s="87"/>
      <c r="X334" s="620">
        <f t="shared" si="27"/>
        <v>0</v>
      </c>
      <c r="Y334" s="620"/>
      <c r="Z334" s="620"/>
      <c r="AA334" s="620"/>
      <c r="AB334" s="620">
        <f t="shared" si="35"/>
        <v>150</v>
      </c>
      <c r="AE334" s="87">
        <v>72.8</v>
      </c>
      <c r="AF334" s="87">
        <v>300</v>
      </c>
      <c r="AG334" s="620">
        <f t="shared" si="28"/>
        <v>72.8</v>
      </c>
      <c r="AH334" s="620">
        <f t="shared" si="29"/>
        <v>227.2</v>
      </c>
      <c r="AL334" s="595" t="e">
        <f t="shared" si="30"/>
        <v>#REF!</v>
      </c>
      <c r="AM334" s="520" t="e">
        <f t="shared" si="31"/>
        <v>#REF!</v>
      </c>
      <c r="AN334">
        <v>0</v>
      </c>
      <c r="AO334" s="595" t="e">
        <f t="shared" si="32"/>
        <v>#REF!</v>
      </c>
      <c r="AP334" s="520" t="e">
        <f t="shared" si="36"/>
        <v>#REF!</v>
      </c>
      <c r="AQ334" s="520" t="e">
        <f t="shared" si="33"/>
        <v>#REF!</v>
      </c>
      <c r="AR334" s="520" t="e">
        <f t="shared" si="34"/>
        <v>#REF!</v>
      </c>
    </row>
    <row r="335" spans="2:44">
      <c r="B335" s="988" t="s">
        <v>2213</v>
      </c>
      <c r="C335" s="84"/>
      <c r="D335" s="84"/>
      <c r="E335" s="63"/>
      <c r="F335" s="84"/>
      <c r="G335" s="84"/>
      <c r="H335" s="84"/>
      <c r="I335" s="84"/>
      <c r="J335" s="84"/>
      <c r="K335" s="63"/>
      <c r="M335" s="14" t="s">
        <v>20</v>
      </c>
      <c r="N335" s="620">
        <f>SUM(N327:N333)</f>
        <v>6168.2000000000007</v>
      </c>
      <c r="O335" s="620">
        <f>SUM(O327:O333)</f>
        <v>6154.6950000000006</v>
      </c>
      <c r="P335" s="620">
        <f>SUM(P327:P334)</f>
        <v>25015</v>
      </c>
      <c r="Q335" s="620" t="e">
        <f t="shared" si="26"/>
        <v>#REF!</v>
      </c>
      <c r="R335" s="620"/>
      <c r="S335" s="620">
        <f>SUM(S327:S333)</f>
        <v>6168.7790000000005</v>
      </c>
      <c r="T335" s="620">
        <f>SUM(T327:T333)</f>
        <v>8209.7829999999994</v>
      </c>
      <c r="U335" s="620">
        <f>SUM(U327:U334)</f>
        <v>7726.5309999999999</v>
      </c>
      <c r="V335" s="620">
        <f>SUM(V327:V334)</f>
        <v>29670</v>
      </c>
      <c r="W335" s="620"/>
      <c r="X335" s="620">
        <f t="shared" si="27"/>
        <v>22105.093000000001</v>
      </c>
      <c r="Y335" s="620"/>
      <c r="Z335" s="620"/>
      <c r="AA335" s="620"/>
      <c r="AB335" s="620">
        <f t="shared" si="35"/>
        <v>7564.9069999999992</v>
      </c>
      <c r="AC335" s="620">
        <f>SUM(AC327:AC333)</f>
        <v>6873.2660000000005</v>
      </c>
      <c r="AD335" s="620">
        <f>SUM(AD327:AD333)</f>
        <v>7572.701</v>
      </c>
      <c r="AE335" s="620">
        <f>SUM(AE327:AE334)</f>
        <v>6549.5070000000005</v>
      </c>
      <c r="AF335" s="620">
        <f>SUM(AF327:AF334)</f>
        <v>29620</v>
      </c>
      <c r="AG335" s="620">
        <f t="shared" si="28"/>
        <v>20995.474000000002</v>
      </c>
      <c r="AH335" s="620">
        <f t="shared" si="29"/>
        <v>8624.525999999998</v>
      </c>
      <c r="AI335">
        <f>SUM(AI327:AI333)</f>
        <v>6084.7639999999992</v>
      </c>
      <c r="AJ335">
        <f>SUM(AJ327:AJ333)</f>
        <v>7019.5350000000008</v>
      </c>
      <c r="AK335">
        <f>SUM(AK327:AK333)</f>
        <v>7040.802999999999</v>
      </c>
      <c r="AL335" s="595" t="e">
        <f t="shared" si="30"/>
        <v>#REF!</v>
      </c>
      <c r="AM335" s="520" t="e">
        <f t="shared" si="31"/>
        <v>#REF!</v>
      </c>
      <c r="AN335">
        <v>19246.343000000001</v>
      </c>
      <c r="AO335" s="620" t="e">
        <f>SUM(AO328:AO334)</f>
        <v>#REF!</v>
      </c>
      <c r="AP335" s="620" t="e">
        <f>SUM(AP328:AP334)</f>
        <v>#REF!</v>
      </c>
      <c r="AQ335" s="620" t="e">
        <f>SUM(AQ328:AQ334)</f>
        <v>#REF!</v>
      </c>
      <c r="AR335" s="620" t="e">
        <f>SUM(AR328:AR334)</f>
        <v>#REF!</v>
      </c>
    </row>
    <row r="336" spans="2:44">
      <c r="B336" s="988" t="s">
        <v>39</v>
      </c>
      <c r="C336" s="84"/>
      <c r="D336" s="84"/>
      <c r="E336" s="2442" t="s">
        <v>2050</v>
      </c>
      <c r="F336" s="84"/>
      <c r="G336" s="84"/>
      <c r="H336" s="84"/>
      <c r="I336" s="84"/>
      <c r="J336" s="84"/>
      <c r="K336" s="2442" t="s">
        <v>2050</v>
      </c>
      <c r="L336" s="84"/>
      <c r="M336">
        <v>0</v>
      </c>
      <c r="Q336" s="14"/>
      <c r="R336" s="14"/>
      <c r="X336" s="1415"/>
      <c r="Y336" s="1415"/>
      <c r="Z336" s="1415"/>
      <c r="AA336" s="1415"/>
      <c r="AB336" s="1415"/>
    </row>
    <row r="337" spans="2:41">
      <c r="B337" s="126" t="s">
        <v>79</v>
      </c>
      <c r="C337" s="852"/>
      <c r="D337" s="852"/>
      <c r="E337" s="126"/>
      <c r="F337" s="126"/>
      <c r="G337" s="126"/>
      <c r="H337" s="852"/>
      <c r="I337" s="126"/>
      <c r="J337" s="1309"/>
      <c r="K337" s="126"/>
      <c r="M337" s="84" t="s">
        <v>142</v>
      </c>
      <c r="N337" s="2443" t="s">
        <v>2168</v>
      </c>
      <c r="O337" s="2443" t="s">
        <v>2169</v>
      </c>
      <c r="P337" s="261" t="str">
        <f>+P327</f>
        <v>ABP</v>
      </c>
      <c r="Q337" s="1410" t="s">
        <v>2170</v>
      </c>
      <c r="R337" s="1410"/>
      <c r="S337" s="2443" t="s">
        <v>2208</v>
      </c>
      <c r="T337" s="2443" t="s">
        <v>2172</v>
      </c>
      <c r="U337" s="2443" t="s">
        <v>2173</v>
      </c>
      <c r="V337" s="1410" t="str">
        <f>+V309</f>
        <v>ABP</v>
      </c>
      <c r="W337" s="1410"/>
      <c r="X337" s="531" t="str">
        <f>+X327</f>
        <v>2ND QTR</v>
      </c>
      <c r="Y337" s="531"/>
      <c r="Z337" s="531"/>
      <c r="AA337" s="531"/>
      <c r="AB337" s="538" t="str">
        <f>+AB309</f>
        <v>SHORT FALL</v>
      </c>
      <c r="AC337" s="2443" t="s">
        <v>2176</v>
      </c>
      <c r="AD337" s="2443" t="s">
        <v>2177</v>
      </c>
      <c r="AE337" s="2443" t="s">
        <v>2178</v>
      </c>
      <c r="AF337" s="261" t="str">
        <f>+AF327</f>
        <v>ABP</v>
      </c>
      <c r="AG337" s="1277" t="str">
        <f>+AG327</f>
        <v>3RD QTR</v>
      </c>
      <c r="AH337" s="261" t="s">
        <v>2175</v>
      </c>
      <c r="AI337" s="2443" t="s">
        <v>2180</v>
      </c>
      <c r="AJ337" s="2443" t="s">
        <v>2181</v>
      </c>
      <c r="AK337" s="2443" t="s">
        <v>2182</v>
      </c>
      <c r="AM337" s="261" t="s">
        <v>2214</v>
      </c>
    </row>
    <row r="338" spans="2:41">
      <c r="B338" s="496" t="s">
        <v>2183</v>
      </c>
      <c r="C338" s="18"/>
      <c r="D338" s="18"/>
      <c r="E338" s="496">
        <v>1071</v>
      </c>
      <c r="F338" s="496"/>
      <c r="G338" s="496"/>
      <c r="H338" s="18"/>
      <c r="I338" s="496"/>
      <c r="J338" s="17"/>
      <c r="K338" s="496">
        <v>1071</v>
      </c>
      <c r="L338" s="18"/>
      <c r="M338" s="84" t="s">
        <v>2211</v>
      </c>
      <c r="N338" s="518">
        <v>3978.0709999999999</v>
      </c>
      <c r="O338" s="518">
        <v>4037.64</v>
      </c>
      <c r="P338" s="87">
        <f>6500+7650+7350+750</f>
        <v>22250</v>
      </c>
      <c r="Q338" s="620" t="e">
        <f t="shared" ref="Q338:Q343" si="39">+O338+N338+#REF!</f>
        <v>#REF!</v>
      </c>
      <c r="R338" s="620"/>
      <c r="S338" s="87">
        <v>7374.62</v>
      </c>
      <c r="T338" s="87">
        <v>6658.7</v>
      </c>
      <c r="U338" s="87">
        <v>6469.3739999999998</v>
      </c>
      <c r="V338" s="87">
        <f>23250+750</f>
        <v>24000</v>
      </c>
      <c r="W338" s="87"/>
      <c r="X338" s="620">
        <f t="shared" ref="X338:X345" si="40">+U338+T338+S338</f>
        <v>20502.694</v>
      </c>
      <c r="Y338" s="620"/>
      <c r="Z338" s="620"/>
      <c r="AA338" s="620"/>
      <c r="AB338" s="620">
        <f>+V338-X338</f>
        <v>3497.3060000000005</v>
      </c>
      <c r="AC338" s="87">
        <v>6039.3689999999997</v>
      </c>
      <c r="AD338" s="87">
        <v>3464.6750000000002</v>
      </c>
      <c r="AE338" s="87">
        <v>6717.2150000000001</v>
      </c>
      <c r="AF338" s="87">
        <f>21300+750</f>
        <v>22050</v>
      </c>
      <c r="AG338" s="620">
        <f t="shared" ref="AG338:AG345" si="41">+AE338+AD338+AC338</f>
        <v>16221.258999999998</v>
      </c>
      <c r="AH338" s="620">
        <f t="shared" ref="AH338:AH344" si="42">+AF338-AG338</f>
        <v>5828.7410000000018</v>
      </c>
      <c r="AL338" s="84" t="e">
        <f t="shared" ref="AL338:AL345" si="43">SUM(N338:AK338)</f>
        <v>#REF!</v>
      </c>
      <c r="AO338" s="520" t="e">
        <f t="shared" ref="AO338:AO345" si="44">+AD338+AC338+U338+T338+S338+O338+N338+#REF!</f>
        <v>#REF!</v>
      </c>
    </row>
    <row r="339" spans="2:41">
      <c r="B339" s="496" t="s">
        <v>2184</v>
      </c>
      <c r="C339" s="18"/>
      <c r="D339" s="18"/>
      <c r="E339" s="496">
        <v>4980</v>
      </c>
      <c r="F339" s="496"/>
      <c r="G339" s="496"/>
      <c r="H339" s="18"/>
      <c r="I339" s="496"/>
      <c r="J339" s="17"/>
      <c r="K339" s="496">
        <v>4980</v>
      </c>
      <c r="L339" s="18"/>
      <c r="M339" s="84" t="s">
        <v>256</v>
      </c>
      <c r="N339" s="87">
        <v>104.364</v>
      </c>
      <c r="O339" s="87">
        <v>16.25</v>
      </c>
      <c r="P339" s="87">
        <v>210</v>
      </c>
      <c r="Q339" s="620" t="e">
        <f t="shared" si="39"/>
        <v>#REF!</v>
      </c>
      <c r="R339" s="620"/>
      <c r="S339" s="87">
        <v>17.611000000000001</v>
      </c>
      <c r="V339">
        <v>210</v>
      </c>
      <c r="X339" s="620">
        <f t="shared" si="40"/>
        <v>17.611000000000001</v>
      </c>
      <c r="Y339" s="620"/>
      <c r="Z339" s="620"/>
      <c r="AA339" s="620"/>
      <c r="AB339" s="620">
        <f t="shared" ref="AB339:AB345" si="45">+V339-X339</f>
        <v>192.38900000000001</v>
      </c>
      <c r="AD339" s="86">
        <v>15.78</v>
      </c>
      <c r="AE339">
        <v>25.844999999999999</v>
      </c>
      <c r="AF339">
        <v>210</v>
      </c>
      <c r="AG339" s="620">
        <f t="shared" si="41"/>
        <v>41.625</v>
      </c>
      <c r="AH339" s="1418">
        <f t="shared" si="42"/>
        <v>168.375</v>
      </c>
      <c r="AL339" s="84" t="e">
        <f t="shared" si="43"/>
        <v>#REF!</v>
      </c>
      <c r="AO339" s="520" t="e">
        <f t="shared" si="44"/>
        <v>#REF!</v>
      </c>
    </row>
    <row r="340" spans="2:41">
      <c r="B340" s="496" t="s">
        <v>2186</v>
      </c>
      <c r="C340" s="18"/>
      <c r="D340" s="18"/>
      <c r="E340" s="496">
        <v>2282</v>
      </c>
      <c r="F340" s="496"/>
      <c r="G340" s="496"/>
      <c r="H340" s="18"/>
      <c r="I340" s="496"/>
      <c r="J340" s="17"/>
      <c r="K340" s="496">
        <v>2282</v>
      </c>
      <c r="L340" s="18"/>
      <c r="M340" s="84" t="s">
        <v>643</v>
      </c>
      <c r="N340" s="87">
        <v>386.87</v>
      </c>
      <c r="O340" s="87">
        <v>217.185</v>
      </c>
      <c r="P340" s="87">
        <v>1050</v>
      </c>
      <c r="Q340" s="620" t="e">
        <f t="shared" si="39"/>
        <v>#REF!</v>
      </c>
      <c r="R340" s="620"/>
      <c r="S340" s="87">
        <v>330.25900000000001</v>
      </c>
      <c r="T340" s="87">
        <v>467.63</v>
      </c>
      <c r="U340" s="87">
        <v>363.10500000000002</v>
      </c>
      <c r="V340" s="87">
        <v>1300</v>
      </c>
      <c r="W340" s="87"/>
      <c r="X340" s="620">
        <f t="shared" si="40"/>
        <v>1160.9940000000001</v>
      </c>
      <c r="Y340" s="620"/>
      <c r="Z340" s="620"/>
      <c r="AA340" s="620"/>
      <c r="AB340" s="620">
        <f t="shared" si="45"/>
        <v>139.00599999999986</v>
      </c>
      <c r="AC340" s="87">
        <v>342.48</v>
      </c>
      <c r="AD340" s="87">
        <v>373.56</v>
      </c>
      <c r="AE340" s="87">
        <v>412.9</v>
      </c>
      <c r="AF340" s="87">
        <v>1450</v>
      </c>
      <c r="AG340" s="620">
        <f t="shared" si="41"/>
        <v>1128.94</v>
      </c>
      <c r="AH340" s="1418">
        <f t="shared" si="42"/>
        <v>321.05999999999995</v>
      </c>
      <c r="AL340" s="84" t="e">
        <f t="shared" si="43"/>
        <v>#REF!</v>
      </c>
      <c r="AO340" s="520" t="e">
        <f t="shared" si="44"/>
        <v>#REF!</v>
      </c>
    </row>
    <row r="341" spans="2:41">
      <c r="B341" s="496" t="s">
        <v>2187</v>
      </c>
      <c r="C341" s="18"/>
      <c r="D341" s="18"/>
      <c r="E341" s="496">
        <v>1262</v>
      </c>
      <c r="F341" s="496"/>
      <c r="G341" s="496"/>
      <c r="H341" s="18"/>
      <c r="I341" s="496"/>
      <c r="J341" s="17"/>
      <c r="K341" s="496">
        <v>1262</v>
      </c>
      <c r="L341" s="18"/>
      <c r="M341" s="84" t="s">
        <v>257</v>
      </c>
      <c r="N341" s="518">
        <v>176.642</v>
      </c>
      <c r="O341" s="518">
        <v>116.19</v>
      </c>
      <c r="P341" s="87">
        <v>345</v>
      </c>
      <c r="Q341" s="620" t="e">
        <f t="shared" si="39"/>
        <v>#REF!</v>
      </c>
      <c r="R341" s="620"/>
      <c r="S341" s="87">
        <v>162.51400000000001</v>
      </c>
      <c r="T341" s="87">
        <v>239.029</v>
      </c>
      <c r="U341" s="87">
        <v>95.438000000000002</v>
      </c>
      <c r="V341" s="87">
        <v>450</v>
      </c>
      <c r="W341" s="87"/>
      <c r="X341" s="620">
        <f t="shared" si="40"/>
        <v>496.98099999999999</v>
      </c>
      <c r="Y341" s="620"/>
      <c r="Z341" s="620"/>
      <c r="AA341" s="620"/>
      <c r="AB341" s="620">
        <f t="shared" si="45"/>
        <v>-46.980999999999995</v>
      </c>
      <c r="AC341" s="87">
        <v>68.641000000000005</v>
      </c>
      <c r="AD341" s="87">
        <v>69.311999999999998</v>
      </c>
      <c r="AE341" s="87">
        <v>12.18</v>
      </c>
      <c r="AF341" s="87">
        <v>450</v>
      </c>
      <c r="AG341" s="620">
        <f t="shared" si="41"/>
        <v>150.13299999999998</v>
      </c>
      <c r="AH341" s="1418">
        <f t="shared" si="42"/>
        <v>299.86700000000002</v>
      </c>
      <c r="AL341" s="84" t="e">
        <f t="shared" si="43"/>
        <v>#REF!</v>
      </c>
      <c r="AO341" s="520" t="e">
        <f t="shared" si="44"/>
        <v>#REF!</v>
      </c>
    </row>
    <row r="342" spans="2:41">
      <c r="B342" s="496" t="s">
        <v>2188</v>
      </c>
      <c r="C342" s="18"/>
      <c r="D342" s="18"/>
      <c r="E342" s="496">
        <v>689</v>
      </c>
      <c r="F342" s="496"/>
      <c r="G342" s="496"/>
      <c r="H342" s="18"/>
      <c r="I342" s="496"/>
      <c r="J342" s="17"/>
      <c r="K342" s="496">
        <v>689</v>
      </c>
      <c r="L342" s="18"/>
      <c r="M342" s="84" t="s">
        <v>2185</v>
      </c>
      <c r="N342" s="518">
        <v>144.37</v>
      </c>
      <c r="O342" s="518">
        <v>315.41000000000003</v>
      </c>
      <c r="P342" s="87">
        <v>1350</v>
      </c>
      <c r="Q342" s="620" t="e">
        <f t="shared" si="39"/>
        <v>#REF!</v>
      </c>
      <c r="R342" s="620"/>
      <c r="T342" s="87">
        <v>503.61</v>
      </c>
      <c r="U342" s="87">
        <v>363.42</v>
      </c>
      <c r="V342" s="87">
        <v>3900</v>
      </c>
      <c r="W342" s="87"/>
      <c r="X342" s="620">
        <f t="shared" si="40"/>
        <v>867.03</v>
      </c>
      <c r="Y342" s="620"/>
      <c r="Z342" s="620"/>
      <c r="AA342" s="620"/>
      <c r="AB342" s="620">
        <f t="shared" si="45"/>
        <v>3032.9700000000003</v>
      </c>
      <c r="AC342" s="87">
        <v>252.64</v>
      </c>
      <c r="AD342" s="87">
        <v>179.52500000000001</v>
      </c>
      <c r="AE342" s="87">
        <v>200.58500000000001</v>
      </c>
      <c r="AF342" s="87">
        <v>4200</v>
      </c>
      <c r="AG342" s="620">
        <f t="shared" si="41"/>
        <v>632.75</v>
      </c>
      <c r="AH342" s="1418">
        <f t="shared" si="42"/>
        <v>3567.25</v>
      </c>
      <c r="AL342" s="84" t="e">
        <f t="shared" si="43"/>
        <v>#REF!</v>
      </c>
      <c r="AO342" s="520" t="e">
        <f t="shared" si="44"/>
        <v>#REF!</v>
      </c>
    </row>
    <row r="343" spans="2:41">
      <c r="B343" s="496" t="s">
        <v>2190</v>
      </c>
      <c r="C343" s="18"/>
      <c r="D343" s="18"/>
      <c r="E343" s="496">
        <v>289</v>
      </c>
      <c r="F343" s="496"/>
      <c r="G343" s="496"/>
      <c r="H343" s="18"/>
      <c r="I343" s="496"/>
      <c r="J343" s="17"/>
      <c r="K343" s="496">
        <v>289</v>
      </c>
      <c r="L343" s="18"/>
      <c r="M343" s="84" t="s">
        <v>2215</v>
      </c>
      <c r="N343" s="87">
        <v>220.15</v>
      </c>
      <c r="O343" s="87">
        <v>60.895000000000003</v>
      </c>
      <c r="P343" s="87">
        <v>660</v>
      </c>
      <c r="Q343" s="620" t="e">
        <f t="shared" si="39"/>
        <v>#REF!</v>
      </c>
      <c r="R343" s="620"/>
      <c r="S343" s="87">
        <v>127.05</v>
      </c>
      <c r="T343" s="87">
        <v>293.125</v>
      </c>
      <c r="U343" s="87">
        <v>111.05</v>
      </c>
      <c r="V343" s="87">
        <v>660</v>
      </c>
      <c r="W343" s="87"/>
      <c r="X343" s="620">
        <f t="shared" si="40"/>
        <v>531.22500000000002</v>
      </c>
      <c r="Y343" s="620"/>
      <c r="Z343" s="620"/>
      <c r="AA343" s="620"/>
      <c r="AB343" s="620">
        <f t="shared" si="45"/>
        <v>128.77499999999998</v>
      </c>
      <c r="AC343" s="87">
        <v>174.785</v>
      </c>
      <c r="AD343" s="87">
        <v>220.14</v>
      </c>
      <c r="AE343" s="87">
        <v>186.33500000000001</v>
      </c>
      <c r="AF343" s="87">
        <v>960</v>
      </c>
      <c r="AG343" s="620">
        <f t="shared" si="41"/>
        <v>581.26</v>
      </c>
      <c r="AH343" s="1418">
        <f t="shared" si="42"/>
        <v>378.74</v>
      </c>
      <c r="AL343" s="84" t="e">
        <f t="shared" si="43"/>
        <v>#REF!</v>
      </c>
      <c r="AO343" s="520" t="e">
        <f t="shared" si="44"/>
        <v>#REF!</v>
      </c>
    </row>
    <row r="344" spans="2:41">
      <c r="B344" s="496" t="s">
        <v>2192</v>
      </c>
      <c r="C344" s="18"/>
      <c r="D344" s="18"/>
      <c r="E344" s="496">
        <v>187</v>
      </c>
      <c r="F344" s="496"/>
      <c r="G344" s="496"/>
      <c r="H344" s="18"/>
      <c r="I344" s="496"/>
      <c r="J344" s="17"/>
      <c r="K344" s="496">
        <v>187</v>
      </c>
      <c r="L344" s="18"/>
      <c r="M344" s="84" t="s">
        <v>2216</v>
      </c>
      <c r="N344" s="87"/>
      <c r="O344" s="87"/>
      <c r="P344" s="87">
        <v>150</v>
      </c>
      <c r="Q344" s="620"/>
      <c r="R344" s="620"/>
      <c r="V344" s="87">
        <v>150</v>
      </c>
      <c r="W344" s="87"/>
      <c r="X344" s="620">
        <f t="shared" si="40"/>
        <v>0</v>
      </c>
      <c r="Y344" s="620"/>
      <c r="Z344" s="620"/>
      <c r="AA344" s="620"/>
      <c r="AB344" s="620">
        <f t="shared" si="45"/>
        <v>150</v>
      </c>
      <c r="AD344" s="27"/>
      <c r="AF344" s="87">
        <v>300</v>
      </c>
      <c r="AG344" s="620">
        <f t="shared" si="41"/>
        <v>0</v>
      </c>
      <c r="AH344" s="1418">
        <f t="shared" si="42"/>
        <v>300</v>
      </c>
      <c r="AL344" s="84">
        <f t="shared" si="43"/>
        <v>1050</v>
      </c>
      <c r="AO344" s="520" t="e">
        <f t="shared" si="44"/>
        <v>#REF!</v>
      </c>
    </row>
    <row r="345" spans="2:41">
      <c r="B345" s="496" t="s">
        <v>2194</v>
      </c>
      <c r="C345" s="18"/>
      <c r="D345" s="18"/>
      <c r="E345" s="496">
        <v>16</v>
      </c>
      <c r="F345" s="496"/>
      <c r="G345" s="496"/>
      <c r="H345" s="18"/>
      <c r="I345" s="496"/>
      <c r="J345" s="17"/>
      <c r="K345" s="496">
        <v>16</v>
      </c>
      <c r="L345" s="18"/>
      <c r="M345" s="84" t="s">
        <v>2217</v>
      </c>
      <c r="N345" s="87">
        <f>SUM(N337:N343)</f>
        <v>5010.4669999999996</v>
      </c>
      <c r="O345" s="87">
        <f>SUM(O337:O343)</f>
        <v>4763.57</v>
      </c>
      <c r="P345" s="87">
        <f>SUM(P338:P344)</f>
        <v>26015</v>
      </c>
      <c r="Q345" s="620" t="e">
        <f>+O345+N345+#REF!</f>
        <v>#REF!</v>
      </c>
      <c r="R345" s="620"/>
      <c r="S345" s="87">
        <f>SUM(S338:S344)</f>
        <v>8012.0540000000001</v>
      </c>
      <c r="T345" s="87">
        <f>SUM(T338:T344)</f>
        <v>8162.0940000000001</v>
      </c>
      <c r="U345" s="87">
        <f>SUM(U338:U344)</f>
        <v>7402.3869999999997</v>
      </c>
      <c r="V345" s="87">
        <f>SUM(V338:V344)</f>
        <v>30670</v>
      </c>
      <c r="W345" s="87"/>
      <c r="X345" s="620">
        <f t="shared" si="40"/>
        <v>23576.535</v>
      </c>
      <c r="Y345" s="620"/>
      <c r="Z345" s="620"/>
      <c r="AA345" s="620"/>
      <c r="AB345" s="620">
        <f t="shared" si="45"/>
        <v>7093.4650000000001</v>
      </c>
      <c r="AC345" s="87">
        <f>SUM(AC338:AC344)</f>
        <v>6877.915</v>
      </c>
      <c r="AD345" s="87">
        <f>SUM(AD338:AD344)</f>
        <v>4322.9920000000002</v>
      </c>
      <c r="AE345" s="87">
        <f>SUM(AE338:AE344)</f>
        <v>7555.06</v>
      </c>
      <c r="AF345" s="87">
        <f>SUM(AF338:AF344)</f>
        <v>29620</v>
      </c>
      <c r="AG345" s="620">
        <f t="shared" si="41"/>
        <v>18755.967000000001</v>
      </c>
      <c r="AH345" s="1415">
        <f>SUM(AH338:AH344)</f>
        <v>10864.033000000001</v>
      </c>
      <c r="AI345">
        <f>SUM(AI337:AI343)</f>
        <v>0</v>
      </c>
      <c r="AJ345">
        <f>SUM(AJ337:AJ343)</f>
        <v>0</v>
      </c>
      <c r="AL345" s="84" t="e">
        <f t="shared" si="43"/>
        <v>#REF!</v>
      </c>
      <c r="AO345" s="520" t="e">
        <f t="shared" si="44"/>
        <v>#REF!</v>
      </c>
    </row>
    <row r="346" spans="2:41">
      <c r="B346" s="496" t="s">
        <v>2195</v>
      </c>
      <c r="C346" s="18"/>
      <c r="D346" s="18"/>
      <c r="E346" s="1409"/>
      <c r="F346" s="496"/>
      <c r="G346" s="496"/>
      <c r="H346" s="18"/>
      <c r="I346" s="496"/>
      <c r="J346" s="17"/>
      <c r="K346" s="1409"/>
    </row>
    <row r="347" spans="2:41">
      <c r="B347" s="496" t="s">
        <v>2198</v>
      </c>
      <c r="C347" s="18"/>
      <c r="D347" s="18"/>
      <c r="E347" s="496">
        <v>139</v>
      </c>
      <c r="F347" s="496"/>
      <c r="G347" s="496"/>
      <c r="H347" s="18"/>
      <c r="I347" s="496"/>
      <c r="J347" s="17"/>
      <c r="K347" s="496">
        <v>139</v>
      </c>
      <c r="L347" s="18"/>
    </row>
    <row r="348" spans="2:41">
      <c r="B348" s="496" t="s">
        <v>2199</v>
      </c>
      <c r="C348" s="18"/>
      <c r="D348" s="18"/>
      <c r="E348" s="496">
        <v>896</v>
      </c>
      <c r="F348" s="496"/>
      <c r="G348" s="496"/>
      <c r="H348" s="18"/>
      <c r="I348" s="496"/>
      <c r="J348" s="17"/>
      <c r="K348" s="496">
        <v>896</v>
      </c>
      <c r="L348" s="18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14"/>
      <c r="AH348" s="14"/>
    </row>
    <row r="349" spans="2:41">
      <c r="B349" s="496" t="s">
        <v>2201</v>
      </c>
      <c r="C349" s="18"/>
      <c r="D349" s="18"/>
      <c r="E349" s="496">
        <v>60</v>
      </c>
      <c r="F349" s="496"/>
      <c r="G349" s="496"/>
      <c r="H349" s="18"/>
      <c r="I349" s="496"/>
      <c r="J349" s="17"/>
      <c r="K349" s="496">
        <v>60</v>
      </c>
      <c r="L349" s="18"/>
      <c r="N349" s="84" t="s">
        <v>2218</v>
      </c>
      <c r="O349" s="84"/>
      <c r="P349" s="84"/>
      <c r="Q349" s="84"/>
      <c r="R349" s="84"/>
      <c r="S349" s="2443" t="s">
        <v>155</v>
      </c>
      <c r="T349" s="2441" t="s">
        <v>388</v>
      </c>
      <c r="U349" s="2441" t="s">
        <v>2048</v>
      </c>
      <c r="V349" s="84"/>
      <c r="W349" s="84"/>
      <c r="X349" s="84"/>
      <c r="Y349" s="84"/>
      <c r="Z349" s="84"/>
      <c r="AA349" s="84"/>
      <c r="AB349" s="84"/>
      <c r="AC349" s="2441" t="s">
        <v>2049</v>
      </c>
      <c r="AD349" s="2441" t="s">
        <v>2050</v>
      </c>
      <c r="AE349" s="2441" t="s">
        <v>2055</v>
      </c>
      <c r="AF349" s="84"/>
      <c r="AG349" s="14"/>
      <c r="AH349" s="14"/>
    </row>
    <row r="350" spans="2:41">
      <c r="B350" s="496" t="s">
        <v>2202</v>
      </c>
      <c r="C350" s="18"/>
      <c r="D350" s="18"/>
      <c r="E350" s="496">
        <v>1.44</v>
      </c>
      <c r="F350" s="496"/>
      <c r="G350" s="496"/>
      <c r="H350" s="18"/>
      <c r="I350" s="496"/>
      <c r="J350" s="17"/>
      <c r="K350" s="496">
        <v>1.44</v>
      </c>
      <c r="L350" s="18"/>
      <c r="N350" s="84" t="s">
        <v>2218</v>
      </c>
      <c r="O350" s="84" t="s">
        <v>2219</v>
      </c>
      <c r="P350" s="84"/>
      <c r="Q350" s="84"/>
      <c r="R350" s="84"/>
      <c r="S350" s="84">
        <v>2710</v>
      </c>
      <c r="T350" s="84">
        <v>382</v>
      </c>
      <c r="U350" s="84">
        <v>1307</v>
      </c>
      <c r="V350" s="84"/>
      <c r="W350" s="84"/>
      <c r="X350" s="84"/>
      <c r="Y350" s="84"/>
      <c r="Z350" s="84"/>
      <c r="AA350" s="84"/>
      <c r="AB350" s="84"/>
      <c r="AC350" s="84">
        <v>1613</v>
      </c>
      <c r="AD350" s="84">
        <f>12.44+81.76+16.59+79.87+28.03+52.23+55.75+136.1+181.645+57.95+24.83+48.155+59.71</f>
        <v>835.06000000000006</v>
      </c>
      <c r="AE350" s="84">
        <v>0</v>
      </c>
      <c r="AF350" s="84"/>
      <c r="AG350" s="14"/>
      <c r="AH350" s="14"/>
    </row>
    <row r="351" spans="2:41">
      <c r="B351" s="496" t="s">
        <v>2204</v>
      </c>
      <c r="C351" s="18"/>
      <c r="D351" s="18"/>
      <c r="E351" s="496">
        <v>516</v>
      </c>
      <c r="F351" s="496"/>
      <c r="G351" s="496"/>
      <c r="H351" s="18"/>
      <c r="I351" s="496"/>
      <c r="J351" s="17"/>
      <c r="K351" s="496">
        <v>516</v>
      </c>
      <c r="L351" s="18"/>
      <c r="N351" s="84"/>
      <c r="O351" s="84" t="s">
        <v>2220</v>
      </c>
      <c r="P351" s="84"/>
      <c r="Q351" s="84"/>
      <c r="R351" s="84"/>
      <c r="S351" s="84"/>
      <c r="T351" s="84">
        <v>125</v>
      </c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>
        <v>0</v>
      </c>
      <c r="AF351" s="84"/>
      <c r="AG351" s="14"/>
      <c r="AH351" s="14"/>
    </row>
    <row r="352" spans="2:41">
      <c r="B352" s="496" t="s">
        <v>2206</v>
      </c>
      <c r="C352" s="18"/>
      <c r="D352" s="18"/>
      <c r="E352" s="496">
        <f>24433+26125</f>
        <v>50558</v>
      </c>
      <c r="F352" s="496"/>
      <c r="G352" s="496"/>
      <c r="H352" s="18"/>
      <c r="I352" s="496"/>
      <c r="J352" s="17"/>
      <c r="K352" s="496">
        <f>24433+26125</f>
        <v>50558</v>
      </c>
      <c r="L352" s="18"/>
      <c r="N352" s="84" t="s">
        <v>2218</v>
      </c>
      <c r="O352" s="84">
        <v>9000</v>
      </c>
      <c r="P352" s="84"/>
      <c r="Q352" s="84"/>
      <c r="R352" s="84"/>
      <c r="S352" s="84">
        <v>316</v>
      </c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14"/>
      <c r="AH352" s="14"/>
    </row>
    <row r="353" spans="2:34">
      <c r="B353" s="491"/>
      <c r="C353" s="504"/>
      <c r="D353" s="504"/>
      <c r="E353" s="1412">
        <f>SUM(E338:E352)</f>
        <v>62946.44</v>
      </c>
      <c r="F353" s="491"/>
      <c r="G353" s="491"/>
      <c r="H353" s="491"/>
      <c r="I353" s="491"/>
      <c r="J353" s="491"/>
      <c r="K353" s="1412">
        <f>SUM(K338:K352)</f>
        <v>62946.44</v>
      </c>
      <c r="L353" s="87"/>
      <c r="N353" s="84"/>
      <c r="O353" s="84">
        <v>1194</v>
      </c>
      <c r="P353" s="84"/>
      <c r="Q353" s="84"/>
      <c r="R353" s="84"/>
      <c r="S353" s="84"/>
      <c r="T353" s="84">
        <v>72</v>
      </c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14"/>
      <c r="AH353" s="14"/>
    </row>
    <row r="354" spans="2:34">
      <c r="B354" s="496" t="s">
        <v>2210</v>
      </c>
      <c r="C354" s="18"/>
      <c r="D354" s="18"/>
      <c r="E354" s="1012">
        <v>9237.5</v>
      </c>
      <c r="F354" s="496"/>
      <c r="G354" s="496"/>
      <c r="H354" s="496"/>
      <c r="I354" s="496"/>
      <c r="J354" s="496"/>
      <c r="K354" s="1012">
        <v>9237.5</v>
      </c>
      <c r="L354" s="87"/>
    </row>
    <row r="355" spans="2:34">
      <c r="B355" s="496" t="s">
        <v>2212</v>
      </c>
      <c r="C355" s="18"/>
      <c r="D355" s="18"/>
      <c r="E355" s="1012">
        <v>57652.5</v>
      </c>
      <c r="F355" s="496"/>
      <c r="G355" s="496"/>
      <c r="H355" s="496"/>
      <c r="I355" s="496"/>
      <c r="J355" s="496"/>
      <c r="K355" s="1012">
        <v>57652.5</v>
      </c>
      <c r="L355" s="87"/>
    </row>
    <row r="356" spans="2:34">
      <c r="B356" s="17" t="s">
        <v>23</v>
      </c>
      <c r="C356" s="18"/>
      <c r="D356" s="18"/>
      <c r="E356" s="496">
        <f>SUM(E354:E355)</f>
        <v>66890</v>
      </c>
      <c r="F356" s="496"/>
      <c r="G356" s="496"/>
      <c r="H356" s="496"/>
      <c r="I356" s="496"/>
      <c r="J356" s="496"/>
      <c r="K356" s="496">
        <f>SUM(K354:K355)</f>
        <v>66890</v>
      </c>
      <c r="L356" s="18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spans="2:34">
      <c r="B357" s="488" t="s">
        <v>103</v>
      </c>
      <c r="C357" s="504"/>
      <c r="D357" s="504"/>
      <c r="E357" s="1412">
        <f>+E356+E353</f>
        <v>129836.44</v>
      </c>
      <c r="F357" s="491"/>
      <c r="G357" s="491"/>
      <c r="H357" s="491"/>
      <c r="I357" s="491"/>
      <c r="J357" s="491"/>
      <c r="K357" s="491">
        <f>+K356+K353</f>
        <v>129836.44</v>
      </c>
      <c r="L357" s="18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spans="2:34">
      <c r="B358" s="18"/>
      <c r="C358" s="18"/>
      <c r="D358" s="18"/>
      <c r="E358" s="18"/>
      <c r="N358" s="488" t="s">
        <v>79</v>
      </c>
      <c r="O358" s="2782" t="s">
        <v>36</v>
      </c>
      <c r="P358" s="2783"/>
      <c r="Q358" s="2783"/>
      <c r="R358" s="504"/>
      <c r="S358" s="2782" t="s">
        <v>2221</v>
      </c>
      <c r="T358" s="2783"/>
      <c r="U358" s="2783"/>
      <c r="V358" s="490"/>
      <c r="W358" s="504"/>
      <c r="X358" s="2783" t="s">
        <v>142</v>
      </c>
      <c r="Y358" s="2783"/>
      <c r="Z358" s="2783"/>
      <c r="AA358" s="2783"/>
      <c r="AB358" s="2783"/>
      <c r="AC358" s="2783"/>
      <c r="AD358" s="490"/>
    </row>
    <row r="359" spans="2:34">
      <c r="B359" s="591"/>
      <c r="C359" s="591"/>
      <c r="D359" s="591"/>
      <c r="E359" s="591"/>
      <c r="F359" s="591"/>
      <c r="G359" s="591"/>
      <c r="H359" s="591"/>
      <c r="I359" s="591"/>
      <c r="J359" s="591"/>
      <c r="K359" s="591"/>
      <c r="N359" s="491"/>
      <c r="O359" s="491" t="s">
        <v>639</v>
      </c>
      <c r="P359" s="491" t="s">
        <v>2222</v>
      </c>
      <c r="Q359" s="491" t="s">
        <v>2223</v>
      </c>
      <c r="R359" s="491"/>
      <c r="S359" s="491" t="s">
        <v>639</v>
      </c>
      <c r="T359" s="491" t="s">
        <v>2222</v>
      </c>
      <c r="U359" s="491" t="s">
        <v>2223</v>
      </c>
      <c r="V359" s="491" t="s">
        <v>322</v>
      </c>
      <c r="W359" s="491"/>
      <c r="X359" s="491" t="s">
        <v>275</v>
      </c>
      <c r="Y359" s="491"/>
      <c r="Z359" s="491"/>
      <c r="AA359" s="491"/>
      <c r="AB359" s="491" t="s">
        <v>312</v>
      </c>
      <c r="AC359" s="491" t="s">
        <v>2223</v>
      </c>
      <c r="AD359" s="491" t="s">
        <v>322</v>
      </c>
    </row>
    <row r="360" spans="2:34">
      <c r="B360" s="308"/>
      <c r="C360" s="127"/>
      <c r="D360" s="102"/>
      <c r="E360" s="233" t="s">
        <v>2224</v>
      </c>
      <c r="F360" s="127"/>
      <c r="G360" s="127"/>
      <c r="H360" s="127"/>
      <c r="I360" s="127"/>
      <c r="J360" s="127"/>
      <c r="K360" s="1328"/>
      <c r="N360" s="491" t="s">
        <v>2225</v>
      </c>
      <c r="O360" s="491">
        <v>29160</v>
      </c>
      <c r="P360" s="491">
        <v>21400</v>
      </c>
      <c r="Q360" s="491">
        <v>7760</v>
      </c>
      <c r="R360" s="504"/>
      <c r="S360" s="504">
        <v>25015</v>
      </c>
      <c r="T360" s="491">
        <v>19246</v>
      </c>
      <c r="U360" s="491">
        <v>5769</v>
      </c>
      <c r="V360" s="491">
        <v>20712</v>
      </c>
      <c r="W360" s="491"/>
      <c r="X360" s="491">
        <v>26015</v>
      </c>
      <c r="Y360" s="491"/>
      <c r="Z360" s="491"/>
      <c r="AA360" s="491"/>
      <c r="AB360" s="491">
        <v>17031</v>
      </c>
      <c r="AC360" s="491">
        <v>8984</v>
      </c>
      <c r="AD360" s="491">
        <v>21067</v>
      </c>
    </row>
    <row r="361" spans="2:34">
      <c r="B361" s="988" t="s">
        <v>79</v>
      </c>
      <c r="D361" s="17"/>
      <c r="E361" s="491" t="s">
        <v>255</v>
      </c>
      <c r="F361" s="491" t="s">
        <v>256</v>
      </c>
      <c r="G361" s="491" t="s">
        <v>643</v>
      </c>
      <c r="H361" s="491" t="s">
        <v>261</v>
      </c>
      <c r="I361" s="504" t="s">
        <v>265</v>
      </c>
      <c r="J361" s="504" t="s">
        <v>664</v>
      </c>
      <c r="K361" s="491" t="s">
        <v>23</v>
      </c>
      <c r="N361" s="491" t="s">
        <v>2226</v>
      </c>
      <c r="O361" s="491">
        <v>29650</v>
      </c>
      <c r="P361" s="491">
        <v>23632</v>
      </c>
      <c r="Q361" s="491">
        <v>6018</v>
      </c>
      <c r="R361" s="504"/>
      <c r="S361" s="504">
        <v>29670</v>
      </c>
      <c r="T361" s="491">
        <v>22105</v>
      </c>
      <c r="U361" s="491">
        <v>7565</v>
      </c>
      <c r="V361" s="491">
        <v>24044</v>
      </c>
      <c r="W361" s="491"/>
      <c r="X361" s="491">
        <v>30670</v>
      </c>
      <c r="Y361" s="491"/>
      <c r="Z361" s="491"/>
      <c r="AA361" s="491"/>
      <c r="AB361" s="491">
        <v>23577</v>
      </c>
      <c r="AC361" s="491">
        <v>7093</v>
      </c>
      <c r="AD361" s="491">
        <v>25404</v>
      </c>
    </row>
    <row r="362" spans="2:34">
      <c r="B362" s="491" t="s">
        <v>81</v>
      </c>
      <c r="C362" s="8"/>
      <c r="D362" s="21" t="s">
        <v>81</v>
      </c>
      <c r="E362" s="1014">
        <v>76528</v>
      </c>
      <c r="F362" s="1311">
        <v>125</v>
      </c>
      <c r="G362" s="1311">
        <v>3525</v>
      </c>
      <c r="H362" s="1311">
        <v>90</v>
      </c>
      <c r="I362" s="1329">
        <v>790</v>
      </c>
      <c r="J362" s="1329"/>
      <c r="K362" s="1311">
        <f>+J362+I362+H362+G362+F362+E362</f>
        <v>81058</v>
      </c>
      <c r="N362" s="1014" t="s">
        <v>2227</v>
      </c>
      <c r="O362" s="1014">
        <v>33560</v>
      </c>
      <c r="P362" s="1014">
        <v>23431</v>
      </c>
      <c r="Q362" s="1014">
        <v>10129</v>
      </c>
      <c r="R362" s="18"/>
      <c r="S362" s="1416">
        <v>29620</v>
      </c>
      <c r="T362" s="1014">
        <v>20995</v>
      </c>
      <c r="U362" s="1014">
        <v>8625</v>
      </c>
      <c r="V362" s="1014">
        <v>26915</v>
      </c>
      <c r="W362" s="1014"/>
      <c r="X362" s="1014">
        <v>29620</v>
      </c>
      <c r="Y362" s="1014"/>
      <c r="Z362" s="1014"/>
      <c r="AA362" s="1014"/>
      <c r="AB362" s="1014">
        <v>18756</v>
      </c>
      <c r="AC362" s="1014">
        <v>10864</v>
      </c>
      <c r="AD362" s="1014">
        <v>28062</v>
      </c>
    </row>
    <row r="363" spans="2:34">
      <c r="B363" s="496" t="s">
        <v>2014</v>
      </c>
      <c r="D363" s="17" t="s">
        <v>2014</v>
      </c>
      <c r="E363" s="1012">
        <f>8852-187</f>
        <v>8665</v>
      </c>
      <c r="F363" s="1012">
        <v>150</v>
      </c>
      <c r="G363" s="1012">
        <v>580</v>
      </c>
      <c r="H363" s="1012">
        <v>80</v>
      </c>
      <c r="I363" s="87">
        <v>150</v>
      </c>
      <c r="J363" s="87">
        <v>1502</v>
      </c>
      <c r="K363" s="1012">
        <f t="shared" ref="K363:K369" si="46">+J363+I363+H363+G363+F363+E363</f>
        <v>11127</v>
      </c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spans="2:34">
      <c r="B364" s="496" t="s">
        <v>2015</v>
      </c>
      <c r="D364" s="17" t="s">
        <v>2016</v>
      </c>
      <c r="E364" s="1012">
        <v>3316</v>
      </c>
      <c r="F364" s="1012"/>
      <c r="G364" s="1012">
        <v>0</v>
      </c>
      <c r="H364" s="1012"/>
      <c r="I364" s="87">
        <v>300</v>
      </c>
      <c r="J364" s="87">
        <f>1713+201+1037</f>
        <v>2951</v>
      </c>
      <c r="K364" s="1012">
        <f t="shared" si="46"/>
        <v>6567</v>
      </c>
    </row>
    <row r="365" spans="2:34">
      <c r="B365" s="496" t="s">
        <v>2017</v>
      </c>
      <c r="D365" s="17" t="s">
        <v>2018</v>
      </c>
      <c r="E365" s="1012">
        <v>500</v>
      </c>
      <c r="F365" s="1012">
        <v>60</v>
      </c>
      <c r="G365" s="1012">
        <v>740</v>
      </c>
      <c r="H365" s="1012"/>
      <c r="I365" s="87">
        <v>700</v>
      </c>
      <c r="J365" s="87"/>
      <c r="K365" s="1012">
        <f t="shared" si="46"/>
        <v>2000</v>
      </c>
    </row>
    <row r="366" spans="2:34">
      <c r="B366" s="496" t="s">
        <v>2019</v>
      </c>
      <c r="D366" s="17" t="s">
        <v>2020</v>
      </c>
      <c r="E366" s="1012">
        <v>700</v>
      </c>
      <c r="F366" s="1012"/>
      <c r="G366" s="1012">
        <v>525</v>
      </c>
      <c r="H366" s="1012"/>
      <c r="I366" s="87"/>
      <c r="J366" s="87"/>
      <c r="K366" s="1012">
        <f t="shared" si="46"/>
        <v>1225</v>
      </c>
      <c r="N366" s="233" t="s">
        <v>2228</v>
      </c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127"/>
      <c r="AD366" s="354"/>
    </row>
    <row r="367" spans="2:34">
      <c r="B367" s="496" t="s">
        <v>2023</v>
      </c>
      <c r="D367" s="17" t="s">
        <v>2024</v>
      </c>
      <c r="E367" s="1012">
        <v>187</v>
      </c>
      <c r="F367" s="1012"/>
      <c r="G367" s="1012">
        <v>0</v>
      </c>
      <c r="H367" s="1012">
        <v>13</v>
      </c>
      <c r="I367" s="87"/>
      <c r="J367" s="87"/>
      <c r="K367" s="1012">
        <f t="shared" si="46"/>
        <v>200</v>
      </c>
      <c r="N367" s="2410" t="s">
        <v>2229</v>
      </c>
      <c r="O367" s="2410" t="s">
        <v>2168</v>
      </c>
      <c r="P367" s="2410" t="s">
        <v>2169</v>
      </c>
      <c r="Q367" s="2410" t="s">
        <v>2171</v>
      </c>
      <c r="R367" s="1414"/>
      <c r="S367" s="2410" t="s">
        <v>2173</v>
      </c>
      <c r="T367" s="2410" t="s">
        <v>2176</v>
      </c>
      <c r="U367" s="2410" t="s">
        <v>2177</v>
      </c>
      <c r="V367" s="2410" t="s">
        <v>2178</v>
      </c>
      <c r="W367" s="1414"/>
      <c r="X367" s="2410" t="s">
        <v>2209</v>
      </c>
      <c r="Y367" s="1414"/>
      <c r="Z367" s="1414"/>
      <c r="AA367" s="1414"/>
      <c r="AB367" s="2410" t="s">
        <v>2230</v>
      </c>
      <c r="AC367" s="2410" t="s">
        <v>2182</v>
      </c>
      <c r="AD367" s="2444" t="s">
        <v>2050</v>
      </c>
    </row>
    <row r="368" spans="2:34">
      <c r="B368" s="496" t="s">
        <v>2025</v>
      </c>
      <c r="D368" s="17" t="s">
        <v>99</v>
      </c>
      <c r="E368" s="1012">
        <v>597</v>
      </c>
      <c r="F368" s="1012"/>
      <c r="G368" s="1012">
        <v>75</v>
      </c>
      <c r="H368" s="1012">
        <v>36</v>
      </c>
      <c r="I368" s="87"/>
      <c r="J368" s="87"/>
      <c r="K368" s="1012">
        <f t="shared" si="46"/>
        <v>708</v>
      </c>
      <c r="N368" s="18">
        <v>7303.2809999999999</v>
      </c>
      <c r="O368" s="18">
        <v>7077.32</v>
      </c>
      <c r="P368" s="18">
        <v>7802.33</v>
      </c>
      <c r="Q368" s="18">
        <v>8248.4</v>
      </c>
      <c r="R368" s="18"/>
      <c r="S368" s="20">
        <v>7926.8029999999999</v>
      </c>
      <c r="T368" s="18">
        <v>8206.1679999999997</v>
      </c>
      <c r="U368" s="18">
        <v>8053.2129999999997</v>
      </c>
      <c r="V368" s="18">
        <v>8094.1350000000002</v>
      </c>
      <c r="W368" s="18"/>
      <c r="X368" s="18">
        <v>7871.3720000000003</v>
      </c>
      <c r="Y368" s="18"/>
      <c r="Z368" s="18"/>
      <c r="AA368" s="18"/>
      <c r="AB368" s="18"/>
      <c r="AC368" s="18"/>
      <c r="AD368" s="24">
        <f>SUM(N368:AC368)</f>
        <v>70583.021999999997</v>
      </c>
    </row>
    <row r="369" spans="2:30">
      <c r="B369" s="496" t="s">
        <v>185</v>
      </c>
      <c r="D369" s="17" t="s">
        <v>185</v>
      </c>
      <c r="E369" s="1012">
        <f>92882-90493</f>
        <v>2389</v>
      </c>
      <c r="F369" s="1012"/>
      <c r="G369" s="1012">
        <v>32</v>
      </c>
      <c r="H369" s="1012">
        <f>1411+33</f>
        <v>1444</v>
      </c>
      <c r="I369" s="87">
        <f>353</f>
        <v>353</v>
      </c>
      <c r="J369" s="87">
        <f>5066+303+107+141+1626</f>
        <v>7243</v>
      </c>
      <c r="K369" s="1012">
        <f t="shared" si="46"/>
        <v>11461</v>
      </c>
      <c r="N369" s="17">
        <v>6700.7</v>
      </c>
      <c r="O369" s="17">
        <v>6599.36</v>
      </c>
      <c r="P369" s="17">
        <v>7273.7</v>
      </c>
      <c r="Q369" s="17">
        <v>7939.4</v>
      </c>
      <c r="R369" s="17"/>
      <c r="S369" s="515">
        <v>7287.5</v>
      </c>
      <c r="T369" s="17">
        <v>7496.1</v>
      </c>
      <c r="U369" s="17">
        <v>7603.4</v>
      </c>
      <c r="V369" s="17">
        <v>7451.08</v>
      </c>
      <c r="W369" s="17"/>
      <c r="X369" s="17">
        <v>7308.52</v>
      </c>
      <c r="Y369" s="18"/>
      <c r="Z369" s="18"/>
      <c r="AA369" s="18"/>
      <c r="AB369" s="18"/>
      <c r="AC369" s="18"/>
      <c r="AD369" s="24">
        <f t="shared" ref="AD369:AD384" si="47">SUM(N369:AC369)</f>
        <v>65659.759999999995</v>
      </c>
    </row>
    <row r="370" spans="2:30">
      <c r="B370" s="95" t="s">
        <v>103</v>
      </c>
      <c r="D370" s="102"/>
      <c r="E370" s="1016">
        <f t="shared" ref="E370:K370" si="48">SUM(E362:E369)</f>
        <v>92882</v>
      </c>
      <c r="F370" s="1016">
        <f t="shared" si="48"/>
        <v>335</v>
      </c>
      <c r="G370" s="1016">
        <f t="shared" si="48"/>
        <v>5477</v>
      </c>
      <c r="H370" s="1016">
        <f t="shared" si="48"/>
        <v>1663</v>
      </c>
      <c r="I370" s="1011">
        <f t="shared" si="48"/>
        <v>2293</v>
      </c>
      <c r="J370" s="1011">
        <f t="shared" si="48"/>
        <v>11696</v>
      </c>
      <c r="K370" s="1016">
        <f t="shared" si="48"/>
        <v>114346</v>
      </c>
      <c r="N370" s="18"/>
      <c r="O370" s="18"/>
      <c r="P370" s="18"/>
      <c r="Q370" s="18"/>
      <c r="R370" s="18"/>
      <c r="S370" s="20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24">
        <f t="shared" si="47"/>
        <v>0</v>
      </c>
    </row>
    <row r="371" spans="2:30">
      <c r="N371" s="18"/>
      <c r="O371" s="18"/>
      <c r="P371" s="18"/>
      <c r="Q371" s="18"/>
      <c r="R371" s="18"/>
      <c r="S371" s="18"/>
      <c r="T371" s="17">
        <v>138.16200000000001</v>
      </c>
      <c r="U371" s="18"/>
      <c r="V371" s="18"/>
      <c r="W371" s="18"/>
      <c r="X371" s="17">
        <v>40.296999999999997</v>
      </c>
      <c r="Y371" s="18"/>
      <c r="Z371" s="18"/>
      <c r="AA371" s="18"/>
      <c r="AB371" s="18"/>
      <c r="AC371" s="18"/>
      <c r="AD371" s="24">
        <f t="shared" si="47"/>
        <v>178.459</v>
      </c>
    </row>
    <row r="372" spans="2:30" ht="20.25">
      <c r="B372" s="126"/>
      <c r="C372" s="127"/>
      <c r="D372" s="127"/>
      <c r="E372" s="126"/>
      <c r="F372" s="2950" t="s">
        <v>2231</v>
      </c>
      <c r="G372" s="2951"/>
      <c r="H372" s="2952" t="s">
        <v>2232</v>
      </c>
      <c r="I372" s="2953"/>
      <c r="J372" s="2952" t="s">
        <v>2233</v>
      </c>
      <c r="K372" s="2953"/>
      <c r="N372" s="18">
        <v>314.85300000000001</v>
      </c>
      <c r="O372" s="18">
        <v>215.83199999999999</v>
      </c>
      <c r="P372" s="18"/>
      <c r="Q372" s="18"/>
      <c r="R372" s="18"/>
      <c r="S372" s="20">
        <v>352.73399999999998</v>
      </c>
      <c r="T372" s="18">
        <v>140.43100000000001</v>
      </c>
      <c r="U372" s="18">
        <v>150.52199999999999</v>
      </c>
      <c r="V372" s="18">
        <v>199.55199999999999</v>
      </c>
      <c r="W372" s="18"/>
      <c r="X372" s="18">
        <v>254.541</v>
      </c>
      <c r="Y372" s="18"/>
      <c r="Z372" s="18"/>
      <c r="AA372" s="18"/>
      <c r="AB372" s="18"/>
      <c r="AC372" s="18"/>
      <c r="AD372" s="24">
        <f t="shared" si="47"/>
        <v>1628.4649999999997</v>
      </c>
    </row>
    <row r="373" spans="2:30">
      <c r="B373" s="128" t="s">
        <v>783</v>
      </c>
      <c r="C373" s="129"/>
      <c r="D373" s="129"/>
      <c r="E373" s="129" t="s">
        <v>2234</v>
      </c>
      <c r="F373" s="128" t="s">
        <v>37</v>
      </c>
      <c r="G373" s="129" t="s">
        <v>2235</v>
      </c>
      <c r="H373" s="128" t="s">
        <v>37</v>
      </c>
      <c r="I373" s="164" t="s">
        <v>2235</v>
      </c>
      <c r="J373" s="128" t="s">
        <v>37</v>
      </c>
      <c r="K373" s="164" t="s">
        <v>2235</v>
      </c>
      <c r="N373" s="18"/>
      <c r="O373" s="18"/>
      <c r="P373" s="18">
        <v>53.021000000000001</v>
      </c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24">
        <f t="shared" si="47"/>
        <v>53.021000000000001</v>
      </c>
    </row>
    <row r="374" spans="2:30">
      <c r="B374" s="130"/>
      <c r="C374" s="131"/>
      <c r="D374" s="131"/>
      <c r="E374" s="131"/>
      <c r="F374" s="130"/>
      <c r="G374" s="131"/>
      <c r="H374" s="130"/>
      <c r="I374" s="165"/>
      <c r="J374" s="130"/>
      <c r="K374" s="165"/>
      <c r="N374" s="18"/>
      <c r="O374" s="18"/>
      <c r="P374" s="18">
        <v>97.277000000000001</v>
      </c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24">
        <f t="shared" si="47"/>
        <v>97.277000000000001</v>
      </c>
    </row>
    <row r="375" spans="2:30">
      <c r="B375" s="132" t="s">
        <v>351</v>
      </c>
      <c r="C375" s="133"/>
      <c r="D375" s="133"/>
      <c r="E375" s="133">
        <v>8800</v>
      </c>
      <c r="F375" s="132">
        <v>3704</v>
      </c>
      <c r="G375" s="133">
        <v>4962</v>
      </c>
      <c r="H375" s="132">
        <v>5693</v>
      </c>
      <c r="I375" s="166">
        <v>5774</v>
      </c>
      <c r="J375" s="132">
        <v>5693</v>
      </c>
      <c r="K375" s="166">
        <v>5774</v>
      </c>
      <c r="N375" s="27"/>
      <c r="O375" s="27"/>
      <c r="P375" s="27"/>
      <c r="Q375" s="18"/>
      <c r="R375" s="18"/>
      <c r="S375" s="18"/>
      <c r="T375" s="18">
        <v>52.152999999999999</v>
      </c>
      <c r="U375" s="18"/>
      <c r="V375" s="18">
        <v>148.75299999999999</v>
      </c>
      <c r="W375" s="18"/>
      <c r="X375" s="18"/>
      <c r="Y375" s="18"/>
      <c r="Z375" s="18"/>
      <c r="AA375" s="18"/>
      <c r="AB375" s="18"/>
      <c r="AC375" s="18"/>
      <c r="AD375" s="24">
        <f t="shared" si="47"/>
        <v>200.90599999999998</v>
      </c>
    </row>
    <row r="376" spans="2:30">
      <c r="B376" s="132"/>
      <c r="C376" s="133"/>
      <c r="D376" s="133"/>
      <c r="E376" s="133"/>
      <c r="F376" s="132"/>
      <c r="G376" s="133"/>
      <c r="H376" s="132"/>
      <c r="I376" s="166"/>
      <c r="J376" s="132"/>
      <c r="K376" s="166"/>
      <c r="N376" s="27"/>
      <c r="O376" s="27"/>
      <c r="P376" s="27"/>
      <c r="Q376" s="27"/>
      <c r="R376" s="27"/>
      <c r="S376" s="1005"/>
      <c r="T376" s="18">
        <v>50.540999999999997</v>
      </c>
      <c r="U376" s="27"/>
      <c r="V376" s="27"/>
      <c r="W376" s="27"/>
      <c r="X376" s="27"/>
      <c r="Y376" s="27"/>
      <c r="Z376" s="27"/>
      <c r="AA376" s="27"/>
      <c r="AB376" s="18"/>
      <c r="AC376" s="18"/>
      <c r="AD376" s="24">
        <f t="shared" si="47"/>
        <v>50.540999999999997</v>
      </c>
    </row>
    <row r="377" spans="2:30">
      <c r="B377" s="132" t="s">
        <v>500</v>
      </c>
      <c r="C377" s="133"/>
      <c r="D377" s="133"/>
      <c r="E377" s="133">
        <v>28020</v>
      </c>
      <c r="F377" s="132">
        <v>21144</v>
      </c>
      <c r="G377" s="133">
        <v>19576</v>
      </c>
      <c r="H377" s="132">
        <v>10741</v>
      </c>
      <c r="I377" s="166">
        <v>12063</v>
      </c>
      <c r="J377" s="132">
        <v>13010</v>
      </c>
      <c r="K377" s="166">
        <v>13010</v>
      </c>
      <c r="N377" s="87">
        <f t="shared" ref="N377:V377" si="49">SUM(N371:N376)</f>
        <v>314.85300000000001</v>
      </c>
      <c r="O377" s="87">
        <f t="shared" si="49"/>
        <v>215.83199999999999</v>
      </c>
      <c r="P377" s="87">
        <f t="shared" si="49"/>
        <v>150.298</v>
      </c>
      <c r="Q377" s="18"/>
      <c r="R377" s="87"/>
      <c r="S377" s="87">
        <f t="shared" si="49"/>
        <v>352.73399999999998</v>
      </c>
      <c r="T377" s="87">
        <f t="shared" si="49"/>
        <v>381.28700000000003</v>
      </c>
      <c r="U377" s="87">
        <f t="shared" si="49"/>
        <v>150.52199999999999</v>
      </c>
      <c r="V377" s="87">
        <f t="shared" si="49"/>
        <v>348.30499999999995</v>
      </c>
      <c r="W377" s="87"/>
      <c r="X377" s="87">
        <f>SUM(X371:X376)</f>
        <v>294.83799999999997</v>
      </c>
      <c r="Y377" s="87"/>
      <c r="Z377" s="87"/>
      <c r="AA377" s="87"/>
      <c r="AB377" s="18"/>
      <c r="AC377" s="18"/>
      <c r="AD377" s="24">
        <f t="shared" si="47"/>
        <v>2208.6689999999999</v>
      </c>
    </row>
    <row r="378" spans="2:30">
      <c r="B378" s="132"/>
      <c r="C378" s="133"/>
      <c r="D378" s="133"/>
      <c r="E378" s="133"/>
      <c r="F378" s="132"/>
      <c r="G378" s="133"/>
      <c r="H378" s="132"/>
      <c r="I378" s="166"/>
      <c r="J378" s="132"/>
      <c r="K378" s="166"/>
      <c r="N378" s="18"/>
      <c r="O378" s="18"/>
      <c r="P378" s="18"/>
      <c r="Q378" s="18"/>
      <c r="R378" s="18"/>
      <c r="S378" s="20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24">
        <f t="shared" si="47"/>
        <v>0</v>
      </c>
    </row>
    <row r="379" spans="2:30">
      <c r="B379" s="132" t="s">
        <v>2236</v>
      </c>
      <c r="C379" s="133"/>
      <c r="D379" s="133"/>
      <c r="E379" s="133">
        <v>6486</v>
      </c>
      <c r="F379" s="132">
        <v>2117</v>
      </c>
      <c r="G379" s="133">
        <v>2143</v>
      </c>
      <c r="H379" s="132">
        <v>759</v>
      </c>
      <c r="I379" s="166">
        <v>769</v>
      </c>
      <c r="J379" s="132">
        <v>1151</v>
      </c>
      <c r="K379" s="166">
        <v>954</v>
      </c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24">
        <f t="shared" si="47"/>
        <v>0</v>
      </c>
    </row>
    <row r="380" spans="2:30">
      <c r="B380" s="132"/>
      <c r="C380" s="133"/>
      <c r="D380" s="133"/>
      <c r="E380" s="133"/>
      <c r="F380" s="132"/>
      <c r="G380" s="133"/>
      <c r="H380" s="132"/>
      <c r="I380" s="166"/>
      <c r="J380" s="132"/>
      <c r="K380" s="166"/>
      <c r="N380" s="18">
        <v>47.363</v>
      </c>
      <c r="O380" s="18"/>
      <c r="P380" s="18">
        <v>97.870999999999995</v>
      </c>
      <c r="Q380" s="18"/>
      <c r="R380" s="18"/>
      <c r="S380" s="20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24">
        <f t="shared" si="47"/>
        <v>145.23399999999998</v>
      </c>
    </row>
    <row r="381" spans="2:30">
      <c r="B381" s="132" t="s">
        <v>563</v>
      </c>
      <c r="C381" s="133"/>
      <c r="D381" s="133"/>
      <c r="E381" s="133">
        <v>34500</v>
      </c>
      <c r="F381" s="132">
        <v>31257</v>
      </c>
      <c r="G381" s="133">
        <v>30515</v>
      </c>
      <c r="H381" s="132">
        <v>40808</v>
      </c>
      <c r="I381" s="166">
        <v>38278</v>
      </c>
      <c r="J381" s="132">
        <v>44324</v>
      </c>
      <c r="K381" s="166">
        <v>41883</v>
      </c>
      <c r="N381" s="18">
        <f>SUM(N378:N380)</f>
        <v>47.363</v>
      </c>
      <c r="O381" s="18">
        <f>SUM(O378:O380)</f>
        <v>0</v>
      </c>
      <c r="P381" s="18">
        <f>SUM(P378:P380)</f>
        <v>97.870999999999995</v>
      </c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24">
        <f t="shared" si="47"/>
        <v>145.23399999999998</v>
      </c>
    </row>
    <row r="382" spans="2:30">
      <c r="B382" s="132"/>
      <c r="C382" s="133"/>
      <c r="D382" s="133"/>
      <c r="E382" s="133"/>
      <c r="F382" s="132"/>
      <c r="G382" s="133"/>
      <c r="H382" s="132"/>
      <c r="I382" s="166"/>
      <c r="J382" s="132"/>
      <c r="K382" s="166"/>
      <c r="N382" s="87">
        <f>+N381+N377</f>
        <v>362.21600000000001</v>
      </c>
      <c r="O382" s="87">
        <f t="shared" ref="O382:X382" si="50">+O381+O377</f>
        <v>215.83199999999999</v>
      </c>
      <c r="P382" s="87">
        <f t="shared" si="50"/>
        <v>248.16899999999998</v>
      </c>
      <c r="Q382" s="18"/>
      <c r="R382" s="87"/>
      <c r="S382" s="87">
        <f t="shared" si="50"/>
        <v>352.73399999999998</v>
      </c>
      <c r="T382" s="87">
        <f t="shared" si="50"/>
        <v>381.28700000000003</v>
      </c>
      <c r="U382" s="87">
        <f t="shared" si="50"/>
        <v>150.52199999999999</v>
      </c>
      <c r="V382" s="87">
        <f t="shared" si="50"/>
        <v>348.30499999999995</v>
      </c>
      <c r="W382" s="87"/>
      <c r="X382" s="86">
        <f t="shared" si="50"/>
        <v>294.83799999999997</v>
      </c>
      <c r="Y382" s="86"/>
      <c r="Z382" s="86"/>
      <c r="AA382" s="86"/>
      <c r="AB382" s="18"/>
      <c r="AC382" s="18"/>
      <c r="AD382" s="24">
        <f t="shared" si="47"/>
        <v>2353.9030000000002</v>
      </c>
    </row>
    <row r="383" spans="2:30">
      <c r="B383" s="132" t="s">
        <v>2237</v>
      </c>
      <c r="C383" s="133"/>
      <c r="D383" s="133"/>
      <c r="E383" s="133">
        <v>2000</v>
      </c>
      <c r="F383" s="132">
        <v>4524</v>
      </c>
      <c r="G383" s="133">
        <v>4889</v>
      </c>
      <c r="H383" s="132">
        <v>85</v>
      </c>
      <c r="I383" s="166">
        <v>85</v>
      </c>
      <c r="J383" s="132">
        <v>85</v>
      </c>
      <c r="K383" s="166">
        <v>85</v>
      </c>
      <c r="N383" s="87">
        <f t="shared" ref="N383:V383" si="51">+N382+N369</f>
        <v>7062.9160000000002</v>
      </c>
      <c r="O383" s="87">
        <f t="shared" si="51"/>
        <v>6815.192</v>
      </c>
      <c r="P383" s="87">
        <f t="shared" si="51"/>
        <v>7521.8689999999997</v>
      </c>
      <c r="Q383" s="87">
        <f t="shared" si="51"/>
        <v>7939.4</v>
      </c>
      <c r="R383" s="87"/>
      <c r="S383" s="87">
        <f t="shared" si="51"/>
        <v>7640.2340000000004</v>
      </c>
      <c r="T383" s="87">
        <f t="shared" si="51"/>
        <v>7877.3870000000006</v>
      </c>
      <c r="U383" s="87">
        <f t="shared" si="51"/>
        <v>7753.9219999999996</v>
      </c>
      <c r="V383" s="87">
        <f t="shared" si="51"/>
        <v>7799.3850000000002</v>
      </c>
      <c r="W383" s="87"/>
      <c r="X383" s="87">
        <f>+X382+X369</f>
        <v>7603.3580000000002</v>
      </c>
      <c r="Y383" s="87"/>
      <c r="Z383" s="87"/>
      <c r="AA383" s="87"/>
      <c r="AB383" s="18"/>
      <c r="AC383" s="18"/>
      <c r="AD383" s="24">
        <f t="shared" si="47"/>
        <v>68013.663</v>
      </c>
    </row>
    <row r="384" spans="2:30">
      <c r="B384" s="130" t="s">
        <v>2238</v>
      </c>
      <c r="C384" s="131"/>
      <c r="D384" s="131"/>
      <c r="E384" s="131"/>
      <c r="F384" s="130"/>
      <c r="G384" s="131"/>
      <c r="H384" s="130"/>
      <c r="I384" s="165"/>
      <c r="J384" s="130"/>
      <c r="K384" s="165"/>
      <c r="N384" s="17">
        <v>1533</v>
      </c>
      <c r="O384" s="17">
        <v>1851</v>
      </c>
      <c r="P384" s="17">
        <v>1510</v>
      </c>
      <c r="Q384" s="17">
        <v>1169</v>
      </c>
      <c r="R384" s="17"/>
      <c r="S384" s="17">
        <v>1133</v>
      </c>
      <c r="T384" s="17">
        <v>1280</v>
      </c>
      <c r="U384" s="17">
        <v>1034</v>
      </c>
      <c r="V384" s="17">
        <v>613</v>
      </c>
      <c r="W384" s="18"/>
      <c r="X384" s="18">
        <v>1039.78</v>
      </c>
      <c r="Y384" s="18"/>
      <c r="Z384" s="18"/>
      <c r="AA384" s="18"/>
      <c r="AB384" s="18">
        <v>613.28</v>
      </c>
      <c r="AC384" s="27"/>
      <c r="AD384" s="24">
        <f t="shared" si="47"/>
        <v>11776.060000000001</v>
      </c>
    </row>
    <row r="385" spans="2:32">
      <c r="B385" s="134" t="s">
        <v>2239</v>
      </c>
      <c r="C385" s="131"/>
      <c r="D385" s="131"/>
      <c r="E385" s="133">
        <v>24000</v>
      </c>
      <c r="F385" s="132">
        <v>13646</v>
      </c>
      <c r="G385" s="133"/>
      <c r="H385" s="132">
        <v>8128</v>
      </c>
      <c r="I385" s="166"/>
      <c r="J385" s="132">
        <v>9345</v>
      </c>
      <c r="K385" s="166"/>
      <c r="N385" s="2410" t="s">
        <v>2229</v>
      </c>
      <c r="O385" s="2410" t="s">
        <v>2168</v>
      </c>
      <c r="P385" s="2410" t="s">
        <v>2169</v>
      </c>
      <c r="Q385" s="2410" t="s">
        <v>2208</v>
      </c>
      <c r="R385" s="1414"/>
      <c r="S385" s="2410" t="s">
        <v>2173</v>
      </c>
      <c r="T385" s="2410" t="s">
        <v>2176</v>
      </c>
      <c r="U385" s="2410" t="s">
        <v>2177</v>
      </c>
      <c r="V385" s="2410" t="s">
        <v>2178</v>
      </c>
      <c r="W385" s="1414"/>
      <c r="X385" s="1414" t="str">
        <f>+X367</f>
        <v>01/16</v>
      </c>
      <c r="Y385" s="1414"/>
      <c r="Z385" s="1414"/>
      <c r="AA385" s="1414"/>
      <c r="AB385" s="1414" t="str">
        <f>+AB367</f>
        <v>02/16</v>
      </c>
      <c r="AC385" s="1414" t="str">
        <f>+AC367</f>
        <v>03/15</v>
      </c>
      <c r="AD385" s="1322"/>
    </row>
    <row r="386" spans="2:32">
      <c r="B386" s="134"/>
      <c r="C386" s="131"/>
      <c r="D386" s="131"/>
      <c r="E386" s="133"/>
      <c r="F386" s="132"/>
      <c r="G386" s="133"/>
      <c r="H386" s="132"/>
      <c r="I386" s="166"/>
      <c r="J386" s="132"/>
      <c r="K386" s="166"/>
      <c r="N386" s="1429">
        <v>5972.2</v>
      </c>
      <c r="O386" s="1429">
        <v>5242.72</v>
      </c>
      <c r="P386" s="1429">
        <v>5471.2020000000002</v>
      </c>
      <c r="Q386" s="1429">
        <v>5684.3940000000002</v>
      </c>
      <c r="R386" s="1429"/>
      <c r="S386" s="1429">
        <v>6668.09</v>
      </c>
      <c r="T386" s="1429">
        <v>6011.2110000000002</v>
      </c>
      <c r="U386" s="1429">
        <v>6630.0550000000003</v>
      </c>
      <c r="V386" s="1429">
        <v>5627.1</v>
      </c>
      <c r="W386" s="1429"/>
      <c r="X386" s="518">
        <v>5128.26</v>
      </c>
      <c r="Y386" s="87"/>
      <c r="Z386" s="87"/>
      <c r="AA386" s="87"/>
      <c r="AB386" s="27"/>
      <c r="AC386" s="27"/>
      <c r="AD386" s="24">
        <f t="shared" ref="AD386:AD393" si="52">SUM(N386:AC386)</f>
        <v>52435.232000000004</v>
      </c>
      <c r="AF386" s="1442">
        <f>+N386+O386</f>
        <v>11214.92</v>
      </c>
    </row>
    <row r="387" spans="2:32">
      <c r="B387" s="134" t="s">
        <v>2240</v>
      </c>
      <c r="C387" s="131"/>
      <c r="D387" s="131"/>
      <c r="E387" s="133">
        <v>32000</v>
      </c>
      <c r="F387" s="132">
        <v>33292</v>
      </c>
      <c r="G387" s="133"/>
      <c r="H387" s="132">
        <v>22365</v>
      </c>
      <c r="I387" s="166"/>
      <c r="J387" s="132">
        <v>22636</v>
      </c>
      <c r="K387" s="166"/>
      <c r="N387" s="1430">
        <v>74</v>
      </c>
      <c r="O387" s="1430">
        <v>101.92</v>
      </c>
      <c r="P387" s="1430">
        <v>1.92</v>
      </c>
      <c r="Q387" s="1430">
        <v>0</v>
      </c>
      <c r="R387" s="1430"/>
      <c r="S387" s="1436"/>
      <c r="T387" s="1436"/>
      <c r="U387" s="1430">
        <v>45.9</v>
      </c>
      <c r="V387" s="1430">
        <v>11.04</v>
      </c>
      <c r="W387" s="1430"/>
      <c r="X387" s="87">
        <v>21.033999999999999</v>
      </c>
      <c r="Y387" s="87"/>
      <c r="Z387" s="87"/>
      <c r="AA387" s="87"/>
      <c r="AB387" s="27"/>
      <c r="AC387" s="27"/>
      <c r="AD387" s="24">
        <f t="shared" si="52"/>
        <v>255.81399999999999</v>
      </c>
      <c r="AF387" s="1442">
        <f t="shared" ref="AF387:AF394" si="53">+N387+O387</f>
        <v>175.92000000000002</v>
      </c>
    </row>
    <row r="388" spans="2:32">
      <c r="B388" s="135" t="s">
        <v>2238</v>
      </c>
      <c r="C388" s="136"/>
      <c r="D388" s="136"/>
      <c r="E388" s="137"/>
      <c r="F388" s="138"/>
      <c r="G388" s="137"/>
      <c r="H388" s="138"/>
      <c r="I388" s="167"/>
      <c r="J388" s="138"/>
      <c r="K388" s="167"/>
      <c r="N388" s="1430">
        <v>304.97399999999999</v>
      </c>
      <c r="O388" s="1430">
        <v>364.10399999999998</v>
      </c>
      <c r="P388" s="1430">
        <v>206.39</v>
      </c>
      <c r="Q388" s="1430">
        <v>297.49</v>
      </c>
      <c r="R388" s="1430"/>
      <c r="S388" s="1430">
        <v>474.78</v>
      </c>
      <c r="T388" s="1430">
        <v>269.17</v>
      </c>
      <c r="U388" s="1430">
        <v>317.3</v>
      </c>
      <c r="V388" s="1430">
        <v>463.83</v>
      </c>
      <c r="W388" s="1430"/>
      <c r="X388" s="87">
        <v>377.72800000000001</v>
      </c>
      <c r="Y388" s="87"/>
      <c r="Z388" s="87"/>
      <c r="AA388" s="87"/>
      <c r="AB388" s="27"/>
      <c r="AC388" s="27"/>
      <c r="AD388" s="24">
        <f t="shared" si="52"/>
        <v>3075.7660000000001</v>
      </c>
      <c r="AF388" s="1442">
        <f t="shared" si="53"/>
        <v>669.07799999999997</v>
      </c>
    </row>
    <row r="389" spans="2:32">
      <c r="B389" s="2828" t="s">
        <v>2241</v>
      </c>
      <c r="C389" s="2835"/>
      <c r="D389" s="2835"/>
      <c r="E389" s="2835"/>
      <c r="F389" s="2835"/>
      <c r="G389" s="2835"/>
      <c r="H389" s="2835"/>
      <c r="I389" s="2829"/>
      <c r="N389" s="1429">
        <v>74.33</v>
      </c>
      <c r="O389" s="1429">
        <v>123.036</v>
      </c>
      <c r="P389" s="1429">
        <v>149.50299999999999</v>
      </c>
      <c r="Q389" s="1429">
        <v>135.14500000000001</v>
      </c>
      <c r="R389" s="1430"/>
      <c r="S389" s="1430">
        <v>153.14500000000001</v>
      </c>
      <c r="T389" s="1430">
        <v>67.415000000000006</v>
      </c>
      <c r="U389" s="1430">
        <v>146.476</v>
      </c>
      <c r="V389" s="1430">
        <v>44.226999999999997</v>
      </c>
      <c r="W389" s="1430"/>
      <c r="X389" s="87">
        <v>99.432000000000002</v>
      </c>
      <c r="Y389" s="87"/>
      <c r="Z389" s="87"/>
      <c r="AA389" s="87"/>
      <c r="AB389" s="27"/>
      <c r="AC389" s="27"/>
      <c r="AD389" s="24">
        <f t="shared" si="52"/>
        <v>992.70899999999995</v>
      </c>
      <c r="AF389" s="1442">
        <f t="shared" si="53"/>
        <v>197.36599999999999</v>
      </c>
    </row>
    <row r="390" spans="2:32">
      <c r="B390" s="1420"/>
      <c r="C390" s="481"/>
      <c r="D390" s="481"/>
      <c r="E390" s="481" t="s">
        <v>835</v>
      </c>
      <c r="F390" s="481" t="s">
        <v>2242</v>
      </c>
      <c r="G390" s="481" t="s">
        <v>2243</v>
      </c>
      <c r="I390" s="63"/>
      <c r="N390" s="1429">
        <v>318.24400000000003</v>
      </c>
      <c r="O390" s="1429">
        <v>195.72</v>
      </c>
      <c r="P390" s="1429">
        <v>153.08000000000001</v>
      </c>
      <c r="Q390" s="1436"/>
      <c r="R390" s="1430"/>
      <c r="S390" s="1430">
        <v>353.56599999999997</v>
      </c>
      <c r="T390" s="1430">
        <v>275.27</v>
      </c>
      <c r="U390" s="1430">
        <v>153.02000000000001</v>
      </c>
      <c r="V390" s="1430">
        <v>202.92</v>
      </c>
      <c r="W390" s="1430"/>
      <c r="X390" s="87">
        <v>232.56</v>
      </c>
      <c r="Y390" s="87"/>
      <c r="Z390" s="87"/>
      <c r="AA390" s="87"/>
      <c r="AB390" s="27"/>
      <c r="AC390" s="27"/>
      <c r="AD390" s="24">
        <f t="shared" si="52"/>
        <v>1884.38</v>
      </c>
      <c r="AF390" s="1442">
        <f t="shared" si="53"/>
        <v>513.96400000000006</v>
      </c>
    </row>
    <row r="391" spans="2:32">
      <c r="B391" s="1420" t="s">
        <v>115</v>
      </c>
      <c r="C391" s="481"/>
      <c r="D391" s="481"/>
      <c r="E391" s="481">
        <v>1289</v>
      </c>
      <c r="F391" s="481">
        <v>1201</v>
      </c>
      <c r="G391" s="481">
        <v>2564</v>
      </c>
      <c r="I391" s="63"/>
      <c r="N391" s="1430">
        <v>179.7</v>
      </c>
      <c r="O391" s="1430">
        <v>140.69999999999999</v>
      </c>
      <c r="P391" s="1430">
        <v>172.6</v>
      </c>
      <c r="Q391" s="1430">
        <v>51.75</v>
      </c>
      <c r="R391" s="1430"/>
      <c r="S391" s="1430">
        <v>76.95</v>
      </c>
      <c r="T391" s="1430">
        <v>250.2</v>
      </c>
      <c r="U391" s="1430">
        <v>279.95</v>
      </c>
      <c r="V391" s="1430">
        <f>200.3-72.8</f>
        <v>127.50000000000001</v>
      </c>
      <c r="W391" s="1430"/>
      <c r="X391" s="27">
        <f>202.4-72.8</f>
        <v>129.60000000000002</v>
      </c>
      <c r="Y391" s="27"/>
      <c r="Z391" s="27"/>
      <c r="AA391" s="27"/>
      <c r="AB391" s="27"/>
      <c r="AC391" s="27"/>
      <c r="AD391" s="24">
        <f t="shared" si="52"/>
        <v>1408.9500000000003</v>
      </c>
      <c r="AF391" s="1442">
        <f t="shared" si="53"/>
        <v>320.39999999999998</v>
      </c>
    </row>
    <row r="392" spans="2:32">
      <c r="B392" s="1420" t="s">
        <v>2244</v>
      </c>
      <c r="C392" s="481"/>
      <c r="D392" s="481"/>
      <c r="E392" s="481">
        <v>951</v>
      </c>
      <c r="F392" s="481">
        <v>824</v>
      </c>
      <c r="G392" s="481">
        <v>1771</v>
      </c>
      <c r="I392" s="63"/>
      <c r="N392" s="1430"/>
      <c r="O392" s="1430"/>
      <c r="P392" s="1430"/>
      <c r="Q392" s="1436"/>
      <c r="R392" s="1436"/>
      <c r="S392" s="1430">
        <v>0</v>
      </c>
      <c r="T392" s="1436"/>
      <c r="U392" s="1436"/>
      <c r="V392" s="1430">
        <v>72.8</v>
      </c>
      <c r="W392" s="1430"/>
      <c r="X392" s="87">
        <v>72.8</v>
      </c>
      <c r="Y392" s="87"/>
      <c r="Z392" s="87"/>
      <c r="AA392" s="87"/>
      <c r="AB392" s="27"/>
      <c r="AC392" s="27"/>
      <c r="AD392" s="24">
        <f t="shared" si="52"/>
        <v>145.6</v>
      </c>
      <c r="AF392" s="1442">
        <f t="shared" si="53"/>
        <v>0</v>
      </c>
    </row>
    <row r="393" spans="2:32">
      <c r="B393" s="7"/>
      <c r="C393" s="8"/>
      <c r="D393" s="8"/>
      <c r="E393" s="8"/>
      <c r="F393" s="8"/>
      <c r="G393" s="8"/>
      <c r="H393" s="8"/>
      <c r="I393" s="9"/>
      <c r="N393" s="1430">
        <f>SUM(N385:N391)</f>
        <v>6923.4479999999994</v>
      </c>
      <c r="O393" s="1430">
        <f t="shared" ref="O393:U393" si="54">SUM(O385:O391)</f>
        <v>6168.2000000000007</v>
      </c>
      <c r="P393" s="1430">
        <f t="shared" si="54"/>
        <v>6154.6950000000006</v>
      </c>
      <c r="Q393" s="1430">
        <f t="shared" si="54"/>
        <v>6168.7790000000005</v>
      </c>
      <c r="R393" s="1430"/>
      <c r="S393" s="1430">
        <f>SUM(S385:S392)</f>
        <v>7726.5309999999999</v>
      </c>
      <c r="T393" s="1430">
        <f t="shared" si="54"/>
        <v>6873.2660000000005</v>
      </c>
      <c r="U393" s="1430">
        <f t="shared" si="54"/>
        <v>7572.701</v>
      </c>
      <c r="V393" s="1430">
        <f>SUM(V385:V392)</f>
        <v>6549.4170000000004</v>
      </c>
      <c r="W393" s="1430"/>
      <c r="X393" s="27">
        <f>SUM(X385:X392)</f>
        <v>6061.4140000000007</v>
      </c>
      <c r="Y393" s="27"/>
      <c r="Z393" s="27"/>
      <c r="AA393" s="27"/>
      <c r="AB393" s="18"/>
      <c r="AC393" s="27"/>
      <c r="AD393" s="24">
        <f t="shared" si="52"/>
        <v>60198.451000000015</v>
      </c>
      <c r="AF393" s="1442">
        <f t="shared" si="53"/>
        <v>13091.648000000001</v>
      </c>
    </row>
    <row r="394" spans="2:32"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1322"/>
      <c r="AF394" s="1442">
        <f t="shared" si="53"/>
        <v>0</v>
      </c>
    </row>
    <row r="395" spans="2:32">
      <c r="E395" t="s">
        <v>308</v>
      </c>
      <c r="N395" s="2410" t="s">
        <v>2229</v>
      </c>
      <c r="O395" s="2410" t="s">
        <v>2168</v>
      </c>
      <c r="P395" s="2410" t="s">
        <v>2169</v>
      </c>
      <c r="Q395" s="2410" t="s">
        <v>2208</v>
      </c>
      <c r="R395" s="1414"/>
      <c r="S395" s="2410" t="s">
        <v>2173</v>
      </c>
      <c r="T395" s="2410" t="s">
        <v>2176</v>
      </c>
      <c r="U395" s="2410" t="s">
        <v>2177</v>
      </c>
      <c r="V395" s="2410" t="s">
        <v>2178</v>
      </c>
      <c r="W395" s="1414"/>
      <c r="X395" s="1414" t="str">
        <f>+X385</f>
        <v>01/16</v>
      </c>
      <c r="Y395" s="1414"/>
      <c r="Z395" s="1414"/>
      <c r="AA395" s="1414"/>
      <c r="AB395" s="1414" t="str">
        <f>+AB385</f>
        <v>02/16</v>
      </c>
      <c r="AC395" s="1414" t="str">
        <f>+AC385</f>
        <v>03/15</v>
      </c>
      <c r="AD395" s="1322"/>
    </row>
    <row r="396" spans="2:32">
      <c r="B396" t="s">
        <v>79</v>
      </c>
      <c r="N396" s="1429">
        <v>6511.24</v>
      </c>
      <c r="O396" s="1429">
        <v>3978.0709999999999</v>
      </c>
      <c r="P396" s="1429">
        <v>4037.64</v>
      </c>
      <c r="Q396" s="1430">
        <v>7374.62</v>
      </c>
      <c r="R396" s="1430"/>
      <c r="S396" s="1430">
        <v>6469.3739999999998</v>
      </c>
      <c r="T396" s="1430">
        <v>6039.3689999999997</v>
      </c>
      <c r="U396" s="1430">
        <v>3464.6750000000002</v>
      </c>
      <c r="V396" s="1430">
        <v>6717.2150000000001</v>
      </c>
      <c r="W396" s="1430"/>
      <c r="X396" s="1430">
        <v>5006.5129999999999</v>
      </c>
      <c r="Y396" s="1430"/>
      <c r="Z396" s="1430"/>
      <c r="AA396" s="1430"/>
      <c r="AB396" s="1430">
        <v>4026.9749999999999</v>
      </c>
      <c r="AC396" s="1430">
        <v>6083.7049999999999</v>
      </c>
      <c r="AD396" s="24">
        <f t="shared" ref="AD396:AD403" si="55">SUM(N396:AC396)</f>
        <v>59709.396999999997</v>
      </c>
    </row>
    <row r="397" spans="2:32">
      <c r="N397" s="1430">
        <v>92.72</v>
      </c>
      <c r="O397" s="1430">
        <v>104.364</v>
      </c>
      <c r="P397" s="1430">
        <v>16.25</v>
      </c>
      <c r="Q397" s="1430">
        <v>17.611000000000001</v>
      </c>
      <c r="R397" s="1436"/>
      <c r="S397" s="1436"/>
      <c r="T397" s="1436"/>
      <c r="U397" s="1436">
        <v>15.78</v>
      </c>
      <c r="V397" s="1436">
        <v>25.844999999999999</v>
      </c>
      <c r="W397" s="1436"/>
      <c r="X397" s="1436"/>
      <c r="Y397" s="1436"/>
      <c r="Z397" s="1436"/>
      <c r="AA397" s="1436"/>
      <c r="AB397" s="18">
        <v>7.99</v>
      </c>
      <c r="AC397" s="1430">
        <v>0</v>
      </c>
      <c r="AD397" s="24">
        <f t="shared" si="55"/>
        <v>280.56</v>
      </c>
    </row>
    <row r="398" spans="2:32">
      <c r="N398" s="1430">
        <v>242.39</v>
      </c>
      <c r="O398" s="1430">
        <v>386.87</v>
      </c>
      <c r="P398" s="1430">
        <v>217.185</v>
      </c>
      <c r="Q398" s="1430">
        <v>330.25900000000001</v>
      </c>
      <c r="R398" s="1430"/>
      <c r="S398" s="1430">
        <v>363.10500000000002</v>
      </c>
      <c r="T398" s="1430">
        <v>342.48</v>
      </c>
      <c r="U398" s="1430">
        <v>373.56</v>
      </c>
      <c r="V398" s="1430">
        <v>412.9</v>
      </c>
      <c r="W398" s="1430"/>
      <c r="X398" s="1430">
        <v>340.61</v>
      </c>
      <c r="Y398" s="1430"/>
      <c r="Z398" s="1430"/>
      <c r="AA398" s="1430"/>
      <c r="AB398" s="1430">
        <v>344.38</v>
      </c>
      <c r="AC398" s="1430">
        <v>273.44</v>
      </c>
      <c r="AD398" s="24">
        <f t="shared" si="55"/>
        <v>3627.1790000000005</v>
      </c>
    </row>
    <row r="399" spans="2:32" ht="20.25">
      <c r="E399" s="1421"/>
      <c r="F399" s="1422" t="s">
        <v>2245</v>
      </c>
      <c r="G399" s="1422"/>
      <c r="H399" s="1422"/>
      <c r="I399" s="1432"/>
      <c r="N399" s="1429">
        <v>25.79</v>
      </c>
      <c r="O399" s="1429">
        <v>176.642</v>
      </c>
      <c r="P399" s="1429">
        <v>116.19</v>
      </c>
      <c r="Q399" s="1430">
        <v>162.51400000000001</v>
      </c>
      <c r="R399" s="1430"/>
      <c r="S399" s="1430">
        <v>95.438000000000002</v>
      </c>
      <c r="T399" s="1430">
        <v>68.641000000000005</v>
      </c>
      <c r="U399" s="1430">
        <v>69.311999999999998</v>
      </c>
      <c r="V399" s="1430">
        <v>12.18</v>
      </c>
      <c r="W399" s="1430"/>
      <c r="X399" s="1430">
        <v>149.75299999999999</v>
      </c>
      <c r="Y399" s="1430"/>
      <c r="Z399" s="1430"/>
      <c r="AA399" s="1430"/>
      <c r="AB399" s="1430">
        <v>110.002</v>
      </c>
      <c r="AC399" s="1430">
        <v>89.774000000000001</v>
      </c>
      <c r="AD399" s="24">
        <f t="shared" si="55"/>
        <v>1076.2359999999999</v>
      </c>
    </row>
    <row r="400" spans="2:32" ht="20.25">
      <c r="E400" s="1423"/>
      <c r="F400" s="2957" t="s">
        <v>39</v>
      </c>
      <c r="G400" s="2957"/>
      <c r="H400" s="2957"/>
      <c r="I400" s="2958"/>
      <c r="N400" s="1429">
        <v>311.2</v>
      </c>
      <c r="O400" s="1429">
        <v>144.37</v>
      </c>
      <c r="P400" s="1429">
        <v>315.41000000000003</v>
      </c>
      <c r="Q400" s="1436"/>
      <c r="R400" s="1430"/>
      <c r="S400" s="1430">
        <v>363.42</v>
      </c>
      <c r="T400" s="1430">
        <v>252.64</v>
      </c>
      <c r="U400" s="1430">
        <v>179.52500000000001</v>
      </c>
      <c r="V400" s="1430">
        <v>200.58500000000001</v>
      </c>
      <c r="W400" s="1430"/>
      <c r="X400" s="1430">
        <v>216.87</v>
      </c>
      <c r="Y400" s="1430"/>
      <c r="Z400" s="1430"/>
      <c r="AA400" s="1430"/>
      <c r="AB400" s="1430">
        <v>457.13</v>
      </c>
      <c r="AC400" s="1430">
        <v>449.55900000000003</v>
      </c>
      <c r="AD400" s="24">
        <f t="shared" si="55"/>
        <v>2890.7090000000003</v>
      </c>
    </row>
    <row r="401" spans="2:30" ht="20.25">
      <c r="E401" s="339" t="s">
        <v>79</v>
      </c>
      <c r="F401" s="340" t="s">
        <v>2057</v>
      </c>
      <c r="G401" s="340" t="s">
        <v>115</v>
      </c>
      <c r="H401" s="340" t="s">
        <v>2246</v>
      </c>
      <c r="I401" s="348" t="s">
        <v>2247</v>
      </c>
      <c r="N401" s="1430">
        <v>73.900000000000006</v>
      </c>
      <c r="O401" s="1430">
        <v>220.15</v>
      </c>
      <c r="P401" s="1430">
        <v>60.895000000000003</v>
      </c>
      <c r="Q401" s="1430">
        <v>127.05</v>
      </c>
      <c r="R401" s="1430"/>
      <c r="S401" s="1430">
        <v>111.05</v>
      </c>
      <c r="T401" s="1430">
        <v>174.785</v>
      </c>
      <c r="U401" s="1430">
        <v>220.14</v>
      </c>
      <c r="V401" s="1430">
        <v>186.33500000000001</v>
      </c>
      <c r="W401" s="1430"/>
      <c r="X401" s="1430">
        <v>330.75</v>
      </c>
      <c r="Y401" s="1430"/>
      <c r="Z401" s="1430"/>
      <c r="AA401" s="1430"/>
      <c r="AB401" s="1430">
        <v>55.7</v>
      </c>
      <c r="AC401" s="1430">
        <v>132.47999999999999</v>
      </c>
      <c r="AD401" s="24">
        <f t="shared" si="55"/>
        <v>1693.2349999999999</v>
      </c>
    </row>
    <row r="402" spans="2:30" ht="20.25">
      <c r="E402" s="341" t="s">
        <v>2248</v>
      </c>
      <c r="F402" s="342">
        <v>5802</v>
      </c>
      <c r="G402" s="342">
        <v>21151</v>
      </c>
      <c r="H402" s="342">
        <v>11350</v>
      </c>
      <c r="I402" s="430">
        <v>1534</v>
      </c>
      <c r="N402" s="87"/>
      <c r="O402" s="87"/>
      <c r="P402" s="8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18"/>
      <c r="AC402" s="18"/>
      <c r="AD402" s="24">
        <f t="shared" si="55"/>
        <v>0</v>
      </c>
    </row>
    <row r="403" spans="2:30" ht="20.25">
      <c r="E403" s="341" t="s">
        <v>2249</v>
      </c>
      <c r="F403" s="342">
        <v>4720</v>
      </c>
      <c r="G403" s="342">
        <v>21139</v>
      </c>
      <c r="H403" s="342">
        <v>10954</v>
      </c>
      <c r="I403" s="430">
        <v>294</v>
      </c>
      <c r="N403" s="1329">
        <f>SUM(N395:N401)</f>
        <v>7257.24</v>
      </c>
      <c r="O403" s="1329">
        <f t="shared" ref="O403:AC403" si="56">SUM(O395:O401)</f>
        <v>5010.4669999999996</v>
      </c>
      <c r="P403" s="1329">
        <f t="shared" si="56"/>
        <v>4763.57</v>
      </c>
      <c r="Q403" s="1329">
        <f t="shared" si="56"/>
        <v>8012.0540000000001</v>
      </c>
      <c r="R403" s="1329"/>
      <c r="S403" s="1329">
        <f t="shared" si="56"/>
        <v>7402.3869999999997</v>
      </c>
      <c r="T403" s="1329">
        <f t="shared" si="56"/>
        <v>6877.915</v>
      </c>
      <c r="U403" s="1329">
        <f t="shared" si="56"/>
        <v>4322.9920000000002</v>
      </c>
      <c r="V403" s="1329">
        <f t="shared" si="56"/>
        <v>7555.06</v>
      </c>
      <c r="W403" s="1329"/>
      <c r="X403" s="424">
        <f t="shared" si="56"/>
        <v>6044.4959999999992</v>
      </c>
      <c r="Y403" s="424"/>
      <c r="Z403" s="424"/>
      <c r="AA403" s="424"/>
      <c r="AB403" s="22">
        <f t="shared" si="56"/>
        <v>5002.1769999999997</v>
      </c>
      <c r="AC403" s="22">
        <f t="shared" si="56"/>
        <v>7028.9579999999996</v>
      </c>
      <c r="AD403" s="26">
        <f t="shared" si="55"/>
        <v>69277.315999999992</v>
      </c>
    </row>
    <row r="404" spans="2:30" ht="20.25">
      <c r="E404" s="341" t="s">
        <v>2250</v>
      </c>
      <c r="F404" s="342">
        <v>10685</v>
      </c>
      <c r="G404" s="342">
        <v>13645</v>
      </c>
      <c r="H404" s="342">
        <v>9645</v>
      </c>
      <c r="I404" s="430">
        <v>3338</v>
      </c>
    </row>
    <row r="405" spans="2:30" ht="20.25">
      <c r="E405" s="403" t="s">
        <v>514</v>
      </c>
      <c r="F405" s="346">
        <v>18539</v>
      </c>
      <c r="G405" s="346">
        <v>33292</v>
      </c>
      <c r="H405" s="346">
        <v>22636</v>
      </c>
      <c r="I405" s="351">
        <v>11462</v>
      </c>
      <c r="O405" t="s">
        <v>2251</v>
      </c>
    </row>
    <row r="407" spans="2:30" ht="20.25">
      <c r="E407" s="337" t="s">
        <v>2252</v>
      </c>
    </row>
    <row r="408" spans="2:30" ht="20.25">
      <c r="E408" s="337" t="s">
        <v>2253</v>
      </c>
    </row>
    <row r="409" spans="2:30">
      <c r="B409" t="s">
        <v>351</v>
      </c>
    </row>
    <row r="410" spans="2:30" ht="20.25">
      <c r="B410" t="s">
        <v>2140</v>
      </c>
      <c r="E410" s="2959" t="s">
        <v>2254</v>
      </c>
      <c r="F410" s="2960"/>
      <c r="G410" s="2960"/>
      <c r="H410" s="2960"/>
      <c r="I410" s="2960"/>
      <c r="J410" s="2961"/>
    </row>
    <row r="411" spans="2:30" ht="27">
      <c r="B411" t="s">
        <v>2141</v>
      </c>
      <c r="E411" s="1424" t="s">
        <v>1060</v>
      </c>
      <c r="F411" s="1425" t="s">
        <v>2246</v>
      </c>
      <c r="G411" s="1425" t="s">
        <v>121</v>
      </c>
      <c r="H411" s="258" t="s">
        <v>808</v>
      </c>
      <c r="I411" s="258" t="s">
        <v>2255</v>
      </c>
      <c r="J411" s="43"/>
    </row>
    <row r="412" spans="2:30" ht="27">
      <c r="B412" t="s">
        <v>2256</v>
      </c>
      <c r="E412" s="1424">
        <v>90</v>
      </c>
      <c r="F412" s="1426">
        <v>380.62</v>
      </c>
      <c r="G412" s="1426">
        <v>1171.144</v>
      </c>
      <c r="H412" s="1427">
        <f>1689.4</f>
        <v>1689.4</v>
      </c>
      <c r="I412" s="1433">
        <f>884.98</f>
        <v>884.98</v>
      </c>
      <c r="J412" s="43"/>
    </row>
    <row r="413" spans="2:30" ht="27">
      <c r="B413" t="s">
        <v>563</v>
      </c>
      <c r="E413" s="1424">
        <v>95</v>
      </c>
      <c r="F413" s="1426">
        <v>0</v>
      </c>
      <c r="G413" s="1426">
        <v>1188.22</v>
      </c>
      <c r="H413" s="1427">
        <v>1088.75</v>
      </c>
      <c r="I413" s="1433">
        <v>1143.77</v>
      </c>
      <c r="J413" s="43"/>
    </row>
    <row r="414" spans="2:30" ht="27">
      <c r="B414" t="s">
        <v>122</v>
      </c>
      <c r="E414" s="1424">
        <v>100</v>
      </c>
      <c r="F414" s="1426">
        <v>343.79</v>
      </c>
      <c r="G414" s="1426">
        <v>1457.51</v>
      </c>
      <c r="H414" s="1427">
        <v>2922.4</v>
      </c>
      <c r="I414" s="1433">
        <v>1044</v>
      </c>
      <c r="J414" s="43"/>
    </row>
    <row r="415" spans="2:30" ht="27">
      <c r="B415" t="s">
        <v>123</v>
      </c>
      <c r="E415" s="1424">
        <v>105</v>
      </c>
      <c r="F415" s="1426">
        <v>210.37</v>
      </c>
      <c r="G415" s="1426">
        <v>1089.1869999999999</v>
      </c>
      <c r="H415" s="1427">
        <f>1456.5</f>
        <v>1456.5</v>
      </c>
      <c r="I415" s="1433">
        <v>696</v>
      </c>
      <c r="J415" s="43"/>
    </row>
    <row r="416" spans="2:30" ht="27">
      <c r="B416" t="s">
        <v>500</v>
      </c>
      <c r="E416" s="1424">
        <v>110</v>
      </c>
      <c r="F416" s="1426">
        <v>294.19</v>
      </c>
      <c r="G416" s="1426">
        <v>1557.36</v>
      </c>
      <c r="H416" s="1427">
        <v>1934.8</v>
      </c>
      <c r="I416" s="1433">
        <v>964.63</v>
      </c>
      <c r="J416" s="43"/>
    </row>
    <row r="417" spans="2:19" ht="26.25">
      <c r="B417" t="s">
        <v>2257</v>
      </c>
      <c r="E417" s="586" t="s">
        <v>23</v>
      </c>
      <c r="F417" s="1428">
        <f>SUM(F412:F416)</f>
        <v>1228.97</v>
      </c>
      <c r="G417" s="588">
        <f>SUM(G412:G416)</f>
        <v>6463.4209999999994</v>
      </c>
      <c r="H417" s="588">
        <f>SUM(H412:H416)</f>
        <v>9091.85</v>
      </c>
      <c r="I417" s="588">
        <f>SUM(I412:I416)</f>
        <v>4733.38</v>
      </c>
      <c r="J417" s="318"/>
    </row>
    <row r="418" spans="2:19">
      <c r="B418" t="s">
        <v>23</v>
      </c>
    </row>
    <row r="431" spans="2:19" ht="20.25">
      <c r="B431" s="126"/>
      <c r="C431" s="127"/>
      <c r="D431" s="127"/>
      <c r="E431" s="126"/>
      <c r="F431" s="2950" t="s">
        <v>2231</v>
      </c>
      <c r="G431" s="2951"/>
      <c r="H431" s="2952" t="s">
        <v>2232</v>
      </c>
      <c r="I431" s="2953"/>
      <c r="J431" s="2952" t="s">
        <v>2233</v>
      </c>
      <c r="K431" s="2953"/>
      <c r="O431" t="s">
        <v>30</v>
      </c>
      <c r="P431" t="s">
        <v>31</v>
      </c>
      <c r="Q431" t="s">
        <v>32</v>
      </c>
      <c r="S431" t="s">
        <v>34</v>
      </c>
    </row>
    <row r="432" spans="2:19">
      <c r="B432" s="128" t="s">
        <v>783</v>
      </c>
      <c r="C432" s="129"/>
      <c r="D432" s="129"/>
      <c r="E432" s="129" t="s">
        <v>2234</v>
      </c>
      <c r="F432" s="128" t="s">
        <v>37</v>
      </c>
      <c r="G432" s="129" t="s">
        <v>2235</v>
      </c>
      <c r="H432" s="128" t="s">
        <v>37</v>
      </c>
      <c r="I432" s="164" t="s">
        <v>2235</v>
      </c>
      <c r="J432" s="128" t="s">
        <v>37</v>
      </c>
      <c r="K432" s="164" t="s">
        <v>2235</v>
      </c>
      <c r="O432">
        <v>654814</v>
      </c>
      <c r="P432">
        <f>54780+53650+53090+52590+64520+62360+31700+21700+30115+33752+25146+17295</f>
        <v>500698</v>
      </c>
      <c r="Q432">
        <v>441374</v>
      </c>
      <c r="S432">
        <f>24045+32575+33799+44922+42658+40843+50037+50292+41955+38874+35188+36507</f>
        <v>471695</v>
      </c>
    </row>
    <row r="433" spans="2:19">
      <c r="B433" s="130"/>
      <c r="C433" s="131"/>
      <c r="D433" s="131"/>
      <c r="E433" s="131"/>
      <c r="F433" s="130"/>
      <c r="G433" s="131"/>
      <c r="H433" s="130"/>
      <c r="I433" s="165"/>
      <c r="J433" s="130"/>
      <c r="K433" s="165"/>
      <c r="O433">
        <v>3.27</v>
      </c>
      <c r="P433">
        <v>3.7</v>
      </c>
      <c r="Q433">
        <v>3.24</v>
      </c>
      <c r="S433">
        <v>5.2</v>
      </c>
    </row>
    <row r="434" spans="2:19">
      <c r="B434" s="132" t="s">
        <v>351</v>
      </c>
      <c r="C434" s="133"/>
      <c r="D434" s="133"/>
      <c r="E434" s="133">
        <v>8800</v>
      </c>
      <c r="F434" s="132">
        <v>3704</v>
      </c>
      <c r="G434" s="133">
        <v>4962</v>
      </c>
      <c r="H434" s="132">
        <v>5693</v>
      </c>
      <c r="I434" s="166">
        <v>5774</v>
      </c>
      <c r="J434" s="132">
        <v>5693</v>
      </c>
      <c r="K434" s="166">
        <v>5774</v>
      </c>
      <c r="O434">
        <v>200395</v>
      </c>
      <c r="P434">
        <v>135303</v>
      </c>
      <c r="Q434">
        <v>136147</v>
      </c>
      <c r="S434">
        <v>90720</v>
      </c>
    </row>
    <row r="435" spans="2:19">
      <c r="B435" s="132"/>
      <c r="C435" s="133"/>
      <c r="D435" s="133"/>
      <c r="E435" s="133"/>
      <c r="F435" s="132"/>
      <c r="G435" s="133"/>
      <c r="H435" s="132"/>
      <c r="I435" s="166"/>
      <c r="J435" s="132"/>
      <c r="K435" s="166"/>
    </row>
    <row r="436" spans="2:19">
      <c r="B436" s="132" t="s">
        <v>500</v>
      </c>
      <c r="C436" s="133"/>
      <c r="D436" s="133"/>
      <c r="E436" s="133">
        <v>28020</v>
      </c>
      <c r="F436" s="132">
        <v>21144</v>
      </c>
      <c r="G436" s="133">
        <v>19576</v>
      </c>
      <c r="H436" s="132">
        <v>10741</v>
      </c>
      <c r="I436" s="166">
        <v>12063</v>
      </c>
      <c r="J436" s="132">
        <v>13010</v>
      </c>
      <c r="K436" s="166">
        <v>13010</v>
      </c>
      <c r="O436" s="20">
        <f>+O432/O434</f>
        <v>3.2676164574964446</v>
      </c>
      <c r="P436" s="20">
        <f>+P432/P434</f>
        <v>3.7005683539906729</v>
      </c>
      <c r="Q436" s="20">
        <f>+Q432/Q434</f>
        <v>3.2418929539394918</v>
      </c>
      <c r="R436" s="20"/>
      <c r="S436" s="20">
        <f>+S432/S434</f>
        <v>5.1994598765432096</v>
      </c>
    </row>
    <row r="437" spans="2:19">
      <c r="B437" s="132"/>
      <c r="C437" s="133"/>
      <c r="D437" s="133"/>
      <c r="E437" s="133"/>
      <c r="F437" s="132"/>
      <c r="G437" s="133"/>
      <c r="H437" s="132"/>
      <c r="I437" s="166"/>
      <c r="J437" s="132"/>
      <c r="K437" s="166"/>
    </row>
    <row r="438" spans="2:19">
      <c r="B438" s="132" t="s">
        <v>2236</v>
      </c>
      <c r="C438" s="133"/>
      <c r="D438" s="133"/>
      <c r="E438" s="133">
        <v>6486</v>
      </c>
      <c r="F438" s="132">
        <v>2117</v>
      </c>
      <c r="G438" s="133">
        <v>2143</v>
      </c>
      <c r="H438" s="132">
        <v>759</v>
      </c>
      <c r="I438" s="166">
        <v>769</v>
      </c>
      <c r="J438" s="132">
        <v>1151</v>
      </c>
      <c r="K438" s="166">
        <v>954</v>
      </c>
    </row>
    <row r="439" spans="2:19">
      <c r="B439" s="132"/>
      <c r="C439" s="133"/>
      <c r="D439" s="133"/>
      <c r="E439" s="133"/>
      <c r="F439" s="132"/>
      <c r="G439" s="133"/>
      <c r="H439" s="132"/>
      <c r="I439" s="166"/>
      <c r="J439" s="132"/>
      <c r="K439" s="166"/>
      <c r="L439" s="1434"/>
      <c r="M439" s="1434"/>
      <c r="N439" s="1434"/>
      <c r="O439" s="1434"/>
      <c r="P439" s="1434"/>
      <c r="Q439" s="1434"/>
      <c r="R439" s="1434"/>
      <c r="S439" s="1437"/>
    </row>
    <row r="440" spans="2:19" ht="20.25">
      <c r="B440" s="132" t="s">
        <v>563</v>
      </c>
      <c r="C440" s="133"/>
      <c r="D440" s="133"/>
      <c r="E440" s="133">
        <v>34500</v>
      </c>
      <c r="F440" s="132">
        <v>31257</v>
      </c>
      <c r="G440" s="133">
        <v>30515</v>
      </c>
      <c r="H440" s="132">
        <v>40808</v>
      </c>
      <c r="I440" s="166">
        <v>38278</v>
      </c>
      <c r="J440" s="132">
        <v>44324</v>
      </c>
      <c r="K440" s="166">
        <v>41883</v>
      </c>
      <c r="L440" s="352"/>
      <c r="M440" s="352"/>
      <c r="N440" s="352"/>
      <c r="O440" s="352"/>
      <c r="P440" s="352"/>
      <c r="Q440" s="352"/>
      <c r="R440" s="352"/>
      <c r="S440" s="1438"/>
    </row>
    <row r="441" spans="2:19" ht="20.25">
      <c r="B441" s="132"/>
      <c r="C441" s="133"/>
      <c r="D441" s="133"/>
      <c r="E441" s="133"/>
      <c r="F441" s="132"/>
      <c r="G441" s="133"/>
      <c r="H441" s="132"/>
      <c r="I441" s="166"/>
      <c r="J441" s="132"/>
      <c r="K441" s="166"/>
      <c r="L441" s="1435"/>
      <c r="M441" s="1435"/>
      <c r="N441" s="1435"/>
      <c r="O441" s="1435"/>
      <c r="P441" s="1435"/>
      <c r="Q441" s="1435"/>
      <c r="R441" s="1439"/>
      <c r="S441" s="1440"/>
    </row>
    <row r="442" spans="2:19">
      <c r="B442" s="132" t="s">
        <v>2237</v>
      </c>
      <c r="C442" s="133"/>
      <c r="D442" s="133"/>
      <c r="E442" s="133">
        <v>2000</v>
      </c>
      <c r="F442" s="132">
        <v>4524</v>
      </c>
      <c r="G442" s="133">
        <v>4889</v>
      </c>
      <c r="H442" s="132">
        <v>85</v>
      </c>
      <c r="I442" s="166">
        <v>85</v>
      </c>
      <c r="J442" s="132">
        <v>85</v>
      </c>
      <c r="K442" s="166">
        <v>85</v>
      </c>
      <c r="L442" s="41"/>
      <c r="M442" s="41" t="s">
        <v>1994</v>
      </c>
      <c r="N442" s="41" t="s">
        <v>730</v>
      </c>
      <c r="O442" s="41" t="s">
        <v>731</v>
      </c>
      <c r="P442" s="41" t="s">
        <v>732</v>
      </c>
      <c r="Q442" s="41" t="s">
        <v>733</v>
      </c>
      <c r="R442" s="320"/>
      <c r="S442" s="2445" t="s">
        <v>2050</v>
      </c>
    </row>
    <row r="443" spans="2:19">
      <c r="B443" s="130" t="s">
        <v>2238</v>
      </c>
      <c r="C443" s="131"/>
      <c r="D443" s="131"/>
      <c r="E443" s="131"/>
      <c r="F443" s="130"/>
      <c r="G443" s="131"/>
      <c r="H443" s="130"/>
      <c r="I443" s="165"/>
      <c r="J443" s="130"/>
      <c r="K443" s="165"/>
      <c r="L443" s="41"/>
      <c r="M443" s="41"/>
      <c r="N443" s="41"/>
      <c r="O443" s="41"/>
      <c r="P443" s="41"/>
      <c r="Q443" s="41">
        <v>35.43</v>
      </c>
      <c r="R443" s="320"/>
      <c r="S443" s="64" t="e">
        <f>+#REF!+Q443+P443+O443+N443+#REF!+M443+K460+J460+I460+H460+G460</f>
        <v>#REF!</v>
      </c>
    </row>
    <row r="444" spans="2:19">
      <c r="B444" s="134" t="s">
        <v>2239</v>
      </c>
      <c r="C444" s="131"/>
      <c r="D444" s="131"/>
      <c r="E444" s="133">
        <v>24000</v>
      </c>
      <c r="F444" s="132">
        <v>13646</v>
      </c>
      <c r="G444" s="133"/>
      <c r="H444" s="132">
        <v>8128</v>
      </c>
      <c r="I444" s="166"/>
      <c r="J444" s="132">
        <v>9345</v>
      </c>
      <c r="K444" s="166"/>
      <c r="L444" s="41"/>
      <c r="M444" s="41">
        <v>51.55</v>
      </c>
      <c r="N444" s="41"/>
      <c r="O444" s="41"/>
      <c r="P444" s="41"/>
      <c r="Q444" s="41"/>
      <c r="R444" s="320"/>
      <c r="S444" s="64" t="e">
        <f>+#REF!+Q444+P444+O444+N444+#REF!+M444+K461+J461+I461+H461+G461</f>
        <v>#REF!</v>
      </c>
    </row>
    <row r="445" spans="2:19">
      <c r="B445" s="134"/>
      <c r="C445" s="131"/>
      <c r="D445" s="131"/>
      <c r="E445" s="133"/>
      <c r="F445" s="132"/>
      <c r="G445" s="133"/>
      <c r="H445" s="132"/>
      <c r="I445" s="166"/>
      <c r="J445" s="132"/>
      <c r="K445" s="166"/>
      <c r="L445" s="41"/>
      <c r="M445" s="41"/>
      <c r="N445" s="41"/>
      <c r="O445" s="41"/>
      <c r="P445" s="41"/>
      <c r="Q445" s="41"/>
      <c r="R445" s="320"/>
      <c r="S445" s="64" t="e">
        <f>+#REF!+Q445+P445+O445+N445+#REF!+M445+K462+J462+I462+H462+G462</f>
        <v>#REF!</v>
      </c>
    </row>
    <row r="446" spans="2:19">
      <c r="B446" s="134" t="s">
        <v>2240</v>
      </c>
      <c r="C446" s="131"/>
      <c r="D446" s="131"/>
      <c r="E446" s="133">
        <v>32000</v>
      </c>
      <c r="F446" s="132">
        <v>33292</v>
      </c>
      <c r="G446" s="133"/>
      <c r="H446" s="132">
        <v>22365</v>
      </c>
      <c r="I446" s="166"/>
      <c r="J446" s="132">
        <v>22636</v>
      </c>
      <c r="K446" s="166"/>
      <c r="L446" s="886"/>
      <c r="M446" s="886">
        <f>SUM(M443:M445)</f>
        <v>51.55</v>
      </c>
      <c r="N446" s="886"/>
      <c r="O446" s="886"/>
      <c r="P446" s="886"/>
      <c r="Q446" s="886">
        <f>SUM(Q443:Q445)</f>
        <v>35.43</v>
      </c>
      <c r="R446" s="1441"/>
      <c r="S446" s="887" t="e">
        <f>SUM(S443:S445)</f>
        <v>#REF!</v>
      </c>
    </row>
    <row r="447" spans="2:19">
      <c r="B447" s="135" t="s">
        <v>2238</v>
      </c>
      <c r="C447" s="136"/>
      <c r="D447" s="136"/>
      <c r="E447" s="137"/>
      <c r="F447" s="138"/>
      <c r="G447" s="137"/>
      <c r="H447" s="138"/>
      <c r="I447" s="167"/>
      <c r="J447" s="138"/>
      <c r="K447" s="167"/>
      <c r="L447" s="18"/>
      <c r="M447" s="18"/>
      <c r="N447" s="18"/>
      <c r="O447" s="18"/>
      <c r="P447" s="18"/>
      <c r="Q447" s="18"/>
      <c r="R447" s="18"/>
      <c r="S447" s="24"/>
    </row>
    <row r="448" spans="2:19" ht="18" customHeight="1">
      <c r="L448" s="1"/>
      <c r="M448" s="1"/>
      <c r="N448" s="1"/>
      <c r="O448" s="1"/>
      <c r="P448" s="1"/>
      <c r="Q448" s="1"/>
      <c r="R448" s="1"/>
      <c r="S448" s="2"/>
    </row>
    <row r="449" spans="5:19">
      <c r="L449" s="41"/>
      <c r="M449" s="41" t="s">
        <v>1994</v>
      </c>
      <c r="N449" s="41" t="s">
        <v>730</v>
      </c>
      <c r="O449" s="41" t="s">
        <v>731</v>
      </c>
      <c r="P449" s="41" t="s">
        <v>732</v>
      </c>
      <c r="Q449" s="41" t="s">
        <v>733</v>
      </c>
      <c r="R449" s="320"/>
      <c r="S449" s="2445" t="s">
        <v>2055</v>
      </c>
    </row>
    <row r="450" spans="5:19">
      <c r="L450" s="41"/>
      <c r="M450" s="41">
        <v>31.23</v>
      </c>
      <c r="N450" s="41">
        <v>35.86</v>
      </c>
      <c r="O450" s="41"/>
      <c r="P450" s="41"/>
      <c r="Q450" s="41">
        <v>19.96</v>
      </c>
      <c r="R450" s="320"/>
      <c r="S450" s="64" t="e">
        <f>+#REF!+Q450+P450+O450+N450+#REF!+M450+K467+J467+I467+H467+G467</f>
        <v>#REF!</v>
      </c>
    </row>
    <row r="451" spans="5:19">
      <c r="H451" s="1443"/>
      <c r="L451" s="41"/>
      <c r="M451" s="41"/>
      <c r="N451" s="41"/>
      <c r="O451" s="41"/>
      <c r="P451" s="41">
        <v>43.12</v>
      </c>
      <c r="Q451" s="41"/>
      <c r="R451" s="320"/>
      <c r="S451" s="64" t="e">
        <f>+#REF!+Q451+P451+O451+N451+#REF!+M451+K468+J468+I468+H468+G468</f>
        <v>#REF!</v>
      </c>
    </row>
    <row r="452" spans="5:19">
      <c r="L452" s="41"/>
      <c r="M452" s="41"/>
      <c r="N452" s="41"/>
      <c r="O452" s="41"/>
      <c r="P452" s="41"/>
      <c r="Q452" s="41"/>
      <c r="R452" s="320"/>
      <c r="S452" s="64" t="e">
        <f>+#REF!+Q452+P452+O452+N452+#REF!+M452+K469+J469+I469+H469+G469</f>
        <v>#REF!</v>
      </c>
    </row>
    <row r="453" spans="5:19">
      <c r="L453" s="886"/>
      <c r="M453" s="886">
        <f>SUM(M450:M452)</f>
        <v>31.23</v>
      </c>
      <c r="N453" s="886">
        <f>SUM(N450:N452)</f>
        <v>35.86</v>
      </c>
      <c r="O453" s="886"/>
      <c r="P453" s="886">
        <f>SUM(P450:P452)</f>
        <v>43.12</v>
      </c>
      <c r="Q453" s="886">
        <f>SUM(Q450:Q452)</f>
        <v>19.96</v>
      </c>
      <c r="R453" s="1441"/>
      <c r="S453" s="887" t="e">
        <f>SUM(S450:S452)</f>
        <v>#REF!</v>
      </c>
    </row>
    <row r="454" spans="5:19">
      <c r="L454" s="18"/>
      <c r="M454" s="18"/>
      <c r="N454" s="18"/>
      <c r="O454" s="18"/>
      <c r="P454" s="18"/>
      <c r="Q454" s="18"/>
      <c r="R454" s="18"/>
      <c r="S454" s="24"/>
    </row>
    <row r="455" spans="5:19" ht="20.25">
      <c r="L455" s="1446"/>
      <c r="M455" s="1446"/>
      <c r="N455" s="1446"/>
      <c r="O455" s="1446"/>
      <c r="P455" s="1446"/>
      <c r="Q455" s="1446"/>
      <c r="R455" s="1446"/>
      <c r="S455" s="1476"/>
    </row>
    <row r="456" spans="5:19">
      <c r="E456" s="512"/>
      <c r="F456" s="1434"/>
      <c r="G456" s="1434"/>
      <c r="H456" s="1434"/>
      <c r="I456" s="1434"/>
      <c r="J456" s="1434"/>
      <c r="K456" s="1434"/>
      <c r="L456" s="106"/>
      <c r="M456" s="106" t="s">
        <v>1994</v>
      </c>
      <c r="N456" s="106" t="s">
        <v>730</v>
      </c>
      <c r="O456" s="106" t="s">
        <v>731</v>
      </c>
      <c r="P456" s="106" t="s">
        <v>732</v>
      </c>
      <c r="Q456" s="106" t="s">
        <v>733</v>
      </c>
      <c r="R456" s="1477"/>
      <c r="S456" s="2446" t="s">
        <v>2056</v>
      </c>
    </row>
    <row r="457" spans="5:19" ht="20.25">
      <c r="E457" s="1444" t="s">
        <v>2258</v>
      </c>
      <c r="F457" s="352"/>
      <c r="G457" s="352"/>
      <c r="H457" s="352"/>
      <c r="I457" s="352"/>
      <c r="J457" s="352"/>
      <c r="K457" s="352"/>
      <c r="L457" s="41"/>
      <c r="M457" s="41"/>
      <c r="N457" s="41"/>
      <c r="O457" s="41"/>
      <c r="P457" s="41"/>
      <c r="Q457" s="41"/>
      <c r="R457" s="320"/>
      <c r="S457" s="64" t="e">
        <f>+#REF!+Q457+P457+O457+N457+#REF!+M457+K474+J474+I474+H474+G474</f>
        <v>#REF!</v>
      </c>
    </row>
    <row r="458" spans="5:19" ht="20.25">
      <c r="E458" s="105" t="s">
        <v>2259</v>
      </c>
      <c r="F458" s="106" t="s">
        <v>704</v>
      </c>
      <c r="G458" s="1435" t="s">
        <v>33</v>
      </c>
      <c r="H458" s="1435"/>
      <c r="I458" s="1435"/>
      <c r="J458" s="1435"/>
      <c r="K458" s="1435"/>
      <c r="L458" s="41"/>
      <c r="M458" s="41"/>
      <c r="N458" s="41"/>
      <c r="O458" s="41"/>
      <c r="P458" s="41"/>
      <c r="Q458" s="41"/>
      <c r="R458" s="320"/>
      <c r="S458" s="64" t="e">
        <f>+#REF!+Q458+P458+O458+N458+#REF!+M458+K475+J475+I475+H475+G475</f>
        <v>#REF!</v>
      </c>
    </row>
    <row r="459" spans="5:19">
      <c r="E459" s="40"/>
      <c r="F459" s="41"/>
      <c r="G459" s="1445" t="s">
        <v>2260</v>
      </c>
      <c r="H459" s="41" t="s">
        <v>723</v>
      </c>
      <c r="I459" s="41" t="s">
        <v>2147</v>
      </c>
      <c r="J459" s="41" t="s">
        <v>1993</v>
      </c>
      <c r="K459" s="41" t="s">
        <v>2148</v>
      </c>
      <c r="L459" s="41"/>
      <c r="M459" s="41"/>
      <c r="N459" s="41"/>
      <c r="O459" s="41"/>
      <c r="P459" s="41"/>
      <c r="Q459" s="41"/>
      <c r="R459" s="320"/>
      <c r="S459" s="64"/>
    </row>
    <row r="460" spans="5:19">
      <c r="E460" s="40" t="s">
        <v>2261</v>
      </c>
      <c r="F460" s="41" t="s">
        <v>2262</v>
      </c>
      <c r="G460" s="41">
        <v>14.82</v>
      </c>
      <c r="H460" s="41"/>
      <c r="I460" s="41"/>
      <c r="J460" s="41">
        <v>15.25</v>
      </c>
      <c r="K460" s="41"/>
      <c r="L460" s="886"/>
      <c r="M460" s="886"/>
      <c r="N460" s="886"/>
      <c r="O460" s="886"/>
      <c r="P460" s="886"/>
      <c r="Q460" s="886"/>
      <c r="R460" s="1441"/>
      <c r="S460" s="887" t="e">
        <f>SUM(S457:S459)</f>
        <v>#REF!</v>
      </c>
    </row>
    <row r="461" spans="5:19">
      <c r="E461" s="40" t="s">
        <v>2263</v>
      </c>
      <c r="F461" s="41" t="s">
        <v>2264</v>
      </c>
      <c r="G461" s="41"/>
      <c r="H461" s="41">
        <v>30.74</v>
      </c>
      <c r="I461" s="41">
        <v>60.16</v>
      </c>
      <c r="J461" s="41"/>
      <c r="K461" s="41"/>
    </row>
    <row r="462" spans="5:19">
      <c r="E462" s="40" t="s">
        <v>2263</v>
      </c>
      <c r="F462" s="2447" t="s">
        <v>2265</v>
      </c>
      <c r="G462" s="41"/>
      <c r="H462" s="41"/>
      <c r="I462" s="41"/>
      <c r="J462" s="41"/>
      <c r="K462" s="41"/>
    </row>
    <row r="463" spans="5:19">
      <c r="E463" s="473"/>
      <c r="F463" s="886"/>
      <c r="G463" s="886">
        <f>SUM(G460:G462)</f>
        <v>14.82</v>
      </c>
      <c r="H463" s="886">
        <f>SUM(H460:H462)</f>
        <v>30.74</v>
      </c>
      <c r="I463" s="886">
        <f>SUM(I460:I462)</f>
        <v>60.16</v>
      </c>
      <c r="J463" s="886">
        <f>SUM(J460:J462)</f>
        <v>15.25</v>
      </c>
      <c r="K463" s="886"/>
    </row>
    <row r="464" spans="5:19">
      <c r="E464" s="17"/>
      <c r="F464" s="18"/>
      <c r="G464" s="18"/>
      <c r="H464" s="18"/>
      <c r="I464" s="18"/>
      <c r="J464" s="18"/>
      <c r="K464" s="18"/>
    </row>
    <row r="465" spans="1:34" ht="20.25">
      <c r="E465" s="102"/>
      <c r="F465" s="103"/>
      <c r="G465" s="1" t="s">
        <v>34</v>
      </c>
      <c r="H465" s="1"/>
      <c r="I465" s="1"/>
      <c r="J465" s="1"/>
      <c r="K465" s="1"/>
    </row>
    <row r="466" spans="1:34">
      <c r="E466" s="40"/>
      <c r="F466" s="41"/>
      <c r="G466" s="1445" t="s">
        <v>2260</v>
      </c>
      <c r="H466" s="41" t="s">
        <v>723</v>
      </c>
      <c r="I466" s="41" t="s">
        <v>2147</v>
      </c>
      <c r="J466" s="41" t="s">
        <v>1993</v>
      </c>
      <c r="K466" s="41" t="s">
        <v>2148</v>
      </c>
      <c r="L466" s="535"/>
    </row>
    <row r="467" spans="1:34" s="852" customFormat="1">
      <c r="A467" s="1309"/>
      <c r="B467"/>
      <c r="C467"/>
      <c r="D467"/>
      <c r="E467" s="40" t="s">
        <v>2261</v>
      </c>
      <c r="F467" s="41" t="s">
        <v>2262</v>
      </c>
      <c r="G467" s="41"/>
      <c r="H467" s="41">
        <v>15.87</v>
      </c>
      <c r="I467" s="41"/>
      <c r="J467" s="41">
        <v>15.49</v>
      </c>
      <c r="K467" s="41">
        <v>15.61</v>
      </c>
      <c r="L467" s="763"/>
      <c r="AG467" s="1478"/>
      <c r="AH467" s="1478"/>
    </row>
    <row r="468" spans="1:34">
      <c r="E468" s="40" t="s">
        <v>2263</v>
      </c>
      <c r="F468" s="41" t="s">
        <v>2264</v>
      </c>
      <c r="G468" s="41"/>
      <c r="H468" s="41"/>
      <c r="I468" s="41"/>
      <c r="J468" s="41"/>
      <c r="K468" s="41"/>
    </row>
    <row r="469" spans="1:34">
      <c r="E469" s="40" t="s">
        <v>2263</v>
      </c>
      <c r="F469" s="2447" t="s">
        <v>2265</v>
      </c>
      <c r="G469" s="41"/>
      <c r="H469" s="41"/>
      <c r="I469" s="41"/>
      <c r="J469" s="41"/>
      <c r="K469" s="41"/>
      <c r="L469" s="18"/>
    </row>
    <row r="470" spans="1:34">
      <c r="E470" s="473"/>
      <c r="F470" s="886"/>
      <c r="G470" s="886"/>
      <c r="H470" s="886">
        <f>SUM(H467:H469)</f>
        <v>15.87</v>
      </c>
      <c r="I470" s="886"/>
      <c r="J470" s="886">
        <f>SUM(J467:J469)</f>
        <v>15.49</v>
      </c>
      <c r="K470" s="886">
        <f>SUM(K467:K469)</f>
        <v>15.61</v>
      </c>
      <c r="L470" s="18"/>
    </row>
    <row r="471" spans="1:34">
      <c r="A471" s="290" t="s">
        <v>2266</v>
      </c>
      <c r="E471" s="17"/>
      <c r="F471" s="18"/>
      <c r="G471" s="18"/>
      <c r="H471" s="18"/>
      <c r="I471" s="18"/>
      <c r="J471" s="18"/>
      <c r="K471" s="18"/>
      <c r="L471" s="18"/>
    </row>
    <row r="472" spans="1:34" ht="20.25">
      <c r="E472" s="17"/>
      <c r="F472" s="18"/>
      <c r="G472" s="1446" t="s">
        <v>40</v>
      </c>
      <c r="H472" s="1446"/>
      <c r="I472" s="1446"/>
      <c r="J472" s="1446"/>
      <c r="K472" s="1446"/>
      <c r="L472" s="18"/>
    </row>
    <row r="473" spans="1:34">
      <c r="E473" s="105"/>
      <c r="F473" s="106"/>
      <c r="G473" s="1447" t="s">
        <v>2260</v>
      </c>
      <c r="H473" s="106" t="s">
        <v>723</v>
      </c>
      <c r="I473" s="106" t="s">
        <v>2147</v>
      </c>
      <c r="J473" s="106" t="s">
        <v>1993</v>
      </c>
      <c r="K473" s="106" t="s">
        <v>2148</v>
      </c>
      <c r="L473" s="18"/>
    </row>
    <row r="474" spans="1:34">
      <c r="E474" s="40" t="s">
        <v>2261</v>
      </c>
      <c r="F474" s="41" t="s">
        <v>2262</v>
      </c>
      <c r="G474" s="41">
        <v>15.82</v>
      </c>
      <c r="H474" s="41">
        <v>20.12</v>
      </c>
      <c r="I474" s="41">
        <v>15.25</v>
      </c>
      <c r="J474" s="41"/>
      <c r="K474" s="41"/>
      <c r="L474" s="18"/>
    </row>
    <row r="475" spans="1:34">
      <c r="E475" s="40" t="s">
        <v>2263</v>
      </c>
      <c r="F475" s="41" t="s">
        <v>2264</v>
      </c>
      <c r="G475" s="41"/>
      <c r="H475" s="41"/>
      <c r="I475" s="41">
        <v>45.87</v>
      </c>
      <c r="J475" s="41">
        <v>53.5</v>
      </c>
      <c r="K475" s="41"/>
      <c r="L475" s="18"/>
    </row>
    <row r="476" spans="1:34">
      <c r="A476" s="290" t="s">
        <v>2163</v>
      </c>
      <c r="E476" s="40" t="s">
        <v>2263</v>
      </c>
      <c r="F476" s="2447" t="s">
        <v>2265</v>
      </c>
      <c r="G476" s="41"/>
      <c r="H476" s="41"/>
      <c r="I476" s="41"/>
      <c r="J476" s="41"/>
      <c r="K476" s="41"/>
      <c r="L476" s="18"/>
    </row>
    <row r="477" spans="1:34">
      <c r="E477" s="473"/>
      <c r="F477" s="886"/>
      <c r="G477" s="886">
        <f>SUM(G474:G476)</f>
        <v>15.82</v>
      </c>
      <c r="H477" s="886">
        <f>SUM(H474:H476)</f>
        <v>20.12</v>
      </c>
      <c r="I477" s="886">
        <f>SUM(I474:I476)</f>
        <v>61.12</v>
      </c>
      <c r="J477" s="886">
        <f>SUM(J474:J476)</f>
        <v>53.5</v>
      </c>
      <c r="K477" s="886"/>
      <c r="L477" s="18"/>
    </row>
    <row r="478" spans="1:34">
      <c r="L478" s="18"/>
    </row>
    <row r="479" spans="1:34">
      <c r="L479" s="18"/>
    </row>
    <row r="480" spans="1:34">
      <c r="L480" s="18"/>
    </row>
    <row r="481" spans="1:34">
      <c r="L481" s="18"/>
    </row>
    <row r="482" spans="1:34">
      <c r="B482" s="1448"/>
      <c r="C482" s="1449"/>
      <c r="D482" s="1449"/>
      <c r="E482" s="1449"/>
      <c r="F482" s="1449"/>
      <c r="G482" s="1449"/>
      <c r="H482" s="1449"/>
      <c r="I482" s="1449"/>
      <c r="J482" s="1449"/>
      <c r="K482" s="1469"/>
      <c r="L482" s="18"/>
    </row>
    <row r="483" spans="1:34">
      <c r="B483" s="2954" t="s">
        <v>2267</v>
      </c>
      <c r="C483" s="2955"/>
      <c r="D483" s="2955"/>
      <c r="E483" s="2955"/>
      <c r="F483" s="2955"/>
      <c r="G483" s="2955"/>
      <c r="H483" s="2955"/>
      <c r="I483" s="2955"/>
      <c r="J483" s="2955"/>
      <c r="K483" s="2956"/>
      <c r="L483" s="18"/>
    </row>
    <row r="484" spans="1:34">
      <c r="B484" s="1450"/>
      <c r="C484" s="1451"/>
      <c r="D484" s="1452"/>
      <c r="E484" s="1453" t="s">
        <v>29</v>
      </c>
      <c r="F484" s="1453" t="s">
        <v>30</v>
      </c>
      <c r="G484" s="1453" t="s">
        <v>31</v>
      </c>
      <c r="H484" s="1453" t="s">
        <v>32</v>
      </c>
      <c r="I484" s="1453" t="s">
        <v>33</v>
      </c>
      <c r="J484" s="1453" t="s">
        <v>34</v>
      </c>
      <c r="K484" s="1453" t="s">
        <v>2268</v>
      </c>
      <c r="L484" s="18"/>
    </row>
    <row r="485" spans="1:34">
      <c r="B485" s="1454" t="s">
        <v>255</v>
      </c>
      <c r="C485" s="1455"/>
      <c r="D485" s="1455"/>
      <c r="E485" s="1455"/>
      <c r="F485" s="1455"/>
      <c r="G485" s="1455"/>
      <c r="H485" s="1455"/>
      <c r="I485" s="1455"/>
      <c r="J485" s="1455"/>
      <c r="K485" s="1470"/>
      <c r="L485" s="18"/>
    </row>
    <row r="486" spans="1:34" s="852" customFormat="1">
      <c r="A486" s="1309"/>
      <c r="B486" s="1456" t="s">
        <v>2269</v>
      </c>
      <c r="C486" s="1457"/>
      <c r="D486" s="1457"/>
      <c r="E486" s="1458">
        <v>2870</v>
      </c>
      <c r="F486" s="1459">
        <v>4826.63</v>
      </c>
      <c r="G486" s="1458">
        <v>5432</v>
      </c>
      <c r="H486" s="1458">
        <v>6561</v>
      </c>
      <c r="I486" s="1458">
        <v>5028</v>
      </c>
      <c r="J486" s="1458">
        <v>3572</v>
      </c>
      <c r="K486" s="1471">
        <f>3841.35</f>
        <v>3841.35</v>
      </c>
      <c r="L486" s="763"/>
      <c r="AG486" s="1478"/>
      <c r="AH486" s="1478"/>
    </row>
    <row r="487" spans="1:34">
      <c r="B487" s="1456" t="s">
        <v>342</v>
      </c>
      <c r="C487" s="1457"/>
      <c r="D487" s="1457"/>
      <c r="E487" s="1458">
        <v>2644</v>
      </c>
      <c r="F487" s="1458">
        <v>3003</v>
      </c>
      <c r="G487" s="1458">
        <v>1268</v>
      </c>
      <c r="H487" s="1458"/>
      <c r="I487" s="1458">
        <v>4316</v>
      </c>
      <c r="J487" s="1458">
        <v>4376</v>
      </c>
      <c r="K487" s="1471">
        <v>3518.31</v>
      </c>
      <c r="L487" s="18"/>
    </row>
    <row r="488" spans="1:34">
      <c r="B488" s="1456"/>
      <c r="C488" s="1457"/>
      <c r="D488" s="1457"/>
      <c r="E488" s="1458"/>
      <c r="F488" s="1458"/>
      <c r="G488" s="1458"/>
      <c r="H488" s="1458">
        <v>32</v>
      </c>
      <c r="I488" s="1458">
        <v>12</v>
      </c>
      <c r="J488" s="1458"/>
      <c r="K488" s="1471"/>
      <c r="L488" s="18"/>
    </row>
    <row r="489" spans="1:34">
      <c r="B489" s="1460" t="s">
        <v>2270</v>
      </c>
      <c r="C489" s="1457"/>
      <c r="D489" s="1457"/>
      <c r="E489" s="1458">
        <v>370</v>
      </c>
      <c r="F489" s="1458">
        <v>615</v>
      </c>
      <c r="G489" s="1458"/>
      <c r="H489" s="1458"/>
      <c r="I489" s="1458"/>
      <c r="J489" s="1458">
        <v>950</v>
      </c>
      <c r="K489" s="1471">
        <f>751.51</f>
        <v>751.51</v>
      </c>
      <c r="L489" s="18"/>
    </row>
    <row r="490" spans="1:34">
      <c r="A490" t="s">
        <v>2271</v>
      </c>
      <c r="B490" s="1456" t="s">
        <v>2272</v>
      </c>
      <c r="C490" s="1457"/>
      <c r="D490" s="1457"/>
      <c r="E490" s="1458"/>
      <c r="F490" s="1458">
        <v>3008</v>
      </c>
      <c r="G490" s="1458">
        <v>1115</v>
      </c>
      <c r="H490" s="1459">
        <f>541.81+323.2</f>
        <v>865.01</v>
      </c>
      <c r="I490" s="1458"/>
      <c r="J490" s="1458"/>
      <c r="K490" s="1471"/>
      <c r="L490" s="18"/>
    </row>
    <row r="491" spans="1:34">
      <c r="B491" s="1456" t="s">
        <v>349</v>
      </c>
      <c r="C491" s="1457"/>
      <c r="D491" s="1457"/>
      <c r="E491" s="1458"/>
      <c r="F491" s="1458"/>
      <c r="G491" s="1458">
        <v>2977</v>
      </c>
      <c r="H491" s="1458"/>
      <c r="I491" s="1458"/>
      <c r="J491" s="1458">
        <v>106</v>
      </c>
      <c r="K491" s="1471">
        <v>1000.14</v>
      </c>
      <c r="L491" s="18"/>
    </row>
    <row r="492" spans="1:34">
      <c r="B492" s="1456" t="s">
        <v>2273</v>
      </c>
      <c r="C492" s="1457"/>
      <c r="D492" s="1457"/>
      <c r="E492" s="1458" t="s">
        <v>271</v>
      </c>
      <c r="F492" s="1458">
        <v>589</v>
      </c>
      <c r="G492" s="1458"/>
      <c r="H492" s="1458"/>
      <c r="I492" s="1458"/>
      <c r="J492" s="1458">
        <v>1525</v>
      </c>
      <c r="K492" s="1471">
        <v>1297.2</v>
      </c>
      <c r="L492" s="18"/>
    </row>
    <row r="493" spans="1:34" ht="14.25" customHeight="1">
      <c r="A493" s="290" t="s">
        <v>2274</v>
      </c>
      <c r="B493" s="1456"/>
      <c r="C493" s="1457"/>
      <c r="D493" s="1457"/>
      <c r="E493" s="1458"/>
      <c r="F493" s="1458"/>
      <c r="G493" s="1458">
        <v>1132</v>
      </c>
      <c r="H493" s="1458">
        <v>814</v>
      </c>
      <c r="I493" s="1458">
        <v>2821</v>
      </c>
      <c r="J493" s="1458">
        <v>3106</v>
      </c>
      <c r="K493" s="1471">
        <v>1989.14</v>
      </c>
      <c r="L493" s="18"/>
    </row>
    <row r="494" spans="1:34">
      <c r="B494" s="1456" t="s">
        <v>2275</v>
      </c>
      <c r="C494" s="1457"/>
      <c r="D494" s="1457"/>
      <c r="E494" s="1458"/>
      <c r="F494" s="1458"/>
      <c r="G494" s="1458"/>
      <c r="H494" s="1458"/>
      <c r="I494" s="1458"/>
      <c r="J494" s="1458"/>
      <c r="K494" s="1472">
        <v>86.62</v>
      </c>
      <c r="L494" s="18"/>
    </row>
    <row r="495" spans="1:34">
      <c r="A495" s="290" t="s">
        <v>2276</v>
      </c>
      <c r="B495" s="1456" t="s">
        <v>2277</v>
      </c>
      <c r="C495" s="1457"/>
      <c r="D495" s="1457"/>
      <c r="E495" s="1458"/>
      <c r="F495" s="1458"/>
      <c r="G495" s="1458"/>
      <c r="H495" s="1458"/>
      <c r="I495" s="1458"/>
      <c r="J495" s="1458"/>
      <c r="K495" s="1471"/>
      <c r="L495" s="18"/>
    </row>
    <row r="496" spans="1:34" ht="17.25" customHeight="1">
      <c r="B496" s="1456" t="s">
        <v>2278</v>
      </c>
      <c r="C496" s="1457"/>
      <c r="D496" s="1457"/>
      <c r="E496" s="1458"/>
      <c r="F496" s="1458"/>
      <c r="G496" s="1458"/>
      <c r="H496" s="1458"/>
      <c r="I496" s="1458">
        <v>73</v>
      </c>
      <c r="J496" s="1458"/>
      <c r="K496" s="1471"/>
      <c r="L496" s="18"/>
    </row>
    <row r="497" spans="1:12">
      <c r="B497" s="1456" t="s">
        <v>2279</v>
      </c>
      <c r="C497" s="1457"/>
      <c r="D497" s="1457"/>
      <c r="E497" s="1458"/>
      <c r="F497" s="1458">
        <v>40</v>
      </c>
      <c r="G497" s="1458"/>
      <c r="H497" s="1458"/>
      <c r="I497" s="1458"/>
      <c r="J497" s="1458">
        <v>60</v>
      </c>
      <c r="K497" s="1471"/>
      <c r="L497" s="18"/>
    </row>
    <row r="498" spans="1:12">
      <c r="B498" s="1456" t="s">
        <v>2280</v>
      </c>
      <c r="C498" s="1457"/>
      <c r="D498" s="1457"/>
      <c r="E498" s="1458"/>
      <c r="F498" s="1458"/>
      <c r="G498" s="1458"/>
      <c r="H498" s="1458"/>
      <c r="I498" s="1458"/>
      <c r="J498" s="1458"/>
      <c r="K498" s="1471"/>
      <c r="L498" s="535"/>
    </row>
    <row r="499" spans="1:12">
      <c r="B499" s="1456" t="s">
        <v>886</v>
      </c>
      <c r="C499" s="1457"/>
      <c r="D499" s="1457"/>
      <c r="E499" s="1458">
        <v>98</v>
      </c>
      <c r="F499" s="1458"/>
      <c r="G499" s="1458"/>
      <c r="H499" s="1458"/>
      <c r="I499" s="1458">
        <v>1</v>
      </c>
      <c r="J499" s="1458"/>
      <c r="K499" s="1471"/>
      <c r="L499" s="18"/>
    </row>
    <row r="500" spans="1:12">
      <c r="B500" s="1456" t="s">
        <v>2080</v>
      </c>
      <c r="C500" s="1457"/>
      <c r="D500" s="1457"/>
      <c r="E500" s="1458">
        <v>225</v>
      </c>
      <c r="F500" s="1458">
        <v>172</v>
      </c>
      <c r="G500" s="1458">
        <v>260</v>
      </c>
      <c r="H500" s="1458">
        <v>181</v>
      </c>
      <c r="I500" s="1458">
        <v>185</v>
      </c>
      <c r="J500" s="1458">
        <v>74</v>
      </c>
      <c r="K500" s="1471">
        <v>136.22</v>
      </c>
      <c r="L500" s="18"/>
    </row>
    <row r="501" spans="1:12">
      <c r="B501" s="1460" t="s">
        <v>2281</v>
      </c>
      <c r="C501" s="1457"/>
      <c r="D501" s="1457"/>
      <c r="E501" s="1458"/>
      <c r="F501" s="1458"/>
      <c r="G501" s="1458"/>
      <c r="H501" s="1458">
        <v>37</v>
      </c>
      <c r="I501" s="1458"/>
      <c r="J501" s="1458"/>
      <c r="K501" s="1471"/>
      <c r="L501" s="18"/>
    </row>
    <row r="502" spans="1:12">
      <c r="A502" t="s">
        <v>2282</v>
      </c>
      <c r="B502" s="1461" t="s">
        <v>2283</v>
      </c>
      <c r="C502" s="1462"/>
      <c r="D502" s="1462"/>
      <c r="E502" s="1463"/>
      <c r="F502" s="1463"/>
      <c r="G502" s="1463"/>
      <c r="H502" s="1463">
        <v>41</v>
      </c>
      <c r="I502" s="1463"/>
      <c r="J502" s="1463"/>
      <c r="K502" s="1473"/>
      <c r="L502" s="18"/>
    </row>
    <row r="503" spans="1:12">
      <c r="B503" s="1464" t="s">
        <v>2284</v>
      </c>
      <c r="C503" s="1465"/>
      <c r="D503" s="1465"/>
      <c r="E503" s="1466">
        <f>SUM(E486:E502)</f>
        <v>6207</v>
      </c>
      <c r="F503" s="1467">
        <f t="shared" ref="F503:K503" si="57">SUM(F486:F502)</f>
        <v>12253.630000000001</v>
      </c>
      <c r="G503" s="1466">
        <f t="shared" si="57"/>
        <v>12184</v>
      </c>
      <c r="H503" s="1466">
        <f t="shared" si="57"/>
        <v>8531.01</v>
      </c>
      <c r="I503" s="1466">
        <f t="shared" si="57"/>
        <v>12436</v>
      </c>
      <c r="J503" s="1466">
        <f t="shared" si="57"/>
        <v>13769</v>
      </c>
      <c r="K503" s="1474">
        <f t="shared" si="57"/>
        <v>12620.49</v>
      </c>
      <c r="L503" s="18"/>
    </row>
    <row r="504" spans="1:12">
      <c r="B504" s="1454" t="s">
        <v>2065</v>
      </c>
      <c r="C504" s="1455"/>
      <c r="D504" s="1455"/>
      <c r="E504" s="1468"/>
      <c r="F504" s="1468"/>
      <c r="G504" s="1468"/>
      <c r="H504" s="1468"/>
      <c r="I504" s="1468"/>
      <c r="J504" s="1468"/>
      <c r="K504" s="1475"/>
      <c r="L504" s="535"/>
    </row>
    <row r="505" spans="1:12">
      <c r="B505" s="1456" t="s">
        <v>2045</v>
      </c>
      <c r="C505" s="1457"/>
      <c r="D505" s="1457"/>
      <c r="E505" s="1458"/>
      <c r="F505" s="1458">
        <v>5103</v>
      </c>
      <c r="G505" s="1458">
        <v>1219</v>
      </c>
      <c r="H505" s="1458">
        <v>1765</v>
      </c>
      <c r="I505" s="1458">
        <v>678</v>
      </c>
      <c r="J505" s="1458">
        <v>2871</v>
      </c>
      <c r="K505" s="1471">
        <v>2033</v>
      </c>
      <c r="L505" s="18"/>
    </row>
    <row r="506" spans="1:12">
      <c r="A506" t="s">
        <v>123</v>
      </c>
      <c r="B506" s="1456" t="s">
        <v>123</v>
      </c>
      <c r="C506" s="1457"/>
      <c r="D506" s="1457"/>
      <c r="E506" s="1458">
        <v>2711</v>
      </c>
      <c r="F506" s="1458">
        <v>506</v>
      </c>
      <c r="G506" s="1458">
        <v>1267</v>
      </c>
      <c r="H506" s="1458">
        <v>1613</v>
      </c>
      <c r="I506" s="1458">
        <v>835</v>
      </c>
      <c r="J506" s="1458">
        <v>186</v>
      </c>
      <c r="K506" s="1472">
        <v>443.22</v>
      </c>
      <c r="L506" s="18"/>
    </row>
    <row r="507" spans="1:12">
      <c r="B507" s="1456"/>
      <c r="C507" s="1457"/>
      <c r="D507" s="1457"/>
      <c r="E507" s="1458">
        <v>1966</v>
      </c>
      <c r="F507" s="1458">
        <v>799</v>
      </c>
      <c r="G507" s="1458"/>
      <c r="H507" s="1458"/>
      <c r="I507" s="1458"/>
      <c r="J507" s="1458"/>
      <c r="K507" s="1471"/>
      <c r="L507" s="18"/>
    </row>
    <row r="508" spans="1:12">
      <c r="B508" s="1460" t="s">
        <v>2281</v>
      </c>
      <c r="C508" s="1457"/>
      <c r="D508" s="1457"/>
      <c r="E508" s="1458"/>
      <c r="F508" s="1458"/>
      <c r="G508" s="1458"/>
      <c r="H508" s="1458"/>
      <c r="I508" s="1458">
        <v>53</v>
      </c>
      <c r="J508" s="1458">
        <v>98</v>
      </c>
      <c r="K508" s="1471"/>
      <c r="L508" s="18"/>
    </row>
    <row r="509" spans="1:12">
      <c r="B509" s="1460" t="s">
        <v>2283</v>
      </c>
      <c r="C509" s="1457"/>
      <c r="D509" s="1457"/>
      <c r="E509" s="1458"/>
      <c r="F509" s="1458"/>
      <c r="G509" s="1458"/>
      <c r="H509" s="1458"/>
      <c r="I509" s="1458">
        <v>50</v>
      </c>
      <c r="J509" s="1458">
        <v>53</v>
      </c>
      <c r="K509" s="1471"/>
      <c r="L509" s="18"/>
    </row>
    <row r="510" spans="1:12">
      <c r="B510" s="1456"/>
      <c r="C510" s="1457"/>
      <c r="D510" s="1457"/>
      <c r="E510" s="1458"/>
      <c r="F510" s="1458"/>
      <c r="G510" s="1458"/>
      <c r="H510" s="1458">
        <v>58</v>
      </c>
      <c r="I510" s="1458"/>
      <c r="J510" s="1458"/>
      <c r="K510" s="1471"/>
      <c r="L510" s="18"/>
    </row>
    <row r="511" spans="1:12">
      <c r="B511" s="1456" t="s">
        <v>332</v>
      </c>
      <c r="C511" s="1457"/>
      <c r="D511" s="1457"/>
      <c r="E511" s="1458"/>
      <c r="F511" s="1458"/>
      <c r="G511" s="1458"/>
      <c r="H511" s="1458">
        <v>99</v>
      </c>
      <c r="I511" s="1458"/>
      <c r="J511" s="1458"/>
      <c r="K511" s="1472">
        <v>101.09</v>
      </c>
      <c r="L511" s="87"/>
    </row>
    <row r="512" spans="1:12">
      <c r="B512" s="1456"/>
      <c r="C512" s="1457"/>
      <c r="D512" s="1457"/>
      <c r="E512" s="1458"/>
      <c r="F512" s="1458"/>
      <c r="G512" s="1458"/>
      <c r="H512" s="1458"/>
      <c r="I512" s="1458"/>
      <c r="J512" s="1458"/>
      <c r="K512" s="1471">
        <v>52</v>
      </c>
      <c r="L512" s="531"/>
    </row>
    <row r="513" spans="1:34">
      <c r="B513" s="1456" t="s">
        <v>2285</v>
      </c>
      <c r="C513" s="1457"/>
      <c r="D513" s="1457"/>
      <c r="E513" s="1458"/>
      <c r="F513" s="1458"/>
      <c r="G513" s="1458"/>
      <c r="H513" s="1458"/>
      <c r="I513" s="1458"/>
      <c r="J513" s="1458"/>
      <c r="K513" s="1471"/>
      <c r="L513" s="18"/>
    </row>
    <row r="514" spans="1:34" s="852" customFormat="1">
      <c r="A514" s="1309"/>
      <c r="B514" s="1479" t="s">
        <v>2080</v>
      </c>
      <c r="C514" s="1462"/>
      <c r="D514" s="1462"/>
      <c r="E514" s="1463"/>
      <c r="F514" s="1463"/>
      <c r="G514" s="1463"/>
      <c r="H514" s="1463">
        <v>57</v>
      </c>
      <c r="I514" s="1463">
        <v>50</v>
      </c>
      <c r="J514" s="1463"/>
      <c r="K514" s="1473"/>
      <c r="L514" s="785"/>
      <c r="AG514" s="1478"/>
      <c r="AH514" s="1478"/>
    </row>
    <row r="515" spans="1:34">
      <c r="B515" s="1464" t="s">
        <v>2284</v>
      </c>
      <c r="C515" s="1480"/>
      <c r="D515" s="1480"/>
      <c r="E515" s="1466">
        <f>SUM(E505:E514)</f>
        <v>4677</v>
      </c>
      <c r="F515" s="1466">
        <f t="shared" ref="F515:K515" si="58">SUM(F505:F514)</f>
        <v>6408</v>
      </c>
      <c r="G515" s="1466">
        <f t="shared" si="58"/>
        <v>2486</v>
      </c>
      <c r="H515" s="1466">
        <f t="shared" si="58"/>
        <v>3592</v>
      </c>
      <c r="I515" s="1466">
        <f t="shared" si="58"/>
        <v>1666</v>
      </c>
      <c r="J515" s="1466">
        <f t="shared" si="58"/>
        <v>3208</v>
      </c>
      <c r="K515" s="1474">
        <f t="shared" si="58"/>
        <v>2629.3100000000004</v>
      </c>
    </row>
    <row r="516" spans="1:34">
      <c r="B516" s="1454" t="s">
        <v>257</v>
      </c>
      <c r="C516" s="1455"/>
      <c r="D516" s="1455"/>
      <c r="E516" s="1468"/>
      <c r="F516" s="1468"/>
      <c r="G516" s="1468"/>
      <c r="H516" s="1468"/>
      <c r="I516" s="1468"/>
      <c r="J516" s="1468"/>
      <c r="K516" s="1475"/>
    </row>
    <row r="517" spans="1:34">
      <c r="B517" s="1456" t="s">
        <v>886</v>
      </c>
      <c r="C517" s="1457"/>
      <c r="D517" s="1457"/>
      <c r="E517" s="1458"/>
      <c r="F517" s="1458"/>
      <c r="G517" s="1458"/>
      <c r="H517" s="1458">
        <v>14</v>
      </c>
      <c r="I517" s="1458">
        <v>36</v>
      </c>
      <c r="J517" s="1458"/>
      <c r="K517" s="1472">
        <f>50.907</f>
        <v>50.906999999999996</v>
      </c>
    </row>
    <row r="518" spans="1:34">
      <c r="B518" s="1456" t="s">
        <v>2286</v>
      </c>
      <c r="C518" s="1457"/>
      <c r="D518" s="1457"/>
      <c r="E518" s="1458"/>
      <c r="F518" s="1458"/>
      <c r="G518" s="1458"/>
      <c r="H518" s="1458"/>
      <c r="I518" s="1458"/>
      <c r="J518" s="1458">
        <v>101</v>
      </c>
      <c r="K518" s="1472">
        <v>266.935</v>
      </c>
    </row>
    <row r="519" spans="1:34">
      <c r="B519" s="1456"/>
      <c r="C519" s="1457"/>
      <c r="D519" s="1457"/>
      <c r="E519" s="1458"/>
      <c r="F519" s="1458"/>
      <c r="G519" s="1458"/>
      <c r="H519" s="1458"/>
      <c r="I519" s="1458"/>
      <c r="J519" s="1458"/>
      <c r="K519" s="1471">
        <v>25</v>
      </c>
    </row>
    <row r="520" spans="1:34">
      <c r="B520" s="1479" t="s">
        <v>2287</v>
      </c>
      <c r="C520" s="1462"/>
      <c r="D520" s="1462"/>
      <c r="E520" s="1463">
        <v>307</v>
      </c>
      <c r="F520" s="1463">
        <v>179</v>
      </c>
      <c r="G520" s="1463">
        <v>230</v>
      </c>
      <c r="H520" s="1463">
        <v>185</v>
      </c>
      <c r="I520" s="1463">
        <v>106</v>
      </c>
      <c r="J520" s="1463"/>
      <c r="K520" s="1473">
        <v>64</v>
      </c>
    </row>
    <row r="521" spans="1:34">
      <c r="B521" s="1464" t="s">
        <v>2284</v>
      </c>
      <c r="C521" s="1480"/>
      <c r="D521" s="1480"/>
      <c r="E521" s="1466">
        <f>SUM(E517:E520)</f>
        <v>307</v>
      </c>
      <c r="F521" s="1466">
        <f t="shared" ref="F521:K521" si="59">SUM(F517:F520)</f>
        <v>179</v>
      </c>
      <c r="G521" s="1466">
        <f t="shared" si="59"/>
        <v>230</v>
      </c>
      <c r="H521" s="1466">
        <f t="shared" si="59"/>
        <v>199</v>
      </c>
      <c r="I521" s="1466">
        <f t="shared" si="59"/>
        <v>142</v>
      </c>
      <c r="J521" s="1466">
        <f t="shared" si="59"/>
        <v>101</v>
      </c>
      <c r="K521" s="1474">
        <f t="shared" si="59"/>
        <v>406.84199999999998</v>
      </c>
    </row>
    <row r="522" spans="1:34">
      <c r="B522" s="1481" t="s">
        <v>80</v>
      </c>
      <c r="C522" s="1455"/>
      <c r="D522" s="1455"/>
      <c r="E522" s="1468"/>
      <c r="F522" s="1468"/>
      <c r="G522" s="1468"/>
      <c r="H522" s="1468"/>
      <c r="I522" s="1468"/>
      <c r="J522" s="1468"/>
      <c r="K522" s="1475"/>
    </row>
    <row r="523" spans="1:34">
      <c r="B523" s="1460"/>
      <c r="C523" s="1457"/>
      <c r="D523" s="1457"/>
      <c r="E523" s="1458">
        <v>316</v>
      </c>
      <c r="F523" s="1458">
        <v>72</v>
      </c>
      <c r="G523" s="1458">
        <v>288</v>
      </c>
      <c r="H523" s="1458"/>
      <c r="I523" s="1458"/>
      <c r="J523" s="1458"/>
      <c r="K523" s="1471"/>
    </row>
    <row r="524" spans="1:34">
      <c r="B524" s="1460" t="s">
        <v>2288</v>
      </c>
      <c r="C524" s="1457"/>
      <c r="D524" s="1457"/>
      <c r="E524" s="1458"/>
      <c r="F524" s="1458"/>
      <c r="G524" s="1458"/>
      <c r="H524" s="1458">
        <v>41</v>
      </c>
      <c r="I524" s="1458"/>
      <c r="J524" s="1458"/>
      <c r="K524" s="1471"/>
    </row>
    <row r="525" spans="1:34">
      <c r="B525" s="1460" t="s">
        <v>2289</v>
      </c>
      <c r="C525" s="1457"/>
      <c r="D525" s="1457"/>
      <c r="E525" s="1458"/>
      <c r="F525" s="1458"/>
      <c r="G525" s="1458"/>
      <c r="H525" s="1458"/>
      <c r="I525" s="1458"/>
      <c r="J525" s="1458">
        <v>103</v>
      </c>
      <c r="K525" s="1471">
        <v>51</v>
      </c>
    </row>
    <row r="526" spans="1:34">
      <c r="B526" s="1460" t="s">
        <v>2290</v>
      </c>
      <c r="C526" s="1457"/>
      <c r="D526" s="1457"/>
      <c r="E526" s="1458"/>
      <c r="F526" s="1458"/>
      <c r="G526" s="1458"/>
      <c r="H526" s="1458"/>
      <c r="I526" s="1458"/>
      <c r="J526" s="1458">
        <v>41</v>
      </c>
      <c r="K526" s="1471">
        <v>51</v>
      </c>
    </row>
    <row r="527" spans="1:34">
      <c r="B527" s="1460" t="s">
        <v>2291</v>
      </c>
      <c r="C527" s="1457"/>
      <c r="D527" s="1457"/>
      <c r="E527" s="1458"/>
      <c r="F527" s="1458"/>
      <c r="G527" s="1458"/>
      <c r="H527" s="1458"/>
      <c r="I527" s="1458"/>
      <c r="J527" s="1458"/>
      <c r="K527" s="1471">
        <v>98</v>
      </c>
    </row>
    <row r="528" spans="1:34">
      <c r="B528" s="1461" t="s">
        <v>2292</v>
      </c>
      <c r="C528" s="1462"/>
      <c r="D528" s="1462"/>
      <c r="E528" s="1463"/>
      <c r="F528" s="1463"/>
      <c r="G528" s="1463"/>
      <c r="H528" s="1463"/>
      <c r="I528" s="1463"/>
      <c r="J528" s="1463"/>
      <c r="K528" s="1485">
        <v>51.14</v>
      </c>
    </row>
    <row r="529" spans="2:18">
      <c r="B529" s="1464" t="s">
        <v>23</v>
      </c>
      <c r="C529" s="1465"/>
      <c r="D529" s="1465"/>
      <c r="E529" s="1466">
        <f>SUM(E523:E528)</f>
        <v>316</v>
      </c>
      <c r="F529" s="1466">
        <f>SUM(F523:F527)</f>
        <v>72</v>
      </c>
      <c r="G529" s="1466">
        <f>SUM(G523:G527)</f>
        <v>288</v>
      </c>
      <c r="H529" s="1466">
        <f>SUM(H524:H527)</f>
        <v>41</v>
      </c>
      <c r="I529" s="1466"/>
      <c r="J529" s="1466">
        <f>SUM(J524:J527)</f>
        <v>144</v>
      </c>
      <c r="K529" s="1486">
        <f>SUM(K524:K528)</f>
        <v>251.14</v>
      </c>
    </row>
    <row r="530" spans="2:18">
      <c r="B530" s="1482"/>
      <c r="C530" s="1483"/>
      <c r="D530" s="1483"/>
      <c r="E530" s="1484"/>
      <c r="F530" s="1484"/>
      <c r="G530" s="1484"/>
      <c r="H530" s="1484"/>
      <c r="I530" s="1484"/>
      <c r="J530" s="1484"/>
      <c r="K530" s="1487"/>
      <c r="M530" s="290" t="s">
        <v>2293</v>
      </c>
      <c r="N530" s="290" t="s">
        <v>704</v>
      </c>
      <c r="O530" s="290" t="s">
        <v>1060</v>
      </c>
      <c r="P530" s="290" t="s">
        <v>1060</v>
      </c>
      <c r="Q530" s="290" t="s">
        <v>2294</v>
      </c>
      <c r="R530" s="290" t="s">
        <v>2295</v>
      </c>
    </row>
    <row r="531" spans="2:18">
      <c r="B531" s="1464" t="s">
        <v>103</v>
      </c>
      <c r="C531" s="1480"/>
      <c r="D531" s="1480"/>
      <c r="E531" s="1466">
        <f t="shared" ref="E531:K531" si="60">+E529+E521+E515+E503</f>
        <v>11507</v>
      </c>
      <c r="F531" s="1467">
        <f t="shared" si="60"/>
        <v>18912.63</v>
      </c>
      <c r="G531" s="1466">
        <f t="shared" si="60"/>
        <v>15188</v>
      </c>
      <c r="H531" s="1466">
        <f t="shared" si="60"/>
        <v>12363.01</v>
      </c>
      <c r="I531" s="1466">
        <f t="shared" si="60"/>
        <v>14244</v>
      </c>
      <c r="J531" s="1466">
        <f t="shared" si="60"/>
        <v>17222</v>
      </c>
      <c r="K531" s="1486">
        <f t="shared" si="60"/>
        <v>15907.781999999999</v>
      </c>
      <c r="L531" s="289"/>
      <c r="M531" t="s">
        <v>2296</v>
      </c>
      <c r="N531" t="s">
        <v>1051</v>
      </c>
      <c r="O531">
        <v>300</v>
      </c>
      <c r="P531">
        <v>300</v>
      </c>
      <c r="Q531">
        <v>0</v>
      </c>
      <c r="R531">
        <v>343.82</v>
      </c>
    </row>
    <row r="532" spans="2:18">
      <c r="L532" s="289"/>
      <c r="M532" t="s">
        <v>2296</v>
      </c>
      <c r="N532" t="s">
        <v>1051</v>
      </c>
      <c r="O532">
        <v>300</v>
      </c>
      <c r="P532">
        <v>300</v>
      </c>
      <c r="Q532">
        <v>1070</v>
      </c>
      <c r="R532">
        <v>114.83</v>
      </c>
    </row>
    <row r="533" spans="2:18">
      <c r="L533" s="289"/>
      <c r="M533" t="s">
        <v>2296</v>
      </c>
      <c r="N533" t="s">
        <v>1051</v>
      </c>
      <c r="O533">
        <v>300</v>
      </c>
      <c r="P533">
        <v>300</v>
      </c>
      <c r="Q533">
        <v>1230</v>
      </c>
      <c r="R533">
        <v>85.92</v>
      </c>
    </row>
    <row r="534" spans="2:18">
      <c r="L534" s="289"/>
      <c r="M534" t="s">
        <v>2296</v>
      </c>
      <c r="N534" t="s">
        <v>1051</v>
      </c>
      <c r="O534">
        <v>300</v>
      </c>
      <c r="P534">
        <v>300</v>
      </c>
      <c r="Q534">
        <v>2160</v>
      </c>
      <c r="R534">
        <v>112.79</v>
      </c>
    </row>
    <row r="535" spans="2:18">
      <c r="L535" s="289"/>
      <c r="M535" t="s">
        <v>2296</v>
      </c>
      <c r="N535" t="s">
        <v>1051</v>
      </c>
      <c r="O535">
        <v>300</v>
      </c>
      <c r="P535">
        <v>300</v>
      </c>
      <c r="Q535">
        <v>2485</v>
      </c>
      <c r="R535">
        <v>102.45</v>
      </c>
    </row>
    <row r="536" spans="2:18">
      <c r="L536" s="289"/>
      <c r="M536" t="s">
        <v>2296</v>
      </c>
      <c r="N536" t="s">
        <v>1051</v>
      </c>
      <c r="O536">
        <v>300</v>
      </c>
      <c r="P536">
        <v>300</v>
      </c>
      <c r="Q536">
        <v>3255</v>
      </c>
      <c r="R536">
        <v>38.479999999999997</v>
      </c>
    </row>
    <row r="537" spans="2:18">
      <c r="L537" s="289"/>
      <c r="M537" t="s">
        <v>2296</v>
      </c>
      <c r="N537" t="s">
        <v>1051</v>
      </c>
      <c r="O537">
        <v>300</v>
      </c>
      <c r="P537">
        <v>300</v>
      </c>
      <c r="Q537">
        <v>4340</v>
      </c>
      <c r="R537">
        <v>39.24</v>
      </c>
    </row>
    <row r="538" spans="2:18">
      <c r="L538" s="289"/>
      <c r="M538" t="s">
        <v>2296</v>
      </c>
      <c r="N538" t="s">
        <v>1051</v>
      </c>
      <c r="O538">
        <v>340</v>
      </c>
      <c r="P538">
        <v>340</v>
      </c>
      <c r="Q538">
        <v>0</v>
      </c>
      <c r="R538">
        <v>463.13499999999999</v>
      </c>
    </row>
    <row r="539" spans="2:18">
      <c r="L539" s="289"/>
      <c r="M539" t="s">
        <v>2296</v>
      </c>
      <c r="N539" t="s">
        <v>1051</v>
      </c>
      <c r="O539">
        <v>340</v>
      </c>
      <c r="P539">
        <v>340</v>
      </c>
      <c r="Q539">
        <v>990</v>
      </c>
      <c r="R539">
        <v>228.08</v>
      </c>
    </row>
    <row r="540" spans="2:18">
      <c r="L540" s="289"/>
      <c r="M540" t="s">
        <v>2296</v>
      </c>
      <c r="N540" t="s">
        <v>1051</v>
      </c>
      <c r="O540">
        <v>340</v>
      </c>
      <c r="P540">
        <v>340</v>
      </c>
      <c r="Q540">
        <v>995</v>
      </c>
      <c r="R540">
        <v>65.98</v>
      </c>
    </row>
    <row r="541" spans="2:18">
      <c r="L541" s="289"/>
      <c r="M541" t="s">
        <v>2296</v>
      </c>
      <c r="N541" t="s">
        <v>1051</v>
      </c>
      <c r="O541">
        <v>340</v>
      </c>
      <c r="P541">
        <v>340</v>
      </c>
      <c r="Q541">
        <v>1230</v>
      </c>
      <c r="R541">
        <v>784.31</v>
      </c>
    </row>
    <row r="542" spans="2:18">
      <c r="L542" s="289"/>
      <c r="M542" t="s">
        <v>2296</v>
      </c>
      <c r="N542" t="s">
        <v>1051</v>
      </c>
      <c r="O542">
        <v>340</v>
      </c>
      <c r="P542">
        <v>340</v>
      </c>
      <c r="Q542">
        <v>1235</v>
      </c>
      <c r="R542">
        <v>96.79</v>
      </c>
    </row>
    <row r="543" spans="2:18">
      <c r="L543" s="289"/>
      <c r="M543" t="s">
        <v>2296</v>
      </c>
      <c r="N543" t="s">
        <v>1051</v>
      </c>
      <c r="O543">
        <v>340</v>
      </c>
      <c r="P543">
        <v>340</v>
      </c>
      <c r="Q543">
        <v>2005</v>
      </c>
      <c r="R543">
        <v>35.49</v>
      </c>
    </row>
    <row r="544" spans="2:18">
      <c r="L544" s="289"/>
      <c r="M544" t="s">
        <v>2296</v>
      </c>
      <c r="N544" t="s">
        <v>1051</v>
      </c>
      <c r="O544">
        <v>340</v>
      </c>
      <c r="P544">
        <v>340</v>
      </c>
      <c r="Q544">
        <v>2480</v>
      </c>
      <c r="R544">
        <v>205.51</v>
      </c>
    </row>
    <row r="545" spans="11:18">
      <c r="L545" s="289"/>
      <c r="M545" t="s">
        <v>2296</v>
      </c>
      <c r="N545" t="s">
        <v>1051</v>
      </c>
      <c r="O545">
        <v>340</v>
      </c>
      <c r="P545">
        <v>340</v>
      </c>
      <c r="Q545">
        <v>2485</v>
      </c>
      <c r="R545">
        <v>73.180000000000007</v>
      </c>
    </row>
    <row r="546" spans="11:18">
      <c r="L546" s="289"/>
      <c r="M546" t="s">
        <v>2296</v>
      </c>
      <c r="N546" t="s">
        <v>1051</v>
      </c>
      <c r="O546">
        <v>340</v>
      </c>
      <c r="P546">
        <v>340</v>
      </c>
      <c r="Q546">
        <v>3015</v>
      </c>
      <c r="R546">
        <v>20.87</v>
      </c>
    </row>
    <row r="547" spans="11:18">
      <c r="L547" s="289"/>
      <c r="M547" t="s">
        <v>2296</v>
      </c>
      <c r="N547" t="s">
        <v>1051</v>
      </c>
      <c r="O547">
        <v>340</v>
      </c>
      <c r="P547">
        <v>340</v>
      </c>
      <c r="R547">
        <v>21.1</v>
      </c>
    </row>
    <row r="548" spans="11:18">
      <c r="K548" s="289"/>
      <c r="L548" s="289"/>
      <c r="M548" t="s">
        <v>2296</v>
      </c>
      <c r="N548" t="s">
        <v>2297</v>
      </c>
      <c r="O548">
        <v>287</v>
      </c>
      <c r="P548">
        <v>287</v>
      </c>
      <c r="Q548">
        <v>0</v>
      </c>
      <c r="R548">
        <v>1754.5450000000001</v>
      </c>
    </row>
    <row r="549" spans="11:18">
      <c r="K549" s="289"/>
      <c r="L549" s="289"/>
      <c r="M549" t="s">
        <v>2296</v>
      </c>
      <c r="N549" t="s">
        <v>2297</v>
      </c>
      <c r="O549">
        <v>287</v>
      </c>
      <c r="P549">
        <v>287</v>
      </c>
      <c r="Q549">
        <v>1</v>
      </c>
      <c r="R549">
        <v>41.75</v>
      </c>
    </row>
    <row r="550" spans="11:18">
      <c r="K550" s="289"/>
      <c r="L550" s="289"/>
      <c r="M550" t="s">
        <v>2296</v>
      </c>
      <c r="N550" t="s">
        <v>2297</v>
      </c>
      <c r="O550">
        <v>287</v>
      </c>
      <c r="P550">
        <v>287</v>
      </c>
      <c r="Q550">
        <v>2</v>
      </c>
      <c r="R550">
        <v>41.1</v>
      </c>
    </row>
    <row r="551" spans="11:18">
      <c r="K551" s="289"/>
      <c r="L551" s="289"/>
      <c r="M551" t="s">
        <v>2296</v>
      </c>
      <c r="N551" t="s">
        <v>2297</v>
      </c>
      <c r="O551">
        <v>287</v>
      </c>
      <c r="P551">
        <v>287</v>
      </c>
      <c r="Q551">
        <v>810</v>
      </c>
      <c r="R551">
        <v>39.42</v>
      </c>
    </row>
    <row r="552" spans="11:18">
      <c r="K552" s="289"/>
      <c r="L552" s="289"/>
      <c r="M552" t="s">
        <v>2296</v>
      </c>
      <c r="N552" t="s">
        <v>2297</v>
      </c>
      <c r="O552">
        <v>287</v>
      </c>
      <c r="P552">
        <v>287</v>
      </c>
      <c r="Q552">
        <v>815</v>
      </c>
      <c r="R552">
        <v>39.950000000000003</v>
      </c>
    </row>
    <row r="553" spans="11:18">
      <c r="K553" s="289"/>
      <c r="L553" s="289"/>
      <c r="M553" t="s">
        <v>2296</v>
      </c>
      <c r="N553" t="s">
        <v>2297</v>
      </c>
      <c r="O553">
        <v>287</v>
      </c>
      <c r="P553">
        <v>287</v>
      </c>
      <c r="Q553">
        <v>875</v>
      </c>
      <c r="R553">
        <v>40.549999999999997</v>
      </c>
    </row>
    <row r="554" spans="11:18">
      <c r="K554" s="289"/>
      <c r="L554" s="289"/>
      <c r="M554" t="s">
        <v>2296</v>
      </c>
      <c r="N554" t="s">
        <v>2297</v>
      </c>
      <c r="O554">
        <v>287</v>
      </c>
      <c r="P554">
        <v>287</v>
      </c>
      <c r="Q554">
        <v>1640</v>
      </c>
      <c r="R554">
        <v>245.29499999999999</v>
      </c>
    </row>
    <row r="555" spans="11:18">
      <c r="K555" s="289"/>
      <c r="L555" s="289"/>
      <c r="M555" t="s">
        <v>2296</v>
      </c>
      <c r="N555" t="s">
        <v>2297</v>
      </c>
      <c r="O555">
        <v>287</v>
      </c>
      <c r="P555">
        <v>287</v>
      </c>
      <c r="Q555">
        <v>1645</v>
      </c>
      <c r="R555">
        <v>78.64</v>
      </c>
    </row>
    <row r="556" spans="11:18">
      <c r="K556" s="289"/>
      <c r="L556" s="289"/>
      <c r="M556" t="s">
        <v>2296</v>
      </c>
      <c r="N556" t="s">
        <v>2297</v>
      </c>
      <c r="O556">
        <v>287</v>
      </c>
      <c r="P556">
        <v>287</v>
      </c>
      <c r="Q556">
        <v>2475</v>
      </c>
      <c r="R556">
        <v>39.06</v>
      </c>
    </row>
    <row r="557" spans="11:18">
      <c r="K557" s="289"/>
      <c r="L557" s="289"/>
      <c r="M557" t="s">
        <v>2296</v>
      </c>
      <c r="N557" t="s">
        <v>2297</v>
      </c>
      <c r="O557">
        <v>300</v>
      </c>
      <c r="P557">
        <v>300</v>
      </c>
      <c r="Q557">
        <v>0</v>
      </c>
      <c r="R557">
        <v>3383.58</v>
      </c>
    </row>
    <row r="558" spans="11:18">
      <c r="K558" s="289"/>
      <c r="L558" s="289"/>
      <c r="M558" t="s">
        <v>2296</v>
      </c>
      <c r="N558" t="s">
        <v>2297</v>
      </c>
      <c r="O558">
        <v>300</v>
      </c>
      <c r="P558">
        <v>300</v>
      </c>
      <c r="Q558">
        <v>970</v>
      </c>
      <c r="R558">
        <v>115.53</v>
      </c>
    </row>
    <row r="559" spans="11:18">
      <c r="K559" s="289"/>
      <c r="L559" s="289"/>
      <c r="M559" t="s">
        <v>2296</v>
      </c>
      <c r="N559" t="s">
        <v>2297</v>
      </c>
      <c r="O559">
        <v>300</v>
      </c>
      <c r="P559">
        <v>300</v>
      </c>
      <c r="Q559">
        <v>975</v>
      </c>
      <c r="R559">
        <v>1097.9000000000001</v>
      </c>
    </row>
    <row r="560" spans="11:18">
      <c r="K560" s="289"/>
      <c r="L560" s="289"/>
      <c r="M560" t="s">
        <v>2296</v>
      </c>
      <c r="N560" t="s">
        <v>2297</v>
      </c>
      <c r="O560">
        <v>300</v>
      </c>
      <c r="P560">
        <v>300</v>
      </c>
      <c r="Q560">
        <v>980</v>
      </c>
      <c r="R560">
        <v>6190.83</v>
      </c>
    </row>
    <row r="561" spans="11:18">
      <c r="K561" s="289"/>
      <c r="L561" s="289"/>
      <c r="M561" t="s">
        <v>2296</v>
      </c>
      <c r="N561" t="s">
        <v>2297</v>
      </c>
      <c r="O561">
        <v>300</v>
      </c>
      <c r="P561">
        <v>300</v>
      </c>
      <c r="Q561">
        <v>1950</v>
      </c>
      <c r="R561">
        <v>44.49</v>
      </c>
    </row>
    <row r="562" spans="11:18">
      <c r="K562" s="289"/>
      <c r="L562" s="289"/>
      <c r="M562" t="s">
        <v>2296</v>
      </c>
      <c r="N562" t="s">
        <v>2297</v>
      </c>
      <c r="O562">
        <v>300</v>
      </c>
      <c r="P562">
        <v>300</v>
      </c>
      <c r="Q562">
        <v>1970</v>
      </c>
      <c r="R562">
        <v>2331.54</v>
      </c>
    </row>
    <row r="563" spans="11:18">
      <c r="K563" s="289"/>
      <c r="L563" s="289"/>
      <c r="M563" t="s">
        <v>2296</v>
      </c>
      <c r="N563" t="s">
        <v>2297</v>
      </c>
      <c r="O563">
        <v>300</v>
      </c>
      <c r="P563">
        <v>300</v>
      </c>
      <c r="Q563">
        <v>1975</v>
      </c>
      <c r="R563">
        <v>9972.17</v>
      </c>
    </row>
    <row r="564" spans="11:18">
      <c r="K564" s="289"/>
      <c r="L564" s="289"/>
      <c r="M564" t="s">
        <v>2296</v>
      </c>
      <c r="N564" t="s">
        <v>2297</v>
      </c>
      <c r="O564">
        <v>300</v>
      </c>
      <c r="P564">
        <v>300</v>
      </c>
      <c r="Q564">
        <v>2035</v>
      </c>
      <c r="R564">
        <v>83.12</v>
      </c>
    </row>
    <row r="565" spans="11:18">
      <c r="K565" s="289"/>
      <c r="L565" s="289"/>
      <c r="M565" t="s">
        <v>2296</v>
      </c>
      <c r="N565" t="s">
        <v>2297</v>
      </c>
      <c r="O565">
        <v>300</v>
      </c>
      <c r="P565">
        <v>300</v>
      </c>
      <c r="Q565">
        <v>2960</v>
      </c>
      <c r="R565">
        <v>78.260000000000005</v>
      </c>
    </row>
    <row r="566" spans="11:18">
      <c r="K566" s="289"/>
      <c r="L566" s="289"/>
      <c r="M566" t="s">
        <v>2296</v>
      </c>
      <c r="N566" t="s">
        <v>2297</v>
      </c>
      <c r="O566">
        <v>300</v>
      </c>
      <c r="P566">
        <v>300</v>
      </c>
      <c r="Q566">
        <v>2965</v>
      </c>
      <c r="R566">
        <v>196.04</v>
      </c>
    </row>
    <row r="567" spans="11:18">
      <c r="K567" s="289"/>
      <c r="L567" s="289"/>
      <c r="M567" t="s">
        <v>2296</v>
      </c>
      <c r="N567" t="s">
        <v>2297</v>
      </c>
      <c r="O567">
        <v>300</v>
      </c>
      <c r="P567">
        <v>300</v>
      </c>
      <c r="Q567">
        <v>2970</v>
      </c>
      <c r="R567">
        <v>705.01499999999999</v>
      </c>
    </row>
    <row r="568" spans="11:18">
      <c r="K568" s="289"/>
      <c r="L568" s="289"/>
      <c r="M568" t="s">
        <v>2296</v>
      </c>
      <c r="N568" t="s">
        <v>2297</v>
      </c>
      <c r="O568">
        <v>300</v>
      </c>
      <c r="P568">
        <v>300</v>
      </c>
      <c r="Q568">
        <v>2975</v>
      </c>
      <c r="R568">
        <v>43.36</v>
      </c>
    </row>
    <row r="569" spans="11:18">
      <c r="K569" s="289"/>
      <c r="L569" s="289"/>
      <c r="M569" t="s">
        <v>2296</v>
      </c>
      <c r="N569" t="s">
        <v>2297</v>
      </c>
      <c r="O569">
        <v>300</v>
      </c>
      <c r="P569">
        <v>300</v>
      </c>
      <c r="Q569">
        <v>3960</v>
      </c>
      <c r="R569">
        <v>307.86</v>
      </c>
    </row>
    <row r="570" spans="11:18">
      <c r="K570" s="289"/>
      <c r="L570" s="289"/>
      <c r="M570" t="s">
        <v>2296</v>
      </c>
      <c r="N570" t="s">
        <v>2297</v>
      </c>
      <c r="O570">
        <v>300</v>
      </c>
      <c r="P570">
        <v>300</v>
      </c>
      <c r="Q570">
        <v>3965</v>
      </c>
      <c r="R570">
        <v>1135.855</v>
      </c>
    </row>
    <row r="571" spans="11:18">
      <c r="K571" s="289"/>
      <c r="L571" s="289"/>
      <c r="M571" t="s">
        <v>2296</v>
      </c>
      <c r="N571" t="s">
        <v>2297</v>
      </c>
      <c r="O571">
        <v>300</v>
      </c>
      <c r="P571">
        <v>300</v>
      </c>
      <c r="Q571">
        <v>4020</v>
      </c>
      <c r="R571">
        <v>44.57</v>
      </c>
    </row>
    <row r="572" spans="11:18">
      <c r="K572" s="289"/>
      <c r="L572" s="289"/>
      <c r="M572" t="s">
        <v>2296</v>
      </c>
      <c r="N572" t="s">
        <v>2297</v>
      </c>
      <c r="O572">
        <v>300</v>
      </c>
      <c r="P572">
        <v>300</v>
      </c>
      <c r="Q572">
        <v>4025</v>
      </c>
      <c r="R572">
        <v>298.45999999999998</v>
      </c>
    </row>
    <row r="573" spans="11:18">
      <c r="K573" s="289"/>
      <c r="L573" s="289"/>
      <c r="M573" t="s">
        <v>2296</v>
      </c>
      <c r="N573" t="s">
        <v>2297</v>
      </c>
      <c r="O573">
        <v>300</v>
      </c>
      <c r="P573">
        <v>300</v>
      </c>
      <c r="Q573">
        <v>4950</v>
      </c>
      <c r="R573">
        <v>171.01</v>
      </c>
    </row>
    <row r="574" spans="11:18">
      <c r="K574" s="289"/>
      <c r="L574" s="289"/>
      <c r="M574" t="s">
        <v>2296</v>
      </c>
      <c r="N574" t="s">
        <v>2297</v>
      </c>
      <c r="O574">
        <v>300</v>
      </c>
      <c r="P574">
        <v>300</v>
      </c>
      <c r="Q574">
        <v>4955</v>
      </c>
      <c r="R574">
        <v>171.73</v>
      </c>
    </row>
    <row r="575" spans="11:18">
      <c r="K575" s="289"/>
      <c r="L575" s="289"/>
      <c r="M575" t="s">
        <v>2296</v>
      </c>
      <c r="N575" t="s">
        <v>2297</v>
      </c>
      <c r="O575">
        <v>300</v>
      </c>
      <c r="P575">
        <v>300</v>
      </c>
      <c r="Q575">
        <v>4960</v>
      </c>
      <c r="R575">
        <v>302.33</v>
      </c>
    </row>
    <row r="576" spans="11:18">
      <c r="K576" s="289"/>
    </row>
    <row r="577" spans="11:18">
      <c r="K577" s="289"/>
    </row>
    <row r="578" spans="11:18">
      <c r="K578" s="289"/>
    </row>
    <row r="579" spans="11:18">
      <c r="K579" s="289"/>
      <c r="O579" s="289">
        <v>42095</v>
      </c>
      <c r="P579" s="289">
        <v>42460</v>
      </c>
    </row>
    <row r="580" spans="11:18">
      <c r="K580" s="289"/>
      <c r="L580" s="289"/>
      <c r="M580" t="s">
        <v>2296</v>
      </c>
      <c r="N580" t="s">
        <v>1051</v>
      </c>
      <c r="O580">
        <v>300</v>
      </c>
      <c r="P580">
        <v>300</v>
      </c>
      <c r="Q580">
        <v>1070</v>
      </c>
      <c r="R580">
        <v>45.23</v>
      </c>
    </row>
    <row r="581" spans="11:18">
      <c r="K581" s="289"/>
      <c r="L581" s="289"/>
      <c r="M581" t="s">
        <v>2296</v>
      </c>
      <c r="N581" t="s">
        <v>1051</v>
      </c>
      <c r="O581">
        <v>300</v>
      </c>
      <c r="P581">
        <v>300</v>
      </c>
      <c r="Q581">
        <v>1230</v>
      </c>
      <c r="R581">
        <v>143.65</v>
      </c>
    </row>
    <row r="582" spans="11:18">
      <c r="K582" s="289"/>
      <c r="L582" s="289"/>
      <c r="M582" t="s">
        <v>2296</v>
      </c>
      <c r="N582" t="s">
        <v>1051</v>
      </c>
      <c r="O582">
        <v>300</v>
      </c>
      <c r="P582">
        <v>300</v>
      </c>
      <c r="Q582">
        <v>1235</v>
      </c>
      <c r="R582">
        <v>165.16</v>
      </c>
    </row>
    <row r="583" spans="11:18">
      <c r="K583" s="289"/>
      <c r="L583" s="289"/>
      <c r="M583" t="s">
        <v>2296</v>
      </c>
      <c r="N583" t="s">
        <v>1051</v>
      </c>
      <c r="O583">
        <v>300</v>
      </c>
      <c r="P583">
        <v>300</v>
      </c>
      <c r="Q583">
        <v>2160</v>
      </c>
      <c r="R583">
        <v>33.130000000000003</v>
      </c>
    </row>
    <row r="584" spans="11:18">
      <c r="K584" s="289"/>
      <c r="L584" s="289"/>
      <c r="M584" t="s">
        <v>2296</v>
      </c>
      <c r="N584" t="s">
        <v>1051</v>
      </c>
      <c r="O584">
        <v>300</v>
      </c>
      <c r="P584">
        <v>300</v>
      </c>
      <c r="Q584">
        <v>2165</v>
      </c>
      <c r="R584">
        <v>37.78</v>
      </c>
    </row>
    <row r="585" spans="11:18">
      <c r="K585" s="289"/>
      <c r="L585" s="289"/>
      <c r="M585" t="s">
        <v>2296</v>
      </c>
      <c r="N585" t="s">
        <v>1051</v>
      </c>
      <c r="O585">
        <v>300</v>
      </c>
      <c r="P585">
        <v>300</v>
      </c>
      <c r="Q585">
        <v>2425</v>
      </c>
      <c r="R585">
        <v>34.85</v>
      </c>
    </row>
    <row r="586" spans="11:18">
      <c r="K586" s="289"/>
      <c r="L586" s="289"/>
      <c r="M586" t="s">
        <v>2296</v>
      </c>
      <c r="N586" t="s">
        <v>1051</v>
      </c>
      <c r="O586">
        <v>300</v>
      </c>
      <c r="P586">
        <v>300</v>
      </c>
      <c r="Q586">
        <v>2480</v>
      </c>
      <c r="R586">
        <v>112.79</v>
      </c>
    </row>
    <row r="587" spans="11:18">
      <c r="K587" s="289"/>
      <c r="L587" s="289"/>
      <c r="M587" t="s">
        <v>2296</v>
      </c>
      <c r="N587" t="s">
        <v>1051</v>
      </c>
      <c r="O587">
        <v>300</v>
      </c>
      <c r="P587">
        <v>300</v>
      </c>
      <c r="Q587">
        <v>2485</v>
      </c>
      <c r="R587">
        <v>458.38</v>
      </c>
    </row>
    <row r="588" spans="11:18">
      <c r="K588" s="289"/>
      <c r="L588" s="289"/>
      <c r="M588" t="s">
        <v>2296</v>
      </c>
      <c r="N588" t="s">
        <v>1051</v>
      </c>
      <c r="O588">
        <v>300</v>
      </c>
      <c r="P588">
        <v>300</v>
      </c>
      <c r="Q588">
        <v>3255</v>
      </c>
      <c r="R588">
        <v>70.959999999999994</v>
      </c>
    </row>
    <row r="589" spans="11:18">
      <c r="K589" s="289"/>
      <c r="L589" s="289"/>
      <c r="M589" t="s">
        <v>2296</v>
      </c>
      <c r="N589" t="s">
        <v>1051</v>
      </c>
      <c r="O589">
        <v>300</v>
      </c>
      <c r="P589">
        <v>300</v>
      </c>
      <c r="Q589">
        <v>3730</v>
      </c>
      <c r="R589">
        <v>165.43</v>
      </c>
    </row>
    <row r="590" spans="11:18">
      <c r="K590" s="289"/>
      <c r="L590" s="289"/>
      <c r="M590" t="s">
        <v>2296</v>
      </c>
      <c r="N590" t="s">
        <v>1051</v>
      </c>
      <c r="O590">
        <v>300</v>
      </c>
      <c r="P590">
        <v>300</v>
      </c>
      <c r="Q590">
        <v>3735</v>
      </c>
      <c r="R590">
        <v>240.38</v>
      </c>
    </row>
    <row r="591" spans="11:18">
      <c r="K591" s="289"/>
      <c r="L591" s="289"/>
      <c r="M591" t="s">
        <v>2296</v>
      </c>
      <c r="N591" t="s">
        <v>1051</v>
      </c>
      <c r="O591">
        <v>300</v>
      </c>
      <c r="P591">
        <v>300</v>
      </c>
      <c r="Q591">
        <v>4340</v>
      </c>
      <c r="R591">
        <v>145.16999999999999</v>
      </c>
    </row>
    <row r="592" spans="11:18">
      <c r="K592" s="289"/>
      <c r="L592" s="289"/>
      <c r="M592" t="s">
        <v>2296</v>
      </c>
      <c r="N592" t="s">
        <v>1051</v>
      </c>
      <c r="O592">
        <v>300</v>
      </c>
      <c r="P592">
        <v>300</v>
      </c>
      <c r="Q592">
        <v>4345</v>
      </c>
      <c r="R592">
        <v>235.86</v>
      </c>
    </row>
    <row r="593" spans="11:18">
      <c r="L593" s="289"/>
    </row>
    <row r="594" spans="11:18">
      <c r="L594" s="289"/>
      <c r="M594" t="s">
        <v>2296</v>
      </c>
      <c r="N594" t="s">
        <v>1051</v>
      </c>
      <c r="O594">
        <v>340</v>
      </c>
      <c r="P594">
        <v>340</v>
      </c>
      <c r="Q594">
        <v>0</v>
      </c>
      <c r="R594">
        <v>34.67</v>
      </c>
    </row>
    <row r="595" spans="11:18">
      <c r="L595" s="289"/>
      <c r="M595" t="s">
        <v>2296</v>
      </c>
      <c r="N595" t="s">
        <v>1051</v>
      </c>
      <c r="O595">
        <v>340</v>
      </c>
      <c r="P595">
        <v>340</v>
      </c>
      <c r="Q595">
        <v>990</v>
      </c>
      <c r="R595">
        <v>432.70499999999998</v>
      </c>
    </row>
    <row r="596" spans="11:18">
      <c r="L596" s="289"/>
      <c r="M596" t="s">
        <v>2296</v>
      </c>
      <c r="N596" t="s">
        <v>1051</v>
      </c>
      <c r="O596">
        <v>340</v>
      </c>
      <c r="P596">
        <v>340</v>
      </c>
      <c r="Q596">
        <v>995</v>
      </c>
      <c r="R596">
        <v>126.53</v>
      </c>
    </row>
    <row r="597" spans="11:18">
      <c r="K597" s="289"/>
      <c r="L597" s="289"/>
      <c r="M597" t="s">
        <v>2296</v>
      </c>
      <c r="N597" t="s">
        <v>1051</v>
      </c>
      <c r="O597">
        <v>340</v>
      </c>
      <c r="P597">
        <v>340</v>
      </c>
      <c r="Q597">
        <v>1200</v>
      </c>
      <c r="R597">
        <v>443.76</v>
      </c>
    </row>
    <row r="598" spans="11:18">
      <c r="K598" s="289"/>
      <c r="L598" s="289"/>
      <c r="M598" t="s">
        <v>2296</v>
      </c>
      <c r="N598" t="s">
        <v>1051</v>
      </c>
      <c r="O598">
        <v>340</v>
      </c>
      <c r="P598">
        <v>340</v>
      </c>
      <c r="Q598">
        <v>1205</v>
      </c>
      <c r="R598">
        <v>209.66</v>
      </c>
    </row>
    <row r="599" spans="11:18">
      <c r="K599" s="289"/>
      <c r="L599" s="289"/>
      <c r="M599" t="s">
        <v>2296</v>
      </c>
      <c r="N599" t="s">
        <v>1051</v>
      </c>
      <c r="O599">
        <v>340</v>
      </c>
      <c r="P599">
        <v>340</v>
      </c>
      <c r="Q599">
        <v>1230</v>
      </c>
      <c r="R599">
        <v>370.57</v>
      </c>
    </row>
    <row r="600" spans="11:18">
      <c r="K600" s="289"/>
      <c r="L600" s="289"/>
      <c r="M600" t="s">
        <v>2296</v>
      </c>
      <c r="N600" t="s">
        <v>1051</v>
      </c>
      <c r="O600">
        <v>340</v>
      </c>
      <c r="P600">
        <v>340</v>
      </c>
      <c r="Q600">
        <v>1235</v>
      </c>
      <c r="R600">
        <v>71.040000000000006</v>
      </c>
    </row>
    <row r="601" spans="11:18">
      <c r="K601" s="289"/>
      <c r="L601" s="289"/>
      <c r="M601" t="s">
        <v>2296</v>
      </c>
      <c r="N601" t="s">
        <v>1051</v>
      </c>
      <c r="O601">
        <v>340</v>
      </c>
      <c r="P601">
        <v>340</v>
      </c>
      <c r="Q601">
        <v>1265</v>
      </c>
      <c r="R601">
        <v>35.83</v>
      </c>
    </row>
    <row r="602" spans="11:18">
      <c r="K602" s="289"/>
      <c r="L602" s="289"/>
      <c r="M602" t="s">
        <v>2296</v>
      </c>
      <c r="N602" t="s">
        <v>1051</v>
      </c>
      <c r="O602">
        <v>340</v>
      </c>
      <c r="P602">
        <v>340</v>
      </c>
      <c r="Q602">
        <v>2000</v>
      </c>
      <c r="R602">
        <v>92.63</v>
      </c>
    </row>
    <row r="603" spans="11:18">
      <c r="K603" s="289"/>
      <c r="L603" s="289"/>
      <c r="M603" t="s">
        <v>2296</v>
      </c>
      <c r="N603" t="s">
        <v>1051</v>
      </c>
      <c r="O603">
        <v>340</v>
      </c>
      <c r="P603">
        <v>340</v>
      </c>
      <c r="Q603">
        <v>2005</v>
      </c>
      <c r="R603">
        <v>302.41000000000003</v>
      </c>
    </row>
    <row r="604" spans="11:18">
      <c r="K604" s="289"/>
      <c r="L604" s="289"/>
      <c r="M604" t="s">
        <v>2296</v>
      </c>
      <c r="N604" t="s">
        <v>1051</v>
      </c>
      <c r="O604">
        <v>340</v>
      </c>
      <c r="P604">
        <v>340</v>
      </c>
      <c r="Q604">
        <v>2420</v>
      </c>
      <c r="R604">
        <v>32.659999999999997</v>
      </c>
    </row>
    <row r="605" spans="11:18">
      <c r="K605" s="289"/>
      <c r="L605" s="289"/>
      <c r="M605" t="s">
        <v>2296</v>
      </c>
      <c r="N605" t="s">
        <v>1051</v>
      </c>
      <c r="O605">
        <v>340</v>
      </c>
      <c r="P605">
        <v>340</v>
      </c>
      <c r="Q605">
        <v>2425</v>
      </c>
      <c r="R605">
        <v>383.62</v>
      </c>
    </row>
    <row r="606" spans="11:18">
      <c r="K606" s="289"/>
      <c r="L606" s="289"/>
      <c r="M606" t="s">
        <v>2296</v>
      </c>
      <c r="N606" t="s">
        <v>1051</v>
      </c>
      <c r="O606">
        <v>340</v>
      </c>
      <c r="P606">
        <v>340</v>
      </c>
      <c r="Q606">
        <v>2435</v>
      </c>
      <c r="R606">
        <v>34.72</v>
      </c>
    </row>
    <row r="607" spans="11:18">
      <c r="K607" s="289"/>
      <c r="L607" s="289"/>
      <c r="M607" t="s">
        <v>2296</v>
      </c>
      <c r="N607" t="s">
        <v>1051</v>
      </c>
      <c r="O607">
        <v>340</v>
      </c>
      <c r="P607">
        <v>340</v>
      </c>
      <c r="Q607">
        <v>2480</v>
      </c>
      <c r="R607">
        <v>77.89</v>
      </c>
    </row>
    <row r="608" spans="11:18">
      <c r="K608" s="289"/>
      <c r="L608" s="289"/>
      <c r="M608" t="s">
        <v>2296</v>
      </c>
      <c r="N608" t="s">
        <v>1051</v>
      </c>
      <c r="O608">
        <v>340</v>
      </c>
      <c r="P608">
        <v>340</v>
      </c>
      <c r="Q608">
        <v>2485</v>
      </c>
      <c r="R608">
        <v>38.020000000000003</v>
      </c>
    </row>
    <row r="609" spans="11:18">
      <c r="K609" s="289"/>
      <c r="L609" s="289"/>
      <c r="M609" t="s">
        <v>2296</v>
      </c>
      <c r="N609" t="s">
        <v>1051</v>
      </c>
      <c r="O609">
        <v>340</v>
      </c>
      <c r="P609">
        <v>340</v>
      </c>
      <c r="Q609">
        <v>3010</v>
      </c>
      <c r="R609">
        <v>108.08</v>
      </c>
    </row>
    <row r="610" spans="11:18">
      <c r="K610" s="289"/>
      <c r="L610" s="289"/>
      <c r="M610" t="s">
        <v>2296</v>
      </c>
      <c r="N610" t="s">
        <v>1051</v>
      </c>
      <c r="O610">
        <v>340</v>
      </c>
      <c r="P610">
        <v>340</v>
      </c>
      <c r="Q610">
        <v>3015</v>
      </c>
      <c r="R610">
        <v>32.5</v>
      </c>
    </row>
    <row r="611" spans="11:18">
      <c r="K611" s="289"/>
      <c r="L611" s="289"/>
      <c r="M611" t="s">
        <v>2296</v>
      </c>
      <c r="N611" t="s">
        <v>1051</v>
      </c>
      <c r="O611">
        <v>340</v>
      </c>
      <c r="P611">
        <v>340</v>
      </c>
      <c r="Q611">
        <v>3735</v>
      </c>
      <c r="R611">
        <v>33.340000000000003</v>
      </c>
    </row>
    <row r="612" spans="11:18">
      <c r="K612" s="289"/>
      <c r="L612" s="289"/>
    </row>
    <row r="613" spans="11:18">
      <c r="K613" s="289"/>
      <c r="L613" s="289"/>
      <c r="M613" t="s">
        <v>2296</v>
      </c>
      <c r="N613" t="s">
        <v>2297</v>
      </c>
      <c r="O613">
        <v>287</v>
      </c>
      <c r="P613">
        <v>287</v>
      </c>
      <c r="Q613">
        <v>2</v>
      </c>
      <c r="R613">
        <v>79.37</v>
      </c>
    </row>
    <row r="614" spans="11:18">
      <c r="K614" s="289"/>
      <c r="L614" s="289"/>
      <c r="M614" t="s">
        <v>2296</v>
      </c>
      <c r="N614" t="s">
        <v>2297</v>
      </c>
      <c r="O614">
        <v>287</v>
      </c>
      <c r="P614">
        <v>287</v>
      </c>
      <c r="Q614">
        <v>810</v>
      </c>
      <c r="R614">
        <v>173.29</v>
      </c>
    </row>
    <row r="615" spans="11:18">
      <c r="K615" s="289"/>
      <c r="L615" s="289"/>
      <c r="M615" t="s">
        <v>2296</v>
      </c>
      <c r="N615" t="s">
        <v>2297</v>
      </c>
      <c r="O615">
        <v>287</v>
      </c>
      <c r="P615">
        <v>287</v>
      </c>
      <c r="Q615">
        <v>815</v>
      </c>
      <c r="R615">
        <v>771.79</v>
      </c>
    </row>
    <row r="616" spans="11:18">
      <c r="K616" s="289"/>
      <c r="L616" s="289"/>
      <c r="M616" t="s">
        <v>2296</v>
      </c>
      <c r="N616" t="s">
        <v>2297</v>
      </c>
      <c r="O616">
        <v>287</v>
      </c>
      <c r="P616">
        <v>287</v>
      </c>
      <c r="Q616">
        <v>1640</v>
      </c>
      <c r="R616">
        <v>264.74</v>
      </c>
    </row>
    <row r="617" spans="11:18">
      <c r="K617" s="289"/>
      <c r="L617" s="289"/>
      <c r="M617" t="s">
        <v>2296</v>
      </c>
      <c r="N617" t="s">
        <v>2297</v>
      </c>
      <c r="O617">
        <v>287</v>
      </c>
      <c r="P617">
        <v>287</v>
      </c>
      <c r="Q617">
        <v>1645</v>
      </c>
      <c r="R617">
        <v>1121.075</v>
      </c>
    </row>
    <row r="618" spans="11:18">
      <c r="K618" s="289"/>
      <c r="L618" s="289"/>
      <c r="M618" t="s">
        <v>2296</v>
      </c>
      <c r="N618" t="s">
        <v>2297</v>
      </c>
      <c r="O618">
        <v>287</v>
      </c>
      <c r="P618">
        <v>287</v>
      </c>
      <c r="Q618">
        <v>1705</v>
      </c>
      <c r="R618">
        <v>40.53</v>
      </c>
    </row>
    <row r="619" spans="11:18">
      <c r="K619" s="289"/>
      <c r="L619" s="289"/>
      <c r="M619" t="s">
        <v>2296</v>
      </c>
      <c r="N619" t="s">
        <v>2297</v>
      </c>
      <c r="O619">
        <v>287</v>
      </c>
      <c r="P619">
        <v>287</v>
      </c>
      <c r="Q619">
        <v>2020</v>
      </c>
      <c r="R619">
        <v>38.26</v>
      </c>
    </row>
    <row r="620" spans="11:18">
      <c r="K620" s="289"/>
      <c r="L620" s="289"/>
      <c r="M620" t="s">
        <v>2296</v>
      </c>
      <c r="N620" t="s">
        <v>2297</v>
      </c>
      <c r="O620">
        <v>287</v>
      </c>
      <c r="P620">
        <v>287</v>
      </c>
      <c r="Q620">
        <v>2025</v>
      </c>
      <c r="R620">
        <v>122.08</v>
      </c>
    </row>
    <row r="621" spans="11:18">
      <c r="K621" s="289"/>
      <c r="L621" s="289"/>
      <c r="M621" t="s">
        <v>2296</v>
      </c>
      <c r="N621" t="s">
        <v>2297</v>
      </c>
      <c r="O621">
        <v>287</v>
      </c>
      <c r="P621">
        <v>287</v>
      </c>
      <c r="Q621">
        <v>2470</v>
      </c>
      <c r="R621">
        <v>281.82</v>
      </c>
    </row>
    <row r="622" spans="11:18">
      <c r="K622" s="289"/>
      <c r="L622" s="289"/>
      <c r="M622" t="s">
        <v>2296</v>
      </c>
      <c r="N622" t="s">
        <v>2297</v>
      </c>
      <c r="O622">
        <v>287</v>
      </c>
      <c r="P622">
        <v>287</v>
      </c>
      <c r="Q622">
        <v>2475</v>
      </c>
      <c r="R622">
        <v>351.67</v>
      </c>
    </row>
    <row r="623" spans="11:18">
      <c r="K623" s="289"/>
      <c r="L623" s="289"/>
      <c r="M623" t="s">
        <v>2296</v>
      </c>
      <c r="N623" t="s">
        <v>2297</v>
      </c>
      <c r="O623">
        <v>287</v>
      </c>
      <c r="P623">
        <v>287</v>
      </c>
      <c r="Q623">
        <v>3300</v>
      </c>
      <c r="R623">
        <v>36.19</v>
      </c>
    </row>
    <row r="624" spans="11:18">
      <c r="K624" s="289"/>
      <c r="L624" s="289"/>
      <c r="M624" t="s">
        <v>2296</v>
      </c>
      <c r="N624" t="s">
        <v>2297</v>
      </c>
      <c r="O624">
        <v>287</v>
      </c>
      <c r="P624">
        <v>287</v>
      </c>
      <c r="Q624">
        <v>3305</v>
      </c>
      <c r="R624">
        <v>115.13</v>
      </c>
    </row>
    <row r="625" spans="11:18">
      <c r="K625" s="289"/>
      <c r="L625" s="289"/>
      <c r="M625" t="s">
        <v>2296</v>
      </c>
      <c r="N625" t="s">
        <v>2297</v>
      </c>
      <c r="O625">
        <v>287</v>
      </c>
      <c r="P625">
        <v>287</v>
      </c>
      <c r="Q625">
        <v>4060</v>
      </c>
      <c r="R625">
        <v>40.56</v>
      </c>
    </row>
    <row r="626" spans="11:18">
      <c r="K626" s="289"/>
      <c r="L626" s="289"/>
      <c r="M626" t="s">
        <v>2296</v>
      </c>
      <c r="N626" t="s">
        <v>2297</v>
      </c>
      <c r="O626">
        <v>287</v>
      </c>
      <c r="P626">
        <v>287</v>
      </c>
      <c r="Q626">
        <v>4065</v>
      </c>
      <c r="R626">
        <v>116.41</v>
      </c>
    </row>
    <row r="627" spans="11:18">
      <c r="K627" s="289"/>
      <c r="L627" s="289"/>
      <c r="M627" t="s">
        <v>2296</v>
      </c>
      <c r="N627" t="s">
        <v>2297</v>
      </c>
      <c r="O627">
        <v>287</v>
      </c>
      <c r="P627">
        <v>287</v>
      </c>
      <c r="Q627">
        <v>4130</v>
      </c>
      <c r="R627">
        <v>74.97</v>
      </c>
    </row>
    <row r="628" spans="11:18">
      <c r="K628" s="289"/>
      <c r="L628" s="289"/>
      <c r="M628" t="s">
        <v>2296</v>
      </c>
      <c r="N628" t="s">
        <v>2297</v>
      </c>
      <c r="O628">
        <v>287</v>
      </c>
      <c r="P628">
        <v>287</v>
      </c>
      <c r="Q628">
        <v>4135</v>
      </c>
      <c r="R628">
        <v>37.31</v>
      </c>
    </row>
    <row r="629" spans="11:18">
      <c r="K629" s="289"/>
      <c r="L629" s="289"/>
      <c r="M629" t="s">
        <v>2296</v>
      </c>
      <c r="N629" t="s">
        <v>2297</v>
      </c>
      <c r="O629">
        <v>287</v>
      </c>
      <c r="P629">
        <v>287</v>
      </c>
      <c r="Q629">
        <v>4960</v>
      </c>
      <c r="R629">
        <v>160.52000000000001</v>
      </c>
    </row>
    <row r="630" spans="11:18">
      <c r="K630" s="289"/>
      <c r="L630" s="289"/>
    </row>
    <row r="631" spans="11:18">
      <c r="K631" s="289"/>
      <c r="L631" s="289"/>
      <c r="M631" t="s">
        <v>2296</v>
      </c>
      <c r="N631" t="s">
        <v>2297</v>
      </c>
      <c r="O631">
        <v>300</v>
      </c>
      <c r="P631">
        <v>300</v>
      </c>
      <c r="Q631">
        <v>0</v>
      </c>
      <c r="R631">
        <v>86.33</v>
      </c>
    </row>
    <row r="632" spans="11:18">
      <c r="K632" s="289"/>
      <c r="L632" s="289"/>
      <c r="M632" t="s">
        <v>2296</v>
      </c>
      <c r="N632" t="s">
        <v>2297</v>
      </c>
      <c r="O632">
        <v>300</v>
      </c>
      <c r="P632">
        <v>300</v>
      </c>
      <c r="Q632">
        <v>2</v>
      </c>
      <c r="R632">
        <v>43.3</v>
      </c>
    </row>
    <row r="633" spans="11:18">
      <c r="K633" s="289"/>
      <c r="L633" s="289"/>
      <c r="M633" t="s">
        <v>2296</v>
      </c>
      <c r="N633" t="s">
        <v>2297</v>
      </c>
      <c r="O633">
        <v>300</v>
      </c>
      <c r="P633">
        <v>300</v>
      </c>
      <c r="Q633">
        <v>970</v>
      </c>
      <c r="R633">
        <v>292</v>
      </c>
    </row>
    <row r="634" spans="11:18">
      <c r="K634" s="289"/>
      <c r="L634" s="289"/>
      <c r="M634" t="s">
        <v>2296</v>
      </c>
      <c r="N634" t="s">
        <v>2297</v>
      </c>
      <c r="O634">
        <v>300</v>
      </c>
      <c r="P634">
        <v>300</v>
      </c>
      <c r="Q634">
        <v>975</v>
      </c>
      <c r="R634">
        <v>614.63499999999999</v>
      </c>
    </row>
    <row r="635" spans="11:18">
      <c r="K635" s="289"/>
      <c r="L635" s="289"/>
      <c r="M635" t="s">
        <v>2296</v>
      </c>
      <c r="N635" t="s">
        <v>2297</v>
      </c>
      <c r="O635">
        <v>300</v>
      </c>
      <c r="P635">
        <v>300</v>
      </c>
      <c r="Q635">
        <v>980</v>
      </c>
      <c r="R635">
        <v>6572.19</v>
      </c>
    </row>
    <row r="636" spans="11:18">
      <c r="K636" s="289"/>
      <c r="L636" s="289"/>
      <c r="M636" t="s">
        <v>2296</v>
      </c>
      <c r="N636" t="s">
        <v>2297</v>
      </c>
      <c r="O636">
        <v>300</v>
      </c>
      <c r="P636">
        <v>300</v>
      </c>
      <c r="Q636">
        <v>1970</v>
      </c>
      <c r="R636">
        <v>1992.04</v>
      </c>
    </row>
    <row r="637" spans="11:18">
      <c r="K637" s="289"/>
      <c r="L637" s="289"/>
      <c r="M637" t="s">
        <v>2296</v>
      </c>
      <c r="N637" t="s">
        <v>2297</v>
      </c>
      <c r="O637">
        <v>300</v>
      </c>
      <c r="P637">
        <v>300</v>
      </c>
      <c r="Q637">
        <v>1975</v>
      </c>
      <c r="R637">
        <v>6372.27</v>
      </c>
    </row>
    <row r="638" spans="11:18">
      <c r="K638" s="289"/>
      <c r="L638" s="289"/>
      <c r="M638" t="s">
        <v>2296</v>
      </c>
      <c r="N638" t="s">
        <v>2297</v>
      </c>
      <c r="O638">
        <v>300</v>
      </c>
      <c r="P638">
        <v>300</v>
      </c>
      <c r="Q638">
        <v>2965</v>
      </c>
      <c r="R638">
        <v>41.23</v>
      </c>
    </row>
    <row r="639" spans="11:18">
      <c r="K639" s="289"/>
      <c r="L639" s="289"/>
      <c r="M639" t="s">
        <v>2296</v>
      </c>
      <c r="N639" t="s">
        <v>2297</v>
      </c>
      <c r="O639">
        <v>300</v>
      </c>
      <c r="P639">
        <v>300</v>
      </c>
      <c r="Q639">
        <v>2970</v>
      </c>
      <c r="R639">
        <v>776.40499999999997</v>
      </c>
    </row>
    <row r="640" spans="11:18">
      <c r="K640" s="289"/>
      <c r="L640" s="289"/>
      <c r="M640" t="s">
        <v>2296</v>
      </c>
      <c r="N640" t="s">
        <v>2297</v>
      </c>
      <c r="O640">
        <v>300</v>
      </c>
      <c r="P640">
        <v>300</v>
      </c>
      <c r="Q640">
        <v>3030</v>
      </c>
      <c r="R640">
        <v>42.86</v>
      </c>
    </row>
    <row r="641" spans="11:18">
      <c r="K641" s="289"/>
      <c r="L641" s="289"/>
      <c r="M641" t="s">
        <v>2296</v>
      </c>
      <c r="N641" t="s">
        <v>2297</v>
      </c>
      <c r="O641">
        <v>300</v>
      </c>
      <c r="P641">
        <v>300</v>
      </c>
      <c r="Q641">
        <v>3960</v>
      </c>
      <c r="R641">
        <v>561.26499999999999</v>
      </c>
    </row>
    <row r="642" spans="11:18">
      <c r="K642" s="289"/>
      <c r="L642" s="289"/>
      <c r="M642" t="s">
        <v>2296</v>
      </c>
      <c r="N642" t="s">
        <v>2297</v>
      </c>
      <c r="O642">
        <v>300</v>
      </c>
      <c r="P642">
        <v>300</v>
      </c>
      <c r="Q642">
        <v>3965</v>
      </c>
      <c r="R642">
        <v>1748.0250000000001</v>
      </c>
    </row>
    <row r="643" spans="11:18">
      <c r="K643" s="289"/>
      <c r="L643" s="289"/>
      <c r="M643" t="s">
        <v>2296</v>
      </c>
      <c r="N643" t="s">
        <v>2297</v>
      </c>
      <c r="O643">
        <v>300</v>
      </c>
      <c r="P643">
        <v>300</v>
      </c>
      <c r="Q643">
        <v>4020</v>
      </c>
      <c r="R643">
        <v>122.46</v>
      </c>
    </row>
    <row r="644" spans="11:18">
      <c r="K644" s="289"/>
      <c r="L644" s="289"/>
      <c r="M644" t="s">
        <v>2296</v>
      </c>
      <c r="N644" t="s">
        <v>2297</v>
      </c>
      <c r="O644">
        <v>300</v>
      </c>
      <c r="P644">
        <v>300</v>
      </c>
      <c r="Q644">
        <v>4025</v>
      </c>
      <c r="R644">
        <v>207.93</v>
      </c>
    </row>
    <row r="645" spans="11:18">
      <c r="K645" s="289"/>
      <c r="L645" s="289"/>
      <c r="M645" t="s">
        <v>2296</v>
      </c>
      <c r="N645" t="s">
        <v>2297</v>
      </c>
      <c r="O645">
        <v>300</v>
      </c>
      <c r="P645">
        <v>300</v>
      </c>
      <c r="Q645">
        <v>4950</v>
      </c>
      <c r="R645">
        <v>41.57</v>
      </c>
    </row>
    <row r="646" spans="11:18">
      <c r="K646" s="289"/>
      <c r="L646" s="289"/>
      <c r="M646" t="s">
        <v>2296</v>
      </c>
      <c r="N646" t="s">
        <v>2297</v>
      </c>
      <c r="O646">
        <v>300</v>
      </c>
      <c r="P646">
        <v>300</v>
      </c>
      <c r="Q646">
        <v>4955</v>
      </c>
      <c r="R646">
        <v>131.29</v>
      </c>
    </row>
    <row r="647" spans="11:18">
      <c r="K647" s="289"/>
      <c r="L647" s="289"/>
      <c r="M647" t="s">
        <v>2296</v>
      </c>
      <c r="N647" t="s">
        <v>2297</v>
      </c>
      <c r="O647">
        <v>300</v>
      </c>
      <c r="P647">
        <v>300</v>
      </c>
      <c r="Q647">
        <v>4960</v>
      </c>
      <c r="R647">
        <v>222.33500000000001</v>
      </c>
    </row>
    <row r="648" spans="11:18">
      <c r="K648" s="289"/>
    </row>
    <row r="649" spans="11:18">
      <c r="K649" s="289"/>
      <c r="N649" s="289">
        <v>42461</v>
      </c>
      <c r="O649" s="289">
        <v>42825</v>
      </c>
    </row>
    <row r="650" spans="11:18">
      <c r="K650" s="289"/>
      <c r="M650" t="s">
        <v>2296</v>
      </c>
      <c r="N650" t="s">
        <v>1051</v>
      </c>
      <c r="O650">
        <v>300</v>
      </c>
      <c r="P650">
        <v>300</v>
      </c>
      <c r="Q650">
        <v>1070</v>
      </c>
      <c r="R650">
        <v>37.450000000000003</v>
      </c>
    </row>
    <row r="651" spans="11:18">
      <c r="K651" s="289"/>
      <c r="M651" t="s">
        <v>2296</v>
      </c>
      <c r="N651" t="s">
        <v>1051</v>
      </c>
      <c r="O651">
        <v>300</v>
      </c>
      <c r="P651">
        <v>300</v>
      </c>
      <c r="Q651">
        <v>1075</v>
      </c>
      <c r="R651">
        <v>189.14</v>
      </c>
    </row>
    <row r="652" spans="11:18">
      <c r="K652" s="289"/>
      <c r="M652" t="s">
        <v>2296</v>
      </c>
      <c r="N652" t="s">
        <v>1051</v>
      </c>
      <c r="O652">
        <v>300</v>
      </c>
      <c r="P652">
        <v>300</v>
      </c>
      <c r="Q652">
        <v>1200</v>
      </c>
      <c r="R652">
        <v>81.64</v>
      </c>
    </row>
    <row r="653" spans="11:18">
      <c r="K653" s="289"/>
      <c r="M653" t="s">
        <v>2296</v>
      </c>
      <c r="N653" t="s">
        <v>1051</v>
      </c>
      <c r="O653">
        <v>300</v>
      </c>
      <c r="P653">
        <v>300</v>
      </c>
      <c r="Q653">
        <v>1230</v>
      </c>
      <c r="R653">
        <v>323.815</v>
      </c>
    </row>
    <row r="654" spans="11:18">
      <c r="K654" s="289"/>
      <c r="M654" t="s">
        <v>2296</v>
      </c>
      <c r="N654" t="s">
        <v>1051</v>
      </c>
      <c r="O654">
        <v>300</v>
      </c>
      <c r="P654">
        <v>300</v>
      </c>
      <c r="Q654">
        <v>1235</v>
      </c>
      <c r="R654">
        <v>41.47</v>
      </c>
    </row>
    <row r="655" spans="11:18">
      <c r="K655" s="289"/>
      <c r="M655" t="s">
        <v>2296</v>
      </c>
      <c r="N655" t="s">
        <v>1051</v>
      </c>
      <c r="O655">
        <v>300</v>
      </c>
      <c r="P655">
        <v>300</v>
      </c>
      <c r="Q655">
        <v>1520</v>
      </c>
      <c r="R655">
        <v>39.549999999999997</v>
      </c>
    </row>
    <row r="656" spans="11:18">
      <c r="K656" s="289"/>
      <c r="M656" t="s">
        <v>2296</v>
      </c>
      <c r="N656" t="s">
        <v>1051</v>
      </c>
      <c r="O656">
        <v>300</v>
      </c>
      <c r="P656">
        <v>300</v>
      </c>
      <c r="Q656">
        <v>2160</v>
      </c>
      <c r="R656">
        <v>87.27</v>
      </c>
    </row>
    <row r="657" spans="11:18">
      <c r="K657" s="289"/>
      <c r="M657" t="s">
        <v>2296</v>
      </c>
      <c r="N657" t="s">
        <v>1051</v>
      </c>
      <c r="O657">
        <v>300</v>
      </c>
      <c r="P657">
        <v>300</v>
      </c>
      <c r="Q657">
        <v>2165</v>
      </c>
      <c r="R657">
        <v>117.03</v>
      </c>
    </row>
    <row r="658" spans="11:18">
      <c r="K658" s="289"/>
      <c r="M658" t="s">
        <v>2296</v>
      </c>
      <c r="N658" t="s">
        <v>1051</v>
      </c>
      <c r="O658">
        <v>300</v>
      </c>
      <c r="P658">
        <v>300</v>
      </c>
      <c r="Q658">
        <v>2420</v>
      </c>
      <c r="R658">
        <v>42.18</v>
      </c>
    </row>
    <row r="659" spans="11:18">
      <c r="K659" s="289"/>
      <c r="M659" t="s">
        <v>2296</v>
      </c>
      <c r="N659" t="s">
        <v>1051</v>
      </c>
      <c r="O659">
        <v>300</v>
      </c>
      <c r="P659">
        <v>300</v>
      </c>
      <c r="Q659">
        <v>2480</v>
      </c>
      <c r="R659">
        <v>198.52</v>
      </c>
    </row>
    <row r="660" spans="11:18">
      <c r="K660" s="289"/>
      <c r="M660" t="s">
        <v>2296</v>
      </c>
      <c r="N660" t="s">
        <v>1051</v>
      </c>
      <c r="O660">
        <v>300</v>
      </c>
      <c r="P660">
        <v>300</v>
      </c>
      <c r="Q660">
        <v>2540</v>
      </c>
      <c r="R660">
        <v>40.774999999999999</v>
      </c>
    </row>
    <row r="661" spans="11:18">
      <c r="K661" s="289"/>
      <c r="M661" t="s">
        <v>2296</v>
      </c>
      <c r="N661" t="s">
        <v>1051</v>
      </c>
      <c r="O661">
        <v>300</v>
      </c>
      <c r="P661">
        <v>300</v>
      </c>
      <c r="Q661">
        <v>3250</v>
      </c>
      <c r="R661">
        <v>37.28</v>
      </c>
    </row>
    <row r="662" spans="11:18">
      <c r="K662" s="289"/>
      <c r="M662" t="s">
        <v>2296</v>
      </c>
      <c r="N662" t="s">
        <v>1051</v>
      </c>
      <c r="O662">
        <v>300</v>
      </c>
      <c r="P662">
        <v>300</v>
      </c>
      <c r="Q662">
        <v>3255</v>
      </c>
      <c r="R662">
        <v>37.9</v>
      </c>
    </row>
    <row r="663" spans="11:18">
      <c r="K663" s="289"/>
      <c r="M663" t="s">
        <v>2296</v>
      </c>
      <c r="N663" t="s">
        <v>1051</v>
      </c>
      <c r="O663">
        <v>300</v>
      </c>
      <c r="P663">
        <v>300</v>
      </c>
      <c r="Q663">
        <v>3730</v>
      </c>
      <c r="R663">
        <v>83.65</v>
      </c>
    </row>
    <row r="664" spans="11:18">
      <c r="K664" s="289"/>
      <c r="M664" t="s">
        <v>2296</v>
      </c>
      <c r="N664" t="s">
        <v>1051</v>
      </c>
      <c r="O664">
        <v>300</v>
      </c>
      <c r="P664">
        <v>300</v>
      </c>
      <c r="Q664">
        <v>3735</v>
      </c>
      <c r="R664">
        <v>127.49</v>
      </c>
    </row>
    <row r="665" spans="11:18">
      <c r="M665" t="s">
        <v>2296</v>
      </c>
      <c r="N665" t="s">
        <v>1051</v>
      </c>
      <c r="O665">
        <v>300</v>
      </c>
      <c r="P665">
        <v>300</v>
      </c>
      <c r="Q665">
        <v>4340</v>
      </c>
      <c r="R665">
        <v>39.54</v>
      </c>
    </row>
    <row r="666" spans="11:18">
      <c r="M666" t="s">
        <v>2296</v>
      </c>
      <c r="N666" t="s">
        <v>1051</v>
      </c>
      <c r="O666">
        <v>300</v>
      </c>
      <c r="P666">
        <v>300</v>
      </c>
      <c r="Q666">
        <v>4345</v>
      </c>
      <c r="R666">
        <v>79.319999999999993</v>
      </c>
    </row>
    <row r="667" spans="11:18">
      <c r="M667" t="s">
        <v>2296</v>
      </c>
      <c r="N667" t="s">
        <v>1051</v>
      </c>
      <c r="O667">
        <v>300</v>
      </c>
      <c r="P667">
        <v>300</v>
      </c>
      <c r="Q667">
        <v>4980</v>
      </c>
      <c r="R667">
        <v>45.43</v>
      </c>
    </row>
    <row r="668" spans="11:18">
      <c r="M668" t="s">
        <v>2296</v>
      </c>
      <c r="N668" t="s">
        <v>1051</v>
      </c>
      <c r="O668">
        <v>340</v>
      </c>
      <c r="P668">
        <v>340</v>
      </c>
      <c r="Q668">
        <v>990</v>
      </c>
      <c r="R668">
        <v>78.19</v>
      </c>
    </row>
    <row r="669" spans="11:18">
      <c r="M669" t="s">
        <v>2296</v>
      </c>
      <c r="N669" t="s">
        <v>1051</v>
      </c>
      <c r="O669">
        <v>340</v>
      </c>
      <c r="P669">
        <v>340</v>
      </c>
      <c r="Q669">
        <v>995</v>
      </c>
      <c r="R669">
        <v>133.02000000000001</v>
      </c>
    </row>
    <row r="670" spans="11:18">
      <c r="M670" t="s">
        <v>2296</v>
      </c>
      <c r="N670" t="s">
        <v>1051</v>
      </c>
      <c r="O670">
        <v>340</v>
      </c>
      <c r="P670">
        <v>340</v>
      </c>
      <c r="Q670">
        <v>1200</v>
      </c>
      <c r="R670">
        <v>35.979999999999997</v>
      </c>
    </row>
    <row r="671" spans="11:18">
      <c r="M671" t="s">
        <v>2296</v>
      </c>
      <c r="N671" t="s">
        <v>1051</v>
      </c>
      <c r="O671">
        <v>340</v>
      </c>
      <c r="P671">
        <v>340</v>
      </c>
      <c r="Q671">
        <v>1230</v>
      </c>
      <c r="R671">
        <v>402.91</v>
      </c>
    </row>
    <row r="672" spans="11:18">
      <c r="M672" t="s">
        <v>2296</v>
      </c>
      <c r="N672" t="s">
        <v>1051</v>
      </c>
      <c r="O672">
        <v>340</v>
      </c>
      <c r="P672">
        <v>340</v>
      </c>
      <c r="Q672">
        <v>1235</v>
      </c>
      <c r="R672">
        <v>115.32</v>
      </c>
    </row>
    <row r="673" spans="13:18">
      <c r="M673" t="s">
        <v>2296</v>
      </c>
      <c r="N673" t="s">
        <v>1051</v>
      </c>
      <c r="O673">
        <v>340</v>
      </c>
      <c r="P673">
        <v>340</v>
      </c>
      <c r="Q673">
        <v>2000</v>
      </c>
      <c r="R673">
        <v>127.19</v>
      </c>
    </row>
    <row r="674" spans="13:18">
      <c r="M674" t="s">
        <v>2296</v>
      </c>
      <c r="N674" t="s">
        <v>1051</v>
      </c>
      <c r="O674">
        <v>340</v>
      </c>
      <c r="P674">
        <v>340</v>
      </c>
      <c r="Q674">
        <v>2005</v>
      </c>
      <c r="R674">
        <v>74.39</v>
      </c>
    </row>
    <row r="675" spans="13:18">
      <c r="M675" t="s">
        <v>2296</v>
      </c>
      <c r="N675" t="s">
        <v>1051</v>
      </c>
      <c r="O675">
        <v>340</v>
      </c>
      <c r="P675">
        <v>340</v>
      </c>
      <c r="Q675">
        <v>2420</v>
      </c>
      <c r="R675">
        <v>39.01</v>
      </c>
    </row>
    <row r="676" spans="13:18">
      <c r="M676" t="s">
        <v>2296</v>
      </c>
      <c r="N676" t="s">
        <v>1051</v>
      </c>
      <c r="O676">
        <v>340</v>
      </c>
      <c r="P676">
        <v>340</v>
      </c>
      <c r="Q676">
        <v>2425</v>
      </c>
      <c r="R676">
        <v>37.06</v>
      </c>
    </row>
    <row r="677" spans="13:18">
      <c r="M677" t="s">
        <v>2296</v>
      </c>
      <c r="N677" t="s">
        <v>1051</v>
      </c>
      <c r="O677">
        <v>340</v>
      </c>
      <c r="P677">
        <v>340</v>
      </c>
      <c r="Q677">
        <v>2480</v>
      </c>
      <c r="R677">
        <v>228.29</v>
      </c>
    </row>
    <row r="678" spans="13:18">
      <c r="M678" t="s">
        <v>2296</v>
      </c>
      <c r="N678" t="s">
        <v>1051</v>
      </c>
      <c r="O678">
        <v>340</v>
      </c>
      <c r="P678">
        <v>340</v>
      </c>
      <c r="Q678">
        <v>2485</v>
      </c>
      <c r="R678">
        <v>84.82</v>
      </c>
    </row>
    <row r="679" spans="13:18">
      <c r="M679" t="s">
        <v>2296</v>
      </c>
      <c r="N679" t="s">
        <v>1051</v>
      </c>
      <c r="O679">
        <v>340</v>
      </c>
      <c r="P679">
        <v>340</v>
      </c>
      <c r="Q679">
        <v>3010</v>
      </c>
      <c r="R679">
        <v>35.020000000000003</v>
      </c>
    </row>
    <row r="680" spans="13:18">
      <c r="M680" t="s">
        <v>2296</v>
      </c>
      <c r="N680" t="s">
        <v>1051</v>
      </c>
      <c r="O680">
        <v>340</v>
      </c>
      <c r="P680">
        <v>340</v>
      </c>
      <c r="Q680">
        <v>3015</v>
      </c>
      <c r="R680">
        <v>35.06</v>
      </c>
    </row>
    <row r="681" spans="13:18">
      <c r="M681" t="s">
        <v>2296</v>
      </c>
      <c r="N681" t="s">
        <v>1051</v>
      </c>
      <c r="O681">
        <v>340</v>
      </c>
      <c r="P681">
        <v>340</v>
      </c>
      <c r="Q681">
        <v>3730</v>
      </c>
      <c r="R681">
        <v>68.040000000000006</v>
      </c>
    </row>
    <row r="682" spans="13:18">
      <c r="M682" t="s">
        <v>2296</v>
      </c>
      <c r="N682" t="s">
        <v>2297</v>
      </c>
      <c r="O682">
        <v>287</v>
      </c>
      <c r="P682">
        <v>287</v>
      </c>
      <c r="Q682">
        <v>810</v>
      </c>
      <c r="R682">
        <v>135.63999999999999</v>
      </c>
    </row>
    <row r="683" spans="13:18">
      <c r="M683" t="s">
        <v>2296</v>
      </c>
      <c r="N683" t="s">
        <v>2297</v>
      </c>
      <c r="O683">
        <v>287</v>
      </c>
      <c r="P683">
        <v>287</v>
      </c>
      <c r="Q683">
        <v>815</v>
      </c>
      <c r="R683">
        <v>283.66000000000003</v>
      </c>
    </row>
    <row r="684" spans="13:18">
      <c r="M684" t="s">
        <v>2296</v>
      </c>
      <c r="N684" t="s">
        <v>2297</v>
      </c>
      <c r="O684">
        <v>287</v>
      </c>
      <c r="P684">
        <v>287</v>
      </c>
      <c r="Q684">
        <v>1000</v>
      </c>
      <c r="R684">
        <v>38.71</v>
      </c>
    </row>
    <row r="685" spans="13:18">
      <c r="M685" t="s">
        <v>2296</v>
      </c>
      <c r="N685" t="s">
        <v>2297</v>
      </c>
      <c r="O685">
        <v>287</v>
      </c>
      <c r="P685">
        <v>287</v>
      </c>
      <c r="Q685">
        <v>1005</v>
      </c>
      <c r="R685">
        <v>73.790000000000006</v>
      </c>
    </row>
    <row r="686" spans="13:18">
      <c r="M686" t="s">
        <v>2296</v>
      </c>
      <c r="N686" t="s">
        <v>2297</v>
      </c>
      <c r="O686">
        <v>287</v>
      </c>
      <c r="P686">
        <v>287</v>
      </c>
      <c r="Q686">
        <v>1640</v>
      </c>
      <c r="R686">
        <v>121.71</v>
      </c>
    </row>
    <row r="687" spans="13:18">
      <c r="M687" t="s">
        <v>2296</v>
      </c>
      <c r="N687" t="s">
        <v>2297</v>
      </c>
      <c r="O687">
        <v>287</v>
      </c>
      <c r="P687">
        <v>287</v>
      </c>
      <c r="Q687">
        <v>1645</v>
      </c>
      <c r="R687">
        <v>140.08000000000001</v>
      </c>
    </row>
    <row r="688" spans="13:18">
      <c r="M688" t="s">
        <v>2296</v>
      </c>
      <c r="N688" t="s">
        <v>2297</v>
      </c>
      <c r="O688">
        <v>287</v>
      </c>
      <c r="P688">
        <v>287</v>
      </c>
      <c r="Q688">
        <v>2025</v>
      </c>
      <c r="R688">
        <v>233.88</v>
      </c>
    </row>
    <row r="689" spans="13:18">
      <c r="M689" t="s">
        <v>2296</v>
      </c>
      <c r="N689" t="s">
        <v>2297</v>
      </c>
      <c r="O689">
        <v>287</v>
      </c>
      <c r="P689">
        <v>287</v>
      </c>
      <c r="Q689">
        <v>2470</v>
      </c>
      <c r="R689">
        <v>79.31</v>
      </c>
    </row>
    <row r="690" spans="13:18">
      <c r="M690" t="s">
        <v>2296</v>
      </c>
      <c r="N690" t="s">
        <v>2297</v>
      </c>
      <c r="O690">
        <v>287</v>
      </c>
      <c r="P690">
        <v>287</v>
      </c>
      <c r="Q690">
        <v>2475</v>
      </c>
      <c r="R690">
        <v>123.58</v>
      </c>
    </row>
    <row r="691" spans="13:18">
      <c r="M691" t="s">
        <v>2296</v>
      </c>
      <c r="N691" t="s">
        <v>2297</v>
      </c>
      <c r="O691">
        <v>287</v>
      </c>
      <c r="P691">
        <v>287</v>
      </c>
      <c r="Q691">
        <v>3040</v>
      </c>
      <c r="R691">
        <v>34.49</v>
      </c>
    </row>
    <row r="692" spans="13:18">
      <c r="M692" t="s">
        <v>2296</v>
      </c>
      <c r="N692" t="s">
        <v>2297</v>
      </c>
      <c r="O692">
        <v>287</v>
      </c>
      <c r="P692">
        <v>287</v>
      </c>
      <c r="Q692">
        <v>4960</v>
      </c>
      <c r="R692">
        <v>41.03</v>
      </c>
    </row>
    <row r="693" spans="13:18">
      <c r="M693" t="s">
        <v>2296</v>
      </c>
      <c r="N693" t="s">
        <v>2297</v>
      </c>
      <c r="O693">
        <v>300</v>
      </c>
      <c r="P693">
        <v>300</v>
      </c>
      <c r="Q693">
        <v>970</v>
      </c>
      <c r="R693">
        <v>35.04</v>
      </c>
    </row>
    <row r="694" spans="13:18">
      <c r="M694" t="s">
        <v>2296</v>
      </c>
      <c r="N694" t="s">
        <v>2297</v>
      </c>
      <c r="O694">
        <v>300</v>
      </c>
      <c r="P694">
        <v>300</v>
      </c>
      <c r="Q694">
        <v>975</v>
      </c>
      <c r="R694">
        <v>84.25</v>
      </c>
    </row>
    <row r="695" spans="13:18">
      <c r="M695" t="s">
        <v>2296</v>
      </c>
      <c r="N695" t="s">
        <v>2297</v>
      </c>
      <c r="O695">
        <v>300</v>
      </c>
      <c r="P695">
        <v>300</v>
      </c>
      <c r="Q695">
        <v>980</v>
      </c>
      <c r="R695">
        <v>7983.5249999999996</v>
      </c>
    </row>
    <row r="696" spans="13:18">
      <c r="M696" t="s">
        <v>2296</v>
      </c>
      <c r="N696" t="s">
        <v>2297</v>
      </c>
      <c r="O696">
        <v>300</v>
      </c>
      <c r="P696">
        <v>300</v>
      </c>
      <c r="Q696">
        <v>1970</v>
      </c>
      <c r="R696">
        <v>2620.6999999999998</v>
      </c>
    </row>
    <row r="697" spans="13:18">
      <c r="M697" t="s">
        <v>2296</v>
      </c>
      <c r="N697" t="s">
        <v>2297</v>
      </c>
      <c r="O697">
        <v>300</v>
      </c>
      <c r="P697">
        <v>300</v>
      </c>
      <c r="Q697">
        <v>1975</v>
      </c>
      <c r="R697">
        <v>6211.46</v>
      </c>
    </row>
    <row r="698" spans="13:18">
      <c r="M698" t="s">
        <v>2296</v>
      </c>
      <c r="N698" t="s">
        <v>2297</v>
      </c>
      <c r="O698">
        <v>300</v>
      </c>
      <c r="P698">
        <v>300</v>
      </c>
      <c r="Q698">
        <v>2965</v>
      </c>
      <c r="R698">
        <v>41.64</v>
      </c>
    </row>
    <row r="699" spans="13:18">
      <c r="M699" t="s">
        <v>2296</v>
      </c>
      <c r="N699" t="s">
        <v>2297</v>
      </c>
      <c r="O699">
        <v>300</v>
      </c>
      <c r="P699">
        <v>300</v>
      </c>
      <c r="Q699">
        <v>2970</v>
      </c>
      <c r="R699">
        <v>456.51</v>
      </c>
    </row>
    <row r="700" spans="13:18">
      <c r="M700" t="s">
        <v>2296</v>
      </c>
      <c r="N700" t="s">
        <v>2297</v>
      </c>
      <c r="O700">
        <v>300</v>
      </c>
      <c r="P700">
        <v>300</v>
      </c>
      <c r="Q700">
        <v>3960</v>
      </c>
      <c r="R700">
        <v>296.66000000000003</v>
      </c>
    </row>
    <row r="701" spans="13:18">
      <c r="M701" t="s">
        <v>2296</v>
      </c>
      <c r="N701" t="s">
        <v>2297</v>
      </c>
      <c r="O701">
        <v>300</v>
      </c>
      <c r="P701">
        <v>300</v>
      </c>
      <c r="Q701">
        <v>3965</v>
      </c>
      <c r="R701">
        <v>1779.31</v>
      </c>
    </row>
    <row r="702" spans="13:18">
      <c r="M702" t="s">
        <v>2296</v>
      </c>
      <c r="N702" t="s">
        <v>2297</v>
      </c>
      <c r="O702">
        <v>300</v>
      </c>
      <c r="P702">
        <v>300</v>
      </c>
      <c r="Q702">
        <v>4020</v>
      </c>
      <c r="R702">
        <v>43.74</v>
      </c>
    </row>
    <row r="703" spans="13:18">
      <c r="M703" t="s">
        <v>2296</v>
      </c>
      <c r="N703" t="s">
        <v>2297</v>
      </c>
      <c r="O703">
        <v>300</v>
      </c>
      <c r="P703">
        <v>300</v>
      </c>
      <c r="Q703">
        <v>4025</v>
      </c>
      <c r="R703">
        <v>437.33</v>
      </c>
    </row>
    <row r="704" spans="13:18">
      <c r="M704" t="s">
        <v>2296</v>
      </c>
      <c r="N704" t="s">
        <v>2297</v>
      </c>
      <c r="O704">
        <v>300</v>
      </c>
      <c r="P704">
        <v>300</v>
      </c>
      <c r="Q704">
        <v>4950</v>
      </c>
      <c r="R704">
        <v>219.02</v>
      </c>
    </row>
    <row r="705" spans="13:18">
      <c r="M705" t="s">
        <v>2296</v>
      </c>
      <c r="N705" t="s">
        <v>2297</v>
      </c>
      <c r="O705">
        <v>300</v>
      </c>
      <c r="P705">
        <v>300</v>
      </c>
      <c r="Q705">
        <v>4955</v>
      </c>
      <c r="R705">
        <v>165.82</v>
      </c>
    </row>
    <row r="706" spans="13:18">
      <c r="M706" t="s">
        <v>2296</v>
      </c>
      <c r="N706" t="s">
        <v>2297</v>
      </c>
      <c r="O706">
        <v>300</v>
      </c>
      <c r="P706">
        <v>300</v>
      </c>
      <c r="Q706">
        <v>4960</v>
      </c>
      <c r="R706">
        <v>1627.2650000000001</v>
      </c>
    </row>
    <row r="709" spans="13:18">
      <c r="N709" s="289">
        <v>42826</v>
      </c>
      <c r="O709" s="289">
        <v>43190</v>
      </c>
    </row>
    <row r="710" spans="13:18">
      <c r="M710" t="s">
        <v>2296</v>
      </c>
      <c r="N710" t="s">
        <v>1051</v>
      </c>
      <c r="O710">
        <v>300</v>
      </c>
      <c r="P710">
        <v>300</v>
      </c>
      <c r="Q710">
        <v>1070</v>
      </c>
      <c r="R710">
        <v>595.38</v>
      </c>
    </row>
    <row r="711" spans="13:18">
      <c r="M711" t="s">
        <v>2296</v>
      </c>
      <c r="N711" t="s">
        <v>1051</v>
      </c>
      <c r="O711">
        <v>300</v>
      </c>
      <c r="P711">
        <v>300</v>
      </c>
      <c r="Q711">
        <v>1075</v>
      </c>
      <c r="R711">
        <v>147.33000000000001</v>
      </c>
    </row>
    <row r="712" spans="13:18">
      <c r="M712" t="s">
        <v>2296</v>
      </c>
      <c r="N712" t="s">
        <v>1051</v>
      </c>
      <c r="O712">
        <v>300</v>
      </c>
      <c r="P712">
        <v>300</v>
      </c>
      <c r="Q712">
        <v>1230</v>
      </c>
      <c r="R712">
        <v>429.02</v>
      </c>
    </row>
    <row r="713" spans="13:18">
      <c r="M713" t="s">
        <v>2296</v>
      </c>
      <c r="N713" t="s">
        <v>1051</v>
      </c>
      <c r="O713">
        <v>300</v>
      </c>
      <c r="P713">
        <v>300</v>
      </c>
      <c r="Q713">
        <v>2160</v>
      </c>
      <c r="R713">
        <v>25.62</v>
      </c>
    </row>
    <row r="714" spans="13:18">
      <c r="M714" t="s">
        <v>2296</v>
      </c>
      <c r="N714" t="s">
        <v>1051</v>
      </c>
      <c r="O714">
        <v>300</v>
      </c>
      <c r="P714">
        <v>300</v>
      </c>
      <c r="Q714">
        <v>2165</v>
      </c>
      <c r="R714">
        <v>36.380000000000003</v>
      </c>
    </row>
    <row r="715" spans="13:18">
      <c r="M715" t="s">
        <v>2296</v>
      </c>
      <c r="N715" t="s">
        <v>1051</v>
      </c>
      <c r="O715">
        <v>300</v>
      </c>
      <c r="P715">
        <v>300</v>
      </c>
      <c r="Q715">
        <v>2485</v>
      </c>
      <c r="R715">
        <v>41.1</v>
      </c>
    </row>
    <row r="716" spans="13:18">
      <c r="M716" t="s">
        <v>2296</v>
      </c>
      <c r="N716" t="s">
        <v>1051</v>
      </c>
      <c r="O716">
        <v>300</v>
      </c>
      <c r="P716">
        <v>300</v>
      </c>
      <c r="Q716">
        <v>4340</v>
      </c>
      <c r="R716">
        <v>39.31</v>
      </c>
    </row>
    <row r="717" spans="13:18">
      <c r="M717" t="s">
        <v>2296</v>
      </c>
      <c r="N717" t="s">
        <v>1051</v>
      </c>
      <c r="O717">
        <v>340</v>
      </c>
      <c r="P717">
        <v>340</v>
      </c>
      <c r="Q717">
        <v>990</v>
      </c>
      <c r="R717">
        <v>194.5</v>
      </c>
    </row>
    <row r="718" spans="13:18">
      <c r="M718" t="s">
        <v>2296</v>
      </c>
      <c r="N718" t="s">
        <v>1051</v>
      </c>
      <c r="O718">
        <v>340</v>
      </c>
      <c r="P718">
        <v>340</v>
      </c>
      <c r="Q718">
        <v>995</v>
      </c>
      <c r="R718">
        <v>30.55</v>
      </c>
    </row>
    <row r="719" spans="13:18">
      <c r="M719" t="s">
        <v>2296</v>
      </c>
      <c r="N719" t="s">
        <v>1051</v>
      </c>
      <c r="O719">
        <v>340</v>
      </c>
      <c r="P719">
        <v>340</v>
      </c>
      <c r="Q719">
        <v>1000</v>
      </c>
      <c r="R719">
        <v>146.6</v>
      </c>
    </row>
    <row r="720" spans="13:18">
      <c r="M720" t="s">
        <v>2296</v>
      </c>
      <c r="N720" t="s">
        <v>1051</v>
      </c>
      <c r="O720">
        <v>340</v>
      </c>
      <c r="P720">
        <v>340</v>
      </c>
      <c r="Q720">
        <v>1200</v>
      </c>
      <c r="R720">
        <v>196.79</v>
      </c>
    </row>
    <row r="721" spans="13:18">
      <c r="M721" t="s">
        <v>2296</v>
      </c>
      <c r="N721" t="s">
        <v>1051</v>
      </c>
      <c r="O721">
        <v>340</v>
      </c>
      <c r="P721">
        <v>340</v>
      </c>
      <c r="Q721">
        <v>2000</v>
      </c>
      <c r="R721">
        <v>45.81</v>
      </c>
    </row>
    <row r="722" spans="13:18">
      <c r="M722" t="s">
        <v>2296</v>
      </c>
      <c r="N722" t="s">
        <v>1051</v>
      </c>
      <c r="O722">
        <v>340</v>
      </c>
      <c r="P722">
        <v>340</v>
      </c>
      <c r="Q722">
        <v>2420</v>
      </c>
      <c r="R722">
        <v>31.55</v>
      </c>
    </row>
    <row r="723" spans="13:18">
      <c r="M723" t="s">
        <v>2296</v>
      </c>
      <c r="N723" t="s">
        <v>1051</v>
      </c>
      <c r="O723">
        <v>340</v>
      </c>
      <c r="P723">
        <v>340</v>
      </c>
      <c r="Q723">
        <v>2425</v>
      </c>
      <c r="R723">
        <v>39.08</v>
      </c>
    </row>
    <row r="724" spans="13:18">
      <c r="M724" t="s">
        <v>2296</v>
      </c>
      <c r="N724" t="s">
        <v>1051</v>
      </c>
      <c r="O724">
        <v>340</v>
      </c>
      <c r="P724">
        <v>340</v>
      </c>
      <c r="Q724">
        <v>3010</v>
      </c>
      <c r="R724">
        <v>32.42</v>
      </c>
    </row>
    <row r="725" spans="13:18">
      <c r="M725" t="s">
        <v>2296</v>
      </c>
      <c r="N725" t="s">
        <v>1051</v>
      </c>
      <c r="O725">
        <v>340</v>
      </c>
      <c r="P725">
        <v>340</v>
      </c>
      <c r="Q725">
        <v>3045</v>
      </c>
      <c r="R725">
        <v>106.95</v>
      </c>
    </row>
    <row r="726" spans="13:18">
      <c r="M726" t="s">
        <v>2296</v>
      </c>
      <c r="N726" t="s">
        <v>1051</v>
      </c>
      <c r="O726">
        <v>340</v>
      </c>
      <c r="P726">
        <v>340</v>
      </c>
      <c r="Q726">
        <v>3640</v>
      </c>
      <c r="R726">
        <v>41.4</v>
      </c>
    </row>
    <row r="727" spans="13:18">
      <c r="M727" t="s">
        <v>2296</v>
      </c>
      <c r="N727" t="s">
        <v>2297</v>
      </c>
      <c r="O727">
        <v>287</v>
      </c>
      <c r="P727">
        <v>287</v>
      </c>
      <c r="Q727">
        <v>810</v>
      </c>
      <c r="R727">
        <v>1593.99</v>
      </c>
    </row>
    <row r="728" spans="13:18">
      <c r="M728" t="s">
        <v>2296</v>
      </c>
      <c r="N728" t="s">
        <v>2297</v>
      </c>
      <c r="O728">
        <v>287</v>
      </c>
      <c r="P728">
        <v>287</v>
      </c>
      <c r="Q728">
        <v>815</v>
      </c>
      <c r="R728">
        <v>120.505</v>
      </c>
    </row>
    <row r="729" spans="13:18">
      <c r="M729" t="s">
        <v>2296</v>
      </c>
      <c r="N729" t="s">
        <v>2297</v>
      </c>
      <c r="O729">
        <v>287</v>
      </c>
      <c r="P729">
        <v>287</v>
      </c>
      <c r="Q729">
        <v>1000</v>
      </c>
      <c r="R729">
        <v>272.70999999999998</v>
      </c>
    </row>
    <row r="730" spans="13:18">
      <c r="M730" t="s">
        <v>2296</v>
      </c>
      <c r="N730" t="s">
        <v>2297</v>
      </c>
      <c r="O730">
        <v>287</v>
      </c>
      <c r="P730">
        <v>287</v>
      </c>
      <c r="Q730">
        <v>1005</v>
      </c>
      <c r="R730">
        <v>279.91000000000003</v>
      </c>
    </row>
    <row r="731" spans="13:18">
      <c r="M731" t="s">
        <v>2296</v>
      </c>
      <c r="N731" t="s">
        <v>2297</v>
      </c>
      <c r="O731">
        <v>287</v>
      </c>
      <c r="P731">
        <v>287</v>
      </c>
      <c r="Q731">
        <v>1640</v>
      </c>
      <c r="R731">
        <v>164.04</v>
      </c>
    </row>
    <row r="732" spans="13:18">
      <c r="M732" t="s">
        <v>2296</v>
      </c>
      <c r="N732" t="s">
        <v>2297</v>
      </c>
      <c r="O732">
        <v>287</v>
      </c>
      <c r="P732">
        <v>287</v>
      </c>
      <c r="Q732">
        <v>1645</v>
      </c>
      <c r="R732">
        <v>280.21499999999997</v>
      </c>
    </row>
    <row r="733" spans="13:18">
      <c r="M733" t="s">
        <v>2296</v>
      </c>
      <c r="N733" t="s">
        <v>2297</v>
      </c>
      <c r="O733">
        <v>287</v>
      </c>
      <c r="P733">
        <v>287</v>
      </c>
      <c r="Q733">
        <v>2020</v>
      </c>
      <c r="R733">
        <v>80.765000000000001</v>
      </c>
    </row>
    <row r="734" spans="13:18">
      <c r="M734" t="s">
        <v>2296</v>
      </c>
      <c r="N734" t="s">
        <v>2297</v>
      </c>
      <c r="O734">
        <v>287</v>
      </c>
      <c r="P734">
        <v>287</v>
      </c>
      <c r="Q734">
        <v>2025</v>
      </c>
      <c r="R734">
        <v>42.11</v>
      </c>
    </row>
    <row r="735" spans="13:18">
      <c r="M735" t="s">
        <v>2296</v>
      </c>
      <c r="N735" t="s">
        <v>2297</v>
      </c>
      <c r="O735">
        <v>287</v>
      </c>
      <c r="P735">
        <v>287</v>
      </c>
      <c r="Q735">
        <v>2470</v>
      </c>
      <c r="R735">
        <v>48.09</v>
      </c>
    </row>
    <row r="736" spans="13:18">
      <c r="M736" t="s">
        <v>2296</v>
      </c>
      <c r="N736" t="s">
        <v>2297</v>
      </c>
      <c r="O736">
        <v>287</v>
      </c>
      <c r="P736">
        <v>287</v>
      </c>
      <c r="Q736">
        <v>2475</v>
      </c>
      <c r="R736">
        <v>41.2</v>
      </c>
    </row>
    <row r="737" spans="13:18">
      <c r="M737" t="s">
        <v>2296</v>
      </c>
      <c r="N737" t="s">
        <v>2297</v>
      </c>
      <c r="O737">
        <v>287</v>
      </c>
      <c r="P737">
        <v>287</v>
      </c>
      <c r="Q737">
        <v>3360</v>
      </c>
      <c r="R737">
        <v>42.51</v>
      </c>
    </row>
    <row r="738" spans="13:18">
      <c r="M738" t="s">
        <v>2296</v>
      </c>
      <c r="N738" t="s">
        <v>2297</v>
      </c>
      <c r="O738">
        <v>287</v>
      </c>
      <c r="P738">
        <v>287</v>
      </c>
      <c r="Q738">
        <v>4130</v>
      </c>
      <c r="R738">
        <v>40.82</v>
      </c>
    </row>
    <row r="739" spans="13:18">
      <c r="M739" t="s">
        <v>2296</v>
      </c>
      <c r="N739" t="s">
        <v>2297</v>
      </c>
      <c r="O739">
        <v>287</v>
      </c>
      <c r="P739">
        <v>287</v>
      </c>
      <c r="Q739">
        <v>4135</v>
      </c>
      <c r="R739">
        <v>40.299999999999997</v>
      </c>
    </row>
    <row r="740" spans="13:18">
      <c r="M740" t="s">
        <v>2296</v>
      </c>
      <c r="N740" t="s">
        <v>2297</v>
      </c>
      <c r="O740">
        <v>287</v>
      </c>
      <c r="P740">
        <v>287</v>
      </c>
      <c r="Q740">
        <v>4960</v>
      </c>
      <c r="R740">
        <v>319.21001000000001</v>
      </c>
    </row>
    <row r="741" spans="13:18">
      <c r="M741" t="s">
        <v>2296</v>
      </c>
      <c r="N741" t="s">
        <v>2297</v>
      </c>
      <c r="O741">
        <v>287</v>
      </c>
      <c r="P741">
        <v>287</v>
      </c>
      <c r="Q741">
        <v>5085</v>
      </c>
      <c r="R741">
        <v>38.69</v>
      </c>
    </row>
    <row r="742" spans="13:18">
      <c r="M742" t="s">
        <v>2296</v>
      </c>
      <c r="N742" t="s">
        <v>2297</v>
      </c>
      <c r="O742">
        <v>300</v>
      </c>
      <c r="P742">
        <v>300</v>
      </c>
      <c r="Q742">
        <v>935</v>
      </c>
      <c r="R742">
        <v>42.5</v>
      </c>
    </row>
    <row r="743" spans="13:18">
      <c r="M743" t="s">
        <v>2296</v>
      </c>
      <c r="N743" t="s">
        <v>2297</v>
      </c>
      <c r="O743">
        <v>300</v>
      </c>
      <c r="P743">
        <v>300</v>
      </c>
      <c r="Q743">
        <v>970</v>
      </c>
      <c r="R743">
        <v>86.38</v>
      </c>
    </row>
    <row r="744" spans="13:18">
      <c r="M744" t="s">
        <v>2296</v>
      </c>
      <c r="N744" t="s">
        <v>2297</v>
      </c>
      <c r="O744">
        <v>300</v>
      </c>
      <c r="P744">
        <v>300</v>
      </c>
      <c r="Q744">
        <v>975</v>
      </c>
      <c r="R744">
        <v>847.66</v>
      </c>
    </row>
    <row r="745" spans="13:18">
      <c r="M745" t="s">
        <v>2296</v>
      </c>
      <c r="N745" t="s">
        <v>2297</v>
      </c>
      <c r="O745">
        <v>300</v>
      </c>
      <c r="P745">
        <v>300</v>
      </c>
      <c r="Q745">
        <v>980</v>
      </c>
      <c r="R745">
        <v>9383.5300000000007</v>
      </c>
    </row>
    <row r="746" spans="13:18">
      <c r="M746" t="s">
        <v>2296</v>
      </c>
      <c r="N746" t="s">
        <v>2297</v>
      </c>
      <c r="O746">
        <v>300</v>
      </c>
      <c r="P746">
        <v>300</v>
      </c>
      <c r="Q746">
        <v>1015</v>
      </c>
      <c r="R746">
        <v>50.17</v>
      </c>
    </row>
    <row r="747" spans="13:18">
      <c r="M747" t="s">
        <v>2296</v>
      </c>
      <c r="N747" t="s">
        <v>2297</v>
      </c>
      <c r="O747">
        <v>300</v>
      </c>
      <c r="P747">
        <v>300</v>
      </c>
      <c r="Q747">
        <v>1020</v>
      </c>
      <c r="R747">
        <v>1811.55501</v>
      </c>
    </row>
    <row r="748" spans="13:18">
      <c r="M748" t="s">
        <v>2296</v>
      </c>
      <c r="N748" t="s">
        <v>2297</v>
      </c>
      <c r="O748">
        <v>300</v>
      </c>
      <c r="P748">
        <v>300</v>
      </c>
      <c r="Q748">
        <v>1025</v>
      </c>
      <c r="R748">
        <v>1251.79</v>
      </c>
    </row>
    <row r="749" spans="13:18">
      <c r="M749" t="s">
        <v>2296</v>
      </c>
      <c r="N749" t="s">
        <v>2297</v>
      </c>
      <c r="O749">
        <v>300</v>
      </c>
      <c r="P749">
        <v>300</v>
      </c>
      <c r="Q749">
        <v>2970</v>
      </c>
      <c r="R749">
        <v>171.27500000000001</v>
      </c>
    </row>
    <row r="750" spans="13:18">
      <c r="M750" t="s">
        <v>2296</v>
      </c>
      <c r="N750" t="s">
        <v>2297</v>
      </c>
      <c r="O750">
        <v>300</v>
      </c>
      <c r="P750">
        <v>300</v>
      </c>
      <c r="Q750">
        <v>4950</v>
      </c>
      <c r="R750">
        <v>41.7</v>
      </c>
    </row>
    <row r="751" spans="13:18">
      <c r="M751" t="s">
        <v>2296</v>
      </c>
      <c r="N751" t="s">
        <v>2297</v>
      </c>
      <c r="O751">
        <v>300</v>
      </c>
      <c r="P751">
        <v>300</v>
      </c>
      <c r="Q751">
        <v>4960</v>
      </c>
      <c r="R751">
        <v>2751.2950099999998</v>
      </c>
    </row>
    <row r="752" spans="13:18">
      <c r="M752" t="s">
        <v>2296</v>
      </c>
      <c r="N752" t="s">
        <v>2297</v>
      </c>
      <c r="O752">
        <v>300</v>
      </c>
      <c r="P752">
        <v>300</v>
      </c>
      <c r="Q752">
        <v>5180</v>
      </c>
      <c r="R752">
        <v>47.31</v>
      </c>
    </row>
    <row r="753" spans="13:18">
      <c r="M753" t="s">
        <v>2296</v>
      </c>
      <c r="N753" t="s">
        <v>2297</v>
      </c>
      <c r="O753">
        <v>300</v>
      </c>
      <c r="P753">
        <v>300</v>
      </c>
      <c r="Q753">
        <v>5185</v>
      </c>
      <c r="R753">
        <v>83.82</v>
      </c>
    </row>
    <row r="755" spans="13:18">
      <c r="N755" s="289">
        <v>43191</v>
      </c>
      <c r="O755" s="289">
        <v>43555</v>
      </c>
    </row>
    <row r="756" spans="13:18">
      <c r="M756" t="s">
        <v>2296</v>
      </c>
      <c r="N756" t="s">
        <v>1051</v>
      </c>
      <c r="O756">
        <v>300</v>
      </c>
      <c r="P756">
        <v>300</v>
      </c>
      <c r="Q756">
        <v>1070</v>
      </c>
      <c r="R756">
        <v>115.27</v>
      </c>
    </row>
    <row r="757" spans="13:18">
      <c r="M757" t="s">
        <v>2296</v>
      </c>
      <c r="N757" t="s">
        <v>1051</v>
      </c>
      <c r="O757">
        <v>300</v>
      </c>
      <c r="P757">
        <v>300</v>
      </c>
      <c r="Q757">
        <v>1075</v>
      </c>
      <c r="R757">
        <v>1267.82</v>
      </c>
    </row>
    <row r="758" spans="13:18">
      <c r="M758" t="s">
        <v>2296</v>
      </c>
      <c r="N758" t="s">
        <v>1051</v>
      </c>
      <c r="O758">
        <v>300</v>
      </c>
      <c r="P758">
        <v>300</v>
      </c>
      <c r="Q758">
        <v>1230</v>
      </c>
      <c r="R758">
        <v>84.51</v>
      </c>
    </row>
    <row r="759" spans="13:18">
      <c r="M759" t="s">
        <v>2296</v>
      </c>
      <c r="N759" t="s">
        <v>1051</v>
      </c>
      <c r="O759">
        <v>300</v>
      </c>
      <c r="P759">
        <v>300</v>
      </c>
      <c r="Q759">
        <v>1235</v>
      </c>
      <c r="R759">
        <v>383.29</v>
      </c>
    </row>
    <row r="760" spans="13:18">
      <c r="M760" t="s">
        <v>2296</v>
      </c>
      <c r="N760" t="s">
        <v>1051</v>
      </c>
      <c r="O760">
        <v>340</v>
      </c>
      <c r="P760">
        <v>340</v>
      </c>
      <c r="Q760">
        <v>1000</v>
      </c>
      <c r="R760">
        <v>803.87</v>
      </c>
    </row>
    <row r="761" spans="13:18">
      <c r="M761" t="s">
        <v>2296</v>
      </c>
      <c r="N761" t="s">
        <v>1051</v>
      </c>
      <c r="O761">
        <v>340</v>
      </c>
      <c r="P761">
        <v>340</v>
      </c>
      <c r="Q761">
        <v>1005</v>
      </c>
      <c r="R761">
        <v>2537.94</v>
      </c>
    </row>
    <row r="762" spans="13:18">
      <c r="M762" t="s">
        <v>2296</v>
      </c>
      <c r="N762" t="s">
        <v>1051</v>
      </c>
      <c r="O762">
        <v>340</v>
      </c>
      <c r="P762">
        <v>340</v>
      </c>
      <c r="Q762">
        <v>1200</v>
      </c>
      <c r="R762">
        <v>33.64</v>
      </c>
    </row>
    <row r="763" spans="13:18">
      <c r="M763" t="s">
        <v>2296</v>
      </c>
      <c r="N763" t="s">
        <v>1051</v>
      </c>
      <c r="O763">
        <v>340</v>
      </c>
      <c r="P763">
        <v>340</v>
      </c>
      <c r="Q763">
        <v>1205</v>
      </c>
      <c r="R763">
        <v>68.22</v>
      </c>
    </row>
    <row r="764" spans="13:18">
      <c r="M764" t="s">
        <v>2296</v>
      </c>
      <c r="N764" t="s">
        <v>1051</v>
      </c>
      <c r="O764">
        <v>340</v>
      </c>
      <c r="P764">
        <v>340</v>
      </c>
      <c r="Q764">
        <v>1230</v>
      </c>
      <c r="R764">
        <v>37.6</v>
      </c>
    </row>
    <row r="765" spans="13:18">
      <c r="M765" t="s">
        <v>2296</v>
      </c>
      <c r="N765" t="s">
        <v>1051</v>
      </c>
      <c r="O765">
        <v>340</v>
      </c>
      <c r="P765">
        <v>340</v>
      </c>
      <c r="Q765">
        <v>2480</v>
      </c>
      <c r="R765">
        <v>111.51</v>
      </c>
    </row>
    <row r="766" spans="13:18">
      <c r="M766" t="s">
        <v>2296</v>
      </c>
      <c r="N766" t="s">
        <v>1051</v>
      </c>
      <c r="O766">
        <v>340</v>
      </c>
      <c r="P766">
        <v>340</v>
      </c>
      <c r="Q766">
        <v>3045</v>
      </c>
      <c r="R766">
        <v>148.16999999999999</v>
      </c>
    </row>
    <row r="767" spans="13:18">
      <c r="M767" t="s">
        <v>2296</v>
      </c>
      <c r="N767" t="s">
        <v>2297</v>
      </c>
      <c r="O767">
        <v>287</v>
      </c>
      <c r="P767">
        <v>287</v>
      </c>
      <c r="Q767">
        <v>1000</v>
      </c>
      <c r="R767">
        <v>208.94499999999999</v>
      </c>
    </row>
    <row r="768" spans="13:18">
      <c r="M768" t="s">
        <v>2296</v>
      </c>
      <c r="N768" t="s">
        <v>2297</v>
      </c>
      <c r="O768">
        <v>287</v>
      </c>
      <c r="P768">
        <v>287</v>
      </c>
      <c r="Q768">
        <v>1005</v>
      </c>
      <c r="R768">
        <v>1220.0150000000001</v>
      </c>
    </row>
    <row r="769" spans="13:18">
      <c r="M769" t="s">
        <v>2296</v>
      </c>
      <c r="N769" t="s">
        <v>2297</v>
      </c>
      <c r="O769">
        <v>287</v>
      </c>
      <c r="P769">
        <v>287</v>
      </c>
      <c r="Q769">
        <v>3105</v>
      </c>
      <c r="R769">
        <v>41.7</v>
      </c>
    </row>
    <row r="770" spans="13:18">
      <c r="M770" t="s">
        <v>2296</v>
      </c>
      <c r="N770" t="s">
        <v>2297</v>
      </c>
      <c r="O770">
        <v>287</v>
      </c>
      <c r="P770">
        <v>287</v>
      </c>
      <c r="Q770">
        <v>5085</v>
      </c>
      <c r="R770">
        <v>165.65</v>
      </c>
    </row>
    <row r="771" spans="13:18">
      <c r="M771" t="s">
        <v>2296</v>
      </c>
      <c r="N771" t="s">
        <v>2297</v>
      </c>
      <c r="O771">
        <v>300</v>
      </c>
      <c r="P771">
        <v>300</v>
      </c>
      <c r="Q771">
        <v>950</v>
      </c>
      <c r="R771">
        <v>239.99</v>
      </c>
    </row>
    <row r="772" spans="13:18">
      <c r="M772" t="s">
        <v>2296</v>
      </c>
      <c r="N772" t="s">
        <v>2297</v>
      </c>
      <c r="O772">
        <v>300</v>
      </c>
      <c r="P772">
        <v>300</v>
      </c>
      <c r="Q772">
        <v>955</v>
      </c>
      <c r="R772">
        <v>3380.89</v>
      </c>
    </row>
    <row r="773" spans="13:18">
      <c r="M773" t="s">
        <v>2296</v>
      </c>
      <c r="N773" t="s">
        <v>2297</v>
      </c>
      <c r="O773">
        <v>300</v>
      </c>
      <c r="P773">
        <v>300</v>
      </c>
      <c r="Q773">
        <v>960</v>
      </c>
      <c r="R773">
        <v>37.619999999999997</v>
      </c>
    </row>
    <row r="774" spans="13:18">
      <c r="M774" t="s">
        <v>2296</v>
      </c>
      <c r="N774" t="s">
        <v>2297</v>
      </c>
      <c r="O774">
        <v>300</v>
      </c>
      <c r="P774">
        <v>300</v>
      </c>
      <c r="Q774">
        <v>975</v>
      </c>
      <c r="R774">
        <v>853.45</v>
      </c>
    </row>
    <row r="775" spans="13:18">
      <c r="M775" t="s">
        <v>2296</v>
      </c>
      <c r="N775" t="s">
        <v>2297</v>
      </c>
      <c r="O775">
        <v>300</v>
      </c>
      <c r="P775">
        <v>300</v>
      </c>
      <c r="Q775">
        <v>980</v>
      </c>
      <c r="R775">
        <v>13977.46</v>
      </c>
    </row>
    <row r="776" spans="13:18">
      <c r="M776" t="s">
        <v>2296</v>
      </c>
      <c r="N776" t="s">
        <v>2297</v>
      </c>
      <c r="O776">
        <v>300</v>
      </c>
      <c r="P776">
        <v>300</v>
      </c>
      <c r="Q776">
        <v>1020</v>
      </c>
      <c r="R776">
        <v>647.79999999999995</v>
      </c>
    </row>
    <row r="777" spans="13:18">
      <c r="M777" t="s">
        <v>2296</v>
      </c>
      <c r="N777" t="s">
        <v>2297</v>
      </c>
      <c r="O777">
        <v>300</v>
      </c>
      <c r="P777">
        <v>300</v>
      </c>
      <c r="Q777">
        <v>1025</v>
      </c>
      <c r="R777">
        <v>2034.63</v>
      </c>
    </row>
    <row r="778" spans="13:18">
      <c r="M778" t="s">
        <v>2296</v>
      </c>
      <c r="N778" t="s">
        <v>2297</v>
      </c>
      <c r="O778">
        <v>300</v>
      </c>
      <c r="P778">
        <v>300</v>
      </c>
      <c r="Q778">
        <v>2895</v>
      </c>
      <c r="R778">
        <v>39.200000000000003</v>
      </c>
    </row>
    <row r="779" spans="13:18">
      <c r="M779" t="s">
        <v>2296</v>
      </c>
      <c r="N779" t="s">
        <v>2297</v>
      </c>
      <c r="O779">
        <v>300</v>
      </c>
      <c r="P779">
        <v>300</v>
      </c>
      <c r="Q779">
        <v>4835</v>
      </c>
      <c r="R779">
        <v>220.57</v>
      </c>
    </row>
    <row r="780" spans="13:18">
      <c r="M780" t="s">
        <v>2296</v>
      </c>
      <c r="N780" t="s">
        <v>2297</v>
      </c>
      <c r="O780">
        <v>300</v>
      </c>
      <c r="P780">
        <v>300</v>
      </c>
      <c r="Q780">
        <v>4960</v>
      </c>
      <c r="R780">
        <v>1854.94</v>
      </c>
    </row>
    <row r="784" spans="13:18">
      <c r="N784" s="289">
        <v>43556</v>
      </c>
      <c r="O784" s="289">
        <v>43861</v>
      </c>
    </row>
    <row r="785" spans="13:18">
      <c r="M785" t="s">
        <v>2296</v>
      </c>
      <c r="N785" t="s">
        <v>1051</v>
      </c>
      <c r="O785">
        <v>300</v>
      </c>
      <c r="P785">
        <v>300</v>
      </c>
      <c r="Q785">
        <v>1075</v>
      </c>
      <c r="R785">
        <v>526.76</v>
      </c>
    </row>
    <row r="786" spans="13:18">
      <c r="M786" t="s">
        <v>2296</v>
      </c>
      <c r="N786" t="s">
        <v>1051</v>
      </c>
      <c r="O786">
        <v>340</v>
      </c>
      <c r="P786">
        <v>340</v>
      </c>
      <c r="Q786">
        <v>1000</v>
      </c>
      <c r="R786">
        <v>92.37</v>
      </c>
    </row>
    <row r="787" spans="13:18">
      <c r="M787" t="s">
        <v>2296</v>
      </c>
      <c r="N787" t="s">
        <v>1051</v>
      </c>
      <c r="O787">
        <v>340</v>
      </c>
      <c r="P787">
        <v>340</v>
      </c>
      <c r="Q787">
        <v>1005</v>
      </c>
      <c r="R787">
        <v>3300.11</v>
      </c>
    </row>
    <row r="788" spans="13:18">
      <c r="M788" t="s">
        <v>2296</v>
      </c>
      <c r="N788" t="s">
        <v>1051</v>
      </c>
      <c r="O788">
        <v>340</v>
      </c>
      <c r="P788">
        <v>340</v>
      </c>
      <c r="Q788">
        <v>1230</v>
      </c>
      <c r="R788">
        <v>66.81</v>
      </c>
    </row>
    <row r="789" spans="13:18">
      <c r="M789" t="s">
        <v>2296</v>
      </c>
      <c r="N789" t="s">
        <v>1051</v>
      </c>
      <c r="O789">
        <v>340</v>
      </c>
      <c r="P789">
        <v>340</v>
      </c>
      <c r="Q789">
        <v>1235</v>
      </c>
      <c r="R789">
        <v>31.25</v>
      </c>
    </row>
    <row r="790" spans="13:18">
      <c r="M790" t="s">
        <v>2296</v>
      </c>
      <c r="N790" t="s">
        <v>1051</v>
      </c>
      <c r="O790">
        <v>340</v>
      </c>
      <c r="P790">
        <v>340</v>
      </c>
      <c r="Q790">
        <v>2480</v>
      </c>
      <c r="R790">
        <v>113.42</v>
      </c>
    </row>
    <row r="791" spans="13:18">
      <c r="M791" t="s">
        <v>2296</v>
      </c>
      <c r="N791" t="s">
        <v>1051</v>
      </c>
      <c r="O791">
        <v>340</v>
      </c>
      <c r="P791">
        <v>340</v>
      </c>
      <c r="Q791">
        <v>3045</v>
      </c>
      <c r="R791">
        <v>628.41</v>
      </c>
    </row>
    <row r="792" spans="13:18">
      <c r="M792" t="s">
        <v>2296</v>
      </c>
      <c r="N792" t="s">
        <v>1051</v>
      </c>
      <c r="O792">
        <v>340</v>
      </c>
      <c r="P792">
        <v>340</v>
      </c>
      <c r="Q792">
        <v>3645</v>
      </c>
      <c r="R792">
        <v>43.01</v>
      </c>
    </row>
    <row r="793" spans="13:18">
      <c r="M793" t="s">
        <v>2296</v>
      </c>
      <c r="N793" t="s">
        <v>2297</v>
      </c>
      <c r="O793">
        <v>287</v>
      </c>
      <c r="P793">
        <v>287</v>
      </c>
      <c r="Q793">
        <v>810</v>
      </c>
      <c r="R793">
        <v>25.08</v>
      </c>
    </row>
    <row r="794" spans="13:18">
      <c r="M794" t="s">
        <v>2296</v>
      </c>
      <c r="N794" t="s">
        <v>2297</v>
      </c>
      <c r="O794">
        <v>287</v>
      </c>
      <c r="P794">
        <v>287</v>
      </c>
      <c r="Q794">
        <v>1005</v>
      </c>
      <c r="R794">
        <v>500.93</v>
      </c>
    </row>
    <row r="795" spans="13:18">
      <c r="M795" t="s">
        <v>2296</v>
      </c>
      <c r="N795" t="s">
        <v>2297</v>
      </c>
      <c r="O795">
        <v>300</v>
      </c>
      <c r="P795">
        <v>300</v>
      </c>
      <c r="Q795">
        <v>655</v>
      </c>
      <c r="R795">
        <v>39.47</v>
      </c>
    </row>
    <row r="796" spans="13:18">
      <c r="M796" t="s">
        <v>2296</v>
      </c>
      <c r="N796" t="s">
        <v>2297</v>
      </c>
      <c r="O796">
        <v>300</v>
      </c>
      <c r="P796">
        <v>300</v>
      </c>
      <c r="Q796">
        <v>950</v>
      </c>
      <c r="R796">
        <v>381.45</v>
      </c>
    </row>
    <row r="797" spans="13:18">
      <c r="M797" t="s">
        <v>2296</v>
      </c>
      <c r="N797" t="s">
        <v>2297</v>
      </c>
      <c r="O797">
        <v>300</v>
      </c>
      <c r="P797">
        <v>300</v>
      </c>
      <c r="Q797">
        <v>955</v>
      </c>
      <c r="R797">
        <v>16881.080000000002</v>
      </c>
    </row>
    <row r="798" spans="13:18">
      <c r="M798" t="s">
        <v>2296</v>
      </c>
      <c r="N798" t="s">
        <v>2297</v>
      </c>
      <c r="O798">
        <v>300</v>
      </c>
      <c r="P798">
        <v>300</v>
      </c>
      <c r="Q798">
        <v>975</v>
      </c>
      <c r="R798">
        <v>223.01</v>
      </c>
    </row>
    <row r="799" spans="13:18">
      <c r="M799" t="s">
        <v>2296</v>
      </c>
      <c r="N799" t="s">
        <v>2297</v>
      </c>
      <c r="O799">
        <v>300</v>
      </c>
      <c r="P799">
        <v>300</v>
      </c>
      <c r="Q799">
        <v>980</v>
      </c>
      <c r="R799">
        <v>12045.008</v>
      </c>
    </row>
    <row r="800" spans="13:18">
      <c r="M800" t="s">
        <v>2296</v>
      </c>
      <c r="N800" t="s">
        <v>2297</v>
      </c>
      <c r="O800">
        <v>300</v>
      </c>
      <c r="P800">
        <v>300</v>
      </c>
      <c r="Q800">
        <v>1020</v>
      </c>
      <c r="R800">
        <v>35.119999999999997</v>
      </c>
    </row>
    <row r="801" spans="13:18">
      <c r="M801" t="s">
        <v>2296</v>
      </c>
      <c r="N801" t="s">
        <v>2297</v>
      </c>
      <c r="O801">
        <v>300</v>
      </c>
      <c r="P801">
        <v>300</v>
      </c>
      <c r="Q801">
        <v>1025</v>
      </c>
      <c r="R801">
        <v>1145.9100000000001</v>
      </c>
    </row>
    <row r="802" spans="13:18">
      <c r="M802" t="s">
        <v>2296</v>
      </c>
      <c r="N802" t="s">
        <v>2297</v>
      </c>
      <c r="O802">
        <v>300</v>
      </c>
      <c r="P802">
        <v>300</v>
      </c>
      <c r="Q802">
        <v>2065</v>
      </c>
      <c r="R802">
        <v>36.4</v>
      </c>
    </row>
    <row r="803" spans="13:18">
      <c r="M803" t="s">
        <v>2296</v>
      </c>
      <c r="N803" t="s">
        <v>2297</v>
      </c>
      <c r="O803">
        <v>300</v>
      </c>
      <c r="P803">
        <v>300</v>
      </c>
      <c r="Q803">
        <v>2895</v>
      </c>
      <c r="R803">
        <v>82.38</v>
      </c>
    </row>
    <row r="804" spans="13:18">
      <c r="M804" t="s">
        <v>2296</v>
      </c>
      <c r="N804" t="s">
        <v>2297</v>
      </c>
      <c r="O804">
        <v>300</v>
      </c>
      <c r="P804">
        <v>300</v>
      </c>
      <c r="Q804">
        <v>3105</v>
      </c>
      <c r="R804">
        <v>83.23</v>
      </c>
    </row>
    <row r="805" spans="13:18">
      <c r="M805" t="s">
        <v>2296</v>
      </c>
      <c r="N805" t="s">
        <v>2297</v>
      </c>
      <c r="O805">
        <v>300</v>
      </c>
      <c r="P805">
        <v>300</v>
      </c>
      <c r="Q805">
        <v>4145</v>
      </c>
      <c r="R805">
        <v>201.95</v>
      </c>
    </row>
    <row r="806" spans="13:18">
      <c r="M806" t="s">
        <v>2296</v>
      </c>
      <c r="N806" t="s">
        <v>2297</v>
      </c>
      <c r="O806">
        <v>300</v>
      </c>
      <c r="P806">
        <v>300</v>
      </c>
      <c r="Q806">
        <v>4830</v>
      </c>
      <c r="R806">
        <v>44.56</v>
      </c>
    </row>
    <row r="807" spans="13:18">
      <c r="M807" t="s">
        <v>2296</v>
      </c>
      <c r="N807" t="s">
        <v>2297</v>
      </c>
      <c r="O807">
        <v>300</v>
      </c>
      <c r="P807">
        <v>300</v>
      </c>
      <c r="Q807">
        <v>4835</v>
      </c>
      <c r="R807">
        <v>1405.66</v>
      </c>
    </row>
    <row r="808" spans="13:18">
      <c r="M808" t="s">
        <v>2296</v>
      </c>
      <c r="N808" t="s">
        <v>2297</v>
      </c>
      <c r="O808">
        <v>300</v>
      </c>
      <c r="P808">
        <v>300</v>
      </c>
      <c r="Q808">
        <v>4960</v>
      </c>
      <c r="R808">
        <v>344.64</v>
      </c>
    </row>
  </sheetData>
  <mergeCells count="41">
    <mergeCell ref="B483:K483"/>
    <mergeCell ref="B389:I389"/>
    <mergeCell ref="F400:I400"/>
    <mergeCell ref="E410:J410"/>
    <mergeCell ref="F431:G431"/>
    <mergeCell ref="H431:I431"/>
    <mergeCell ref="J431:K431"/>
    <mergeCell ref="B298:G298"/>
    <mergeCell ref="O358:Q358"/>
    <mergeCell ref="S358:U358"/>
    <mergeCell ref="X358:AC358"/>
    <mergeCell ref="F372:G372"/>
    <mergeCell ref="H372:I372"/>
    <mergeCell ref="J372:K372"/>
    <mergeCell ref="B239:G239"/>
    <mergeCell ref="B247:F247"/>
    <mergeCell ref="B257:H257"/>
    <mergeCell ref="B289:F289"/>
    <mergeCell ref="E290:F290"/>
    <mergeCell ref="S153:T153"/>
    <mergeCell ref="U153:V153"/>
    <mergeCell ref="W153:X153"/>
    <mergeCell ref="E218:G218"/>
    <mergeCell ref="B231:J231"/>
    <mergeCell ref="B144:H144"/>
    <mergeCell ref="B152:Q152"/>
    <mergeCell ref="E153:F153"/>
    <mergeCell ref="G153:H153"/>
    <mergeCell ref="I153:J153"/>
    <mergeCell ref="K153:M153"/>
    <mergeCell ref="O153:P153"/>
    <mergeCell ref="T28:AE28"/>
    <mergeCell ref="AL10:AQ13"/>
    <mergeCell ref="AL31:AT31"/>
    <mergeCell ref="T35:AE35"/>
    <mergeCell ref="R43:AF43"/>
    <mergeCell ref="J1:T1"/>
    <mergeCell ref="AS1:BD1"/>
    <mergeCell ref="F9:H9"/>
    <mergeCell ref="L10:T10"/>
    <mergeCell ref="AL24:AT24"/>
  </mergeCells>
  <pageMargins left="1.28" right="0.75" top="0.38" bottom="0.19" header="0.47999999999999993" footer="0.5"/>
  <pageSetup scale="74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M179"/>
  <sheetViews>
    <sheetView zoomScaleSheetLayoutView="100" workbookViewId="0">
      <selection activeCell="F179" sqref="F179"/>
    </sheetView>
  </sheetViews>
  <sheetFormatPr defaultColWidth="9" defaultRowHeight="12.75"/>
  <cols>
    <col min="1" max="1" width="19" customWidth="1"/>
    <col min="2" max="2" width="10.42578125" customWidth="1"/>
    <col min="3" max="3" width="14.28515625" customWidth="1"/>
    <col min="4" max="5" width="10.140625" customWidth="1"/>
    <col min="6" max="6" width="39.28515625" customWidth="1"/>
    <col min="7" max="8" width="10.140625" customWidth="1"/>
    <col min="9" max="9" width="21.28515625" customWidth="1"/>
    <col min="10" max="10" width="18.5703125" customWidth="1"/>
    <col min="11" max="11" width="31" customWidth="1"/>
    <col min="12" max="12" width="10.7109375" customWidth="1"/>
    <col min="19" max="19" width="13.85546875" customWidth="1"/>
    <col min="20" max="20" width="14.140625" customWidth="1"/>
    <col min="21" max="21" width="14" customWidth="1"/>
    <col min="22" max="22" width="13" customWidth="1"/>
    <col min="23" max="23" width="17.7109375" customWidth="1"/>
    <col min="24" max="24" width="13" customWidth="1"/>
    <col min="25" max="25" width="11.28515625" customWidth="1"/>
    <col min="26" max="26" width="13.7109375" customWidth="1"/>
  </cols>
  <sheetData>
    <row r="3" spans="3:39">
      <c r="C3" s="84"/>
      <c r="D3" s="84"/>
      <c r="E3" s="84"/>
      <c r="F3" s="84"/>
      <c r="G3" s="84"/>
      <c r="H3" s="84"/>
      <c r="I3" s="84"/>
      <c r="J3" s="84"/>
    </row>
    <row r="4" spans="3:39">
      <c r="C4" s="84"/>
      <c r="D4" s="84"/>
      <c r="E4" s="84"/>
      <c r="F4" s="84"/>
      <c r="G4" s="84"/>
      <c r="H4" s="84"/>
      <c r="I4" s="84"/>
      <c r="J4" s="84"/>
    </row>
    <row r="5" spans="3:39">
      <c r="C5" s="84" t="s">
        <v>59</v>
      </c>
      <c r="D5" s="84"/>
      <c r="E5" s="84"/>
      <c r="F5" s="84"/>
      <c r="G5" s="84"/>
      <c r="H5" s="84"/>
      <c r="I5" s="84"/>
      <c r="J5" s="84"/>
    </row>
    <row r="6" spans="3:39">
      <c r="C6" s="84"/>
      <c r="D6" s="84"/>
      <c r="E6" s="84"/>
      <c r="F6" s="84"/>
      <c r="G6" s="84"/>
      <c r="H6" s="84"/>
      <c r="I6" s="84"/>
      <c r="J6" s="84"/>
    </row>
    <row r="7" spans="3:39">
      <c r="C7" s="84"/>
      <c r="D7" s="84"/>
      <c r="E7" s="84"/>
      <c r="F7" s="84"/>
      <c r="G7" s="84"/>
      <c r="H7" s="84"/>
      <c r="I7" s="84"/>
      <c r="J7" s="84"/>
      <c r="Q7" s="1042" t="s">
        <v>2490</v>
      </c>
    </row>
    <row r="8" spans="3:39">
      <c r="C8" s="84" t="s">
        <v>2491</v>
      </c>
      <c r="D8" s="84"/>
      <c r="E8" s="84"/>
      <c r="F8" s="84"/>
      <c r="G8" s="84"/>
      <c r="H8" s="84"/>
      <c r="I8" s="84"/>
      <c r="J8" s="84"/>
    </row>
    <row r="9" spans="3:39" ht="63.75">
      <c r="C9" s="84"/>
      <c r="D9" s="84"/>
      <c r="E9" s="84"/>
      <c r="F9" s="84"/>
      <c r="G9" s="84"/>
      <c r="H9" s="84"/>
      <c r="I9" s="84"/>
      <c r="J9" s="84"/>
      <c r="Q9" s="1042" t="s">
        <v>2492</v>
      </c>
    </row>
    <row r="10" spans="3:39" ht="38.25">
      <c r="C10" s="1024" t="s">
        <v>721</v>
      </c>
      <c r="D10" s="41" t="s">
        <v>136</v>
      </c>
      <c r="E10" s="84"/>
      <c r="F10" s="84"/>
      <c r="G10" s="84"/>
      <c r="H10" s="84"/>
      <c r="I10" s="84"/>
      <c r="J10" s="84"/>
      <c r="Q10" s="1043" t="s">
        <v>2493</v>
      </c>
      <c r="R10" s="1043" t="s">
        <v>2494</v>
      </c>
      <c r="S10" s="1043" t="s">
        <v>2495</v>
      </c>
      <c r="T10" s="1043" t="s">
        <v>2496</v>
      </c>
      <c r="U10" s="1043" t="s">
        <v>2497</v>
      </c>
      <c r="V10" s="1043" t="s">
        <v>2498</v>
      </c>
      <c r="W10" s="1043" t="s">
        <v>2499</v>
      </c>
      <c r="X10" s="1043" t="s">
        <v>2500</v>
      </c>
      <c r="Y10" s="1043" t="s">
        <v>2501</v>
      </c>
      <c r="Z10" s="1043" t="s">
        <v>2502</v>
      </c>
      <c r="AA10" s="2966" t="s">
        <v>2503</v>
      </c>
      <c r="AB10" s="2966"/>
      <c r="AC10" s="1044"/>
      <c r="AD10" s="1044"/>
      <c r="AE10" s="1044"/>
      <c r="AF10" s="1044"/>
      <c r="AG10" s="1044"/>
      <c r="AH10" s="1044"/>
      <c r="AI10" s="1044"/>
      <c r="AJ10" s="1044"/>
      <c r="AK10" s="1044"/>
      <c r="AL10" s="1044"/>
      <c r="AM10" s="1044"/>
    </row>
    <row r="11" spans="3:39">
      <c r="C11" s="297"/>
      <c r="D11" s="1025"/>
      <c r="E11" s="84"/>
      <c r="F11" s="84"/>
      <c r="G11" s="84"/>
      <c r="H11" s="84"/>
      <c r="I11" s="84"/>
      <c r="J11" s="84"/>
      <c r="Q11" s="1044"/>
      <c r="R11" s="1044"/>
      <c r="S11" s="1044"/>
      <c r="T11" s="1044"/>
      <c r="U11" s="1044"/>
      <c r="V11" s="1044"/>
      <c r="W11" s="1044"/>
      <c r="X11" s="1044"/>
      <c r="Y11" s="1044"/>
      <c r="Z11" s="1044"/>
      <c r="AA11" s="1044"/>
      <c r="AB11" s="1044"/>
      <c r="AC11" s="1044"/>
      <c r="AD11" s="1044"/>
      <c r="AE11" s="1044"/>
      <c r="AF11" s="1044"/>
      <c r="AG11" s="1044"/>
      <c r="AH11" s="1044"/>
      <c r="AI11" s="1044"/>
      <c r="AJ11" s="1044"/>
      <c r="AK11" s="1044"/>
      <c r="AL11" s="1044"/>
      <c r="AM11" s="1044"/>
    </row>
    <row r="12" spans="3:39" ht="51">
      <c r="C12" s="297" t="s">
        <v>2504</v>
      </c>
      <c r="D12" s="1026">
        <v>21697</v>
      </c>
      <c r="E12" s="84"/>
      <c r="F12" s="84"/>
      <c r="G12" s="84"/>
      <c r="H12" s="84"/>
      <c r="I12" s="84"/>
      <c r="J12" s="84"/>
      <c r="Q12" s="1045" t="s">
        <v>2505</v>
      </c>
      <c r="R12" s="1045">
        <v>110</v>
      </c>
      <c r="S12" s="1045" t="s">
        <v>2506</v>
      </c>
      <c r="T12" s="1045">
        <v>1000005451</v>
      </c>
      <c r="U12" s="1045">
        <v>7890025639</v>
      </c>
      <c r="V12" s="1045">
        <v>11111111111</v>
      </c>
      <c r="W12" s="1045">
        <v>7890025639</v>
      </c>
      <c r="X12" s="1045">
        <v>7890025639</v>
      </c>
      <c r="Y12" s="1045">
        <v>7890025639</v>
      </c>
      <c r="Z12" s="1045">
        <v>7890025639</v>
      </c>
      <c r="AA12" s="2965" t="s">
        <v>2507</v>
      </c>
      <c r="AB12" s="2965"/>
      <c r="AC12" s="2965"/>
      <c r="AD12" s="2965"/>
      <c r="AE12" s="2965"/>
      <c r="AF12" s="2965"/>
      <c r="AG12" s="2965"/>
      <c r="AH12" s="2965"/>
      <c r="AI12" s="2965"/>
      <c r="AJ12" s="1044"/>
      <c r="AK12" s="1044"/>
      <c r="AL12" s="1044"/>
      <c r="AM12" s="1044"/>
    </row>
    <row r="13" spans="3:39" ht="25.5">
      <c r="C13" s="297" t="s">
        <v>2508</v>
      </c>
      <c r="D13" s="1026">
        <v>2250</v>
      </c>
      <c r="E13" s="84"/>
      <c r="F13" s="84"/>
      <c r="G13" s="84"/>
      <c r="H13" s="84"/>
      <c r="I13" s="84"/>
      <c r="J13" s="84"/>
      <c r="Q13" s="1045" t="s">
        <v>2505</v>
      </c>
      <c r="R13" s="1045">
        <v>112</v>
      </c>
      <c r="S13" s="1045" t="s">
        <v>2509</v>
      </c>
      <c r="T13" s="1045">
        <v>1000000766</v>
      </c>
      <c r="U13" s="1045">
        <v>7890025639</v>
      </c>
      <c r="V13" s="1045" t="s">
        <v>345</v>
      </c>
      <c r="W13" s="1045">
        <v>7890025639</v>
      </c>
      <c r="X13" s="1045">
        <v>7890025639</v>
      </c>
      <c r="Y13" s="1045" t="s">
        <v>345</v>
      </c>
      <c r="Z13" s="1045">
        <v>7890025639</v>
      </c>
      <c r="AA13" s="2965" t="s">
        <v>2510</v>
      </c>
      <c r="AB13" s="2965"/>
      <c r="AC13" s="2965"/>
      <c r="AD13" s="2965"/>
      <c r="AE13" s="2965"/>
      <c r="AF13" s="2965"/>
      <c r="AG13" s="2965"/>
      <c r="AH13" s="1044"/>
      <c r="AI13" s="1044"/>
      <c r="AJ13" s="1044"/>
      <c r="AK13" s="1044"/>
      <c r="AL13" s="1044"/>
      <c r="AM13" s="1044"/>
    </row>
    <row r="14" spans="3:39" ht="51">
      <c r="C14" s="297" t="s">
        <v>2511</v>
      </c>
      <c r="D14" s="1026">
        <v>1207</v>
      </c>
      <c r="E14" s="84"/>
      <c r="F14" s="84"/>
      <c r="G14" s="84"/>
      <c r="H14" s="84"/>
      <c r="I14" s="84"/>
      <c r="J14" s="84"/>
      <c r="Q14" s="1045" t="s">
        <v>2505</v>
      </c>
      <c r="R14" s="1045">
        <v>1110</v>
      </c>
      <c r="S14" s="1045" t="s">
        <v>2512</v>
      </c>
      <c r="T14" s="1045">
        <v>1000005445</v>
      </c>
      <c r="U14" s="1044"/>
      <c r="V14" s="1045">
        <v>11111111111</v>
      </c>
      <c r="W14" s="1045">
        <v>6551200464</v>
      </c>
      <c r="X14" s="1045">
        <v>1201424</v>
      </c>
      <c r="Y14" s="1045" t="s">
        <v>345</v>
      </c>
      <c r="Z14" s="1045">
        <v>6551200464</v>
      </c>
      <c r="AA14" s="2965" t="s">
        <v>2513</v>
      </c>
      <c r="AB14" s="2965"/>
      <c r="AC14" s="2965"/>
      <c r="AD14" s="2965"/>
      <c r="AE14" s="2965"/>
      <c r="AF14" s="2965"/>
      <c r="AG14" s="1044"/>
      <c r="AH14" s="1044"/>
      <c r="AI14" s="1044"/>
      <c r="AJ14" s="1044"/>
      <c r="AK14" s="1044"/>
      <c r="AL14" s="1044"/>
      <c r="AM14" s="1044"/>
    </row>
    <row r="15" spans="3:39" ht="25.5">
      <c r="C15" s="297" t="s">
        <v>2514</v>
      </c>
      <c r="D15" s="1026">
        <v>403</v>
      </c>
      <c r="E15" s="84"/>
      <c r="F15" s="84"/>
      <c r="G15" s="84"/>
      <c r="H15" s="84"/>
      <c r="I15" s="84"/>
      <c r="J15" s="84"/>
      <c r="Q15" s="1045" t="s">
        <v>2505</v>
      </c>
      <c r="R15" s="1045">
        <v>1111</v>
      </c>
      <c r="S15" s="1045" t="s">
        <v>2515</v>
      </c>
      <c r="T15" s="1045">
        <v>1000042411</v>
      </c>
      <c r="U15" s="1045">
        <v>6551200464</v>
      </c>
      <c r="V15" s="1045" t="s">
        <v>345</v>
      </c>
      <c r="W15" s="1045">
        <v>6551200464</v>
      </c>
      <c r="X15" s="1044"/>
      <c r="Y15" s="1045" t="s">
        <v>2516</v>
      </c>
      <c r="Z15" s="1045">
        <v>6551200464</v>
      </c>
      <c r="AA15" s="2965" t="s">
        <v>2517</v>
      </c>
      <c r="AB15" s="2965"/>
      <c r="AC15" s="2965"/>
      <c r="AD15" s="2965"/>
      <c r="AE15" s="2965"/>
      <c r="AF15" s="2965"/>
      <c r="AG15" s="2965"/>
      <c r="AH15" s="2965"/>
      <c r="AI15" s="1044"/>
      <c r="AJ15" s="1044"/>
      <c r="AK15" s="1044"/>
      <c r="AL15" s="1044"/>
      <c r="AM15" s="1044"/>
    </row>
    <row r="16" spans="3:39" ht="25.5">
      <c r="C16" s="1027" t="s">
        <v>23</v>
      </c>
      <c r="D16" s="1028">
        <f>SUM(D12:D15)</f>
        <v>25557</v>
      </c>
      <c r="E16" s="84"/>
      <c r="F16" s="84"/>
      <c r="G16" s="84"/>
      <c r="H16" s="84"/>
      <c r="I16" s="84"/>
      <c r="J16" s="84"/>
      <c r="Q16" s="1045" t="s">
        <v>2505</v>
      </c>
      <c r="R16" s="1045">
        <v>1330</v>
      </c>
      <c r="S16" s="1045" t="s">
        <v>2518</v>
      </c>
      <c r="T16" s="1045">
        <v>1000005401</v>
      </c>
      <c r="U16" s="1045">
        <v>9841400693</v>
      </c>
      <c r="V16" s="1045">
        <v>11111111111</v>
      </c>
      <c r="W16" s="1045">
        <v>9841400693</v>
      </c>
      <c r="X16" s="1045" t="s">
        <v>2519</v>
      </c>
      <c r="Y16" s="1045" t="s">
        <v>345</v>
      </c>
      <c r="Z16" s="1045" t="s">
        <v>2519</v>
      </c>
      <c r="AA16" s="2965" t="s">
        <v>2520</v>
      </c>
      <c r="AB16" s="2965"/>
      <c r="AC16" s="2965"/>
      <c r="AD16" s="2965"/>
      <c r="AE16" s="2965"/>
      <c r="AF16" s="2965"/>
      <c r="AG16" s="2965"/>
      <c r="AH16" s="1044"/>
      <c r="AI16" s="1044"/>
      <c r="AJ16" s="1044"/>
      <c r="AK16" s="1044"/>
      <c r="AL16" s="1044"/>
      <c r="AM16" s="1044"/>
    </row>
    <row r="17" spans="3:39" ht="25.5">
      <c r="C17" s="84"/>
      <c r="D17" s="84"/>
      <c r="E17" s="84"/>
      <c r="F17" s="84"/>
      <c r="G17" s="84"/>
      <c r="H17" s="84"/>
      <c r="I17" s="84"/>
      <c r="J17" s="84"/>
      <c r="Q17" s="1045" t="s">
        <v>2505</v>
      </c>
      <c r="R17" s="1045">
        <v>1331</v>
      </c>
      <c r="S17" s="1045" t="s">
        <v>2521</v>
      </c>
      <c r="T17" s="1045">
        <v>1000053021</v>
      </c>
      <c r="U17" s="1045">
        <v>9841400693</v>
      </c>
      <c r="V17" s="1045">
        <v>9841400693</v>
      </c>
      <c r="W17" s="1045">
        <v>9841400693</v>
      </c>
      <c r="X17" s="1045" t="s">
        <v>2519</v>
      </c>
      <c r="Y17" s="1045">
        <v>0</v>
      </c>
      <c r="Z17" s="1045" t="s">
        <v>2519</v>
      </c>
      <c r="AA17" s="2965" t="s">
        <v>2522</v>
      </c>
      <c r="AB17" s="2965"/>
      <c r="AC17" s="2965"/>
      <c r="AD17" s="2965"/>
      <c r="AE17" s="2965"/>
      <c r="AF17" s="2965"/>
      <c r="AG17" s="2965"/>
      <c r="AH17" s="2965"/>
      <c r="AI17" s="2965"/>
      <c r="AJ17" s="2965"/>
      <c r="AK17" s="1044"/>
      <c r="AL17" s="1044"/>
      <c r="AM17" s="1044"/>
    </row>
    <row r="18" spans="3:39" ht="51">
      <c r="C18" s="84"/>
      <c r="D18" s="84"/>
      <c r="E18" s="84"/>
      <c r="F18" s="84"/>
      <c r="G18" s="84"/>
      <c r="H18" s="84"/>
      <c r="I18" s="84"/>
      <c r="J18" s="84"/>
      <c r="Q18" s="1045" t="s">
        <v>2505</v>
      </c>
      <c r="R18" s="1045">
        <v>3110</v>
      </c>
      <c r="S18" s="1045" t="s">
        <v>2523</v>
      </c>
      <c r="T18" s="1045">
        <v>1000000834</v>
      </c>
      <c r="U18" s="1045">
        <v>9990900028</v>
      </c>
      <c r="V18" s="1045">
        <v>9990900028</v>
      </c>
      <c r="W18" s="1045">
        <v>9990900028</v>
      </c>
      <c r="X18" s="1044"/>
      <c r="Y18" s="1045" t="s">
        <v>2524</v>
      </c>
      <c r="Z18" s="1045" t="s">
        <v>2524</v>
      </c>
      <c r="AA18" s="2965" t="s">
        <v>2525</v>
      </c>
      <c r="AB18" s="2965"/>
      <c r="AC18" s="2965"/>
      <c r="AD18" s="2965"/>
      <c r="AE18" s="2965"/>
      <c r="AF18" s="2965"/>
      <c r="AG18" s="2965"/>
      <c r="AH18" s="2965"/>
      <c r="AI18" s="2965"/>
      <c r="AJ18" s="2965"/>
      <c r="AK18" s="1044"/>
      <c r="AL18" s="1044"/>
      <c r="AM18" s="1044"/>
    </row>
    <row r="19" spans="3:39" ht="31.5">
      <c r="C19" s="84"/>
      <c r="D19" s="84"/>
      <c r="E19" s="84"/>
      <c r="F19" s="84"/>
      <c r="G19" s="84"/>
      <c r="H19" s="84"/>
      <c r="I19" s="84"/>
      <c r="J19" s="84"/>
      <c r="Q19" s="1045" t="s">
        <v>2505</v>
      </c>
      <c r="R19" s="1045">
        <v>9110</v>
      </c>
      <c r="S19" s="1046" t="s">
        <v>2526</v>
      </c>
      <c r="T19" s="1045">
        <v>1000005455</v>
      </c>
      <c r="U19" s="1045">
        <v>3541065980</v>
      </c>
      <c r="V19" s="1045">
        <v>11111111111</v>
      </c>
      <c r="W19" s="1045">
        <v>3541065980</v>
      </c>
      <c r="X19" s="1044"/>
      <c r="Y19" s="1045" t="s">
        <v>345</v>
      </c>
      <c r="Z19" s="1045">
        <v>3541065980</v>
      </c>
      <c r="AA19" s="2965" t="s">
        <v>2527</v>
      </c>
      <c r="AB19" s="2965"/>
      <c r="AC19" s="2965"/>
      <c r="AD19" s="2965"/>
      <c r="AE19" s="2965"/>
      <c r="AF19" s="2965"/>
      <c r="AG19" s="2965"/>
      <c r="AH19" s="2965"/>
      <c r="AI19" s="1044"/>
      <c r="AJ19" s="1044"/>
      <c r="AK19" s="1044"/>
      <c r="AL19" s="1044"/>
      <c r="AM19" s="1044"/>
    </row>
    <row r="20" spans="3:39" ht="25.5">
      <c r="D20" s="18" t="s">
        <v>2528</v>
      </c>
      <c r="E20" s="84"/>
      <c r="F20" s="84"/>
      <c r="G20" s="84"/>
      <c r="H20" s="84"/>
      <c r="I20" s="84"/>
      <c r="J20" s="84"/>
      <c r="Q20" s="1045" t="s">
        <v>2505</v>
      </c>
      <c r="R20" s="1045">
        <v>9111</v>
      </c>
      <c r="S20" s="1045" t="s">
        <v>2529</v>
      </c>
      <c r="T20" s="1045">
        <v>1000000788</v>
      </c>
      <c r="U20" s="1045">
        <v>3541065980</v>
      </c>
      <c r="V20" s="1045">
        <v>3541065980</v>
      </c>
      <c r="W20" s="1045">
        <v>3541065980</v>
      </c>
      <c r="X20" s="1044"/>
      <c r="Y20" s="1045" t="s">
        <v>345</v>
      </c>
      <c r="Z20" s="1045">
        <v>3541065980</v>
      </c>
      <c r="AA20" s="2965" t="s">
        <v>2530</v>
      </c>
      <c r="AB20" s="2965"/>
      <c r="AC20" s="2965"/>
      <c r="AD20" s="2965"/>
      <c r="AE20" s="2965"/>
      <c r="AF20" s="2965"/>
      <c r="AG20" s="2965"/>
      <c r="AH20" s="2965"/>
      <c r="AI20" s="2965"/>
      <c r="AJ20" s="2965"/>
      <c r="AK20" s="2965"/>
      <c r="AL20" s="2965"/>
      <c r="AM20" s="2965"/>
    </row>
    <row r="21" spans="3:39">
      <c r="D21" s="18" t="s">
        <v>2531</v>
      </c>
      <c r="E21" s="84"/>
      <c r="F21" s="84"/>
      <c r="G21" s="84"/>
      <c r="H21" s="84"/>
      <c r="I21" s="84"/>
      <c r="J21" s="84"/>
    </row>
    <row r="22" spans="3:39">
      <c r="C22" s="84"/>
      <c r="D22" s="84"/>
      <c r="E22" s="84"/>
      <c r="F22" s="84"/>
      <c r="G22" s="84"/>
      <c r="H22" s="84"/>
      <c r="I22" s="84"/>
      <c r="J22" s="84"/>
      <c r="Q22" s="1042" t="s">
        <v>2532</v>
      </c>
    </row>
    <row r="23" spans="3:39">
      <c r="C23" s="84"/>
      <c r="D23" s="84"/>
      <c r="E23" s="84"/>
      <c r="F23" s="84"/>
      <c r="G23" s="84"/>
      <c r="H23" s="84"/>
      <c r="I23" s="84"/>
      <c r="J23" s="84"/>
    </row>
    <row r="24" spans="3:39">
      <c r="C24" s="84"/>
      <c r="D24" s="84"/>
      <c r="E24" s="84"/>
      <c r="F24" s="84"/>
      <c r="G24" s="84"/>
      <c r="H24" s="84"/>
      <c r="I24" s="84"/>
      <c r="J24" s="84"/>
      <c r="S24" s="84" t="s">
        <v>2533</v>
      </c>
      <c r="T24" s="84"/>
      <c r="U24" s="84"/>
      <c r="V24" s="84"/>
      <c r="W24" s="84"/>
      <c r="X24" s="84"/>
    </row>
    <row r="25" spans="3:39">
      <c r="C25" s="84" t="s">
        <v>2534</v>
      </c>
      <c r="D25" s="84"/>
      <c r="E25" s="84"/>
      <c r="F25" s="84"/>
      <c r="G25" s="84"/>
      <c r="H25" s="84"/>
      <c r="I25" s="84"/>
      <c r="J25" s="84"/>
      <c r="S25" s="84" t="s">
        <v>2535</v>
      </c>
      <c r="T25" s="84"/>
      <c r="U25" s="84"/>
      <c r="V25" s="84"/>
      <c r="W25" s="84"/>
      <c r="X25" s="84"/>
    </row>
    <row r="26" spans="3:39">
      <c r="C26" s="84" t="s">
        <v>2536</v>
      </c>
      <c r="D26" s="84"/>
      <c r="E26" s="84"/>
      <c r="F26" s="84"/>
      <c r="G26" s="84"/>
      <c r="H26" s="84"/>
      <c r="I26" s="84"/>
      <c r="J26" s="84"/>
      <c r="S26" s="84" t="s">
        <v>2537</v>
      </c>
      <c r="T26" s="84" t="s">
        <v>2538</v>
      </c>
      <c r="U26" s="84" t="s">
        <v>2539</v>
      </c>
      <c r="V26" s="84" t="s">
        <v>2540</v>
      </c>
      <c r="W26" s="84" t="s">
        <v>2541</v>
      </c>
      <c r="X26" s="84"/>
    </row>
    <row r="27" spans="3:39">
      <c r="C27" s="84" t="s">
        <v>2542</v>
      </c>
      <c r="D27" s="84"/>
      <c r="E27" s="84"/>
      <c r="F27" s="84"/>
      <c r="G27" s="84"/>
      <c r="H27" s="84"/>
      <c r="I27" s="84"/>
      <c r="J27" s="84"/>
      <c r="S27" s="2441" t="s">
        <v>2543</v>
      </c>
      <c r="T27" s="84">
        <v>1630097</v>
      </c>
      <c r="U27" s="84">
        <v>20</v>
      </c>
      <c r="V27" s="84">
        <v>1.4670000000000001</v>
      </c>
      <c r="W27" s="84" t="s">
        <v>2544</v>
      </c>
      <c r="X27" s="84"/>
    </row>
    <row r="28" spans="3:39">
      <c r="C28" s="84"/>
      <c r="D28" s="84"/>
      <c r="E28" s="84"/>
      <c r="F28" s="84"/>
      <c r="G28" s="84"/>
      <c r="H28" s="84"/>
      <c r="I28" s="84"/>
      <c r="J28" s="84"/>
      <c r="S28" s="2441" t="s">
        <v>2543</v>
      </c>
      <c r="T28" s="84">
        <v>1630097</v>
      </c>
      <c r="U28" s="84">
        <v>12</v>
      </c>
      <c r="V28" s="84">
        <v>0.877</v>
      </c>
      <c r="W28" s="84" t="s">
        <v>2545</v>
      </c>
      <c r="X28" s="84"/>
    </row>
    <row r="29" spans="3:39">
      <c r="C29" s="84"/>
      <c r="D29" s="84"/>
      <c r="E29" s="84"/>
      <c r="F29" s="84"/>
      <c r="G29" s="84"/>
      <c r="H29" s="84"/>
      <c r="I29" s="84"/>
      <c r="J29" s="84"/>
      <c r="S29" s="84" t="s">
        <v>2284</v>
      </c>
      <c r="T29" s="84"/>
      <c r="U29" s="84"/>
      <c r="V29" s="84">
        <f>SUM(V27:V28)</f>
        <v>2.3440000000000003</v>
      </c>
      <c r="W29" s="84"/>
      <c r="X29" s="84"/>
    </row>
    <row r="30" spans="3:39">
      <c r="C30" s="84"/>
      <c r="D30" s="84"/>
      <c r="E30" s="84"/>
      <c r="F30" s="84"/>
      <c r="G30" s="84"/>
      <c r="H30" s="84"/>
      <c r="I30" s="84"/>
      <c r="J30" s="84"/>
      <c r="S30" s="2441" t="s">
        <v>2543</v>
      </c>
      <c r="T30" s="84">
        <v>1630102</v>
      </c>
      <c r="U30" s="84">
        <v>20</v>
      </c>
      <c r="V30" s="84">
        <v>1.4710000000000001</v>
      </c>
      <c r="W30" s="84" t="s">
        <v>2546</v>
      </c>
      <c r="X30" s="84"/>
    </row>
    <row r="31" spans="3:39">
      <c r="C31" s="84"/>
      <c r="D31" s="84"/>
      <c r="E31" s="84"/>
      <c r="F31" s="84"/>
      <c r="G31" s="84"/>
      <c r="H31" s="84"/>
      <c r="I31" s="84"/>
      <c r="J31" s="84"/>
      <c r="S31" s="2441" t="s">
        <v>2543</v>
      </c>
      <c r="T31" s="84">
        <v>1630102</v>
      </c>
      <c r="U31" s="84">
        <v>24</v>
      </c>
      <c r="V31" s="84">
        <v>1.7669999999999999</v>
      </c>
      <c r="W31" s="84" t="s">
        <v>2547</v>
      </c>
      <c r="X31" s="84"/>
    </row>
    <row r="32" spans="3:39">
      <c r="S32" s="2441" t="s">
        <v>2543</v>
      </c>
      <c r="T32" s="84">
        <v>1630102</v>
      </c>
      <c r="U32" s="84">
        <v>24</v>
      </c>
      <c r="V32" s="84">
        <v>1.768</v>
      </c>
      <c r="W32" s="84" t="s">
        <v>2548</v>
      </c>
      <c r="X32" s="84"/>
    </row>
    <row r="33" spans="1:24">
      <c r="S33" s="2441" t="s">
        <v>2543</v>
      </c>
      <c r="T33" s="84">
        <v>1630102</v>
      </c>
      <c r="U33" s="84">
        <v>20</v>
      </c>
      <c r="V33" s="84">
        <v>1.474</v>
      </c>
      <c r="W33" s="84" t="s">
        <v>2549</v>
      </c>
      <c r="X33" s="84"/>
    </row>
    <row r="34" spans="1:24">
      <c r="S34" s="2441" t="s">
        <v>2543</v>
      </c>
      <c r="T34" s="84">
        <v>1630102</v>
      </c>
      <c r="U34" s="84">
        <v>20</v>
      </c>
      <c r="V34" s="84">
        <v>1.4730000000000001</v>
      </c>
      <c r="W34" s="84" t="s">
        <v>2550</v>
      </c>
      <c r="X34" s="84"/>
    </row>
    <row r="35" spans="1:24">
      <c r="S35" s="2441" t="s">
        <v>2543</v>
      </c>
      <c r="T35" s="84">
        <v>1630102</v>
      </c>
      <c r="U35" s="84">
        <v>21</v>
      </c>
      <c r="V35" s="84">
        <v>1.5449999999999999</v>
      </c>
      <c r="W35" s="84" t="s">
        <v>2551</v>
      </c>
      <c r="X35" s="84"/>
    </row>
    <row r="36" spans="1:24">
      <c r="S36" s="2441" t="s">
        <v>2543</v>
      </c>
      <c r="T36" s="84">
        <v>1630102</v>
      </c>
      <c r="U36" s="84">
        <v>18</v>
      </c>
      <c r="V36" s="84">
        <v>1.331</v>
      </c>
      <c r="W36" s="84" t="s">
        <v>2552</v>
      </c>
      <c r="X36" s="84"/>
    </row>
    <row r="37" spans="1:24" ht="18">
      <c r="A37" s="14" t="s">
        <v>2553</v>
      </c>
      <c r="B37" s="14"/>
      <c r="C37" s="14"/>
      <c r="S37" s="2441" t="s">
        <v>2543</v>
      </c>
      <c r="T37" s="84">
        <v>1630102</v>
      </c>
      <c r="U37" s="84">
        <v>17</v>
      </c>
      <c r="V37" s="84">
        <v>1.2549999999999999</v>
      </c>
      <c r="W37" s="84" t="s">
        <v>2554</v>
      </c>
      <c r="X37" s="84"/>
    </row>
    <row r="38" spans="1:24">
      <c r="A38" s="1029"/>
      <c r="B38" s="2458" t="s">
        <v>2555</v>
      </c>
      <c r="C38" s="2458" t="s">
        <v>2556</v>
      </c>
      <c r="D38" s="2458" t="s">
        <v>2557</v>
      </c>
      <c r="E38" s="2458" t="s">
        <v>2558</v>
      </c>
      <c r="F38" s="2458" t="s">
        <v>2559</v>
      </c>
      <c r="G38" s="2458" t="s">
        <v>2560</v>
      </c>
      <c r="H38" s="2459" t="s">
        <v>2561</v>
      </c>
      <c r="S38" s="84" t="s">
        <v>2284</v>
      </c>
      <c r="T38" s="84"/>
      <c r="U38" s="84"/>
      <c r="V38" s="84">
        <f>SUM(V30:V37)</f>
        <v>12.084</v>
      </c>
      <c r="W38" s="84"/>
      <c r="X38" s="84"/>
    </row>
    <row r="39" spans="1:24">
      <c r="A39" s="1030" t="s">
        <v>780</v>
      </c>
      <c r="B39" s="1031">
        <v>12555.665000000006</v>
      </c>
      <c r="C39" s="1031">
        <v>11176.940000000006</v>
      </c>
      <c r="D39" s="1031">
        <v>11735.703</v>
      </c>
      <c r="E39" s="1031">
        <v>11516.032999999998</v>
      </c>
      <c r="F39" s="1031">
        <v>11489.092999999999</v>
      </c>
      <c r="G39" s="1031">
        <v>12646.543000000001</v>
      </c>
      <c r="H39" s="1031">
        <v>11556.560999999998</v>
      </c>
      <c r="S39" s="84" t="s">
        <v>2562</v>
      </c>
      <c r="T39" s="84">
        <v>1530588</v>
      </c>
      <c r="U39" s="84">
        <v>20</v>
      </c>
      <c r="V39" s="84">
        <v>1.508</v>
      </c>
      <c r="W39" s="84" t="s">
        <v>2563</v>
      </c>
      <c r="X39" s="84"/>
    </row>
    <row r="40" spans="1:24">
      <c r="A40" s="1030" t="s">
        <v>256</v>
      </c>
      <c r="B40" s="1032">
        <v>322.197</v>
      </c>
      <c r="C40" s="1032">
        <v>325.58700000000005</v>
      </c>
      <c r="D40" s="1032">
        <v>321.42700000000002</v>
      </c>
      <c r="E40" s="1032">
        <v>373.387</v>
      </c>
      <c r="F40" s="1032">
        <v>341.60699999999997</v>
      </c>
      <c r="G40" s="1032">
        <v>340.12699999999995</v>
      </c>
      <c r="H40" s="1032">
        <v>340.43699999999995</v>
      </c>
      <c r="S40" s="84"/>
      <c r="T40" s="84" t="s">
        <v>103</v>
      </c>
      <c r="U40" s="84"/>
      <c r="V40" s="84">
        <f>+V39+V38+V29</f>
        <v>15.936</v>
      </c>
      <c r="W40" s="84"/>
      <c r="X40" s="84"/>
    </row>
    <row r="41" spans="1:24">
      <c r="A41" s="1030" t="s">
        <v>643</v>
      </c>
      <c r="B41" s="1032">
        <v>1426.1550000000002</v>
      </c>
      <c r="C41" s="1032">
        <v>1404.5000000000002</v>
      </c>
      <c r="D41" s="1032">
        <v>1304.23</v>
      </c>
      <c r="E41" s="1032">
        <v>1296.4770000000001</v>
      </c>
      <c r="F41" s="1032">
        <v>1370.857</v>
      </c>
      <c r="G41" s="1032">
        <v>1463.8870000000002</v>
      </c>
      <c r="H41" s="1032">
        <v>1577.1580000000001</v>
      </c>
    </row>
    <row r="42" spans="1:24">
      <c r="A42" s="1030" t="s">
        <v>257</v>
      </c>
      <c r="B42" s="1032">
        <v>1034.6779999999999</v>
      </c>
      <c r="C42" s="1032">
        <v>1046.4329999999998</v>
      </c>
      <c r="D42" s="1032">
        <v>967.73</v>
      </c>
      <c r="E42" s="1032">
        <v>943.03200000000004</v>
      </c>
      <c r="F42" s="1032">
        <v>887.346</v>
      </c>
      <c r="G42" s="1032">
        <v>836.52599999999995</v>
      </c>
      <c r="H42" s="1032">
        <v>826.90199999999993</v>
      </c>
    </row>
    <row r="43" spans="1:24">
      <c r="A43" s="1030" t="s">
        <v>153</v>
      </c>
      <c r="B43" s="1032">
        <v>1653.1380000000001</v>
      </c>
      <c r="C43" s="1032">
        <v>1846.277</v>
      </c>
      <c r="D43" s="1032">
        <v>977.73299999999995</v>
      </c>
      <c r="E43" s="1032">
        <v>977.73299999999995</v>
      </c>
      <c r="F43" s="1032">
        <v>971.56299999999987</v>
      </c>
      <c r="G43" s="1032">
        <v>963.19299999999987</v>
      </c>
      <c r="H43" s="1032">
        <v>963.19299999999987</v>
      </c>
    </row>
    <row r="44" spans="1:24">
      <c r="A44" s="1030" t="s">
        <v>335</v>
      </c>
      <c r="B44" s="1032">
        <v>223.59599999999995</v>
      </c>
      <c r="C44" s="1032">
        <v>223.59599999999995</v>
      </c>
      <c r="D44" s="1032">
        <v>223.59599999999995</v>
      </c>
      <c r="E44" s="1032">
        <v>224.03599999999994</v>
      </c>
      <c r="F44" s="1032">
        <v>224.03599999999994</v>
      </c>
      <c r="G44" s="1032">
        <v>224.03599999999994</v>
      </c>
      <c r="H44" s="1032">
        <v>224.03599999999994</v>
      </c>
    </row>
    <row r="45" spans="1:24">
      <c r="A45" s="1030" t="s">
        <v>412</v>
      </c>
      <c r="B45" s="1032">
        <v>0</v>
      </c>
      <c r="C45" s="1032">
        <v>0</v>
      </c>
      <c r="D45" s="1032">
        <v>0</v>
      </c>
      <c r="E45" s="1032">
        <v>0</v>
      </c>
      <c r="F45" s="1032">
        <v>0</v>
      </c>
      <c r="G45" s="1032">
        <v>0</v>
      </c>
      <c r="H45" s="1032">
        <v>0</v>
      </c>
    </row>
    <row r="46" spans="1:24">
      <c r="A46" s="1030" t="s">
        <v>788</v>
      </c>
      <c r="B46" s="1032">
        <v>0</v>
      </c>
      <c r="C46" s="1032">
        <v>0</v>
      </c>
      <c r="D46" s="1032">
        <v>0</v>
      </c>
      <c r="E46" s="1032">
        <v>0</v>
      </c>
      <c r="F46" s="1032">
        <v>0</v>
      </c>
      <c r="G46" s="1032">
        <v>0</v>
      </c>
      <c r="H46" s="1032">
        <v>0</v>
      </c>
    </row>
    <row r="47" spans="1:24" ht="20.25">
      <c r="A47" s="1030" t="s">
        <v>667</v>
      </c>
      <c r="B47" s="1033">
        <v>166.21</v>
      </c>
      <c r="C47" s="1033">
        <v>166.21</v>
      </c>
      <c r="D47" s="1032">
        <v>0</v>
      </c>
      <c r="E47" s="1032">
        <v>0</v>
      </c>
      <c r="F47" s="1032">
        <v>0</v>
      </c>
      <c r="G47" s="1032">
        <v>0</v>
      </c>
      <c r="H47" s="1034">
        <v>0</v>
      </c>
    </row>
    <row r="48" spans="1:24" ht="20.25">
      <c r="A48" s="1030" t="s">
        <v>789</v>
      </c>
      <c r="B48" s="1033">
        <v>52</v>
      </c>
      <c r="C48" s="1033">
        <v>52</v>
      </c>
      <c r="D48" s="1032">
        <v>52</v>
      </c>
      <c r="E48" s="1032">
        <v>52</v>
      </c>
      <c r="F48" s="1032">
        <v>52</v>
      </c>
      <c r="G48" s="1032">
        <v>52</v>
      </c>
      <c r="H48" s="1034">
        <v>52</v>
      </c>
    </row>
    <row r="49" spans="1:13" ht="20.25">
      <c r="A49" s="1030" t="s">
        <v>672</v>
      </c>
      <c r="B49" s="1033">
        <v>184.14099999999999</v>
      </c>
      <c r="C49" s="1033">
        <v>184.14099999999999</v>
      </c>
      <c r="D49" s="1032">
        <v>184.14099999999999</v>
      </c>
      <c r="E49" s="1032">
        <v>184.14099999999999</v>
      </c>
      <c r="F49" s="1032">
        <v>184.14099999999999</v>
      </c>
      <c r="G49" s="1032">
        <v>184.14099999999999</v>
      </c>
      <c r="H49" s="1034">
        <v>184.14099999999999</v>
      </c>
    </row>
    <row r="50" spans="1:13" ht="15.75">
      <c r="A50" s="1030" t="s">
        <v>80</v>
      </c>
      <c r="B50" s="1035">
        <v>94.480000000000246</v>
      </c>
      <c r="C50" s="1035">
        <v>118.37000000000057</v>
      </c>
      <c r="D50" s="1036">
        <v>285.94</v>
      </c>
      <c r="E50" s="1036">
        <v>249.32</v>
      </c>
      <c r="F50" s="1036">
        <v>151.44999999999999</v>
      </c>
      <c r="G50" s="1036">
        <v>140.9</v>
      </c>
      <c r="H50" s="1037">
        <v>174.31000000000006</v>
      </c>
    </row>
    <row r="51" spans="1:13">
      <c r="A51" s="1038" t="s">
        <v>23</v>
      </c>
      <c r="B51" s="1032">
        <f>SUM(B39:B50)</f>
        <v>17712.260000000006</v>
      </c>
      <c r="C51" s="1032">
        <f t="shared" ref="C51:H51" si="0">SUM(C39:C50)</f>
        <v>16544.054000000004</v>
      </c>
      <c r="D51" s="1032">
        <f t="shared" si="0"/>
        <v>16052.499999999998</v>
      </c>
      <c r="E51" s="1032">
        <f t="shared" si="0"/>
        <v>15816.158999999998</v>
      </c>
      <c r="F51" s="1032">
        <f t="shared" si="0"/>
        <v>15672.092999999999</v>
      </c>
      <c r="G51" s="1032">
        <f t="shared" si="0"/>
        <v>16851.353000000003</v>
      </c>
      <c r="H51" s="1032">
        <f t="shared" si="0"/>
        <v>15898.737999999996</v>
      </c>
    </row>
    <row r="52" spans="1:13">
      <c r="A52" s="1039"/>
      <c r="B52" s="499"/>
      <c r="C52" s="499"/>
      <c r="D52" s="499"/>
      <c r="E52" s="499"/>
      <c r="F52" s="499"/>
      <c r="G52" s="499"/>
      <c r="H52" s="499"/>
    </row>
    <row r="55" spans="1:13" ht="18">
      <c r="A55" s="14" t="s">
        <v>2564</v>
      </c>
      <c r="B55" s="14"/>
      <c r="C55" s="14"/>
    </row>
    <row r="56" spans="1:13" ht="18">
      <c r="A56" s="268"/>
      <c r="B56" s="2460" t="s">
        <v>2565</v>
      </c>
      <c r="C56" s="2460" t="s">
        <v>2566</v>
      </c>
      <c r="D56" s="2460" t="s">
        <v>2567</v>
      </c>
      <c r="E56" s="2460" t="s">
        <v>2568</v>
      </c>
      <c r="F56" s="2460" t="s">
        <v>2569</v>
      </c>
      <c r="G56" s="2460" t="s">
        <v>2570</v>
      </c>
      <c r="H56" s="2460" t="s">
        <v>2571</v>
      </c>
      <c r="I56" s="2460" t="s">
        <v>2572</v>
      </c>
      <c r="J56" s="2460" t="s">
        <v>2573</v>
      </c>
      <c r="K56" s="2460" t="s">
        <v>2574</v>
      </c>
      <c r="L56" s="2460" t="s">
        <v>2575</v>
      </c>
      <c r="M56" s="2460" t="s">
        <v>2576</v>
      </c>
    </row>
    <row r="57" spans="1:13">
      <c r="A57" s="1040" t="s">
        <v>780</v>
      </c>
      <c r="B57" s="89">
        <v>14466.547000000006</v>
      </c>
      <c r="C57" s="89">
        <v>13651.412000000004</v>
      </c>
      <c r="D57" s="89">
        <v>13451.389300000006</v>
      </c>
      <c r="E57" s="89">
        <v>10179.789300000008</v>
      </c>
      <c r="F57" s="508">
        <v>11730.319300000006</v>
      </c>
      <c r="G57" s="508">
        <v>11580.808300000008</v>
      </c>
      <c r="H57" s="508">
        <v>13284.184300000006</v>
      </c>
      <c r="I57" s="508">
        <v>11044.104300000003</v>
      </c>
      <c r="J57" s="508">
        <v>10585.799300000001</v>
      </c>
      <c r="K57" s="508">
        <v>12450.844300000001</v>
      </c>
      <c r="L57" s="508">
        <v>12626.8143</v>
      </c>
      <c r="M57" s="58">
        <v>13412.719300000001</v>
      </c>
    </row>
    <row r="58" spans="1:13">
      <c r="A58" s="1041" t="s">
        <v>256</v>
      </c>
      <c r="B58" s="89">
        <v>148.33300000000003</v>
      </c>
      <c r="C58" s="89">
        <v>167.67300000000003</v>
      </c>
      <c r="D58" s="89">
        <v>161.85300000000004</v>
      </c>
      <c r="E58" s="89">
        <v>160.85300000000004</v>
      </c>
      <c r="F58" s="508">
        <v>167.13300000000004</v>
      </c>
      <c r="G58" s="508">
        <v>167.76200000000006</v>
      </c>
      <c r="H58" s="508">
        <v>167.13300000000004</v>
      </c>
      <c r="I58" s="508">
        <v>146.38300000000004</v>
      </c>
      <c r="J58" s="508">
        <v>136.56300000000005</v>
      </c>
      <c r="K58" s="508">
        <v>141.01300000000003</v>
      </c>
      <c r="L58" s="508">
        <v>141.01300000000003</v>
      </c>
      <c r="M58" s="58">
        <v>169.63100000000003</v>
      </c>
    </row>
    <row r="59" spans="1:13">
      <c r="A59" s="1041" t="s">
        <v>643</v>
      </c>
      <c r="B59" s="89">
        <v>1589.2610000000002</v>
      </c>
      <c r="C59" s="89">
        <v>1701.0310000000002</v>
      </c>
      <c r="D59" s="89">
        <v>1590.3010000000004</v>
      </c>
      <c r="E59" s="89">
        <v>1650.8510000000006</v>
      </c>
      <c r="F59" s="508">
        <v>1603.6910000000007</v>
      </c>
      <c r="G59" s="508">
        <v>1616.3510000000006</v>
      </c>
      <c r="H59" s="508">
        <v>1517.3070000000009</v>
      </c>
      <c r="I59" s="508">
        <v>1566.777000000001</v>
      </c>
      <c r="J59" s="508">
        <v>1613.5670000000009</v>
      </c>
      <c r="K59" s="508">
        <v>1630.9070000000011</v>
      </c>
      <c r="L59" s="508">
        <v>1737.1370000000011</v>
      </c>
      <c r="M59" s="58">
        <v>1652.2690000000011</v>
      </c>
    </row>
    <row r="60" spans="1:13">
      <c r="A60" s="1041" t="s">
        <v>257</v>
      </c>
      <c r="B60" s="89">
        <v>1073.8124000000005</v>
      </c>
      <c r="C60" s="89">
        <v>1171.8284000000006</v>
      </c>
      <c r="D60" s="89">
        <v>1223.5534000000005</v>
      </c>
      <c r="E60" s="89">
        <v>1224.8444000000004</v>
      </c>
      <c r="F60" s="508">
        <v>1255.4121000000005</v>
      </c>
      <c r="G60" s="508">
        <v>1324.5921000000005</v>
      </c>
      <c r="H60" s="508">
        <v>1181.1458000000005</v>
      </c>
      <c r="I60" s="508">
        <v>1208.0408000000004</v>
      </c>
      <c r="J60" s="508">
        <v>1174.6558000000005</v>
      </c>
      <c r="K60" s="508">
        <v>1253.1698000000004</v>
      </c>
      <c r="L60" s="508">
        <v>1250.8278000000005</v>
      </c>
      <c r="M60" s="58">
        <v>1229.2278000000006</v>
      </c>
    </row>
    <row r="61" spans="1:13">
      <c r="A61" s="1041" t="s">
        <v>153</v>
      </c>
      <c r="B61" s="89">
        <v>2677.078</v>
      </c>
      <c r="C61" s="89">
        <v>2809.1979999999999</v>
      </c>
      <c r="D61" s="89">
        <v>2899.288</v>
      </c>
      <c r="E61" s="89">
        <v>2531.2779999999998</v>
      </c>
      <c r="F61" s="508">
        <v>2391.7280000000001</v>
      </c>
      <c r="G61" s="508">
        <v>1983.018</v>
      </c>
      <c r="H61" s="508">
        <v>2391.768</v>
      </c>
      <c r="I61" s="508">
        <v>2404.933</v>
      </c>
      <c r="J61" s="508">
        <v>2425.0929999999998</v>
      </c>
      <c r="K61" s="508">
        <v>2404.2629999999999</v>
      </c>
      <c r="L61" s="508">
        <v>2356.7429999999999</v>
      </c>
      <c r="M61" s="58">
        <v>2356.7429999999999</v>
      </c>
    </row>
    <row r="62" spans="1:13">
      <c r="A62" s="1041" t="s">
        <v>335</v>
      </c>
      <c r="B62" s="89">
        <v>336.56800000000038</v>
      </c>
      <c r="C62" s="89">
        <v>335.99800000000027</v>
      </c>
      <c r="D62" s="89">
        <v>335.99800000000027</v>
      </c>
      <c r="E62" s="89">
        <v>685.47800000000052</v>
      </c>
      <c r="F62" s="508">
        <v>805.64800000000059</v>
      </c>
      <c r="G62" s="508">
        <v>829.1490000000008</v>
      </c>
      <c r="H62" s="508">
        <v>345.41800000000057</v>
      </c>
      <c r="I62" s="508">
        <v>642.91800000000057</v>
      </c>
      <c r="J62" s="508">
        <v>279.12800000000061</v>
      </c>
      <c r="K62" s="508">
        <v>414.64800000000059</v>
      </c>
      <c r="L62" s="508">
        <v>588.96800000000064</v>
      </c>
      <c r="M62" s="58">
        <v>367.42800000000062</v>
      </c>
    </row>
    <row r="63" spans="1:13">
      <c r="A63" s="1041" t="s">
        <v>412</v>
      </c>
      <c r="B63" s="89">
        <v>156.06</v>
      </c>
      <c r="C63" s="89">
        <v>86.60999999999953</v>
      </c>
      <c r="D63" s="89">
        <v>164.10999999999953</v>
      </c>
      <c r="E63" s="89">
        <v>73.829999999999529</v>
      </c>
      <c r="F63" s="508">
        <v>36.679999999999524</v>
      </c>
      <c r="G63" s="508">
        <v>54.189999999999515</v>
      </c>
      <c r="H63" s="508">
        <v>15.059999999999523</v>
      </c>
      <c r="I63" s="508">
        <v>11.499999999999522</v>
      </c>
      <c r="J63" s="508">
        <v>11.499999999999522</v>
      </c>
      <c r="K63" s="508">
        <v>11.499999999999522</v>
      </c>
      <c r="L63" s="508">
        <v>0</v>
      </c>
      <c r="M63" s="58">
        <v>0</v>
      </c>
    </row>
    <row r="64" spans="1:13">
      <c r="A64" s="1041" t="s">
        <v>788</v>
      </c>
      <c r="B64" s="89">
        <v>0</v>
      </c>
      <c r="C64" s="89">
        <v>0</v>
      </c>
      <c r="D64" s="89">
        <v>0</v>
      </c>
      <c r="E64" s="89">
        <v>0</v>
      </c>
      <c r="F64" s="508">
        <v>0</v>
      </c>
      <c r="G64" s="508">
        <v>0</v>
      </c>
      <c r="H64" s="508">
        <v>0</v>
      </c>
      <c r="I64" s="508">
        <v>0</v>
      </c>
      <c r="J64" s="508">
        <v>0</v>
      </c>
      <c r="K64" s="508">
        <v>0</v>
      </c>
      <c r="L64" s="508">
        <v>0</v>
      </c>
      <c r="M64" s="58">
        <v>0</v>
      </c>
    </row>
    <row r="65" spans="1:13">
      <c r="A65" s="1041" t="s">
        <v>667</v>
      </c>
      <c r="B65" s="89">
        <v>73</v>
      </c>
      <c r="C65" s="89">
        <v>73</v>
      </c>
      <c r="D65" s="89">
        <v>73</v>
      </c>
      <c r="E65" s="89">
        <v>73</v>
      </c>
      <c r="F65" s="508">
        <v>73</v>
      </c>
      <c r="G65" s="508">
        <v>73</v>
      </c>
      <c r="H65" s="508">
        <v>73</v>
      </c>
      <c r="I65" s="508">
        <v>73</v>
      </c>
      <c r="J65" s="508">
        <v>73</v>
      </c>
      <c r="K65" s="508">
        <v>73</v>
      </c>
      <c r="L65" s="508">
        <v>73</v>
      </c>
      <c r="M65" s="58">
        <v>73</v>
      </c>
    </row>
    <row r="66" spans="1:13">
      <c r="A66" s="1041" t="s">
        <v>789</v>
      </c>
      <c r="B66" s="89">
        <v>52</v>
      </c>
      <c r="C66" s="89">
        <v>52</v>
      </c>
      <c r="D66" s="89">
        <v>52</v>
      </c>
      <c r="E66" s="89">
        <v>52</v>
      </c>
      <c r="F66" s="508">
        <v>52</v>
      </c>
      <c r="G66" s="508">
        <v>52</v>
      </c>
      <c r="H66" s="508">
        <v>52</v>
      </c>
      <c r="I66" s="508">
        <v>52</v>
      </c>
      <c r="J66" s="508">
        <v>52</v>
      </c>
      <c r="K66" s="508">
        <v>52</v>
      </c>
      <c r="L66" s="508">
        <v>52</v>
      </c>
      <c r="M66" s="58">
        <v>52</v>
      </c>
    </row>
    <row r="67" spans="1:13">
      <c r="A67" s="1041" t="s">
        <v>672</v>
      </c>
      <c r="B67" s="89">
        <v>177</v>
      </c>
      <c r="C67" s="89">
        <v>177</v>
      </c>
      <c r="D67" s="89">
        <v>177</v>
      </c>
      <c r="E67" s="89">
        <v>177</v>
      </c>
      <c r="F67" s="508">
        <v>177</v>
      </c>
      <c r="G67" s="508">
        <v>177</v>
      </c>
      <c r="H67" s="508">
        <v>177</v>
      </c>
      <c r="I67" s="508">
        <v>177</v>
      </c>
      <c r="J67" s="508">
        <v>177</v>
      </c>
      <c r="K67" s="508">
        <v>177</v>
      </c>
      <c r="L67" s="508">
        <v>177</v>
      </c>
      <c r="M67" s="58">
        <v>177</v>
      </c>
    </row>
    <row r="68" spans="1:13">
      <c r="A68" s="1041" t="s">
        <v>80</v>
      </c>
      <c r="B68" s="89">
        <v>441.32299999999987</v>
      </c>
      <c r="C68" s="89">
        <v>478.79299999999978</v>
      </c>
      <c r="D68" s="89">
        <v>471.41299999999973</v>
      </c>
      <c r="E68" s="89">
        <v>345.28299999999973</v>
      </c>
      <c r="F68" s="508">
        <v>327.24299999999971</v>
      </c>
      <c r="G68" s="508">
        <v>352.95299999999969</v>
      </c>
      <c r="H68" s="508">
        <v>333.3829999999997</v>
      </c>
      <c r="I68" s="508">
        <v>303.83299999999969</v>
      </c>
      <c r="J68" s="508">
        <v>313.64299999999969</v>
      </c>
      <c r="K68" s="508">
        <v>366.85299999999972</v>
      </c>
      <c r="L68" s="508">
        <v>353.40299999999968</v>
      </c>
      <c r="M68" s="58">
        <v>343.23299999999961</v>
      </c>
    </row>
    <row r="69" spans="1:13">
      <c r="A69" s="1047" t="s">
        <v>23</v>
      </c>
      <c r="B69" s="1048">
        <f>SUM(B57:B68)</f>
        <v>21190.982400000008</v>
      </c>
      <c r="C69" s="1049">
        <f t="shared" ref="C69:M69" si="1">SUM(C57:C68)</f>
        <v>20704.54340000001</v>
      </c>
      <c r="D69" s="1049">
        <f t="shared" si="1"/>
        <v>20599.905700000007</v>
      </c>
      <c r="E69" s="1049">
        <f t="shared" si="1"/>
        <v>17154.206700000006</v>
      </c>
      <c r="F69" s="1049">
        <f t="shared" si="1"/>
        <v>18619.854400000007</v>
      </c>
      <c r="G69" s="1049">
        <f t="shared" si="1"/>
        <v>18210.823400000008</v>
      </c>
      <c r="H69" s="1049">
        <f t="shared" si="1"/>
        <v>19537.399100000006</v>
      </c>
      <c r="I69" s="1049">
        <f t="shared" si="1"/>
        <v>17630.489100000003</v>
      </c>
      <c r="J69" s="1049">
        <f t="shared" si="1"/>
        <v>16841.949100000002</v>
      </c>
      <c r="K69" s="1049">
        <f t="shared" si="1"/>
        <v>18975.198100000001</v>
      </c>
      <c r="L69" s="1049">
        <f t="shared" si="1"/>
        <v>19356.9061</v>
      </c>
      <c r="M69" s="1049">
        <f t="shared" si="1"/>
        <v>19833.251100000001</v>
      </c>
    </row>
    <row r="79" spans="1:13" ht="18">
      <c r="A79" s="14" t="s">
        <v>2577</v>
      </c>
      <c r="B79" s="84"/>
      <c r="C79" s="84"/>
      <c r="D79" s="84"/>
      <c r="E79" s="84"/>
      <c r="F79" s="84"/>
      <c r="G79" s="84"/>
      <c r="H79" s="84"/>
    </row>
    <row r="80" spans="1:13">
      <c r="A80" s="84" t="s">
        <v>2237</v>
      </c>
      <c r="B80" s="84"/>
      <c r="C80" s="84"/>
      <c r="D80" s="84"/>
      <c r="E80" s="84"/>
      <c r="F80" s="84"/>
      <c r="G80" s="84"/>
      <c r="H80" s="84"/>
    </row>
    <row r="81" spans="1:8">
      <c r="A81" s="84"/>
      <c r="B81" s="84" t="s">
        <v>2578</v>
      </c>
      <c r="C81" s="84" t="s">
        <v>2579</v>
      </c>
      <c r="D81" s="84" t="s">
        <v>2580</v>
      </c>
      <c r="E81" s="84" t="s">
        <v>2581</v>
      </c>
      <c r="F81" s="84" t="s">
        <v>2582</v>
      </c>
      <c r="G81" s="84" t="s">
        <v>2583</v>
      </c>
      <c r="H81" s="84"/>
    </row>
    <row r="82" spans="1:8">
      <c r="A82" s="84"/>
      <c r="B82" s="84">
        <v>2000</v>
      </c>
      <c r="C82" s="84">
        <v>1968</v>
      </c>
      <c r="D82" s="84">
        <v>1926</v>
      </c>
      <c r="E82" s="84">
        <v>1920</v>
      </c>
      <c r="F82" s="84">
        <v>80</v>
      </c>
      <c r="G82" s="84">
        <v>6.06</v>
      </c>
      <c r="H82" s="84"/>
    </row>
    <row r="83" spans="1:8">
      <c r="A83" s="84" t="s">
        <v>2584</v>
      </c>
      <c r="B83" s="84">
        <v>1000</v>
      </c>
      <c r="C83" s="84">
        <v>727</v>
      </c>
      <c r="D83" s="84">
        <v>618</v>
      </c>
      <c r="E83" s="84">
        <f>379+198</f>
        <v>577</v>
      </c>
      <c r="F83" s="84">
        <v>620</v>
      </c>
      <c r="G83" s="84">
        <f>+D83-E83</f>
        <v>41</v>
      </c>
      <c r="H83" s="84"/>
    </row>
    <row r="109" spans="2:5">
      <c r="B109" t="s">
        <v>2585</v>
      </c>
    </row>
    <row r="110" spans="2:5">
      <c r="B110" t="s">
        <v>876</v>
      </c>
      <c r="C110" t="s">
        <v>2586</v>
      </c>
      <c r="D110" t="s">
        <v>2587</v>
      </c>
      <c r="E110" t="s">
        <v>2588</v>
      </c>
    </row>
    <row r="111" spans="2:5">
      <c r="B111">
        <v>2220222</v>
      </c>
      <c r="C111">
        <v>12</v>
      </c>
      <c r="D111">
        <v>4.05</v>
      </c>
      <c r="E111">
        <f>+D111*C111</f>
        <v>48.599999999999994</v>
      </c>
    </row>
    <row r="112" spans="2:5">
      <c r="B112">
        <v>2220223</v>
      </c>
      <c r="C112">
        <v>13</v>
      </c>
      <c r="D112">
        <v>4.05</v>
      </c>
      <c r="E112">
        <f>+D112*C112</f>
        <v>52.65</v>
      </c>
    </row>
    <row r="113" spans="2:5">
      <c r="B113">
        <v>2220224</v>
      </c>
      <c r="C113">
        <v>12</v>
      </c>
      <c r="D113">
        <v>4.05</v>
      </c>
      <c r="E113">
        <f>+D113*C113</f>
        <v>48.599999999999994</v>
      </c>
    </row>
    <row r="114" spans="2:5">
      <c r="B114">
        <v>2220225</v>
      </c>
      <c r="C114">
        <v>13</v>
      </c>
      <c r="D114">
        <v>4.05</v>
      </c>
      <c r="E114">
        <f>+D114*C114</f>
        <v>52.65</v>
      </c>
    </row>
    <row r="115" spans="2:5">
      <c r="E115">
        <f>SUM(E111:E114)</f>
        <v>202.5</v>
      </c>
    </row>
    <row r="122" spans="2:5">
      <c r="B122">
        <v>2230236</v>
      </c>
      <c r="C122">
        <v>13</v>
      </c>
      <c r="D122">
        <v>4.05</v>
      </c>
      <c r="E122">
        <f t="shared" ref="E122:E128" si="2">+D122*C122</f>
        <v>52.65</v>
      </c>
    </row>
    <row r="123" spans="2:5">
      <c r="B123">
        <v>2230237</v>
      </c>
      <c r="C123">
        <v>12</v>
      </c>
      <c r="D123">
        <v>4.05</v>
      </c>
      <c r="E123">
        <f t="shared" si="2"/>
        <v>48.599999999999994</v>
      </c>
    </row>
    <row r="124" spans="2:5">
      <c r="B124">
        <v>2230238</v>
      </c>
      <c r="C124">
        <v>13</v>
      </c>
      <c r="D124">
        <v>4.05</v>
      </c>
      <c r="E124">
        <f t="shared" si="2"/>
        <v>52.65</v>
      </c>
    </row>
    <row r="125" spans="2:5">
      <c r="B125">
        <v>2230239</v>
      </c>
      <c r="C125">
        <v>13</v>
      </c>
      <c r="D125">
        <v>4.05</v>
      </c>
      <c r="E125">
        <f t="shared" si="2"/>
        <v>52.65</v>
      </c>
    </row>
    <row r="126" spans="2:5">
      <c r="B126">
        <v>2230240</v>
      </c>
      <c r="C126">
        <v>13</v>
      </c>
      <c r="D126">
        <v>4.05</v>
      </c>
      <c r="E126">
        <f t="shared" si="2"/>
        <v>52.65</v>
      </c>
    </row>
    <row r="127" spans="2:5">
      <c r="B127">
        <v>2230241</v>
      </c>
      <c r="C127">
        <v>13</v>
      </c>
      <c r="D127">
        <v>4.05</v>
      </c>
      <c r="E127">
        <f t="shared" si="2"/>
        <v>52.65</v>
      </c>
    </row>
    <row r="128" spans="2:5">
      <c r="B128">
        <v>2230242</v>
      </c>
      <c r="C128">
        <v>13</v>
      </c>
      <c r="D128">
        <v>4.05</v>
      </c>
      <c r="E128">
        <f t="shared" si="2"/>
        <v>52.65</v>
      </c>
    </row>
    <row r="129" spans="2:5">
      <c r="E129">
        <f>SUM(E122:E128)</f>
        <v>364.49999999999994</v>
      </c>
    </row>
    <row r="133" spans="2:5">
      <c r="B133">
        <v>2210092</v>
      </c>
      <c r="C133">
        <v>13</v>
      </c>
      <c r="D133">
        <v>4.05</v>
      </c>
      <c r="E133">
        <f>+D133*C133</f>
        <v>52.65</v>
      </c>
    </row>
    <row r="136" spans="2:5">
      <c r="B136" t="s">
        <v>23</v>
      </c>
      <c r="E136">
        <f>+E133+E129+E115</f>
        <v>619.64999999999986</v>
      </c>
    </row>
    <row r="152" spans="1:5">
      <c r="A152" s="2913" t="s">
        <v>2589</v>
      </c>
      <c r="B152" s="2913"/>
      <c r="C152" s="2913"/>
      <c r="D152" s="2913"/>
      <c r="E152" s="140"/>
    </row>
    <row r="153" spans="1:5">
      <c r="A153" s="140"/>
      <c r="B153" s="140" t="s">
        <v>425</v>
      </c>
      <c r="C153" s="140" t="s">
        <v>427</v>
      </c>
      <c r="D153" s="140"/>
      <c r="E153" s="140"/>
    </row>
    <row r="154" spans="1:5">
      <c r="A154" s="140" t="s">
        <v>2590</v>
      </c>
      <c r="B154" s="140">
        <v>2276</v>
      </c>
      <c r="C154" s="140">
        <f>3340+140</f>
        <v>3480</v>
      </c>
      <c r="D154" s="140" t="s">
        <v>2591</v>
      </c>
      <c r="E154" s="140"/>
    </row>
    <row r="155" spans="1:5">
      <c r="A155" s="140" t="s">
        <v>2592</v>
      </c>
      <c r="B155" s="140">
        <v>223</v>
      </c>
      <c r="C155" s="140">
        <v>1046</v>
      </c>
      <c r="D155" s="140" t="s">
        <v>2159</v>
      </c>
      <c r="E155" s="140"/>
    </row>
    <row r="156" spans="1:5">
      <c r="A156" s="140" t="s">
        <v>2593</v>
      </c>
      <c r="B156" s="140">
        <v>1476</v>
      </c>
      <c r="C156" s="140">
        <v>780</v>
      </c>
      <c r="D156" s="140" t="s">
        <v>2159</v>
      </c>
      <c r="E156" s="140"/>
    </row>
    <row r="157" spans="1:5">
      <c r="A157" s="140" t="s">
        <v>2594</v>
      </c>
      <c r="B157" s="140">
        <f>1044+795</f>
        <v>1839</v>
      </c>
      <c r="C157" s="140">
        <v>1048</v>
      </c>
      <c r="D157" s="140" t="s">
        <v>2595</v>
      </c>
      <c r="E157" s="140"/>
    </row>
    <row r="158" spans="1:5">
      <c r="A158" s="140"/>
      <c r="B158" s="140"/>
      <c r="C158" s="140"/>
      <c r="D158" s="140" t="s">
        <v>2596</v>
      </c>
      <c r="E158" s="140"/>
    </row>
    <row r="159" spans="1:5">
      <c r="A159" s="140"/>
      <c r="B159" s="140"/>
      <c r="C159" s="140"/>
      <c r="D159" s="140"/>
      <c r="E159" s="140"/>
    </row>
    <row r="168" spans="6:12" ht="21">
      <c r="F168" s="201" t="s">
        <v>3325</v>
      </c>
      <c r="G168" s="202"/>
      <c r="H168" s="202"/>
      <c r="I168" s="86"/>
      <c r="J168" s="86"/>
      <c r="L168" s="201"/>
    </row>
    <row r="169" spans="6:12" ht="15.75">
      <c r="F169" s="203"/>
      <c r="G169" s="202"/>
      <c r="H169" s="202"/>
      <c r="I169" s="86"/>
      <c r="J169" s="86"/>
      <c r="L169" s="203"/>
    </row>
    <row r="170" spans="6:12" ht="18.75">
      <c r="F170" s="204" t="s">
        <v>3977</v>
      </c>
      <c r="G170" s="202"/>
      <c r="H170" s="202"/>
      <c r="I170" s="86"/>
      <c r="J170" s="86"/>
      <c r="L170" s="204"/>
    </row>
    <row r="171" spans="6:12" ht="13.5" thickBot="1">
      <c r="F171" s="205"/>
      <c r="G171" s="86"/>
      <c r="H171" s="86"/>
      <c r="I171" s="86"/>
      <c r="J171" s="86"/>
      <c r="L171" s="205"/>
    </row>
    <row r="172" spans="6:12" ht="29.25" customHeight="1" thickBot="1">
      <c r="F172" s="2962" t="s">
        <v>783</v>
      </c>
      <c r="G172" s="206" t="s">
        <v>514</v>
      </c>
      <c r="H172" s="207" t="s">
        <v>487</v>
      </c>
      <c r="I172" s="208" t="s">
        <v>3341</v>
      </c>
      <c r="J172" s="207" t="s">
        <v>3342</v>
      </c>
      <c r="K172" s="209" t="s">
        <v>3343</v>
      </c>
      <c r="L172" s="2962"/>
    </row>
    <row r="173" spans="6:12" ht="21" customHeight="1">
      <c r="F173" s="2963"/>
      <c r="G173" s="210" t="s">
        <v>149</v>
      </c>
      <c r="H173" s="211" t="s">
        <v>149</v>
      </c>
      <c r="I173" s="212" t="s">
        <v>149</v>
      </c>
      <c r="J173" s="211" t="s">
        <v>149</v>
      </c>
      <c r="K173" s="213" t="s">
        <v>149</v>
      </c>
      <c r="L173" s="2963"/>
    </row>
    <row r="174" spans="6:12" ht="16.5" customHeight="1" thickBot="1">
      <c r="F174" s="2964"/>
      <c r="G174" s="214" t="s">
        <v>634</v>
      </c>
      <c r="H174" s="215" t="s">
        <v>634</v>
      </c>
      <c r="I174" s="216" t="s">
        <v>634</v>
      </c>
      <c r="J174" s="215" t="s">
        <v>634</v>
      </c>
      <c r="K174" s="217" t="s">
        <v>634</v>
      </c>
      <c r="L174" s="2964"/>
    </row>
    <row r="175" spans="6:12" ht="36.75" customHeight="1" thickBot="1">
      <c r="F175" s="218" t="s">
        <v>3347</v>
      </c>
      <c r="G175" s="219">
        <v>0</v>
      </c>
      <c r="H175" s="220">
        <v>702.10000000000036</v>
      </c>
      <c r="I175" s="202">
        <v>6766.7999999999993</v>
      </c>
      <c r="J175" s="220">
        <v>2039.75</v>
      </c>
      <c r="K175" s="221">
        <v>0</v>
      </c>
      <c r="L175" s="218"/>
    </row>
    <row r="176" spans="6:12" ht="44.25" customHeight="1" thickBot="1">
      <c r="F176" s="222" t="s">
        <v>3978</v>
      </c>
      <c r="G176" s="223">
        <v>23024.579999999998</v>
      </c>
      <c r="H176" s="224">
        <v>6716.6</v>
      </c>
      <c r="I176" s="225">
        <v>764.3</v>
      </c>
      <c r="J176" s="224">
        <v>5226.55</v>
      </c>
      <c r="K176" s="226">
        <v>5365.9500000000007</v>
      </c>
      <c r="L176" s="222"/>
    </row>
    <row r="177" spans="6:12" ht="21.75" thickBot="1">
      <c r="F177" s="222" t="s">
        <v>23</v>
      </c>
      <c r="G177" s="2603">
        <f>+G176+G175</f>
        <v>23024.579999999998</v>
      </c>
      <c r="H177" s="2604">
        <f t="shared" ref="H177:K177" si="3">+H176+H175</f>
        <v>7418.7000000000007</v>
      </c>
      <c r="I177" s="2605">
        <f t="shared" si="3"/>
        <v>7531.0999999999995</v>
      </c>
      <c r="J177" s="2604">
        <f t="shared" si="3"/>
        <v>7266.3</v>
      </c>
      <c r="K177" s="2606">
        <f t="shared" si="3"/>
        <v>5365.9500000000007</v>
      </c>
      <c r="L177" s="222"/>
    </row>
    <row r="178" spans="6:12" ht="16.5" customHeight="1" thickBot="1">
      <c r="F178" s="222" t="s">
        <v>3350</v>
      </c>
      <c r="G178" s="223">
        <v>23024.579999999998</v>
      </c>
      <c r="H178" s="224">
        <v>6839</v>
      </c>
      <c r="I178" s="225">
        <v>3801.4397121034076</v>
      </c>
      <c r="J178" s="224">
        <v>6961.6170592044409</v>
      </c>
      <c r="K178" s="226">
        <v>4620.7867391304353</v>
      </c>
      <c r="L178" s="222"/>
    </row>
    <row r="179" spans="6:12" ht="32.25" customHeight="1" thickBot="1">
      <c r="F179" s="227" t="s">
        <v>3979</v>
      </c>
      <c r="G179" s="2607">
        <f>+G177-G178</f>
        <v>0</v>
      </c>
      <c r="H179" s="2608">
        <f t="shared" ref="H179:K179" si="4">+H177-H178</f>
        <v>579.70000000000073</v>
      </c>
      <c r="I179" s="2609">
        <f t="shared" si="4"/>
        <v>3729.6602878965919</v>
      </c>
      <c r="J179" s="2608">
        <f t="shared" si="4"/>
        <v>304.68294079555926</v>
      </c>
      <c r="K179" s="2610">
        <f t="shared" si="4"/>
        <v>745.16326086956542</v>
      </c>
      <c r="L179" s="227"/>
    </row>
  </sheetData>
  <mergeCells count="13">
    <mergeCell ref="A152:D152"/>
    <mergeCell ref="AA16:AG16"/>
    <mergeCell ref="AA10:AB10"/>
    <mergeCell ref="AA12:AI12"/>
    <mergeCell ref="AA13:AG13"/>
    <mergeCell ref="AA14:AF14"/>
    <mergeCell ref="AA15:AH15"/>
    <mergeCell ref="F172:F174"/>
    <mergeCell ref="L172:L174"/>
    <mergeCell ref="AA17:AJ17"/>
    <mergeCell ref="AA18:AJ18"/>
    <mergeCell ref="AA19:AH19"/>
    <mergeCell ref="AA20:AM20"/>
  </mergeCells>
  <pageMargins left="0.7" right="0.7" top="0.75" bottom="0.75" header="0.3" footer="0.3"/>
  <pageSetup scale="7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351"/>
  <sheetViews>
    <sheetView topLeftCell="B252" zoomScaleSheetLayoutView="100" workbookViewId="0">
      <selection activeCell="X338" sqref="X338:Y338"/>
    </sheetView>
  </sheetViews>
  <sheetFormatPr defaultColWidth="9.140625" defaultRowHeight="18"/>
  <cols>
    <col min="1" max="1" width="36" style="14" customWidth="1"/>
    <col min="2" max="2" width="17.85546875" style="257" customWidth="1"/>
    <col min="3" max="3" width="20.85546875" style="257" customWidth="1"/>
    <col min="4" max="4" width="14.5703125" style="14" customWidth="1"/>
    <col min="5" max="5" width="12.42578125" style="14" customWidth="1"/>
    <col min="6" max="6" width="14.7109375" style="14" customWidth="1"/>
    <col min="7" max="7" width="12.140625" style="14" customWidth="1"/>
    <col min="8" max="8" width="16" style="14" customWidth="1"/>
    <col min="9" max="9" width="19" style="14" customWidth="1"/>
    <col min="10" max="11" width="15" style="14" customWidth="1"/>
    <col min="12" max="12" width="14.7109375" style="14" customWidth="1"/>
    <col min="13" max="13" width="15.85546875" style="14" customWidth="1"/>
    <col min="14" max="14" width="14.140625" style="14" customWidth="1"/>
    <col min="15" max="15" width="18.28515625" style="14" customWidth="1"/>
    <col min="16" max="16" width="17.5703125" style="14" customWidth="1"/>
    <col min="17" max="17" width="18.7109375" style="14" customWidth="1"/>
    <col min="18" max="18" width="14.85546875" style="14" customWidth="1"/>
    <col min="19" max="19" width="21.140625" style="14" customWidth="1"/>
    <col min="20" max="25" width="12.42578125" style="14" customWidth="1"/>
    <col min="26" max="26" width="15.85546875" style="14" customWidth="1"/>
    <col min="27" max="27" width="14.5703125" style="14" customWidth="1"/>
    <col min="28" max="28" width="16.140625" style="14" customWidth="1"/>
    <col min="29" max="29" width="11" style="14" customWidth="1"/>
    <col min="30" max="30" width="18.5703125" style="14" customWidth="1"/>
    <col min="31" max="31" width="19.42578125" style="14" customWidth="1"/>
    <col min="32" max="32" width="11.7109375" style="14" customWidth="1"/>
    <col min="33" max="33" width="16.28515625" style="14" customWidth="1"/>
    <col min="34" max="34" width="9.140625" style="14"/>
    <col min="35" max="35" width="15.85546875" style="14" customWidth="1"/>
    <col min="36" max="37" width="9.140625" style="14"/>
    <col min="38" max="38" width="12" style="14" customWidth="1"/>
    <col min="39" max="39" width="10.7109375" style="14" customWidth="1"/>
    <col min="40" max="16384" width="9.140625" style="14"/>
  </cols>
  <sheetData>
    <row r="1" spans="1:67">
      <c r="A1" s="2970" t="s">
        <v>2298</v>
      </c>
      <c r="B1" s="2971"/>
      <c r="C1" s="2971"/>
      <c r="D1" s="2971"/>
      <c r="E1" s="2971"/>
      <c r="F1" s="2971"/>
      <c r="G1" s="2971"/>
      <c r="H1" s="2971"/>
      <c r="I1" s="2971"/>
      <c r="J1" s="2971"/>
      <c r="K1" s="2971"/>
      <c r="L1" s="2971"/>
      <c r="M1" s="2971"/>
      <c r="N1" s="2971"/>
      <c r="O1" s="2971"/>
      <c r="P1" s="2971"/>
      <c r="Q1" s="2971"/>
      <c r="R1" s="2972"/>
      <c r="AJ1" s="14">
        <v>1</v>
      </c>
      <c r="AK1" s="14">
        <v>2</v>
      </c>
      <c r="AL1" s="14">
        <f t="shared" ref="AL1:AL13" si="0">+AM1*AK1/100</f>
        <v>3419.4</v>
      </c>
      <c r="AM1" s="14">
        <v>170970</v>
      </c>
      <c r="AO1" s="14">
        <f>2500/170970</f>
        <v>1.4622448382757209E-2</v>
      </c>
    </row>
    <row r="2" spans="1:67">
      <c r="A2" s="2973" t="s">
        <v>2299</v>
      </c>
      <c r="B2" s="2780"/>
      <c r="C2" s="2780"/>
      <c r="D2" s="2780"/>
      <c r="E2" s="2780"/>
      <c r="F2" s="2780"/>
      <c r="G2" s="2780"/>
      <c r="H2" s="2780"/>
      <c r="I2" s="2780"/>
      <c r="J2" s="2780"/>
      <c r="K2" s="2780"/>
      <c r="L2" s="2780"/>
      <c r="M2" s="2780"/>
      <c r="N2" s="2780"/>
      <c r="O2" s="2780"/>
      <c r="P2" s="2780"/>
      <c r="Q2" s="2780"/>
      <c r="R2" s="2974"/>
      <c r="AJ2" s="14">
        <v>2</v>
      </c>
      <c r="AK2" s="14">
        <v>2</v>
      </c>
      <c r="AL2" s="14">
        <f t="shared" si="0"/>
        <v>3419.4</v>
      </c>
      <c r="AM2" s="14">
        <v>170970</v>
      </c>
      <c r="AP2" s="14">
        <f>3500*12</f>
        <v>42000</v>
      </c>
      <c r="AQ2" s="14">
        <f>42000/170970</f>
        <v>0.24565713283032112</v>
      </c>
    </row>
    <row r="3" spans="1:67" ht="17.25" customHeight="1">
      <c r="A3" s="2973" t="s">
        <v>2300</v>
      </c>
      <c r="B3" s="2780"/>
      <c r="C3" s="2780"/>
      <c r="D3" s="2780"/>
      <c r="E3" s="2780"/>
      <c r="F3" s="2780"/>
      <c r="G3" s="2780"/>
      <c r="H3" s="2780"/>
      <c r="I3" s="2780"/>
      <c r="J3" s="2780"/>
      <c r="K3" s="2780"/>
      <c r="L3" s="2780"/>
      <c r="M3" s="2780"/>
      <c r="N3" s="2780"/>
      <c r="O3" s="2780"/>
      <c r="P3" s="2780"/>
      <c r="Q3" s="2780"/>
      <c r="R3" s="2974"/>
      <c r="AJ3" s="14">
        <v>3</v>
      </c>
      <c r="AK3" s="14">
        <v>2</v>
      </c>
      <c r="AL3" s="14">
        <f t="shared" si="0"/>
        <v>3419.4</v>
      </c>
      <c r="AM3" s="14">
        <v>170970</v>
      </c>
    </row>
    <row r="4" spans="1:67" ht="28.5" customHeight="1">
      <c r="A4" s="272" t="s">
        <v>2301</v>
      </c>
      <c r="B4" s="14"/>
      <c r="D4" s="1050"/>
      <c r="E4" s="1050"/>
      <c r="F4" s="1050"/>
      <c r="G4" s="1050"/>
      <c r="H4" s="1050"/>
      <c r="I4" s="1050"/>
      <c r="J4" s="1050"/>
      <c r="K4" s="1050"/>
      <c r="M4" s="14" t="s">
        <v>2302</v>
      </c>
      <c r="R4" s="1147"/>
      <c r="AG4" s="14">
        <f>11410+127-2520</f>
        <v>9017</v>
      </c>
      <c r="AJ4" s="14">
        <v>4</v>
      </c>
      <c r="AL4" s="14">
        <f t="shared" si="0"/>
        <v>0</v>
      </c>
      <c r="AR4" s="14" t="s">
        <v>16</v>
      </c>
      <c r="BO4" s="14">
        <v>0</v>
      </c>
    </row>
    <row r="5" spans="1:67" ht="19.5">
      <c r="A5" s="272"/>
      <c r="B5" s="14"/>
      <c r="D5" s="257"/>
      <c r="E5" s="1050" t="s">
        <v>271</v>
      </c>
      <c r="F5" s="1051"/>
      <c r="G5" s="1051"/>
      <c r="H5" s="1052"/>
      <c r="I5" s="1051"/>
      <c r="J5" s="1051"/>
      <c r="K5" s="1051"/>
      <c r="L5" s="1051"/>
      <c r="M5" s="2810" t="s">
        <v>477</v>
      </c>
      <c r="N5" s="2811"/>
      <c r="O5" s="1130" t="s">
        <v>275</v>
      </c>
      <c r="P5" s="1130" t="s">
        <v>2303</v>
      </c>
      <c r="Q5" s="1131" t="s">
        <v>277</v>
      </c>
      <c r="R5" s="1130" t="s">
        <v>278</v>
      </c>
      <c r="S5" s="1183"/>
      <c r="AJ5" s="14">
        <v>5</v>
      </c>
      <c r="AK5" s="14">
        <v>0</v>
      </c>
      <c r="AL5" s="14">
        <f t="shared" si="0"/>
        <v>0</v>
      </c>
      <c r="AM5" s="14">
        <v>170970</v>
      </c>
    </row>
    <row r="6" spans="1:67" ht="21" customHeight="1">
      <c r="A6" s="272"/>
      <c r="B6" s="14"/>
      <c r="D6" s="257"/>
      <c r="M6" s="2810" t="str">
        <f>'DAILY FLASH'!AX2</f>
        <v xml:space="preserve">CRUDE </v>
      </c>
      <c r="N6" s="2811"/>
      <c r="O6" s="1130">
        <f>'DAILY FLASH'!AZ2</f>
        <v>150797</v>
      </c>
      <c r="P6" s="1132">
        <f>'DAILY FLASH'!BA2</f>
        <v>21246.990999999998</v>
      </c>
      <c r="Q6" s="1133">
        <f>'DAILY FLASH'!BB2</f>
        <v>127133.63467213113</v>
      </c>
      <c r="R6" s="1132">
        <f>'DAILY FLASH'!BC2</f>
        <v>84.307800998780564</v>
      </c>
      <c r="AJ6" s="14">
        <v>6</v>
      </c>
      <c r="AK6" s="14">
        <v>5</v>
      </c>
      <c r="AL6" s="14">
        <f t="shared" si="0"/>
        <v>8548.5</v>
      </c>
      <c r="AM6" s="14">
        <v>170970</v>
      </c>
    </row>
    <row r="7" spans="1:67" ht="24.75" customHeight="1">
      <c r="A7" s="272"/>
      <c r="B7" s="14"/>
      <c r="D7" s="257"/>
      <c r="E7" s="1053"/>
      <c r="F7" s="1054"/>
      <c r="J7" s="14" t="s">
        <v>271</v>
      </c>
      <c r="M7" s="1134" t="str">
        <f>'DAILY FLASH'!AX3</f>
        <v xml:space="preserve">    SAL.</v>
      </c>
      <c r="N7" s="1135"/>
      <c r="O7" s="1130">
        <f>'DAILY FLASH'!AZ3</f>
        <v>146285</v>
      </c>
      <c r="P7" s="1132">
        <f>'DAILY FLASH'!BA3</f>
        <v>22620.088</v>
      </c>
      <c r="Q7" s="1133">
        <f>'DAILY FLASH'!BB3</f>
        <v>133159.76332075472</v>
      </c>
      <c r="R7" s="1132">
        <f>'DAILY FLASH'!BC3</f>
        <v>91.027626428379349</v>
      </c>
      <c r="AJ7" s="14">
        <v>7</v>
      </c>
      <c r="AK7" s="14">
        <v>4</v>
      </c>
      <c r="AL7" s="14">
        <f t="shared" si="0"/>
        <v>6838.8</v>
      </c>
      <c r="AM7" s="14">
        <v>170970</v>
      </c>
      <c r="AS7" s="14">
        <f>1.5+5+2+5+4+2+4</f>
        <v>23.5</v>
      </c>
    </row>
    <row r="8" spans="1:67" ht="19.5" customHeight="1">
      <c r="A8" s="2975" t="str">
        <f>IF($G$114=1,G115,(IF($G$114=2,G117,IF($G$114=3,G119))))</f>
        <v>RAJESH KUMAR( DGM PPCD ,SHIPPING&amp; PC)</v>
      </c>
      <c r="B8" s="2976"/>
      <c r="C8" s="14"/>
      <c r="F8" s="2780"/>
      <c r="G8" s="2780"/>
      <c r="H8" s="2780"/>
      <c r="I8" s="2780"/>
      <c r="J8" s="2780"/>
      <c r="K8" s="257"/>
      <c r="M8" s="272" t="s">
        <v>2304</v>
      </c>
      <c r="O8" s="257"/>
      <c r="P8" s="620"/>
      <c r="Q8" s="257"/>
      <c r="R8" s="1184"/>
      <c r="T8" s="14" t="s">
        <v>2305</v>
      </c>
      <c r="Z8" s="1198" t="str">
        <f>J9</f>
        <v>11/07/24</v>
      </c>
      <c r="AA8" s="14" t="s">
        <v>36</v>
      </c>
      <c r="AB8" s="1146">
        <f>+D25</f>
        <v>565.15</v>
      </c>
      <c r="AC8" s="14" t="s">
        <v>2207</v>
      </c>
      <c r="AD8" s="1146">
        <f>D38</f>
        <v>459.245</v>
      </c>
      <c r="AE8" s="14" t="s">
        <v>142</v>
      </c>
      <c r="AF8" s="1146">
        <f>D39</f>
        <v>403.18</v>
      </c>
      <c r="AJ8" s="14">
        <v>8</v>
      </c>
      <c r="AK8" s="14">
        <v>2</v>
      </c>
      <c r="AL8" s="14">
        <f t="shared" si="0"/>
        <v>3419.4</v>
      </c>
      <c r="AM8" s="14">
        <v>170970</v>
      </c>
    </row>
    <row r="9" spans="1:67">
      <c r="A9" s="2977" t="s">
        <v>2306</v>
      </c>
      <c r="B9" s="2978"/>
      <c r="C9" s="2978"/>
      <c r="D9" s="2978"/>
      <c r="E9" s="2978"/>
      <c r="F9" s="2978"/>
      <c r="G9" s="2978"/>
      <c r="H9" s="2978"/>
      <c r="I9" s="2978"/>
      <c r="J9" s="1136" t="s">
        <v>2307</v>
      </c>
      <c r="K9" s="1136"/>
      <c r="L9" s="1120"/>
      <c r="M9" s="2979" t="s">
        <v>477</v>
      </c>
      <c r="N9" s="2980"/>
      <c r="O9" s="278" t="s">
        <v>639</v>
      </c>
      <c r="P9" s="278" t="s">
        <v>312</v>
      </c>
      <c r="Q9" s="1072" t="s">
        <v>278</v>
      </c>
      <c r="R9" s="1102"/>
      <c r="Z9" s="14" t="s">
        <v>271</v>
      </c>
      <c r="AJ9" s="14">
        <v>9</v>
      </c>
      <c r="AK9" s="14">
        <v>4</v>
      </c>
      <c r="AL9" s="14">
        <f t="shared" si="0"/>
        <v>6838.8</v>
      </c>
      <c r="AM9" s="14">
        <v>170970</v>
      </c>
    </row>
    <row r="10" spans="1:67">
      <c r="A10" s="272"/>
      <c r="B10" s="1051"/>
      <c r="E10" s="14" t="s">
        <v>271</v>
      </c>
      <c r="G10" s="14" t="s">
        <v>2308</v>
      </c>
      <c r="J10" s="1137"/>
      <c r="K10" s="1137"/>
      <c r="M10" s="1072" t="s">
        <v>633</v>
      </c>
      <c r="N10" s="1138"/>
      <c r="O10" s="269">
        <f>'DAILY FLASH'!AQ20</f>
        <v>11612</v>
      </c>
      <c r="P10" s="1086">
        <f>'DAILY FLASH'!AN20</f>
        <v>10759.191000000001</v>
      </c>
      <c r="Q10" s="1084">
        <f>'DAILY FLASH'!AS20</f>
        <v>92.655795728556669</v>
      </c>
      <c r="R10" s="270"/>
      <c r="AJ10" s="14">
        <v>10</v>
      </c>
      <c r="AK10" s="14">
        <v>9</v>
      </c>
      <c r="AL10" s="14">
        <f t="shared" si="0"/>
        <v>15387.3</v>
      </c>
      <c r="AM10" s="14">
        <v>170970</v>
      </c>
      <c r="AP10" s="14">
        <f>11.5*170970%</f>
        <v>19661.55</v>
      </c>
    </row>
    <row r="11" spans="1:67" ht="18" customHeight="1">
      <c r="A11" s="272"/>
      <c r="C11" s="257" t="s">
        <v>271</v>
      </c>
      <c r="D11" s="756" t="s">
        <v>2309</v>
      </c>
      <c r="L11" s="14" t="s">
        <v>271</v>
      </c>
      <c r="M11" s="1072" t="s">
        <v>2310</v>
      </c>
      <c r="N11" s="1139"/>
      <c r="O11" s="1074">
        <f>'DAILY FLASH'!AQ56</f>
        <v>11340</v>
      </c>
      <c r="P11" s="1074">
        <f>E38</f>
        <v>11402.186999999998</v>
      </c>
      <c r="Q11" s="1075">
        <f>'DAILY FLASH'!AS56</f>
        <v>100.54838624338622</v>
      </c>
      <c r="R11" s="1069"/>
      <c r="AJ11" s="14">
        <v>11</v>
      </c>
      <c r="AL11" s="14">
        <f t="shared" si="0"/>
        <v>0</v>
      </c>
      <c r="AR11" s="1102">
        <v>319.3</v>
      </c>
      <c r="BB11" s="1102">
        <v>149.45000000000002</v>
      </c>
    </row>
    <row r="12" spans="1:67" ht="19.5" customHeight="1">
      <c r="A12" s="272" t="s">
        <v>271</v>
      </c>
      <c r="B12" s="2409" t="s">
        <v>63</v>
      </c>
      <c r="R12" s="1147"/>
      <c r="AJ12" s="14">
        <v>12</v>
      </c>
      <c r="AL12" s="14">
        <f t="shared" si="0"/>
        <v>0</v>
      </c>
      <c r="AR12" s="270"/>
      <c r="BB12" s="270"/>
    </row>
    <row r="13" spans="1:67">
      <c r="A13" s="269" t="s">
        <v>622</v>
      </c>
      <c r="B13" s="269" t="s">
        <v>519</v>
      </c>
      <c r="C13" s="2971" t="s">
        <v>319</v>
      </c>
      <c r="D13" s="2972"/>
      <c r="E13" s="269"/>
      <c r="F13" s="2971" t="s">
        <v>143</v>
      </c>
      <c r="G13" s="2971"/>
      <c r="H13" s="2972"/>
      <c r="I13" s="2970" t="s">
        <v>312</v>
      </c>
      <c r="J13" s="2972"/>
      <c r="K13" s="16"/>
      <c r="L13" s="1072" t="s">
        <v>2311</v>
      </c>
      <c r="M13" s="1138"/>
      <c r="N13" s="1138"/>
      <c r="O13" s="101"/>
      <c r="P13" s="101"/>
      <c r="Q13" s="101"/>
      <c r="R13" s="2448" t="s">
        <v>2312</v>
      </c>
      <c r="S13" s="257"/>
      <c r="AJ13" s="14">
        <v>13</v>
      </c>
      <c r="AK13" s="14">
        <v>5</v>
      </c>
      <c r="AL13" s="14">
        <f t="shared" si="0"/>
        <v>8548.5</v>
      </c>
      <c r="AM13" s="14">
        <v>170970</v>
      </c>
      <c r="AR13" s="270" t="s">
        <v>143</v>
      </c>
      <c r="BB13" s="270">
        <v>141.75</v>
      </c>
    </row>
    <row r="14" spans="1:67" ht="21" customHeight="1">
      <c r="A14" s="1055"/>
      <c r="B14" s="1055"/>
      <c r="C14" s="278" t="s">
        <v>275</v>
      </c>
      <c r="D14" s="278" t="str">
        <f>'md cell'!D7</f>
        <v>ON DT</v>
      </c>
      <c r="E14" s="278" t="str">
        <f>'md cell'!F7</f>
        <v>CUMM</v>
      </c>
      <c r="F14" s="278" t="s">
        <v>275</v>
      </c>
      <c r="G14" s="118" t="s">
        <v>277</v>
      </c>
      <c r="H14" s="278" t="s">
        <v>623</v>
      </c>
      <c r="I14" s="1140" t="str">
        <f>'DAILY FLASH'!AU11</f>
        <v>CPLY</v>
      </c>
      <c r="J14" s="1141" t="str">
        <f>'DAILY FLASH'!AT10</f>
        <v>April'26</v>
      </c>
      <c r="K14" s="2575"/>
      <c r="L14" s="1142"/>
      <c r="M14" s="1143"/>
      <c r="N14" s="265"/>
      <c r="O14" s="265"/>
      <c r="P14" s="265"/>
      <c r="Q14" s="267"/>
      <c r="R14" s="1185"/>
      <c r="S14" s="1186"/>
      <c r="AK14" s="14">
        <f>SUM(AK1:AK13)</f>
        <v>35</v>
      </c>
      <c r="AR14" s="270" t="s">
        <v>275</v>
      </c>
      <c r="BB14" s="270" t="s">
        <v>2222</v>
      </c>
      <c r="BH14" s="14">
        <v>1</v>
      </c>
    </row>
    <row r="15" spans="1:67" ht="19.5" customHeight="1">
      <c r="A15" s="492" t="s">
        <v>2313</v>
      </c>
      <c r="B15" s="271"/>
      <c r="C15" s="271"/>
      <c r="D15" s="271"/>
      <c r="E15" s="271"/>
      <c r="F15" s="271"/>
      <c r="G15" s="271"/>
      <c r="H15" s="271"/>
      <c r="I15" s="269" t="s">
        <v>271</v>
      </c>
      <c r="J15" s="100"/>
      <c r="K15" s="275"/>
      <c r="L15" s="1144"/>
      <c r="N15" s="1145"/>
      <c r="O15" s="1146"/>
      <c r="Q15" s="1147"/>
      <c r="R15" s="270"/>
      <c r="S15" s="1186"/>
      <c r="AR15" s="270"/>
      <c r="BB15" s="270"/>
    </row>
    <row r="16" spans="1:67" ht="18" customHeight="1">
      <c r="A16" s="243" t="s">
        <v>2314</v>
      </c>
      <c r="B16" s="1056" t="s">
        <v>634</v>
      </c>
      <c r="C16" s="1057">
        <f>'DAILY FLASH'!AK12</f>
        <v>385.80645161290323</v>
      </c>
      <c r="D16" s="1058">
        <f>'DAILY FLASH'!AK9</f>
        <v>0</v>
      </c>
      <c r="E16" s="1058">
        <f>'DAILY FLASH'!AN12</f>
        <v>11200.83</v>
      </c>
      <c r="F16" s="1056">
        <f>'DAILY FLASH'!AQ12</f>
        <v>11960</v>
      </c>
      <c r="G16" s="1058">
        <f>'DAILY FLASH'!AR12</f>
        <v>11200.83</v>
      </c>
      <c r="H16" s="1058">
        <f>G16/F16*100</f>
        <v>93.65242474916387</v>
      </c>
      <c r="I16" s="1058">
        <f>'DAILY FLASH'!AU12</f>
        <v>11206.969999999998</v>
      </c>
      <c r="J16" s="1148">
        <f>'DAILY FLASH'!AT12</f>
        <v>10885.645</v>
      </c>
      <c r="K16" s="1078"/>
      <c r="L16" s="2981"/>
      <c r="M16" s="2982"/>
      <c r="N16" s="2982"/>
      <c r="O16" s="2982"/>
      <c r="P16" s="2982"/>
      <c r="Q16" s="2983"/>
      <c r="R16" s="1187"/>
      <c r="S16" s="1188"/>
      <c r="T16" s="620">
        <v>1561</v>
      </c>
      <c r="U16" s="620"/>
      <c r="V16" s="620"/>
      <c r="W16" s="620"/>
      <c r="X16" s="620"/>
      <c r="Y16" s="620"/>
      <c r="AR16" s="270">
        <v>8313</v>
      </c>
      <c r="BB16" s="270">
        <v>1582.4110000000001</v>
      </c>
    </row>
    <row r="17" spans="1:60" ht="18" customHeight="1">
      <c r="A17" s="270" t="s">
        <v>2315</v>
      </c>
      <c r="B17" s="271"/>
      <c r="C17" s="1059">
        <f>+C28*52</f>
        <v>51.612903225806456</v>
      </c>
      <c r="D17" s="1060">
        <f>'DAILY FLASH'!AL13</f>
        <v>0</v>
      </c>
      <c r="E17" s="1060">
        <f>'DAILY FLASH'!AN13</f>
        <v>107.15</v>
      </c>
      <c r="F17" s="271">
        <f>'DAILY FLASH'!AQ13</f>
        <v>0</v>
      </c>
      <c r="G17" s="1060">
        <f>'DAILY FLASH'!AR13</f>
        <v>0</v>
      </c>
      <c r="H17" s="1060"/>
      <c r="I17" s="1060">
        <f>'DAILY FLASH'!AU13</f>
        <v>51.6</v>
      </c>
      <c r="J17" s="1078">
        <f>'DAILY FLASH'!AT13</f>
        <v>0</v>
      </c>
      <c r="K17" s="1078"/>
      <c r="L17" s="1149"/>
      <c r="M17" s="1150"/>
      <c r="N17" s="1150"/>
      <c r="O17" s="1150"/>
      <c r="P17" s="1150"/>
      <c r="Q17" s="1151"/>
      <c r="R17" s="1187"/>
      <c r="S17" s="1188"/>
      <c r="T17" s="14">
        <f>249*0.8</f>
        <v>199.20000000000002</v>
      </c>
      <c r="Z17" s="14">
        <v>1421</v>
      </c>
      <c r="AA17" s="14" t="s">
        <v>2316</v>
      </c>
      <c r="AJ17" s="14">
        <v>1</v>
      </c>
      <c r="AK17" s="14">
        <v>5</v>
      </c>
      <c r="AL17" s="14">
        <f>+AM17*AK17/100</f>
        <v>8548.5</v>
      </c>
      <c r="AM17" s="14">
        <v>170970</v>
      </c>
      <c r="AR17" s="270">
        <v>200</v>
      </c>
      <c r="BB17" s="270">
        <v>0</v>
      </c>
    </row>
    <row r="18" spans="1:60" ht="18" customHeight="1">
      <c r="A18" s="270" t="s">
        <v>156</v>
      </c>
      <c r="B18" s="271" t="s">
        <v>634</v>
      </c>
      <c r="C18" s="1059">
        <f>'DAILY FLASH'!AK14</f>
        <v>355</v>
      </c>
      <c r="D18" s="1060">
        <f>'DAILY FLASH'!AL14</f>
        <v>565.15</v>
      </c>
      <c r="E18" s="1060">
        <f>'DAILY FLASH'!AN14</f>
        <v>10359.720000000001</v>
      </c>
      <c r="F18" s="271">
        <f>'DAILY FLASH'!AQ14</f>
        <v>11005</v>
      </c>
      <c r="G18" s="1060">
        <f>'DAILY FLASH'!AR14</f>
        <v>10359.720000000003</v>
      </c>
      <c r="H18" s="1058">
        <f>G18/F18*100</f>
        <v>94.136483416628835</v>
      </c>
      <c r="I18" s="1060">
        <f>'DAILY FLASH'!AU14</f>
        <v>10052.6</v>
      </c>
      <c r="J18" s="1078">
        <f>'DAILY FLASH'!AT14</f>
        <v>9977.0699999999979</v>
      </c>
      <c r="K18" s="1078"/>
      <c r="L18" s="1144"/>
      <c r="Q18" s="1077"/>
      <c r="R18" s="1187"/>
      <c r="S18" s="1186"/>
      <c r="T18" s="14">
        <f>280*0.8</f>
        <v>224</v>
      </c>
      <c r="Z18" s="14">
        <v>1200</v>
      </c>
      <c r="AA18" s="14" t="s">
        <v>2317</v>
      </c>
      <c r="AJ18" s="14">
        <v>2</v>
      </c>
      <c r="AK18" s="14">
        <v>0</v>
      </c>
      <c r="AR18" s="270">
        <v>7385</v>
      </c>
      <c r="BB18" s="270">
        <v>1294.1600000000001</v>
      </c>
    </row>
    <row r="19" spans="1:60">
      <c r="A19" s="270" t="s">
        <v>2318</v>
      </c>
      <c r="B19" s="271"/>
      <c r="C19" s="1059">
        <f>'DAILY FLASH'!AK15</f>
        <v>0</v>
      </c>
      <c r="D19" s="1060">
        <f>'DAILY FLASH'!AL15</f>
        <v>0</v>
      </c>
      <c r="E19" s="1060">
        <f>'DAILY FLASH'!AN15</f>
        <v>96.4</v>
      </c>
      <c r="F19" s="271"/>
      <c r="G19" s="1060"/>
      <c r="H19" s="1060"/>
      <c r="I19" s="1060">
        <f>'DAILY FLASH'!AU15</f>
        <v>48.6</v>
      </c>
      <c r="J19" s="1078">
        <f>'DAILY FLASH'!AT15</f>
        <v>0</v>
      </c>
      <c r="K19" s="1078"/>
      <c r="L19" s="272"/>
      <c r="Q19" s="1077"/>
      <c r="R19" s="1187"/>
      <c r="S19" s="620"/>
      <c r="T19" s="14">
        <f>8870-1150</f>
        <v>7720</v>
      </c>
      <c r="AA19" s="14">
        <f>11000/31*27</f>
        <v>9580.645161290322</v>
      </c>
      <c r="AJ19" s="14">
        <v>3</v>
      </c>
      <c r="AK19" s="14">
        <v>2</v>
      </c>
      <c r="AR19" s="270"/>
      <c r="BB19" s="270">
        <v>0</v>
      </c>
    </row>
    <row r="20" spans="1:60">
      <c r="A20" s="255" t="s">
        <v>2319</v>
      </c>
      <c r="B20" s="1061" t="s">
        <v>634</v>
      </c>
      <c r="C20" s="1062">
        <f>'DAILY FLASH'!AK16</f>
        <v>19.580645161290324</v>
      </c>
      <c r="D20" s="1063">
        <f>'DAILY FLASH'!AL16</f>
        <v>0</v>
      </c>
      <c r="E20" s="1063">
        <f>'DAILY FLASH'!AN16</f>
        <v>399.471</v>
      </c>
      <c r="F20" s="1063">
        <f>'DAILY FLASH'!AQ16</f>
        <v>607</v>
      </c>
      <c r="G20" s="1063">
        <f>'DAILY FLASH'!AR16</f>
        <v>399.471</v>
      </c>
      <c r="H20" s="1063">
        <f>'DAILY FLASH'!AS16</f>
        <v>65.810708401976939</v>
      </c>
      <c r="I20" s="1063">
        <f>'DAILY FLASH'!AU16</f>
        <v>733.06</v>
      </c>
      <c r="J20" s="1152">
        <f>'DAILY FLASH'!AT16</f>
        <v>507.08</v>
      </c>
      <c r="K20" s="1078"/>
      <c r="L20" s="272"/>
      <c r="Q20" s="1147"/>
      <c r="R20" s="270"/>
      <c r="S20" s="1186"/>
      <c r="Z20" s="620"/>
      <c r="AA20" s="14">
        <f>9581-6225-1150</f>
        <v>2206</v>
      </c>
      <c r="AJ20" s="14">
        <v>4</v>
      </c>
      <c r="AR20" s="270">
        <v>600</v>
      </c>
      <c r="BB20" s="270">
        <v>0</v>
      </c>
    </row>
    <row r="21" spans="1:60" ht="20.25">
      <c r="A21" s="2449" t="s">
        <v>2320</v>
      </c>
      <c r="B21" s="271" t="s">
        <v>634</v>
      </c>
      <c r="C21" s="1059">
        <v>0</v>
      </c>
      <c r="D21" s="1060">
        <v>0</v>
      </c>
      <c r="E21" s="1060">
        <v>0</v>
      </c>
      <c r="F21" s="1060">
        <f>'DAILY FLASH'!AQ18</f>
        <v>0</v>
      </c>
      <c r="G21" s="1060"/>
      <c r="H21" s="1060"/>
      <c r="I21" s="1060">
        <f>'DAILY FLASH'!AU18</f>
        <v>0</v>
      </c>
      <c r="J21" s="1078">
        <v>0</v>
      </c>
      <c r="K21" s="1078"/>
      <c r="L21" s="990"/>
      <c r="M21" s="1153"/>
      <c r="N21" s="1153"/>
      <c r="O21" s="1153"/>
      <c r="P21" s="1153"/>
      <c r="Q21" s="866"/>
      <c r="R21" s="271" t="s">
        <v>271</v>
      </c>
      <c r="S21" s="257">
        <f>6000*48</f>
        <v>288000</v>
      </c>
      <c r="Z21" s="620"/>
      <c r="AJ21" s="14">
        <v>5</v>
      </c>
      <c r="AK21" s="14">
        <v>5</v>
      </c>
      <c r="AR21" s="270">
        <v>0</v>
      </c>
      <c r="BB21" s="270">
        <v>0</v>
      </c>
    </row>
    <row r="22" spans="1:60" ht="23.25">
      <c r="A22" s="2450" t="s">
        <v>2321</v>
      </c>
      <c r="B22" s="1064" t="s">
        <v>634</v>
      </c>
      <c r="C22" s="1065">
        <f>+C20-C21</f>
        <v>19.580645161290324</v>
      </c>
      <c r="D22" s="1066">
        <v>0</v>
      </c>
      <c r="E22" s="1066">
        <f>E20-E21</f>
        <v>399.471</v>
      </c>
      <c r="F22" s="1066">
        <v>0</v>
      </c>
      <c r="G22" s="1066">
        <f>E22/'DAILY FLASH'!BK16*'DAILY FLASH'!BH16</f>
        <v>399.471</v>
      </c>
      <c r="H22" s="1063"/>
      <c r="I22" s="1066">
        <v>0</v>
      </c>
      <c r="J22" s="1066">
        <f>'DAILY FLASH'!AT16</f>
        <v>507.08</v>
      </c>
      <c r="K22" s="1078"/>
      <c r="L22" s="2984"/>
      <c r="M22" s="2985"/>
      <c r="N22" s="2985"/>
      <c r="O22" s="2985"/>
      <c r="P22" s="2985"/>
      <c r="Q22" s="2985"/>
      <c r="R22" s="2986"/>
      <c r="Z22" s="620"/>
      <c r="AD22" s="14">
        <f>1435/3*31</f>
        <v>14828.333333333332</v>
      </c>
      <c r="AJ22" s="14">
        <v>6</v>
      </c>
      <c r="AK22" s="14">
        <v>5</v>
      </c>
      <c r="AR22" s="270">
        <v>0</v>
      </c>
      <c r="BB22" s="270">
        <v>0</v>
      </c>
      <c r="BH22" s="14">
        <v>1</v>
      </c>
    </row>
    <row r="23" spans="1:60" ht="21.75">
      <c r="A23" s="1067" t="s">
        <v>2322</v>
      </c>
      <c r="B23" s="1056"/>
      <c r="C23" s="1057">
        <f>'DAILY FLASH'!AK17</f>
        <v>0</v>
      </c>
      <c r="D23" s="1058">
        <f>'DAILY FLASH'!AL17</f>
        <v>0</v>
      </c>
      <c r="E23" s="1058">
        <f>'DAILY FLASH'!AN17</f>
        <v>0</v>
      </c>
      <c r="F23" s="1058">
        <f>'DAILY FLASH'!AQ17</f>
        <v>0</v>
      </c>
      <c r="G23" s="1068">
        <f>'DAILY FLASH'!AR17</f>
        <v>0</v>
      </c>
      <c r="H23" s="1058"/>
      <c r="I23" s="1058">
        <f>'DAILY FLASH'!AU17</f>
        <v>0</v>
      </c>
      <c r="J23" s="1058">
        <f>'DAILY FLASH'!AT17</f>
        <v>0</v>
      </c>
      <c r="K23" s="1060"/>
      <c r="L23" s="1154"/>
      <c r="M23" s="1155"/>
      <c r="N23" s="1154"/>
      <c r="O23" s="1154"/>
      <c r="P23" s="1154"/>
      <c r="Q23" s="1156"/>
      <c r="R23" s="1189"/>
      <c r="T23" s="14">
        <f>7720-5466</f>
        <v>2254</v>
      </c>
      <c r="Z23" s="620"/>
      <c r="AJ23" s="14">
        <v>7</v>
      </c>
      <c r="AK23" s="14">
        <v>4</v>
      </c>
      <c r="AR23" s="270">
        <v>0</v>
      </c>
      <c r="BB23" s="270">
        <v>207.411</v>
      </c>
    </row>
    <row r="24" spans="1:60" ht="23.25">
      <c r="A24" s="1067" t="s">
        <v>2323</v>
      </c>
      <c r="B24" s="1056"/>
      <c r="C24" s="1057">
        <f>'DAILY FLASH'!AK19</f>
        <v>19.580645161290324</v>
      </c>
      <c r="D24" s="1057">
        <f>+D23+D20</f>
        <v>0</v>
      </c>
      <c r="E24" s="1058">
        <f>+E23+E20</f>
        <v>399.471</v>
      </c>
      <c r="F24" s="1058">
        <f>'DAILY FLASH'!AQ19</f>
        <v>607</v>
      </c>
      <c r="G24" s="1058">
        <f>'DAILY FLASH'!AR19</f>
        <v>399.471</v>
      </c>
      <c r="H24" s="1058">
        <f>'DAILY FLASH'!AS19</f>
        <v>65.810708401976939</v>
      </c>
      <c r="I24" s="1058">
        <f>'DAILY FLASH'!AU19</f>
        <v>733.06</v>
      </c>
      <c r="J24" s="1057">
        <f>+J23+J22</f>
        <v>507.08</v>
      </c>
      <c r="K24" s="1059"/>
      <c r="L24" s="1157"/>
      <c r="M24" s="1158"/>
      <c r="N24" s="1159"/>
      <c r="O24" s="1158"/>
      <c r="P24" s="1158"/>
      <c r="Q24" s="1158"/>
      <c r="R24" s="1189"/>
      <c r="Z24" s="620"/>
      <c r="AJ24" s="14">
        <v>8</v>
      </c>
      <c r="AK24" s="14">
        <v>1</v>
      </c>
      <c r="AR24" s="270">
        <v>600</v>
      </c>
      <c r="BB24" s="270">
        <v>207.411</v>
      </c>
    </row>
    <row r="25" spans="1:60">
      <c r="A25" s="1069" t="s">
        <v>2324</v>
      </c>
      <c r="B25" s="1055" t="s">
        <v>634</v>
      </c>
      <c r="C25" s="1070">
        <f>'DAILY FLASH'!AK20</f>
        <v>374.58064516129031</v>
      </c>
      <c r="D25" s="1071">
        <f>'DAILY FLASH'!AL20</f>
        <v>565.15</v>
      </c>
      <c r="E25" s="1071">
        <f>'DAILY FLASH'!AN20</f>
        <v>10759.191000000001</v>
      </c>
      <c r="F25" s="1071">
        <f>+F24+F18</f>
        <v>11612</v>
      </c>
      <c r="G25" s="1071">
        <f>'DAILY FLASH'!AR20</f>
        <v>10759.191000000001</v>
      </c>
      <c r="H25" s="1058">
        <f>G25/F25*100</f>
        <v>92.655795728556669</v>
      </c>
      <c r="I25" s="1060">
        <f>'DAILY FLASH'!AU20</f>
        <v>10785.66</v>
      </c>
      <c r="J25" s="1071">
        <f>+J24+J18</f>
        <v>10484.149999999998</v>
      </c>
      <c r="K25" s="1082"/>
      <c r="L25" s="990"/>
      <c r="M25" s="273"/>
      <c r="N25" s="273"/>
      <c r="O25" s="273"/>
      <c r="P25" s="273"/>
      <c r="Q25" s="273"/>
      <c r="R25" s="1069"/>
      <c r="T25" s="14">
        <f>1015.94-38</f>
        <v>977.94</v>
      </c>
      <c r="Z25" s="620"/>
      <c r="AJ25" s="14">
        <v>9</v>
      </c>
      <c r="AK25" s="14">
        <v>4</v>
      </c>
      <c r="AR25" s="270">
        <v>7985</v>
      </c>
      <c r="BB25" s="270">
        <v>1501.5710000000001</v>
      </c>
    </row>
    <row r="26" spans="1:60" ht="23.25">
      <c r="A26" s="1072" t="s">
        <v>2325</v>
      </c>
      <c r="B26" s="278" t="s">
        <v>626</v>
      </c>
      <c r="C26" s="1073">
        <f>C16/E61</f>
        <v>7.2793670115642115</v>
      </c>
      <c r="D26" s="1074">
        <f>'DAILY FLASH'!AL21</f>
        <v>8</v>
      </c>
      <c r="E26" s="118">
        <f>'DAILY FLASH'!AN21</f>
        <v>215</v>
      </c>
      <c r="F26" s="1074">
        <f>'DAILY FLASH'!AQ20/53</f>
        <v>219.09433962264151</v>
      </c>
      <c r="G26" s="278" t="s">
        <v>271</v>
      </c>
      <c r="H26" s="1075"/>
      <c r="I26" s="1074">
        <f>'DAILY FLASH'!AU21</f>
        <v>217</v>
      </c>
      <c r="J26" s="1101">
        <f>'DAILY FLASH'!AT21</f>
        <v>209</v>
      </c>
      <c r="K26" s="1100"/>
      <c r="L26" s="2984" t="s">
        <v>703</v>
      </c>
      <c r="M26" s="2985"/>
      <c r="N26" s="2985"/>
      <c r="O26" s="2985"/>
      <c r="P26" s="2985"/>
      <c r="Q26" s="2985"/>
      <c r="R26" s="2986"/>
      <c r="Z26" s="620"/>
      <c r="AJ26" s="14">
        <v>10</v>
      </c>
      <c r="AR26" s="270">
        <v>155</v>
      </c>
      <c r="BB26" s="270">
        <v>30</v>
      </c>
      <c r="BH26" s="14">
        <v>0</v>
      </c>
    </row>
    <row r="27" spans="1:60" ht="21.75">
      <c r="A27" s="272" t="s">
        <v>343</v>
      </c>
      <c r="B27" s="271" t="s">
        <v>626</v>
      </c>
      <c r="C27" s="1076">
        <f>C42/65</f>
        <v>0.99255583126550873</v>
      </c>
      <c r="D27" s="1060">
        <f>'DAILY FLASH'!AL22</f>
        <v>2</v>
      </c>
      <c r="E27" s="1077">
        <f>'DAILY FLASH'!AN22</f>
        <v>36</v>
      </c>
      <c r="F27" s="271"/>
      <c r="G27" s="257"/>
      <c r="H27" s="1078"/>
      <c r="I27" s="1086">
        <v>0</v>
      </c>
      <c r="J27" s="1160">
        <f>'DAILY FLASH'!AT22</f>
        <v>39</v>
      </c>
      <c r="K27" s="1160"/>
      <c r="L27" s="1154" t="s">
        <v>704</v>
      </c>
      <c r="M27" s="1155" t="s">
        <v>705</v>
      </c>
      <c r="N27" s="1154" t="s">
        <v>706</v>
      </c>
      <c r="O27" s="1154" t="s">
        <v>707</v>
      </c>
      <c r="P27" s="1154" t="s">
        <v>708</v>
      </c>
      <c r="Q27" s="1161" t="s">
        <v>2326</v>
      </c>
      <c r="R27" s="1189"/>
      <c r="Z27" s="620"/>
      <c r="AJ27" s="14">
        <v>11</v>
      </c>
      <c r="AR27" s="270"/>
      <c r="BB27" s="270">
        <v>5</v>
      </c>
    </row>
    <row r="28" spans="1:60" ht="23.25">
      <c r="A28" s="888" t="s">
        <v>2327</v>
      </c>
      <c r="B28" s="271" t="s">
        <v>626</v>
      </c>
      <c r="C28" s="1076">
        <f>C42/65</f>
        <v>0.99255583126550873</v>
      </c>
      <c r="D28" s="1060">
        <f>'DAILY FLASH'!AL29</f>
        <v>2</v>
      </c>
      <c r="E28" s="1077">
        <f>'DAILY FLASH'!AN29</f>
        <v>38</v>
      </c>
      <c r="F28" s="271" t="s">
        <v>271</v>
      </c>
      <c r="H28" s="1078"/>
      <c r="I28" s="1060">
        <f>'DAILY FLASH'!AU29</f>
        <v>62</v>
      </c>
      <c r="J28" s="1160">
        <f>'DAILY FLASH'!AT29</f>
        <v>39</v>
      </c>
      <c r="K28" s="1160"/>
      <c r="L28" s="1157" t="s">
        <v>2328</v>
      </c>
      <c r="M28" s="1158" t="str">
        <f>'md cell'!K35</f>
        <v>RECPT (T)</v>
      </c>
      <c r="N28" s="1159" t="str">
        <f>'md cell'!L35</f>
        <v>ROLL.(T)</v>
      </c>
      <c r="O28" s="1158" t="str">
        <f>'md cell'!M35</f>
        <v>REL. (T)</v>
      </c>
      <c r="P28" s="1158" t="str">
        <f>'md cell'!N35</f>
        <v>DESP.(T)</v>
      </c>
      <c r="Q28" s="1158" t="str">
        <f>'md cell'!O35</f>
        <v>SAL STOCK</v>
      </c>
      <c r="R28" s="1189"/>
      <c r="Z28" s="1199"/>
      <c r="AJ28" s="14">
        <v>12</v>
      </c>
      <c r="AR28" s="270" t="s">
        <v>271</v>
      </c>
      <c r="BB28" s="270">
        <v>5</v>
      </c>
    </row>
    <row r="29" spans="1:60">
      <c r="A29" s="888" t="s">
        <v>2329</v>
      </c>
      <c r="B29" s="271" t="s">
        <v>626</v>
      </c>
      <c r="C29" s="1079">
        <v>0</v>
      </c>
      <c r="D29" s="1060">
        <f>'DAILY FLASH'!AL30</f>
        <v>0</v>
      </c>
      <c r="E29" s="1077">
        <f>'DAILY FLASH'!AN30</f>
        <v>2</v>
      </c>
      <c r="F29" s="271"/>
      <c r="H29" s="1078"/>
      <c r="I29" s="1060">
        <v>0</v>
      </c>
      <c r="J29" s="1160">
        <f>'DAILY FLASH'!AT30</f>
        <v>0</v>
      </c>
      <c r="K29" s="620"/>
      <c r="L29" s="888"/>
      <c r="M29" s="1120"/>
      <c r="N29" s="1120"/>
      <c r="O29" s="1120"/>
      <c r="P29" s="1120"/>
      <c r="Q29" s="1120"/>
      <c r="R29" s="270"/>
      <c r="Z29" s="1199"/>
      <c r="AJ29" s="14">
        <v>13</v>
      </c>
      <c r="AK29" s="14">
        <v>5</v>
      </c>
      <c r="AR29" s="270"/>
      <c r="BB29" s="270">
        <v>0</v>
      </c>
    </row>
    <row r="30" spans="1:60" ht="18.75">
      <c r="A30" s="1080" t="s">
        <v>2330</v>
      </c>
      <c r="B30" s="1055" t="s">
        <v>626</v>
      </c>
      <c r="C30" s="1070">
        <f>C26-C29</f>
        <v>7.2793670115642115</v>
      </c>
      <c r="D30" s="1081">
        <f t="shared" ref="D30:I30" si="1">D26-D29</f>
        <v>8</v>
      </c>
      <c r="E30" s="1081">
        <f t="shared" si="1"/>
        <v>213</v>
      </c>
      <c r="F30" s="1055"/>
      <c r="G30" s="1055"/>
      <c r="H30" s="1082"/>
      <c r="I30" s="1055">
        <f t="shared" si="1"/>
        <v>217</v>
      </c>
      <c r="J30" s="1162">
        <f>+J26-J29</f>
        <v>209</v>
      </c>
      <c r="K30" s="1087"/>
      <c r="L30" s="990"/>
      <c r="M30" s="273"/>
      <c r="N30" s="273"/>
      <c r="O30" s="1163"/>
      <c r="P30" s="1163"/>
      <c r="Q30" s="1163"/>
      <c r="R30" s="1190"/>
      <c r="S30" s="1191"/>
      <c r="Z30" s="1199"/>
      <c r="AR30" s="270"/>
      <c r="BB30" s="270">
        <v>30</v>
      </c>
    </row>
    <row r="31" spans="1:60" ht="18.75">
      <c r="A31" s="272"/>
      <c r="M31" s="1138" t="s">
        <v>2331</v>
      </c>
      <c r="N31" s="1138"/>
      <c r="O31" s="265"/>
      <c r="P31" s="257"/>
      <c r="Q31" s="257"/>
      <c r="R31" s="1077"/>
      <c r="S31" s="1191"/>
      <c r="Z31" s="1199"/>
      <c r="AR31" s="270"/>
      <c r="BB31" s="270"/>
    </row>
    <row r="32" spans="1:60">
      <c r="A32" s="1083" t="s">
        <v>2332</v>
      </c>
      <c r="B32" s="269"/>
      <c r="C32" s="16" t="s">
        <v>271</v>
      </c>
      <c r="D32" s="269" t="s">
        <v>271</v>
      </c>
      <c r="E32" s="16" t="s">
        <v>271</v>
      </c>
      <c r="F32" s="269"/>
      <c r="G32" s="2451" t="s">
        <v>63</v>
      </c>
      <c r="H32" s="1085" t="s">
        <v>271</v>
      </c>
      <c r="I32" s="1086" t="s">
        <v>271</v>
      </c>
      <c r="J32" s="1164" t="s">
        <v>271</v>
      </c>
      <c r="K32" s="1235"/>
      <c r="L32" s="266"/>
      <c r="M32" s="1165"/>
      <c r="N32" s="1166"/>
      <c r="O32" s="1167"/>
      <c r="P32" s="1168"/>
      <c r="Q32" s="256"/>
      <c r="R32" s="1192"/>
      <c r="S32" s="257"/>
      <c r="Z32" s="1200"/>
      <c r="AA32" s="14">
        <f>308.923-106.651</f>
        <v>202.27199999999999</v>
      </c>
      <c r="AB32" s="14">
        <f>177+2858+32</f>
        <v>3067</v>
      </c>
      <c r="AR32" s="270"/>
      <c r="BB32" s="270" t="s">
        <v>271</v>
      </c>
    </row>
    <row r="33" spans="1:54">
      <c r="A33" s="266" t="s">
        <v>2333</v>
      </c>
      <c r="B33" s="269" t="s">
        <v>634</v>
      </c>
      <c r="C33" s="1084">
        <f>'DAILY FLASH'!AK31</f>
        <v>230.69811320754718</v>
      </c>
      <c r="D33" s="1086">
        <f>'DAILY FLASH'!AL31</f>
        <v>361.28100000000001</v>
      </c>
      <c r="E33" s="1084">
        <f>'DAILY FLASH'!AN31</f>
        <v>12743.709000000001</v>
      </c>
      <c r="F33" s="269">
        <f>'DAILY FLASH'!AQ31</f>
        <v>12227</v>
      </c>
      <c r="G33" s="1086">
        <f>'DAILY FLASH'!AR31</f>
        <v>12743.709000000001</v>
      </c>
      <c r="H33" s="1058">
        <f>G33/F33*100</f>
        <v>104.22596712194326</v>
      </c>
      <c r="I33" s="1086">
        <f>'DAILY FLASH'!AU31</f>
        <v>12737.397999999999</v>
      </c>
      <c r="J33" s="1084">
        <f>'DAILY FLASH'!AT31</f>
        <v>12805.689999999997</v>
      </c>
      <c r="K33" s="620"/>
      <c r="L33" s="272"/>
      <c r="M33" s="1169" t="s">
        <v>271</v>
      </c>
      <c r="N33" s="1170" t="s">
        <v>2334</v>
      </c>
      <c r="O33" s="276"/>
      <c r="Q33" s="1171"/>
      <c r="R33" s="1169" t="s">
        <v>657</v>
      </c>
      <c r="S33" s="1120"/>
      <c r="Z33" s="1200"/>
      <c r="AR33" s="270">
        <v>8560</v>
      </c>
      <c r="BB33" s="270">
        <v>1904.201</v>
      </c>
    </row>
    <row r="34" spans="1:54">
      <c r="A34" s="990" t="s">
        <v>2012</v>
      </c>
      <c r="B34" s="1055" t="s">
        <v>634</v>
      </c>
      <c r="C34" s="1087">
        <f>'DAILY FLASH'!AK34</f>
        <v>197.79245283018867</v>
      </c>
      <c r="D34" s="1060">
        <f>'DAILY FLASH'!AL34</f>
        <v>321.48899999999998</v>
      </c>
      <c r="E34" s="1087">
        <f>'DAILY FLASH'!AN34</f>
        <v>10966.657999999999</v>
      </c>
      <c r="F34" s="1055">
        <f>'DAILY FLASH'!AQ34</f>
        <v>10483</v>
      </c>
      <c r="G34" s="1071">
        <f>'DAILY FLASH'!AR34</f>
        <v>10966.657999999999</v>
      </c>
      <c r="H34" s="1058">
        <f>G34/F34*100</f>
        <v>104.61373652580367</v>
      </c>
      <c r="I34" s="1071">
        <f>'DAILY FLASH'!AU34</f>
        <v>10869.644</v>
      </c>
      <c r="J34" s="1087">
        <f>'DAILY FLASH'!AT34</f>
        <v>11198.83</v>
      </c>
      <c r="K34" s="620"/>
      <c r="L34" s="272" t="s">
        <v>656</v>
      </c>
      <c r="M34" s="1169" t="s">
        <v>657</v>
      </c>
      <c r="N34" s="1170" t="s">
        <v>547</v>
      </c>
      <c r="O34" s="276"/>
      <c r="Q34" s="1171"/>
      <c r="R34" s="1169" t="s">
        <v>657</v>
      </c>
      <c r="S34" s="1120"/>
      <c r="Z34" s="1199"/>
      <c r="AR34" s="270">
        <v>7270</v>
      </c>
      <c r="BB34" s="270">
        <v>1595.5650000000001</v>
      </c>
    </row>
    <row r="35" spans="1:54">
      <c r="A35" s="1083" t="s">
        <v>2335</v>
      </c>
      <c r="B35" s="269"/>
      <c r="C35" s="1084" t="s">
        <v>271</v>
      </c>
      <c r="D35" s="1086"/>
      <c r="E35" s="1084"/>
      <c r="F35" s="15"/>
      <c r="G35" s="269"/>
      <c r="H35" s="1086" t="s">
        <v>271</v>
      </c>
      <c r="I35" s="1084"/>
      <c r="J35" s="1172"/>
      <c r="K35" s="2576"/>
      <c r="L35" s="272"/>
      <c r="M35" s="1169"/>
      <c r="N35" s="1170"/>
      <c r="O35" s="276"/>
      <c r="Q35" s="1171"/>
      <c r="R35" s="1121" t="s">
        <v>271</v>
      </c>
      <c r="S35" s="1120"/>
      <c r="Z35" s="1201"/>
      <c r="AR35" s="270"/>
      <c r="BB35" s="270"/>
    </row>
    <row r="36" spans="1:54">
      <c r="A36" s="272" t="s">
        <v>2012</v>
      </c>
      <c r="B36" s="271" t="s">
        <v>634</v>
      </c>
      <c r="C36" s="620">
        <f>'DAILY FLASH'!AK35+'DAILY FLASH'!AK36</f>
        <v>24.115384615384613</v>
      </c>
      <c r="D36" s="1060">
        <f>'DAILY FLASH'!AL36+'DAILY FLASH'!AL37+'DAILY FLASH'!AL35</f>
        <v>0</v>
      </c>
      <c r="E36" s="620">
        <f>'DAILY FLASH'!AG37+'DAILY FLASH'!AG35+'DAILY FLASH'!AG36</f>
        <v>315</v>
      </c>
      <c r="F36" s="275">
        <f>SUM('DAILY FLASH'!AQ35:AQ36)</f>
        <v>627</v>
      </c>
      <c r="G36" s="1060">
        <f>'DAILY FLASH'!AR35+'DAILY FLASH'!AR36+'DAILY FLASH'!AR37</f>
        <v>315</v>
      </c>
      <c r="H36" s="1058">
        <f>G36/F36*100</f>
        <v>50.239234449760758</v>
      </c>
      <c r="I36" s="620">
        <f>'md cell'!I19</f>
        <v>377.57899999999984</v>
      </c>
      <c r="J36" s="1078">
        <f>'DAILY FLASH'!AT35+'DAILY FLASH'!AT36</f>
        <v>331.51</v>
      </c>
      <c r="K36" s="1078"/>
      <c r="L36" s="272" t="s">
        <v>660</v>
      </c>
      <c r="M36" s="1169" t="s">
        <v>661</v>
      </c>
      <c r="N36" s="1170"/>
      <c r="O36" s="276"/>
      <c r="Q36" s="1171"/>
      <c r="R36" s="1121"/>
      <c r="AR36" s="270">
        <v>630</v>
      </c>
      <c r="BB36" s="270">
        <v>114.26</v>
      </c>
    </row>
    <row r="37" spans="1:54">
      <c r="A37" s="272"/>
      <c r="B37" s="271"/>
      <c r="D37" s="270"/>
      <c r="F37" s="272"/>
      <c r="G37" s="271"/>
      <c r="H37" s="270"/>
      <c r="I37" s="620"/>
      <c r="J37" s="275"/>
      <c r="K37" s="275"/>
      <c r="L37" s="272"/>
      <c r="M37" s="1169"/>
      <c r="N37" s="1170" t="s">
        <v>540</v>
      </c>
      <c r="O37" s="276"/>
      <c r="Q37" s="1171"/>
      <c r="R37" s="1169" t="s">
        <v>657</v>
      </c>
      <c r="S37" s="1120"/>
      <c r="AR37" s="270"/>
      <c r="BB37" s="270"/>
    </row>
    <row r="38" spans="1:54">
      <c r="A38" s="1088" t="s">
        <v>666</v>
      </c>
      <c r="B38" s="1089" t="s">
        <v>634</v>
      </c>
      <c r="C38" s="1090">
        <f>'DAILY FLASH'!AK56</f>
        <v>420</v>
      </c>
      <c r="D38" s="1091">
        <f>'DAILY FLASH'!AL56</f>
        <v>459.245</v>
      </c>
      <c r="E38" s="1092">
        <f>'DAILY FLASH'!AN56</f>
        <v>11402.186999999998</v>
      </c>
      <c r="F38" s="1093">
        <f>'DAILY FLASH'!AQ56</f>
        <v>11340</v>
      </c>
      <c r="G38" s="1091">
        <f>'DAILY FLASH'!AR56</f>
        <v>11402.186999999998</v>
      </c>
      <c r="H38" s="1094">
        <f>G38/F38*100</f>
        <v>100.54838624338622</v>
      </c>
      <c r="I38" s="1090">
        <f>'DAILY FLASH'!AU56</f>
        <v>10884.684000000003</v>
      </c>
      <c r="J38" s="1173">
        <f>'DAILY FLASH'!AT56</f>
        <v>11217.901000000002</v>
      </c>
      <c r="K38" s="2577"/>
      <c r="L38" s="1174" t="s">
        <v>664</v>
      </c>
      <c r="M38" s="1169" t="s">
        <v>657</v>
      </c>
      <c r="N38" s="1170" t="s">
        <v>680</v>
      </c>
      <c r="O38" s="1175"/>
      <c r="P38" s="1176"/>
      <c r="Q38" s="1177"/>
      <c r="R38" s="1121" t="s">
        <v>657</v>
      </c>
      <c r="S38" s="1120" t="s">
        <v>798</v>
      </c>
      <c r="AD38" s="14">
        <f>170.605+90.09+429.9+1177.05+535.87</f>
        <v>2403.5149999999999</v>
      </c>
      <c r="AF38" s="14">
        <f>1177+535</f>
        <v>1712</v>
      </c>
      <c r="AO38" s="14">
        <f>667/5*31</f>
        <v>4135.4000000000005</v>
      </c>
      <c r="AR38" s="270">
        <v>7510</v>
      </c>
      <c r="BB38" s="270">
        <v>1228.6859999999999</v>
      </c>
    </row>
    <row r="39" spans="1:54">
      <c r="A39" s="1095" t="s">
        <v>142</v>
      </c>
      <c r="B39" s="1096" t="s">
        <v>634</v>
      </c>
      <c r="C39" s="1090">
        <f>'DAILY FLASH'!AK58</f>
        <v>425.55555555555554</v>
      </c>
      <c r="D39" s="1092">
        <f>'DAILY FLASH'!AL58</f>
        <v>403.18</v>
      </c>
      <c r="E39" s="1097">
        <f>'DAILY FLASH'!AN58</f>
        <v>11173.28</v>
      </c>
      <c r="F39" s="1098">
        <f>'DAILY FLASH'!AQ58</f>
        <v>11490</v>
      </c>
      <c r="G39" s="1099">
        <f>'DAILY FLASH'!AR58</f>
        <v>11173.28</v>
      </c>
      <c r="H39" s="1094">
        <f>G39/F39*100</f>
        <v>97.243516100957365</v>
      </c>
      <c r="I39" s="1097">
        <f>'DAILY FLASH'!AU58</f>
        <v>10643.649999999998</v>
      </c>
      <c r="J39" s="1098">
        <f>'DAILY FLASH'!AT58</f>
        <v>12026.429999999998</v>
      </c>
      <c r="K39" s="2578"/>
      <c r="M39" s="1072" t="s">
        <v>2336</v>
      </c>
      <c r="N39" s="1138"/>
      <c r="O39" s="1178"/>
      <c r="P39" s="1178"/>
      <c r="Q39" s="1178"/>
      <c r="R39" s="1193" t="s">
        <v>2337</v>
      </c>
      <c r="S39" s="1194">
        <v>42739</v>
      </c>
      <c r="AR39" s="270">
        <v>7760</v>
      </c>
      <c r="BB39" s="270">
        <v>1389</v>
      </c>
    </row>
    <row r="40" spans="1:54" ht="17.25" customHeight="1">
      <c r="A40" s="1072" t="s">
        <v>2338</v>
      </c>
      <c r="B40" s="278" t="s">
        <v>634</v>
      </c>
      <c r="C40" s="1100">
        <f>'DAILY FLASH'!AK72</f>
        <v>12.903225806451612</v>
      </c>
      <c r="D40" s="1074">
        <f>'DAILY FLASH'!AL72</f>
        <v>0</v>
      </c>
      <c r="E40" s="1101">
        <f>'DAILY FLASH'!AN72</f>
        <v>187.2</v>
      </c>
      <c r="F40" s="279">
        <f>'DAILY FLASH'!AQ72</f>
        <v>400</v>
      </c>
      <c r="G40" s="1074">
        <f>'DAILY FLASH'!AR72</f>
        <v>187.2</v>
      </c>
      <c r="H40" s="1058">
        <f>G40/F40*100</f>
        <v>46.8</v>
      </c>
      <c r="I40" s="1087">
        <v>479</v>
      </c>
      <c r="J40" s="1082">
        <f>'DAILY FLASH'!AT72</f>
        <v>397.79999999999995</v>
      </c>
      <c r="K40" s="1082"/>
      <c r="L40" s="1080"/>
      <c r="M40" s="1114" t="s">
        <v>2339</v>
      </c>
      <c r="N40" s="267"/>
      <c r="O40" s="265"/>
      <c r="P40" s="265"/>
      <c r="Q40" s="265"/>
      <c r="R40" s="1086">
        <f>SUM(R41:R51)</f>
        <v>20078.592499999999</v>
      </c>
      <c r="S40" s="14">
        <v>0</v>
      </c>
      <c r="AR40" s="270">
        <v>2000</v>
      </c>
      <c r="BB40" s="270">
        <v>97.5</v>
      </c>
    </row>
    <row r="41" spans="1:54" ht="19.5" customHeight="1">
      <c r="A41" s="272"/>
      <c r="L41" s="1120"/>
      <c r="M41" s="272" t="s">
        <v>2340</v>
      </c>
      <c r="N41" s="1147"/>
      <c r="R41" s="1060">
        <f>'SAL STOCK'!G6</f>
        <v>14889.63</v>
      </c>
      <c r="S41" s="620">
        <v>18373</v>
      </c>
      <c r="T41" s="1146"/>
      <c r="U41" s="1146"/>
      <c r="V41" s="1146"/>
      <c r="W41" s="1146"/>
      <c r="X41" s="1146"/>
      <c r="Y41" s="1146"/>
      <c r="Z41" s="1086"/>
      <c r="AA41" s="1146"/>
      <c r="AR41" s="270"/>
      <c r="BB41" s="270"/>
    </row>
    <row r="42" spans="1:54" ht="19.5" customHeight="1">
      <c r="A42" s="1102" t="s">
        <v>2341</v>
      </c>
      <c r="B42" s="269" t="s">
        <v>634</v>
      </c>
      <c r="C42" s="1084">
        <f>'DAILY FLASH'!AK73</f>
        <v>64.516129032258064</v>
      </c>
      <c r="D42" s="1086">
        <f>'DAILY FLASH'!AL73</f>
        <v>138.69999999999999</v>
      </c>
      <c r="E42" s="1103">
        <f>'DAILY FLASH'!AG73</f>
        <v>2508.64</v>
      </c>
      <c r="F42" s="1086">
        <f>'DAILY FLASH'!AQ73</f>
        <v>2000</v>
      </c>
      <c r="G42" s="1086">
        <f>'DAILY FLASH'!AR73</f>
        <v>2508.64</v>
      </c>
      <c r="H42" s="1058">
        <f>G42/F42*100</f>
        <v>125.43199999999999</v>
      </c>
      <c r="I42" s="1086">
        <v>3642</v>
      </c>
      <c r="J42" s="1086">
        <f>'DAILY FLASH'!AT73</f>
        <v>2500.1999999999998</v>
      </c>
      <c r="K42" s="620"/>
      <c r="L42" s="1120"/>
      <c r="M42" s="272" t="s">
        <v>256</v>
      </c>
      <c r="N42" s="1147"/>
      <c r="R42" s="1060">
        <f>'SAL STOCK'!G7</f>
        <v>383.13699999999966</v>
      </c>
      <c r="S42" s="620">
        <v>199</v>
      </c>
      <c r="Z42" s="1071"/>
      <c r="AA42" s="1146"/>
      <c r="AB42" s="1072"/>
      <c r="AC42" s="1138"/>
      <c r="AD42" s="1138"/>
      <c r="AE42" s="1138"/>
      <c r="AF42" s="1138"/>
      <c r="AG42" s="1138"/>
      <c r="AH42" s="1204"/>
      <c r="AR42" s="270"/>
      <c r="BB42" s="270">
        <v>330.7</v>
      </c>
    </row>
    <row r="43" spans="1:54">
      <c r="A43" s="272" t="s">
        <v>2342</v>
      </c>
      <c r="B43" s="1104"/>
      <c r="C43" s="1104"/>
      <c r="D43" s="1104"/>
      <c r="E43" s="1104"/>
      <c r="F43" s="1104" t="s">
        <v>136</v>
      </c>
      <c r="G43" s="1104"/>
      <c r="H43" s="1104"/>
      <c r="I43" s="1104"/>
      <c r="J43" s="1104"/>
      <c r="K43" s="1104"/>
      <c r="L43" s="1116"/>
      <c r="M43" s="272" t="s">
        <v>643</v>
      </c>
      <c r="N43" s="1147"/>
      <c r="R43" s="1060">
        <f>'SAL STOCK'!G8</f>
        <v>1957.7690000000023</v>
      </c>
      <c r="S43" s="620">
        <v>1521</v>
      </c>
      <c r="T43" s="1195"/>
      <c r="U43" s="1195"/>
      <c r="V43" s="1195"/>
      <c r="W43" s="1195"/>
      <c r="X43" s="1195"/>
      <c r="Y43" s="1195"/>
      <c r="Z43" s="1202"/>
      <c r="AA43" s="1146"/>
      <c r="AB43" s="272"/>
      <c r="AD43" s="266"/>
      <c r="AE43" s="267"/>
      <c r="AF43" s="2970"/>
      <c r="AG43" s="2972"/>
      <c r="AH43" s="1147"/>
      <c r="AR43" s="270" t="s">
        <v>136</v>
      </c>
      <c r="BB43" s="270"/>
    </row>
    <row r="44" spans="1:54">
      <c r="A44" s="15"/>
      <c r="B44" s="269" t="s">
        <v>205</v>
      </c>
      <c r="C44" s="269" t="s">
        <v>206</v>
      </c>
      <c r="D44" s="269" t="s">
        <v>207</v>
      </c>
      <c r="E44" s="269" t="s">
        <v>208</v>
      </c>
      <c r="F44" s="269" t="s">
        <v>209</v>
      </c>
      <c r="G44" s="267" t="s">
        <v>210</v>
      </c>
      <c r="H44" s="267" t="s">
        <v>211</v>
      </c>
      <c r="I44" s="1179" t="s">
        <v>212</v>
      </c>
      <c r="J44" s="1179" t="s">
        <v>213</v>
      </c>
      <c r="K44" s="2579"/>
      <c r="L44" s="1121"/>
      <c r="M44" s="272" t="s">
        <v>257</v>
      </c>
      <c r="N44" s="1147"/>
      <c r="R44" s="1060">
        <f>'SAL STOCK'!G9</f>
        <v>1239.4364999999998</v>
      </c>
      <c r="S44" s="620">
        <v>1068</v>
      </c>
      <c r="Z44" s="1058"/>
      <c r="AA44" s="1146"/>
      <c r="AB44" s="1102"/>
      <c r="AD44" s="272"/>
      <c r="AE44" s="1147"/>
      <c r="AF44" s="272"/>
      <c r="AG44" s="1147"/>
      <c r="AH44" s="1147"/>
      <c r="AI44" s="1146"/>
      <c r="AJ44" s="620"/>
      <c r="AR44" s="270" t="s">
        <v>52</v>
      </c>
      <c r="BB44" s="270" t="s">
        <v>51</v>
      </c>
    </row>
    <row r="45" spans="1:54" ht="21.75">
      <c r="A45" s="275" t="s">
        <v>2343</v>
      </c>
      <c r="B45" s="714">
        <v>36.42</v>
      </c>
      <c r="C45" s="714">
        <v>0</v>
      </c>
      <c r="D45" s="714">
        <v>82.59</v>
      </c>
      <c r="E45" s="714">
        <v>1470.55</v>
      </c>
      <c r="F45" s="714">
        <v>126.357</v>
      </c>
      <c r="G45" s="714">
        <v>84.44</v>
      </c>
      <c r="H45" s="714">
        <v>0</v>
      </c>
      <c r="I45" s="714">
        <v>177.45</v>
      </c>
      <c r="J45" s="714">
        <f>'DAILY FLASH'!BC63+'DAILY FLASH'!BC64+'DAILY FLASH'!BC65</f>
        <v>558.9559999999999</v>
      </c>
      <c r="K45" s="1320"/>
      <c r="L45" s="1121"/>
      <c r="M45" s="272" t="s">
        <v>814</v>
      </c>
      <c r="N45" s="1147"/>
      <c r="R45" s="1060">
        <f>'SAL STOCK'!G17</f>
        <v>656.51899999999898</v>
      </c>
      <c r="S45" s="620">
        <v>373</v>
      </c>
      <c r="Z45" s="1058"/>
      <c r="AA45" s="1146"/>
      <c r="AB45" s="270"/>
      <c r="AD45" s="272"/>
      <c r="AE45" s="1203"/>
      <c r="AF45" s="272"/>
      <c r="AG45" s="1147"/>
      <c r="AH45" s="1203"/>
      <c r="AI45" s="1146"/>
      <c r="AJ45" s="620"/>
      <c r="AR45" s="270">
        <v>155.29</v>
      </c>
      <c r="BB45" s="270">
        <v>191.57</v>
      </c>
    </row>
    <row r="46" spans="1:54" ht="21.75">
      <c r="A46" s="275" t="s">
        <v>2344</v>
      </c>
      <c r="B46" s="714">
        <v>1101.1200000000001</v>
      </c>
      <c r="C46" s="714">
        <v>1403.88</v>
      </c>
      <c r="D46" s="714">
        <v>1071.68</v>
      </c>
      <c r="E46" s="714">
        <v>2714.8900000000003</v>
      </c>
      <c r="F46" s="714">
        <v>1508.96</v>
      </c>
      <c r="G46" s="714">
        <v>1097.3399999999999</v>
      </c>
      <c r="H46" s="714">
        <v>1539.28</v>
      </c>
      <c r="I46" s="714">
        <v>2156.5700000000002</v>
      </c>
      <c r="J46" s="714">
        <v>1099.1400000000001</v>
      </c>
      <c r="K46" s="1320"/>
      <c r="M46" s="272" t="s">
        <v>335</v>
      </c>
      <c r="N46" s="1147"/>
      <c r="R46" s="1060">
        <f>'SAL STOCK'!G11</f>
        <v>125.23</v>
      </c>
      <c r="S46" s="620">
        <v>527.97999999999979</v>
      </c>
      <c r="Z46" s="1058"/>
      <c r="AA46" s="1146"/>
      <c r="AB46" s="270"/>
      <c r="AD46" s="272"/>
      <c r="AE46" s="1147"/>
      <c r="AF46" s="272"/>
      <c r="AG46" s="1147"/>
      <c r="AH46" s="1203"/>
      <c r="AI46" s="1146"/>
      <c r="AJ46" s="620"/>
      <c r="AR46" s="270">
        <v>790.0100000000001</v>
      </c>
      <c r="BB46" s="270">
        <v>232.19500000000002</v>
      </c>
    </row>
    <row r="47" spans="1:54" ht="21.75">
      <c r="A47" s="14" t="s">
        <v>2345</v>
      </c>
      <c r="B47" s="714">
        <v>0</v>
      </c>
      <c r="C47" s="714">
        <v>161.68</v>
      </c>
      <c r="D47" s="714">
        <v>63.6</v>
      </c>
      <c r="E47" s="714">
        <v>394.73</v>
      </c>
      <c r="F47" s="714">
        <v>1155.3</v>
      </c>
      <c r="G47" s="714">
        <v>159.35999999999999</v>
      </c>
      <c r="H47" s="714">
        <v>249.41</v>
      </c>
      <c r="I47" s="714">
        <v>115.83999999999999</v>
      </c>
      <c r="J47" s="714">
        <v>653.33000000000004</v>
      </c>
      <c r="K47" s="1320"/>
      <c r="M47" s="990" t="s">
        <v>2346</v>
      </c>
      <c r="N47" s="1180"/>
      <c r="R47" s="1060">
        <f>'SAL STOCK'!G12</f>
        <v>232.62700000000012</v>
      </c>
      <c r="S47" s="620">
        <v>2844.3600000000006</v>
      </c>
      <c r="Z47" s="1058"/>
      <c r="AA47" s="1146"/>
      <c r="AB47" s="270"/>
      <c r="AD47" s="272"/>
      <c r="AE47" s="1147"/>
      <c r="AF47" s="272"/>
      <c r="AG47" s="1147"/>
      <c r="AH47" s="1203"/>
      <c r="AI47" s="1146"/>
      <c r="AJ47" s="620"/>
      <c r="AR47" s="270">
        <v>945.3</v>
      </c>
      <c r="BB47" s="270">
        <v>423.76499999999999</v>
      </c>
    </row>
    <row r="48" spans="1:54" ht="23.25">
      <c r="A48" s="275" t="s">
        <v>23</v>
      </c>
      <c r="B48" s="1105">
        <v>1137.5400000000002</v>
      </c>
      <c r="C48" s="1105">
        <v>1403.88</v>
      </c>
      <c r="D48" s="1105">
        <v>1154.27</v>
      </c>
      <c r="E48" s="1105">
        <v>4185.4400000000005</v>
      </c>
      <c r="F48" s="1105">
        <v>1635.317</v>
      </c>
      <c r="G48" s="1105">
        <v>1181.78</v>
      </c>
      <c r="H48" s="1105">
        <v>1539.28</v>
      </c>
      <c r="I48" s="1105">
        <v>2334.02</v>
      </c>
      <c r="J48" s="1105">
        <v>1099.1400000000001</v>
      </c>
      <c r="K48" s="2580"/>
      <c r="M48" s="1181" t="s">
        <v>2347</v>
      </c>
      <c r="N48" s="267"/>
      <c r="R48" s="1086">
        <f>'SAL STOCK'!G10</f>
        <v>410.1029999999995</v>
      </c>
      <c r="S48" s="620">
        <v>134</v>
      </c>
      <c r="Z48" s="1058"/>
      <c r="AA48" s="1146"/>
      <c r="AB48" s="1069"/>
      <c r="AD48" s="272"/>
      <c r="AE48" s="1147"/>
      <c r="AF48" s="272"/>
      <c r="AG48" s="1147"/>
      <c r="AH48" s="1203"/>
      <c r="AI48" s="1146"/>
      <c r="AJ48" s="620"/>
      <c r="AR48" s="270">
        <v>8362.33</v>
      </c>
      <c r="BB48" s="270">
        <v>4811.99</v>
      </c>
    </row>
    <row r="49" spans="1:59" ht="21.75">
      <c r="A49" s="275" t="s">
        <v>2348</v>
      </c>
      <c r="B49" s="1106">
        <v>6465.51</v>
      </c>
      <c r="C49" s="1106">
        <v>6085.9999999999991</v>
      </c>
      <c r="D49" s="1106">
        <v>6923.2759999999998</v>
      </c>
      <c r="E49" s="1106">
        <v>6171.16</v>
      </c>
      <c r="F49" s="1106">
        <v>6920.1929999999984</v>
      </c>
      <c r="G49" s="1106">
        <v>8837.5629999999983</v>
      </c>
      <c r="H49" s="1106">
        <v>6490.4389999999994</v>
      </c>
      <c r="I49" s="1106">
        <v>6015.380000000001</v>
      </c>
      <c r="J49" s="1106">
        <v>8251.1950000000015</v>
      </c>
      <c r="K49" s="2581"/>
      <c r="M49" s="990" t="s">
        <v>2349</v>
      </c>
      <c r="N49" s="1180"/>
      <c r="O49" s="273"/>
      <c r="P49" s="273"/>
      <c r="Q49" s="273"/>
      <c r="R49" s="1071">
        <f>'SAL STOCK'!G14</f>
        <v>0</v>
      </c>
      <c r="S49" s="620">
        <v>52</v>
      </c>
      <c r="Z49" s="278"/>
      <c r="AA49" s="1146"/>
      <c r="AD49" s="272"/>
      <c r="AE49" s="1147"/>
      <c r="AH49" s="1203"/>
      <c r="AJ49" s="1180"/>
      <c r="AR49" s="270">
        <v>9307.6299999999992</v>
      </c>
      <c r="BB49" s="270">
        <v>5235.7550000000001</v>
      </c>
    </row>
    <row r="50" spans="1:59" ht="21.75">
      <c r="A50" s="279" t="s">
        <v>416</v>
      </c>
      <c r="B50" s="714">
        <v>7603.05</v>
      </c>
      <c r="C50" s="714">
        <v>7489.8799999999992</v>
      </c>
      <c r="D50" s="714">
        <v>8077.5459999999994</v>
      </c>
      <c r="E50" s="714">
        <v>10356.6</v>
      </c>
      <c r="F50" s="714">
        <v>8555.5099999999984</v>
      </c>
      <c r="G50" s="714">
        <v>10019.342999999999</v>
      </c>
      <c r="H50" s="714">
        <v>8029.7189999999991</v>
      </c>
      <c r="I50" s="714">
        <v>8349.4000000000015</v>
      </c>
      <c r="J50" s="714">
        <v>9350.3350000000009</v>
      </c>
      <c r="K50" s="1320"/>
      <c r="M50" s="1114" t="s">
        <v>672</v>
      </c>
      <c r="N50" s="265"/>
      <c r="O50" s="265"/>
      <c r="P50" s="265"/>
      <c r="Q50" s="265"/>
      <c r="R50" s="1086">
        <f>'SAL STOCK'!G16</f>
        <v>184.14099999999999</v>
      </c>
      <c r="S50" s="257">
        <v>177</v>
      </c>
      <c r="Z50" s="1055"/>
      <c r="AA50" s="1146"/>
      <c r="AB50" s="990"/>
      <c r="AC50" s="273"/>
      <c r="AD50" s="273"/>
      <c r="AE50" s="273"/>
      <c r="AF50" s="990"/>
      <c r="AG50" s="1180"/>
      <c r="AH50" s="1180"/>
      <c r="AI50" s="273"/>
      <c r="AR50" s="270"/>
      <c r="BB50" s="270"/>
    </row>
    <row r="51" spans="1:59" ht="20.25">
      <c r="B51" s="278" t="s">
        <v>216</v>
      </c>
      <c r="C51" s="2452" t="s">
        <v>217</v>
      </c>
      <c r="D51" s="278" t="s">
        <v>2350</v>
      </c>
      <c r="E51" s="1107"/>
      <c r="F51" s="1107" t="s">
        <v>2351</v>
      </c>
      <c r="G51" s="2987" t="s">
        <v>2352</v>
      </c>
      <c r="H51" s="2988"/>
      <c r="I51" s="2989"/>
      <c r="J51" s="2990"/>
      <c r="K51" s="2582"/>
      <c r="L51" s="1121"/>
      <c r="M51" s="1114" t="s">
        <v>2353</v>
      </c>
      <c r="R51" s="1086">
        <f>'SAL STOCK'!G15</f>
        <v>0</v>
      </c>
      <c r="S51" s="620">
        <f>SUM(S41:S50)</f>
        <v>25269.34</v>
      </c>
      <c r="T51" s="620"/>
      <c r="U51" s="620"/>
      <c r="V51" s="620"/>
      <c r="W51" s="620"/>
      <c r="X51" s="620"/>
      <c r="Y51" s="620"/>
      <c r="Z51" s="620"/>
      <c r="AA51" s="1146"/>
      <c r="AR51" s="270"/>
      <c r="BB51" s="270"/>
    </row>
    <row r="52" spans="1:59" ht="21.75">
      <c r="A52" s="275" t="s">
        <v>2343</v>
      </c>
      <c r="B52" s="714">
        <f>'DAILY FLASH'!BC63+'DAILY FLASH'!BC64+'DAILY FLASH'!BC65</f>
        <v>558.9559999999999</v>
      </c>
      <c r="C52" s="714">
        <v>336.29</v>
      </c>
      <c r="D52" s="714">
        <f>'DAILY FLASH'!BC63+'DAILY FLASH'!BC64</f>
        <v>517.53599999999994</v>
      </c>
      <c r="E52" s="2979" t="s">
        <v>2354</v>
      </c>
      <c r="F52" s="2980"/>
      <c r="G52" s="2991" t="s">
        <v>2355</v>
      </c>
      <c r="H52" s="2992"/>
      <c r="I52" s="2993" t="s">
        <v>2354</v>
      </c>
      <c r="J52" s="2994"/>
      <c r="K52" s="1160"/>
      <c r="L52" s="1121"/>
      <c r="R52" s="1060">
        <f>SUM(R41:R51)</f>
        <v>20078.592499999999</v>
      </c>
      <c r="AB52" s="272"/>
      <c r="AD52" s="266"/>
      <c r="AE52" s="267"/>
      <c r="AF52" s="2970"/>
      <c r="AG52" s="2972"/>
      <c r="AH52" s="1147"/>
      <c r="AR52" s="270"/>
      <c r="BB52" s="270"/>
    </row>
    <row r="53" spans="1:59" ht="21.75">
      <c r="A53" s="275" t="s">
        <v>2344</v>
      </c>
      <c r="B53" s="1108">
        <v>508.89</v>
      </c>
      <c r="C53" s="714">
        <v>697.48</v>
      </c>
      <c r="D53" s="714">
        <f>'DAILY FLASH'!BD66+'DAILY FLASH'!BD67+'DAILY FLASH'!BD68+'DAILY FLASH'!BD69+'DAILY FLASH'!BD70+'DAILY FLASH'!BD71+'DAILY FLASH'!BD72</f>
        <v>1272.75</v>
      </c>
      <c r="E53" s="1109" t="s">
        <v>2356</v>
      </c>
      <c r="F53" s="1059">
        <v>92189</v>
      </c>
      <c r="G53" s="275">
        <f>'DAILY FLASH'!AW20</f>
        <v>24735</v>
      </c>
      <c r="H53" s="1077" t="str">
        <f>'DAILY FLASH'!AX20</f>
        <v>MAR'97</v>
      </c>
      <c r="I53" s="269">
        <f>'DAILY FLASH'!AY20</f>
        <v>248175</v>
      </c>
      <c r="J53" s="269" t="str">
        <f>'DAILY FLASH'!AZ20</f>
        <v>96-97</v>
      </c>
      <c r="K53" s="1077"/>
      <c r="L53" s="1121"/>
      <c r="R53" s="1060"/>
      <c r="AB53" s="272"/>
      <c r="AD53" s="272"/>
      <c r="AE53" s="1147"/>
      <c r="AF53" s="275"/>
      <c r="AG53" s="1077"/>
      <c r="AH53" s="1147"/>
      <c r="AR53" s="270"/>
      <c r="BB53" s="270"/>
    </row>
    <row r="54" spans="1:59" ht="21.75">
      <c r="A54" s="275" t="s">
        <v>2345</v>
      </c>
      <c r="B54" s="1108">
        <v>334.21</v>
      </c>
      <c r="C54" s="714">
        <v>123.60999999999999</v>
      </c>
      <c r="D54" s="714" t="str">
        <f>'md cell'!N35</f>
        <v>DESP.(T)</v>
      </c>
      <c r="E54" s="1110" t="s">
        <v>2357</v>
      </c>
      <c r="F54" s="271">
        <v>84803</v>
      </c>
      <c r="G54" s="275">
        <f>'DAILY FLASH'!AW14</f>
        <v>15089</v>
      </c>
      <c r="H54" s="1077" t="str">
        <f>'DAILY FLASH'!AX14</f>
        <v>MAR'89</v>
      </c>
      <c r="I54" s="271">
        <f>'DAILY FLASH'!AY14</f>
        <v>151556</v>
      </c>
      <c r="J54" s="271" t="str">
        <f>'DAILY FLASH'!AZ14</f>
        <v>88-89</v>
      </c>
      <c r="K54" s="1077"/>
      <c r="L54" s="1121"/>
      <c r="R54" s="1060"/>
      <c r="AB54" s="272"/>
      <c r="AD54" s="272"/>
      <c r="AE54" s="1147"/>
      <c r="AF54" s="275"/>
      <c r="AG54" s="1077"/>
      <c r="AH54" s="1147"/>
      <c r="AR54" s="270"/>
      <c r="BB54" s="270"/>
    </row>
    <row r="55" spans="1:59" ht="23.25">
      <c r="A55" s="275" t="s">
        <v>23</v>
      </c>
      <c r="B55" s="1108">
        <v>508.89</v>
      </c>
      <c r="C55" s="1105">
        <v>1033.77</v>
      </c>
      <c r="D55" s="1105">
        <f>+D53+D52</f>
        <v>1790.2860000000001</v>
      </c>
      <c r="E55" s="1110" t="s">
        <v>2358</v>
      </c>
      <c r="F55" s="271">
        <v>7386</v>
      </c>
      <c r="G55" s="275">
        <f>'DAILY FLASH'!AW16</f>
        <v>13036</v>
      </c>
      <c r="H55" s="1077" t="str">
        <f>'DAILY FLASH'!AX16</f>
        <v>MAR'94</v>
      </c>
      <c r="I55" s="271">
        <f>'DAILY FLASH'!AY19</f>
        <v>112288</v>
      </c>
      <c r="J55" s="271" t="str">
        <f>'DAILY FLASH'!AZ19</f>
        <v>10-11</v>
      </c>
      <c r="K55" s="1077"/>
      <c r="L55" s="1121"/>
      <c r="R55" s="1060"/>
      <c r="AB55" s="272"/>
      <c r="AD55" s="272"/>
      <c r="AE55" s="1147"/>
      <c r="AF55" s="275"/>
      <c r="AG55" s="1077"/>
      <c r="AH55" s="1147"/>
      <c r="AR55" s="270"/>
      <c r="BB55" s="270"/>
    </row>
    <row r="56" spans="1:59" ht="21.75">
      <c r="A56" s="275" t="s">
        <v>2348</v>
      </c>
      <c r="B56" s="1108">
        <v>7217.5900000000011</v>
      </c>
      <c r="C56" s="1106">
        <v>7016.4399999999987</v>
      </c>
      <c r="D56" s="1106">
        <f>+D57-D55</f>
        <v>9382.9940000000006</v>
      </c>
      <c r="E56" s="1111" t="s">
        <v>284</v>
      </c>
      <c r="F56" s="1055">
        <v>108897</v>
      </c>
      <c r="G56" s="279">
        <f>'DAILY FLASH'!AW56</f>
        <v>19652</v>
      </c>
      <c r="H56" s="1081" t="str">
        <f>'DAILY FLASH'!AX56</f>
        <v>AUG'10</v>
      </c>
      <c r="I56" s="1055">
        <f>'DAILY FLASH'!AY56</f>
        <v>202913</v>
      </c>
      <c r="J56" s="1055" t="str">
        <f>'DAILY FLASH'!AZ56</f>
        <v>10-11</v>
      </c>
      <c r="K56" s="1077"/>
      <c r="L56" s="1121"/>
      <c r="R56" s="1060"/>
      <c r="AB56" s="272"/>
      <c r="AD56" s="272"/>
      <c r="AE56" s="1147"/>
      <c r="AF56" s="275"/>
      <c r="AG56" s="1077"/>
      <c r="AH56" s="1147"/>
      <c r="AR56" s="270"/>
      <c r="BB56" s="270"/>
    </row>
    <row r="57" spans="1:59" ht="24" customHeight="1">
      <c r="A57" s="279" t="s">
        <v>416</v>
      </c>
      <c r="B57" s="1108">
        <v>7726.4800000000014</v>
      </c>
      <c r="C57" s="714">
        <v>8050.2099999999982</v>
      </c>
      <c r="D57" s="714">
        <f>'DAILY FLASH'!BC60</f>
        <v>11173.28</v>
      </c>
      <c r="E57" s="257"/>
      <c r="F57" s="257"/>
      <c r="G57" s="257"/>
      <c r="H57" s="620"/>
      <c r="I57" s="257"/>
      <c r="J57" s="1146"/>
      <c r="K57" s="1146"/>
      <c r="L57" s="1180"/>
      <c r="M57" s="1112" t="s">
        <v>679</v>
      </c>
      <c r="N57" s="1138"/>
      <c r="O57" s="1138"/>
      <c r="P57" s="1138"/>
      <c r="Q57" s="1138"/>
      <c r="R57" s="1074">
        <v>46</v>
      </c>
      <c r="AB57" s="1102"/>
      <c r="AD57" s="272"/>
      <c r="AE57" s="1147"/>
      <c r="AF57" s="272"/>
      <c r="AG57" s="1147"/>
      <c r="AH57" s="1147"/>
      <c r="AR57" s="270"/>
      <c r="BB57" s="270"/>
    </row>
    <row r="58" spans="1:59">
      <c r="A58" s="1072" t="s">
        <v>682</v>
      </c>
      <c r="B58" s="2995" t="s">
        <v>683</v>
      </c>
      <c r="C58" s="2996"/>
      <c r="D58" s="2997"/>
      <c r="E58" s="100" t="s">
        <v>684</v>
      </c>
      <c r="F58" s="278" t="s">
        <v>519</v>
      </c>
      <c r="G58" s="101" t="s">
        <v>525</v>
      </c>
      <c r="H58" s="278" t="s">
        <v>685</v>
      </c>
      <c r="I58" s="1140" t="str">
        <f>+I14</f>
        <v>CPLY</v>
      </c>
      <c r="J58" s="1140" t="str">
        <f>J14</f>
        <v>April'26</v>
      </c>
      <c r="K58" s="1141"/>
      <c r="L58" s="2979"/>
      <c r="M58" s="2945"/>
      <c r="N58" s="2945"/>
      <c r="O58" s="2945"/>
      <c r="P58" s="2945"/>
      <c r="Q58" s="2945"/>
      <c r="R58" s="2980"/>
      <c r="S58" s="257">
        <f>21682+43328-40600</f>
        <v>24410</v>
      </c>
      <c r="Z58" s="1079"/>
      <c r="AB58" s="270"/>
      <c r="AD58" s="272"/>
      <c r="AE58" s="1203"/>
      <c r="AF58" s="272"/>
      <c r="AG58" s="1147"/>
      <c r="AH58" s="1203"/>
      <c r="AR58" s="270" t="s">
        <v>519</v>
      </c>
      <c r="BB58" s="270" t="s">
        <v>684</v>
      </c>
      <c r="BG58" s="14">
        <f>58152-47527</f>
        <v>10625</v>
      </c>
    </row>
    <row r="59" spans="1:59">
      <c r="A59" s="266" t="s">
        <v>687</v>
      </c>
      <c r="B59" s="2998" t="s">
        <v>688</v>
      </c>
      <c r="C59" s="2999"/>
      <c r="D59" s="3000"/>
      <c r="E59" s="1117">
        <v>3.5</v>
      </c>
      <c r="F59" s="269" t="s">
        <v>689</v>
      </c>
      <c r="G59" s="1118">
        <f>'DAILY FLASH'!AL101</f>
        <v>3.8333333333333335</v>
      </c>
      <c r="H59" s="1119">
        <f>'DAILY FLASH'!AN101</f>
        <v>3.2807262569832401</v>
      </c>
      <c r="I59" s="1119">
        <v>4.0646666666666667</v>
      </c>
      <c r="J59" s="1119">
        <v>4.5338983050847457</v>
      </c>
      <c r="K59" s="2583"/>
      <c r="L59" s="2998"/>
      <c r="M59" s="2999"/>
      <c r="N59" s="2999"/>
      <c r="O59" s="1115"/>
      <c r="P59" s="1115"/>
      <c r="Q59" s="1115"/>
      <c r="R59" s="1086"/>
      <c r="S59" s="620"/>
      <c r="AB59" s="270"/>
      <c r="AD59" s="272"/>
      <c r="AE59" s="1147"/>
      <c r="AF59" s="272"/>
      <c r="AG59" s="1147"/>
      <c r="AH59" s="1203"/>
      <c r="AR59" s="270" t="s">
        <v>689</v>
      </c>
      <c r="BB59" s="270">
        <v>3.5</v>
      </c>
    </row>
    <row r="60" spans="1:59">
      <c r="A60" s="272"/>
      <c r="B60" s="888"/>
      <c r="C60" s="1120"/>
      <c r="D60" s="1121"/>
      <c r="E60" s="1122"/>
      <c r="F60" s="271"/>
      <c r="G60" s="1123"/>
      <c r="H60" s="1124"/>
      <c r="I60" s="1124"/>
      <c r="J60" s="1124"/>
      <c r="K60" s="2576"/>
      <c r="L60" s="888"/>
      <c r="N60" s="1120"/>
      <c r="O60" s="1120"/>
      <c r="P60" s="1120"/>
      <c r="Q60" s="1120"/>
      <c r="R60" s="1196"/>
      <c r="S60" s="1197"/>
      <c r="AB60" s="270"/>
      <c r="AD60" s="272"/>
      <c r="AE60" s="1147"/>
      <c r="AF60" s="272"/>
      <c r="AG60" s="1147"/>
      <c r="AH60" s="1203"/>
      <c r="AM60" s="1146"/>
      <c r="AR60" s="270"/>
      <c r="BB60" s="270"/>
    </row>
    <row r="61" spans="1:59">
      <c r="A61" s="272"/>
      <c r="B61" s="3001" t="s">
        <v>692</v>
      </c>
      <c r="C61" s="3002"/>
      <c r="D61" s="3003"/>
      <c r="E61" s="1122">
        <v>53</v>
      </c>
      <c r="F61" s="271" t="s">
        <v>634</v>
      </c>
      <c r="G61" s="1118">
        <f>'DAILY FLASH'!AK9/'DAILY FLASH'!AL21</f>
        <v>0</v>
      </c>
      <c r="H61" s="1118">
        <f>'DAILY FLASH'!AN12/'DAILY FLASH'!AN21</f>
        <v>52.096883720930229</v>
      </c>
      <c r="I61" s="1118">
        <v>51.615161290322582</v>
      </c>
      <c r="J61" s="1182">
        <v>51.889511627906984</v>
      </c>
      <c r="K61" s="2584"/>
      <c r="L61" s="3001"/>
      <c r="M61" s="3002"/>
      <c r="N61" s="3002"/>
      <c r="O61" s="1120"/>
      <c r="P61" s="1120"/>
      <c r="Q61" s="1120"/>
      <c r="R61" s="1060"/>
      <c r="S61" s="620"/>
      <c r="AB61" s="1069"/>
      <c r="AD61" s="272"/>
      <c r="AE61" s="1147"/>
      <c r="AF61" s="272"/>
      <c r="AG61" s="1147"/>
      <c r="AH61" s="1203"/>
      <c r="AR61" s="270" t="s">
        <v>634</v>
      </c>
      <c r="BB61" s="270">
        <v>53</v>
      </c>
      <c r="BG61" s="14">
        <f>10065-100</f>
        <v>9965</v>
      </c>
    </row>
    <row r="62" spans="1:59">
      <c r="A62" s="272"/>
      <c r="B62" s="888"/>
      <c r="C62" s="1120"/>
      <c r="D62" s="1121"/>
      <c r="E62" s="1125"/>
      <c r="F62" s="271"/>
      <c r="G62" s="1123"/>
      <c r="H62" s="1124"/>
      <c r="I62" s="1124"/>
      <c r="J62" s="1124"/>
      <c r="K62" s="2576"/>
      <c r="L62" s="888"/>
      <c r="M62" s="1120"/>
      <c r="N62" s="1120"/>
      <c r="O62" s="1120"/>
      <c r="P62" s="1120"/>
      <c r="Q62" s="1120"/>
      <c r="R62" s="1196"/>
      <c r="S62" s="1197"/>
      <c r="AB62" s="270"/>
      <c r="AD62" s="272"/>
      <c r="AE62" s="1147"/>
      <c r="AH62" s="1203"/>
      <c r="AR62" s="270"/>
      <c r="BB62" s="270"/>
      <c r="BG62" s="14">
        <f>9965/0.7</f>
        <v>14235.714285714286</v>
      </c>
    </row>
    <row r="63" spans="1:59">
      <c r="A63" s="272"/>
      <c r="B63" s="3001" t="s">
        <v>694</v>
      </c>
      <c r="C63" s="3002"/>
      <c r="D63" s="3003"/>
      <c r="E63" s="1125">
        <v>670</v>
      </c>
      <c r="F63" s="271" t="s">
        <v>520</v>
      </c>
      <c r="G63" s="1103">
        <v>755</v>
      </c>
      <c r="H63" s="1086">
        <v>753</v>
      </c>
      <c r="I63" s="1086">
        <v>753</v>
      </c>
      <c r="J63" s="271">
        <v>684</v>
      </c>
      <c r="K63" s="275"/>
      <c r="L63" s="888"/>
      <c r="M63" s="257"/>
      <c r="N63" s="257"/>
      <c r="O63" s="257"/>
      <c r="P63" s="257"/>
      <c r="Q63" s="257"/>
      <c r="R63" s="1060"/>
      <c r="S63" s="620"/>
      <c r="AB63" s="270"/>
      <c r="AD63" s="272"/>
      <c r="AE63" s="1147"/>
      <c r="AH63" s="1203"/>
      <c r="AR63" s="270" t="s">
        <v>520</v>
      </c>
      <c r="BB63" s="270">
        <v>685</v>
      </c>
    </row>
    <row r="64" spans="1:59">
      <c r="A64" s="272"/>
      <c r="B64" s="888" t="s">
        <v>695</v>
      </c>
      <c r="C64" s="1120"/>
      <c r="D64" s="1121"/>
      <c r="E64" s="1126">
        <v>0.35</v>
      </c>
      <c r="F64" s="271" t="s">
        <v>701</v>
      </c>
      <c r="G64" s="278">
        <v>0.622</v>
      </c>
      <c r="H64" s="1127">
        <v>0.38600000000000001</v>
      </c>
      <c r="I64" s="271"/>
      <c r="J64" s="271">
        <v>0.33800000000000002</v>
      </c>
      <c r="K64" s="275"/>
      <c r="L64" s="888"/>
      <c r="M64" s="257"/>
      <c r="N64" s="257"/>
      <c r="O64" s="257"/>
      <c r="P64" s="257"/>
      <c r="Q64" s="257"/>
      <c r="R64" s="1060"/>
      <c r="S64" s="620"/>
      <c r="AD64" s="272"/>
      <c r="AE64" s="1147"/>
      <c r="AH64" s="1203"/>
      <c r="AR64" s="270"/>
      <c r="BB64" s="270"/>
    </row>
    <row r="65" spans="1:54">
      <c r="A65" s="272"/>
      <c r="B65" s="3001" t="s">
        <v>697</v>
      </c>
      <c r="C65" s="3002"/>
      <c r="D65" s="3003"/>
      <c r="E65" s="1122">
        <v>5.5</v>
      </c>
      <c r="F65" s="271" t="s">
        <v>698</v>
      </c>
      <c r="G65" s="1164">
        <v>3.4</v>
      </c>
      <c r="H65" s="1205">
        <v>5.72</v>
      </c>
      <c r="I65" s="1205">
        <v>5.68</v>
      </c>
      <c r="J65" s="1124">
        <v>5.72</v>
      </c>
      <c r="K65" s="2576"/>
      <c r="L65" s="888"/>
      <c r="M65" s="257"/>
      <c r="N65" s="257"/>
      <c r="O65" s="257"/>
      <c r="P65" s="257"/>
      <c r="Q65" s="257"/>
      <c r="R65" s="1060"/>
      <c r="S65" s="620"/>
      <c r="AH65" s="1203"/>
      <c r="AR65" s="270" t="s">
        <v>698</v>
      </c>
      <c r="BB65" s="270">
        <v>5.7</v>
      </c>
    </row>
    <row r="66" spans="1:54">
      <c r="A66" s="272"/>
      <c r="B66" s="888"/>
      <c r="C66" s="1120"/>
      <c r="D66" s="1121"/>
      <c r="E66" s="1122"/>
      <c r="F66" s="271"/>
      <c r="G66" s="1123"/>
      <c r="H66" s="1124"/>
      <c r="I66" s="1124"/>
      <c r="J66" s="1124"/>
      <c r="K66" s="2576"/>
      <c r="L66" s="888"/>
      <c r="M66" s="257"/>
      <c r="N66" s="257"/>
      <c r="O66" s="257"/>
      <c r="P66" s="257"/>
      <c r="Q66" s="257"/>
      <c r="R66" s="1060"/>
      <c r="S66" s="620"/>
      <c r="AB66" s="990"/>
      <c r="AC66" s="1258"/>
      <c r="AD66" s="273"/>
      <c r="AE66" s="273"/>
      <c r="AF66" s="990"/>
      <c r="AG66" s="1180"/>
      <c r="AH66" s="1180"/>
      <c r="AR66" s="270"/>
      <c r="BB66" s="270"/>
    </row>
    <row r="67" spans="1:54">
      <c r="A67" s="990"/>
      <c r="B67" s="3004" t="s">
        <v>699</v>
      </c>
      <c r="C67" s="3005"/>
      <c r="D67" s="3006"/>
      <c r="E67" s="1206">
        <v>96.61</v>
      </c>
      <c r="F67" s="1055" t="s">
        <v>320</v>
      </c>
      <c r="G67" s="1164">
        <v>96.69</v>
      </c>
      <c r="H67" s="1205">
        <v>95.68</v>
      </c>
      <c r="I67" s="1205">
        <v>96.6</v>
      </c>
      <c r="J67" s="1231">
        <v>96.71</v>
      </c>
      <c r="K67" s="1188"/>
      <c r="M67" s="257"/>
      <c r="N67" s="257"/>
      <c r="O67" s="257"/>
      <c r="P67" s="257"/>
      <c r="Q67" s="257"/>
      <c r="R67" s="1060"/>
      <c r="S67" s="620"/>
      <c r="AR67" s="270" t="s">
        <v>320</v>
      </c>
      <c r="BB67" s="270">
        <v>96</v>
      </c>
    </row>
    <row r="68" spans="1:54" ht="21">
      <c r="A68" s="266" t="s">
        <v>664</v>
      </c>
      <c r="B68" s="2998" t="s">
        <v>702</v>
      </c>
      <c r="C68" s="2999"/>
      <c r="D68" s="3000"/>
      <c r="E68" s="1117">
        <v>96.7</v>
      </c>
      <c r="F68" s="269" t="s">
        <v>320</v>
      </c>
      <c r="G68" s="1207">
        <v>97.21</v>
      </c>
      <c r="H68" s="1207">
        <v>97.2</v>
      </c>
      <c r="I68" s="1207" t="s">
        <v>2359</v>
      </c>
      <c r="J68" s="1232">
        <v>97.14</v>
      </c>
      <c r="K68" s="1122"/>
      <c r="L68" s="888" t="s">
        <v>2360</v>
      </c>
      <c r="M68" s="620"/>
      <c r="N68" s="257"/>
      <c r="O68" s="257"/>
      <c r="P68" s="257"/>
      <c r="Q68" s="257"/>
      <c r="R68" s="271">
        <v>56.4</v>
      </c>
      <c r="S68" s="257"/>
      <c r="AD68" s="1259">
        <v>61374</v>
      </c>
      <c r="AE68" s="14">
        <v>6107</v>
      </c>
      <c r="AF68" s="1260">
        <f>+AE68+AD68</f>
        <v>67481</v>
      </c>
      <c r="AG68" s="1261">
        <v>77407</v>
      </c>
      <c r="AH68" s="14">
        <v>7205</v>
      </c>
      <c r="AI68" s="1260">
        <f>AH68+AG68</f>
        <v>84612</v>
      </c>
      <c r="AJ68" s="620">
        <f>AI68/AF68*100</f>
        <v>125.38640506216565</v>
      </c>
      <c r="AR68" s="270" t="s">
        <v>320</v>
      </c>
      <c r="BB68" s="270">
        <v>96.7</v>
      </c>
    </row>
    <row r="69" spans="1:54" ht="21">
      <c r="A69" s="266" t="s">
        <v>711</v>
      </c>
      <c r="B69" s="2998" t="s">
        <v>694</v>
      </c>
      <c r="C69" s="2999"/>
      <c r="D69" s="3000"/>
      <c r="E69" s="1208">
        <v>107</v>
      </c>
      <c r="F69" s="269" t="s">
        <v>520</v>
      </c>
      <c r="G69" s="1209" t="e">
        <f>M106</f>
        <v>#REF!</v>
      </c>
      <c r="H69" s="1209">
        <v>98.04</v>
      </c>
      <c r="I69" s="1209">
        <v>99.595047478099204</v>
      </c>
      <c r="J69" s="1233">
        <v>94.929367229142017</v>
      </c>
      <c r="K69" s="1122"/>
      <c r="L69" s="3001"/>
      <c r="M69" s="3002"/>
      <c r="N69" s="3002"/>
      <c r="O69" s="3002"/>
      <c r="P69" s="2780"/>
      <c r="Q69" s="2780"/>
      <c r="R69" s="1124"/>
      <c r="S69" s="1188"/>
      <c r="AD69" s="1262">
        <v>4190</v>
      </c>
      <c r="AE69" s="14">
        <v>403</v>
      </c>
      <c r="AF69" s="1260">
        <f t="shared" ref="AF69:AF77" si="2">+AE69+AD69</f>
        <v>4593</v>
      </c>
      <c r="AG69" s="1263">
        <v>1343</v>
      </c>
      <c r="AH69" s="14">
        <v>0</v>
      </c>
      <c r="AI69" s="1260">
        <f t="shared" ref="AI69:AI77" si="3">AH69+AG69</f>
        <v>1343</v>
      </c>
      <c r="AJ69" s="620">
        <f t="shared" ref="AJ69:AJ77" si="4">AI69/AF69*100</f>
        <v>29.240148051382537</v>
      </c>
      <c r="AR69" s="270" t="s">
        <v>520</v>
      </c>
      <c r="BB69" s="270">
        <v>103</v>
      </c>
    </row>
    <row r="70" spans="1:54" ht="18" customHeight="1">
      <c r="A70" s="272"/>
      <c r="B70" s="888" t="s">
        <v>695</v>
      </c>
      <c r="C70" s="1120"/>
      <c r="D70" s="1121"/>
      <c r="E70" s="1126">
        <v>0.44</v>
      </c>
      <c r="F70" s="271" t="s">
        <v>701</v>
      </c>
      <c r="G70" s="1210">
        <v>0.39</v>
      </c>
      <c r="H70" s="1210">
        <v>0.45200000000000001</v>
      </c>
      <c r="I70" s="1210">
        <v>0.55200000000000005</v>
      </c>
      <c r="J70" s="1234">
        <v>0.45400000000000001</v>
      </c>
      <c r="K70" s="2585"/>
      <c r="L70" s="888"/>
      <c r="M70" s="620"/>
      <c r="N70" s="257"/>
      <c r="O70" s="257"/>
      <c r="P70" s="2780"/>
      <c r="Q70" s="2780"/>
      <c r="R70" s="1124"/>
      <c r="S70" s="1188"/>
      <c r="AD70" s="1264">
        <v>1910</v>
      </c>
      <c r="AE70" s="14">
        <v>184</v>
      </c>
      <c r="AF70" s="1260">
        <f t="shared" si="2"/>
        <v>2094</v>
      </c>
      <c r="AG70" s="1265">
        <v>6043</v>
      </c>
      <c r="AH70" s="14">
        <v>0</v>
      </c>
      <c r="AI70" s="1260">
        <f t="shared" si="3"/>
        <v>6043</v>
      </c>
      <c r="AJ70" s="620">
        <f t="shared" si="4"/>
        <v>288.58643744030564</v>
      </c>
      <c r="AR70" s="270"/>
      <c r="BB70" s="270"/>
    </row>
    <row r="71" spans="1:54" ht="17.25" customHeight="1">
      <c r="A71" s="990"/>
      <c r="B71" s="3004" t="s">
        <v>702</v>
      </c>
      <c r="C71" s="3005"/>
      <c r="D71" s="3006"/>
      <c r="E71" s="1211">
        <v>89</v>
      </c>
      <c r="F71" s="278" t="s">
        <v>320</v>
      </c>
      <c r="G71" s="1209" t="e">
        <f>M103</f>
        <v>#REF!</v>
      </c>
      <c r="H71" s="1209">
        <v>89.17</v>
      </c>
      <c r="I71" s="1209">
        <v>89.750538569611322</v>
      </c>
      <c r="J71" s="1232">
        <v>88.62946061403818</v>
      </c>
      <c r="K71" s="1206"/>
      <c r="L71" s="1080"/>
      <c r="M71" s="1178"/>
      <c r="N71" s="273"/>
      <c r="O71" s="273"/>
      <c r="P71" s="2777"/>
      <c r="Q71" s="2777"/>
      <c r="R71" s="1124"/>
      <c r="S71" s="1188"/>
      <c r="AD71" s="1266">
        <v>6100</v>
      </c>
      <c r="AE71" s="14">
        <v>587</v>
      </c>
      <c r="AF71" s="1260">
        <f t="shared" si="2"/>
        <v>6687</v>
      </c>
      <c r="AG71" s="1267">
        <v>7386</v>
      </c>
      <c r="AH71" s="14">
        <v>0</v>
      </c>
      <c r="AI71" s="1260">
        <f t="shared" si="3"/>
        <v>7386</v>
      </c>
      <c r="AJ71" s="620">
        <f t="shared" si="4"/>
        <v>110.45311799013011</v>
      </c>
      <c r="AR71" s="270" t="s">
        <v>320</v>
      </c>
      <c r="BB71" s="270">
        <v>87.5</v>
      </c>
    </row>
    <row r="72" spans="1:54" ht="15" customHeight="1">
      <c r="A72" s="272"/>
      <c r="B72" s="1120"/>
      <c r="C72" s="1120"/>
      <c r="D72" s="1120"/>
      <c r="E72" s="257"/>
      <c r="F72" s="1188"/>
      <c r="G72" s="1188"/>
      <c r="H72" s="1188"/>
      <c r="I72" s="1188"/>
      <c r="J72" s="1188"/>
      <c r="K72" s="1188"/>
      <c r="L72" s="888"/>
      <c r="M72" s="257" t="s">
        <v>2361</v>
      </c>
      <c r="R72" s="1123"/>
      <c r="S72" s="1188"/>
      <c r="AD72" s="1259">
        <v>55274</v>
      </c>
      <c r="AE72" s="14">
        <v>5520</v>
      </c>
      <c r="AF72" s="1260">
        <f t="shared" si="2"/>
        <v>60794</v>
      </c>
      <c r="AG72" s="1261">
        <v>70021</v>
      </c>
      <c r="AH72" s="14">
        <v>7205</v>
      </c>
      <c r="AI72" s="1260">
        <f t="shared" si="3"/>
        <v>77226</v>
      </c>
      <c r="AJ72" s="620">
        <f t="shared" si="4"/>
        <v>127.02898312333456</v>
      </c>
      <c r="AR72" s="270"/>
      <c r="BB72" s="270"/>
    </row>
    <row r="73" spans="1:54" ht="21">
      <c r="A73" s="2970" t="s">
        <v>2362</v>
      </c>
      <c r="B73" s="3007"/>
      <c r="C73" s="1212" t="s">
        <v>319</v>
      </c>
      <c r="D73" s="1213" t="s">
        <v>143</v>
      </c>
      <c r="E73" s="234" t="s">
        <v>2363</v>
      </c>
      <c r="F73" s="3008" t="s">
        <v>2364</v>
      </c>
      <c r="G73" s="3009"/>
      <c r="H73" s="3010"/>
      <c r="I73" s="3009" t="s">
        <v>2365</v>
      </c>
      <c r="J73" s="3009"/>
      <c r="K73" s="3009"/>
      <c r="L73" s="3009"/>
      <c r="M73" s="3009"/>
      <c r="N73" s="3009"/>
      <c r="O73" s="3009"/>
      <c r="P73" s="3009"/>
      <c r="Q73" s="3009"/>
      <c r="R73" s="3011"/>
      <c r="S73" s="1188"/>
      <c r="AD73" s="1259">
        <v>94500</v>
      </c>
      <c r="AE73" s="14">
        <v>9600</v>
      </c>
      <c r="AF73" s="1260">
        <f t="shared" si="2"/>
        <v>104100</v>
      </c>
      <c r="AG73" s="1261">
        <v>92752</v>
      </c>
      <c r="AH73" s="14">
        <v>9960</v>
      </c>
      <c r="AI73" s="1260">
        <f t="shared" si="3"/>
        <v>102712</v>
      </c>
      <c r="AJ73" s="620">
        <f t="shared" si="4"/>
        <v>98.666666666666671</v>
      </c>
      <c r="AR73" s="270" t="s">
        <v>2364</v>
      </c>
      <c r="BB73" s="270" t="s">
        <v>34</v>
      </c>
    </row>
    <row r="74" spans="1:54" ht="21">
      <c r="A74" s="2779" t="s">
        <v>2366</v>
      </c>
      <c r="B74" s="3012"/>
      <c r="C74" s="1214">
        <f>'DAILY FLASH'!AL27</f>
        <v>3</v>
      </c>
      <c r="D74" s="1215">
        <f>'DAILY FLASH'!AN27</f>
        <v>36</v>
      </c>
      <c r="E74" s="620">
        <f>'DAILY FLASH'!AP27</f>
        <v>98</v>
      </c>
      <c r="F74" s="3013">
        <f>968+E74</f>
        <v>1066</v>
      </c>
      <c r="G74" s="3014"/>
      <c r="H74" s="3015"/>
      <c r="I74" s="3016"/>
      <c r="J74" s="3017"/>
      <c r="K74" s="3017"/>
      <c r="L74" s="3017"/>
      <c r="M74" s="3017"/>
      <c r="N74" s="3017"/>
      <c r="O74" s="273"/>
      <c r="P74" s="273"/>
      <c r="Q74" s="273"/>
      <c r="R74" s="1249"/>
      <c r="S74" s="1188"/>
      <c r="AA74" s="1227"/>
      <c r="AD74" s="1259">
        <v>90679</v>
      </c>
      <c r="AE74" s="14">
        <v>9015</v>
      </c>
      <c r="AF74" s="1260">
        <f t="shared" si="2"/>
        <v>99694</v>
      </c>
      <c r="AG74" s="1261">
        <v>90133</v>
      </c>
      <c r="AH74" s="14">
        <v>9050</v>
      </c>
      <c r="AI74" s="1260">
        <f t="shared" si="3"/>
        <v>99183</v>
      </c>
      <c r="AJ74" s="620">
        <f t="shared" si="4"/>
        <v>99.487431540513967</v>
      </c>
      <c r="AR74" s="270">
        <v>968</v>
      </c>
      <c r="BB74" s="270">
        <v>0</v>
      </c>
    </row>
    <row r="75" spans="1:54" ht="21">
      <c r="A75" s="278" t="s">
        <v>2367</v>
      </c>
      <c r="B75" s="278"/>
      <c r="C75" s="1216">
        <f>'DAILY FLASH'!U111</f>
        <v>0</v>
      </c>
      <c r="D75" s="1216">
        <f>'DAILY FLASH'!V111</f>
        <v>1577</v>
      </c>
      <c r="E75" s="1086"/>
      <c r="F75" s="620"/>
      <c r="G75" s="620"/>
      <c r="H75" s="620"/>
      <c r="I75" s="1188"/>
      <c r="J75" s="1188"/>
      <c r="K75" s="1188"/>
      <c r="L75" s="1120"/>
      <c r="M75" s="257"/>
      <c r="R75" s="1123"/>
      <c r="S75" s="1188"/>
      <c r="T75" s="100"/>
      <c r="U75" s="257"/>
      <c r="V75" s="257"/>
      <c r="W75" s="257"/>
      <c r="X75" s="257"/>
      <c r="Y75" s="257"/>
      <c r="AA75" s="1227"/>
      <c r="AD75" s="1259">
        <v>92279</v>
      </c>
      <c r="AE75" s="14">
        <v>9165</v>
      </c>
      <c r="AF75" s="1260">
        <f t="shared" si="2"/>
        <v>101444</v>
      </c>
      <c r="AG75" s="1261">
        <v>90122</v>
      </c>
      <c r="AH75" s="14">
        <v>9000</v>
      </c>
      <c r="AI75" s="1260">
        <f t="shared" si="3"/>
        <v>99122</v>
      </c>
      <c r="AJ75" s="620">
        <f t="shared" si="4"/>
        <v>97.711052403296392</v>
      </c>
      <c r="AR75" s="270"/>
      <c r="BB75" s="270"/>
    </row>
    <row r="76" spans="1:54" ht="21">
      <c r="A76" s="278" t="s">
        <v>648</v>
      </c>
      <c r="B76" s="1178"/>
      <c r="C76" s="1216">
        <f>'DAILY FLASH'!U112</f>
        <v>0</v>
      </c>
      <c r="D76" s="1216">
        <f>'DAILY FLASH'!V112</f>
        <v>2060</v>
      </c>
      <c r="E76" s="1071"/>
      <c r="F76" s="620"/>
      <c r="G76" s="620"/>
      <c r="H76" s="620"/>
      <c r="I76" s="1188"/>
      <c r="J76" s="1188"/>
      <c r="K76" s="1188"/>
      <c r="L76" s="1120"/>
      <c r="M76" s="257"/>
      <c r="R76" s="1123"/>
      <c r="S76" s="1188"/>
      <c r="T76" s="1227"/>
      <c r="U76" s="1227"/>
      <c r="V76" s="1227"/>
      <c r="W76" s="1227"/>
      <c r="X76" s="1227"/>
      <c r="Y76" s="1227"/>
      <c r="AA76" s="1227"/>
      <c r="AD76" s="1268">
        <v>20000</v>
      </c>
      <c r="AE76" s="14">
        <v>2000</v>
      </c>
      <c r="AF76" s="14">
        <f t="shared" si="2"/>
        <v>22000</v>
      </c>
      <c r="AG76" s="1269">
        <v>8618</v>
      </c>
      <c r="AH76" s="14">
        <f>768+110</f>
        <v>878</v>
      </c>
      <c r="AI76" s="1260">
        <f t="shared" si="3"/>
        <v>9496</v>
      </c>
      <c r="AJ76" s="620">
        <f t="shared" si="4"/>
        <v>43.163636363636364</v>
      </c>
      <c r="AR76" s="270"/>
      <c r="BB76" s="270"/>
    </row>
    <row r="77" spans="1:54" ht="21">
      <c r="A77" s="266"/>
      <c r="B77" s="2945" t="s">
        <v>2368</v>
      </c>
      <c r="C77" s="2945"/>
      <c r="D77" s="2945"/>
      <c r="E77" s="3018"/>
      <c r="F77" s="2453" t="s">
        <v>2369</v>
      </c>
      <c r="G77" s="1217" t="s">
        <v>2370</v>
      </c>
      <c r="H77" s="1164" t="s">
        <v>23</v>
      </c>
      <c r="I77" s="1235"/>
      <c r="J77" s="1235"/>
      <c r="K77" s="1235"/>
      <c r="L77" s="1115"/>
      <c r="M77" s="16"/>
      <c r="N77" s="265"/>
      <c r="O77" s="265"/>
      <c r="P77" s="265"/>
      <c r="Q77" s="265"/>
      <c r="R77" s="1164"/>
      <c r="S77" s="1188"/>
      <c r="T77" s="1227"/>
      <c r="U77" s="1227"/>
      <c r="V77" s="1227"/>
      <c r="W77" s="1227"/>
      <c r="X77" s="1227"/>
      <c r="Y77" s="1227"/>
      <c r="AA77" s="1227"/>
      <c r="AD77" s="1268">
        <v>25000</v>
      </c>
      <c r="AE77" s="14">
        <v>2500</v>
      </c>
      <c r="AF77" s="14">
        <f t="shared" si="2"/>
        <v>27500</v>
      </c>
      <c r="AG77" s="1269">
        <v>23701</v>
      </c>
      <c r="AH77" s="14">
        <v>1213</v>
      </c>
      <c r="AI77" s="1260">
        <f t="shared" si="3"/>
        <v>24914</v>
      </c>
      <c r="AJ77" s="620">
        <f t="shared" si="4"/>
        <v>90.596363636363648</v>
      </c>
      <c r="AR77" s="270" t="s">
        <v>2369</v>
      </c>
      <c r="BB77" s="270"/>
    </row>
    <row r="78" spans="1:54">
      <c r="A78" s="1072" t="s">
        <v>2371</v>
      </c>
      <c r="B78" s="2996" t="s">
        <v>2372</v>
      </c>
      <c r="C78" s="2996"/>
      <c r="D78" s="2996"/>
      <c r="E78" s="2999"/>
      <c r="F78" s="1074">
        <v>40</v>
      </c>
      <c r="G78" s="278">
        <v>144</v>
      </c>
      <c r="H78" s="1074">
        <f>+G78+F78</f>
        <v>184</v>
      </c>
      <c r="I78" s="1101"/>
      <c r="J78" s="1236"/>
      <c r="K78" s="1236"/>
      <c r="L78" s="1113"/>
      <c r="M78" s="101"/>
      <c r="N78" s="1138"/>
      <c r="O78" s="1138"/>
      <c r="P78" s="1138"/>
      <c r="Q78" s="1138"/>
      <c r="R78" s="1250"/>
      <c r="S78" s="1188"/>
      <c r="T78" s="1227"/>
      <c r="U78" s="1227"/>
      <c r="V78" s="1227"/>
      <c r="W78" s="1227"/>
      <c r="X78" s="1227"/>
      <c r="Y78" s="1227"/>
      <c r="AA78" s="1227"/>
      <c r="AR78" s="270">
        <v>40</v>
      </c>
      <c r="BB78" s="270"/>
    </row>
    <row r="79" spans="1:54">
      <c r="A79" s="272"/>
      <c r="D79" s="14">
        <f>8000/12</f>
        <v>666.66666666666663</v>
      </c>
      <c r="E79" s="1168"/>
      <c r="F79" s="620"/>
      <c r="G79" s="620"/>
      <c r="H79" s="620"/>
      <c r="I79" s="1188"/>
      <c r="J79" s="1188"/>
      <c r="K79" s="1188"/>
      <c r="L79" s="1120"/>
      <c r="M79" s="257"/>
      <c r="R79" s="1123"/>
      <c r="S79" s="1188"/>
      <c r="T79" s="1227"/>
      <c r="U79" s="1227"/>
      <c r="V79" s="1227"/>
      <c r="W79" s="1227"/>
      <c r="X79" s="1227"/>
      <c r="Y79" s="1227"/>
      <c r="Z79" s="1227"/>
      <c r="AA79" s="1227"/>
      <c r="AR79" s="270"/>
      <c r="BB79" s="270"/>
    </row>
    <row r="80" spans="1:54">
      <c r="A80" s="272" t="s">
        <v>2373</v>
      </c>
      <c r="B80" s="1120"/>
      <c r="C80" s="1120"/>
      <c r="D80" s="1120"/>
      <c r="E80" s="257"/>
      <c r="F80" s="1188"/>
      <c r="G80" s="1188"/>
      <c r="H80" s="1188"/>
      <c r="I80" s="1188"/>
      <c r="J80" s="1188"/>
      <c r="K80" s="1188"/>
      <c r="L80" s="1120"/>
      <c r="M80" s="257"/>
      <c r="R80" s="1123"/>
      <c r="S80" s="1188"/>
      <c r="T80" s="1227"/>
      <c r="U80" s="1227"/>
      <c r="V80" s="1227"/>
      <c r="W80" s="1227"/>
      <c r="X80" s="1227"/>
      <c r="Y80" s="1227"/>
      <c r="AR80" s="1069"/>
      <c r="BB80" s="1069"/>
    </row>
    <row r="81" spans="1:25" ht="36" customHeight="1">
      <c r="A81" s="1218" t="s">
        <v>2374</v>
      </c>
      <c r="B81" s="1219" t="s">
        <v>2375</v>
      </c>
      <c r="C81" s="1219" t="s">
        <v>809</v>
      </c>
      <c r="D81" s="1219" t="s">
        <v>274</v>
      </c>
      <c r="E81" s="1220" t="s">
        <v>4137</v>
      </c>
      <c r="F81" s="1220" t="s">
        <v>865</v>
      </c>
      <c r="G81" s="1220" t="s">
        <v>866</v>
      </c>
      <c r="H81" s="1220" t="s">
        <v>867</v>
      </c>
      <c r="I81" s="1220" t="s">
        <v>868</v>
      </c>
      <c r="J81" s="418" t="s">
        <v>315</v>
      </c>
      <c r="K81" s="418"/>
      <c r="L81" s="418" t="s">
        <v>305</v>
      </c>
      <c r="M81" s="1237" t="s">
        <v>3886</v>
      </c>
      <c r="N81" s="1237" t="s">
        <v>3941</v>
      </c>
      <c r="O81" s="1237" t="s">
        <v>3949</v>
      </c>
      <c r="P81" s="2454" t="s">
        <v>862</v>
      </c>
      <c r="Q81" s="1130" t="s">
        <v>2350</v>
      </c>
      <c r="R81" s="1251" t="s">
        <v>809</v>
      </c>
      <c r="S81" s="1188"/>
      <c r="T81" s="1227"/>
      <c r="U81" s="1227"/>
      <c r="V81" s="1227"/>
      <c r="W81" s="1227"/>
      <c r="X81" s="1227"/>
      <c r="Y81" s="1227"/>
    </row>
    <row r="82" spans="1:25">
      <c r="A82" s="235" t="s">
        <v>2376</v>
      </c>
      <c r="B82" s="1221">
        <v>8000</v>
      </c>
      <c r="C82" s="1222">
        <v>15620.09</v>
      </c>
      <c r="D82" s="1221">
        <f>35985-14968</f>
        <v>21017</v>
      </c>
      <c r="E82" s="398">
        <f>2303-1096</f>
        <v>1207</v>
      </c>
      <c r="F82" s="398">
        <v>0</v>
      </c>
      <c r="G82" s="398">
        <v>0</v>
      </c>
      <c r="H82" s="398">
        <v>0</v>
      </c>
      <c r="I82" s="398">
        <v>0</v>
      </c>
      <c r="J82" s="398">
        <v>0</v>
      </c>
      <c r="K82" s="398">
        <v>0</v>
      </c>
      <c r="L82" s="398">
        <v>0</v>
      </c>
      <c r="M82" s="398">
        <v>0</v>
      </c>
      <c r="N82" s="398">
        <v>0</v>
      </c>
      <c r="O82" s="398">
        <v>0</v>
      </c>
      <c r="P82" s="398">
        <v>0</v>
      </c>
      <c r="Q82" s="398">
        <v>0</v>
      </c>
      <c r="R82" s="1252">
        <f>+E82+F82+G82+H82+I82+J82+L82+M82+N82+O82+P82+Q82</f>
        <v>1207</v>
      </c>
      <c r="S82" s="1188">
        <v>666.66666666666663</v>
      </c>
      <c r="T82" s="1227"/>
      <c r="U82" s="1227"/>
      <c r="V82" s="1227"/>
      <c r="W82" s="1227"/>
      <c r="X82" s="1227"/>
      <c r="Y82" s="1227"/>
    </row>
    <row r="83" spans="1:25">
      <c r="A83" s="235" t="s">
        <v>2377</v>
      </c>
      <c r="B83" s="1221">
        <v>1200</v>
      </c>
      <c r="C83" s="1222">
        <v>2265.48</v>
      </c>
      <c r="D83" s="1221">
        <v>14968</v>
      </c>
      <c r="E83" s="398">
        <v>1096</v>
      </c>
      <c r="F83" s="398">
        <v>0</v>
      </c>
      <c r="G83" s="398">
        <v>0</v>
      </c>
      <c r="H83" s="398">
        <v>0</v>
      </c>
      <c r="I83" s="398">
        <v>0</v>
      </c>
      <c r="J83" s="398">
        <v>0</v>
      </c>
      <c r="K83" s="398">
        <v>0</v>
      </c>
      <c r="L83" s="398">
        <v>0</v>
      </c>
      <c r="M83" s="398">
        <v>0</v>
      </c>
      <c r="N83" s="398">
        <v>0</v>
      </c>
      <c r="O83" s="398">
        <v>0</v>
      </c>
      <c r="P83" s="398">
        <v>0</v>
      </c>
      <c r="Q83" s="398">
        <v>0</v>
      </c>
      <c r="R83" s="1252">
        <f>+E83+F83+G83+H83+I83+J83+L83+M83+N83+O83+P83+Q83</f>
        <v>1096</v>
      </c>
      <c r="S83" s="1188"/>
      <c r="T83" s="1227"/>
      <c r="U83" s="1227"/>
      <c r="V83" s="1227"/>
      <c r="W83" s="1227"/>
      <c r="X83" s="1227"/>
      <c r="Y83" s="1227"/>
    </row>
    <row r="84" spans="1:25">
      <c r="A84" s="235" t="s">
        <v>2378</v>
      </c>
      <c r="B84" s="1221">
        <v>0</v>
      </c>
      <c r="C84" s="1222">
        <v>2810</v>
      </c>
      <c r="D84" s="1221">
        <v>0</v>
      </c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1252">
        <f t="shared" ref="R84:R95" si="5">+E84+F84+G84+H84+I84+J84+L84+M84+N84+O84+P84+Q84</f>
        <v>0</v>
      </c>
      <c r="S84" s="1188"/>
      <c r="T84" s="1227"/>
      <c r="U84" s="1227"/>
      <c r="V84" s="1227"/>
      <c r="W84" s="1227"/>
      <c r="X84" s="1227"/>
      <c r="Y84" s="1227"/>
    </row>
    <row r="85" spans="1:25">
      <c r="A85" s="235" t="s">
        <v>2377</v>
      </c>
      <c r="B85" s="1221">
        <v>0</v>
      </c>
      <c r="C85" s="1222">
        <v>0</v>
      </c>
      <c r="D85" s="1221">
        <v>0</v>
      </c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1252">
        <f t="shared" si="5"/>
        <v>0</v>
      </c>
      <c r="S85" s="1188"/>
      <c r="T85" s="1227"/>
      <c r="U85" s="1227"/>
      <c r="V85" s="1227"/>
      <c r="W85" s="1227"/>
      <c r="X85" s="1227"/>
      <c r="Y85" s="1227"/>
    </row>
    <row r="86" spans="1:25">
      <c r="A86" s="235" t="s">
        <v>2379</v>
      </c>
      <c r="B86" s="1221">
        <v>0</v>
      </c>
      <c r="C86" s="1222">
        <v>19516.650000000001</v>
      </c>
      <c r="D86" s="1221">
        <v>5329</v>
      </c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1252">
        <f t="shared" si="5"/>
        <v>0</v>
      </c>
      <c r="S86" s="1188"/>
      <c r="T86" s="1227"/>
      <c r="U86" s="1227"/>
      <c r="V86" s="1227"/>
      <c r="W86" s="1227"/>
      <c r="X86" s="1227"/>
      <c r="Y86" s="1227"/>
    </row>
    <row r="87" spans="1:25">
      <c r="A87" s="235" t="s">
        <v>2380</v>
      </c>
      <c r="B87" s="1221">
        <v>0</v>
      </c>
      <c r="C87" s="1222">
        <v>20820.05</v>
      </c>
      <c r="D87" s="1221">
        <v>42585</v>
      </c>
      <c r="E87" s="398">
        <v>4274</v>
      </c>
      <c r="F87" s="398">
        <v>0</v>
      </c>
      <c r="G87" s="398">
        <v>0</v>
      </c>
      <c r="H87" s="398">
        <v>0</v>
      </c>
      <c r="I87" s="398">
        <v>0</v>
      </c>
      <c r="J87" s="398">
        <v>0</v>
      </c>
      <c r="K87" s="398">
        <v>0</v>
      </c>
      <c r="L87" s="398">
        <v>0</v>
      </c>
      <c r="M87" s="398">
        <v>0</v>
      </c>
      <c r="N87" s="398">
        <v>0</v>
      </c>
      <c r="O87" s="398">
        <v>0</v>
      </c>
      <c r="P87" s="398">
        <v>0</v>
      </c>
      <c r="Q87" s="398">
        <v>0</v>
      </c>
      <c r="R87" s="1252">
        <f t="shared" si="5"/>
        <v>4274</v>
      </c>
      <c r="S87" s="1188" t="s">
        <v>271</v>
      </c>
      <c r="T87" s="1253"/>
      <c r="U87" s="1253"/>
      <c r="V87" s="1253"/>
      <c r="W87" s="1253"/>
      <c r="X87" s="1253"/>
      <c r="Y87" s="1253"/>
    </row>
    <row r="88" spans="1:25">
      <c r="A88" s="235" t="s">
        <v>2377</v>
      </c>
      <c r="B88" s="1221">
        <v>0</v>
      </c>
      <c r="C88" s="1222">
        <v>0</v>
      </c>
      <c r="D88" s="1221">
        <v>0</v>
      </c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1252">
        <f t="shared" si="5"/>
        <v>0</v>
      </c>
      <c r="S88" s="1188"/>
      <c r="T88" s="1253"/>
      <c r="U88" s="1253"/>
      <c r="V88" s="1253"/>
      <c r="W88" s="1253"/>
      <c r="X88" s="1253"/>
      <c r="Y88" s="1253"/>
    </row>
    <row r="89" spans="1:25" ht="15" customHeight="1">
      <c r="A89" s="235" t="s">
        <v>2381</v>
      </c>
      <c r="B89" s="1221">
        <v>0</v>
      </c>
      <c r="C89" s="1222">
        <f>420.65+1865.7</f>
        <v>2286.35</v>
      </c>
      <c r="D89" s="1221">
        <v>1497</v>
      </c>
      <c r="E89" s="398">
        <v>0</v>
      </c>
      <c r="F89" s="398">
        <v>0</v>
      </c>
      <c r="G89" s="398">
        <v>0</v>
      </c>
      <c r="H89" s="398">
        <v>0</v>
      </c>
      <c r="I89" s="398">
        <v>0</v>
      </c>
      <c r="J89" s="398">
        <v>0</v>
      </c>
      <c r="K89" s="398">
        <v>0</v>
      </c>
      <c r="L89" s="398">
        <v>0</v>
      </c>
      <c r="M89" s="398">
        <v>0</v>
      </c>
      <c r="N89" s="398">
        <v>0</v>
      </c>
      <c r="O89" s="398">
        <v>0</v>
      </c>
      <c r="P89" s="398">
        <v>0</v>
      </c>
      <c r="Q89" s="398">
        <v>0</v>
      </c>
      <c r="R89" s="1252">
        <f t="shared" si="5"/>
        <v>0</v>
      </c>
      <c r="S89" s="1188"/>
      <c r="T89" s="1253"/>
      <c r="U89" s="1253"/>
      <c r="V89" s="1253"/>
      <c r="W89" s="1253"/>
      <c r="X89" s="1253"/>
      <c r="Y89" s="1253"/>
    </row>
    <row r="90" spans="1:25" ht="15" customHeight="1">
      <c r="A90" s="235" t="s">
        <v>2377</v>
      </c>
      <c r="B90" s="1221">
        <v>0</v>
      </c>
      <c r="C90" s="1222">
        <v>0</v>
      </c>
      <c r="D90" s="1221">
        <v>0</v>
      </c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1252">
        <f t="shared" si="5"/>
        <v>0</v>
      </c>
      <c r="S90" s="1188"/>
      <c r="T90" s="1253"/>
      <c r="U90" s="1253"/>
      <c r="V90" s="1253"/>
      <c r="W90" s="1253"/>
      <c r="X90" s="1253"/>
      <c r="Y90" s="1253"/>
    </row>
    <row r="91" spans="1:25">
      <c r="A91" s="235" t="s">
        <v>2382</v>
      </c>
      <c r="B91" s="1221">
        <v>0</v>
      </c>
      <c r="C91" s="1222">
        <v>0</v>
      </c>
      <c r="D91" s="1221">
        <v>0</v>
      </c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1252">
        <f t="shared" si="5"/>
        <v>0</v>
      </c>
      <c r="S91" s="1188" t="s">
        <v>271</v>
      </c>
      <c r="T91" s="1227"/>
      <c r="U91" s="1227"/>
      <c r="V91" s="1227"/>
      <c r="W91" s="1227"/>
      <c r="X91" s="1227"/>
      <c r="Y91" s="1227"/>
    </row>
    <row r="92" spans="1:25">
      <c r="A92" s="235" t="s">
        <v>2383</v>
      </c>
      <c r="B92" s="1221">
        <v>36636</v>
      </c>
      <c r="C92" s="1222">
        <v>112</v>
      </c>
      <c r="D92" s="1221">
        <v>0</v>
      </c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1252">
        <f t="shared" si="5"/>
        <v>0</v>
      </c>
      <c r="S92" s="1188"/>
      <c r="T92" s="1227"/>
      <c r="U92" s="1227"/>
      <c r="V92" s="1227"/>
      <c r="W92" s="1227"/>
      <c r="X92" s="1227"/>
      <c r="Y92" s="1227"/>
    </row>
    <row r="93" spans="1:25">
      <c r="A93" s="235" t="s">
        <v>2384</v>
      </c>
      <c r="B93" s="1221">
        <v>0</v>
      </c>
      <c r="C93" s="398">
        <v>0</v>
      </c>
      <c r="D93" s="1221">
        <v>0</v>
      </c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1252">
        <f t="shared" si="5"/>
        <v>0</v>
      </c>
      <c r="S93" s="1188"/>
      <c r="T93" s="1227"/>
      <c r="U93" s="1227"/>
      <c r="V93" s="1227"/>
      <c r="W93" s="1227"/>
      <c r="X93" s="1227"/>
      <c r="Y93" s="1227"/>
    </row>
    <row r="94" spans="1:25">
      <c r="A94" s="235" t="s">
        <v>2385</v>
      </c>
      <c r="B94" s="1221"/>
      <c r="C94" s="398">
        <v>0</v>
      </c>
      <c r="D94" s="1221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1252">
        <f t="shared" si="5"/>
        <v>0</v>
      </c>
      <c r="S94" s="1188">
        <f>1401*68975</f>
        <v>96633975</v>
      </c>
      <c r="T94" s="1227"/>
      <c r="U94" s="1227"/>
      <c r="V94" s="1227"/>
      <c r="W94" s="1227"/>
      <c r="X94" s="1227"/>
      <c r="Y94" s="1227"/>
    </row>
    <row r="95" spans="1:25">
      <c r="A95" s="235" t="s">
        <v>2386</v>
      </c>
      <c r="B95" s="1221">
        <v>0</v>
      </c>
      <c r="C95" s="398">
        <v>0</v>
      </c>
      <c r="D95" s="1221">
        <v>0</v>
      </c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1252">
        <f t="shared" si="5"/>
        <v>0</v>
      </c>
      <c r="S95" s="1188"/>
      <c r="T95" s="1227"/>
      <c r="U95" s="1227"/>
      <c r="V95" s="1227"/>
      <c r="W95" s="1227"/>
      <c r="X95" s="1227"/>
      <c r="Y95" s="1227"/>
    </row>
    <row r="96" spans="1:25" ht="15" customHeight="1">
      <c r="A96" s="235" t="s">
        <v>23</v>
      </c>
      <c r="B96" s="4">
        <f>SUM(B82:B95)</f>
        <v>45836</v>
      </c>
      <c r="C96" s="398">
        <f>SUM(C82:C95)</f>
        <v>63430.62</v>
      </c>
      <c r="D96" s="4">
        <f>SUM(D82:D95)</f>
        <v>85396</v>
      </c>
      <c r="E96" s="398">
        <f>SUM(E82:E95)</f>
        <v>6577</v>
      </c>
      <c r="F96" s="398">
        <f t="shared" ref="F96:Q96" si="6">SUM(F82:F95)</f>
        <v>0</v>
      </c>
      <c r="G96" s="398">
        <f t="shared" si="6"/>
        <v>0</v>
      </c>
      <c r="H96" s="398">
        <f t="shared" si="6"/>
        <v>0</v>
      </c>
      <c r="I96" s="398">
        <f t="shared" si="6"/>
        <v>0</v>
      </c>
      <c r="J96" s="398">
        <f t="shared" si="6"/>
        <v>0</v>
      </c>
      <c r="K96" s="398">
        <f t="shared" si="6"/>
        <v>0</v>
      </c>
      <c r="L96" s="398">
        <f t="shared" si="6"/>
        <v>0</v>
      </c>
      <c r="M96" s="398">
        <f t="shared" si="6"/>
        <v>0</v>
      </c>
      <c r="N96" s="398">
        <f t="shared" si="6"/>
        <v>0</v>
      </c>
      <c r="O96" s="398">
        <f t="shared" si="6"/>
        <v>0</v>
      </c>
      <c r="P96" s="398">
        <f t="shared" si="6"/>
        <v>0</v>
      </c>
      <c r="Q96" s="398">
        <f t="shared" si="6"/>
        <v>0</v>
      </c>
      <c r="R96" s="1252">
        <f t="shared" ref="R96" si="7">SUM(R82:R95)</f>
        <v>6577</v>
      </c>
      <c r="S96" s="1188"/>
      <c r="T96" s="1227"/>
      <c r="U96" s="1227"/>
      <c r="V96" s="1227"/>
      <c r="W96" s="1227"/>
      <c r="X96" s="1227"/>
      <c r="Y96" s="1227"/>
    </row>
    <row r="97" spans="1:44" ht="15" customHeight="1">
      <c r="A97" s="272"/>
      <c r="D97" s="257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1160"/>
      <c r="S97" s="1188">
        <f>342891+36946</f>
        <v>379837</v>
      </c>
      <c r="T97" s="1227"/>
      <c r="U97" s="1227"/>
      <c r="V97" s="1227"/>
      <c r="W97" s="1227"/>
      <c r="X97" s="1227"/>
      <c r="Y97" s="1227"/>
    </row>
    <row r="98" spans="1:44" ht="15" customHeight="1">
      <c r="B98" s="1120"/>
      <c r="C98" s="1120"/>
      <c r="D98" s="1120"/>
      <c r="E98" s="257"/>
      <c r="F98" s="1188"/>
      <c r="G98" s="1188"/>
      <c r="H98" s="1188"/>
      <c r="J98" s="1188"/>
      <c r="K98" s="1188"/>
      <c r="L98" s="1188"/>
      <c r="M98" s="257"/>
      <c r="R98" s="1147"/>
      <c r="S98" s="1188"/>
      <c r="T98" s="1227"/>
      <c r="U98" s="1227"/>
      <c r="V98" s="1227"/>
      <c r="W98" s="1227"/>
      <c r="X98" s="1227"/>
      <c r="Y98" s="1227"/>
    </row>
    <row r="99" spans="1:44" ht="21" customHeight="1" thickBot="1">
      <c r="A99" s="990"/>
      <c r="B99" s="1178"/>
      <c r="C99" s="1178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3019" t="str">
        <f>A8</f>
        <v>RAJESH KUMAR( DGM PPCD ,SHIPPING&amp; PC)</v>
      </c>
      <c r="O99" s="3019"/>
      <c r="P99" s="3019"/>
      <c r="Q99" s="3019"/>
      <c r="R99" s="3018"/>
    </row>
    <row r="100" spans="1:44" hidden="1">
      <c r="I100" s="1238" t="s">
        <v>750</v>
      </c>
      <c r="J100" s="1238" t="s">
        <v>528</v>
      </c>
      <c r="K100" s="1238"/>
      <c r="L100" s="1238" t="s">
        <v>2387</v>
      </c>
      <c r="N100" s="1239"/>
      <c r="O100" s="1239"/>
      <c r="P100" s="1239"/>
      <c r="Q100" s="1239"/>
      <c r="R100" s="257"/>
    </row>
    <row r="101" spans="1:44" hidden="1">
      <c r="B101" s="14"/>
      <c r="C101" s="14"/>
      <c r="H101" s="305" t="s">
        <v>139</v>
      </c>
      <c r="I101" s="305">
        <v>6333.6630000000005</v>
      </c>
      <c r="J101" s="1240">
        <f>D33</f>
        <v>361.28100000000001</v>
      </c>
      <c r="K101" s="1240"/>
      <c r="L101" s="1241">
        <f>+J101+I101</f>
        <v>6694.9440000000004</v>
      </c>
      <c r="M101" s="14" t="s">
        <v>2388</v>
      </c>
      <c r="N101" s="14" t="s">
        <v>493</v>
      </c>
    </row>
    <row r="102" spans="1:44" ht="16.5" customHeight="1" thickBot="1">
      <c r="A102" s="1223" t="s">
        <v>489</v>
      </c>
      <c r="B102" s="1224">
        <f>+'DAILY FLASH'!AM115</f>
        <v>52.096883720930229</v>
      </c>
      <c r="H102" s="305"/>
      <c r="I102" s="1242" t="s">
        <v>750</v>
      </c>
      <c r="J102" s="1240" t="s">
        <v>528</v>
      </c>
      <c r="K102" s="1240"/>
      <c r="L102" s="1241" t="s">
        <v>2387</v>
      </c>
      <c r="M102" s="14" t="s">
        <v>2388</v>
      </c>
      <c r="N102" s="14" t="s">
        <v>493</v>
      </c>
      <c r="O102" s="985"/>
      <c r="P102" s="986"/>
      <c r="Q102" s="986"/>
      <c r="R102" s="1254"/>
      <c r="T102" s="1255"/>
      <c r="U102" s="1255"/>
      <c r="V102" s="1255"/>
      <c r="W102" s="1255"/>
      <c r="X102" s="1255"/>
      <c r="Y102" s="1255"/>
      <c r="Z102" s="1255"/>
      <c r="AA102" s="1270"/>
      <c r="AB102" s="1270"/>
      <c r="AC102" s="1255"/>
    </row>
    <row r="103" spans="1:44" ht="18.75" thickBot="1">
      <c r="H103" s="305" t="s">
        <v>139</v>
      </c>
      <c r="I103" s="1243">
        <v>2289.6210000000001</v>
      </c>
      <c r="J103" s="1243" t="e">
        <f>'md cell'!#REF!</f>
        <v>#REF!</v>
      </c>
      <c r="K103" s="2164"/>
      <c r="L103" s="1244" t="e">
        <f>+I103+J103</f>
        <v>#REF!</v>
      </c>
      <c r="M103" s="1188" t="e">
        <f>J104/J103*100</f>
        <v>#REF!</v>
      </c>
      <c r="N103" s="1188" t="e">
        <f>L104/L103*100</f>
        <v>#REF!</v>
      </c>
      <c r="O103" s="235"/>
      <c r="P103" s="11"/>
      <c r="Q103" s="11"/>
      <c r="R103" s="248"/>
      <c r="S103" s="1146"/>
      <c r="T103" s="140"/>
      <c r="U103" s="140"/>
      <c r="V103" s="140"/>
      <c r="W103" s="140"/>
      <c r="X103" s="140"/>
      <c r="Y103" s="140"/>
      <c r="Z103" s="41"/>
      <c r="AA103" s="1271"/>
      <c r="AB103" s="1272"/>
      <c r="AC103" s="1273"/>
    </row>
    <row r="104" spans="1:44">
      <c r="E104" s="1225">
        <f>39+4.7+2.35*3+33*4.05</f>
        <v>184.4</v>
      </c>
      <c r="H104" s="1226" t="s">
        <v>752</v>
      </c>
      <c r="I104" s="1243">
        <v>2040.675</v>
      </c>
      <c r="J104" s="1243">
        <v>0</v>
      </c>
      <c r="K104" s="2164"/>
      <c r="L104" s="1244">
        <f>+I104+J104</f>
        <v>2040.675</v>
      </c>
      <c r="O104" s="235"/>
      <c r="P104" s="11"/>
      <c r="Q104" s="11"/>
      <c r="R104" s="248"/>
      <c r="S104" s="1146"/>
      <c r="T104" s="140"/>
      <c r="U104" s="140"/>
      <c r="V104" s="140"/>
      <c r="W104" s="140"/>
      <c r="X104" s="140"/>
      <c r="Y104" s="140"/>
      <c r="Z104" s="41"/>
      <c r="AA104" s="1271"/>
      <c r="AB104" s="1272"/>
      <c r="AC104" s="1273"/>
    </row>
    <row r="105" spans="1:44">
      <c r="D105" s="257"/>
      <c r="E105" s="1197">
        <f>10*3.9+5*2.35+33*4.05</f>
        <v>184.4</v>
      </c>
      <c r="H105" s="14" t="s">
        <v>2389</v>
      </c>
      <c r="I105" s="1243">
        <v>1978.857</v>
      </c>
      <c r="J105" s="1243">
        <f>'md cell'!J77</f>
        <v>321.48899999999998</v>
      </c>
      <c r="K105" s="2164"/>
      <c r="L105" s="1244">
        <f>+I105+J105</f>
        <v>2300.346</v>
      </c>
      <c r="M105" s="14" t="s">
        <v>2390</v>
      </c>
      <c r="N105" s="14" t="s">
        <v>2391</v>
      </c>
      <c r="O105" s="235"/>
      <c r="P105" s="11"/>
      <c r="Q105" s="11"/>
      <c r="R105" s="248"/>
      <c r="S105" s="1146"/>
      <c r="T105" s="140"/>
      <c r="U105" s="140"/>
      <c r="V105" s="140"/>
      <c r="W105" s="140"/>
      <c r="X105" s="140"/>
      <c r="Y105" s="140"/>
      <c r="Z105" s="41"/>
      <c r="AA105" s="1271"/>
      <c r="AB105" s="1272"/>
      <c r="AC105" s="1273"/>
    </row>
    <row r="106" spans="1:44">
      <c r="E106" s="620">
        <f>30*4.05+36+27*3.9</f>
        <v>262.8</v>
      </c>
      <c r="F106" s="620"/>
      <c r="H106" s="14" t="s">
        <v>754</v>
      </c>
      <c r="I106" s="1243">
        <v>210149</v>
      </c>
      <c r="J106" s="1243">
        <v>0</v>
      </c>
      <c r="K106" s="2164"/>
      <c r="L106" s="1240">
        <f>+I106+J106</f>
        <v>210149</v>
      </c>
      <c r="M106" s="1227" t="e">
        <f>J106/J103</f>
        <v>#REF!</v>
      </c>
      <c r="N106" s="1227" t="e">
        <f>+L106/L103</f>
        <v>#REF!</v>
      </c>
      <c r="O106" s="235"/>
      <c r="P106" s="11"/>
      <c r="Q106" s="11"/>
      <c r="R106" s="248"/>
      <c r="T106" s="140"/>
      <c r="U106" s="140"/>
      <c r="V106" s="140"/>
      <c r="W106" s="140"/>
      <c r="X106" s="140"/>
      <c r="Y106" s="140"/>
      <c r="Z106" s="41"/>
      <c r="AA106" s="1271"/>
      <c r="AB106" s="1272"/>
      <c r="AC106" s="1273"/>
    </row>
    <row r="107" spans="1:44">
      <c r="A107" s="14">
        <f>250/0.9</f>
        <v>277.77777777777777</v>
      </c>
      <c r="C107" s="1188"/>
      <c r="E107" s="620"/>
      <c r="F107" s="620"/>
      <c r="J107" s="1245"/>
      <c r="K107" s="1245"/>
      <c r="L107" s="1246"/>
      <c r="O107" s="236"/>
      <c r="P107" s="237"/>
      <c r="Q107" s="237"/>
      <c r="R107" s="251"/>
      <c r="T107" s="140"/>
      <c r="U107" s="140"/>
      <c r="V107" s="140"/>
      <c r="W107" s="140"/>
      <c r="X107" s="140"/>
      <c r="Y107" s="140"/>
      <c r="Z107" s="41"/>
      <c r="AA107" s="1271"/>
      <c r="AB107" s="1272"/>
      <c r="AC107" s="1273"/>
      <c r="AR107" s="14">
        <v>161630</v>
      </c>
    </row>
    <row r="108" spans="1:44">
      <c r="A108" s="14">
        <f>+A107/2.367</f>
        <v>117.35436323522508</v>
      </c>
      <c r="G108" s="14">
        <f>44.55/101.65*100</f>
        <v>43.82685686178062</v>
      </c>
      <c r="H108" s="1227"/>
      <c r="I108" s="1247"/>
      <c r="J108" s="14">
        <v>113.29</v>
      </c>
      <c r="T108" s="140"/>
      <c r="U108" s="140"/>
      <c r="V108" s="140"/>
      <c r="W108" s="140"/>
      <c r="X108" s="140"/>
      <c r="Y108" s="140"/>
      <c r="Z108" s="41"/>
      <c r="AA108" s="1271"/>
      <c r="AB108" s="1272"/>
      <c r="AC108" s="1273"/>
      <c r="AE108" s="2780" t="s">
        <v>2392</v>
      </c>
      <c r="AF108" s="2780"/>
      <c r="AG108" s="2780"/>
      <c r="AJ108" s="2780" t="s">
        <v>2393</v>
      </c>
      <c r="AK108" s="2780"/>
      <c r="AL108" s="2780"/>
      <c r="AM108" s="2780"/>
      <c r="AR108" s="14">
        <v>17200</v>
      </c>
    </row>
    <row r="109" spans="1:44">
      <c r="A109" s="14">
        <f>A108/18</f>
        <v>6.5196868464013935</v>
      </c>
      <c r="M109" s="1227"/>
      <c r="P109" s="14">
        <f>11107.268*0.516</f>
        <v>5731.3502880000005</v>
      </c>
      <c r="AC109" s="1146"/>
      <c r="AD109" s="14" t="s">
        <v>2394</v>
      </c>
      <c r="AF109" s="1171"/>
      <c r="AG109" s="4"/>
      <c r="AJ109" s="14" t="s">
        <v>2394</v>
      </c>
      <c r="AL109" s="1171"/>
      <c r="AM109" s="4"/>
    </row>
    <row r="110" spans="1:44">
      <c r="A110" s="14">
        <f>7*18</f>
        <v>126</v>
      </c>
      <c r="H110" s="14" t="s">
        <v>2395</v>
      </c>
      <c r="M110" s="1227"/>
      <c r="N110" s="1188"/>
      <c r="AE110" s="4" t="s">
        <v>39</v>
      </c>
      <c r="AF110" s="4" t="s">
        <v>292</v>
      </c>
      <c r="AG110" s="4"/>
      <c r="AK110" s="4" t="s">
        <v>39</v>
      </c>
      <c r="AL110" s="4" t="s">
        <v>292</v>
      </c>
      <c r="AM110" s="4"/>
      <c r="AR110" s="14">
        <v>39200</v>
      </c>
    </row>
    <row r="111" spans="1:44">
      <c r="A111" s="14">
        <f>126/3</f>
        <v>42</v>
      </c>
      <c r="J111" s="14">
        <f>5986*760</f>
        <v>4549360</v>
      </c>
      <c r="L111" s="14">
        <f>712*262</f>
        <v>186544</v>
      </c>
      <c r="M111" s="1227">
        <f>+J111+L111</f>
        <v>4735904</v>
      </c>
      <c r="N111" s="1188"/>
      <c r="AE111" s="4">
        <v>2006</v>
      </c>
      <c r="AF111" s="4">
        <v>17.5</v>
      </c>
      <c r="AG111" s="4"/>
      <c r="AK111" s="4">
        <v>2006</v>
      </c>
      <c r="AL111" s="398">
        <v>17.5</v>
      </c>
      <c r="AM111" s="4"/>
    </row>
    <row r="112" spans="1:44">
      <c r="M112" s="1227">
        <f>+M111/E16</f>
        <v>422.81723765113833</v>
      </c>
      <c r="N112" s="1188"/>
      <c r="Q112" s="14">
        <f>93+96+99+99+92</f>
        <v>479</v>
      </c>
      <c r="AE112" s="4">
        <v>2011</v>
      </c>
      <c r="AF112" s="4">
        <v>9.9779999999999998</v>
      </c>
      <c r="AG112" s="4"/>
      <c r="AK112" s="4">
        <v>2011</v>
      </c>
      <c r="AL112" s="398">
        <v>9.9779999999999998</v>
      </c>
      <c r="AM112" s="4"/>
    </row>
    <row r="113" spans="2:39">
      <c r="M113" s="1227"/>
      <c r="N113" s="1188"/>
      <c r="P113" s="14">
        <f>117544*1206</f>
        <v>141758064</v>
      </c>
      <c r="Q113" s="14">
        <v>500</v>
      </c>
      <c r="R113" s="14">
        <f>+Q112/Q113*100</f>
        <v>95.8</v>
      </c>
      <c r="AE113" s="4">
        <v>2012</v>
      </c>
      <c r="AF113" s="4">
        <v>0.8</v>
      </c>
      <c r="AG113" s="4"/>
      <c r="AK113" s="4">
        <v>2012</v>
      </c>
      <c r="AL113" s="398">
        <v>0.8</v>
      </c>
      <c r="AM113" s="4"/>
    </row>
    <row r="114" spans="2:39">
      <c r="E114" s="2968" t="s">
        <v>755</v>
      </c>
      <c r="F114" s="3020"/>
      <c r="G114" s="3021">
        <v>1</v>
      </c>
      <c r="H114" s="3022"/>
      <c r="J114" s="14">
        <f>8901+459</f>
        <v>9360</v>
      </c>
      <c r="M114" s="1227">
        <f>91978*0.4</f>
        <v>36791.200000000004</v>
      </c>
      <c r="N114" s="1188"/>
      <c r="AE114" s="4">
        <v>2013</v>
      </c>
      <c r="AF114" s="4">
        <v>3.33</v>
      </c>
      <c r="AG114" s="4"/>
      <c r="AK114" s="4">
        <v>2013</v>
      </c>
      <c r="AL114" s="398">
        <v>3.33</v>
      </c>
      <c r="AM114" s="4"/>
    </row>
    <row r="115" spans="2:39">
      <c r="E115" s="297"/>
      <c r="F115" s="1228">
        <v>1</v>
      </c>
      <c r="G115" s="298" t="s">
        <v>2396</v>
      </c>
      <c r="H115" s="1229"/>
      <c r="M115" s="1227"/>
      <c r="N115" s="1188"/>
      <c r="AE115" s="4">
        <v>2014</v>
      </c>
      <c r="AF115" s="4">
        <v>8.6389999999999993</v>
      </c>
      <c r="AG115" s="4"/>
      <c r="AK115" s="4">
        <v>2014</v>
      </c>
      <c r="AL115" s="398">
        <v>8.6389999999999993</v>
      </c>
      <c r="AM115" s="4"/>
    </row>
    <row r="116" spans="2:39">
      <c r="E116" s="297"/>
      <c r="F116" s="1228"/>
      <c r="G116" s="84"/>
      <c r="H116" s="1229"/>
      <c r="M116" s="1227"/>
      <c r="N116" s="1188"/>
      <c r="AE116" s="4">
        <v>2015</v>
      </c>
      <c r="AF116" s="4">
        <v>3.76</v>
      </c>
      <c r="AG116" s="4"/>
      <c r="AK116" s="4">
        <v>2015</v>
      </c>
      <c r="AL116" s="398">
        <v>3.76</v>
      </c>
      <c r="AM116" s="4"/>
    </row>
    <row r="117" spans="2:39">
      <c r="E117" s="297"/>
      <c r="F117" s="1228">
        <v>2</v>
      </c>
      <c r="G117" s="298" t="s">
        <v>2397</v>
      </c>
      <c r="H117" s="1229"/>
      <c r="M117" s="1227"/>
      <c r="N117" s="1188">
        <f>67750/51300*120000</f>
        <v>158479.5321637427</v>
      </c>
      <c r="AE117" s="4">
        <v>2016</v>
      </c>
      <c r="AF117" s="4">
        <v>10.76</v>
      </c>
      <c r="AG117" s="4"/>
      <c r="AK117" s="4">
        <v>2016</v>
      </c>
      <c r="AL117" s="398">
        <v>10.97</v>
      </c>
      <c r="AM117" s="4"/>
    </row>
    <row r="118" spans="2:39">
      <c r="E118" s="297"/>
      <c r="F118" s="1228"/>
      <c r="G118" s="84" t="s">
        <v>271</v>
      </c>
      <c r="H118" s="1229"/>
      <c r="M118" s="1227"/>
      <c r="N118" s="1188"/>
      <c r="AE118" s="4">
        <v>2017</v>
      </c>
      <c r="AF118" s="4">
        <v>13.46</v>
      </c>
      <c r="AG118" s="4"/>
      <c r="AK118" s="4">
        <v>2017</v>
      </c>
      <c r="AL118" s="398">
        <v>13.46</v>
      </c>
      <c r="AM118" s="4"/>
    </row>
    <row r="119" spans="2:39">
      <c r="E119" s="297"/>
      <c r="F119" s="1228">
        <v>3</v>
      </c>
      <c r="G119" s="298" t="s">
        <v>2398</v>
      </c>
      <c r="H119" s="1229"/>
      <c r="L119" s="620"/>
      <c r="AE119" s="4">
        <v>2018</v>
      </c>
      <c r="AF119" s="4">
        <v>13.93</v>
      </c>
      <c r="AG119" s="4"/>
      <c r="AI119" s="1227">
        <v>14597.784</v>
      </c>
      <c r="AK119" s="4">
        <v>2018</v>
      </c>
      <c r="AL119" s="398">
        <v>13.93</v>
      </c>
      <c r="AM119" s="4"/>
    </row>
    <row r="120" spans="2:39">
      <c r="E120" s="297"/>
      <c r="F120" s="1228"/>
      <c r="G120" s="298"/>
      <c r="H120" s="1229"/>
      <c r="L120" s="620"/>
      <c r="AE120" s="4"/>
      <c r="AF120" s="4"/>
      <c r="AG120" s="4"/>
      <c r="AI120" s="1227"/>
      <c r="AK120" s="4"/>
      <c r="AL120" s="398"/>
      <c r="AM120" s="4"/>
    </row>
    <row r="121" spans="2:39" ht="18.75">
      <c r="B121" s="257" t="s">
        <v>274</v>
      </c>
      <c r="E121" s="297"/>
      <c r="F121" s="1228"/>
      <c r="G121" s="298"/>
      <c r="H121" s="1229"/>
      <c r="L121" s="620"/>
      <c r="AE121" s="4">
        <v>2019</v>
      </c>
      <c r="AF121" s="4">
        <v>80.566999999999993</v>
      </c>
      <c r="AG121" s="1274">
        <v>162.72399999999999</v>
      </c>
      <c r="AI121" s="14">
        <v>103954.785</v>
      </c>
      <c r="AK121" s="4">
        <v>2019</v>
      </c>
      <c r="AL121" s="398">
        <v>80.566999999999993</v>
      </c>
      <c r="AM121" s="4"/>
    </row>
    <row r="122" spans="2:39" ht="18.75">
      <c r="B122" s="1230"/>
      <c r="C122" s="258"/>
      <c r="D122" s="258"/>
      <c r="E122" s="1230" t="s">
        <v>2399</v>
      </c>
      <c r="F122" s="1230" t="s">
        <v>2400</v>
      </c>
      <c r="G122" s="1230" t="s">
        <v>2401</v>
      </c>
      <c r="H122" s="1230" t="s">
        <v>2402</v>
      </c>
      <c r="I122" s="1230" t="s">
        <v>2403</v>
      </c>
      <c r="J122" s="1230" t="s">
        <v>2404</v>
      </c>
      <c r="K122" s="1230"/>
      <c r="L122" s="1230" t="s">
        <v>2405</v>
      </c>
      <c r="M122" s="1230" t="s">
        <v>730</v>
      </c>
      <c r="N122" s="1230" t="s">
        <v>731</v>
      </c>
      <c r="O122" s="2455" t="s">
        <v>2406</v>
      </c>
      <c r="P122" s="1230" t="s">
        <v>862</v>
      </c>
      <c r="Q122" s="1230" t="s">
        <v>2407</v>
      </c>
      <c r="R122" s="1230" t="s">
        <v>2408</v>
      </c>
      <c r="S122" s="1230"/>
      <c r="T122" s="1230"/>
      <c r="AE122" s="4"/>
      <c r="AF122" s="4"/>
      <c r="AG122" s="1274"/>
      <c r="AK122" s="4"/>
      <c r="AL122" s="398"/>
      <c r="AM122" s="4"/>
    </row>
    <row r="123" spans="2:39" ht="18.75">
      <c r="B123" s="1230"/>
      <c r="C123" s="258" t="s">
        <v>427</v>
      </c>
      <c r="D123" s="258"/>
      <c r="E123" s="1230">
        <f>1770*30*24</f>
        <v>1274400</v>
      </c>
      <c r="F123" s="1230">
        <f>2094*31*24</f>
        <v>1557936</v>
      </c>
      <c r="G123" s="14">
        <f>1798*30*24</f>
        <v>1294560</v>
      </c>
      <c r="H123" s="14">
        <f>1793*24*31</f>
        <v>1333992</v>
      </c>
      <c r="I123" s="14">
        <f>1607*31*24</f>
        <v>1195608</v>
      </c>
      <c r="J123" s="14">
        <f>1696*24*30</f>
        <v>1221120</v>
      </c>
      <c r="L123" s="14">
        <f>1935*31*24</f>
        <v>1439640</v>
      </c>
      <c r="M123" s="14">
        <f>1838*30*24</f>
        <v>1323360</v>
      </c>
      <c r="N123" s="14">
        <f>1898*24*31</f>
        <v>1412112</v>
      </c>
      <c r="O123" s="14">
        <f>1779*31*24</f>
        <v>1323576</v>
      </c>
      <c r="P123" s="14">
        <f>1933*28*24</f>
        <v>1298976</v>
      </c>
      <c r="R123" s="1230">
        <f>+E123+F123+G123+H123+I123+J123+L123+M123+N123+O123+P1169+Q123</f>
        <v>13376304</v>
      </c>
      <c r="S123" s="1256">
        <f>+R123/(30+31+30+31+31+30+31+30+31+31+28)</f>
        <v>40048.814371257482</v>
      </c>
      <c r="T123" s="566">
        <f>+S123/24</f>
        <v>1668.700598802395</v>
      </c>
      <c r="AE123" s="4"/>
      <c r="AF123" s="4"/>
      <c r="AG123" s="1274"/>
      <c r="AK123" s="4"/>
      <c r="AL123" s="398"/>
      <c r="AM123" s="4"/>
    </row>
    <row r="124" spans="2:39" ht="18.75">
      <c r="B124" s="1230"/>
      <c r="C124" s="258"/>
      <c r="D124" s="258"/>
      <c r="E124" s="1230"/>
      <c r="F124" s="1230"/>
      <c r="R124" s="1230"/>
      <c r="S124" s="2456" t="s">
        <v>63</v>
      </c>
      <c r="T124" s="1230"/>
      <c r="AE124" s="4"/>
      <c r="AF124" s="4"/>
      <c r="AG124" s="1274"/>
      <c r="AK124" s="4"/>
      <c r="AL124" s="398"/>
      <c r="AM124" s="4"/>
    </row>
    <row r="125" spans="2:39" ht="18.75">
      <c r="B125" s="1230"/>
      <c r="C125" s="258" t="s">
        <v>544</v>
      </c>
      <c r="D125" s="258"/>
      <c r="E125" s="1230">
        <f>1879*24*30</f>
        <v>1352880</v>
      </c>
      <c r="F125" s="1230">
        <f>2164*24*31</f>
        <v>1610016</v>
      </c>
      <c r="G125" s="14">
        <f>2214*30*24</f>
        <v>1594080</v>
      </c>
      <c r="H125" s="14">
        <f>2153*24*31</f>
        <v>1601832</v>
      </c>
      <c r="I125" s="14">
        <f>2766*24*31</f>
        <v>2057904</v>
      </c>
      <c r="J125" s="14">
        <f>2609*720</f>
        <v>1878480</v>
      </c>
      <c r="L125" s="14">
        <f>2039*24*31</f>
        <v>1517016</v>
      </c>
      <c r="M125" s="14">
        <f>1853*24*30</f>
        <v>1334160</v>
      </c>
      <c r="N125" s="14">
        <f>1393*24*31</f>
        <v>1036392</v>
      </c>
      <c r="O125" s="14">
        <f>1720*31*24</f>
        <v>1279680</v>
      </c>
      <c r="P125" s="14">
        <f>1904*28*24</f>
        <v>1279488</v>
      </c>
      <c r="R125" s="1230">
        <f>+E125+F125+G125+H125+I125+J125+L125+M125+N125+O125+P1171+P125+Q125</f>
        <v>16541928</v>
      </c>
      <c r="S125" s="1256">
        <f>+R125/(30+31+30+31+31+30+31+30+31+31+28)</f>
        <v>49526.730538922158</v>
      </c>
      <c r="T125" s="566">
        <f>+S125/24</f>
        <v>2063.6137724550899</v>
      </c>
      <c r="AE125" s="4"/>
      <c r="AF125" s="4"/>
      <c r="AG125" s="1274"/>
      <c r="AK125" s="4"/>
      <c r="AL125" s="398"/>
      <c r="AM125" s="4"/>
    </row>
    <row r="126" spans="2:39" ht="18.75">
      <c r="B126" s="1230"/>
      <c r="C126" s="258" t="s">
        <v>2409</v>
      </c>
      <c r="D126" s="258"/>
      <c r="E126" s="1230">
        <v>0</v>
      </c>
      <c r="F126" s="1230">
        <v>0</v>
      </c>
      <c r="G126" s="1230">
        <v>0</v>
      </c>
      <c r="H126" s="1230">
        <v>0</v>
      </c>
      <c r="I126" s="1230">
        <v>0</v>
      </c>
      <c r="J126" s="1230">
        <v>0</v>
      </c>
      <c r="K126" s="1230"/>
      <c r="L126" s="1230">
        <v>0</v>
      </c>
      <c r="M126" s="1230">
        <v>0</v>
      </c>
      <c r="N126" s="1230">
        <v>0</v>
      </c>
      <c r="O126" s="1230">
        <v>0</v>
      </c>
      <c r="P126" s="1230">
        <v>0</v>
      </c>
      <c r="Q126" s="1230">
        <v>0</v>
      </c>
      <c r="R126" s="1230">
        <f>+E126+F126+G126+H126+I126+J126+L126+M126+N126+O126+P126</f>
        <v>0</v>
      </c>
      <c r="S126" s="1257">
        <f>+R126/(30+31+30+31+31+30+31+30+31+31+29)</f>
        <v>0</v>
      </c>
      <c r="T126" s="566">
        <f>+S126/24</f>
        <v>0</v>
      </c>
      <c r="AE126" s="4"/>
      <c r="AF126" s="4"/>
      <c r="AG126" s="1274"/>
      <c r="AK126" s="4"/>
      <c r="AL126" s="398"/>
      <c r="AM126" s="4"/>
    </row>
    <row r="127" spans="2:39" ht="18.75">
      <c r="B127" s="32"/>
      <c r="C127" s="2539" t="s">
        <v>3928</v>
      </c>
      <c r="D127" s="133"/>
      <c r="E127" s="2539">
        <v>5130.8285000000005</v>
      </c>
      <c r="F127" s="2539">
        <v>6271.9160000000011</v>
      </c>
      <c r="G127" s="2539">
        <v>5215.2127199999986</v>
      </c>
      <c r="H127" s="2539">
        <v>5382.7303500000007</v>
      </c>
      <c r="I127" s="2539">
        <v>4820.5116599999992</v>
      </c>
      <c r="J127" s="2539">
        <v>4933.7287999999999</v>
      </c>
      <c r="K127" s="2539"/>
      <c r="L127" s="2539">
        <v>5803.7011199999997</v>
      </c>
      <c r="M127" s="2539">
        <v>5351.7777000000006</v>
      </c>
      <c r="N127" s="32">
        <v>5707.39</v>
      </c>
      <c r="O127" s="32"/>
      <c r="P127" s="32"/>
      <c r="Q127" s="32"/>
      <c r="R127" s="911">
        <f>+E127+F127+G127+H127+I127+J127+L127+M127+N127+O127+P1168+Q127</f>
        <v>48617.796849999999</v>
      </c>
      <c r="S127" s="2024"/>
      <c r="T127" s="1145"/>
      <c r="AE127" s="4"/>
      <c r="AF127" s="4"/>
      <c r="AG127" s="1274"/>
      <c r="AK127" s="4"/>
      <c r="AL127" s="398"/>
      <c r="AM127" s="4"/>
    </row>
    <row r="128" spans="2:39" ht="18.75">
      <c r="B128" s="32"/>
      <c r="C128" s="2539" t="s">
        <v>3929</v>
      </c>
      <c r="D128" s="133"/>
      <c r="E128" s="2539">
        <v>10877.335772</v>
      </c>
      <c r="F128" s="2539">
        <v>12935.013156000005</v>
      </c>
      <c r="G128" s="2539">
        <v>12804.296746000004</v>
      </c>
      <c r="H128" s="2539">
        <v>12869.323881</v>
      </c>
      <c r="I128" s="2539">
        <v>16527.904224000002</v>
      </c>
      <c r="J128" s="2539">
        <v>15088.352960000002</v>
      </c>
      <c r="K128" s="2539"/>
      <c r="L128" s="2539">
        <v>12203.471959999995</v>
      </c>
      <c r="M128" s="2539">
        <v>10734.645604000005</v>
      </c>
      <c r="N128" s="32">
        <v>8336.83</v>
      </c>
      <c r="O128" s="32"/>
      <c r="P128" s="32"/>
      <c r="Q128" s="32"/>
      <c r="R128" s="911">
        <f>+E128+F128+G128+H128+I128+J128+L128+M128+N128+O128+P1169+Q128</f>
        <v>112377.17430300002</v>
      </c>
      <c r="S128" s="2024"/>
      <c r="T128" s="1145"/>
      <c r="AE128" s="4"/>
      <c r="AF128" s="4"/>
      <c r="AG128" s="1274"/>
      <c r="AK128" s="4"/>
      <c r="AL128" s="398"/>
      <c r="AM128" s="4"/>
    </row>
    <row r="129" spans="2:39" ht="18.75">
      <c r="B129" s="32"/>
      <c r="C129" s="133"/>
      <c r="D129" s="133"/>
      <c r="E129" s="2516"/>
      <c r="F129" s="2517"/>
      <c r="G129" s="32"/>
      <c r="H129" s="2517"/>
      <c r="I129" s="32"/>
      <c r="J129" s="32"/>
      <c r="K129" s="32"/>
      <c r="L129" s="2518"/>
      <c r="M129" s="32"/>
      <c r="N129" s="32"/>
      <c r="O129" s="32"/>
      <c r="P129" s="32"/>
      <c r="Q129" s="32"/>
      <c r="R129" s="32"/>
      <c r="S129" s="2024"/>
      <c r="T129" s="1145"/>
      <c r="AE129" s="4"/>
      <c r="AF129" s="4"/>
      <c r="AG129" s="1274"/>
      <c r="AK129" s="4"/>
      <c r="AL129" s="398"/>
      <c r="AM129" s="4"/>
    </row>
    <row r="130" spans="2:39" ht="18.75">
      <c r="B130" s="32"/>
      <c r="C130" s="133"/>
      <c r="D130" s="133"/>
      <c r="E130" s="2516"/>
      <c r="F130" s="2517"/>
      <c r="G130" s="32"/>
      <c r="H130" s="2517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2024"/>
      <c r="T130" s="1145"/>
      <c r="AE130" s="4"/>
      <c r="AF130" s="4"/>
      <c r="AG130" s="1274"/>
      <c r="AK130" s="4"/>
      <c r="AL130" s="398"/>
      <c r="AM130" s="4"/>
    </row>
    <row r="131" spans="2:39" ht="18.75">
      <c r="B131" s="32"/>
      <c r="C131" s="133"/>
      <c r="D131" s="133"/>
      <c r="E131" s="2516"/>
      <c r="F131" s="2517"/>
      <c r="G131" s="32"/>
      <c r="H131" s="2517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2024"/>
      <c r="T131" s="1145"/>
      <c r="AE131" s="4"/>
      <c r="AF131" s="4"/>
      <c r="AG131" s="1274"/>
      <c r="AK131" s="4"/>
      <c r="AL131" s="398"/>
      <c r="AM131" s="4"/>
    </row>
    <row r="132" spans="2:39" ht="18.75">
      <c r="E132" s="297"/>
      <c r="F132" s="1228"/>
      <c r="G132" s="298"/>
      <c r="H132" s="1229"/>
      <c r="J132" s="14">
        <f>1770+2098+1798</f>
        <v>5666</v>
      </c>
      <c r="L132" s="620">
        <f>+J132/3</f>
        <v>1888.6666666666667</v>
      </c>
      <c r="AE132" s="4"/>
      <c r="AF132" s="4"/>
      <c r="AG132" s="1274"/>
      <c r="AK132" s="4"/>
      <c r="AL132" s="398"/>
      <c r="AM132" s="4"/>
    </row>
    <row r="133" spans="2:39">
      <c r="B133" s="257" t="s">
        <v>2410</v>
      </c>
      <c r="E133" s="297"/>
      <c r="F133" s="1228"/>
      <c r="G133" s="298"/>
      <c r="H133" s="1229"/>
      <c r="L133" s="620"/>
      <c r="AE133" s="4">
        <v>2020</v>
      </c>
      <c r="AF133" s="4">
        <v>54.506</v>
      </c>
      <c r="AG133" s="4"/>
      <c r="AI133" s="1227">
        <f>+AI121-AI119</f>
        <v>89357.001000000004</v>
      </c>
      <c r="AK133" s="4">
        <v>2020</v>
      </c>
      <c r="AL133" s="398">
        <v>48.555999999999997</v>
      </c>
      <c r="AM133" s="4"/>
    </row>
    <row r="134" spans="2:39">
      <c r="B134" s="1230"/>
      <c r="C134" s="258"/>
      <c r="D134" s="258"/>
      <c r="E134" s="1230" t="s">
        <v>2399</v>
      </c>
      <c r="F134" s="1230" t="s">
        <v>2400</v>
      </c>
      <c r="G134" s="1230" t="s">
        <v>2401</v>
      </c>
      <c r="H134" s="1230" t="s">
        <v>2402</v>
      </c>
      <c r="I134" s="1230" t="s">
        <v>2403</v>
      </c>
      <c r="J134" s="1230" t="s">
        <v>2404</v>
      </c>
      <c r="K134" s="1230"/>
      <c r="L134" s="1230" t="s">
        <v>2405</v>
      </c>
      <c r="M134" s="1230" t="s">
        <v>730</v>
      </c>
      <c r="N134" s="1230" t="s">
        <v>731</v>
      </c>
      <c r="O134" s="2455" t="s">
        <v>2406</v>
      </c>
      <c r="P134" s="1230" t="s">
        <v>862</v>
      </c>
      <c r="Q134" s="1230" t="s">
        <v>2407</v>
      </c>
      <c r="R134" s="1230" t="s">
        <v>2408</v>
      </c>
      <c r="S134" s="1230"/>
      <c r="T134" s="1230"/>
      <c r="U134" s="32"/>
      <c r="V134" s="32"/>
      <c r="W134" s="32"/>
      <c r="X134" s="32"/>
      <c r="Y134" s="32"/>
      <c r="AE134" s="4">
        <v>2021</v>
      </c>
      <c r="AF134" s="4">
        <v>268.233</v>
      </c>
      <c r="AG134" s="4"/>
      <c r="AK134" s="4">
        <v>2021</v>
      </c>
      <c r="AL134" s="398">
        <v>266.03300000000002</v>
      </c>
      <c r="AM134" s="4"/>
    </row>
    <row r="135" spans="2:39">
      <c r="B135" s="1230"/>
      <c r="C135" s="258" t="s">
        <v>427</v>
      </c>
      <c r="D135" s="258"/>
      <c r="E135" s="1230">
        <f>1379*24*30</f>
        <v>992880</v>
      </c>
      <c r="F135" s="1230">
        <f>1072*24*31</f>
        <v>797568</v>
      </c>
      <c r="G135" s="1230">
        <f>1563*30*24</f>
        <v>1125360</v>
      </c>
      <c r="H135" s="1230">
        <f>2032*24*31</f>
        <v>1511808</v>
      </c>
      <c r="I135" s="1230">
        <f>1973*24*31</f>
        <v>1467912</v>
      </c>
      <c r="J135" s="1230">
        <f>1470*720</f>
        <v>1058400</v>
      </c>
      <c r="K135" s="1230"/>
      <c r="L135" s="1230">
        <f>2041*24*31</f>
        <v>1518504</v>
      </c>
      <c r="M135" s="1230">
        <f>1713*720</f>
        <v>1233360</v>
      </c>
      <c r="N135" s="1230">
        <f>1996*31*24</f>
        <v>1485024</v>
      </c>
      <c r="O135" s="1230">
        <f>2041*24*31</f>
        <v>1518504</v>
      </c>
      <c r="P135" s="1230">
        <f>2012*28*24</f>
        <v>1352064</v>
      </c>
      <c r="Q135" s="1230">
        <f>2137*24*31</f>
        <v>1589928</v>
      </c>
      <c r="R135" s="1230">
        <f>+E135+F135+G135+H135+I135+J135+L135+M135+N135+O135+P1176+Q135</f>
        <v>14299248</v>
      </c>
      <c r="S135" s="1256">
        <f>+R135/(30+31+30+31+31+30+31+30+31+31+28+31)</f>
        <v>39176.021917808219</v>
      </c>
      <c r="T135" s="566">
        <f>+S135/24</f>
        <v>1632.3342465753424</v>
      </c>
      <c r="U135" s="1145">
        <v>4.0449999999999999</v>
      </c>
      <c r="V135" s="1145"/>
      <c r="W135" s="1145"/>
      <c r="X135" s="1145"/>
      <c r="Y135" s="1145"/>
      <c r="AE135" s="4">
        <v>2022</v>
      </c>
      <c r="AF135" s="4">
        <v>389.56700000000001</v>
      </c>
      <c r="AG135" s="4"/>
      <c r="AK135" s="4">
        <v>2022</v>
      </c>
      <c r="AL135" s="398">
        <v>389.56700000000001</v>
      </c>
      <c r="AM135" s="4"/>
    </row>
    <row r="136" spans="2:39">
      <c r="B136" s="1230"/>
      <c r="C136" s="258"/>
      <c r="D136" s="258"/>
      <c r="E136" s="1230"/>
      <c r="F136" s="1230"/>
      <c r="G136" s="1230"/>
      <c r="H136" s="1230"/>
      <c r="I136" s="1230"/>
      <c r="J136" s="1230"/>
      <c r="K136" s="1230"/>
      <c r="L136" s="1230"/>
      <c r="M136" s="1230"/>
      <c r="N136" s="1230"/>
      <c r="O136" s="1230"/>
      <c r="P136" s="1230"/>
      <c r="Q136" s="1230"/>
      <c r="R136" s="1230"/>
      <c r="S136" s="2456" t="s">
        <v>63</v>
      </c>
      <c r="T136" s="1230"/>
      <c r="U136" s="32"/>
      <c r="V136" s="32"/>
      <c r="W136" s="32"/>
      <c r="X136" s="32"/>
      <c r="Y136" s="32"/>
      <c r="AE136" s="4">
        <v>2023</v>
      </c>
      <c r="AF136" s="4">
        <v>13722.754000000001</v>
      </c>
      <c r="AG136" s="4"/>
      <c r="AK136" s="4">
        <v>2023</v>
      </c>
      <c r="AL136" s="398">
        <v>13704.644</v>
      </c>
      <c r="AM136" s="4"/>
    </row>
    <row r="137" spans="2:39">
      <c r="B137" s="1230"/>
      <c r="C137" s="258" t="s">
        <v>544</v>
      </c>
      <c r="D137" s="258"/>
      <c r="E137" s="1230">
        <f>1689*24*30</f>
        <v>1216080</v>
      </c>
      <c r="F137" s="1230">
        <f>2015*24*31</f>
        <v>1499160</v>
      </c>
      <c r="G137" s="1230">
        <f>1987*24*30</f>
        <v>1430640</v>
      </c>
      <c r="H137" s="1230">
        <f>1342*24*31</f>
        <v>998448</v>
      </c>
      <c r="I137" s="1230">
        <f>1536*24*31</f>
        <v>1142784</v>
      </c>
      <c r="J137" s="1230">
        <f>1888*24*30</f>
        <v>1359360</v>
      </c>
      <c r="K137" s="1230"/>
      <c r="L137" s="1230">
        <f>1758*24*31</f>
        <v>1307952</v>
      </c>
      <c r="M137" s="1230">
        <f>2115*720</f>
        <v>1522800</v>
      </c>
      <c r="N137" s="1230">
        <f>2275*24*31</f>
        <v>1692600</v>
      </c>
      <c r="O137" s="1230">
        <f>2263*24*31</f>
        <v>1683672</v>
      </c>
      <c r="P137" s="1230">
        <f>2304*28*24</f>
        <v>1548288</v>
      </c>
      <c r="Q137" s="1230">
        <f>1937*24*31</f>
        <v>1441128</v>
      </c>
      <c r="R137" s="1230">
        <f>+E137+F137+G137+H137+I137+J137+L137+M137+N137+O137+P1178+P137+Q137</f>
        <v>16842912</v>
      </c>
      <c r="S137" s="1256">
        <f>+R137/(30+31+30+31+31+30+31+30+31+31+28+31)</f>
        <v>46144.964383561644</v>
      </c>
      <c r="T137" s="566">
        <f>+S137/24</f>
        <v>1922.7068493150684</v>
      </c>
      <c r="U137" s="1145"/>
      <c r="V137" s="1145"/>
      <c r="W137" s="1145"/>
      <c r="X137" s="1145"/>
      <c r="Y137" s="1145"/>
      <c r="AE137" s="4">
        <v>2024</v>
      </c>
      <c r="AF137" s="4">
        <v>89357</v>
      </c>
      <c r="AG137" s="4"/>
      <c r="AK137" s="4">
        <v>2024</v>
      </c>
      <c r="AL137" s="398">
        <v>85114.6</v>
      </c>
      <c r="AM137" s="4"/>
    </row>
    <row r="138" spans="2:39">
      <c r="B138" s="1230"/>
      <c r="C138" s="258" t="s">
        <v>2409</v>
      </c>
      <c r="D138" s="258"/>
      <c r="E138" s="1230">
        <v>0</v>
      </c>
      <c r="F138" s="1230">
        <v>0</v>
      </c>
      <c r="G138" s="1230">
        <v>0</v>
      </c>
      <c r="H138" s="1230">
        <v>0</v>
      </c>
      <c r="I138" s="1230">
        <v>0</v>
      </c>
      <c r="J138" s="1230">
        <v>0</v>
      </c>
      <c r="K138" s="1230"/>
      <c r="L138" s="1230">
        <v>0</v>
      </c>
      <c r="M138" s="1230">
        <v>0</v>
      </c>
      <c r="N138" s="1230">
        <v>0</v>
      </c>
      <c r="O138" s="1230">
        <v>0</v>
      </c>
      <c r="P138" s="1230">
        <v>0</v>
      </c>
      <c r="Q138" s="1230">
        <v>0</v>
      </c>
      <c r="R138" s="1230">
        <f>+E138+F138+G138+H138+I138+J138+L138+M138+N138+O138+P138</f>
        <v>0</v>
      </c>
      <c r="S138" s="1257">
        <f>+R138/(30+31+30+31+31+30+31+30+31+31+29)</f>
        <v>0</v>
      </c>
      <c r="T138" s="566">
        <f>+S138/24</f>
        <v>0</v>
      </c>
      <c r="U138" s="1145"/>
      <c r="V138" s="1145"/>
      <c r="W138" s="1145"/>
      <c r="X138" s="1145"/>
      <c r="Y138" s="1145"/>
      <c r="AE138" s="547" t="s">
        <v>103</v>
      </c>
      <c r="AF138" s="4">
        <v>103954.79</v>
      </c>
      <c r="AG138" s="4"/>
      <c r="AK138" s="547" t="s">
        <v>103</v>
      </c>
      <c r="AL138" s="398">
        <f>SUM(AL111:AL137)</f>
        <v>99686.334000000003</v>
      </c>
      <c r="AM138" s="4"/>
    </row>
    <row r="139" spans="2:39">
      <c r="C139" s="2539" t="s">
        <v>3928</v>
      </c>
      <c r="D139" s="305"/>
      <c r="E139" s="2540">
        <v>3999.8958999999995</v>
      </c>
      <c r="F139" s="305">
        <v>3217.9307000000008</v>
      </c>
      <c r="G139" s="305">
        <v>4536.9273599999988</v>
      </c>
      <c r="H139" s="2541">
        <v>6096.8275199999998</v>
      </c>
      <c r="I139" s="305">
        <v>5929.7503999999999</v>
      </c>
      <c r="J139" s="305">
        <v>4272.8415399999994</v>
      </c>
      <c r="K139" s="305"/>
      <c r="L139" s="2542">
        <v>6122.8199400000021</v>
      </c>
      <c r="M139" s="305">
        <v>4963.066499999999</v>
      </c>
      <c r="N139" s="305">
        <v>5992.4591999999993</v>
      </c>
      <c r="O139" s="305">
        <v>6145.8551399999969</v>
      </c>
      <c r="P139" s="305">
        <v>5441.7356800000016</v>
      </c>
      <c r="Q139" s="305">
        <v>6400.9172500000013</v>
      </c>
      <c r="R139" s="911">
        <f>+E139+F139+G139+H139+I139+J139+L139+M139+N139+O139+P1180+Q139</f>
        <v>57679.291449999997</v>
      </c>
      <c r="S139" s="1227">
        <f>+R139+R140</f>
        <v>180619.674172</v>
      </c>
      <c r="T139" s="14">
        <f>+S139/S140</f>
        <v>1.5222255629514136</v>
      </c>
      <c r="AL139" s="14">
        <v>0</v>
      </c>
    </row>
    <row r="140" spans="2:39">
      <c r="C140" s="2539" t="s">
        <v>3929</v>
      </c>
      <c r="D140" s="305"/>
      <c r="E140" s="293">
        <v>9779.7475279999999</v>
      </c>
      <c r="F140" s="305">
        <v>12050.412579000003</v>
      </c>
      <c r="G140" s="305">
        <v>11497.683792000002</v>
      </c>
      <c r="H140" s="293">
        <v>8020.7396359999993</v>
      </c>
      <c r="I140" s="305">
        <v>9184.8443400000033</v>
      </c>
      <c r="J140" s="305">
        <v>10923.922548</v>
      </c>
      <c r="K140" s="305"/>
      <c r="L140" s="2543">
        <v>10514.794946999999</v>
      </c>
      <c r="M140" s="305">
        <v>12248.231386000001</v>
      </c>
      <c r="N140" s="305">
        <v>13602.526056000001</v>
      </c>
      <c r="O140" s="305">
        <v>13530.646729999999</v>
      </c>
      <c r="P140" s="305">
        <v>12445.618044999999</v>
      </c>
      <c r="Q140" s="305">
        <v>11586.833180000001</v>
      </c>
      <c r="R140" s="2546">
        <f>+E140+F140+G140+H140+I140+J140+L140+M140+N140+O140+P1181+Q140</f>
        <v>122940.38272200001</v>
      </c>
      <c r="S140" s="14">
        <v>118655</v>
      </c>
    </row>
    <row r="141" spans="2:39">
      <c r="B141" s="14"/>
      <c r="C141" s="257" t="s">
        <v>2411</v>
      </c>
      <c r="D141" s="257"/>
      <c r="F141" s="297"/>
      <c r="G141" s="1228"/>
      <c r="H141" s="298"/>
      <c r="I141" s="1229"/>
      <c r="M141" s="620"/>
      <c r="AL141" s="14">
        <f>99686-14571.7</f>
        <v>85114.3</v>
      </c>
    </row>
    <row r="142" spans="2:39">
      <c r="B142" s="1230"/>
      <c r="C142" s="258"/>
      <c r="D142" s="258"/>
      <c r="E142" s="1230" t="s">
        <v>2399</v>
      </c>
      <c r="F142" s="1230" t="s">
        <v>2400</v>
      </c>
      <c r="G142" s="1230" t="s">
        <v>2401</v>
      </c>
      <c r="H142" s="1230" t="s">
        <v>2402</v>
      </c>
      <c r="I142" s="1230" t="s">
        <v>2403</v>
      </c>
      <c r="J142" s="1230" t="s">
        <v>2404</v>
      </c>
      <c r="K142" s="1230"/>
      <c r="L142" s="1230" t="s">
        <v>2405</v>
      </c>
      <c r="M142" s="1230" t="s">
        <v>730</v>
      </c>
      <c r="N142" s="1230" t="s">
        <v>731</v>
      </c>
      <c r="O142" s="1248">
        <v>45292</v>
      </c>
      <c r="P142" s="1230" t="s">
        <v>240</v>
      </c>
      <c r="Q142" s="1230" t="s">
        <v>2350</v>
      </c>
      <c r="R142" s="1230" t="s">
        <v>2408</v>
      </c>
      <c r="S142" s="1230"/>
      <c r="T142" s="1230"/>
      <c r="U142" s="32"/>
      <c r="V142" s="32"/>
      <c r="W142" s="32"/>
      <c r="X142" s="32"/>
      <c r="Y142" s="32"/>
    </row>
    <row r="143" spans="2:39">
      <c r="B143" s="1230"/>
      <c r="C143" s="258" t="s">
        <v>427</v>
      </c>
      <c r="D143" s="258"/>
      <c r="E143" s="1230">
        <f>2380*24*30</f>
        <v>1713600</v>
      </c>
      <c r="F143" s="1230">
        <f>2314*31*24</f>
        <v>1721616</v>
      </c>
      <c r="G143" s="1230">
        <f>2786*30*24</f>
        <v>2005920</v>
      </c>
      <c r="H143" s="1230">
        <f>2662*24*31</f>
        <v>1980528</v>
      </c>
      <c r="I143" s="1230">
        <f>2619*24*31</f>
        <v>1948536</v>
      </c>
      <c r="J143" s="1230">
        <f>2502*24*30</f>
        <v>1801440</v>
      </c>
      <c r="K143" s="1230"/>
      <c r="L143" s="1230">
        <f>2383*24*31</f>
        <v>1772952</v>
      </c>
      <c r="M143" s="1230">
        <f>1645*24*30</f>
        <v>1184400</v>
      </c>
      <c r="N143" s="1230">
        <f>2326*24*31</f>
        <v>1730544</v>
      </c>
      <c r="O143" s="1230">
        <f>2065*24*31</f>
        <v>1536360</v>
      </c>
      <c r="P143" s="1230">
        <f>2265*29*24</f>
        <v>1576440</v>
      </c>
      <c r="Q143" s="1230">
        <f>1713*24*31</f>
        <v>1274472</v>
      </c>
      <c r="R143" s="1230">
        <f>+E143+F143+G143+H143+I143+J143+L143+M143+N143+O143+P1183+Q143</f>
        <v>18670368</v>
      </c>
      <c r="S143" s="1256">
        <f>+R143/(30+31+30+31+31+30+31+30+31+31+29+31)</f>
        <v>51011.934426229505</v>
      </c>
      <c r="T143" s="566">
        <f>+S143/24</f>
        <v>2125.4972677595629</v>
      </c>
      <c r="U143" s="1145"/>
      <c r="V143" s="1145"/>
      <c r="W143" s="1145"/>
      <c r="X143" s="1145"/>
      <c r="Y143" s="1145"/>
    </row>
    <row r="144" spans="2:39">
      <c r="B144" s="1230"/>
      <c r="C144" s="258"/>
      <c r="D144" s="258"/>
      <c r="E144" s="1230"/>
      <c r="F144" s="1230"/>
      <c r="G144" s="1230"/>
      <c r="H144" s="1230"/>
      <c r="I144" s="1230"/>
      <c r="J144" s="1230"/>
      <c r="K144" s="1230"/>
      <c r="L144" s="1230"/>
      <c r="M144" s="1230"/>
      <c r="N144" s="1230"/>
      <c r="O144" s="1230"/>
      <c r="P144" s="1230"/>
      <c r="Q144" s="1230"/>
      <c r="R144" s="1230"/>
      <c r="S144" s="2456" t="s">
        <v>63</v>
      </c>
      <c r="T144" s="1230"/>
      <c r="U144" s="32"/>
      <c r="V144" s="32"/>
      <c r="W144" s="32"/>
      <c r="X144" s="32"/>
      <c r="Y144" s="32"/>
    </row>
    <row r="145" spans="1:26">
      <c r="B145" s="1230"/>
      <c r="C145" s="258" t="s">
        <v>544</v>
      </c>
      <c r="D145" s="258"/>
      <c r="E145" s="1230">
        <f>1389*24*30</f>
        <v>1000080</v>
      </c>
      <c r="F145" s="1230">
        <f>1505*31*24</f>
        <v>1119720</v>
      </c>
      <c r="G145" s="1230">
        <f>1223*720</f>
        <v>880560</v>
      </c>
      <c r="H145" s="1230">
        <f>1332*24*31</f>
        <v>991008</v>
      </c>
      <c r="I145" s="1230">
        <f>1280*31*24</f>
        <v>952320</v>
      </c>
      <c r="J145" s="1230">
        <f>1316*24*30</f>
        <v>947520</v>
      </c>
      <c r="K145" s="1230"/>
      <c r="L145" s="1230">
        <f>1311*24*31</f>
        <v>975384</v>
      </c>
      <c r="M145" s="1230">
        <f>1739*24*30</f>
        <v>1252080</v>
      </c>
      <c r="N145" s="1230">
        <f>1326*24*31</f>
        <v>986544</v>
      </c>
      <c r="O145" s="1230">
        <f>1344*24*31</f>
        <v>999936</v>
      </c>
      <c r="P145" s="1230">
        <f>1327*29*24</f>
        <v>923592</v>
      </c>
      <c r="Q145" s="1230">
        <f>1453*24*31</f>
        <v>1081032</v>
      </c>
      <c r="R145" s="1230">
        <f>+E145+F145+G145+H145+I145+J145+L145+M145+N145+O145+P1185+P145+Q145</f>
        <v>12109776</v>
      </c>
      <c r="S145" s="1256">
        <f>+R145/(30+31+30+31+31+30+31+30+31+31+29+31)</f>
        <v>33086.819672131147</v>
      </c>
      <c r="T145" s="566">
        <f>+S145/24</f>
        <v>1378.6174863387978</v>
      </c>
      <c r="U145" s="1145"/>
      <c r="V145" s="1145"/>
      <c r="W145" s="1145"/>
      <c r="X145" s="1145"/>
      <c r="Y145" s="1145"/>
    </row>
    <row r="146" spans="1:26">
      <c r="B146" s="1230"/>
      <c r="C146" s="258" t="s">
        <v>2409</v>
      </c>
      <c r="D146" s="258"/>
      <c r="E146" s="1230">
        <v>0</v>
      </c>
      <c r="F146" s="1230">
        <v>0</v>
      </c>
      <c r="G146" s="1230">
        <v>0</v>
      </c>
      <c r="H146" s="1230">
        <v>0</v>
      </c>
      <c r="I146" s="1230">
        <v>0</v>
      </c>
      <c r="J146" s="1230">
        <v>0</v>
      </c>
      <c r="K146" s="1230"/>
      <c r="L146" s="1230">
        <v>0</v>
      </c>
      <c r="M146" s="1230">
        <v>0</v>
      </c>
      <c r="N146" s="1230">
        <v>0</v>
      </c>
      <c r="O146" s="1230">
        <v>0</v>
      </c>
      <c r="P146" s="1230">
        <v>0</v>
      </c>
      <c r="Q146" s="1230">
        <v>0</v>
      </c>
      <c r="R146" s="1230">
        <f>+E146+F146+G146+H146+I146+J146+L146+M146+N146+O146+P146</f>
        <v>0</v>
      </c>
      <c r="S146" s="1257">
        <f>+R146/(30+31+30+31+31+30+31+30+31+31+29)</f>
        <v>0</v>
      </c>
      <c r="T146" s="566">
        <f>+S146/24</f>
        <v>0</v>
      </c>
      <c r="U146" s="1145"/>
      <c r="V146" s="1145"/>
      <c r="W146" s="1145"/>
      <c r="X146" s="1145"/>
      <c r="Y146" s="1145"/>
    </row>
    <row r="147" spans="1:26">
      <c r="B147" s="32"/>
      <c r="C147" s="14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2024"/>
      <c r="T147" s="1145"/>
      <c r="U147" s="1145"/>
      <c r="V147" s="1145"/>
      <c r="W147" s="1145"/>
      <c r="X147" s="1145"/>
      <c r="Y147" s="1145"/>
    </row>
    <row r="148" spans="1:26">
      <c r="B148" s="32"/>
      <c r="C148" s="14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2024"/>
      <c r="T148" s="1145"/>
      <c r="U148" s="1145"/>
      <c r="V148" s="1145"/>
      <c r="W148" s="1145"/>
      <c r="X148" s="1145"/>
      <c r="Y148" s="1145"/>
    </row>
    <row r="149" spans="1:26">
      <c r="E149" s="297"/>
      <c r="F149" s="1228"/>
      <c r="G149" s="298"/>
      <c r="H149" s="1229"/>
      <c r="L149" s="620"/>
    </row>
    <row r="150" spans="1:26">
      <c r="D150" s="14" t="s">
        <v>2412</v>
      </c>
      <c r="E150" s="297"/>
      <c r="F150" s="1228"/>
      <c r="G150" s="84" t="s">
        <v>271</v>
      </c>
      <c r="H150" s="1229"/>
    </row>
    <row r="151" spans="1:26">
      <c r="A151" s="1230"/>
      <c r="B151" s="258"/>
      <c r="C151" s="258"/>
      <c r="D151" s="1230" t="s">
        <v>2399</v>
      </c>
      <c r="E151" s="1230" t="s">
        <v>2400</v>
      </c>
      <c r="F151" s="1230" t="s">
        <v>2401</v>
      </c>
      <c r="G151" s="1230" t="s">
        <v>2402</v>
      </c>
      <c r="H151" s="1230" t="s">
        <v>2403</v>
      </c>
      <c r="I151" s="1230" t="s">
        <v>2404</v>
      </c>
      <c r="J151" s="1230" t="s">
        <v>2405</v>
      </c>
      <c r="K151" s="1230"/>
      <c r="L151" s="1230" t="s">
        <v>730</v>
      </c>
      <c r="M151" s="1230" t="s">
        <v>731</v>
      </c>
      <c r="N151" s="1230" t="s">
        <v>216</v>
      </c>
      <c r="O151" s="1230" t="s">
        <v>217</v>
      </c>
      <c r="P151" s="1230" t="s">
        <v>2350</v>
      </c>
      <c r="Q151" s="1230" t="s">
        <v>2408</v>
      </c>
      <c r="R151" s="1230"/>
      <c r="S151" s="1230"/>
      <c r="T151" s="1230"/>
      <c r="U151" s="1230"/>
      <c r="V151" s="1230"/>
      <c r="W151" s="1230"/>
      <c r="X151" s="1230"/>
      <c r="Y151" s="1230"/>
      <c r="Z151" s="1230"/>
    </row>
    <row r="152" spans="1:26">
      <c r="A152" s="1230"/>
      <c r="B152" s="258" t="s">
        <v>427</v>
      </c>
      <c r="C152" s="258"/>
      <c r="D152" s="1230">
        <f>1234*720</f>
        <v>888480</v>
      </c>
      <c r="E152" s="1230">
        <f>1217*24*31</f>
        <v>905448</v>
      </c>
      <c r="F152" s="1230">
        <f>1346*24*30</f>
        <v>969120</v>
      </c>
      <c r="G152" s="1230">
        <f>1241*24*31</f>
        <v>923304</v>
      </c>
      <c r="H152" s="1230">
        <f>1166*24*31</f>
        <v>867504</v>
      </c>
      <c r="I152" s="1230">
        <f>788*24*30</f>
        <v>567360</v>
      </c>
      <c r="J152" s="1230">
        <f>1619*24*31</f>
        <v>1204536</v>
      </c>
      <c r="K152" s="1230"/>
      <c r="L152" s="1230">
        <f>1773*720</f>
        <v>1276560</v>
      </c>
      <c r="M152" s="1230">
        <f>1968*24*31</f>
        <v>1464192</v>
      </c>
      <c r="N152" s="1230">
        <f>2360*24*31</f>
        <v>1755840</v>
      </c>
      <c r="O152" s="1230">
        <f>1846*24*28</f>
        <v>1240512</v>
      </c>
      <c r="P152" s="1230">
        <f>2451*31*24</f>
        <v>1823544</v>
      </c>
      <c r="Q152" s="1230">
        <f>+D152+E152+F152+G152+H152+I152+J152+L152+M152+N152+O1190+P152</f>
        <v>12645888</v>
      </c>
      <c r="R152" s="1256">
        <f>+Q152/(30+31+30+31+31+30+31+30+31+31+28+31)</f>
        <v>34646.268493150688</v>
      </c>
      <c r="S152" s="566">
        <f>+R152/24</f>
        <v>1443.5945205479454</v>
      </c>
      <c r="T152" s="1230"/>
      <c r="U152" s="1230"/>
      <c r="V152" s="1230"/>
      <c r="W152" s="1230"/>
      <c r="X152" s="1230"/>
      <c r="Y152" s="1230"/>
      <c r="Z152" s="1230"/>
    </row>
    <row r="153" spans="1:26">
      <c r="A153" s="1230"/>
      <c r="B153" s="258"/>
      <c r="C153" s="258"/>
      <c r="D153" s="1230"/>
      <c r="E153" s="1230"/>
      <c r="F153" s="1230"/>
      <c r="G153" s="1230"/>
      <c r="H153" s="1230"/>
      <c r="I153" s="1230"/>
      <c r="J153" s="1230"/>
      <c r="K153" s="1230"/>
      <c r="L153" s="1230"/>
      <c r="M153" s="1230"/>
      <c r="N153" s="1230"/>
      <c r="O153" s="1230"/>
      <c r="P153" s="1230"/>
      <c r="Q153" s="1230"/>
      <c r="R153" s="2456" t="s">
        <v>63</v>
      </c>
      <c r="S153" s="1230"/>
      <c r="T153" s="1230"/>
      <c r="U153" s="1230"/>
      <c r="V153" s="1230"/>
      <c r="W153" s="1230"/>
      <c r="X153" s="1230"/>
      <c r="Y153" s="1230"/>
      <c r="Z153" s="1230"/>
    </row>
    <row r="154" spans="1:26">
      <c r="A154" s="1230"/>
      <c r="B154" s="258" t="s">
        <v>544</v>
      </c>
      <c r="C154" s="258"/>
      <c r="D154" s="1230">
        <f>1610*720</f>
        <v>1159200</v>
      </c>
      <c r="E154" s="1230">
        <f>1544*24*31</f>
        <v>1148736</v>
      </c>
      <c r="F154" s="1230">
        <f>1596*30*24</f>
        <v>1149120</v>
      </c>
      <c r="G154" s="1230">
        <f>1790*24*31</f>
        <v>1331760</v>
      </c>
      <c r="H154" s="1230">
        <f>1985*24*31</f>
        <v>1476840</v>
      </c>
      <c r="I154" s="1230">
        <f>2095*720</f>
        <v>1508400</v>
      </c>
      <c r="J154" s="1230">
        <f>1526*24*31</f>
        <v>1135344</v>
      </c>
      <c r="K154" s="1230"/>
      <c r="L154" s="1230">
        <f>1425*720</f>
        <v>1026000</v>
      </c>
      <c r="M154" s="1230">
        <f>1456*24*31</f>
        <v>1083264</v>
      </c>
      <c r="N154" s="1230">
        <f>1224*24*31</f>
        <v>910656</v>
      </c>
      <c r="O154" s="1230">
        <f>1445*24*28</f>
        <v>971040</v>
      </c>
      <c r="P154" s="1230">
        <f>1312*24*31</f>
        <v>976128</v>
      </c>
      <c r="Q154" s="1230">
        <f>+D154+E154+F154+G154+H154+I154+J154+L154+M154+N154+O1192+O154+P154</f>
        <v>13876488</v>
      </c>
      <c r="R154" s="1256">
        <f>+Q154/(30+31+30+31+31+30+31+30+31+31+28+31)</f>
        <v>38017.775342465757</v>
      </c>
      <c r="S154" s="566">
        <f>+R154/24</f>
        <v>1584.0739726027398</v>
      </c>
      <c r="T154" s="1230"/>
      <c r="U154" s="1230"/>
      <c r="V154" s="1230"/>
      <c r="W154" s="1230"/>
      <c r="X154" s="1230"/>
      <c r="Y154" s="1230"/>
      <c r="Z154" s="1230"/>
    </row>
    <row r="155" spans="1:26">
      <c r="A155" s="1230"/>
      <c r="B155" s="258" t="s">
        <v>2409</v>
      </c>
      <c r="C155" s="258"/>
      <c r="D155" s="1230">
        <v>0</v>
      </c>
      <c r="E155" s="1230">
        <v>0</v>
      </c>
      <c r="F155" s="1230">
        <v>0</v>
      </c>
      <c r="G155" s="1230">
        <v>0</v>
      </c>
      <c r="H155" s="1230">
        <v>0</v>
      </c>
      <c r="I155" s="1230">
        <v>0</v>
      </c>
      <c r="J155" s="1230">
        <v>0</v>
      </c>
      <c r="K155" s="1230"/>
      <c r="L155" s="1230">
        <v>0</v>
      </c>
      <c r="M155" s="1230">
        <v>0</v>
      </c>
      <c r="N155" s="1230">
        <v>0</v>
      </c>
      <c r="O155" s="1230">
        <v>0</v>
      </c>
      <c r="P155" s="1230">
        <v>0</v>
      </c>
      <c r="Q155" s="1230">
        <f>+D155+E155+F155+G155+H155+I155+J155+L155+M155+N155+O155</f>
        <v>0</v>
      </c>
      <c r="R155" s="1257">
        <f>+Q155/(30+31+30+31+31+30+31+30+31+31+29)</f>
        <v>0</v>
      </c>
      <c r="S155" s="566">
        <f>+R155/24</f>
        <v>0</v>
      </c>
      <c r="T155" s="1230"/>
      <c r="U155" s="1230"/>
      <c r="V155" s="1230"/>
      <c r="W155" s="1230"/>
      <c r="X155" s="1230"/>
      <c r="Y155" s="1230"/>
      <c r="Z155" s="1230"/>
    </row>
    <row r="156" spans="1:26">
      <c r="E156" s="14">
        <f>+E155/31</f>
        <v>0</v>
      </c>
      <c r="F156" s="14">
        <f>+F155/30</f>
        <v>0</v>
      </c>
      <c r="H156" s="84"/>
      <c r="I156" s="84"/>
      <c r="N156" s="1282"/>
      <c r="P156" s="1282"/>
    </row>
    <row r="157" spans="1:26">
      <c r="B157" s="257" t="s">
        <v>121</v>
      </c>
      <c r="H157" s="84"/>
      <c r="I157" s="84">
        <f>24*31</f>
        <v>744</v>
      </c>
    </row>
    <row r="158" spans="1:26">
      <c r="B158" s="258"/>
      <c r="C158" s="258"/>
      <c r="D158" s="1230" t="s">
        <v>2399</v>
      </c>
      <c r="E158" s="1230" t="s">
        <v>2400</v>
      </c>
      <c r="F158" s="1230" t="s">
        <v>2401</v>
      </c>
      <c r="G158" s="1230" t="s">
        <v>2402</v>
      </c>
      <c r="H158" s="1230" t="s">
        <v>2403</v>
      </c>
      <c r="I158" s="1230" t="s">
        <v>2404</v>
      </c>
      <c r="J158" s="1230" t="s">
        <v>2405</v>
      </c>
      <c r="K158" s="1230"/>
      <c r="L158" s="1230" t="s">
        <v>730</v>
      </c>
      <c r="M158" s="1230" t="s">
        <v>731</v>
      </c>
      <c r="N158" s="1230" t="s">
        <v>188</v>
      </c>
      <c r="O158" s="1230" t="s">
        <v>217</v>
      </c>
      <c r="P158" s="1230" t="s">
        <v>2350</v>
      </c>
      <c r="Q158" s="1230" t="s">
        <v>2408</v>
      </c>
      <c r="R158" s="1230"/>
      <c r="S158" s="1230"/>
      <c r="T158" s="1230"/>
      <c r="U158" s="1230"/>
      <c r="V158" s="1230"/>
      <c r="W158" s="1230"/>
      <c r="X158" s="1230"/>
      <c r="Y158" s="1230"/>
      <c r="Z158" s="1230"/>
    </row>
    <row r="159" spans="1:26">
      <c r="B159" s="258" t="s">
        <v>427</v>
      </c>
      <c r="C159" s="258"/>
      <c r="D159" s="1230">
        <v>0</v>
      </c>
      <c r="E159" s="1230">
        <v>0</v>
      </c>
      <c r="F159" s="1230">
        <v>0</v>
      </c>
      <c r="G159" s="1230">
        <f>373*24*31</f>
        <v>277512</v>
      </c>
      <c r="H159" s="1230">
        <f>1712*24*31</f>
        <v>1273728</v>
      </c>
      <c r="I159" s="1230">
        <f>1525*720</f>
        <v>1098000</v>
      </c>
      <c r="J159" s="1230">
        <f>1622*744</f>
        <v>1206768</v>
      </c>
      <c r="K159" s="1230"/>
      <c r="L159" s="1230">
        <f>1590*720</f>
        <v>1144800</v>
      </c>
      <c r="M159" s="1230">
        <f>2157*744</f>
        <v>1604808</v>
      </c>
      <c r="N159" s="1230">
        <f>2090*744</f>
        <v>1554960</v>
      </c>
      <c r="O159" s="1230">
        <f>2082*28*24</f>
        <v>1399104</v>
      </c>
      <c r="P159" s="1230">
        <f>2095*744</f>
        <v>1558680</v>
      </c>
      <c r="Q159" s="1230">
        <f>+D159+E159+F159+G159+H159+I159+J159+L159+M159+N159+O1197+P159</f>
        <v>9719256</v>
      </c>
      <c r="R159" s="1256">
        <f>+Q159/(30+31+30+31+31+30+31+30+31+31+28+31)</f>
        <v>26628.098630136985</v>
      </c>
      <c r="S159" s="566">
        <f>+R159/24</f>
        <v>1109.504109589041</v>
      </c>
      <c r="T159" s="1230"/>
      <c r="U159" s="1230"/>
      <c r="V159" s="1230"/>
      <c r="W159" s="1230"/>
      <c r="X159" s="1230"/>
      <c r="Y159" s="1230"/>
      <c r="Z159" s="1230"/>
    </row>
    <row r="160" spans="1:26">
      <c r="B160" s="258"/>
      <c r="C160" s="258"/>
      <c r="D160" s="1230"/>
      <c r="E160" s="1230"/>
      <c r="F160" s="1230">
        <v>0</v>
      </c>
      <c r="G160" s="1230"/>
      <c r="H160" s="1230"/>
      <c r="I160" s="1230"/>
      <c r="J160" s="1230"/>
      <c r="K160" s="1230"/>
      <c r="L160" s="1230"/>
      <c r="M160" s="1230"/>
      <c r="N160" s="1230"/>
      <c r="O160" s="1230"/>
      <c r="P160" s="1230"/>
      <c r="Q160" s="1230"/>
      <c r="R160" s="1230">
        <v>0</v>
      </c>
      <c r="S160" s="1230"/>
      <c r="T160" s="1230"/>
      <c r="U160" s="1230"/>
      <c r="V160" s="1230"/>
      <c r="W160" s="1230"/>
      <c r="X160" s="1230"/>
      <c r="Y160" s="1230"/>
      <c r="Z160" s="1230"/>
    </row>
    <row r="161" spans="2:26">
      <c r="B161" s="258" t="s">
        <v>2413</v>
      </c>
      <c r="C161" s="258"/>
      <c r="D161" s="1230">
        <f>113*24*30</f>
        <v>81360</v>
      </c>
      <c r="E161" s="1230">
        <f>1267*31*24</f>
        <v>942648</v>
      </c>
      <c r="F161" s="1230">
        <f>1289*24*30</f>
        <v>928080</v>
      </c>
      <c r="G161" s="1230">
        <f>3048*24*31</f>
        <v>2267712</v>
      </c>
      <c r="H161" s="1230">
        <f>1404*24*31</f>
        <v>1044576</v>
      </c>
      <c r="I161" s="1230">
        <f>1408*720</f>
        <v>1013760</v>
      </c>
      <c r="J161" s="1230">
        <f>1189*744</f>
        <v>884616</v>
      </c>
      <c r="K161" s="1230"/>
      <c r="L161" s="1230">
        <f>1295*720</f>
        <v>932400</v>
      </c>
      <c r="M161" s="1230">
        <f>1447*744</f>
        <v>1076568</v>
      </c>
      <c r="N161" s="1230">
        <f>1406*744</f>
        <v>1046064</v>
      </c>
      <c r="O161" s="1230">
        <f>1273*28*24</f>
        <v>855456</v>
      </c>
      <c r="P161" s="1230">
        <f>1273*744</f>
        <v>947112</v>
      </c>
      <c r="Q161" s="1230">
        <f>+D161+E161+F161+G161+H161+I161+J161+L161+M161+N161+O1199+O161+P161</f>
        <v>12020352</v>
      </c>
      <c r="R161" s="1256">
        <f>+Q161/(30+31+30+31+31+30+31+30+31+31+28+31)</f>
        <v>32932.471232876713</v>
      </c>
      <c r="S161" s="566">
        <f>+R161/24</f>
        <v>1372.186301369863</v>
      </c>
      <c r="T161" s="1230"/>
      <c r="U161" s="1230"/>
      <c r="V161" s="1230"/>
      <c r="W161" s="1230"/>
      <c r="X161" s="1230"/>
      <c r="Y161" s="1230"/>
      <c r="Z161" s="1230"/>
    </row>
    <row r="162" spans="2:26">
      <c r="B162" s="258" t="s">
        <v>2409</v>
      </c>
      <c r="C162" s="258"/>
      <c r="D162" s="1230">
        <v>0</v>
      </c>
      <c r="E162" s="1230">
        <v>0</v>
      </c>
      <c r="F162" s="1230">
        <v>0</v>
      </c>
      <c r="G162" s="1230">
        <v>0</v>
      </c>
      <c r="H162" s="1230">
        <v>0</v>
      </c>
      <c r="I162" s="1230">
        <v>0</v>
      </c>
      <c r="J162" s="1230">
        <v>0</v>
      </c>
      <c r="K162" s="1230"/>
      <c r="L162" s="1230">
        <v>0</v>
      </c>
      <c r="M162" s="1230">
        <v>0</v>
      </c>
      <c r="N162" s="1230">
        <v>0</v>
      </c>
      <c r="O162" s="1230">
        <v>0</v>
      </c>
      <c r="P162" s="1230">
        <v>0</v>
      </c>
      <c r="Q162" s="1230">
        <f>+D162+E162+F162+G162+H162+I162+J162+L162+M162+N162+O162</f>
        <v>0</v>
      </c>
      <c r="R162" s="1257">
        <f>+Q162/(30+31+30+31+31+30+31+30+31+31+29)</f>
        <v>0</v>
      </c>
      <c r="S162" s="566">
        <f>+R162/24</f>
        <v>0</v>
      </c>
      <c r="T162" s="1230"/>
      <c r="U162" s="1230"/>
      <c r="V162" s="1230"/>
      <c r="W162" s="1230"/>
      <c r="X162" s="1230"/>
      <c r="Y162" s="1230"/>
      <c r="Z162" s="1230"/>
    </row>
    <row r="163" spans="2:26">
      <c r="H163" s="1275"/>
      <c r="I163" s="140"/>
    </row>
    <row r="164" spans="2:26">
      <c r="H164" s="1275"/>
      <c r="I164" s="140"/>
    </row>
    <row r="165" spans="2:26" ht="18.75">
      <c r="B165" s="1276"/>
      <c r="C165" s="1276"/>
      <c r="D165" s="1276"/>
    </row>
    <row r="166" spans="2:26" ht="18.75">
      <c r="B166" s="1276"/>
      <c r="C166" s="1276"/>
      <c r="D166" s="1276"/>
    </row>
    <row r="167" spans="2:26" ht="18.75">
      <c r="B167" s="1276"/>
      <c r="C167" s="1276"/>
      <c r="D167" s="1276"/>
      <c r="I167" s="14">
        <f>170970*1.03</f>
        <v>176099.1</v>
      </c>
      <c r="J167" s="14">
        <f>+I167*0.325</f>
        <v>57232.207500000004</v>
      </c>
    </row>
    <row r="169" spans="2:26">
      <c r="G169" s="14">
        <f>47.45+51.1</f>
        <v>98.550000000000011</v>
      </c>
    </row>
    <row r="170" spans="2:26">
      <c r="G170" s="14">
        <f>49.65+52.6</f>
        <v>102.25</v>
      </c>
    </row>
    <row r="171" spans="2:26">
      <c r="G171" s="14">
        <f>+G169/G170*100</f>
        <v>96.381418092909541</v>
      </c>
      <c r="L171" s="14">
        <f>27720*1.03</f>
        <v>28551.600000000002</v>
      </c>
    </row>
    <row r="172" spans="2:26">
      <c r="F172" s="265"/>
      <c r="G172" s="265"/>
      <c r="H172" s="265"/>
      <c r="I172" s="265"/>
      <c r="J172" s="265"/>
      <c r="K172" s="265"/>
      <c r="L172" s="265">
        <f>28552*1.03</f>
        <v>29408.560000000001</v>
      </c>
      <c r="M172" s="265"/>
      <c r="N172" s="265"/>
      <c r="O172" s="265"/>
      <c r="P172" s="265"/>
      <c r="Q172" s="265"/>
      <c r="R172" s="267"/>
    </row>
    <row r="173" spans="2:26">
      <c r="R173" s="1147"/>
    </row>
    <row r="174" spans="2:26">
      <c r="B174" s="14"/>
      <c r="C174" s="257" t="s">
        <v>2411</v>
      </c>
      <c r="D174" s="257"/>
      <c r="F174" s="297"/>
      <c r="G174" s="1228"/>
      <c r="H174" s="298"/>
      <c r="I174" s="1229"/>
      <c r="M174" s="620"/>
    </row>
    <row r="175" spans="2:26">
      <c r="B175" s="1230"/>
      <c r="C175" s="258"/>
      <c r="D175" s="258"/>
      <c r="E175" s="1230" t="s">
        <v>2399</v>
      </c>
      <c r="F175" s="1230" t="s">
        <v>2400</v>
      </c>
      <c r="G175" s="1230" t="s">
        <v>2401</v>
      </c>
      <c r="H175" s="1230" t="s">
        <v>2402</v>
      </c>
      <c r="I175" s="1230" t="s">
        <v>2403</v>
      </c>
      <c r="J175" s="1230" t="s">
        <v>2404</v>
      </c>
      <c r="K175" s="1230"/>
      <c r="L175" s="1230" t="s">
        <v>2405</v>
      </c>
      <c r="M175" s="1230" t="s">
        <v>730</v>
      </c>
      <c r="N175" s="1230" t="s">
        <v>731</v>
      </c>
      <c r="O175" s="1230" t="s">
        <v>216</v>
      </c>
      <c r="P175" s="1230" t="s">
        <v>217</v>
      </c>
      <c r="Q175" s="1230" t="s">
        <v>2350</v>
      </c>
      <c r="R175" s="1230" t="s">
        <v>2408</v>
      </c>
      <c r="S175" s="1230"/>
      <c r="T175" s="1230"/>
      <c r="U175" s="32"/>
      <c r="V175" s="32"/>
      <c r="W175" s="32"/>
      <c r="X175" s="32"/>
      <c r="Y175" s="32"/>
    </row>
    <row r="176" spans="2:26">
      <c r="B176" s="1230"/>
      <c r="C176" s="258" t="s">
        <v>427</v>
      </c>
      <c r="D176" s="258"/>
      <c r="E176" s="1230">
        <f>2380*24*30</f>
        <v>1713600</v>
      </c>
      <c r="F176" s="1230">
        <f>1072*31*24</f>
        <v>797568</v>
      </c>
      <c r="G176" s="1230">
        <v>0</v>
      </c>
      <c r="H176" s="1230">
        <v>0</v>
      </c>
      <c r="I176" s="1230">
        <v>0</v>
      </c>
      <c r="J176" s="1230">
        <v>0</v>
      </c>
      <c r="K176" s="1230"/>
      <c r="L176" s="1230">
        <v>0</v>
      </c>
      <c r="M176" s="1230">
        <v>0</v>
      </c>
      <c r="N176" s="1230">
        <v>0</v>
      </c>
      <c r="O176" s="1230">
        <v>0</v>
      </c>
      <c r="P176" s="1230">
        <v>0</v>
      </c>
      <c r="Q176" s="1230">
        <v>0</v>
      </c>
      <c r="R176" s="1230">
        <f>+E176+F176+G176+H176+I176+J176+L176+M176+N176+O176+P1214+Q176</f>
        <v>2511168</v>
      </c>
      <c r="S176" s="1256">
        <f>+R176/(30+31)</f>
        <v>41166.688524590165</v>
      </c>
      <c r="T176" s="566">
        <f>+S176/24</f>
        <v>1715.2786885245903</v>
      </c>
      <c r="U176" s="1145"/>
      <c r="V176" s="1145"/>
      <c r="W176" s="1145"/>
      <c r="X176" s="1145"/>
      <c r="Y176" s="1145"/>
    </row>
    <row r="177" spans="1:33">
      <c r="B177" s="1230"/>
      <c r="C177" s="258"/>
      <c r="D177" s="258"/>
      <c r="E177" s="1230"/>
      <c r="F177" s="1230"/>
      <c r="G177" s="1230"/>
      <c r="H177" s="1230"/>
      <c r="I177" s="1230"/>
      <c r="J177" s="1230"/>
      <c r="K177" s="1230"/>
      <c r="L177" s="1230"/>
      <c r="M177" s="1230"/>
      <c r="N177" s="1230"/>
      <c r="O177" s="1230"/>
      <c r="P177" s="1230"/>
      <c r="Q177" s="1230"/>
      <c r="R177" s="1230"/>
      <c r="S177" s="2456" t="s">
        <v>63</v>
      </c>
      <c r="T177" s="1230"/>
      <c r="U177" s="32"/>
      <c r="V177" s="32"/>
      <c r="W177" s="32"/>
      <c r="X177" s="32"/>
      <c r="Y177" s="32"/>
    </row>
    <row r="178" spans="1:33">
      <c r="B178" s="1230"/>
      <c r="C178" s="258" t="s">
        <v>544</v>
      </c>
      <c r="D178" s="258"/>
      <c r="E178" s="1230">
        <f>1389*24*30</f>
        <v>1000080</v>
      </c>
      <c r="F178" s="1230">
        <f>2015*31*24</f>
        <v>1499160</v>
      </c>
      <c r="G178" s="1230">
        <v>0</v>
      </c>
      <c r="H178" s="1230">
        <v>0</v>
      </c>
      <c r="I178" s="1230">
        <v>0</v>
      </c>
      <c r="J178" s="1230">
        <v>0</v>
      </c>
      <c r="K178" s="1230"/>
      <c r="L178" s="1230">
        <v>0</v>
      </c>
      <c r="M178" s="1230">
        <v>0</v>
      </c>
      <c r="N178" s="1230">
        <v>0</v>
      </c>
      <c r="O178" s="1230">
        <v>0</v>
      </c>
      <c r="P178" s="1230">
        <v>0</v>
      </c>
      <c r="Q178" s="1230">
        <v>0</v>
      </c>
      <c r="R178" s="1230">
        <f>+E178+F178+G178+H178+I178+J178+L178+M178+N178+O178+P1216+P178+Q178</f>
        <v>2499240</v>
      </c>
      <c r="S178" s="1256">
        <f>+R178/(30+31)</f>
        <v>40971.147540983606</v>
      </c>
      <c r="T178" s="566">
        <f>+S178/24</f>
        <v>1707.1311475409836</v>
      </c>
      <c r="U178" s="1145"/>
      <c r="V178" s="1145"/>
      <c r="W178" s="1145"/>
      <c r="X178" s="1145"/>
      <c r="Y178" s="1145"/>
    </row>
    <row r="179" spans="1:33">
      <c r="B179" s="1230"/>
      <c r="C179" s="258" t="s">
        <v>2409</v>
      </c>
      <c r="D179" s="258"/>
      <c r="E179" s="1230">
        <v>0</v>
      </c>
      <c r="F179" s="1230">
        <v>0</v>
      </c>
      <c r="G179" s="1230">
        <v>0</v>
      </c>
      <c r="H179" s="1230">
        <v>0</v>
      </c>
      <c r="I179" s="1230">
        <v>0</v>
      </c>
      <c r="J179" s="1230">
        <v>0</v>
      </c>
      <c r="K179" s="1230"/>
      <c r="L179" s="1230">
        <v>0</v>
      </c>
      <c r="M179" s="1230">
        <v>0</v>
      </c>
      <c r="N179" s="1230">
        <v>0</v>
      </c>
      <c r="O179" s="1230">
        <v>0</v>
      </c>
      <c r="P179" s="1230">
        <v>0</v>
      </c>
      <c r="Q179" s="1230">
        <v>0</v>
      </c>
      <c r="R179" s="1230">
        <f>+E179+F179+G179+H179+I179+J179+L179+M179+N179+O179+P179</f>
        <v>0</v>
      </c>
      <c r="S179" s="1257">
        <f>+R179/(30+31+30+31+31+30+31+30+31+31+29)</f>
        <v>0</v>
      </c>
      <c r="T179" s="566">
        <f>+S179/24</f>
        <v>0</v>
      </c>
      <c r="U179" s="1145"/>
      <c r="V179" s="1145"/>
      <c r="W179" s="1145"/>
      <c r="X179" s="1145"/>
      <c r="Y179" s="1145"/>
    </row>
    <row r="180" spans="1:33">
      <c r="R180" s="1147"/>
    </row>
    <row r="181" spans="1:33">
      <c r="A181" s="11"/>
      <c r="R181" s="1147"/>
    </row>
    <row r="182" spans="1:33">
      <c r="A182" s="1277"/>
      <c r="R182" s="1147"/>
      <c r="Z182" s="611" t="s">
        <v>2414</v>
      </c>
      <c r="AA182" s="612" t="s">
        <v>2415</v>
      </c>
      <c r="AB182" s="612" t="s">
        <v>2416</v>
      </c>
      <c r="AC182" s="612" t="s">
        <v>704</v>
      </c>
      <c r="AD182" s="612" t="s">
        <v>1060</v>
      </c>
      <c r="AE182" s="612" t="s">
        <v>2417</v>
      </c>
      <c r="AF182" s="612" t="s">
        <v>2418</v>
      </c>
      <c r="AG182" s="613" t="s">
        <v>2295</v>
      </c>
    </row>
    <row r="183" spans="1:33">
      <c r="R183" s="1147"/>
      <c r="Z183" s="1283">
        <v>44570</v>
      </c>
      <c r="AA183" s="11">
        <v>22107570</v>
      </c>
      <c r="AB183" s="11">
        <v>2250039</v>
      </c>
      <c r="AC183" s="11" t="s">
        <v>712</v>
      </c>
      <c r="AD183" s="11" t="s">
        <v>2419</v>
      </c>
      <c r="AE183" s="11">
        <v>9000</v>
      </c>
      <c r="AF183" s="11">
        <v>12</v>
      </c>
      <c r="AG183" s="248">
        <v>72</v>
      </c>
    </row>
    <row r="184" spans="1:33">
      <c r="A184" s="32"/>
      <c r="B184" s="3023" t="s">
        <v>2420</v>
      </c>
      <c r="C184" s="3023"/>
      <c r="D184" s="3023"/>
      <c r="E184" s="3023"/>
      <c r="R184" s="1147"/>
      <c r="Z184" s="1283">
        <v>44570</v>
      </c>
      <c r="AA184" s="11">
        <v>22107570</v>
      </c>
      <c r="AB184" s="11">
        <v>2250040</v>
      </c>
      <c r="AC184" s="11" t="s">
        <v>712</v>
      </c>
      <c r="AD184" s="11" t="s">
        <v>2419</v>
      </c>
      <c r="AE184" s="11">
        <v>9000</v>
      </c>
      <c r="AF184" s="11">
        <v>16</v>
      </c>
      <c r="AG184" s="248">
        <v>96</v>
      </c>
    </row>
    <row r="185" spans="1:33">
      <c r="B185" s="133"/>
      <c r="C185" s="133"/>
      <c r="D185" s="133"/>
      <c r="E185" s="133"/>
      <c r="H185" s="14" t="s">
        <v>2421</v>
      </c>
      <c r="M185" s="14" t="s">
        <v>2422</v>
      </c>
      <c r="R185" s="1147"/>
      <c r="Z185" s="236"/>
      <c r="AA185" s="237"/>
      <c r="AB185" s="237"/>
      <c r="AC185" s="237"/>
      <c r="AD185" s="237"/>
      <c r="AE185" s="237"/>
      <c r="AF185" s="237">
        <f>SUM(AF183:AF184)</f>
        <v>28</v>
      </c>
      <c r="AG185" s="251">
        <f>SUM(AG183:AG184)</f>
        <v>168</v>
      </c>
    </row>
    <row r="186" spans="1:33">
      <c r="B186" s="258" t="s">
        <v>300</v>
      </c>
      <c r="C186" s="259" t="s">
        <v>2423</v>
      </c>
      <c r="D186" s="258" t="s">
        <v>532</v>
      </c>
      <c r="E186" s="258" t="s">
        <v>2424</v>
      </c>
      <c r="H186" s="266" t="s">
        <v>150</v>
      </c>
      <c r="I186" s="265" t="s">
        <v>2425</v>
      </c>
      <c r="J186" s="266"/>
      <c r="K186" s="265"/>
      <c r="L186" s="267"/>
      <c r="M186" s="266" t="s">
        <v>150</v>
      </c>
      <c r="N186" s="265" t="s">
        <v>2425</v>
      </c>
      <c r="O186" s="266"/>
      <c r="P186" s="267"/>
      <c r="R186" s="1147"/>
    </row>
    <row r="187" spans="1:33">
      <c r="B187" s="260">
        <v>43653</v>
      </c>
      <c r="C187" s="258">
        <v>198</v>
      </c>
      <c r="D187" s="258">
        <v>9</v>
      </c>
      <c r="E187" s="258"/>
      <c r="H187" s="268" t="s">
        <v>2260</v>
      </c>
      <c r="I187" s="267" t="s">
        <v>2426</v>
      </c>
      <c r="L187" s="268"/>
      <c r="M187" s="268" t="s">
        <v>2260</v>
      </c>
      <c r="N187" s="23" t="s">
        <v>2427</v>
      </c>
      <c r="P187" s="268"/>
      <c r="R187" s="1147"/>
    </row>
    <row r="188" spans="1:33">
      <c r="B188" s="260">
        <v>43668</v>
      </c>
      <c r="C188" s="258"/>
      <c r="D188" s="258">
        <v>6</v>
      </c>
      <c r="E188" s="258">
        <v>3</v>
      </c>
      <c r="H188" s="272" t="s">
        <v>2147</v>
      </c>
      <c r="I188" s="269" t="s">
        <v>2428</v>
      </c>
      <c r="J188" s="265"/>
      <c r="L188" s="270"/>
      <c r="M188" s="14" t="s">
        <v>723</v>
      </c>
      <c r="N188" s="257">
        <v>21</v>
      </c>
      <c r="O188" s="265"/>
      <c r="P188" s="270"/>
      <c r="R188" s="1147"/>
    </row>
    <row r="189" spans="1:33">
      <c r="B189" s="260">
        <v>43694</v>
      </c>
      <c r="C189" s="258">
        <v>200</v>
      </c>
      <c r="D189" s="258">
        <v>6</v>
      </c>
      <c r="E189" s="258">
        <v>3</v>
      </c>
      <c r="H189" s="272"/>
      <c r="I189" s="271" t="s">
        <v>2429</v>
      </c>
      <c r="L189" s="270"/>
      <c r="M189" s="272" t="s">
        <v>2147</v>
      </c>
      <c r="N189" s="269" t="s">
        <v>2430</v>
      </c>
      <c r="P189" s="270"/>
      <c r="R189" s="1147"/>
    </row>
    <row r="190" spans="1:33">
      <c r="B190" s="260">
        <v>43707</v>
      </c>
      <c r="C190" s="258"/>
      <c r="D190" s="258">
        <v>6</v>
      </c>
      <c r="E190" s="258">
        <v>3</v>
      </c>
      <c r="H190" s="272" t="s">
        <v>1993</v>
      </c>
      <c r="I190" s="271" t="s">
        <v>2431</v>
      </c>
      <c r="L190" s="270"/>
      <c r="M190" s="272"/>
      <c r="N190" s="271"/>
      <c r="P190" s="270"/>
      <c r="R190" s="1147"/>
    </row>
    <row r="191" spans="1:33">
      <c r="B191" s="260">
        <v>43708</v>
      </c>
      <c r="C191" s="258"/>
      <c r="D191" s="258">
        <v>6</v>
      </c>
      <c r="E191" s="258">
        <v>3</v>
      </c>
      <c r="H191" s="272" t="s">
        <v>2148</v>
      </c>
      <c r="I191" s="271">
        <v>25</v>
      </c>
      <c r="L191" s="270"/>
      <c r="M191" s="272"/>
      <c r="N191" s="271"/>
      <c r="P191" s="270"/>
      <c r="R191" s="1147"/>
    </row>
    <row r="192" spans="1:33">
      <c r="B192" s="260">
        <v>43738</v>
      </c>
      <c r="C192" s="258">
        <v>190</v>
      </c>
      <c r="D192" s="258">
        <v>6</v>
      </c>
      <c r="E192" s="258">
        <v>3</v>
      </c>
      <c r="H192" s="272" t="s">
        <v>1994</v>
      </c>
      <c r="I192" s="271">
        <v>6</v>
      </c>
      <c r="L192" s="270"/>
      <c r="M192" s="272" t="s">
        <v>2148</v>
      </c>
      <c r="N192" s="271" t="s">
        <v>2432</v>
      </c>
      <c r="P192" s="270"/>
      <c r="R192" s="1147"/>
    </row>
    <row r="193" spans="1:18">
      <c r="B193" s="133"/>
      <c r="C193" s="133"/>
      <c r="D193" s="133"/>
      <c r="E193" s="133"/>
      <c r="H193" s="272" t="s">
        <v>729</v>
      </c>
      <c r="I193" s="271">
        <v>5</v>
      </c>
      <c r="J193" s="273"/>
      <c r="L193" s="270"/>
      <c r="M193" s="272" t="s">
        <v>1994</v>
      </c>
      <c r="N193" s="271" t="s">
        <v>2433</v>
      </c>
      <c r="O193" s="273"/>
      <c r="P193" s="270"/>
      <c r="R193" s="1147"/>
    </row>
    <row r="194" spans="1:18">
      <c r="A194" s="14" t="s">
        <v>2434</v>
      </c>
      <c r="F194" s="14" t="s">
        <v>2435</v>
      </c>
      <c r="H194" s="272" t="s">
        <v>730</v>
      </c>
      <c r="I194" s="271" t="s">
        <v>2436</v>
      </c>
      <c r="L194" s="270"/>
      <c r="M194" s="14" t="s">
        <v>2437</v>
      </c>
      <c r="N194" s="271" t="s">
        <v>2438</v>
      </c>
      <c r="P194" s="270"/>
      <c r="R194" s="1147"/>
    </row>
    <row r="195" spans="1:18" ht="26.25">
      <c r="A195" s="1278" t="s">
        <v>2439</v>
      </c>
      <c r="B195" s="1279">
        <f t="shared" ref="B195:B202" si="8">+E195*0.4</f>
        <v>34927.200000000004</v>
      </c>
      <c r="C195" s="1280">
        <f>8663.56+563.511</f>
        <v>9227.0709999999999</v>
      </c>
      <c r="D195" s="1281">
        <f>+B195/C195</f>
        <v>3.7852965475176257</v>
      </c>
      <c r="E195" s="14">
        <v>87318</v>
      </c>
      <c r="F195" s="14">
        <f>137676*4.17</f>
        <v>574108.92000000004</v>
      </c>
      <c r="H195" s="272" t="s">
        <v>731</v>
      </c>
      <c r="I195" s="271">
        <v>3</v>
      </c>
      <c r="L195" s="270"/>
      <c r="M195" s="14" t="s">
        <v>729</v>
      </c>
      <c r="N195" s="271" t="s">
        <v>2440</v>
      </c>
      <c r="P195" s="270"/>
      <c r="R195" s="1147"/>
    </row>
    <row r="196" spans="1:18" ht="26.25">
      <c r="A196" s="1280" t="s">
        <v>2441</v>
      </c>
      <c r="B196" s="1279">
        <f t="shared" si="8"/>
        <v>38028.800000000003</v>
      </c>
      <c r="C196" s="133">
        <v>10785</v>
      </c>
      <c r="D196" s="1281">
        <f t="shared" ref="D196:D207" si="9">+B196/C196</f>
        <v>3.5260825220213263</v>
      </c>
      <c r="E196" s="14">
        <v>95072</v>
      </c>
      <c r="H196" s="272" t="s">
        <v>732</v>
      </c>
      <c r="I196" s="270">
        <v>31</v>
      </c>
      <c r="L196" s="270"/>
      <c r="N196" s="271" t="s">
        <v>2442</v>
      </c>
      <c r="P196" s="270"/>
      <c r="R196" s="1147"/>
    </row>
    <row r="197" spans="1:18" ht="26.25">
      <c r="A197" s="1280" t="s">
        <v>2443</v>
      </c>
      <c r="B197" s="133">
        <f t="shared" si="8"/>
        <v>38016.800000000003</v>
      </c>
      <c r="C197" s="133">
        <v>9834</v>
      </c>
      <c r="D197" s="1281">
        <f t="shared" si="9"/>
        <v>3.8658531624974581</v>
      </c>
      <c r="E197" s="14">
        <v>95042</v>
      </c>
      <c r="H197" s="272" t="s">
        <v>733</v>
      </c>
      <c r="I197" s="270" t="s">
        <v>2444</v>
      </c>
      <c r="L197" s="270"/>
      <c r="M197" s="272" t="s">
        <v>730</v>
      </c>
      <c r="N197" s="271" t="s">
        <v>2445</v>
      </c>
      <c r="P197" s="270"/>
      <c r="R197" s="1147"/>
    </row>
    <row r="198" spans="1:18" ht="26.25">
      <c r="A198" s="1280" t="s">
        <v>2446</v>
      </c>
      <c r="B198" s="133">
        <f t="shared" si="8"/>
        <v>39772.400000000001</v>
      </c>
      <c r="C198" s="133">
        <v>11054.49</v>
      </c>
      <c r="D198" s="1281">
        <f t="shared" si="9"/>
        <v>3.5978502852687009</v>
      </c>
      <c r="E198" s="14">
        <v>99431</v>
      </c>
      <c r="H198" s="272" t="s">
        <v>2447</v>
      </c>
      <c r="I198" s="270" t="s">
        <v>43</v>
      </c>
      <c r="L198" s="270"/>
      <c r="M198" s="272" t="s">
        <v>2448</v>
      </c>
      <c r="N198" s="271" t="s">
        <v>2449</v>
      </c>
      <c r="P198" s="270"/>
      <c r="R198" s="1147"/>
    </row>
    <row r="199" spans="1:18" ht="26.25">
      <c r="A199" s="1280" t="s">
        <v>2450</v>
      </c>
      <c r="B199" s="133">
        <f t="shared" si="8"/>
        <v>40000.400000000001</v>
      </c>
      <c r="C199" s="133">
        <v>13476</v>
      </c>
      <c r="D199" s="1281">
        <f t="shared" si="9"/>
        <v>2.9682695161769073</v>
      </c>
      <c r="E199" s="14">
        <v>100001</v>
      </c>
      <c r="H199" s="888"/>
      <c r="I199" s="277"/>
      <c r="L199" s="270"/>
      <c r="N199" s="257"/>
      <c r="P199" s="270"/>
      <c r="R199" s="1147"/>
    </row>
    <row r="200" spans="1:18" ht="26.25">
      <c r="A200" s="1280" t="s">
        <v>2633</v>
      </c>
      <c r="B200" s="133">
        <f t="shared" si="8"/>
        <v>37538.800000000003</v>
      </c>
      <c r="C200" s="133">
        <v>12086</v>
      </c>
      <c r="D200" s="1281">
        <f t="shared" si="9"/>
        <v>3.1059738540460038</v>
      </c>
      <c r="E200" s="14">
        <v>93847</v>
      </c>
      <c r="H200" s="279"/>
      <c r="I200" s="278"/>
      <c r="J200" s="273"/>
      <c r="K200" s="273"/>
      <c r="L200" s="278"/>
      <c r="M200" s="279"/>
      <c r="N200" s="278"/>
      <c r="O200" s="273"/>
      <c r="P200" s="278"/>
      <c r="R200" s="1147"/>
    </row>
    <row r="201" spans="1:18" ht="26.25">
      <c r="A201" s="1280" t="s">
        <v>3950</v>
      </c>
      <c r="B201" s="133">
        <f t="shared" si="8"/>
        <v>39874</v>
      </c>
      <c r="C201" s="133">
        <v>11404</v>
      </c>
      <c r="D201" s="1281">
        <f t="shared" si="9"/>
        <v>3.4964924587863906</v>
      </c>
      <c r="E201" s="273">
        <v>99685</v>
      </c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1180"/>
    </row>
    <row r="202" spans="1:18" ht="26.25">
      <c r="A202" s="1280" t="s">
        <v>3886</v>
      </c>
      <c r="B202" s="133">
        <f t="shared" si="8"/>
        <v>36175.200000000004</v>
      </c>
      <c r="C202" s="133">
        <v>9483</v>
      </c>
      <c r="D202" s="1281">
        <f t="shared" si="9"/>
        <v>3.8147421701993043</v>
      </c>
      <c r="E202" s="14">
        <v>90438</v>
      </c>
    </row>
    <row r="203" spans="1:18" ht="26.25">
      <c r="A203" s="1280" t="s">
        <v>3941</v>
      </c>
      <c r="B203" s="133">
        <f>420041-387665</f>
        <v>32376</v>
      </c>
      <c r="C203" s="133">
        <v>7656</v>
      </c>
      <c r="D203" s="1281">
        <f t="shared" si="9"/>
        <v>4.2288401253918497</v>
      </c>
      <c r="E203" s="14">
        <v>100326</v>
      </c>
    </row>
    <row r="204" spans="1:18" ht="26.25">
      <c r="A204" s="1280" t="s">
        <v>3949</v>
      </c>
      <c r="B204" s="133">
        <f>E204*0.4</f>
        <v>45676</v>
      </c>
      <c r="C204" s="133">
        <v>9197</v>
      </c>
      <c r="D204" s="1281">
        <f t="shared" si="9"/>
        <v>4.966402087637273</v>
      </c>
      <c r="E204" s="14">
        <v>114190</v>
      </c>
    </row>
    <row r="205" spans="1:18" ht="26.25">
      <c r="A205" s="1280" t="s">
        <v>3986</v>
      </c>
      <c r="B205" s="133">
        <f>E205*0.4</f>
        <v>37655.599999999999</v>
      </c>
      <c r="C205" s="133">
        <v>10047</v>
      </c>
      <c r="D205" s="1281">
        <f t="shared" si="9"/>
        <v>3.7479446600975415</v>
      </c>
      <c r="E205" s="14">
        <v>94139</v>
      </c>
      <c r="H205" s="14">
        <v>10</v>
      </c>
    </row>
    <row r="206" spans="1:18" ht="26.25">
      <c r="A206" s="1280" t="s">
        <v>4102</v>
      </c>
      <c r="B206" s="133">
        <v>45781</v>
      </c>
      <c r="C206" s="133">
        <v>11668</v>
      </c>
      <c r="D206" s="1281">
        <f t="shared" si="9"/>
        <v>3.9236372985944463</v>
      </c>
      <c r="E206" s="14">
        <v>114453</v>
      </c>
      <c r="F206" s="14">
        <f>45781/0.4</f>
        <v>114452.5</v>
      </c>
    </row>
    <row r="207" spans="1:18" ht="26.25">
      <c r="A207" s="1280" t="s">
        <v>4103</v>
      </c>
      <c r="B207" s="1284">
        <f>SUM(B195:B206)</f>
        <v>465822.2</v>
      </c>
      <c r="C207" s="1284">
        <f>SUM(C195:C206)</f>
        <v>125917.561</v>
      </c>
      <c r="D207" s="1281">
        <f t="shared" si="9"/>
        <v>3.6994220369309727</v>
      </c>
    </row>
    <row r="209" spans="2:30" ht="63">
      <c r="B209" s="14"/>
      <c r="C209" s="14" t="s">
        <v>2451</v>
      </c>
      <c r="D209" s="14" t="s">
        <v>2452</v>
      </c>
      <c r="E209" s="14" t="s">
        <v>2453</v>
      </c>
      <c r="Z209" s="1287" t="s">
        <v>638</v>
      </c>
      <c r="AA209" s="1287" t="s">
        <v>639</v>
      </c>
      <c r="AB209" s="1287" t="s">
        <v>2454</v>
      </c>
      <c r="AC209" s="1287" t="s">
        <v>278</v>
      </c>
      <c r="AD209" s="1287" t="s">
        <v>947</v>
      </c>
    </row>
    <row r="210" spans="2:30" ht="63">
      <c r="B210" s="14"/>
      <c r="C210" s="265" t="s">
        <v>2455</v>
      </c>
      <c r="D210" s="265"/>
      <c r="E210" s="265"/>
      <c r="Z210" s="1288" t="s">
        <v>649</v>
      </c>
      <c r="AA210" s="1289">
        <v>7885</v>
      </c>
      <c r="AB210" s="1289">
        <f>+AB213+AB214</f>
        <v>7973</v>
      </c>
      <c r="AC210" s="1290">
        <v>98</v>
      </c>
      <c r="AD210" s="1291">
        <v>7827</v>
      </c>
    </row>
    <row r="211" spans="2:30" ht="63">
      <c r="B211" s="14"/>
      <c r="C211" s="14"/>
      <c r="Z211" s="1292" t="s">
        <v>654</v>
      </c>
      <c r="AA211" s="1293">
        <v>500</v>
      </c>
      <c r="AB211" s="1293">
        <v>435</v>
      </c>
      <c r="AC211" s="1294">
        <v>87</v>
      </c>
      <c r="AD211" s="1293">
        <v>706</v>
      </c>
    </row>
    <row r="212" spans="2:30" ht="94.5">
      <c r="B212" s="14"/>
      <c r="C212" s="14" t="s">
        <v>2456</v>
      </c>
      <c r="D212" s="266">
        <v>31</v>
      </c>
      <c r="E212" s="265">
        <v>1704</v>
      </c>
      <c r="J212"/>
      <c r="K212"/>
      <c r="Z212" s="1292" t="s">
        <v>658</v>
      </c>
      <c r="AA212" s="1293" t="s">
        <v>2457</v>
      </c>
      <c r="AB212" s="1293">
        <f>873+146</f>
        <v>1019</v>
      </c>
      <c r="AC212" s="1293" t="s">
        <v>2458</v>
      </c>
      <c r="AD212" s="1293">
        <v>57</v>
      </c>
    </row>
    <row r="213" spans="2:30" ht="63">
      <c r="B213" s="14"/>
      <c r="C213" s="14" t="s">
        <v>2459</v>
      </c>
      <c r="D213" s="272">
        <v>89</v>
      </c>
      <c r="E213" s="14">
        <v>4460</v>
      </c>
      <c r="Z213" s="1292" t="s">
        <v>662</v>
      </c>
      <c r="AA213" s="1293">
        <v>500</v>
      </c>
      <c r="AB213" s="1295">
        <f>+AB212+AB211</f>
        <v>1454</v>
      </c>
      <c r="AC213" s="1293">
        <v>262</v>
      </c>
      <c r="AD213" s="1293">
        <v>763</v>
      </c>
    </row>
    <row r="214" spans="2:30" ht="63">
      <c r="B214" s="14"/>
      <c r="C214" s="14" t="s">
        <v>2460</v>
      </c>
      <c r="D214" s="272">
        <v>87</v>
      </c>
      <c r="E214" s="14">
        <v>4478.3599999999997</v>
      </c>
      <c r="Z214" s="1296" t="s">
        <v>665</v>
      </c>
      <c r="AA214" s="1297">
        <v>7385</v>
      </c>
      <c r="AB214" s="1297">
        <f>6414+105</f>
        <v>6519</v>
      </c>
      <c r="AC214" s="1298">
        <v>87</v>
      </c>
      <c r="AD214" s="1297">
        <v>7064</v>
      </c>
    </row>
    <row r="215" spans="2:30" ht="94.5">
      <c r="B215" s="14"/>
      <c r="C215" s="14" t="s">
        <v>2461</v>
      </c>
      <c r="D215" s="272">
        <v>51</v>
      </c>
      <c r="E215" s="14">
        <v>2691.15</v>
      </c>
      <c r="J215" s="14">
        <v>1</v>
      </c>
      <c r="O215" s="14">
        <v>2</v>
      </c>
      <c r="P215" s="14" t="s">
        <v>2462</v>
      </c>
      <c r="T215" s="14">
        <v>724720</v>
      </c>
      <c r="U215" s="14" t="s">
        <v>2463</v>
      </c>
      <c r="Z215" s="1299" t="s">
        <v>668</v>
      </c>
      <c r="AA215" s="1300">
        <v>8560</v>
      </c>
      <c r="AB215" s="1300">
        <f>7489+170</f>
        <v>7659</v>
      </c>
      <c r="AC215" s="1301">
        <v>87</v>
      </c>
      <c r="AD215" s="1300">
        <v>8662</v>
      </c>
    </row>
    <row r="216" spans="2:30" ht="94.5">
      <c r="B216" s="14"/>
      <c r="C216" s="14" t="s">
        <v>2464</v>
      </c>
      <c r="D216" s="272">
        <v>84</v>
      </c>
      <c r="E216" s="14">
        <v>3444.3</v>
      </c>
      <c r="Z216" s="1302" t="s">
        <v>670</v>
      </c>
      <c r="AA216" s="1303">
        <v>7350</v>
      </c>
      <c r="AB216" s="1303">
        <v>7366</v>
      </c>
      <c r="AC216" s="1304">
        <v>93</v>
      </c>
      <c r="AD216" s="1300">
        <v>7173</v>
      </c>
    </row>
    <row r="217" spans="2:30" ht="63">
      <c r="C217" s="14" t="s">
        <v>2465</v>
      </c>
      <c r="D217" s="990">
        <v>101</v>
      </c>
      <c r="E217" s="273">
        <v>4914.8500000000004</v>
      </c>
      <c r="Z217" s="1299" t="s">
        <v>674</v>
      </c>
      <c r="AA217" s="1300">
        <v>7600</v>
      </c>
      <c r="AB217" s="1300">
        <v>7498</v>
      </c>
      <c r="AC217" s="1301">
        <v>99</v>
      </c>
      <c r="AD217" s="1300">
        <v>7112</v>
      </c>
    </row>
    <row r="218" spans="2:30" ht="126">
      <c r="C218" s="14" t="s">
        <v>2466</v>
      </c>
      <c r="D218" s="272">
        <v>55</v>
      </c>
      <c r="E218" s="14">
        <v>2833.82</v>
      </c>
      <c r="Z218" s="1299" t="s">
        <v>677</v>
      </c>
      <c r="AA218" s="1300">
        <v>2000</v>
      </c>
      <c r="AB218" s="1301">
        <v>682</v>
      </c>
      <c r="AC218" s="1301">
        <v>34</v>
      </c>
      <c r="AD218" s="1300">
        <v>1470</v>
      </c>
    </row>
    <row r="219" spans="2:30">
      <c r="C219" s="14" t="s">
        <v>2467</v>
      </c>
      <c r="D219" s="272">
        <v>17</v>
      </c>
      <c r="E219" s="14">
        <v>881.2</v>
      </c>
    </row>
    <row r="220" spans="2:30">
      <c r="C220" s="14" t="s">
        <v>2468</v>
      </c>
      <c r="D220" s="272">
        <v>13</v>
      </c>
      <c r="E220" s="14">
        <v>657</v>
      </c>
    </row>
    <row r="221" spans="2:30">
      <c r="C221" s="14" t="s">
        <v>2469</v>
      </c>
      <c r="D221" s="272">
        <v>28</v>
      </c>
      <c r="E221" s="14">
        <v>1317.4</v>
      </c>
    </row>
    <row r="222" spans="2:30">
      <c r="B222" s="14"/>
      <c r="C222" s="14"/>
      <c r="D222" s="14">
        <f>SUM(D212:D221)</f>
        <v>556</v>
      </c>
      <c r="E222" s="14">
        <f>SUM(E212:E221)</f>
        <v>27382.080000000005</v>
      </c>
    </row>
    <row r="223" spans="2:30">
      <c r="B223" s="14"/>
      <c r="C223" s="14"/>
    </row>
    <row r="224" spans="2:30">
      <c r="B224" s="14"/>
      <c r="C224" s="14"/>
    </row>
    <row r="225" spans="2:18">
      <c r="B225" s="14"/>
      <c r="C225" s="14"/>
    </row>
    <row r="226" spans="2:18">
      <c r="B226" s="14"/>
      <c r="C226" s="14"/>
    </row>
    <row r="227" spans="2:18">
      <c r="B227" s="14"/>
      <c r="C227" s="266"/>
      <c r="D227" s="265"/>
      <c r="E227" s="265"/>
    </row>
    <row r="228" spans="2:18">
      <c r="B228" s="14"/>
      <c r="C228" s="272"/>
      <c r="D228" s="14" t="s">
        <v>2470</v>
      </c>
    </row>
    <row r="229" spans="2:18">
      <c r="B229" s="14"/>
      <c r="C229" s="272"/>
      <c r="E229" s="2457" t="s">
        <v>2471</v>
      </c>
    </row>
    <row r="230" spans="2:18">
      <c r="B230" s="14"/>
      <c r="C230" s="272"/>
      <c r="E230" s="14" t="s">
        <v>2456</v>
      </c>
    </row>
    <row r="231" spans="2:18">
      <c r="B231" s="14"/>
      <c r="C231" s="272"/>
      <c r="D231" s="1285" t="s">
        <v>99</v>
      </c>
      <c r="E231" s="1286">
        <v>155.553</v>
      </c>
    </row>
    <row r="232" spans="2:18">
      <c r="B232" s="14"/>
      <c r="C232" s="272"/>
      <c r="D232" s="2457" t="s">
        <v>2049</v>
      </c>
    </row>
    <row r="233" spans="2:18">
      <c r="B233" s="14"/>
      <c r="C233" s="272"/>
      <c r="D233" s="14" t="s">
        <v>2470</v>
      </c>
    </row>
    <row r="234" spans="2:18">
      <c r="B234" s="14"/>
      <c r="C234" s="272"/>
      <c r="E234" s="14">
        <v>0</v>
      </c>
    </row>
    <row r="235" spans="2:18">
      <c r="B235" s="14"/>
      <c r="C235" s="272"/>
    </row>
    <row r="236" spans="2:18">
      <c r="B236" s="14"/>
      <c r="C236" s="272"/>
      <c r="D236" s="2457" t="s">
        <v>2471</v>
      </c>
    </row>
    <row r="237" spans="2:18">
      <c r="B237" s="14"/>
      <c r="C237" s="272"/>
      <c r="D237" s="14" t="s">
        <v>2472</v>
      </c>
      <c r="E237" s="14">
        <v>0</v>
      </c>
    </row>
    <row r="238" spans="2:18">
      <c r="B238" s="14"/>
      <c r="C238" s="272"/>
      <c r="D238" s="2457" t="s">
        <v>2049</v>
      </c>
      <c r="E238" s="14">
        <v>0</v>
      </c>
      <c r="R238" s="14" t="s">
        <v>2473</v>
      </c>
    </row>
    <row r="239" spans="2:18">
      <c r="B239" s="14"/>
      <c r="C239" s="272"/>
    </row>
    <row r="240" spans="2:18">
      <c r="B240" s="14"/>
      <c r="C240" s="272"/>
    </row>
    <row r="241" spans="2:9">
      <c r="B241" s="266" t="s">
        <v>2474</v>
      </c>
      <c r="C241" s="266"/>
      <c r="D241" s="265" t="s">
        <v>2475</v>
      </c>
      <c r="E241" s="267"/>
    </row>
    <row r="242" spans="2:9">
      <c r="B242" s="1072" t="s">
        <v>2476</v>
      </c>
      <c r="C242" s="1102" t="s">
        <v>2453</v>
      </c>
      <c r="D242" s="14" t="s">
        <v>308</v>
      </c>
      <c r="E242" s="268" t="s">
        <v>2337</v>
      </c>
    </row>
    <row r="243" spans="2:9">
      <c r="B243" s="272" t="s">
        <v>2456</v>
      </c>
      <c r="C243" s="1102">
        <v>156</v>
      </c>
      <c r="D243" s="14" t="s">
        <v>2469</v>
      </c>
      <c r="E243" s="269">
        <v>23</v>
      </c>
    </row>
    <row r="244" spans="2:9">
      <c r="B244" s="272" t="s">
        <v>2459</v>
      </c>
      <c r="C244" s="270">
        <v>126</v>
      </c>
      <c r="D244" s="14" t="s">
        <v>2477</v>
      </c>
      <c r="E244" s="271">
        <v>117</v>
      </c>
    </row>
    <row r="245" spans="2:9">
      <c r="B245" s="272" t="s">
        <v>2460</v>
      </c>
      <c r="C245" s="270">
        <v>147</v>
      </c>
      <c r="D245" s="14" t="s">
        <v>2478</v>
      </c>
      <c r="E245" s="271">
        <v>37</v>
      </c>
    </row>
    <row r="246" spans="2:9">
      <c r="B246" s="272" t="s">
        <v>2461</v>
      </c>
      <c r="C246" s="270">
        <v>98</v>
      </c>
      <c r="D246" s="265" t="s">
        <v>2479</v>
      </c>
      <c r="E246" s="271">
        <v>0</v>
      </c>
    </row>
    <row r="247" spans="2:9">
      <c r="B247" s="272" t="s">
        <v>2480</v>
      </c>
      <c r="C247" s="270">
        <v>57</v>
      </c>
      <c r="D247" s="14" t="s">
        <v>2481</v>
      </c>
      <c r="E247" s="1060">
        <v>145.43</v>
      </c>
    </row>
    <row r="248" spans="2:9">
      <c r="B248" s="272" t="s">
        <v>2465</v>
      </c>
      <c r="C248" s="270">
        <v>76</v>
      </c>
      <c r="D248" s="14" t="s">
        <v>2482</v>
      </c>
      <c r="E248" s="1060">
        <v>30.85</v>
      </c>
    </row>
    <row r="249" spans="2:9">
      <c r="B249" s="272" t="s">
        <v>2466</v>
      </c>
      <c r="C249" s="270">
        <v>36</v>
      </c>
      <c r="D249" s="14" t="s">
        <v>2483</v>
      </c>
      <c r="E249" s="1060">
        <v>3.9449999999999998</v>
      </c>
    </row>
    <row r="250" spans="2:9">
      <c r="B250" s="272" t="s">
        <v>2467</v>
      </c>
      <c r="C250" s="270">
        <v>68</v>
      </c>
      <c r="D250" s="14" t="s">
        <v>2484</v>
      </c>
      <c r="E250" s="1060">
        <v>38.58</v>
      </c>
    </row>
    <row r="251" spans="2:9">
      <c r="B251" s="272" t="s">
        <v>2468</v>
      </c>
      <c r="C251" s="270">
        <v>79</v>
      </c>
      <c r="D251" s="14" t="s">
        <v>2485</v>
      </c>
      <c r="E251" s="1060">
        <v>118.271</v>
      </c>
    </row>
    <row r="252" spans="2:9">
      <c r="B252" s="272" t="s">
        <v>2469</v>
      </c>
      <c r="C252" s="270">
        <v>23</v>
      </c>
      <c r="D252" s="14" t="s">
        <v>2486</v>
      </c>
      <c r="E252" s="1060">
        <v>19.276</v>
      </c>
    </row>
    <row r="253" spans="2:9">
      <c r="B253" s="272" t="s">
        <v>2477</v>
      </c>
      <c r="C253" s="270">
        <v>117</v>
      </c>
      <c r="D253" s="14" t="s">
        <v>2487</v>
      </c>
      <c r="E253" s="1060">
        <v>86.435000000000002</v>
      </c>
    </row>
    <row r="254" spans="2:9">
      <c r="B254" s="888" t="s">
        <v>2478</v>
      </c>
      <c r="C254" s="277">
        <v>37</v>
      </c>
      <c r="D254" s="14" t="s">
        <v>2488</v>
      </c>
      <c r="E254" s="1071">
        <v>45.79</v>
      </c>
      <c r="I254" s="14">
        <f>362500-50000-56000-50000-30000-20000-75000</f>
        <v>81500</v>
      </c>
    </row>
    <row r="255" spans="2:9">
      <c r="B255" s="279"/>
      <c r="C255" s="278">
        <f>SUM(C243:C254)</f>
        <v>1020</v>
      </c>
      <c r="D255" s="273"/>
      <c r="E255" s="1071">
        <f>SUM(E243:E254)</f>
        <v>665.577</v>
      </c>
    </row>
    <row r="259" spans="2:28">
      <c r="C259" s="2409" t="s">
        <v>2489</v>
      </c>
    </row>
    <row r="260" spans="2:28">
      <c r="B260" s="257" t="s">
        <v>541</v>
      </c>
      <c r="C260" s="257">
        <v>367</v>
      </c>
      <c r="R260" s="1188"/>
    </row>
    <row r="261" spans="2:28">
      <c r="B261" s="257" t="s">
        <v>541</v>
      </c>
      <c r="C261" s="257">
        <v>108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2633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2:28">
      <c r="F262" s="11"/>
      <c r="G262" s="11"/>
      <c r="H262" s="11"/>
      <c r="I262" s="2967" t="s">
        <v>687</v>
      </c>
      <c r="J262" s="2967"/>
      <c r="K262" s="4"/>
      <c r="L262" s="2967" t="s">
        <v>664</v>
      </c>
      <c r="M262" s="2967"/>
      <c r="N262" s="2967" t="s">
        <v>2334</v>
      </c>
      <c r="O262" s="2967"/>
      <c r="P262" s="2967" t="s">
        <v>3961</v>
      </c>
      <c r="Q262" s="2967"/>
      <c r="R262" s="2967" t="s">
        <v>711</v>
      </c>
      <c r="S262" s="2967"/>
      <c r="T262" s="11" t="s">
        <v>430</v>
      </c>
      <c r="U262" s="11"/>
      <c r="V262" s="11" t="s">
        <v>3962</v>
      </c>
      <c r="W262" s="11"/>
      <c r="X262" s="2967" t="s">
        <v>185</v>
      </c>
      <c r="Y262" s="2967"/>
      <c r="Z262" s="2967" t="s">
        <v>3963</v>
      </c>
      <c r="AA262" s="2967"/>
      <c r="AB262" s="11" t="s">
        <v>23</v>
      </c>
    </row>
    <row r="263" spans="2:28">
      <c r="F263" s="11" t="s">
        <v>3967</v>
      </c>
      <c r="G263" s="11"/>
      <c r="H263" s="11"/>
      <c r="I263" s="4" t="s">
        <v>542</v>
      </c>
      <c r="J263" s="4" t="s">
        <v>544</v>
      </c>
      <c r="K263" s="4"/>
      <c r="L263" s="4" t="s">
        <v>542</v>
      </c>
      <c r="M263" s="4" t="s">
        <v>544</v>
      </c>
      <c r="N263" s="4" t="s">
        <v>542</v>
      </c>
      <c r="O263" s="4" t="s">
        <v>544</v>
      </c>
      <c r="P263" s="4" t="s">
        <v>542</v>
      </c>
      <c r="Q263" s="4" t="s">
        <v>544</v>
      </c>
      <c r="R263" s="4" t="s">
        <v>542</v>
      </c>
      <c r="S263" s="4" t="s">
        <v>544</v>
      </c>
      <c r="T263" s="4" t="s">
        <v>542</v>
      </c>
      <c r="U263" s="4" t="s">
        <v>544</v>
      </c>
      <c r="V263" s="4" t="s">
        <v>542</v>
      </c>
      <c r="W263" s="4" t="s">
        <v>544</v>
      </c>
      <c r="X263" s="4" t="s">
        <v>542</v>
      </c>
      <c r="Y263" s="4" t="s">
        <v>544</v>
      </c>
      <c r="Z263" s="11" t="s">
        <v>542</v>
      </c>
      <c r="AA263" s="11" t="s">
        <v>544</v>
      </c>
      <c r="AB263" s="11" t="s">
        <v>3964</v>
      </c>
    </row>
    <row r="264" spans="2:28">
      <c r="F264" s="11"/>
      <c r="G264" s="11"/>
      <c r="H264" s="11" t="s">
        <v>242</v>
      </c>
      <c r="I264" s="11">
        <v>125.72</v>
      </c>
      <c r="J264" s="11">
        <v>413.8</v>
      </c>
      <c r="K264" s="11">
        <f t="shared" ref="K264:K275" si="10">+I264+J264</f>
        <v>539.52</v>
      </c>
      <c r="L264" s="11">
        <v>8.1999999999999993</v>
      </c>
      <c r="M264" s="11">
        <v>0.65</v>
      </c>
      <c r="N264" s="11">
        <v>115.72</v>
      </c>
      <c r="O264" s="11">
        <v>26.7</v>
      </c>
      <c r="P264" s="11">
        <v>49.59</v>
      </c>
      <c r="Q264" s="11">
        <v>122.33</v>
      </c>
      <c r="R264" s="11">
        <v>634.35</v>
      </c>
      <c r="S264" s="11">
        <v>250.9</v>
      </c>
      <c r="T264" s="11"/>
      <c r="U264" s="11">
        <v>31.01</v>
      </c>
      <c r="V264" s="11"/>
      <c r="W264" s="11">
        <v>347.03</v>
      </c>
      <c r="X264" s="11">
        <v>58.95</v>
      </c>
      <c r="Y264" s="11">
        <v>23.66</v>
      </c>
      <c r="Z264" s="11">
        <f t="shared" ref="Z264:AA268" si="11">+X264+V264+T264+R264+P264+N264+L264+I264</f>
        <v>992.5300000000002</v>
      </c>
      <c r="AA264" s="11">
        <f t="shared" si="11"/>
        <v>1216.0800000000002</v>
      </c>
      <c r="AB264" s="11">
        <f>+Z264+AA264</f>
        <v>2208.6100000000006</v>
      </c>
    </row>
    <row r="265" spans="2:28">
      <c r="F265" s="11"/>
      <c r="G265" s="11"/>
      <c r="H265" s="11" t="s">
        <v>243</v>
      </c>
      <c r="I265" s="11">
        <v>243.06</v>
      </c>
      <c r="J265" s="11">
        <v>460.7</v>
      </c>
      <c r="K265" s="11">
        <f t="shared" si="10"/>
        <v>703.76</v>
      </c>
      <c r="L265" s="11">
        <v>8.61</v>
      </c>
      <c r="M265" s="11">
        <v>1.18</v>
      </c>
      <c r="N265" s="11">
        <v>147.61000000000001</v>
      </c>
      <c r="O265" s="11">
        <v>27</v>
      </c>
      <c r="P265" s="11">
        <v>105.16</v>
      </c>
      <c r="Q265" s="11">
        <v>100.77</v>
      </c>
      <c r="R265" s="11">
        <v>249.35</v>
      </c>
      <c r="S265" s="11">
        <v>455.86</v>
      </c>
      <c r="T265" s="11"/>
      <c r="U265" s="11">
        <v>22.37</v>
      </c>
      <c r="V265" s="11"/>
      <c r="W265" s="11">
        <v>397.92</v>
      </c>
      <c r="X265" s="11">
        <v>44.11</v>
      </c>
      <c r="Y265" s="11">
        <v>33.549999999999997</v>
      </c>
      <c r="Z265" s="11">
        <f t="shared" si="11"/>
        <v>797.90000000000009</v>
      </c>
      <c r="AA265" s="11">
        <f t="shared" si="11"/>
        <v>1499.3500000000001</v>
      </c>
      <c r="AB265" s="11">
        <f t="shared" ref="AB265:AB275" si="12">+Z265+AA265</f>
        <v>2297.25</v>
      </c>
    </row>
    <row r="266" spans="2:28">
      <c r="F266" s="11"/>
      <c r="G266" s="11"/>
      <c r="H266" s="250" t="s">
        <v>244</v>
      </c>
      <c r="I266" s="11">
        <v>241.35</v>
      </c>
      <c r="J266" s="11">
        <v>478.64</v>
      </c>
      <c r="K266" s="11">
        <f t="shared" si="10"/>
        <v>719.99</v>
      </c>
      <c r="L266" s="11">
        <v>6.53</v>
      </c>
      <c r="M266" s="11">
        <v>1.1499999999999999</v>
      </c>
      <c r="N266" s="11">
        <v>151.19999999999999</v>
      </c>
      <c r="O266" s="11">
        <v>20.37</v>
      </c>
      <c r="P266" s="11">
        <v>103.12</v>
      </c>
      <c r="Q266" s="11">
        <v>89.77</v>
      </c>
      <c r="R266" s="11">
        <v>569.52</v>
      </c>
      <c r="S266" s="11">
        <v>430.65</v>
      </c>
      <c r="T266" s="11"/>
      <c r="U266" s="11">
        <v>20.64</v>
      </c>
      <c r="V266" s="11"/>
      <c r="W266" s="11">
        <v>354.67</v>
      </c>
      <c r="X266" s="11">
        <v>53.51</v>
      </c>
      <c r="Y266" s="11">
        <v>34.880000000000003</v>
      </c>
      <c r="Z266" s="11">
        <f t="shared" si="11"/>
        <v>1125.2299999999998</v>
      </c>
      <c r="AA266" s="11">
        <f t="shared" si="11"/>
        <v>1430.77</v>
      </c>
      <c r="AB266" s="11">
        <f t="shared" si="12"/>
        <v>2556</v>
      </c>
    </row>
    <row r="267" spans="2:28">
      <c r="F267" s="11"/>
      <c r="G267" s="11"/>
      <c r="H267" s="250" t="s">
        <v>245</v>
      </c>
      <c r="I267" s="11">
        <v>262.37</v>
      </c>
      <c r="J267" s="11">
        <v>440.44</v>
      </c>
      <c r="K267" s="11">
        <f t="shared" si="10"/>
        <v>702.81</v>
      </c>
      <c r="L267" s="11">
        <v>8.43</v>
      </c>
      <c r="M267" s="11">
        <v>0</v>
      </c>
      <c r="N267" s="11">
        <v>125.56</v>
      </c>
      <c r="O267" s="11">
        <v>0.75</v>
      </c>
      <c r="P267" s="11">
        <v>159.63999999999999</v>
      </c>
      <c r="Q267" s="11">
        <v>50.58</v>
      </c>
      <c r="R267" s="11">
        <v>907.62</v>
      </c>
      <c r="S267" s="11">
        <v>85.5</v>
      </c>
      <c r="T267" s="11"/>
      <c r="U267" s="11">
        <v>7.8</v>
      </c>
      <c r="V267" s="11"/>
      <c r="W267" s="11">
        <v>397.38</v>
      </c>
      <c r="X267" s="11">
        <v>48.49</v>
      </c>
      <c r="Y267" s="11">
        <v>15.65</v>
      </c>
      <c r="Z267" s="11">
        <f t="shared" si="11"/>
        <v>1512.1100000000001</v>
      </c>
      <c r="AA267" s="11">
        <f t="shared" si="11"/>
        <v>998.09999999999991</v>
      </c>
      <c r="AB267" s="11">
        <f t="shared" si="12"/>
        <v>2510.21</v>
      </c>
    </row>
    <row r="268" spans="2:28">
      <c r="F268" s="11"/>
      <c r="G268" s="11"/>
      <c r="H268" s="250" t="s">
        <v>246</v>
      </c>
      <c r="I268" s="11">
        <v>199.24</v>
      </c>
      <c r="J268" s="11">
        <v>426.54</v>
      </c>
      <c r="K268" s="11">
        <f t="shared" si="10"/>
        <v>625.78</v>
      </c>
      <c r="L268" s="11">
        <v>9.5</v>
      </c>
      <c r="M268" s="11">
        <v>0</v>
      </c>
      <c r="N268" s="11">
        <v>179.62</v>
      </c>
      <c r="O268" s="11">
        <v>9.91</v>
      </c>
      <c r="P268" s="11">
        <v>73.209999999999994</v>
      </c>
      <c r="Q268" s="11">
        <v>66.67</v>
      </c>
      <c r="R268" s="11">
        <v>958.8</v>
      </c>
      <c r="S268" s="11">
        <v>174.63</v>
      </c>
      <c r="T268" s="11"/>
      <c r="U268" s="11">
        <v>15</v>
      </c>
      <c r="V268" s="11"/>
      <c r="W268" s="11">
        <v>429.51</v>
      </c>
      <c r="X268" s="11">
        <v>47.39</v>
      </c>
      <c r="Y268" s="11">
        <v>20.56</v>
      </c>
      <c r="Z268" s="11">
        <f t="shared" si="11"/>
        <v>1467.76</v>
      </c>
      <c r="AA268" s="11">
        <f t="shared" si="11"/>
        <v>1142.82</v>
      </c>
      <c r="AB268" s="11">
        <f t="shared" si="12"/>
        <v>2610.58</v>
      </c>
    </row>
    <row r="269" spans="2:28">
      <c r="F269" s="11"/>
      <c r="G269" s="11"/>
      <c r="H269" s="250" t="s">
        <v>247</v>
      </c>
      <c r="I269" s="11">
        <v>161.22</v>
      </c>
      <c r="J269" s="11">
        <v>473.83</v>
      </c>
      <c r="K269" s="11">
        <f t="shared" si="10"/>
        <v>635.04999999999995</v>
      </c>
      <c r="L269" s="11">
        <v>7.65</v>
      </c>
      <c r="M269" s="11">
        <v>0.86</v>
      </c>
      <c r="N269" s="11">
        <v>101.83</v>
      </c>
      <c r="O269" s="11">
        <v>40.67</v>
      </c>
      <c r="P269" s="11">
        <v>52.59</v>
      </c>
      <c r="Q269" s="11">
        <v>108.53</v>
      </c>
      <c r="R269" s="11">
        <v>694.08</v>
      </c>
      <c r="S269" s="11">
        <v>282.64999999999998</v>
      </c>
      <c r="T269" s="11"/>
      <c r="U269" s="11">
        <v>0</v>
      </c>
      <c r="V269" s="11"/>
      <c r="W269" s="11">
        <v>416.65</v>
      </c>
      <c r="X269" s="11">
        <v>41.05</v>
      </c>
      <c r="Y269" s="11">
        <v>36.020000000000003</v>
      </c>
      <c r="Z269" s="11">
        <f t="shared" ref="Z269:Z275" si="13">+X269+V269+T269+R269+P269+N269+L269+I269</f>
        <v>1058.42</v>
      </c>
      <c r="AA269" s="11">
        <f t="shared" ref="AA269:AA275" si="14">+Y269+W269+U269+S269+Q269+O269+M269+J269</f>
        <v>1359.2099999999998</v>
      </c>
      <c r="AB269" s="11">
        <f t="shared" si="12"/>
        <v>2417.63</v>
      </c>
    </row>
    <row r="270" spans="2:28">
      <c r="F270" s="11"/>
      <c r="G270" s="11"/>
      <c r="H270" s="250" t="s">
        <v>248</v>
      </c>
      <c r="I270" s="11">
        <v>208.34</v>
      </c>
      <c r="J270" s="11">
        <v>515.69000000000005</v>
      </c>
      <c r="K270" s="11">
        <f t="shared" si="10"/>
        <v>724.03000000000009</v>
      </c>
      <c r="L270" s="11">
        <v>5.14</v>
      </c>
      <c r="M270" s="11">
        <v>1.78</v>
      </c>
      <c r="N270" s="11">
        <v>150.03</v>
      </c>
      <c r="O270" s="11">
        <v>9.44</v>
      </c>
      <c r="P270" s="11">
        <v>67.67</v>
      </c>
      <c r="Q270" s="11">
        <v>76.44</v>
      </c>
      <c r="R270" s="11">
        <v>1032.3</v>
      </c>
      <c r="S270" s="11">
        <v>234.87</v>
      </c>
      <c r="T270" s="11"/>
      <c r="U270" s="11">
        <v>15.97</v>
      </c>
      <c r="V270" s="11"/>
      <c r="W270" s="11">
        <v>430.58</v>
      </c>
      <c r="X270" s="11">
        <v>54.7</v>
      </c>
      <c r="Y270" s="11">
        <v>23.2</v>
      </c>
      <c r="Z270" s="11">
        <f t="shared" si="13"/>
        <v>1518.18</v>
      </c>
      <c r="AA270" s="11">
        <f t="shared" si="14"/>
        <v>1307.97</v>
      </c>
      <c r="AB270" s="11">
        <f t="shared" si="12"/>
        <v>2826.15</v>
      </c>
    </row>
    <row r="271" spans="2:28">
      <c r="F271" s="11"/>
      <c r="G271" s="11"/>
      <c r="H271" s="11" t="s">
        <v>249</v>
      </c>
      <c r="I271" s="11">
        <v>165.73</v>
      </c>
      <c r="J271" s="11">
        <v>512.16</v>
      </c>
      <c r="K271" s="11">
        <f t="shared" si="10"/>
        <v>677.89</v>
      </c>
      <c r="L271" s="11">
        <v>8.52</v>
      </c>
      <c r="M271" s="11">
        <v>3.92</v>
      </c>
      <c r="N271" s="11">
        <v>83.4</v>
      </c>
      <c r="O271" s="11">
        <v>124.98</v>
      </c>
      <c r="P271" s="11">
        <v>108.56</v>
      </c>
      <c r="Q271" s="11">
        <v>88.17</v>
      </c>
      <c r="R271" s="11">
        <v>821.57</v>
      </c>
      <c r="S271" s="11">
        <v>302.11</v>
      </c>
      <c r="T271" s="11"/>
      <c r="U271" s="11">
        <v>40.869999999999997</v>
      </c>
      <c r="V271" s="11"/>
      <c r="W271" s="11">
        <v>411.67</v>
      </c>
      <c r="X271" s="11">
        <v>45.28</v>
      </c>
      <c r="Y271" s="11">
        <v>39.15</v>
      </c>
      <c r="Z271" s="11">
        <f t="shared" si="13"/>
        <v>1233.0600000000002</v>
      </c>
      <c r="AA271" s="11">
        <f t="shared" si="14"/>
        <v>1523.0299999999997</v>
      </c>
      <c r="AB271" s="11">
        <f t="shared" si="12"/>
        <v>2756.09</v>
      </c>
    </row>
    <row r="272" spans="2:28">
      <c r="F272" s="11"/>
      <c r="G272" s="11"/>
      <c r="H272" s="11" t="s">
        <v>250</v>
      </c>
      <c r="I272" s="11">
        <v>228.59</v>
      </c>
      <c r="J272" s="11">
        <v>487.57</v>
      </c>
      <c r="K272" s="11">
        <f t="shared" si="10"/>
        <v>716.16</v>
      </c>
      <c r="L272" s="11">
        <v>0</v>
      </c>
      <c r="M272" s="11">
        <v>7.97</v>
      </c>
      <c r="N272" s="11">
        <v>24.79</v>
      </c>
      <c r="O272" s="11">
        <v>366.64</v>
      </c>
      <c r="P272" s="11">
        <v>114.69</v>
      </c>
      <c r="Q272" s="11">
        <v>98.34</v>
      </c>
      <c r="R272" s="11">
        <v>1067.02</v>
      </c>
      <c r="S272" s="11">
        <v>231.79</v>
      </c>
      <c r="T272" s="11"/>
      <c r="U272" s="11">
        <v>34.06</v>
      </c>
      <c r="V272" s="11"/>
      <c r="W272" s="11">
        <v>433.02</v>
      </c>
      <c r="X272" s="11">
        <v>50.03</v>
      </c>
      <c r="Y272" s="11">
        <v>33.1</v>
      </c>
      <c r="Z272" s="11">
        <f t="shared" si="13"/>
        <v>1485.12</v>
      </c>
      <c r="AA272" s="11">
        <f t="shared" si="14"/>
        <v>1692.49</v>
      </c>
      <c r="AB272" s="11">
        <f t="shared" si="12"/>
        <v>3177.6099999999997</v>
      </c>
    </row>
    <row r="273" spans="6:28">
      <c r="F273" s="11"/>
      <c r="G273" s="11"/>
      <c r="H273" s="11" t="s">
        <v>861</v>
      </c>
      <c r="I273" s="11">
        <v>292.69</v>
      </c>
      <c r="J273" s="11">
        <v>518.03</v>
      </c>
      <c r="K273" s="11">
        <f t="shared" si="10"/>
        <v>810.72</v>
      </c>
      <c r="L273" s="11">
        <v>0.75</v>
      </c>
      <c r="M273" s="11">
        <v>3.16</v>
      </c>
      <c r="N273" s="11">
        <v>63.36</v>
      </c>
      <c r="O273" s="11">
        <v>245.19</v>
      </c>
      <c r="P273" s="11">
        <v>138.03</v>
      </c>
      <c r="Q273" s="11">
        <v>66.400000000000006</v>
      </c>
      <c r="R273" s="11">
        <v>964.08</v>
      </c>
      <c r="S273" s="11">
        <v>287.13</v>
      </c>
      <c r="T273" s="11"/>
      <c r="U273" s="11">
        <v>49.94</v>
      </c>
      <c r="V273" s="11"/>
      <c r="W273" s="11">
        <v>478.83</v>
      </c>
      <c r="X273" s="11">
        <v>59.71</v>
      </c>
      <c r="Y273" s="11">
        <v>34.659999999999997</v>
      </c>
      <c r="Z273" s="11">
        <f t="shared" si="13"/>
        <v>1518.6200000000001</v>
      </c>
      <c r="AA273" s="11">
        <f t="shared" si="14"/>
        <v>1683.3400000000001</v>
      </c>
      <c r="AB273" s="11">
        <f t="shared" si="12"/>
        <v>3201.96</v>
      </c>
    </row>
    <row r="274" spans="6:28">
      <c r="F274" s="11"/>
      <c r="G274" s="11"/>
      <c r="H274" s="11" t="s">
        <v>862</v>
      </c>
      <c r="I274" s="11">
        <v>273.38</v>
      </c>
      <c r="J274" s="11">
        <v>488.82</v>
      </c>
      <c r="K274" s="11">
        <f t="shared" si="10"/>
        <v>762.2</v>
      </c>
      <c r="L274" s="11">
        <v>4.45</v>
      </c>
      <c r="M274" s="11">
        <v>2.35</v>
      </c>
      <c r="N274" s="11">
        <v>54.48</v>
      </c>
      <c r="O274" s="11">
        <v>183.11</v>
      </c>
      <c r="P274" s="11">
        <v>70.489999999999995</v>
      </c>
      <c r="Q274" s="11">
        <v>55.8</v>
      </c>
      <c r="R274" s="11">
        <v>901.86</v>
      </c>
      <c r="S274" s="11">
        <v>316.57</v>
      </c>
      <c r="T274" s="11"/>
      <c r="U274" s="11">
        <v>44.11</v>
      </c>
      <c r="V274" s="11"/>
      <c r="W274" s="11">
        <v>424.87</v>
      </c>
      <c r="X274" s="11">
        <v>47.66</v>
      </c>
      <c r="Y274" s="11">
        <v>32.53</v>
      </c>
      <c r="Z274" s="11">
        <f t="shared" si="13"/>
        <v>1352.3200000000002</v>
      </c>
      <c r="AA274" s="11">
        <f t="shared" si="14"/>
        <v>1548.1599999999996</v>
      </c>
      <c r="AB274" s="11">
        <f t="shared" si="12"/>
        <v>2900.4799999999996</v>
      </c>
    </row>
    <row r="275" spans="6:28">
      <c r="F275" s="11"/>
      <c r="G275" s="11"/>
      <c r="H275" s="11" t="s">
        <v>863</v>
      </c>
      <c r="I275" s="11">
        <v>277.64</v>
      </c>
      <c r="J275" s="11">
        <v>498.72</v>
      </c>
      <c r="K275" s="11">
        <f t="shared" si="10"/>
        <v>776.36</v>
      </c>
      <c r="L275" s="11">
        <v>1.05</v>
      </c>
      <c r="M275" s="11">
        <v>2.6</v>
      </c>
      <c r="N275" s="11">
        <v>56.5</v>
      </c>
      <c r="O275" s="11">
        <v>202.69</v>
      </c>
      <c r="P275" s="11">
        <v>81.63</v>
      </c>
      <c r="Q275" s="11">
        <v>39.92</v>
      </c>
      <c r="R275" s="11">
        <v>1119.1600000000001</v>
      </c>
      <c r="S275" s="11">
        <v>202.96</v>
      </c>
      <c r="T275" s="11">
        <v>0</v>
      </c>
      <c r="U275" s="11">
        <v>34.049999999999997</v>
      </c>
      <c r="V275" s="11"/>
      <c r="W275" s="11">
        <v>433.83</v>
      </c>
      <c r="X275" s="11">
        <v>54.31</v>
      </c>
      <c r="Y275" s="11">
        <v>26.02</v>
      </c>
      <c r="Z275" s="11">
        <f t="shared" si="13"/>
        <v>1590.29</v>
      </c>
      <c r="AA275" s="11">
        <f t="shared" si="14"/>
        <v>1440.79</v>
      </c>
      <c r="AB275" s="11">
        <f t="shared" si="12"/>
        <v>3031.08</v>
      </c>
    </row>
    <row r="276" spans="6:28">
      <c r="F276" s="11" t="s">
        <v>3968</v>
      </c>
      <c r="G276" s="11"/>
      <c r="H276" s="11" t="s">
        <v>3204</v>
      </c>
      <c r="I276" s="11">
        <f>SUM(I264:I275)</f>
        <v>2679.33</v>
      </c>
      <c r="J276" s="11">
        <f t="shared" ref="J276:AB276" si="15">SUM(J264:J275)</f>
        <v>5714.94</v>
      </c>
      <c r="K276" s="11">
        <f t="shared" si="15"/>
        <v>8394.27</v>
      </c>
      <c r="L276" s="11">
        <f t="shared" si="15"/>
        <v>68.83</v>
      </c>
      <c r="M276" s="11">
        <f t="shared" si="15"/>
        <v>25.62</v>
      </c>
      <c r="N276" s="11">
        <f t="shared" si="15"/>
        <v>1254.0999999999999</v>
      </c>
      <c r="O276" s="11">
        <f t="shared" si="15"/>
        <v>1257.4500000000003</v>
      </c>
      <c r="P276" s="11">
        <f t="shared" si="15"/>
        <v>1124.3800000000001</v>
      </c>
      <c r="Q276" s="11">
        <f t="shared" si="15"/>
        <v>963.7199999999998</v>
      </c>
      <c r="R276" s="11">
        <f t="shared" si="15"/>
        <v>9919.7100000000009</v>
      </c>
      <c r="S276" s="11">
        <f t="shared" si="15"/>
        <v>3255.6200000000003</v>
      </c>
      <c r="T276" s="11">
        <f t="shared" si="15"/>
        <v>0</v>
      </c>
      <c r="U276" s="11">
        <f t="shared" si="15"/>
        <v>315.82</v>
      </c>
      <c r="V276" s="11">
        <f t="shared" si="15"/>
        <v>0</v>
      </c>
      <c r="W276" s="11">
        <f t="shared" si="15"/>
        <v>4955.96</v>
      </c>
      <c r="X276" s="11">
        <f t="shared" si="15"/>
        <v>605.19000000000005</v>
      </c>
      <c r="Y276" s="11">
        <f t="shared" si="15"/>
        <v>352.98</v>
      </c>
      <c r="Z276" s="11">
        <f t="shared" si="15"/>
        <v>15651.54</v>
      </c>
      <c r="AA276" s="11">
        <f t="shared" si="15"/>
        <v>16842.11</v>
      </c>
      <c r="AB276" s="11">
        <f t="shared" si="15"/>
        <v>32493.65</v>
      </c>
    </row>
    <row r="277" spans="6:28">
      <c r="F277" s="2967" t="s">
        <v>3965</v>
      </c>
      <c r="G277" s="2967"/>
      <c r="H277" s="11"/>
      <c r="I277" s="11"/>
      <c r="J277" s="11"/>
      <c r="K277" s="11" t="s">
        <v>3966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6:28">
      <c r="F278" s="11">
        <v>4.03</v>
      </c>
      <c r="G278" s="11">
        <v>8.0419999999999998</v>
      </c>
      <c r="H278" s="11" t="s">
        <v>242</v>
      </c>
      <c r="I278" s="11">
        <f>+I264*4.03</f>
        <v>506.65160000000003</v>
      </c>
      <c r="J278" s="11">
        <f>+J264*8.042</f>
        <v>3327.7795999999998</v>
      </c>
      <c r="K278" s="11">
        <f>+I278+J278</f>
        <v>3834.4312</v>
      </c>
      <c r="L278" s="11">
        <f t="shared" ref="L278" si="16">+L264*4.03</f>
        <v>33.045999999999999</v>
      </c>
      <c r="M278" s="11">
        <f t="shared" ref="M278" si="17">+M264*8.042</f>
        <v>5.2273000000000005</v>
      </c>
      <c r="N278" s="11">
        <f t="shared" ref="N278" si="18">+N264*4.03</f>
        <v>466.35160000000002</v>
      </c>
      <c r="O278" s="11">
        <f t="shared" ref="O278" si="19">+O264*8.042</f>
        <v>214.72139999999999</v>
      </c>
      <c r="P278" s="11">
        <f t="shared" ref="P278" si="20">+P264*4.03</f>
        <v>199.84770000000003</v>
      </c>
      <c r="Q278" s="11">
        <f t="shared" ref="Q278" si="21">+Q264*8.042</f>
        <v>983.77785999999992</v>
      </c>
      <c r="R278" s="11">
        <f t="shared" ref="R278" si="22">+R264*4.03</f>
        <v>2556.4305000000004</v>
      </c>
      <c r="S278" s="11">
        <f t="shared" ref="S278" si="23">+S264*8.042</f>
        <v>2017.7378000000001</v>
      </c>
      <c r="T278" s="11">
        <f t="shared" ref="T278" si="24">+T264*4.03</f>
        <v>0</v>
      </c>
      <c r="U278" s="11">
        <f t="shared" ref="U278" si="25">+U264*8.042</f>
        <v>249.38242</v>
      </c>
      <c r="V278" s="11">
        <f t="shared" ref="V278" si="26">+V264*4.03</f>
        <v>0</v>
      </c>
      <c r="W278" s="11">
        <f t="shared" ref="W278" si="27">+W264*8.042</f>
        <v>2790.8152599999999</v>
      </c>
      <c r="X278" s="11">
        <f t="shared" ref="X278" si="28">+X264*4.03</f>
        <v>237.56850000000003</v>
      </c>
      <c r="Y278" s="11">
        <f t="shared" ref="Y278" si="29">+Y264*8.042</f>
        <v>190.27372</v>
      </c>
      <c r="Z278" s="11">
        <f t="shared" ref="Z278:Z289" si="30">+X278+V278+T278+R278+P278+N278+L278+I278</f>
        <v>3999.8959</v>
      </c>
      <c r="AA278" s="11">
        <f t="shared" ref="AA278:AA289" si="31">+Y278+W278+U278+S278+Q278+O278+M278+J278</f>
        <v>9779.7153600000001</v>
      </c>
      <c r="AB278" s="11">
        <f t="shared" ref="AB278:AB290" si="32">+Z278+AA278</f>
        <v>13779.61126</v>
      </c>
    </row>
    <row r="279" spans="6:28">
      <c r="F279" s="11">
        <v>4.0330000000000004</v>
      </c>
      <c r="G279" s="11">
        <v>8.0370000000000008</v>
      </c>
      <c r="H279" s="11" t="s">
        <v>243</v>
      </c>
      <c r="I279" s="11">
        <f>+I265*4.033</f>
        <v>980.26098000000013</v>
      </c>
      <c r="J279" s="11">
        <f>+J265*8.037</f>
        <v>3702.6459000000004</v>
      </c>
      <c r="K279" s="11">
        <f t="shared" ref="K279:K289" si="33">+I279+J279</f>
        <v>4682.9068800000005</v>
      </c>
      <c r="L279" s="11">
        <f t="shared" ref="L279" si="34">+L265*4.033</f>
        <v>34.724130000000002</v>
      </c>
      <c r="M279" s="11">
        <f t="shared" ref="M279" si="35">+M265*8.037</f>
        <v>9.4836600000000004</v>
      </c>
      <c r="N279" s="11">
        <f t="shared" ref="N279" si="36">+N265*4.033</f>
        <v>595.31113000000016</v>
      </c>
      <c r="O279" s="11">
        <f t="shared" ref="O279" si="37">+O265*8.037</f>
        <v>216.99900000000002</v>
      </c>
      <c r="P279" s="11">
        <f t="shared" ref="P279" si="38">+P265*4.033</f>
        <v>424.11028000000005</v>
      </c>
      <c r="Q279" s="11">
        <f t="shared" ref="Q279" si="39">+Q265*8.037</f>
        <v>809.88849000000005</v>
      </c>
      <c r="R279" s="11">
        <f t="shared" ref="R279" si="40">+R265*4.033</f>
        <v>1005.62855</v>
      </c>
      <c r="S279" s="11">
        <f t="shared" ref="S279" si="41">+S265*8.037</f>
        <v>3663.7468200000003</v>
      </c>
      <c r="T279" s="11">
        <f t="shared" ref="T279" si="42">+T265*4.033</f>
        <v>0</v>
      </c>
      <c r="U279" s="11">
        <f t="shared" ref="U279" si="43">+U265*8.037</f>
        <v>179.78769000000003</v>
      </c>
      <c r="V279" s="11">
        <f t="shared" ref="V279" si="44">+V265*4.033</f>
        <v>0</v>
      </c>
      <c r="W279" s="11">
        <f t="shared" ref="W279:Y279" si="45">+W265*8.037</f>
        <v>3198.0830400000004</v>
      </c>
      <c r="X279" s="11">
        <f>+X265*4.033</f>
        <v>177.89563000000001</v>
      </c>
      <c r="Y279" s="11">
        <f t="shared" si="45"/>
        <v>269.64134999999999</v>
      </c>
      <c r="Z279" s="11">
        <f t="shared" si="30"/>
        <v>3217.9307000000003</v>
      </c>
      <c r="AA279" s="11">
        <f t="shared" si="31"/>
        <v>12050.275950000003</v>
      </c>
      <c r="AB279" s="11">
        <f t="shared" si="32"/>
        <v>15268.206650000004</v>
      </c>
    </row>
    <row r="280" spans="6:28">
      <c r="F280" s="11">
        <v>4.032</v>
      </c>
      <c r="G280" s="11">
        <v>8.0359999999999996</v>
      </c>
      <c r="H280" s="250" t="s">
        <v>244</v>
      </c>
      <c r="I280" s="11">
        <f>+I266*4.032</f>
        <v>973.1232</v>
      </c>
      <c r="J280" s="11">
        <f>+J266*8.036</f>
        <v>3846.3510399999996</v>
      </c>
      <c r="K280" s="11">
        <f t="shared" si="33"/>
        <v>4819.4742399999996</v>
      </c>
      <c r="L280" s="11">
        <f t="shared" ref="L280" si="46">+L266*4.032</f>
        <v>26.328960000000002</v>
      </c>
      <c r="M280" s="11">
        <f t="shared" ref="M280" si="47">+M266*8.036</f>
        <v>9.2413999999999987</v>
      </c>
      <c r="N280" s="11">
        <f t="shared" ref="N280" si="48">+N266*4.032</f>
        <v>609.63839999999993</v>
      </c>
      <c r="O280" s="11">
        <f t="shared" ref="O280" si="49">+O266*8.036</f>
        <v>163.69332</v>
      </c>
      <c r="P280" s="11">
        <f t="shared" ref="P280" si="50">+P266*4.032</f>
        <v>415.77984000000004</v>
      </c>
      <c r="Q280" s="11">
        <f t="shared" ref="Q280" si="51">+Q266*8.036</f>
        <v>721.39171999999996</v>
      </c>
      <c r="R280" s="11">
        <f t="shared" ref="R280" si="52">+R266*4.032</f>
        <v>2296.3046399999998</v>
      </c>
      <c r="S280" s="11">
        <f t="shared" ref="S280" si="53">+S266*8.036</f>
        <v>3460.7033999999994</v>
      </c>
      <c r="T280" s="11"/>
      <c r="U280" s="11">
        <f>+U266*8.036</f>
        <v>165.86303999999998</v>
      </c>
      <c r="V280" s="11"/>
      <c r="W280" s="11">
        <f>+W266*8.036</f>
        <v>2850.1281199999999</v>
      </c>
      <c r="X280" s="11">
        <f>+X266*4.032</f>
        <v>215.75232</v>
      </c>
      <c r="Y280" s="11">
        <f>+Y266*8.036</f>
        <v>280.29568</v>
      </c>
      <c r="Z280" s="11">
        <f t="shared" si="30"/>
        <v>4536.9273599999997</v>
      </c>
      <c r="AA280" s="11">
        <f t="shared" si="31"/>
        <v>11497.667719999998</v>
      </c>
      <c r="AB280" s="11">
        <f t="shared" si="32"/>
        <v>16034.595079999997</v>
      </c>
    </row>
    <row r="281" spans="6:28">
      <c r="F281" s="11">
        <v>4.032</v>
      </c>
      <c r="G281" s="11">
        <v>8.0359999999999996</v>
      </c>
      <c r="H281" s="250" t="s">
        <v>245</v>
      </c>
      <c r="I281" s="11">
        <f>+I267*4.032</f>
        <v>1057.8758399999999</v>
      </c>
      <c r="J281" s="11">
        <f>+J267*8.036</f>
        <v>3539.3758399999997</v>
      </c>
      <c r="K281" s="11">
        <f t="shared" si="33"/>
        <v>4597.2516799999994</v>
      </c>
      <c r="L281" s="11">
        <f>+L267*4.032</f>
        <v>33.989759999999997</v>
      </c>
      <c r="M281" s="11">
        <f>+M267*8.036</f>
        <v>0</v>
      </c>
      <c r="N281" s="11">
        <f>+N267*4.032</f>
        <v>506.25792000000001</v>
      </c>
      <c r="O281" s="11">
        <f>+O267*8.036</f>
        <v>6.0269999999999992</v>
      </c>
      <c r="P281" s="11">
        <f>+P267*4.032</f>
        <v>643.66847999999993</v>
      </c>
      <c r="Q281" s="11">
        <f>+Q267*8.036</f>
        <v>406.46087999999997</v>
      </c>
      <c r="R281" s="11">
        <f>+R267*4.032</f>
        <v>3659.5238399999998</v>
      </c>
      <c r="S281" s="11">
        <f>+S267*8.036</f>
        <v>687.07799999999997</v>
      </c>
      <c r="T281" s="11"/>
      <c r="U281" s="11">
        <f>+U267*8.036</f>
        <v>62.680799999999998</v>
      </c>
      <c r="V281" s="11"/>
      <c r="W281" s="11">
        <f>+W267*8.036</f>
        <v>3193.3456799999999</v>
      </c>
      <c r="X281" s="11">
        <f>+X267*4.032</f>
        <v>195.51168000000001</v>
      </c>
      <c r="Y281" s="11">
        <f>+Y267*8.036</f>
        <v>125.76339999999999</v>
      </c>
      <c r="Z281" s="11">
        <f t="shared" si="30"/>
        <v>6096.8275199999998</v>
      </c>
      <c r="AA281" s="11">
        <f t="shared" si="31"/>
        <v>8020.7315999999992</v>
      </c>
      <c r="AB281" s="11">
        <f t="shared" si="32"/>
        <v>14117.559119999998</v>
      </c>
    </row>
    <row r="282" spans="6:28">
      <c r="F282" s="11">
        <v>4.04</v>
      </c>
      <c r="G282" s="11">
        <v>8.0370000000000008</v>
      </c>
      <c r="H282" s="250" t="s">
        <v>246</v>
      </c>
      <c r="I282" s="11">
        <f>+I268*4.04</f>
        <v>804.92960000000005</v>
      </c>
      <c r="J282" s="11">
        <f>+J268*8.037</f>
        <v>3428.1019800000004</v>
      </c>
      <c r="K282" s="11">
        <f t="shared" si="33"/>
        <v>4233.0315800000008</v>
      </c>
      <c r="L282" s="11">
        <f>+L268*4.04</f>
        <v>38.380000000000003</v>
      </c>
      <c r="M282" s="11">
        <f>+M268*8.037</f>
        <v>0</v>
      </c>
      <c r="N282" s="11">
        <f>+N268*4.04</f>
        <v>725.66480000000001</v>
      </c>
      <c r="O282" s="11">
        <f>+O268*8.037</f>
        <v>79.646670000000015</v>
      </c>
      <c r="P282" s="11">
        <f>+P268*4.04</f>
        <v>295.76839999999999</v>
      </c>
      <c r="Q282" s="11">
        <f>+Q268*8.037</f>
        <v>535.82679000000007</v>
      </c>
      <c r="R282" s="11">
        <f>+R268*4.04</f>
        <v>3873.5519999999997</v>
      </c>
      <c r="S282" s="11">
        <f>+S268*8.037</f>
        <v>1403.5013100000001</v>
      </c>
      <c r="T282" s="11"/>
      <c r="U282" s="11">
        <f>+U268*8.037</f>
        <v>120.55500000000001</v>
      </c>
      <c r="V282" s="11"/>
      <c r="W282" s="11">
        <f>+W268*8.037</f>
        <v>3451.9718700000003</v>
      </c>
      <c r="X282" s="11">
        <f>+X268*4.04</f>
        <v>191.4556</v>
      </c>
      <c r="Y282" s="11">
        <f>+Y268*8.037</f>
        <v>165.24072000000001</v>
      </c>
      <c r="Z282" s="11">
        <f t="shared" si="30"/>
        <v>5929.7504000000008</v>
      </c>
      <c r="AA282" s="11">
        <f t="shared" si="31"/>
        <v>9184.8443399999996</v>
      </c>
      <c r="AB282" s="11">
        <f t="shared" si="32"/>
        <v>15114.59474</v>
      </c>
    </row>
    <row r="283" spans="6:28">
      <c r="F283" s="11">
        <v>4.0369999999999999</v>
      </c>
      <c r="G283" s="11">
        <v>8.0370000000000008</v>
      </c>
      <c r="H283" s="250" t="s">
        <v>247</v>
      </c>
      <c r="I283" s="11">
        <f>+I269*4.037</f>
        <v>650.84514000000001</v>
      </c>
      <c r="J283" s="11">
        <f>+J269*8.037</f>
        <v>3808.1717100000001</v>
      </c>
      <c r="K283" s="11">
        <f t="shared" si="33"/>
        <v>4459.01685</v>
      </c>
      <c r="L283" s="11">
        <f>+L269*4.037</f>
        <v>30.883050000000001</v>
      </c>
      <c r="M283" s="11">
        <f>+M269*8.037</f>
        <v>6.9118200000000005</v>
      </c>
      <c r="N283" s="11">
        <f>+N269*4.037</f>
        <v>411.08770999999996</v>
      </c>
      <c r="O283" s="11">
        <f>+O269*8.037</f>
        <v>326.86479000000003</v>
      </c>
      <c r="P283" s="11">
        <f>+P269*4.037</f>
        <v>212.30583000000001</v>
      </c>
      <c r="Q283" s="11">
        <f>+Q269*8.037</f>
        <v>872.25561000000005</v>
      </c>
      <c r="R283" s="11">
        <f>+R269*4.037</f>
        <v>2802.0009600000003</v>
      </c>
      <c r="S283" s="11">
        <f>+S269*8.037</f>
        <v>2271.65805</v>
      </c>
      <c r="T283" s="11">
        <f>+T269*4.037</f>
        <v>0</v>
      </c>
      <c r="U283" s="11">
        <f>+U269*8.037</f>
        <v>0</v>
      </c>
      <c r="V283" s="11"/>
      <c r="W283" s="11">
        <f>+W269*8.037</f>
        <v>3348.6160500000001</v>
      </c>
      <c r="X283" s="11">
        <f>+X269*4.04</f>
        <v>165.84199999999998</v>
      </c>
      <c r="Y283" s="11">
        <f>+Y269*8.037</f>
        <v>289.49274000000003</v>
      </c>
      <c r="Z283" s="11">
        <f t="shared" si="30"/>
        <v>4272.9646899999998</v>
      </c>
      <c r="AA283" s="11">
        <f t="shared" si="31"/>
        <v>10923.97077</v>
      </c>
      <c r="AB283" s="11">
        <f t="shared" si="32"/>
        <v>15196.935460000001</v>
      </c>
    </row>
    <row r="284" spans="6:28">
      <c r="F284" s="11">
        <v>4.0330000000000004</v>
      </c>
      <c r="G284" s="11">
        <v>8.0389999999999997</v>
      </c>
      <c r="H284" s="250" t="s">
        <v>248</v>
      </c>
      <c r="I284" s="11">
        <f>+I270*4.033</f>
        <v>840.23522000000014</v>
      </c>
      <c r="J284" s="11">
        <f>+J270*8.039</f>
        <v>4145.6319100000001</v>
      </c>
      <c r="K284" s="11">
        <f t="shared" si="33"/>
        <v>4985.8671300000005</v>
      </c>
      <c r="L284" s="11">
        <f>+L270*4.033</f>
        <v>20.729620000000001</v>
      </c>
      <c r="M284" s="11">
        <f>+M270*8.039</f>
        <v>14.309419999999999</v>
      </c>
      <c r="N284" s="11">
        <f>+N270*4.033</f>
        <v>605.07099000000005</v>
      </c>
      <c r="O284" s="11">
        <f>+O270*8.039</f>
        <v>75.888159999999999</v>
      </c>
      <c r="P284" s="11">
        <f>+P270*4.033</f>
        <v>272.91311000000002</v>
      </c>
      <c r="Q284" s="11">
        <f>+Q270*8.039</f>
        <v>614.50115999999991</v>
      </c>
      <c r="R284" s="11">
        <f>+R270*4.033</f>
        <v>4163.2659000000003</v>
      </c>
      <c r="S284" s="11">
        <f>+S270*8.039</f>
        <v>1888.1199300000001</v>
      </c>
      <c r="T284" s="11"/>
      <c r="U284" s="11">
        <f>+U270*8.039</f>
        <v>128.38283000000001</v>
      </c>
      <c r="V284" s="11"/>
      <c r="W284" s="11">
        <f>+W270*8.039</f>
        <v>3461.4326199999996</v>
      </c>
      <c r="X284" s="11">
        <f>+X270*4.033</f>
        <v>220.60510000000002</v>
      </c>
      <c r="Y284" s="11">
        <f>+Y270*8.039</f>
        <v>186.50479999999999</v>
      </c>
      <c r="Z284" s="11">
        <f t="shared" si="30"/>
        <v>6122.8199400000012</v>
      </c>
      <c r="AA284" s="11">
        <f t="shared" si="31"/>
        <v>10514.770829999999</v>
      </c>
      <c r="AB284" s="11">
        <f t="shared" si="32"/>
        <v>16637.590770000003</v>
      </c>
    </row>
    <row r="285" spans="6:28">
      <c r="F285" s="11">
        <v>4.0250000000000004</v>
      </c>
      <c r="G285" s="11">
        <v>8.0419999999999998</v>
      </c>
      <c r="H285" s="11" t="s">
        <v>249</v>
      </c>
      <c r="I285" s="11">
        <f>+I271*4.025</f>
        <v>667.06325000000004</v>
      </c>
      <c r="J285" s="11">
        <f>+J271*8.042</f>
        <v>4118.79072</v>
      </c>
      <c r="K285" s="11">
        <f t="shared" si="33"/>
        <v>4785.8539700000001</v>
      </c>
      <c r="L285" s="11">
        <f>+L271*4.025</f>
        <v>34.292999999999999</v>
      </c>
      <c r="M285" s="11">
        <f>+M271*8.042</f>
        <v>31.524639999999998</v>
      </c>
      <c r="N285" s="11">
        <f>+N271*4.025</f>
        <v>335.68500000000006</v>
      </c>
      <c r="O285" s="11">
        <f>+O271*8.042</f>
        <v>1005.08916</v>
      </c>
      <c r="P285" s="11">
        <f>+P271*4.025</f>
        <v>436.95400000000006</v>
      </c>
      <c r="Q285" s="11">
        <f>+Q271*8.042</f>
        <v>709.06313999999998</v>
      </c>
      <c r="R285" s="11">
        <f>+R271*4.025</f>
        <v>3306.8192500000005</v>
      </c>
      <c r="S285" s="11">
        <f>+S271*8.042</f>
        <v>2429.56862</v>
      </c>
      <c r="T285" s="11"/>
      <c r="U285" s="11">
        <f>+U271*8.042</f>
        <v>328.67653999999999</v>
      </c>
      <c r="V285" s="11"/>
      <c r="W285" s="11">
        <f>+W271*8.042</f>
        <v>3310.6501400000002</v>
      </c>
      <c r="X285" s="11">
        <f>+X271*4.025</f>
        <v>182.25200000000001</v>
      </c>
      <c r="Y285" s="11">
        <f>+Y271*8.042</f>
        <v>314.84429999999998</v>
      </c>
      <c r="Z285" s="11">
        <f t="shared" si="30"/>
        <v>4963.0665000000008</v>
      </c>
      <c r="AA285" s="11">
        <f t="shared" si="31"/>
        <v>12248.207259999999</v>
      </c>
      <c r="AB285" s="11">
        <f t="shared" si="32"/>
        <v>17211.27376</v>
      </c>
    </row>
    <row r="286" spans="6:28">
      <c r="F286" s="11">
        <v>4.0350000000000001</v>
      </c>
      <c r="G286" s="11">
        <v>8.0370000000000008</v>
      </c>
      <c r="H286" s="11" t="s">
        <v>250</v>
      </c>
      <c r="I286" s="11">
        <f>+I272*4.035</f>
        <v>922.36065000000008</v>
      </c>
      <c r="J286" s="11">
        <f>+J272*8.037</f>
        <v>3918.6000900000004</v>
      </c>
      <c r="K286" s="11">
        <f t="shared" si="33"/>
        <v>4840.9607400000004</v>
      </c>
      <c r="L286" s="11">
        <f>+L272*4.035</f>
        <v>0</v>
      </c>
      <c r="M286" s="11">
        <f>+M272*8.037</f>
        <v>64.05489</v>
      </c>
      <c r="N286" s="11">
        <f>+N272*4.035</f>
        <v>100.02764999999999</v>
      </c>
      <c r="O286" s="11">
        <f>+O272*8.037</f>
        <v>2946.68568</v>
      </c>
      <c r="P286" s="11">
        <f>+P272*4.035</f>
        <v>462.77415000000002</v>
      </c>
      <c r="Q286" s="11">
        <f>+Q272*8.037</f>
        <v>790.35858000000007</v>
      </c>
      <c r="R286" s="11">
        <f>+R272*4.035</f>
        <v>4305.4256999999998</v>
      </c>
      <c r="S286" s="11">
        <f>+S272*8.037</f>
        <v>1862.8962300000001</v>
      </c>
      <c r="T286" s="11">
        <f>+T272*4.035</f>
        <v>0</v>
      </c>
      <c r="U286" s="11">
        <f>+U272*8.037</f>
        <v>273.74022000000002</v>
      </c>
      <c r="V286" s="11">
        <f>+V272*4.035</f>
        <v>0</v>
      </c>
      <c r="W286" s="11">
        <f>+W272*8.037</f>
        <v>3480.18174</v>
      </c>
      <c r="X286" s="11">
        <f>+X272*4.035</f>
        <v>201.87105000000003</v>
      </c>
      <c r="Y286" s="11">
        <f>+Y272*8.037</f>
        <v>266.02470000000005</v>
      </c>
      <c r="Z286" s="11">
        <f t="shared" si="30"/>
        <v>5992.4591999999993</v>
      </c>
      <c r="AA286" s="11">
        <f t="shared" si="31"/>
        <v>13602.54213</v>
      </c>
      <c r="AB286" s="11">
        <f t="shared" si="32"/>
        <v>19595.001329999999</v>
      </c>
    </row>
    <row r="287" spans="6:28">
      <c r="F287" s="11">
        <v>4.0469999999999997</v>
      </c>
      <c r="G287" s="11">
        <v>8.0380000000000003</v>
      </c>
      <c r="H287" s="11" t="s">
        <v>861</v>
      </c>
      <c r="I287" s="11">
        <f>+I273*4.047</f>
        <v>1184.5164299999999</v>
      </c>
      <c r="J287" s="11">
        <f>+J273*8.038</f>
        <v>4163.9251400000003</v>
      </c>
      <c r="K287" s="11">
        <f t="shared" si="33"/>
        <v>5348.44157</v>
      </c>
      <c r="L287" s="11">
        <f>+L273*4.047</f>
        <v>3.0352499999999996</v>
      </c>
      <c r="M287" s="11">
        <f>+M273*8.038</f>
        <v>25.400080000000003</v>
      </c>
      <c r="N287" s="11">
        <f>+N273*4.047</f>
        <v>256.41791999999998</v>
      </c>
      <c r="O287" s="11">
        <f>+O273*8.038</f>
        <v>1970.8372200000001</v>
      </c>
      <c r="P287" s="11">
        <f>+P273*4.047</f>
        <v>558.60740999999996</v>
      </c>
      <c r="Q287" s="11">
        <f>+Q273*8.038</f>
        <v>533.72320000000002</v>
      </c>
      <c r="R287" s="11">
        <f>+R273*4.047</f>
        <v>3901.6317599999998</v>
      </c>
      <c r="S287" s="11">
        <f>+S273*8.038</f>
        <v>2307.9509400000002</v>
      </c>
      <c r="T287" s="11">
        <f>+T273*4.047</f>
        <v>0</v>
      </c>
      <c r="U287" s="11">
        <f>+U273*8.038</f>
        <v>401.41771999999997</v>
      </c>
      <c r="V287" s="11"/>
      <c r="W287" s="11">
        <f>+W273*8.038</f>
        <v>3848.83554</v>
      </c>
      <c r="X287" s="11">
        <f>+X273*4.047</f>
        <v>241.64636999999999</v>
      </c>
      <c r="Y287" s="11">
        <f>+Y273*8.038</f>
        <v>278.59708000000001</v>
      </c>
      <c r="Z287" s="11">
        <f t="shared" si="30"/>
        <v>6145.8551399999988</v>
      </c>
      <c r="AA287" s="11">
        <f t="shared" si="31"/>
        <v>13530.68692</v>
      </c>
      <c r="AB287" s="11">
        <f t="shared" si="32"/>
        <v>19676.54206</v>
      </c>
    </row>
    <row r="288" spans="6:28">
      <c r="F288" s="11">
        <v>4.024</v>
      </c>
      <c r="G288" s="11">
        <v>8.0389999999999997</v>
      </c>
      <c r="H288" s="11" t="s">
        <v>862</v>
      </c>
      <c r="I288" s="11">
        <f>+I274*4.024</f>
        <v>1100.0811200000001</v>
      </c>
      <c r="J288" s="11">
        <f>+J274*8.039</f>
        <v>3929.6239799999998</v>
      </c>
      <c r="K288" s="11">
        <f t="shared" si="33"/>
        <v>5029.7051000000001</v>
      </c>
      <c r="L288" s="11">
        <f>+L274*4.024</f>
        <v>17.9068</v>
      </c>
      <c r="M288" s="11">
        <f>+M274*8.039</f>
        <v>18.891649999999998</v>
      </c>
      <c r="N288" s="11">
        <f>+N274*4.024</f>
        <v>219.22752</v>
      </c>
      <c r="O288" s="11">
        <f>+O274*8.039</f>
        <v>1472.0212900000001</v>
      </c>
      <c r="P288" s="11">
        <f>+P274*4.024</f>
        <v>283.65175999999997</v>
      </c>
      <c r="Q288" s="11">
        <f>+Q274*8.039</f>
        <v>448.57619999999997</v>
      </c>
      <c r="R288" s="11">
        <f>+R274*4.024</f>
        <v>3629.08464</v>
      </c>
      <c r="S288" s="11">
        <f>+S274*8.039</f>
        <v>2544.9062300000001</v>
      </c>
      <c r="T288" s="11"/>
      <c r="U288" s="11">
        <f>+U274*8.039</f>
        <v>354.60028999999997</v>
      </c>
      <c r="V288" s="11"/>
      <c r="W288" s="11">
        <f>+W274*8.039</f>
        <v>3415.5299299999997</v>
      </c>
      <c r="X288" s="11">
        <f>+X274*4.024</f>
        <v>191.78384</v>
      </c>
      <c r="Y288" s="11">
        <f>+Y274*8.039</f>
        <v>261.50867</v>
      </c>
      <c r="Z288" s="11">
        <f t="shared" si="30"/>
        <v>5441.7356799999998</v>
      </c>
      <c r="AA288" s="11">
        <f t="shared" si="31"/>
        <v>12445.658240000001</v>
      </c>
      <c r="AB288" s="11">
        <f t="shared" si="32"/>
        <v>17887.393920000002</v>
      </c>
    </row>
    <row r="289" spans="5:28">
      <c r="F289" s="11">
        <v>4.0250000000000004</v>
      </c>
      <c r="G289" s="11">
        <v>8.0380000000000003</v>
      </c>
      <c r="H289" s="11" t="s">
        <v>863</v>
      </c>
      <c r="I289" s="11">
        <f>+I275*4.025</f>
        <v>1117.501</v>
      </c>
      <c r="J289" s="11">
        <f>+J275*8.038</f>
        <v>4008.7113600000002</v>
      </c>
      <c r="K289" s="11">
        <f t="shared" si="33"/>
        <v>5126.2123600000004</v>
      </c>
      <c r="L289" s="11">
        <f>+L275*4.025</f>
        <v>4.2262500000000003</v>
      </c>
      <c r="M289" s="11">
        <f t="shared" ref="M289" si="54">+M275*8.038</f>
        <v>20.898800000000001</v>
      </c>
      <c r="N289" s="11">
        <f>+N275*4.025</f>
        <v>227.41250000000002</v>
      </c>
      <c r="O289" s="11">
        <f t="shared" ref="O289" si="55">+O275*8.038</f>
        <v>1629.2222200000001</v>
      </c>
      <c r="P289" s="11">
        <f>+P275*4.025</f>
        <v>328.56074999999998</v>
      </c>
      <c r="Q289" s="11">
        <f t="shared" ref="Q289" si="56">+Q275*8.038</f>
        <v>320.87696</v>
      </c>
      <c r="R289" s="11">
        <f>+R275*4.025</f>
        <v>4504.6190000000006</v>
      </c>
      <c r="S289" s="11">
        <f t="shared" ref="S289" si="57">+S275*8.038</f>
        <v>1631.3924800000002</v>
      </c>
      <c r="T289" s="11">
        <f t="shared" ref="T289" si="58">+T275*4.024</f>
        <v>0</v>
      </c>
      <c r="U289" s="11">
        <f t="shared" ref="U289" si="59">+U275*8.038</f>
        <v>273.69389999999999</v>
      </c>
      <c r="V289" s="11">
        <f t="shared" ref="V289" si="60">+V275*4.024</f>
        <v>0</v>
      </c>
      <c r="W289" s="11">
        <f t="shared" ref="W289" si="61">+W275*8.038</f>
        <v>3487.12554</v>
      </c>
      <c r="X289" s="11">
        <f t="shared" ref="X289" si="62">+X275*4.024</f>
        <v>218.54344</v>
      </c>
      <c r="Y289" s="11">
        <f t="shared" ref="Y289" si="63">+Y275*8.038</f>
        <v>209.14876000000001</v>
      </c>
      <c r="Z289" s="11">
        <f t="shared" si="30"/>
        <v>6400.8629400000009</v>
      </c>
      <c r="AA289" s="11">
        <f t="shared" si="31"/>
        <v>11581.070020000001</v>
      </c>
      <c r="AB289" s="11">
        <f t="shared" si="32"/>
        <v>17981.932960000002</v>
      </c>
    </row>
    <row r="290" spans="5:28">
      <c r="F290" s="11"/>
      <c r="G290" s="11" t="s">
        <v>3969</v>
      </c>
      <c r="H290" s="11"/>
      <c r="I290" s="11">
        <f>SUM(I278:I289)</f>
        <v>10805.444030000002</v>
      </c>
      <c r="J290" s="11">
        <f t="shared" ref="J290:AA290" si="64">SUM(J278:J289)</f>
        <v>45937.709269999999</v>
      </c>
      <c r="K290" s="11">
        <f t="shared" si="64"/>
        <v>56743.153300000005</v>
      </c>
      <c r="L290" s="11">
        <f t="shared" si="64"/>
        <v>277.54281999999995</v>
      </c>
      <c r="M290" s="11">
        <f t="shared" si="64"/>
        <v>205.94365999999999</v>
      </c>
      <c r="N290" s="11">
        <f t="shared" si="64"/>
        <v>5058.1531400000013</v>
      </c>
      <c r="O290" s="11">
        <f t="shared" si="64"/>
        <v>10107.69591</v>
      </c>
      <c r="P290" s="11">
        <f t="shared" si="64"/>
        <v>4534.9417100000001</v>
      </c>
      <c r="Q290" s="11">
        <f t="shared" si="64"/>
        <v>7746.7005900000004</v>
      </c>
      <c r="R290" s="11">
        <f t="shared" si="64"/>
        <v>40004.286739999996</v>
      </c>
      <c r="S290" s="11">
        <f t="shared" si="64"/>
        <v>26169.259809999996</v>
      </c>
      <c r="T290" s="11">
        <f t="shared" si="64"/>
        <v>0</v>
      </c>
      <c r="U290" s="11">
        <f t="shared" si="64"/>
        <v>2538.7804499999993</v>
      </c>
      <c r="V290" s="11">
        <f t="shared" si="64"/>
        <v>0</v>
      </c>
      <c r="W290" s="11">
        <f t="shared" si="64"/>
        <v>39836.715530000001</v>
      </c>
      <c r="X290" s="11">
        <f t="shared" si="64"/>
        <v>2440.7275300000001</v>
      </c>
      <c r="Y290" s="11">
        <f t="shared" si="64"/>
        <v>2837.33592</v>
      </c>
      <c r="Z290" s="11">
        <f t="shared" si="64"/>
        <v>63121.095970000002</v>
      </c>
      <c r="AA290" s="11">
        <f t="shared" si="64"/>
        <v>135380.14113999999</v>
      </c>
      <c r="AB290" s="11">
        <f t="shared" si="32"/>
        <v>198501.23710999999</v>
      </c>
    </row>
    <row r="291" spans="5:28">
      <c r="F291" s="11"/>
      <c r="G291" s="11"/>
      <c r="H291" s="11" t="s">
        <v>274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5:28">
      <c r="F292" s="11"/>
      <c r="G292" s="11"/>
      <c r="H292" s="11"/>
      <c r="I292" s="2967" t="s">
        <v>687</v>
      </c>
      <c r="J292" s="2967"/>
      <c r="K292" s="11"/>
      <c r="L292" s="2967" t="s">
        <v>664</v>
      </c>
      <c r="M292" s="2967"/>
      <c r="N292" s="2967" t="s">
        <v>2334</v>
      </c>
      <c r="O292" s="2967"/>
      <c r="P292" s="2967" t="s">
        <v>3961</v>
      </c>
      <c r="Q292" s="2967"/>
      <c r="R292" s="2967" t="s">
        <v>711</v>
      </c>
      <c r="S292" s="2967"/>
      <c r="T292" s="11" t="s">
        <v>430</v>
      </c>
      <c r="U292" s="11"/>
      <c r="V292" s="11" t="s">
        <v>3962</v>
      </c>
      <c r="W292" s="11"/>
      <c r="X292" s="2967" t="s">
        <v>185</v>
      </c>
      <c r="Y292" s="2967"/>
      <c r="Z292" s="11"/>
      <c r="AA292" s="11"/>
      <c r="AB292" s="11"/>
    </row>
    <row r="293" spans="5:28">
      <c r="F293" s="11" t="s">
        <v>3980</v>
      </c>
      <c r="G293" s="11"/>
      <c r="H293" s="11"/>
      <c r="I293" s="4" t="s">
        <v>542</v>
      </c>
      <c r="J293" s="4" t="s">
        <v>544</v>
      </c>
      <c r="K293" s="4"/>
      <c r="L293" s="4" t="s">
        <v>542</v>
      </c>
      <c r="M293" s="4" t="s">
        <v>544</v>
      </c>
      <c r="N293" s="4" t="s">
        <v>542</v>
      </c>
      <c r="O293" s="4" t="s">
        <v>544</v>
      </c>
      <c r="P293" s="4" t="s">
        <v>542</v>
      </c>
      <c r="Q293" s="4" t="s">
        <v>544</v>
      </c>
      <c r="R293" s="4" t="s">
        <v>542</v>
      </c>
      <c r="S293" s="4" t="s">
        <v>544</v>
      </c>
      <c r="T293" s="4" t="s">
        <v>542</v>
      </c>
      <c r="U293" s="4" t="s">
        <v>544</v>
      </c>
      <c r="V293" s="4" t="s">
        <v>542</v>
      </c>
      <c r="W293" s="4" t="s">
        <v>544</v>
      </c>
      <c r="X293" s="4" t="s">
        <v>542</v>
      </c>
      <c r="Y293" s="4" t="s">
        <v>544</v>
      </c>
      <c r="Z293" s="11" t="s">
        <v>542</v>
      </c>
      <c r="AA293" s="11" t="s">
        <v>544</v>
      </c>
      <c r="AB293" s="11" t="s">
        <v>3964</v>
      </c>
    </row>
    <row r="294" spans="5:28">
      <c r="F294" s="11">
        <v>4.0250000000000004</v>
      </c>
      <c r="G294" s="11">
        <v>8.0419999999999998</v>
      </c>
      <c r="H294" s="11" t="s">
        <v>864</v>
      </c>
      <c r="I294" s="11">
        <v>299.39999999999998</v>
      </c>
      <c r="J294" s="11">
        <v>531.98</v>
      </c>
      <c r="K294" s="11"/>
      <c r="L294" s="11">
        <v>4.22</v>
      </c>
      <c r="M294" s="11">
        <v>7.32</v>
      </c>
      <c r="N294" s="11">
        <v>35.770000000000003</v>
      </c>
      <c r="O294" s="11">
        <v>157.58000000000001</v>
      </c>
      <c r="P294" s="11">
        <v>148.18</v>
      </c>
      <c r="Q294" s="11">
        <v>9.08</v>
      </c>
      <c r="R294" s="11">
        <v>734.93</v>
      </c>
      <c r="S294" s="11">
        <v>173.36</v>
      </c>
      <c r="T294" s="11"/>
      <c r="U294" s="11">
        <v>49.99</v>
      </c>
      <c r="V294" s="11"/>
      <c r="W294" s="11">
        <v>399.01</v>
      </c>
      <c r="X294" s="11">
        <v>52.24</v>
      </c>
      <c r="Y294" s="11">
        <v>24.25</v>
      </c>
      <c r="Z294" s="11">
        <f>+I294+L294+N294+P294+R294+T294+V294+X294</f>
        <v>1274.74</v>
      </c>
      <c r="AA294" s="11">
        <f>+J294+M294+O294+Q294+S294+U294+W294+Y294</f>
        <v>1352.5700000000002</v>
      </c>
      <c r="AB294" s="11">
        <f>+Z294+AA294</f>
        <v>2627.3100000000004</v>
      </c>
    </row>
    <row r="295" spans="5:28">
      <c r="F295" s="11">
        <v>4.0250000000000004</v>
      </c>
      <c r="G295" s="11">
        <v>8.0340000000000007</v>
      </c>
      <c r="H295" s="11" t="s">
        <v>865</v>
      </c>
      <c r="I295" s="11">
        <v>304.01</v>
      </c>
      <c r="J295" s="11">
        <v>636.94000000000005</v>
      </c>
      <c r="K295" s="11"/>
      <c r="L295" s="11">
        <v>2.98</v>
      </c>
      <c r="M295" s="11">
        <v>7.77</v>
      </c>
      <c r="N295" s="11">
        <v>37.340000000000003</v>
      </c>
      <c r="O295" s="11">
        <v>166.36</v>
      </c>
      <c r="P295" s="11">
        <v>106.93</v>
      </c>
      <c r="Q295" s="11">
        <v>106.76</v>
      </c>
      <c r="R295" s="11">
        <v>1047.68</v>
      </c>
      <c r="S295" s="11">
        <v>235.72</v>
      </c>
      <c r="T295" s="11"/>
      <c r="U295" s="11">
        <v>37.35</v>
      </c>
      <c r="V295" s="11"/>
      <c r="W295" s="11">
        <v>396.34</v>
      </c>
      <c r="X295" s="11">
        <v>59.31</v>
      </c>
      <c r="Y295" s="11">
        <v>22.79</v>
      </c>
      <c r="Z295" s="11">
        <f t="shared" ref="Z295:AA305" si="65">+I295+L295+N295+P295+R295+T295+V295+X295</f>
        <v>1558.25</v>
      </c>
      <c r="AA295" s="11">
        <f>+J295+M295+O295+Q295+S295+U295+W295+Y295</f>
        <v>1610.0299999999997</v>
      </c>
      <c r="AB295" s="11">
        <f t="shared" ref="AB295:AB305" si="66">+Z295+AA295</f>
        <v>3168.2799999999997</v>
      </c>
    </row>
    <row r="296" spans="5:28">
      <c r="F296" s="11">
        <v>4.0279999999999996</v>
      </c>
      <c r="G296" s="11">
        <v>8.0329999999999995</v>
      </c>
      <c r="H296" s="11" t="s">
        <v>866</v>
      </c>
      <c r="I296" s="11">
        <v>277.14999999999998</v>
      </c>
      <c r="J296" s="11">
        <v>569.95000000000005</v>
      </c>
      <c r="K296" s="11"/>
      <c r="L296" s="11">
        <v>6.76</v>
      </c>
      <c r="M296" s="11">
        <v>4.08</v>
      </c>
      <c r="N296" s="11">
        <v>121.05</v>
      </c>
      <c r="O296" s="11">
        <v>76.97</v>
      </c>
      <c r="P296" s="11">
        <v>79.25</v>
      </c>
      <c r="Q296" s="11">
        <v>168.73</v>
      </c>
      <c r="R296" s="11">
        <v>758.1</v>
      </c>
      <c r="S296" s="11">
        <v>280.63</v>
      </c>
      <c r="T296" s="11"/>
      <c r="U296" s="11">
        <v>72.42</v>
      </c>
      <c r="V296" s="11"/>
      <c r="W296" s="11">
        <v>395.67</v>
      </c>
      <c r="X296" s="11">
        <v>52.43</v>
      </c>
      <c r="Y296" s="11">
        <v>25.51</v>
      </c>
      <c r="Z296" s="11">
        <f t="shared" si="65"/>
        <v>1294.74</v>
      </c>
      <c r="AA296" s="11">
        <f t="shared" si="65"/>
        <v>1593.9600000000003</v>
      </c>
      <c r="AB296" s="11">
        <f t="shared" si="66"/>
        <v>2888.7000000000003</v>
      </c>
    </row>
    <row r="297" spans="5:28">
      <c r="F297" s="11">
        <v>4.0350000000000001</v>
      </c>
      <c r="G297" s="11">
        <v>8.0329999999999995</v>
      </c>
      <c r="H297" s="11" t="s">
        <v>867</v>
      </c>
      <c r="I297" s="11">
        <v>298.70999999999998</v>
      </c>
      <c r="J297" s="11">
        <v>582.51</v>
      </c>
      <c r="K297" s="11"/>
      <c r="L297" s="11">
        <v>5.58</v>
      </c>
      <c r="M297" s="11">
        <v>1.45</v>
      </c>
      <c r="N297" s="11">
        <v>91.47</v>
      </c>
      <c r="O297" s="11">
        <v>39.54</v>
      </c>
      <c r="P297" s="11">
        <v>105</v>
      </c>
      <c r="Q297" s="11">
        <v>138.32</v>
      </c>
      <c r="R297" s="11">
        <v>781.03</v>
      </c>
      <c r="S297" s="11">
        <v>361.96</v>
      </c>
      <c r="T297" s="11"/>
      <c r="U297" s="11">
        <v>52.5</v>
      </c>
      <c r="V297" s="11"/>
      <c r="W297" s="11">
        <v>408.13</v>
      </c>
      <c r="X297" s="11">
        <v>52.22</v>
      </c>
      <c r="Y297" s="11">
        <v>17.649999999999999</v>
      </c>
      <c r="Z297" s="11">
        <f t="shared" si="65"/>
        <v>1334.01</v>
      </c>
      <c r="AA297" s="11">
        <f t="shared" si="65"/>
        <v>1602.06</v>
      </c>
      <c r="AB297" s="11">
        <f t="shared" si="66"/>
        <v>2936.0699999999997</v>
      </c>
    </row>
    <row r="298" spans="5:28">
      <c r="F298" s="11">
        <v>4.0309999999999997</v>
      </c>
      <c r="G298" s="11">
        <v>8.032</v>
      </c>
      <c r="H298" s="11" t="s">
        <v>868</v>
      </c>
      <c r="I298" s="11">
        <v>366.93</v>
      </c>
      <c r="J298" s="11">
        <v>593.64</v>
      </c>
      <c r="K298" s="11"/>
      <c r="L298" s="11">
        <v>4.5599999999999996</v>
      </c>
      <c r="M298" s="11">
        <v>3.11</v>
      </c>
      <c r="N298" s="11">
        <v>83.3</v>
      </c>
      <c r="O298" s="11">
        <v>160.47999999999999</v>
      </c>
      <c r="P298" s="11">
        <v>59.11</v>
      </c>
      <c r="Q298" s="11">
        <v>140.96</v>
      </c>
      <c r="R298" s="11">
        <v>626.46</v>
      </c>
      <c r="S298" s="11">
        <v>579</v>
      </c>
      <c r="T298" s="11"/>
      <c r="U298" s="11">
        <v>69.739999999999995</v>
      </c>
      <c r="V298" s="11"/>
      <c r="W298" s="11">
        <v>474.83</v>
      </c>
      <c r="X298" s="11">
        <v>55.5</v>
      </c>
      <c r="Y298" s="11">
        <v>36</v>
      </c>
      <c r="Z298" s="11">
        <f t="shared" si="65"/>
        <v>1195.8600000000001</v>
      </c>
      <c r="AA298" s="11">
        <f t="shared" si="65"/>
        <v>2057.7600000000002</v>
      </c>
      <c r="AB298" s="11">
        <f t="shared" si="66"/>
        <v>3253.6200000000003</v>
      </c>
    </row>
    <row r="299" spans="5:28">
      <c r="F299" s="11">
        <v>4.04</v>
      </c>
      <c r="G299" s="11">
        <v>8.032</v>
      </c>
      <c r="H299" s="11" t="s">
        <v>315</v>
      </c>
      <c r="I299" s="11">
        <v>448.37</v>
      </c>
      <c r="J299" s="11">
        <v>504.3</v>
      </c>
      <c r="K299" s="11"/>
      <c r="L299" s="11">
        <v>10.86</v>
      </c>
      <c r="M299" s="11">
        <v>4.5199999999999996</v>
      </c>
      <c r="N299" s="11">
        <v>98.97</v>
      </c>
      <c r="O299" s="11">
        <v>110</v>
      </c>
      <c r="P299" s="11">
        <v>42.37</v>
      </c>
      <c r="Q299" s="11">
        <v>130.44</v>
      </c>
      <c r="R299" s="11">
        <v>556.78</v>
      </c>
      <c r="S299" s="11">
        <v>561.91999999999996</v>
      </c>
      <c r="T299" s="11"/>
      <c r="U299" s="11">
        <v>57.66</v>
      </c>
      <c r="V299" s="11"/>
      <c r="W299" s="11">
        <v>472.73</v>
      </c>
      <c r="X299" s="11">
        <v>63.87</v>
      </c>
      <c r="Y299" s="11">
        <v>36.96</v>
      </c>
      <c r="Z299" s="11">
        <f t="shared" si="65"/>
        <v>1221.2199999999998</v>
      </c>
      <c r="AA299" s="11">
        <f t="shared" si="65"/>
        <v>1878.53</v>
      </c>
      <c r="AB299" s="11">
        <f t="shared" si="66"/>
        <v>3099.75</v>
      </c>
    </row>
    <row r="300" spans="5:28">
      <c r="F300" s="11">
        <v>4.032</v>
      </c>
      <c r="G300" s="11">
        <v>8.0440000000000005</v>
      </c>
      <c r="H300" s="11" t="s">
        <v>305</v>
      </c>
      <c r="I300" s="11">
        <v>613.65</v>
      </c>
      <c r="J300" s="11">
        <v>338.41</v>
      </c>
      <c r="K300" s="11"/>
      <c r="L300" s="11">
        <v>5.86</v>
      </c>
      <c r="M300" s="11">
        <v>0.75</v>
      </c>
      <c r="N300" s="11">
        <v>101.31</v>
      </c>
      <c r="O300" s="11">
        <v>46.59</v>
      </c>
      <c r="P300" s="11">
        <v>49.08</v>
      </c>
      <c r="Q300" s="11">
        <v>104.28</v>
      </c>
      <c r="R300" s="11">
        <v>609.94000000000005</v>
      </c>
      <c r="S300" s="11">
        <v>481.77</v>
      </c>
      <c r="T300" s="11"/>
      <c r="U300" s="11">
        <v>78.84</v>
      </c>
      <c r="V300" s="11"/>
      <c r="W300" s="11">
        <v>445.56</v>
      </c>
      <c r="X300" s="11">
        <v>59.57</v>
      </c>
      <c r="Y300" s="11">
        <v>20.88</v>
      </c>
      <c r="Z300" s="11">
        <f t="shared" si="65"/>
        <v>1439.41</v>
      </c>
      <c r="AA300" s="11">
        <f t="shared" si="65"/>
        <v>1517.08</v>
      </c>
      <c r="AB300" s="11">
        <f t="shared" si="66"/>
        <v>2956.49</v>
      </c>
    </row>
    <row r="301" spans="5:28">
      <c r="F301" s="11">
        <v>4.0449999999999999</v>
      </c>
      <c r="G301" s="11">
        <v>8.0440000000000005</v>
      </c>
      <c r="H301" s="11" t="s">
        <v>3886</v>
      </c>
      <c r="I301" s="11">
        <v>593.02</v>
      </c>
      <c r="J301" s="11">
        <v>302.63</v>
      </c>
      <c r="K301" s="11"/>
      <c r="L301" s="11">
        <v>13.38</v>
      </c>
      <c r="M301" s="11">
        <v>2.35</v>
      </c>
      <c r="N301" s="11">
        <v>151.22999999999999</v>
      </c>
      <c r="O301" s="11">
        <v>23.64</v>
      </c>
      <c r="P301" s="11">
        <v>35.51</v>
      </c>
      <c r="Q301" s="11">
        <v>187.95</v>
      </c>
      <c r="R301" s="11">
        <v>362.63</v>
      </c>
      <c r="S301" s="11">
        <v>478.91</v>
      </c>
      <c r="T301" s="11"/>
      <c r="U301" s="11">
        <v>59.64</v>
      </c>
      <c r="V301" s="11"/>
      <c r="W301" s="11">
        <v>374.85</v>
      </c>
      <c r="X301" s="11">
        <v>51.01</v>
      </c>
      <c r="Y301" s="11">
        <v>20.8</v>
      </c>
      <c r="Z301" s="11">
        <f t="shared" si="65"/>
        <v>1206.78</v>
      </c>
      <c r="AA301" s="11">
        <f t="shared" si="65"/>
        <v>1450.7700000000002</v>
      </c>
      <c r="AB301" s="11">
        <f t="shared" si="66"/>
        <v>2657.55</v>
      </c>
    </row>
    <row r="302" spans="5:28">
      <c r="F302" s="11">
        <v>4.0410000000000004</v>
      </c>
      <c r="G302" s="11">
        <v>8.0449999999999999</v>
      </c>
      <c r="H302" s="11" t="s">
        <v>3941</v>
      </c>
      <c r="I302" s="11">
        <v>552.74</v>
      </c>
      <c r="J302" s="11">
        <v>250.3</v>
      </c>
      <c r="K302" s="11"/>
      <c r="L302" s="11">
        <v>8.81</v>
      </c>
      <c r="M302" s="11">
        <v>2.52</v>
      </c>
      <c r="N302" s="11">
        <v>96.12</v>
      </c>
      <c r="O302" s="11">
        <v>13.98</v>
      </c>
      <c r="P302" s="11">
        <v>76.760000000000005</v>
      </c>
      <c r="Q302" s="11">
        <v>118.1</v>
      </c>
      <c r="R302" s="11">
        <v>628.24</v>
      </c>
      <c r="S302" s="11">
        <v>198.35</v>
      </c>
      <c r="T302" s="11"/>
      <c r="U302" s="11">
        <v>65.56</v>
      </c>
      <c r="V302" s="11"/>
      <c r="W302" s="11">
        <v>370.16</v>
      </c>
      <c r="X302" s="11">
        <v>49.7</v>
      </c>
      <c r="Y302" s="11">
        <v>17.309999999999999</v>
      </c>
      <c r="Z302" s="11">
        <f t="shared" si="65"/>
        <v>1412.3700000000001</v>
      </c>
      <c r="AA302" s="11">
        <f t="shared" si="65"/>
        <v>1036.28</v>
      </c>
      <c r="AB302" s="11">
        <f t="shared" si="66"/>
        <v>2448.65</v>
      </c>
    </row>
    <row r="303" spans="5:28">
      <c r="F303" s="11">
        <v>4.0220000000000002</v>
      </c>
      <c r="G303" s="11">
        <v>8.0440000000000005</v>
      </c>
      <c r="H303" s="11" t="s">
        <v>3949</v>
      </c>
      <c r="I303" s="11">
        <v>439.81</v>
      </c>
      <c r="J303" s="11">
        <v>307.11</v>
      </c>
      <c r="K303" s="11"/>
      <c r="L303" s="11">
        <v>9.75</v>
      </c>
      <c r="M303" s="11">
        <v>0.91</v>
      </c>
      <c r="N303" s="11">
        <v>453.56</v>
      </c>
      <c r="O303" s="11">
        <v>236.17</v>
      </c>
      <c r="P303" s="11">
        <v>99.53</v>
      </c>
      <c r="Q303" s="11">
        <v>184.31</v>
      </c>
      <c r="R303" s="11">
        <v>617.17999999999995</v>
      </c>
      <c r="S303" s="11">
        <v>266.37</v>
      </c>
      <c r="T303" s="11"/>
      <c r="U303" s="11">
        <v>50.54</v>
      </c>
      <c r="V303" s="11"/>
      <c r="W303" s="11">
        <v>416.27</v>
      </c>
      <c r="X303" s="11">
        <v>44.61</v>
      </c>
      <c r="Y303" s="11">
        <v>24.61</v>
      </c>
      <c r="Z303" s="11">
        <f t="shared" si="65"/>
        <v>1664.4399999999998</v>
      </c>
      <c r="AA303" s="11">
        <f t="shared" si="65"/>
        <v>1486.29</v>
      </c>
      <c r="AB303" s="11">
        <f t="shared" si="66"/>
        <v>3150.7299999999996</v>
      </c>
    </row>
    <row r="304" spans="5:28">
      <c r="E304" s="14">
        <f>4193/10*12</f>
        <v>5031.6000000000004</v>
      </c>
      <c r="F304" s="11">
        <v>4.0410000000000004</v>
      </c>
      <c r="G304" s="11">
        <v>8.0419999999999998</v>
      </c>
      <c r="H304" s="11" t="s">
        <v>3986</v>
      </c>
      <c r="I304" s="11">
        <v>0</v>
      </c>
      <c r="J304" s="11">
        <v>540.04</v>
      </c>
      <c r="K304" s="11"/>
      <c r="L304" s="11">
        <v>4.82</v>
      </c>
      <c r="M304" s="11">
        <v>0</v>
      </c>
      <c r="N304" s="11">
        <v>230.95</v>
      </c>
      <c r="O304" s="11">
        <v>34.369999999999997</v>
      </c>
      <c r="P304" s="11">
        <v>97.93</v>
      </c>
      <c r="Q304" s="11">
        <v>38.659999999999997</v>
      </c>
      <c r="R304" s="11">
        <v>916.94</v>
      </c>
      <c r="S304" s="11">
        <v>167.94</v>
      </c>
      <c r="T304" s="11"/>
      <c r="U304" s="11">
        <v>51.11</v>
      </c>
      <c r="V304" s="11"/>
      <c r="W304" s="11">
        <v>418.21</v>
      </c>
      <c r="X304" s="11">
        <v>48.41</v>
      </c>
      <c r="Y304" s="11">
        <v>29.42</v>
      </c>
      <c r="Z304" s="11">
        <f t="shared" si="65"/>
        <v>1299.0500000000002</v>
      </c>
      <c r="AA304" s="11">
        <f t="shared" si="65"/>
        <v>1279.75</v>
      </c>
      <c r="AB304" s="11">
        <f t="shared" si="66"/>
        <v>2578.8000000000002</v>
      </c>
    </row>
    <row r="305" spans="6:28">
      <c r="F305" s="11">
        <v>4.0419999999999998</v>
      </c>
      <c r="G305" s="11">
        <v>8.0419999999999998</v>
      </c>
      <c r="H305" s="11" t="s">
        <v>4189</v>
      </c>
      <c r="I305" s="11">
        <v>423.35</v>
      </c>
      <c r="J305" s="11">
        <v>411.75</v>
      </c>
      <c r="K305" s="11"/>
      <c r="L305" s="11">
        <v>20.6</v>
      </c>
      <c r="M305" s="11">
        <v>0</v>
      </c>
      <c r="N305" s="11">
        <v>145.6</v>
      </c>
      <c r="O305" s="11">
        <v>3.69</v>
      </c>
      <c r="P305" s="11">
        <v>96.22</v>
      </c>
      <c r="Q305" s="11">
        <v>41.77</v>
      </c>
      <c r="R305" s="11">
        <v>824.31</v>
      </c>
      <c r="S305" s="11">
        <v>294.33</v>
      </c>
      <c r="T305" s="11"/>
      <c r="U305" s="11">
        <v>45.67</v>
      </c>
      <c r="V305" s="11"/>
      <c r="W305" s="11">
        <v>454.58</v>
      </c>
      <c r="X305" s="11">
        <v>51.91</v>
      </c>
      <c r="Y305" s="11">
        <v>21.17</v>
      </c>
      <c r="Z305" s="11">
        <f t="shared" si="65"/>
        <v>1561.99</v>
      </c>
      <c r="AA305" s="11">
        <f t="shared" si="65"/>
        <v>1272.96</v>
      </c>
      <c r="AB305" s="11">
        <f t="shared" si="66"/>
        <v>2834.95</v>
      </c>
    </row>
    <row r="306" spans="6:28"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6:28">
      <c r="F307" s="11">
        <v>4.0250000000000004</v>
      </c>
      <c r="G307" s="11">
        <v>8.0419999999999998</v>
      </c>
      <c r="H307" s="11" t="s">
        <v>864</v>
      </c>
      <c r="I307" s="11">
        <f>+I294*F294</f>
        <v>1205.085</v>
      </c>
      <c r="J307" s="11">
        <f>+J294*G294</f>
        <v>4278.1831600000005</v>
      </c>
      <c r="K307" s="11"/>
      <c r="L307" s="11">
        <f>L294*F307</f>
        <v>16.985500000000002</v>
      </c>
      <c r="M307" s="11">
        <f>M294*G307</f>
        <v>58.867440000000002</v>
      </c>
      <c r="N307" s="11">
        <f>N294*F307</f>
        <v>143.97425000000001</v>
      </c>
      <c r="O307" s="11">
        <f>O294*G307</f>
        <v>1267.25836</v>
      </c>
      <c r="P307" s="11">
        <f>P294*F307</f>
        <v>596.42450000000008</v>
      </c>
      <c r="Q307" s="11">
        <f>G307*Q294</f>
        <v>73.021360000000001</v>
      </c>
      <c r="R307" s="11">
        <f>R294*F307</f>
        <v>2958.0932499999999</v>
      </c>
      <c r="S307" s="11">
        <f>S294*G307</f>
        <v>1394.16112</v>
      </c>
      <c r="T307" s="11">
        <f t="shared" ref="T307:V307" si="67">T294*N294</f>
        <v>0</v>
      </c>
      <c r="U307" s="11">
        <f>U294*G307</f>
        <v>402.01958000000002</v>
      </c>
      <c r="V307" s="11">
        <f t="shared" si="67"/>
        <v>0</v>
      </c>
      <c r="W307" s="11">
        <f>W294*G307</f>
        <v>3208.83842</v>
      </c>
      <c r="X307" s="11">
        <f>X294*F294</f>
        <v>210.26600000000002</v>
      </c>
      <c r="Y307" s="11">
        <f>Y294*G307</f>
        <v>195.01849999999999</v>
      </c>
      <c r="Z307" s="11">
        <f>+I307+L307+N307+P307+R307+T307+V307+X307</f>
        <v>5130.8284999999996</v>
      </c>
      <c r="AA307" s="11">
        <f t="shared" ref="AA307:AA317" si="68">+J307+M307+O307+Q307+S307+U307+W307+Y307</f>
        <v>10877.36794</v>
      </c>
      <c r="AB307" s="11">
        <f t="shared" ref="AB307:AB318" si="69">+Z307+AA307</f>
        <v>16008.19644</v>
      </c>
    </row>
    <row r="308" spans="6:28">
      <c r="F308" s="11">
        <f>F295</f>
        <v>4.0250000000000004</v>
      </c>
      <c r="G308" s="11">
        <f>G295</f>
        <v>8.0340000000000007</v>
      </c>
      <c r="H308" s="11" t="s">
        <v>865</v>
      </c>
      <c r="I308" s="11">
        <f>+I295*4.025</f>
        <v>1223.6402500000002</v>
      </c>
      <c r="J308" s="11">
        <f>+J295*8.034</f>
        <v>5117.1759600000005</v>
      </c>
      <c r="K308" s="11"/>
      <c r="L308" s="11">
        <f>+L295*4.025</f>
        <v>11.9945</v>
      </c>
      <c r="M308" s="11">
        <f>+M295*8.034</f>
        <v>62.42418</v>
      </c>
      <c r="N308" s="11">
        <f>+N295*4.025</f>
        <v>150.29350000000002</v>
      </c>
      <c r="O308" s="11">
        <f>+O295*8.034</f>
        <v>1336.5362400000001</v>
      </c>
      <c r="P308" s="11">
        <f>+P295*4.025</f>
        <v>430.39325000000008</v>
      </c>
      <c r="Q308" s="11">
        <f>+Q295*8.034</f>
        <v>857.7098400000001</v>
      </c>
      <c r="R308" s="11">
        <f>R295*4.025</f>
        <v>4216.9120000000003</v>
      </c>
      <c r="S308" s="11">
        <f>+S295*8.034</f>
        <v>1893.7744800000003</v>
      </c>
      <c r="T308" s="11"/>
      <c r="U308" s="11">
        <f>U295*8.034</f>
        <v>300.06990000000002</v>
      </c>
      <c r="V308" s="11"/>
      <c r="W308" s="11">
        <f>+W295*8.034</f>
        <v>3184.1955600000001</v>
      </c>
      <c r="X308" s="11">
        <f>+X295*4.025</f>
        <v>238.72275000000002</v>
      </c>
      <c r="Y308" s="11">
        <f>+Y295*8.034</f>
        <v>183.09486000000001</v>
      </c>
      <c r="Z308" s="11">
        <f>+I308+L308+N308+P308+R308+T308+V308+X308</f>
        <v>6271.9562500000002</v>
      </c>
      <c r="AA308" s="11">
        <f t="shared" si="68"/>
        <v>12934.981020000001</v>
      </c>
      <c r="AB308" s="11">
        <f t="shared" si="69"/>
        <v>19206.937270000002</v>
      </c>
    </row>
    <row r="309" spans="6:28">
      <c r="F309" s="11">
        <f t="shared" ref="F309:G309" si="70">F296</f>
        <v>4.0279999999999996</v>
      </c>
      <c r="G309" s="11">
        <f t="shared" si="70"/>
        <v>8.0329999999999995</v>
      </c>
      <c r="H309" s="11" t="s">
        <v>866</v>
      </c>
      <c r="I309" s="11">
        <f>I296*4.028</f>
        <v>1116.3601999999998</v>
      </c>
      <c r="J309" s="11">
        <f>+J296*8.033</f>
        <v>4578.4083499999997</v>
      </c>
      <c r="K309" s="11"/>
      <c r="L309" s="11">
        <f>L296*4.028</f>
        <v>27.229279999999996</v>
      </c>
      <c r="M309" s="11">
        <f>+M296*8.033</f>
        <v>32.774639999999998</v>
      </c>
      <c r="N309" s="11">
        <f>N296*4.028</f>
        <v>487.58939999999996</v>
      </c>
      <c r="O309" s="11">
        <f>+O296*8.033</f>
        <v>618.30000999999993</v>
      </c>
      <c r="P309" s="11">
        <f>P296*4.028</f>
        <v>319.21899999999999</v>
      </c>
      <c r="Q309" s="11">
        <f>+Q296*8.033</f>
        <v>1355.4080899999999</v>
      </c>
      <c r="R309" s="11">
        <f>R296*4.028</f>
        <v>3053.6267999999995</v>
      </c>
      <c r="S309" s="11">
        <f>+S296*8.033</f>
        <v>2254.3007899999998</v>
      </c>
      <c r="T309" s="11">
        <f>T296*4.028</f>
        <v>0</v>
      </c>
      <c r="U309" s="11">
        <f>+U296*8.033</f>
        <v>581.74986000000001</v>
      </c>
      <c r="V309" s="11">
        <f>V296*4.028</f>
        <v>0</v>
      </c>
      <c r="W309" s="11">
        <f>+W296*8.033</f>
        <v>3178.4171099999999</v>
      </c>
      <c r="X309" s="11">
        <f>X296*4.028</f>
        <v>211.18803999999997</v>
      </c>
      <c r="Y309" s="11">
        <f>+Y296*8.033</f>
        <v>204.92183</v>
      </c>
      <c r="Z309" s="11">
        <f t="shared" ref="Z309:Z317" si="71">+I309+L309+N309+P309+R309+T309+V309+X309</f>
        <v>5215.2127199999995</v>
      </c>
      <c r="AA309" s="11">
        <f t="shared" si="68"/>
        <v>12804.280679999998</v>
      </c>
      <c r="AB309" s="11">
        <f t="shared" si="69"/>
        <v>18019.493399999999</v>
      </c>
    </row>
    <row r="310" spans="6:28">
      <c r="F310" s="11">
        <f t="shared" ref="F310:G310" si="72">F297</f>
        <v>4.0350000000000001</v>
      </c>
      <c r="G310" s="11">
        <f t="shared" si="72"/>
        <v>8.0329999999999995</v>
      </c>
      <c r="H310" s="11" t="s">
        <v>867</v>
      </c>
      <c r="I310" s="11">
        <f>+I297*4.035</f>
        <v>1205.29485</v>
      </c>
      <c r="J310" s="11">
        <f>J297*8.033</f>
        <v>4679.3028299999996</v>
      </c>
      <c r="K310" s="11"/>
      <c r="L310" s="11">
        <f>+L297*4.035</f>
        <v>22.5153</v>
      </c>
      <c r="M310" s="11">
        <f>M297*8.033</f>
        <v>11.647849999999998</v>
      </c>
      <c r="N310" s="11">
        <f>+N297*4.035</f>
        <v>369.08145000000002</v>
      </c>
      <c r="O310" s="11">
        <f>O297*8.033</f>
        <v>317.62482</v>
      </c>
      <c r="P310" s="11">
        <f>+P297*4.035</f>
        <v>423.67500000000001</v>
      </c>
      <c r="Q310" s="11">
        <f>Q297*8.033</f>
        <v>1111.12456</v>
      </c>
      <c r="R310" s="11">
        <f>+R297*4.035</f>
        <v>3151.4560499999998</v>
      </c>
      <c r="S310" s="11">
        <f>S297*8.033</f>
        <v>2907.6246799999994</v>
      </c>
      <c r="T310" s="11">
        <f>+T297*4.035</f>
        <v>0</v>
      </c>
      <c r="U310" s="11">
        <f>U297*8.033</f>
        <v>421.73249999999996</v>
      </c>
      <c r="V310" s="11">
        <f>+V297*4.035</f>
        <v>0</v>
      </c>
      <c r="W310" s="11">
        <f>W297*8.033</f>
        <v>3278.5082899999998</v>
      </c>
      <c r="X310" s="11">
        <f>+X297*4.035</f>
        <v>210.70770000000002</v>
      </c>
      <c r="Y310" s="11">
        <f>Y297*8.033</f>
        <v>141.78244999999998</v>
      </c>
      <c r="Z310" s="11">
        <f t="shared" si="71"/>
        <v>5382.7303499999998</v>
      </c>
      <c r="AA310" s="11">
        <f t="shared" si="68"/>
        <v>12869.34798</v>
      </c>
      <c r="AB310" s="11">
        <f t="shared" si="69"/>
        <v>18252.07833</v>
      </c>
    </row>
    <row r="311" spans="6:28">
      <c r="F311" s="11">
        <f t="shared" ref="F311:G311" si="73">F298</f>
        <v>4.0309999999999997</v>
      </c>
      <c r="G311" s="11">
        <f t="shared" si="73"/>
        <v>8.032</v>
      </c>
      <c r="H311" s="11" t="s">
        <v>868</v>
      </c>
      <c r="I311" s="11">
        <f>I298*4.031</f>
        <v>1479.09483</v>
      </c>
      <c r="J311" s="11">
        <f>+J298*8.032</f>
        <v>4768.1164799999997</v>
      </c>
      <c r="K311" s="11"/>
      <c r="L311" s="11">
        <f>L298*4.031</f>
        <v>18.381359999999997</v>
      </c>
      <c r="M311" s="11">
        <f>+M298*8.032</f>
        <v>24.979520000000001</v>
      </c>
      <c r="N311" s="11">
        <f>N298*4.031</f>
        <v>335.78229999999996</v>
      </c>
      <c r="O311" s="11">
        <f>+O298*8.032</f>
        <v>1288.9753599999999</v>
      </c>
      <c r="P311" s="11">
        <f>P298*4.031</f>
        <v>238.27240999999998</v>
      </c>
      <c r="Q311" s="11">
        <f>+Q298*8.032</f>
        <v>1132.1907200000001</v>
      </c>
      <c r="R311" s="11">
        <f>R298*4.031</f>
        <v>2525.26026</v>
      </c>
      <c r="S311" s="11">
        <f>+S298*8.032</f>
        <v>4650.5280000000002</v>
      </c>
      <c r="T311" s="11">
        <f>T298*4.031</f>
        <v>0</v>
      </c>
      <c r="U311" s="11">
        <f>+U298*8.032</f>
        <v>560.15167999999994</v>
      </c>
      <c r="V311" s="11">
        <f>V298*4.031</f>
        <v>0</v>
      </c>
      <c r="W311" s="11">
        <f>+W298*8.032</f>
        <v>3813.8345599999998</v>
      </c>
      <c r="X311" s="11">
        <f>X298*4.031</f>
        <v>223.72049999999999</v>
      </c>
      <c r="Y311" s="11">
        <f>+Y298*8.032</f>
        <v>289.15199999999999</v>
      </c>
      <c r="Z311" s="11">
        <f t="shared" si="71"/>
        <v>4820.511660000001</v>
      </c>
      <c r="AA311" s="11">
        <f t="shared" si="68"/>
        <v>16527.928319999999</v>
      </c>
      <c r="AB311" s="11">
        <f t="shared" si="69"/>
        <v>21348.439979999999</v>
      </c>
    </row>
    <row r="312" spans="6:28">
      <c r="F312" s="11">
        <f t="shared" ref="F312:G312" si="74">F299</f>
        <v>4.04</v>
      </c>
      <c r="G312" s="11">
        <f t="shared" si="74"/>
        <v>8.032</v>
      </c>
      <c r="H312" s="11" t="s">
        <v>315</v>
      </c>
      <c r="I312" s="11">
        <f>I299*4.04</f>
        <v>1811.4148</v>
      </c>
      <c r="J312" s="11">
        <f>J299*8.032</f>
        <v>4050.5376000000001</v>
      </c>
      <c r="K312" s="11"/>
      <c r="L312" s="11">
        <f>L299*4.04</f>
        <v>43.874400000000001</v>
      </c>
      <c r="M312" s="11">
        <f>M299*8.032</f>
        <v>36.304639999999999</v>
      </c>
      <c r="N312" s="11">
        <f>N299*4.04</f>
        <v>399.83879999999999</v>
      </c>
      <c r="O312" s="11">
        <f>O299*8.032</f>
        <v>883.52</v>
      </c>
      <c r="P312" s="11">
        <f>P299*4.04</f>
        <v>171.1748</v>
      </c>
      <c r="Q312" s="11">
        <f>Q299*8.032</f>
        <v>1047.69408</v>
      </c>
      <c r="R312" s="11">
        <f>R299*4.04</f>
        <v>2249.3912</v>
      </c>
      <c r="S312" s="11">
        <f>S299*8.032</f>
        <v>4513.3414399999992</v>
      </c>
      <c r="T312" s="11">
        <f>T299*4.04</f>
        <v>0</v>
      </c>
      <c r="U312" s="11">
        <f>U299*8.032</f>
        <v>463.12511999999998</v>
      </c>
      <c r="V312" s="11">
        <f>V299*4.04</f>
        <v>0</v>
      </c>
      <c r="W312" s="11">
        <f>W299*8.032</f>
        <v>3796.9673600000001</v>
      </c>
      <c r="X312" s="11">
        <f>X299*4.04</f>
        <v>258.03480000000002</v>
      </c>
      <c r="Y312" s="11">
        <f>Y299*8.032</f>
        <v>296.86272000000002</v>
      </c>
      <c r="Z312" s="11">
        <f t="shared" si="71"/>
        <v>4933.7287999999999</v>
      </c>
      <c r="AA312" s="11">
        <f t="shared" si="68"/>
        <v>15088.35296</v>
      </c>
      <c r="AB312" s="11">
        <f t="shared" si="69"/>
        <v>20022.081760000001</v>
      </c>
    </row>
    <row r="313" spans="6:28">
      <c r="F313" s="11">
        <f t="shared" ref="F313:G313" si="75">F300</f>
        <v>4.032</v>
      </c>
      <c r="G313" s="11">
        <f t="shared" si="75"/>
        <v>8.0440000000000005</v>
      </c>
      <c r="H313" s="11" t="s">
        <v>305</v>
      </c>
      <c r="I313" s="11">
        <f>I300*4.032</f>
        <v>2474.2368000000001</v>
      </c>
      <c r="J313" s="11">
        <f>J300*8.044</f>
        <v>2722.1700400000004</v>
      </c>
      <c r="K313" s="11"/>
      <c r="L313" s="11">
        <f>L300*4.032</f>
        <v>23.627520000000001</v>
      </c>
      <c r="M313" s="11">
        <f>M300*8.044</f>
        <v>6.0330000000000004</v>
      </c>
      <c r="N313" s="11">
        <f>N300*4.032</f>
        <v>408.48192</v>
      </c>
      <c r="O313" s="11">
        <f>O300*8.044</f>
        <v>374.76996000000003</v>
      </c>
      <c r="P313" s="11">
        <f>P300*4.032</f>
        <v>197.89055999999999</v>
      </c>
      <c r="Q313" s="11">
        <f>Q300*8.044</f>
        <v>838.82832000000008</v>
      </c>
      <c r="R313" s="11">
        <f>R300*4.032</f>
        <v>2459.27808</v>
      </c>
      <c r="S313" s="11">
        <f>S300*8.044</f>
        <v>3875.35788</v>
      </c>
      <c r="T313" s="11">
        <f>T300*4.032</f>
        <v>0</v>
      </c>
      <c r="U313" s="11">
        <f>U300*8.044</f>
        <v>634.18896000000007</v>
      </c>
      <c r="V313" s="11">
        <f>V300*4.032</f>
        <v>0</v>
      </c>
      <c r="W313" s="11">
        <f>W300*8.044</f>
        <v>3584.08464</v>
      </c>
      <c r="X313" s="11">
        <f>X300*4.032</f>
        <v>240.18624</v>
      </c>
      <c r="Y313" s="11">
        <f>Y300*8.044</f>
        <v>167.95872</v>
      </c>
      <c r="Z313" s="11">
        <f t="shared" si="71"/>
        <v>5803.7011200000006</v>
      </c>
      <c r="AA313" s="11">
        <f t="shared" si="68"/>
        <v>12203.391519999999</v>
      </c>
      <c r="AB313" s="11">
        <f t="shared" si="69"/>
        <v>18007.092639999999</v>
      </c>
    </row>
    <row r="314" spans="6:28">
      <c r="F314" s="11">
        <f t="shared" ref="F314:G314" si="76">F301</f>
        <v>4.0449999999999999</v>
      </c>
      <c r="G314" s="11">
        <f t="shared" si="76"/>
        <v>8.0440000000000005</v>
      </c>
      <c r="H314" s="11" t="s">
        <v>3886</v>
      </c>
      <c r="I314" s="11">
        <f>I301*4.045</f>
        <v>2398.7658999999999</v>
      </c>
      <c r="J314" s="11">
        <f>J301*8.044</f>
        <v>2434.35572</v>
      </c>
      <c r="K314" s="11"/>
      <c r="L314" s="11">
        <f>L301*4.045</f>
        <v>54.122100000000003</v>
      </c>
      <c r="M314" s="11">
        <f>M301*8.044</f>
        <v>18.903400000000001</v>
      </c>
      <c r="N314" s="11">
        <f>N301*4.045</f>
        <v>611.72534999999993</v>
      </c>
      <c r="O314" s="11">
        <f>O301*8.044</f>
        <v>190.16016000000002</v>
      </c>
      <c r="P314" s="11">
        <f>P301*4.045</f>
        <v>143.63794999999999</v>
      </c>
      <c r="Q314" s="11">
        <f>Q301*8.044</f>
        <v>1511.8697999999999</v>
      </c>
      <c r="R314" s="11">
        <f>R301*4.045</f>
        <v>1466.83835</v>
      </c>
      <c r="S314" s="11">
        <f>S301*8.044</f>
        <v>3852.3520400000002</v>
      </c>
      <c r="T314" s="11">
        <f>T301*4.045</f>
        <v>0</v>
      </c>
      <c r="U314" s="11">
        <f>U301*8.044</f>
        <v>479.74416000000002</v>
      </c>
      <c r="V314" s="11">
        <f>V301*4.045</f>
        <v>0</v>
      </c>
      <c r="W314" s="11">
        <f>W301*8.044</f>
        <v>3015.2934000000005</v>
      </c>
      <c r="X314" s="11">
        <f>X301*4.045</f>
        <v>206.33544999999998</v>
      </c>
      <c r="Y314" s="11">
        <f>Y301*8.044</f>
        <v>167.3152</v>
      </c>
      <c r="Z314" s="11">
        <f t="shared" si="71"/>
        <v>4881.4250999999995</v>
      </c>
      <c r="AA314" s="11">
        <f t="shared" si="68"/>
        <v>11669.993880000002</v>
      </c>
      <c r="AB314" s="11">
        <f t="shared" si="69"/>
        <v>16551.418980000002</v>
      </c>
    </row>
    <row r="315" spans="6:28">
      <c r="F315" s="11">
        <f t="shared" ref="F315:G315" si="77">F302</f>
        <v>4.0410000000000004</v>
      </c>
      <c r="G315" s="11">
        <f t="shared" si="77"/>
        <v>8.0449999999999999</v>
      </c>
      <c r="H315" s="11" t="s">
        <v>3941</v>
      </c>
      <c r="I315" s="11">
        <f>I302*4.041</f>
        <v>2233.6223400000003</v>
      </c>
      <c r="J315" s="11">
        <f>J302*8.045</f>
        <v>2013.6635000000001</v>
      </c>
      <c r="K315" s="11"/>
      <c r="L315" s="11">
        <f>L302*4.041</f>
        <v>35.601210000000002</v>
      </c>
      <c r="M315" s="11">
        <f>M302*8.045</f>
        <v>20.273399999999999</v>
      </c>
      <c r="N315" s="11">
        <f>N302*4.041</f>
        <v>388.42092000000008</v>
      </c>
      <c r="O315" s="11">
        <f>O302*8.045</f>
        <v>112.4691</v>
      </c>
      <c r="P315" s="11">
        <f>P302*4.041</f>
        <v>310.18716000000006</v>
      </c>
      <c r="Q315" s="11">
        <f>Q302*8.045</f>
        <v>950.11449999999991</v>
      </c>
      <c r="R315" s="11">
        <f>R302*4.041</f>
        <v>2538.7178400000003</v>
      </c>
      <c r="S315" s="11">
        <f>S302*8.045</f>
        <v>1595.7257499999998</v>
      </c>
      <c r="T315" s="11">
        <f>T302*4.041</f>
        <v>0</v>
      </c>
      <c r="U315" s="11">
        <f>U302*8.045</f>
        <v>527.43020000000001</v>
      </c>
      <c r="V315" s="11">
        <f>V302*4.041</f>
        <v>0</v>
      </c>
      <c r="W315" s="11">
        <f>W302*8.045</f>
        <v>2977.9372000000003</v>
      </c>
      <c r="X315" s="11">
        <f>X302*4.041</f>
        <v>200.83770000000004</v>
      </c>
      <c r="Y315" s="11">
        <f>Y302*8.045</f>
        <v>139.25895</v>
      </c>
      <c r="Z315" s="11">
        <f t="shared" si="71"/>
        <v>5707.38717</v>
      </c>
      <c r="AA315" s="11">
        <f t="shared" si="68"/>
        <v>8336.8725999999988</v>
      </c>
      <c r="AB315" s="11">
        <f t="shared" si="69"/>
        <v>14044.259769999999</v>
      </c>
    </row>
    <row r="316" spans="6:28">
      <c r="F316" s="11">
        <f>F303</f>
        <v>4.0220000000000002</v>
      </c>
      <c r="G316" s="11">
        <f>+G303</f>
        <v>8.0440000000000005</v>
      </c>
      <c r="H316" s="11" t="s">
        <v>3949</v>
      </c>
      <c r="I316" s="11">
        <f>+I303*4.022</f>
        <v>1768.9158200000002</v>
      </c>
      <c r="J316" s="11">
        <f>+J303*8.044</f>
        <v>2470.3928400000004</v>
      </c>
      <c r="K316" s="11"/>
      <c r="L316" s="11">
        <f>+L303*4.022</f>
        <v>39.214500000000001</v>
      </c>
      <c r="M316" s="11">
        <f>+M303*8.044</f>
        <v>7.3200400000000005</v>
      </c>
      <c r="N316" s="11">
        <f>+N303*4.022</f>
        <v>1824.2183200000002</v>
      </c>
      <c r="O316" s="11">
        <f>+O303*8.044</f>
        <v>1899.7514799999999</v>
      </c>
      <c r="P316" s="11">
        <f>+P303*4.022</f>
        <v>400.30966000000001</v>
      </c>
      <c r="Q316" s="11">
        <f>+Q303*8.044</f>
        <v>1482.5896400000001</v>
      </c>
      <c r="R316" s="11">
        <f>+R303*4.022</f>
        <v>2482.2979599999999</v>
      </c>
      <c r="S316" s="11">
        <f>+S303*8.044</f>
        <v>2142.68028</v>
      </c>
      <c r="T316" s="11"/>
      <c r="U316" s="11">
        <f>+U303*8.044</f>
        <v>406.54376000000002</v>
      </c>
      <c r="V316" s="11"/>
      <c r="W316" s="11">
        <f>+W303*8.044</f>
        <v>3348.47588</v>
      </c>
      <c r="X316" s="11">
        <f>+X303*4.022</f>
        <v>179.42142000000001</v>
      </c>
      <c r="Y316" s="11">
        <f>+Y303*8.044</f>
        <v>197.96284</v>
      </c>
      <c r="Z316" s="11">
        <f t="shared" si="71"/>
        <v>6694.3776799999996</v>
      </c>
      <c r="AA316" s="11">
        <f t="shared" si="68"/>
        <v>11955.716760000001</v>
      </c>
      <c r="AB316" s="11">
        <f t="shared" si="69"/>
        <v>18650.094440000001</v>
      </c>
    </row>
    <row r="317" spans="6:28">
      <c r="F317" s="11">
        <v>4.0410000000000004</v>
      </c>
      <c r="G317" s="11">
        <v>8.0419999999999998</v>
      </c>
      <c r="H317" s="14" t="s">
        <v>3986</v>
      </c>
      <c r="I317" s="14">
        <f>+I304*4.041</f>
        <v>0</v>
      </c>
      <c r="J317" s="14">
        <f>+J304*8.042</f>
        <v>4343.0016799999994</v>
      </c>
      <c r="L317" s="14">
        <f>+L304*4.041</f>
        <v>19.477620000000002</v>
      </c>
      <c r="M317" s="14">
        <f>+M304*8.042</f>
        <v>0</v>
      </c>
      <c r="N317" s="14">
        <f>+N304*4.041</f>
        <v>933.26895000000002</v>
      </c>
      <c r="O317" s="14">
        <f>+O304*8.042</f>
        <v>276.40353999999996</v>
      </c>
      <c r="P317" s="14">
        <f>+P304*4.041</f>
        <v>395.73513000000008</v>
      </c>
      <c r="Q317" s="14">
        <f>+Q304*8.042</f>
        <v>310.90371999999996</v>
      </c>
      <c r="R317" s="14">
        <f>+R304*4.041</f>
        <v>3705.3545400000007</v>
      </c>
      <c r="S317" s="14">
        <f>+S304*8.042</f>
        <v>1350.57348</v>
      </c>
      <c r="T317" s="14">
        <f>+T304*4.041</f>
        <v>0</v>
      </c>
      <c r="U317" s="14">
        <f>+U304*8.042</f>
        <v>411.02661999999998</v>
      </c>
      <c r="V317" s="14">
        <f>+V304*4.041</f>
        <v>0</v>
      </c>
      <c r="W317" s="14">
        <f>+W304*8.042</f>
        <v>3363.2448199999999</v>
      </c>
      <c r="X317" s="14">
        <f>+X304*4.041</f>
        <v>195.62481</v>
      </c>
      <c r="Y317" s="14">
        <f>+Y304*8.042</f>
        <v>236.59564</v>
      </c>
      <c r="Z317" s="11">
        <f t="shared" si="71"/>
        <v>5249.4610500000008</v>
      </c>
      <c r="AA317" s="11">
        <f t="shared" si="68"/>
        <v>10291.749499999998</v>
      </c>
      <c r="AB317" s="11">
        <f t="shared" si="69"/>
        <v>15541.21055</v>
      </c>
    </row>
    <row r="318" spans="6:28">
      <c r="F318" s="14">
        <v>4.0419999999999998</v>
      </c>
      <c r="G318" s="14">
        <v>8.0419999999999998</v>
      </c>
      <c r="H318" s="14" t="s">
        <v>3987</v>
      </c>
      <c r="I318" s="14">
        <f>+I305*4.042</f>
        <v>1711.1807000000001</v>
      </c>
      <c r="J318" s="14">
        <f>+J305*8.042</f>
        <v>3311.2934999999998</v>
      </c>
      <c r="L318" s="14">
        <f>+L305*4.042</f>
        <v>83.265200000000007</v>
      </c>
      <c r="M318" s="14">
        <f>+M305*8.042</f>
        <v>0</v>
      </c>
      <c r="N318" s="14">
        <f>+N305*4.042</f>
        <v>588.51519999999994</v>
      </c>
      <c r="O318" s="14">
        <f>+O305*8.042</f>
        <v>29.674979999999998</v>
      </c>
      <c r="P318" s="14">
        <f>+P305*4.042</f>
        <v>388.92123999999995</v>
      </c>
      <c r="Q318" s="14">
        <f>+Q305*8.042</f>
        <v>335.91434000000004</v>
      </c>
      <c r="R318" s="14">
        <f>+R305*4.042</f>
        <v>3331.8610199999998</v>
      </c>
      <c r="S318" s="14">
        <f>+S305*8.042</f>
        <v>2367.0018599999999</v>
      </c>
      <c r="U318" s="14">
        <f>+U305*8.042</f>
        <v>367.27814000000001</v>
      </c>
      <c r="V318" s="14">
        <f>+V305*8.042</f>
        <v>0</v>
      </c>
      <c r="W318" s="14">
        <f>+W305*8.042</f>
        <v>3655.73236</v>
      </c>
      <c r="X318" s="14">
        <f>+X305*4.042</f>
        <v>209.82021999999998</v>
      </c>
      <c r="Y318" s="14">
        <f>+Y305*8.042</f>
        <v>170.24914000000001</v>
      </c>
      <c r="Z318" s="11">
        <f t="shared" ref="Z318" si="78">+I318+L318+N318+P318+R318+T318+V318+X318</f>
        <v>6313.56358</v>
      </c>
      <c r="AA318" s="11">
        <f t="shared" ref="AA318" si="79">+J318+M318+O318+Q318+S318+U318+W318+Y318</f>
        <v>10237.144319999999</v>
      </c>
      <c r="AB318" s="11">
        <f t="shared" si="69"/>
        <v>16550.707900000001</v>
      </c>
    </row>
    <row r="321" spans="6:28">
      <c r="H321" s="14" t="s">
        <v>4132</v>
      </c>
    </row>
    <row r="323" spans="6:28">
      <c r="F323" s="11"/>
      <c r="G323" s="11"/>
      <c r="H323" s="11"/>
      <c r="I323" s="2967" t="s">
        <v>687</v>
      </c>
      <c r="J323" s="2967"/>
      <c r="K323" s="11"/>
      <c r="L323" s="2967" t="s">
        <v>664</v>
      </c>
      <c r="M323" s="2967"/>
      <c r="N323" s="2967" t="s">
        <v>2334</v>
      </c>
      <c r="O323" s="2967"/>
      <c r="P323" s="2967" t="s">
        <v>3961</v>
      </c>
      <c r="Q323" s="2967"/>
      <c r="R323" s="2967" t="s">
        <v>711</v>
      </c>
      <c r="S323" s="2967"/>
      <c r="T323" s="11" t="s">
        <v>430</v>
      </c>
      <c r="U323" s="11"/>
      <c r="V323" s="11" t="s">
        <v>3962</v>
      </c>
      <c r="W323" s="11"/>
      <c r="X323" s="2967" t="s">
        <v>185</v>
      </c>
      <c r="Y323" s="2967"/>
      <c r="Z323" s="11"/>
      <c r="AA323" s="11"/>
      <c r="AB323" s="11"/>
    </row>
    <row r="324" spans="6:28">
      <c r="F324" s="11" t="s">
        <v>3980</v>
      </c>
      <c r="G324" s="11"/>
      <c r="H324" s="11"/>
      <c r="I324" s="2744" t="s">
        <v>542</v>
      </c>
      <c r="J324" s="2744" t="s">
        <v>544</v>
      </c>
      <c r="K324" s="2744"/>
      <c r="L324" s="2744" t="s">
        <v>542</v>
      </c>
      <c r="M324" s="2744" t="s">
        <v>544</v>
      </c>
      <c r="N324" s="2744" t="s">
        <v>542</v>
      </c>
      <c r="O324" s="2744" t="s">
        <v>544</v>
      </c>
      <c r="P324" s="2744" t="s">
        <v>542</v>
      </c>
      <c r="Q324" s="2744" t="s">
        <v>544</v>
      </c>
      <c r="R324" s="2744" t="s">
        <v>542</v>
      </c>
      <c r="S324" s="2744" t="s">
        <v>544</v>
      </c>
      <c r="T324" s="2744" t="s">
        <v>542</v>
      </c>
      <c r="U324" s="2744" t="s">
        <v>544</v>
      </c>
      <c r="V324" s="2744" t="s">
        <v>542</v>
      </c>
      <c r="W324" s="2744" t="s">
        <v>544</v>
      </c>
      <c r="X324" s="2744" t="s">
        <v>542</v>
      </c>
      <c r="Y324" s="2744" t="s">
        <v>544</v>
      </c>
      <c r="Z324" s="11" t="s">
        <v>542</v>
      </c>
      <c r="AA324" s="11" t="s">
        <v>544</v>
      </c>
      <c r="AB324" s="11" t="s">
        <v>3964</v>
      </c>
    </row>
    <row r="325" spans="6:28">
      <c r="F325" s="14">
        <v>4.0389999999999997</v>
      </c>
      <c r="G325" s="14">
        <v>8.0419999999999998</v>
      </c>
      <c r="H325" s="250">
        <v>46113</v>
      </c>
      <c r="I325" s="14">
        <v>503.68</v>
      </c>
      <c r="J325" s="14">
        <v>267.82</v>
      </c>
      <c r="L325" s="14">
        <v>11.1</v>
      </c>
      <c r="M325" s="14">
        <v>0</v>
      </c>
      <c r="N325" s="14">
        <v>157.97</v>
      </c>
      <c r="O325" s="14">
        <v>1.58</v>
      </c>
      <c r="P325" s="14">
        <v>40.1</v>
      </c>
      <c r="Q325" s="14">
        <v>123.19</v>
      </c>
      <c r="R325" s="14">
        <v>645.63</v>
      </c>
      <c r="S325" s="14">
        <v>468.51</v>
      </c>
      <c r="T325" s="14">
        <v>0</v>
      </c>
      <c r="U325" s="14">
        <v>27.58</v>
      </c>
      <c r="V325" s="14">
        <v>0</v>
      </c>
      <c r="W325" s="14">
        <v>377.97</v>
      </c>
      <c r="X325" s="14">
        <v>48.91</v>
      </c>
      <c r="Y325" s="14">
        <v>13.8</v>
      </c>
      <c r="Z325" s="11">
        <f>+I325+L325+N325+P325+R325+T325+V325+X325</f>
        <v>1407.39</v>
      </c>
      <c r="AA325" s="11">
        <f>+J325+M325+O325+Q325+S325+U325+W325+Y325</f>
        <v>1280.45</v>
      </c>
      <c r="AB325" s="11">
        <f>+Z325+AA325</f>
        <v>2687.84</v>
      </c>
    </row>
    <row r="326" spans="6:28">
      <c r="H326" s="11" t="s">
        <v>865</v>
      </c>
    </row>
    <row r="327" spans="6:28">
      <c r="H327" s="11" t="s">
        <v>866</v>
      </c>
    </row>
    <row r="328" spans="6:28">
      <c r="H328" s="11" t="s">
        <v>867</v>
      </c>
    </row>
    <row r="329" spans="6:28">
      <c r="H329" s="11" t="s">
        <v>868</v>
      </c>
    </row>
    <row r="330" spans="6:28">
      <c r="H330" s="11" t="s">
        <v>315</v>
      </c>
    </row>
    <row r="331" spans="6:28">
      <c r="H331" s="11" t="s">
        <v>305</v>
      </c>
    </row>
    <row r="332" spans="6:28">
      <c r="H332" s="11" t="s">
        <v>3886</v>
      </c>
    </row>
    <row r="333" spans="6:28">
      <c r="H333" s="11" t="s">
        <v>3941</v>
      </c>
    </row>
    <row r="334" spans="6:28">
      <c r="H334" s="11" t="s">
        <v>3949</v>
      </c>
    </row>
    <row r="335" spans="6:28">
      <c r="H335" s="14" t="s">
        <v>3986</v>
      </c>
    </row>
    <row r="336" spans="6:28">
      <c r="H336" s="14" t="s">
        <v>3987</v>
      </c>
    </row>
    <row r="338" spans="6:28">
      <c r="F338" s="11"/>
      <c r="G338" s="11"/>
      <c r="H338" s="11"/>
      <c r="I338" s="2967" t="s">
        <v>687</v>
      </c>
      <c r="J338" s="2967"/>
      <c r="K338" s="11"/>
      <c r="L338" s="2967" t="s">
        <v>664</v>
      </c>
      <c r="M338" s="2967"/>
      <c r="N338" s="2967" t="s">
        <v>2334</v>
      </c>
      <c r="O338" s="2967"/>
      <c r="P338" s="2967" t="s">
        <v>3961</v>
      </c>
      <c r="Q338" s="2967"/>
      <c r="R338" s="2967" t="s">
        <v>711</v>
      </c>
      <c r="S338" s="2967"/>
      <c r="T338" s="2968" t="s">
        <v>430</v>
      </c>
      <c r="U338" s="2969"/>
      <c r="V338" s="2968" t="s">
        <v>3962</v>
      </c>
      <c r="W338" s="2969"/>
      <c r="X338" s="2968" t="s">
        <v>185</v>
      </c>
      <c r="Y338" s="2969"/>
      <c r="Z338" s="11"/>
      <c r="AA338" s="11"/>
      <c r="AB338" s="11"/>
    </row>
    <row r="339" spans="6:28">
      <c r="F339" s="11" t="s">
        <v>3980</v>
      </c>
      <c r="G339" s="11"/>
      <c r="H339" s="11"/>
      <c r="I339" s="2744" t="s">
        <v>542</v>
      </c>
      <c r="J339" s="2744" t="s">
        <v>544</v>
      </c>
      <c r="K339" s="2744"/>
      <c r="L339" s="2744" t="s">
        <v>542</v>
      </c>
      <c r="M339" s="2744" t="s">
        <v>544</v>
      </c>
      <c r="N339" s="2744" t="s">
        <v>542</v>
      </c>
      <c r="O339" s="2744" t="s">
        <v>544</v>
      </c>
      <c r="P339" s="2744" t="s">
        <v>542</v>
      </c>
      <c r="Q339" s="2744" t="s">
        <v>544</v>
      </c>
      <c r="R339" s="2744" t="s">
        <v>542</v>
      </c>
      <c r="S339" s="2744" t="s">
        <v>544</v>
      </c>
      <c r="T339" s="2744" t="s">
        <v>542</v>
      </c>
      <c r="U339" s="2744" t="s">
        <v>544</v>
      </c>
      <c r="V339" s="2744" t="s">
        <v>542</v>
      </c>
      <c r="W339" s="2744" t="s">
        <v>544</v>
      </c>
      <c r="X339" s="2744" t="s">
        <v>542</v>
      </c>
      <c r="Y339" s="2744" t="s">
        <v>544</v>
      </c>
      <c r="Z339" s="11" t="s">
        <v>542</v>
      </c>
      <c r="AA339" s="11" t="s">
        <v>544</v>
      </c>
      <c r="AB339" s="11" t="s">
        <v>3964</v>
      </c>
    </row>
    <row r="340" spans="6:28">
      <c r="F340" s="14">
        <v>4.0389999999999997</v>
      </c>
      <c r="G340" s="14">
        <v>8.0419999999999998</v>
      </c>
      <c r="H340" s="250">
        <v>46113</v>
      </c>
      <c r="I340" s="14">
        <f>+I325*4.039</f>
        <v>2034.3635199999999</v>
      </c>
      <c r="J340" s="14">
        <f>+J325*8.042</f>
        <v>2153.8084399999998</v>
      </c>
      <c r="L340" s="14">
        <f>+L325*4.039</f>
        <v>44.832899999999995</v>
      </c>
      <c r="M340" s="14">
        <f>+M325*8.042</f>
        <v>0</v>
      </c>
      <c r="N340" s="14">
        <f>+N325*4.039</f>
        <v>638.04082999999991</v>
      </c>
      <c r="O340" s="14">
        <f>+O325*8.042</f>
        <v>12.70636</v>
      </c>
      <c r="P340" s="14">
        <f>+P325*4.039</f>
        <v>161.9639</v>
      </c>
      <c r="Q340" s="14">
        <f>+Q325*8.042</f>
        <v>990.69398000000001</v>
      </c>
      <c r="R340" s="14">
        <f>+R325*4.039</f>
        <v>2607.6995699999998</v>
      </c>
      <c r="S340" s="14">
        <f>+S325*8.042</f>
        <v>3767.7574199999999</v>
      </c>
      <c r="T340" s="14">
        <f>+T325*4.039</f>
        <v>0</v>
      </c>
      <c r="U340" s="14">
        <f>+U325*8.042</f>
        <v>221.79835999999997</v>
      </c>
      <c r="V340" s="14">
        <f>+V325*4.039</f>
        <v>0</v>
      </c>
      <c r="W340" s="14">
        <f>+W325*8.042</f>
        <v>3039.63474</v>
      </c>
      <c r="X340" s="14">
        <f>+X325*4.039</f>
        <v>197.54748999999998</v>
      </c>
      <c r="Y340" s="14">
        <f>+Y325*8.042</f>
        <v>110.9796</v>
      </c>
      <c r="Z340" s="11">
        <f>+I340+L340+N340+P340+R340+T340+V340+X340</f>
        <v>5684.4482099999996</v>
      </c>
      <c r="AA340" s="11">
        <f>+J340+M340+O340+Q340+S340+U340+W340+Y340</f>
        <v>10297.3789</v>
      </c>
      <c r="AB340" s="11">
        <f>+Z340+AA340</f>
        <v>15981.827109999998</v>
      </c>
    </row>
    <row r="341" spans="6:28">
      <c r="H341" s="11" t="s">
        <v>865</v>
      </c>
    </row>
    <row r="342" spans="6:28">
      <c r="H342" s="11" t="s">
        <v>866</v>
      </c>
    </row>
    <row r="343" spans="6:28">
      <c r="H343" s="11" t="s">
        <v>867</v>
      </c>
    </row>
    <row r="344" spans="6:28">
      <c r="H344" s="11" t="s">
        <v>868</v>
      </c>
    </row>
    <row r="345" spans="6:28">
      <c r="H345" s="11" t="s">
        <v>315</v>
      </c>
    </row>
    <row r="346" spans="6:28">
      <c r="H346" s="11" t="s">
        <v>305</v>
      </c>
    </row>
    <row r="347" spans="6:28">
      <c r="H347" s="11" t="s">
        <v>3886</v>
      </c>
    </row>
    <row r="348" spans="6:28">
      <c r="H348" s="11" t="s">
        <v>3941</v>
      </c>
    </row>
    <row r="349" spans="6:28">
      <c r="H349" s="11" t="s">
        <v>3949</v>
      </c>
    </row>
    <row r="350" spans="6:28">
      <c r="H350" s="14" t="s">
        <v>3986</v>
      </c>
    </row>
    <row r="351" spans="6:28">
      <c r="H351" s="14" t="s">
        <v>3987</v>
      </c>
    </row>
  </sheetData>
  <mergeCells count="79">
    <mergeCell ref="F277:G277"/>
    <mergeCell ref="I292:J292"/>
    <mergeCell ref="AJ108:AM108"/>
    <mergeCell ref="E114:F114"/>
    <mergeCell ref="G114:H114"/>
    <mergeCell ref="B184:E184"/>
    <mergeCell ref="I262:J262"/>
    <mergeCell ref="L262:M262"/>
    <mergeCell ref="N262:O262"/>
    <mergeCell ref="P262:Q262"/>
    <mergeCell ref="R262:S262"/>
    <mergeCell ref="X262:Y262"/>
    <mergeCell ref="Z262:AA262"/>
    <mergeCell ref="N99:R99"/>
    <mergeCell ref="AE108:AG108"/>
    <mergeCell ref="L292:M292"/>
    <mergeCell ref="N292:O292"/>
    <mergeCell ref="P292:Q292"/>
    <mergeCell ref="R292:S292"/>
    <mergeCell ref="X292:Y292"/>
    <mergeCell ref="A74:B74"/>
    <mergeCell ref="F74:H74"/>
    <mergeCell ref="I74:N74"/>
    <mergeCell ref="B77:E77"/>
    <mergeCell ref="B78:E78"/>
    <mergeCell ref="P69:Q69"/>
    <mergeCell ref="P70:Q70"/>
    <mergeCell ref="B71:D71"/>
    <mergeCell ref="P71:Q71"/>
    <mergeCell ref="A73:B73"/>
    <mergeCell ref="F73:H73"/>
    <mergeCell ref="I73:R73"/>
    <mergeCell ref="B65:D65"/>
    <mergeCell ref="B67:D67"/>
    <mergeCell ref="B68:D68"/>
    <mergeCell ref="B69:D69"/>
    <mergeCell ref="L69:O69"/>
    <mergeCell ref="B59:D59"/>
    <mergeCell ref="L59:N59"/>
    <mergeCell ref="B61:D61"/>
    <mergeCell ref="L61:N61"/>
    <mergeCell ref="B63:D63"/>
    <mergeCell ref="E52:F52"/>
    <mergeCell ref="G52:H52"/>
    <mergeCell ref="I52:J52"/>
    <mergeCell ref="AF52:AG52"/>
    <mergeCell ref="B58:D58"/>
    <mergeCell ref="L58:R58"/>
    <mergeCell ref="L16:Q16"/>
    <mergeCell ref="L22:R22"/>
    <mergeCell ref="L26:R26"/>
    <mergeCell ref="AF43:AG43"/>
    <mergeCell ref="G51:J51"/>
    <mergeCell ref="A8:B8"/>
    <mergeCell ref="F8:J8"/>
    <mergeCell ref="A9:I9"/>
    <mergeCell ref="M9:N9"/>
    <mergeCell ref="C13:D13"/>
    <mergeCell ref="F13:H13"/>
    <mergeCell ref="I13:J13"/>
    <mergeCell ref="A1:R1"/>
    <mergeCell ref="A2:R2"/>
    <mergeCell ref="A3:R3"/>
    <mergeCell ref="M5:N5"/>
    <mergeCell ref="M6:N6"/>
    <mergeCell ref="X323:Y323"/>
    <mergeCell ref="I338:J338"/>
    <mergeCell ref="L338:M338"/>
    <mergeCell ref="N338:O338"/>
    <mergeCell ref="P338:Q338"/>
    <mergeCell ref="R338:S338"/>
    <mergeCell ref="X338:Y338"/>
    <mergeCell ref="T338:U338"/>
    <mergeCell ref="V338:W338"/>
    <mergeCell ref="I323:J323"/>
    <mergeCell ref="L323:M323"/>
    <mergeCell ref="N323:O323"/>
    <mergeCell ref="P323:Q323"/>
    <mergeCell ref="R323:S323"/>
  </mergeCells>
  <hyperlinks>
    <hyperlink ref="N99" r:id="rId1" display="=A8"/>
  </hyperlinks>
  <pageMargins left="0.47244094488188981" right="0.31496062992125984" top="0.23622047244094491" bottom="0" header="0" footer="0"/>
  <pageSetup scale="37" orientation="landscape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BA216"/>
  <sheetViews>
    <sheetView topLeftCell="AL33" zoomScaleSheetLayoutView="100" workbookViewId="0">
      <selection activeCell="R191" sqref="R191"/>
    </sheetView>
  </sheetViews>
  <sheetFormatPr defaultColWidth="9" defaultRowHeight="12.75"/>
  <cols>
    <col min="1" max="1" width="17.140625" customWidth="1"/>
    <col min="8" max="8" width="10.28515625" customWidth="1"/>
    <col min="12" max="12" width="10" bestFit="1" customWidth="1"/>
    <col min="29" max="32" width="10.5703125" customWidth="1"/>
    <col min="49" max="49" width="10.7109375" customWidth="1"/>
    <col min="51" max="51" width="15.7109375" customWidth="1"/>
  </cols>
  <sheetData>
    <row r="6" spans="1:51" ht="18.75" thickBot="1">
      <c r="A6" s="2945" t="s">
        <v>2054</v>
      </c>
      <c r="B6" s="2945"/>
      <c r="C6" s="2945"/>
      <c r="D6" s="2945"/>
      <c r="E6" s="2945"/>
      <c r="F6" s="2945"/>
      <c r="G6" s="2945"/>
      <c r="H6" s="2945"/>
      <c r="I6" s="2945"/>
      <c r="J6" s="2945"/>
      <c r="K6" s="2945"/>
      <c r="L6" s="2945"/>
      <c r="M6" s="2945"/>
      <c r="N6" s="2945"/>
      <c r="O6" s="2945"/>
      <c r="P6" s="2945"/>
      <c r="Q6" s="2945"/>
      <c r="R6" s="2945"/>
      <c r="S6" s="2945"/>
      <c r="T6" s="2945"/>
      <c r="U6" s="2945"/>
      <c r="V6" s="2945"/>
      <c r="W6" s="2945"/>
      <c r="X6" s="2945"/>
      <c r="Y6" s="2945"/>
      <c r="Z6" s="2945"/>
      <c r="AA6" s="2945"/>
      <c r="AB6" s="2945"/>
      <c r="AC6" s="2945"/>
      <c r="AD6" s="101"/>
      <c r="AE6" s="511"/>
      <c r="AF6" s="14"/>
      <c r="AG6" s="511"/>
      <c r="AH6" s="14"/>
      <c r="AI6" s="511"/>
      <c r="AJ6" s="14"/>
      <c r="AK6" s="511"/>
      <c r="AL6" s="14"/>
      <c r="AM6" s="511"/>
      <c r="AN6" s="14"/>
      <c r="AO6" s="14"/>
      <c r="AP6" s="14"/>
      <c r="AQ6" s="14"/>
      <c r="AR6" s="14"/>
      <c r="AS6" s="14"/>
      <c r="AT6" s="14"/>
      <c r="AU6" s="14"/>
      <c r="AV6" s="14" t="s">
        <v>2412</v>
      </c>
    </row>
    <row r="7" spans="1:51" ht="13.5" thickBot="1">
      <c r="A7" s="491"/>
      <c r="B7" s="490" t="s">
        <v>2597</v>
      </c>
      <c r="C7" s="490"/>
      <c r="D7" s="490" t="s">
        <v>2598</v>
      </c>
      <c r="E7" s="490"/>
      <c r="F7" s="490" t="s">
        <v>2599</v>
      </c>
      <c r="G7" s="490"/>
      <c r="H7" s="490" t="s">
        <v>791</v>
      </c>
      <c r="I7" s="490"/>
      <c r="J7" s="490" t="s">
        <v>29</v>
      </c>
      <c r="K7" s="490"/>
      <c r="L7" s="490" t="s">
        <v>30</v>
      </c>
      <c r="M7" s="490"/>
      <c r="N7" s="490" t="s">
        <v>31</v>
      </c>
      <c r="O7" s="490"/>
      <c r="P7" s="490"/>
      <c r="Q7" s="490"/>
      <c r="R7" s="490"/>
      <c r="S7" s="490"/>
      <c r="T7" s="490"/>
      <c r="U7" s="490"/>
      <c r="V7" s="490"/>
      <c r="W7" s="490"/>
      <c r="X7" s="490"/>
      <c r="Y7" s="490" t="s">
        <v>32</v>
      </c>
      <c r="Z7" s="504"/>
      <c r="AA7" s="504" t="s">
        <v>33</v>
      </c>
      <c r="AB7" s="504"/>
      <c r="AC7" s="490" t="s">
        <v>34</v>
      </c>
      <c r="AD7" s="490"/>
      <c r="AE7" s="490" t="s">
        <v>40</v>
      </c>
      <c r="AF7" s="18"/>
      <c r="AG7" s="490" t="s">
        <v>41</v>
      </c>
      <c r="AH7" s="18"/>
      <c r="AI7" s="490" t="s">
        <v>170</v>
      </c>
      <c r="AJ7" s="18"/>
      <c r="AK7" s="490" t="s">
        <v>171</v>
      </c>
      <c r="AL7" s="18"/>
      <c r="AM7" s="3027" t="s">
        <v>807</v>
      </c>
      <c r="AN7" s="3027"/>
      <c r="AO7" s="3027" t="s">
        <v>808</v>
      </c>
      <c r="AP7" s="3027"/>
      <c r="AQ7" s="3027" t="s">
        <v>809</v>
      </c>
      <c r="AR7" s="3027"/>
      <c r="AS7" s="3027" t="s">
        <v>2363</v>
      </c>
      <c r="AT7" s="3027"/>
      <c r="AU7" s="18"/>
      <c r="AV7" s="18"/>
    </row>
    <row r="8" spans="1:51" ht="13.5" thickBot="1">
      <c r="A8" s="491"/>
      <c r="B8" s="490" t="s">
        <v>312</v>
      </c>
      <c r="C8" s="490" t="s">
        <v>2600</v>
      </c>
      <c r="D8" s="490" t="s">
        <v>312</v>
      </c>
      <c r="E8" s="490" t="s">
        <v>2600</v>
      </c>
      <c r="F8" s="491" t="s">
        <v>312</v>
      </c>
      <c r="G8" s="490" t="s">
        <v>2600</v>
      </c>
      <c r="H8" s="490" t="s">
        <v>312</v>
      </c>
      <c r="I8" s="490" t="s">
        <v>2600</v>
      </c>
      <c r="J8" s="490" t="s">
        <v>312</v>
      </c>
      <c r="K8" s="490" t="s">
        <v>2600</v>
      </c>
      <c r="L8" s="491" t="s">
        <v>312</v>
      </c>
      <c r="M8" s="490" t="s">
        <v>2600</v>
      </c>
      <c r="N8" s="491" t="s">
        <v>312</v>
      </c>
      <c r="O8" s="490" t="s">
        <v>2600</v>
      </c>
      <c r="P8" s="490"/>
      <c r="Q8" s="490"/>
      <c r="R8" s="490"/>
      <c r="S8" s="490"/>
      <c r="T8" s="490"/>
      <c r="U8" s="490"/>
      <c r="V8" s="490"/>
      <c r="W8" s="490"/>
      <c r="X8" s="490"/>
      <c r="Y8" s="491" t="s">
        <v>312</v>
      </c>
      <c r="Z8" s="490" t="s">
        <v>2600</v>
      </c>
      <c r="AA8" s="491" t="s">
        <v>312</v>
      </c>
      <c r="AB8" s="490" t="s">
        <v>2600</v>
      </c>
      <c r="AC8" s="491" t="s">
        <v>312</v>
      </c>
      <c r="AD8" s="490" t="s">
        <v>2600</v>
      </c>
      <c r="AE8" s="490" t="s">
        <v>312</v>
      </c>
      <c r="AF8" s="490" t="s">
        <v>2600</v>
      </c>
      <c r="AG8" s="490" t="s">
        <v>312</v>
      </c>
      <c r="AH8" s="490" t="s">
        <v>2600</v>
      </c>
      <c r="AI8" s="490" t="s">
        <v>312</v>
      </c>
      <c r="AJ8" s="490" t="s">
        <v>2600</v>
      </c>
      <c r="AK8" s="490" t="s">
        <v>312</v>
      </c>
      <c r="AL8" s="490" t="s">
        <v>2600</v>
      </c>
      <c r="AM8" s="490" t="s">
        <v>312</v>
      </c>
      <c r="AN8" s="490" t="s">
        <v>2600</v>
      </c>
      <c r="AO8" s="490" t="s">
        <v>312</v>
      </c>
      <c r="AP8" s="490" t="s">
        <v>2600</v>
      </c>
      <c r="AQ8" s="490" t="s">
        <v>312</v>
      </c>
      <c r="AR8" s="490" t="s">
        <v>2600</v>
      </c>
      <c r="AS8" s="490" t="s">
        <v>312</v>
      </c>
      <c r="AT8" s="490" t="s">
        <v>2600</v>
      </c>
      <c r="AU8" s="18"/>
      <c r="AV8" s="18"/>
      <c r="AW8">
        <v>246000</v>
      </c>
    </row>
    <row r="9" spans="1:51">
      <c r="A9" s="507" t="s">
        <v>633</v>
      </c>
      <c r="B9" s="104">
        <f>+B10+B11</f>
        <v>149873</v>
      </c>
      <c r="C9" s="1010">
        <f>+B9/AW8*100</f>
        <v>60.923983739837396</v>
      </c>
      <c r="D9" s="104">
        <f>+D10+D11</f>
        <v>156388</v>
      </c>
      <c r="E9" s="1010">
        <f>+D9/AW8*100</f>
        <v>63.572357723577234</v>
      </c>
      <c r="F9" s="104">
        <f>+F10+F11</f>
        <v>167765</v>
      </c>
      <c r="G9" s="1011">
        <f>F9/AW8*100</f>
        <v>68.197154471544721</v>
      </c>
      <c r="H9" s="507">
        <f>+H10+H11</f>
        <v>204892</v>
      </c>
      <c r="I9" s="1016">
        <f>+H9/AW8*100</f>
        <v>83.28943089430895</v>
      </c>
      <c r="J9" s="103">
        <f>+J10+J11</f>
        <v>200450</v>
      </c>
      <c r="K9" s="1016">
        <f>+J9/AW8*100</f>
        <v>81.483739837398375</v>
      </c>
      <c r="L9" s="103">
        <f>+L10+L11</f>
        <v>200395</v>
      </c>
      <c r="M9" s="1016">
        <f>+L9/AW8*100</f>
        <v>81.461382113821131</v>
      </c>
      <c r="N9" s="103">
        <f>+N10+N11</f>
        <v>135303</v>
      </c>
      <c r="O9" s="1016">
        <f>+N9/AW8*100</f>
        <v>55.001219512195121</v>
      </c>
      <c r="P9" s="1016"/>
      <c r="Q9" s="1016"/>
      <c r="R9" s="1016"/>
      <c r="S9" s="1016"/>
      <c r="T9" s="1016"/>
      <c r="U9" s="1016"/>
      <c r="V9" s="1016"/>
      <c r="W9" s="1016"/>
      <c r="X9" s="1016"/>
      <c r="Y9" s="507">
        <f>+Y10+Y11</f>
        <v>121485</v>
      </c>
      <c r="Z9" s="1011">
        <f>+Y9/AW8*100</f>
        <v>49.384146341463413</v>
      </c>
      <c r="AA9" s="513">
        <f>+AA10+AA11</f>
        <v>104029.74800000001</v>
      </c>
      <c r="AB9" s="513">
        <f>+AA9/AW8*100</f>
        <v>42.288515447154474</v>
      </c>
      <c r="AC9" s="1017">
        <f>+AC10+AC11</f>
        <v>90720</v>
      </c>
      <c r="AD9" s="513">
        <f>+AC9/AW8*100</f>
        <v>36.878048780487802</v>
      </c>
      <c r="AE9" s="1018">
        <f>+AE10+AE11</f>
        <v>88107</v>
      </c>
      <c r="AF9" s="513">
        <f>+AE9/AW8*100</f>
        <v>35.815853658536582</v>
      </c>
      <c r="AG9" s="1018">
        <v>95274</v>
      </c>
      <c r="AH9" s="513">
        <f>+AG9/AW8*100</f>
        <v>38.729268292682931</v>
      </c>
      <c r="AI9" s="1018">
        <f>+AI10+AI11</f>
        <v>101157</v>
      </c>
      <c r="AJ9" s="1012">
        <f>+AI9/AW8*100</f>
        <v>41.12073170731707</v>
      </c>
      <c r="AK9" s="1018">
        <v>103648</v>
      </c>
      <c r="AL9" s="1012">
        <f>+AK9/AW8*100</f>
        <v>42.133333333333333</v>
      </c>
      <c r="AM9" s="1018">
        <v>58152</v>
      </c>
      <c r="AN9" s="1012">
        <f>+AM9/AW8*100</f>
        <v>23.6390243902439</v>
      </c>
      <c r="AO9" s="87">
        <v>92183</v>
      </c>
      <c r="AP9" s="87">
        <f>+AO9/AW8*100</f>
        <v>37.472764227642273</v>
      </c>
      <c r="AQ9" s="87">
        <v>96037</v>
      </c>
      <c r="AR9" s="87">
        <f>+AQ9/AW8*100</f>
        <v>39.039430894308943</v>
      </c>
      <c r="AS9" s="87">
        <v>108356</v>
      </c>
      <c r="AT9" s="87">
        <f>+AS9/AW8*100</f>
        <v>44.047154471544715</v>
      </c>
      <c r="AU9" s="87"/>
      <c r="AV9" s="87"/>
      <c r="AY9" s="507" t="s">
        <v>633</v>
      </c>
    </row>
    <row r="10" spans="1:51" ht="15">
      <c r="A10" s="496" t="s">
        <v>80</v>
      </c>
      <c r="B10" s="496">
        <v>109511</v>
      </c>
      <c r="C10" s="1012"/>
      <c r="D10" s="496">
        <v>116785</v>
      </c>
      <c r="E10" s="1012"/>
      <c r="F10" s="496">
        <v>93446</v>
      </c>
      <c r="G10" s="87"/>
      <c r="H10" s="496">
        <v>111582</v>
      </c>
      <c r="I10" s="1012"/>
      <c r="J10" s="18">
        <v>88162</v>
      </c>
      <c r="K10" s="1012"/>
      <c r="L10" s="18">
        <v>107812</v>
      </c>
      <c r="M10" s="1012"/>
      <c r="N10" s="18">
        <v>102922</v>
      </c>
      <c r="O10" s="1012"/>
      <c r="P10" s="1012"/>
      <c r="Q10" s="1012"/>
      <c r="R10" s="1012"/>
      <c r="S10" s="1012"/>
      <c r="T10" s="1012"/>
      <c r="U10" s="1012"/>
      <c r="V10" s="1012"/>
      <c r="W10" s="1012"/>
      <c r="X10" s="1012"/>
      <c r="Y10" s="496">
        <v>110320</v>
      </c>
      <c r="Z10" s="87"/>
      <c r="AA10" s="1012">
        <v>100464.5</v>
      </c>
      <c r="AB10" s="1012"/>
      <c r="AC10" s="87">
        <v>86963</v>
      </c>
      <c r="AD10" s="1012"/>
      <c r="AE10" s="410">
        <v>81774</v>
      </c>
      <c r="AF10" s="496"/>
      <c r="AG10" s="24">
        <v>80905</v>
      </c>
      <c r="AH10" s="496"/>
      <c r="AI10" s="24">
        <v>93629</v>
      </c>
      <c r="AJ10" s="496"/>
      <c r="AK10" s="24">
        <v>101789</v>
      </c>
      <c r="AL10" s="496"/>
      <c r="AM10" s="50">
        <v>47527</v>
      </c>
      <c r="AN10" s="496"/>
      <c r="AO10" s="18">
        <v>84797</v>
      </c>
      <c r="AP10" s="18"/>
      <c r="AQ10" s="18">
        <v>94643</v>
      </c>
      <c r="AR10" s="18"/>
      <c r="AS10" s="18">
        <v>105352</v>
      </c>
      <c r="AT10" s="18"/>
      <c r="AU10" s="18"/>
      <c r="AV10" s="18"/>
      <c r="AY10" s="496" t="s">
        <v>80</v>
      </c>
    </row>
    <row r="11" spans="1:51" ht="15">
      <c r="A11" s="496" t="s">
        <v>2059</v>
      </c>
      <c r="B11" s="496">
        <v>40362</v>
      </c>
      <c r="C11" s="1012"/>
      <c r="D11" s="496">
        <v>39603</v>
      </c>
      <c r="E11" s="1012"/>
      <c r="F11" s="496">
        <v>74319</v>
      </c>
      <c r="G11" s="87"/>
      <c r="H11" s="496">
        <v>93310</v>
      </c>
      <c r="I11" s="1012"/>
      <c r="J11" s="18">
        <v>112288</v>
      </c>
      <c r="K11" s="1012"/>
      <c r="L11" s="18">
        <v>92583</v>
      </c>
      <c r="M11" s="1012"/>
      <c r="N11" s="18">
        <v>32381</v>
      </c>
      <c r="O11" s="1012"/>
      <c r="P11" s="1012"/>
      <c r="Q11" s="1012"/>
      <c r="R11" s="1012"/>
      <c r="S11" s="1012"/>
      <c r="T11" s="1012"/>
      <c r="U11" s="1012"/>
      <c r="V11" s="1012"/>
      <c r="W11" s="1012"/>
      <c r="X11" s="1012"/>
      <c r="Y11" s="496">
        <v>11165</v>
      </c>
      <c r="Z11" s="87"/>
      <c r="AA11" s="1019">
        <v>3565.248</v>
      </c>
      <c r="AB11" s="1019"/>
      <c r="AC11" s="87">
        <v>3757</v>
      </c>
      <c r="AD11" s="1012"/>
      <c r="AE11" s="410">
        <v>6333</v>
      </c>
      <c r="AF11" s="496"/>
      <c r="AG11" s="24">
        <v>14376</v>
      </c>
      <c r="AH11" s="496"/>
      <c r="AI11" s="24">
        <v>7528</v>
      </c>
      <c r="AJ11" s="496"/>
      <c r="AK11" s="1021">
        <f>+AK9-AK10</f>
        <v>1859</v>
      </c>
      <c r="AL11" s="496"/>
      <c r="AM11" s="1021">
        <f>+AM9-AM10</f>
        <v>10625</v>
      </c>
      <c r="AN11" s="496"/>
      <c r="AO11" s="87">
        <f>+AO9-AO10</f>
        <v>7386</v>
      </c>
      <c r="AP11" s="18"/>
      <c r="AQ11" s="87">
        <v>1391</v>
      </c>
      <c r="AR11" s="18"/>
      <c r="AS11" s="87">
        <v>3004</v>
      </c>
      <c r="AT11" s="18"/>
      <c r="AU11" s="18"/>
      <c r="AV11" s="18"/>
      <c r="AY11" s="496" t="s">
        <v>2059</v>
      </c>
    </row>
    <row r="12" spans="1:51">
      <c r="A12" s="496" t="s">
        <v>2062</v>
      </c>
      <c r="B12" s="496">
        <v>126129</v>
      </c>
      <c r="C12" s="1012">
        <f>+B12/AW12*100</f>
        <v>78.830624999999998</v>
      </c>
      <c r="D12" s="496">
        <v>147248</v>
      </c>
      <c r="E12" s="1012">
        <f>+D12/AW12*100</f>
        <v>92.03</v>
      </c>
      <c r="F12" s="496">
        <v>123167</v>
      </c>
      <c r="G12" s="87">
        <f>+F12/AW12*100</f>
        <v>76.979375000000005</v>
      </c>
      <c r="H12" s="496">
        <v>131816</v>
      </c>
      <c r="I12" s="1012">
        <f>+H12/AW12*100</f>
        <v>82.384999999999991</v>
      </c>
      <c r="J12" s="18">
        <v>120580</v>
      </c>
      <c r="K12" s="1012">
        <f>+J12/AW12*100</f>
        <v>75.362499999999997</v>
      </c>
      <c r="L12" s="18">
        <v>132070</v>
      </c>
      <c r="M12" s="1012">
        <f>+L12/AW12*100</f>
        <v>82.543750000000003</v>
      </c>
      <c r="N12" s="18">
        <v>196380</v>
      </c>
      <c r="O12" s="1012">
        <f>+N12/AW12*100</f>
        <v>122.73750000000001</v>
      </c>
      <c r="P12" s="1012"/>
      <c r="Q12" s="1012"/>
      <c r="R12" s="1012"/>
      <c r="S12" s="1012"/>
      <c r="T12" s="1012"/>
      <c r="U12" s="1012"/>
      <c r="V12" s="1012"/>
      <c r="W12" s="1012"/>
      <c r="X12" s="1012"/>
      <c r="Y12" s="496">
        <v>136147</v>
      </c>
      <c r="Z12" s="87">
        <f>+Y12/AW12*100</f>
        <v>85.091874999999987</v>
      </c>
      <c r="AA12" s="496">
        <v>120402</v>
      </c>
      <c r="AB12" s="1012">
        <f>+AA12/AW12*100</f>
        <v>75.251249999999999</v>
      </c>
      <c r="AC12" s="18">
        <v>103510</v>
      </c>
      <c r="AD12" s="1012">
        <f>+AC12/AW12*100</f>
        <v>64.693750000000009</v>
      </c>
      <c r="AE12" s="1020">
        <v>65894</v>
      </c>
      <c r="AF12" s="1012">
        <f>+AE12/AW12*100</f>
        <v>41.183750000000003</v>
      </c>
      <c r="AG12" s="1020">
        <v>93550</v>
      </c>
      <c r="AH12" s="1012">
        <f>+AG12/AW12*100</f>
        <v>58.46875</v>
      </c>
      <c r="AI12" s="1020">
        <v>125949</v>
      </c>
      <c r="AJ12" s="1012">
        <f>+AI12/AW12*100</f>
        <v>78.718125000000001</v>
      </c>
      <c r="AK12" s="1020">
        <v>120486</v>
      </c>
      <c r="AL12" s="1012">
        <f>+AK12/AW12*100</f>
        <v>75.303750000000008</v>
      </c>
      <c r="AM12" s="1020">
        <v>70417</v>
      </c>
      <c r="AN12" s="1012">
        <f>+AM12/AW12*100</f>
        <v>44.010624999999997</v>
      </c>
      <c r="AO12" s="87">
        <v>112825</v>
      </c>
      <c r="AP12" s="87">
        <f>+AO12/AW12*100</f>
        <v>70.515625</v>
      </c>
      <c r="AQ12" s="87">
        <v>111498</v>
      </c>
      <c r="AR12" s="87">
        <f>+AQ12/AW12*100</f>
        <v>69.686250000000001</v>
      </c>
      <c r="AS12" s="87">
        <v>137755</v>
      </c>
      <c r="AT12" s="87">
        <f>+AS12/AW12*100</f>
        <v>86.096874999999997</v>
      </c>
      <c r="AU12" s="87"/>
      <c r="AV12" s="87"/>
      <c r="AW12" s="18">
        <v>160000</v>
      </c>
      <c r="AY12" s="496" t="s">
        <v>2062</v>
      </c>
    </row>
    <row r="13" spans="1:51">
      <c r="A13" s="496" t="s">
        <v>2060</v>
      </c>
      <c r="B13" s="496">
        <v>109814</v>
      </c>
      <c r="C13" s="1012"/>
      <c r="D13" s="496">
        <v>111450</v>
      </c>
      <c r="E13" s="1012"/>
      <c r="F13" s="496">
        <v>100798</v>
      </c>
      <c r="G13" s="87"/>
      <c r="H13" s="496">
        <v>86156</v>
      </c>
      <c r="I13" s="1012"/>
      <c r="J13" s="18">
        <v>91338</v>
      </c>
      <c r="K13" s="1012"/>
      <c r="L13" s="18">
        <v>101451</v>
      </c>
      <c r="M13" s="1012"/>
      <c r="N13" s="18">
        <v>95868</v>
      </c>
      <c r="O13" s="1012"/>
      <c r="P13" s="1012"/>
      <c r="Q13" s="1012"/>
      <c r="R13" s="1012"/>
      <c r="S13" s="1012"/>
      <c r="T13" s="1012"/>
      <c r="U13" s="1012"/>
      <c r="V13" s="1012"/>
      <c r="W13" s="1012"/>
      <c r="X13" s="1012"/>
      <c r="Y13" s="496">
        <v>102680</v>
      </c>
      <c r="Z13" s="87"/>
      <c r="AA13" s="1012">
        <v>92382.688999999998</v>
      </c>
      <c r="AB13" s="1012"/>
      <c r="AC13" s="87">
        <f>82480-3233</f>
        <v>79247</v>
      </c>
      <c r="AD13" s="1012"/>
      <c r="AE13" s="24">
        <f>57893-2586</f>
        <v>55307</v>
      </c>
      <c r="AF13" s="1012"/>
      <c r="AG13" s="24">
        <v>76957</v>
      </c>
      <c r="AH13" s="1012"/>
      <c r="AI13" s="24">
        <v>109126</v>
      </c>
      <c r="AJ13" s="1012"/>
      <c r="AK13" s="24">
        <v>101347</v>
      </c>
      <c r="AL13" s="1012"/>
      <c r="AM13" s="24">
        <v>58971</v>
      </c>
      <c r="AN13" s="1012"/>
      <c r="AO13" s="87">
        <f>100893-6381</f>
        <v>94512</v>
      </c>
      <c r="AP13" s="87">
        <v>0</v>
      </c>
      <c r="AQ13" s="87">
        <f>101809-931</f>
        <v>100878</v>
      </c>
      <c r="AR13" s="87">
        <v>0</v>
      </c>
      <c r="AS13" s="87">
        <f>119011-2833</f>
        <v>116178</v>
      </c>
      <c r="AT13" s="87">
        <v>0</v>
      </c>
      <c r="AU13" s="87"/>
      <c r="AV13" s="87"/>
      <c r="AY13" s="496" t="s">
        <v>2060</v>
      </c>
    </row>
    <row r="14" spans="1:51">
      <c r="A14" s="496" t="s">
        <v>2061</v>
      </c>
      <c r="B14" s="496">
        <f>141261-109814</f>
        <v>31447</v>
      </c>
      <c r="C14" s="1012"/>
      <c r="D14" s="496">
        <f>150080-111450</f>
        <v>38630</v>
      </c>
      <c r="E14" s="1012"/>
      <c r="F14" s="496">
        <f>173094-100798</f>
        <v>72296</v>
      </c>
      <c r="G14" s="87"/>
      <c r="H14" s="496">
        <v>93889</v>
      </c>
      <c r="I14" s="1012"/>
      <c r="J14" s="18">
        <v>111575</v>
      </c>
      <c r="K14" s="1012"/>
      <c r="L14" s="18">
        <v>83033</v>
      </c>
      <c r="M14" s="1012"/>
      <c r="N14" s="18">
        <v>30526</v>
      </c>
      <c r="O14" s="1012"/>
      <c r="P14" s="1012"/>
      <c r="Q14" s="1012"/>
      <c r="R14" s="1012"/>
      <c r="S14" s="1012"/>
      <c r="T14" s="1012"/>
      <c r="U14" s="1012"/>
      <c r="V14" s="1012"/>
      <c r="W14" s="1012"/>
      <c r="X14" s="1012"/>
      <c r="Y14" s="496">
        <v>11666</v>
      </c>
      <c r="Z14" s="87"/>
      <c r="AA14" s="496">
        <v>3581.6</v>
      </c>
      <c r="AB14" s="496"/>
      <c r="AC14" s="87">
        <v>3233</v>
      </c>
      <c r="AD14" s="1012"/>
      <c r="AE14" s="24">
        <v>2586</v>
      </c>
      <c r="AF14" s="1012"/>
      <c r="AG14" s="24">
        <f>89108-76957</f>
        <v>12151</v>
      </c>
      <c r="AH14" s="1012"/>
      <c r="AI14" s="24">
        <v>6559</v>
      </c>
      <c r="AJ14" s="1012"/>
      <c r="AK14" s="24">
        <v>1236</v>
      </c>
      <c r="AL14" s="1012"/>
      <c r="AM14" s="24">
        <v>10004</v>
      </c>
      <c r="AN14" s="1012"/>
      <c r="AO14" s="87">
        <v>6381</v>
      </c>
      <c r="AP14" s="87"/>
      <c r="AQ14" s="87">
        <v>931</v>
      </c>
      <c r="AR14" s="87"/>
      <c r="AS14" s="87">
        <v>2833</v>
      </c>
      <c r="AT14" s="87"/>
      <c r="AU14" s="87"/>
      <c r="AV14" s="87"/>
      <c r="AY14" s="496" t="s">
        <v>2061</v>
      </c>
    </row>
    <row r="15" spans="1:51">
      <c r="A15" s="496" t="s">
        <v>521</v>
      </c>
      <c r="B15" s="24">
        <f>+B13+B14</f>
        <v>141261</v>
      </c>
      <c r="C15" s="1013">
        <f>+B15/AW15*100</f>
        <v>76.772282608695647</v>
      </c>
      <c r="D15" s="24">
        <f>+D13+D14</f>
        <v>150080</v>
      </c>
      <c r="E15" s="1013">
        <f>+D15/AW15*100</f>
        <v>81.565217391304344</v>
      </c>
      <c r="F15" s="24">
        <f>+F13+F14</f>
        <v>173094</v>
      </c>
      <c r="G15" s="87">
        <f>+F15/AW15*100</f>
        <v>94.072826086956525</v>
      </c>
      <c r="H15" s="496">
        <f>+H13+H14</f>
        <v>180045</v>
      </c>
      <c r="I15" s="1012">
        <f>+H15/AW15*100</f>
        <v>97.85054347826086</v>
      </c>
      <c r="J15" s="18">
        <f>+J13+J14</f>
        <v>202913</v>
      </c>
      <c r="K15" s="1012">
        <f>+J15/AW15*100</f>
        <v>110.27880434782608</v>
      </c>
      <c r="L15" s="18">
        <f>+L13+L14</f>
        <v>184484</v>
      </c>
      <c r="M15" s="1012">
        <f>+L15/AW15*100</f>
        <v>100.26304347826087</v>
      </c>
      <c r="N15" s="18">
        <f>+N13+N14</f>
        <v>126394</v>
      </c>
      <c r="O15" s="1012">
        <f>+N15/AW15*100</f>
        <v>68.692391304347822</v>
      </c>
      <c r="P15" s="1012"/>
      <c r="Q15" s="1012"/>
      <c r="R15" s="1012"/>
      <c r="S15" s="1012"/>
      <c r="T15" s="1012"/>
      <c r="U15" s="1012"/>
      <c r="V15" s="1012"/>
      <c r="W15" s="1012"/>
      <c r="X15" s="1012"/>
      <c r="Y15" s="496">
        <f>+Y13+Y14</f>
        <v>114346</v>
      </c>
      <c r="Z15" s="87">
        <f>+Y15/AW15*100</f>
        <v>62.144565217391303</v>
      </c>
      <c r="AA15" s="1012">
        <f>+AA14+AA13</f>
        <v>95964.289000000004</v>
      </c>
      <c r="AB15" s="1012">
        <f>+AA15/AW15*100</f>
        <v>52.154504891304356</v>
      </c>
      <c r="AC15" s="87">
        <f>+AC13+AC14</f>
        <v>82480</v>
      </c>
      <c r="AD15" s="1012">
        <f>+AC15/AW15*100</f>
        <v>44.826086956521735</v>
      </c>
      <c r="AE15" s="24">
        <f>+AE13+AE14</f>
        <v>57893</v>
      </c>
      <c r="AF15" s="1012">
        <f>+AE15/AW15*100</f>
        <v>31.463586956521738</v>
      </c>
      <c r="AG15" s="24">
        <f>+AG13+AG14</f>
        <v>89108</v>
      </c>
      <c r="AH15" s="1012">
        <f>+AG15/AW15*100</f>
        <v>48.428260869565214</v>
      </c>
      <c r="AI15" s="24">
        <f>+AI13+AI14</f>
        <v>115685</v>
      </c>
      <c r="AJ15" s="1012">
        <f>+AI15/AW15*100</f>
        <v>62.872282608695649</v>
      </c>
      <c r="AK15" s="24">
        <f>+AK13+AK14</f>
        <v>102583</v>
      </c>
      <c r="AL15" s="1012">
        <f>+AK15/AW15*100</f>
        <v>55.751630434782605</v>
      </c>
      <c r="AM15" s="24">
        <f>+AM13+AM14</f>
        <v>68975</v>
      </c>
      <c r="AN15" s="1012">
        <f>+AM15/AW15*100</f>
        <v>37.486413043478265</v>
      </c>
      <c r="AO15" s="87">
        <f>+AO14+AO13</f>
        <v>100893</v>
      </c>
      <c r="AP15" s="87">
        <f>AO15/AW15*100</f>
        <v>54.833152173913049</v>
      </c>
      <c r="AQ15" s="87">
        <v>101809</v>
      </c>
      <c r="AR15" s="87">
        <f>AQ15/AW15*100</f>
        <v>55.330978260869571</v>
      </c>
      <c r="AS15" s="87">
        <v>119011</v>
      </c>
      <c r="AT15" s="87">
        <f>AS15/AW15*100</f>
        <v>64.679891304347819</v>
      </c>
      <c r="AU15" s="87"/>
      <c r="AV15" s="87"/>
      <c r="AW15">
        <v>184000</v>
      </c>
      <c r="AY15" s="496" t="s">
        <v>521</v>
      </c>
    </row>
    <row r="16" spans="1:51" ht="13.5" thickBot="1">
      <c r="A16" s="1014" t="s">
        <v>142</v>
      </c>
      <c r="B16" s="1014">
        <v>139740</v>
      </c>
      <c r="C16" s="1014"/>
      <c r="D16" s="1014">
        <v>152640</v>
      </c>
      <c r="E16" s="1014"/>
      <c r="F16" s="1014">
        <v>172911</v>
      </c>
      <c r="G16" s="22"/>
      <c r="H16" s="1014">
        <v>180062</v>
      </c>
      <c r="I16" s="1014"/>
      <c r="J16" s="22">
        <v>200533</v>
      </c>
      <c r="K16" s="1014"/>
      <c r="L16" s="22">
        <v>188046</v>
      </c>
      <c r="M16" s="1014"/>
      <c r="N16" s="22">
        <v>118679</v>
      </c>
      <c r="O16" s="1014"/>
      <c r="P16" s="1014"/>
      <c r="Q16" s="1014"/>
      <c r="R16" s="1014"/>
      <c r="S16" s="1014"/>
      <c r="T16" s="1014"/>
      <c r="U16" s="1014"/>
      <c r="V16" s="1014"/>
      <c r="W16" s="1014"/>
      <c r="X16" s="1014"/>
      <c r="Y16" s="1014">
        <v>111192</v>
      </c>
      <c r="Z16" s="22"/>
      <c r="AA16" s="1014">
        <v>98687</v>
      </c>
      <c r="AB16" s="1014"/>
      <c r="AC16" s="22">
        <v>77439</v>
      </c>
      <c r="AD16" s="1014"/>
      <c r="AE16" s="26">
        <v>54455</v>
      </c>
      <c r="AF16" s="1014"/>
      <c r="AG16" s="26">
        <v>95919</v>
      </c>
      <c r="AH16" s="1014"/>
      <c r="AI16" s="26">
        <v>116119</v>
      </c>
      <c r="AJ16" s="1014"/>
      <c r="AK16" s="26">
        <v>97975</v>
      </c>
      <c r="AL16" s="1014"/>
      <c r="AM16" s="26">
        <v>74336</v>
      </c>
      <c r="AN16" s="1014"/>
      <c r="AO16" s="18"/>
      <c r="AP16" s="18"/>
      <c r="AQ16" s="18"/>
      <c r="AR16" s="18"/>
      <c r="AS16" s="18"/>
      <c r="AT16" s="18"/>
      <c r="AU16" s="18"/>
      <c r="AV16" s="18"/>
      <c r="AY16" s="1014" t="s">
        <v>142</v>
      </c>
    </row>
    <row r="17" spans="5:51">
      <c r="E17" s="1015"/>
      <c r="F17" s="1015"/>
      <c r="G17" s="1015"/>
      <c r="H17" s="1015"/>
    </row>
    <row r="18" spans="5:51" ht="18">
      <c r="E18" s="1015"/>
      <c r="F18" s="1015"/>
      <c r="G18" s="1015"/>
      <c r="H18" s="1015"/>
      <c r="AB18" s="18" t="s">
        <v>2601</v>
      </c>
      <c r="AC18" s="18">
        <v>71048</v>
      </c>
      <c r="AD18" s="18"/>
      <c r="AE18" s="18">
        <v>70860</v>
      </c>
      <c r="AF18" s="18"/>
      <c r="AG18" s="18">
        <v>68399</v>
      </c>
      <c r="AH18" s="18"/>
      <c r="AI18" s="18">
        <v>100255</v>
      </c>
      <c r="AJ18" s="18"/>
      <c r="AK18" s="18">
        <v>97291</v>
      </c>
      <c r="AL18" s="18"/>
      <c r="AM18" s="540">
        <v>52403.095999999998</v>
      </c>
      <c r="AN18" s="18"/>
      <c r="AO18" s="540">
        <v>88036.176999999996</v>
      </c>
      <c r="AW18" s="14">
        <v>160000</v>
      </c>
      <c r="AY18" t="s">
        <v>2601</v>
      </c>
    </row>
    <row r="19" spans="5:51" ht="18">
      <c r="E19" s="1015"/>
      <c r="F19" s="1015"/>
      <c r="G19" s="1015"/>
      <c r="H19" s="1015"/>
      <c r="AB19" s="18" t="s">
        <v>256</v>
      </c>
      <c r="AC19" s="18">
        <v>263</v>
      </c>
      <c r="AD19" s="18"/>
      <c r="AE19" s="18">
        <v>674</v>
      </c>
      <c r="AF19" s="18"/>
      <c r="AG19" s="18">
        <v>699</v>
      </c>
      <c r="AH19" s="18"/>
      <c r="AI19" s="18">
        <v>319</v>
      </c>
      <c r="AJ19" s="18"/>
      <c r="AK19" s="18">
        <v>216</v>
      </c>
      <c r="AL19" s="18"/>
      <c r="AM19" s="540">
        <v>119.47</v>
      </c>
      <c r="AN19" s="18"/>
      <c r="AO19" s="540">
        <v>495.37</v>
      </c>
      <c r="AW19" s="14"/>
      <c r="AY19" t="s">
        <v>256</v>
      </c>
    </row>
    <row r="20" spans="5:51" ht="18">
      <c r="E20" s="1015"/>
      <c r="F20" s="1015"/>
      <c r="G20" s="1015"/>
      <c r="H20" s="1015" t="s">
        <v>255</v>
      </c>
      <c r="AB20" s="18" t="s">
        <v>643</v>
      </c>
      <c r="AC20" s="18">
        <v>4353</v>
      </c>
      <c r="AD20" s="18"/>
      <c r="AE20" s="18">
        <v>3600</v>
      </c>
      <c r="AF20" s="18"/>
      <c r="AG20" s="18">
        <v>4741</v>
      </c>
      <c r="AH20" s="18">
        <v>0</v>
      </c>
      <c r="AI20" s="18">
        <v>4861</v>
      </c>
      <c r="AJ20" s="18"/>
      <c r="AK20" s="18">
        <v>5140</v>
      </c>
      <c r="AL20" s="18"/>
      <c r="AM20" s="540">
        <f>2642.932+343.08</f>
        <v>2986.0119999999997</v>
      </c>
      <c r="AN20" s="18"/>
      <c r="AO20" s="540">
        <f>5488.158+125.25</f>
        <v>5613.4080000000004</v>
      </c>
      <c r="AW20" s="14">
        <v>9800</v>
      </c>
      <c r="AY20" t="s">
        <v>643</v>
      </c>
    </row>
    <row r="21" spans="5:51" ht="18">
      <c r="E21" s="1015"/>
      <c r="F21" s="1015"/>
      <c r="G21" s="1015"/>
      <c r="H21" s="1015" t="s">
        <v>256</v>
      </c>
      <c r="AB21" s="18" t="s">
        <v>257</v>
      </c>
      <c r="AC21" s="18">
        <v>1303</v>
      </c>
      <c r="AD21" s="18"/>
      <c r="AE21" s="18">
        <v>1661</v>
      </c>
      <c r="AF21" s="18"/>
      <c r="AG21" s="18">
        <v>1728</v>
      </c>
      <c r="AH21" s="18"/>
      <c r="AI21" s="18">
        <v>1031</v>
      </c>
      <c r="AJ21" s="18"/>
      <c r="AK21" s="18">
        <v>1124</v>
      </c>
      <c r="AL21" s="18"/>
      <c r="AM21" s="540">
        <v>1414.3920000000001</v>
      </c>
      <c r="AN21" s="18"/>
      <c r="AO21" s="540">
        <v>1416.8420000000001</v>
      </c>
      <c r="AW21" s="14">
        <v>2500</v>
      </c>
      <c r="AY21" t="s">
        <v>257</v>
      </c>
    </row>
    <row r="22" spans="5:51" ht="18">
      <c r="E22" s="1015"/>
      <c r="F22" s="1015"/>
      <c r="G22" s="1015"/>
      <c r="H22" s="1015" t="s">
        <v>643</v>
      </c>
      <c r="AB22" s="18" t="s">
        <v>2602</v>
      </c>
      <c r="AC22" s="18">
        <v>5511</v>
      </c>
      <c r="AD22" s="18"/>
      <c r="AE22" s="18">
        <v>5262</v>
      </c>
      <c r="AF22" s="18"/>
      <c r="AG22" s="18">
        <v>5465</v>
      </c>
      <c r="AH22" s="18"/>
      <c r="AI22" s="18">
        <v>4611</v>
      </c>
      <c r="AJ22" s="18"/>
      <c r="AK22" s="18">
        <f>137+2038</f>
        <v>2175</v>
      </c>
      <c r="AL22" s="18"/>
      <c r="AM22" s="540">
        <f>10003.35+2048.4</f>
        <v>12051.75</v>
      </c>
      <c r="AN22" s="18"/>
      <c r="AO22" s="540">
        <f>6380.89+6950.7</f>
        <v>13331.59</v>
      </c>
      <c r="AW22" s="14">
        <v>96000</v>
      </c>
      <c r="AY22" t="s">
        <v>2602</v>
      </c>
    </row>
    <row r="23" spans="5:51" ht="18">
      <c r="E23" s="1015"/>
      <c r="F23" s="1015"/>
      <c r="G23" s="1015"/>
      <c r="H23" s="1015" t="s">
        <v>257</v>
      </c>
      <c r="AB23" s="18" t="s">
        <v>401</v>
      </c>
      <c r="AC23" s="18"/>
      <c r="AD23" s="18"/>
      <c r="AE23" s="18">
        <v>1010</v>
      </c>
      <c r="AF23" s="18"/>
      <c r="AG23" s="18">
        <v>8076</v>
      </c>
      <c r="AH23" s="18"/>
      <c r="AI23" s="18">
        <v>4618</v>
      </c>
      <c r="AJ23" s="18"/>
      <c r="AK23" s="18"/>
      <c r="AL23" s="18"/>
      <c r="AM23" s="18"/>
      <c r="AN23" s="18"/>
      <c r="AO23" s="18"/>
      <c r="AW23" s="14">
        <v>138000</v>
      </c>
      <c r="AY23" t="s">
        <v>401</v>
      </c>
    </row>
    <row r="24" spans="5:51">
      <c r="E24" s="1015"/>
      <c r="F24" s="1015"/>
      <c r="G24" s="1015"/>
      <c r="H24" s="1015" t="s">
        <v>2603</v>
      </c>
      <c r="AB24" s="18"/>
      <c r="AC24" s="18">
        <v>82480</v>
      </c>
      <c r="AD24" s="18"/>
      <c r="AE24" s="18">
        <v>83067</v>
      </c>
      <c r="AF24" s="18"/>
      <c r="AG24" s="18">
        <v>89108</v>
      </c>
      <c r="AH24" s="18"/>
      <c r="AI24" s="18">
        <v>115695</v>
      </c>
      <c r="AJ24" s="18"/>
      <c r="AK24" s="18">
        <v>105946</v>
      </c>
      <c r="AL24" s="18"/>
      <c r="AM24" s="87">
        <f>SUM(AM18:AM22)</f>
        <v>68974.720000000001</v>
      </c>
      <c r="AN24" s="18"/>
      <c r="AO24" s="87">
        <f>SUM(AO18:AO22)</f>
        <v>108893.38699999999</v>
      </c>
    </row>
    <row r="25" spans="5:51">
      <c r="E25" s="1015"/>
      <c r="F25" s="1015"/>
      <c r="G25" s="1015"/>
      <c r="H25" s="1015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spans="5:51">
      <c r="E26" s="1015"/>
      <c r="F26" s="1015"/>
      <c r="G26" s="1015"/>
      <c r="H26" s="1015"/>
      <c r="AB26" s="18" t="s">
        <v>2604</v>
      </c>
      <c r="AC26" s="87">
        <f>AD15</f>
        <v>44.826086956521735</v>
      </c>
      <c r="AD26" s="18"/>
      <c r="AE26" s="87">
        <f>AF15</f>
        <v>31.463586956521738</v>
      </c>
      <c r="AF26" s="18"/>
      <c r="AG26" s="87">
        <f>AH15</f>
        <v>48.428260869565214</v>
      </c>
      <c r="AH26" s="18"/>
      <c r="AI26" s="87">
        <f>AJ15</f>
        <v>62.872282608695649</v>
      </c>
      <c r="AJ26" s="18"/>
      <c r="AK26" s="87">
        <f>AL15</f>
        <v>55.751630434782605</v>
      </c>
      <c r="AL26" s="18"/>
      <c r="AM26" s="87">
        <f>AN15</f>
        <v>37.486413043478265</v>
      </c>
      <c r="AN26" s="18"/>
      <c r="AO26" s="87">
        <f>AP15</f>
        <v>54.833152173913049</v>
      </c>
    </row>
    <row r="27" spans="5:51">
      <c r="E27" s="1015"/>
      <c r="F27" s="1015"/>
      <c r="G27" s="1015"/>
      <c r="H27" s="1015"/>
    </row>
    <row r="28" spans="5:51">
      <c r="E28" s="1015"/>
      <c r="F28" s="1015"/>
      <c r="G28" s="1015"/>
      <c r="H28" s="1015"/>
    </row>
    <row r="29" spans="5:51">
      <c r="E29" s="1015"/>
      <c r="F29" s="1015"/>
      <c r="G29" s="1015"/>
      <c r="H29" s="1015"/>
    </row>
    <row r="30" spans="5:51">
      <c r="E30" s="1015"/>
      <c r="F30" s="1015"/>
      <c r="G30" s="1015"/>
      <c r="H30" s="1015"/>
    </row>
    <row r="31" spans="5:51">
      <c r="E31" s="1015"/>
      <c r="F31" s="1015"/>
      <c r="G31" s="1015"/>
      <c r="H31" s="1015"/>
    </row>
    <row r="32" spans="5:51">
      <c r="E32" s="1015"/>
      <c r="F32" s="1015"/>
      <c r="G32" s="1015"/>
      <c r="H32" s="1015"/>
    </row>
    <row r="33" spans="5:8">
      <c r="E33" s="1015"/>
      <c r="F33" s="1015"/>
      <c r="G33" s="1015"/>
      <c r="H33" s="1015"/>
    </row>
    <row r="34" spans="5:8">
      <c r="E34" s="1015"/>
      <c r="F34" s="1015"/>
      <c r="G34" s="1015"/>
      <c r="H34" s="1015"/>
    </row>
    <row r="35" spans="5:8">
      <c r="E35" s="1015"/>
      <c r="F35" s="1015"/>
      <c r="G35" s="1015"/>
      <c r="H35" s="1015"/>
    </row>
    <row r="36" spans="5:8">
      <c r="E36" s="1015"/>
      <c r="F36" s="1015"/>
      <c r="G36" s="1015"/>
      <c r="H36" s="1015"/>
    </row>
    <row r="37" spans="5:8">
      <c r="E37" s="1015"/>
      <c r="F37" s="1015"/>
      <c r="G37" s="1015"/>
      <c r="H37" s="1015"/>
    </row>
    <row r="38" spans="5:8">
      <c r="E38" s="1015"/>
      <c r="F38" s="1015"/>
      <c r="G38" s="1015"/>
      <c r="H38" s="1015"/>
    </row>
    <row r="39" spans="5:8">
      <c r="E39" s="1015"/>
      <c r="F39" s="1015"/>
      <c r="G39" s="1015"/>
      <c r="H39" s="1015"/>
    </row>
    <row r="40" spans="5:8">
      <c r="E40" s="1015"/>
      <c r="F40" s="1015"/>
      <c r="G40" s="1015"/>
      <c r="H40" s="1015"/>
    </row>
    <row r="41" spans="5:8">
      <c r="E41" s="1015"/>
      <c r="F41" s="1015"/>
      <c r="G41" s="1015"/>
      <c r="H41" s="1015"/>
    </row>
    <row r="42" spans="5:8">
      <c r="E42" s="1015"/>
      <c r="F42" s="1015"/>
      <c r="G42" s="1015"/>
      <c r="H42" s="1015"/>
    </row>
    <row r="43" spans="5:8">
      <c r="E43" s="1015"/>
      <c r="F43" s="1015"/>
      <c r="G43" s="1015"/>
      <c r="H43" s="1015"/>
    </row>
    <row r="44" spans="5:8">
      <c r="E44" s="1015"/>
      <c r="F44" s="1015"/>
      <c r="G44" s="1015"/>
      <c r="H44" s="1015"/>
    </row>
    <row r="45" spans="5:8">
      <c r="E45" s="1015"/>
      <c r="F45" s="1015"/>
      <c r="G45" s="1015"/>
      <c r="H45" s="1015"/>
    </row>
    <row r="46" spans="5:8">
      <c r="E46" s="1015"/>
      <c r="F46" s="1015"/>
      <c r="G46" s="1015"/>
      <c r="H46" s="1015"/>
    </row>
    <row r="47" spans="5:8">
      <c r="E47" s="1015"/>
      <c r="F47" s="1015"/>
      <c r="G47" s="1015"/>
      <c r="H47" s="1015"/>
    </row>
    <row r="48" spans="5:8">
      <c r="E48" s="1015"/>
      <c r="F48" s="1015"/>
      <c r="G48" s="1015"/>
      <c r="H48" s="1015"/>
    </row>
    <row r="49" spans="5:8">
      <c r="E49" s="1015"/>
      <c r="F49" s="1015"/>
      <c r="G49" s="1015"/>
      <c r="H49" s="1015"/>
    </row>
    <row r="50" spans="5:8">
      <c r="E50" s="1015"/>
      <c r="F50" s="1015"/>
      <c r="G50" s="1015"/>
      <c r="H50" s="1015"/>
    </row>
    <row r="51" spans="5:8">
      <c r="E51" s="1015"/>
      <c r="F51" s="1015"/>
      <c r="G51" s="1015"/>
      <c r="H51" s="1015"/>
    </row>
    <row r="52" spans="5:8">
      <c r="E52" s="1015"/>
      <c r="F52" s="1015"/>
      <c r="G52" s="1015"/>
      <c r="H52" s="1015"/>
    </row>
    <row r="53" spans="5:8">
      <c r="E53" s="1015"/>
      <c r="F53" s="1015"/>
      <c r="G53" s="1015"/>
      <c r="H53" s="1015"/>
    </row>
    <row r="54" spans="5:8">
      <c r="E54" s="1015"/>
      <c r="F54" s="1015"/>
      <c r="G54" s="1015"/>
      <c r="H54" s="1015"/>
    </row>
    <row r="55" spans="5:8">
      <c r="E55" s="1015"/>
      <c r="F55" s="1015"/>
      <c r="G55" s="1015"/>
      <c r="H55" s="1015"/>
    </row>
    <row r="56" spans="5:8">
      <c r="E56" s="1015"/>
      <c r="F56" s="1015"/>
      <c r="G56" s="1015"/>
      <c r="H56" s="1015"/>
    </row>
    <row r="57" spans="5:8">
      <c r="E57" s="1015"/>
      <c r="F57" s="1015"/>
      <c r="G57" s="1015"/>
      <c r="H57" s="1015"/>
    </row>
    <row r="58" spans="5:8">
      <c r="E58" s="1015"/>
      <c r="F58" s="1015"/>
      <c r="G58" s="1015"/>
      <c r="H58" s="1015"/>
    </row>
    <row r="59" spans="5:8">
      <c r="E59" s="1015"/>
      <c r="F59" s="1015"/>
      <c r="G59" s="1015"/>
      <c r="H59" s="1015"/>
    </row>
    <row r="60" spans="5:8">
      <c r="E60" s="1015"/>
      <c r="F60" s="1015"/>
      <c r="G60" s="1015"/>
      <c r="H60" s="1015"/>
    </row>
    <row r="61" spans="5:8">
      <c r="E61" s="1015"/>
      <c r="F61" s="1015"/>
      <c r="G61" s="1015"/>
      <c r="H61" s="1015"/>
    </row>
    <row r="62" spans="5:8">
      <c r="E62" s="1015"/>
      <c r="F62" s="1015"/>
      <c r="G62" s="1015"/>
      <c r="H62" s="1015"/>
    </row>
    <row r="63" spans="5:8">
      <c r="E63" s="1015"/>
      <c r="F63" s="1015"/>
      <c r="G63" s="1015"/>
      <c r="H63" s="1015"/>
    </row>
    <row r="64" spans="5:8">
      <c r="E64" s="1015"/>
      <c r="F64" s="1015"/>
      <c r="G64" s="1015"/>
      <c r="H64" s="1015"/>
    </row>
    <row r="65" spans="4:49">
      <c r="E65" s="1015"/>
      <c r="F65" s="1015"/>
      <c r="G65" s="1015"/>
      <c r="H65" s="1015"/>
    </row>
    <row r="66" spans="4:49">
      <c r="E66" s="1015"/>
      <c r="F66" s="1015"/>
      <c r="G66" s="1015"/>
      <c r="H66" s="1015"/>
    </row>
    <row r="67" spans="4:49">
      <c r="E67" s="1015"/>
      <c r="F67" s="1015"/>
      <c r="G67" s="1015"/>
      <c r="H67" s="1015"/>
    </row>
    <row r="68" spans="4:49">
      <c r="E68" s="1015"/>
      <c r="F68" s="1015"/>
      <c r="G68" s="1015"/>
      <c r="H68" s="1015"/>
    </row>
    <row r="69" spans="4:49">
      <c r="E69" s="1015"/>
      <c r="F69" s="1015"/>
      <c r="G69" s="1015"/>
      <c r="H69" s="1015"/>
    </row>
    <row r="70" spans="4:49">
      <c r="E70" s="1015"/>
      <c r="F70" s="1015"/>
      <c r="G70" s="1015"/>
      <c r="H70" s="1015"/>
    </row>
    <row r="71" spans="4:49">
      <c r="E71" s="1015"/>
      <c r="F71" s="1015"/>
      <c r="G71" s="1015"/>
      <c r="H71" s="1015"/>
    </row>
    <row r="72" spans="4:49">
      <c r="E72" s="1015"/>
      <c r="F72" s="1015"/>
      <c r="G72" s="1015"/>
      <c r="H72" s="1015"/>
    </row>
    <row r="73" spans="4:49">
      <c r="E73" s="1015"/>
      <c r="F73" s="1015"/>
      <c r="G73" s="1015"/>
      <c r="H73" s="1015"/>
    </row>
    <row r="74" spans="4:49">
      <c r="E74" s="1015"/>
      <c r="F74" s="1015"/>
      <c r="G74" s="1015"/>
      <c r="H74" s="1015"/>
    </row>
    <row r="75" spans="4:49">
      <c r="E75" s="1015"/>
      <c r="F75" s="1015"/>
      <c r="G75" s="1015"/>
      <c r="H75" s="1015"/>
    </row>
    <row r="76" spans="4:49" ht="13.5" thickBot="1">
      <c r="E76" s="1015"/>
      <c r="F76" s="1015"/>
      <c r="G76" s="1015"/>
      <c r="H76" s="1015"/>
    </row>
    <row r="77" spans="4:49">
      <c r="D77" s="308"/>
      <c r="E77" s="1022" t="s">
        <v>2605</v>
      </c>
      <c r="F77" s="1022"/>
      <c r="G77" s="1022"/>
      <c r="H77" s="1022"/>
      <c r="I77" s="127"/>
      <c r="J77" s="1022" t="s">
        <v>2606</v>
      </c>
      <c r="K77" s="1022"/>
      <c r="L77" s="1022"/>
      <c r="M77" s="1022"/>
      <c r="N77" s="127"/>
      <c r="O77" s="354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022" t="s">
        <v>2607</v>
      </c>
      <c r="AA77" s="1022"/>
      <c r="AB77" s="1022"/>
      <c r="AC77" s="1022"/>
      <c r="AD77" s="127"/>
      <c r="AE77" s="354"/>
      <c r="AF77" t="s">
        <v>2608</v>
      </c>
      <c r="AG77" s="595">
        <f>67528+699.628</f>
        <v>68227.627999999997</v>
      </c>
      <c r="AI77" s="18">
        <f>100224+319</f>
        <v>100543</v>
      </c>
      <c r="AW77">
        <v>184000</v>
      </c>
    </row>
    <row r="78" spans="4:49">
      <c r="D78" s="31"/>
      <c r="E78" s="3024" t="s">
        <v>2609</v>
      </c>
      <c r="F78" s="3025"/>
      <c r="G78" s="3025"/>
      <c r="H78" s="3026"/>
      <c r="I78" s="84"/>
      <c r="J78" s="3024" t="s">
        <v>2609</v>
      </c>
      <c r="K78" s="3025"/>
      <c r="L78" s="3025"/>
      <c r="M78" s="3026"/>
      <c r="N78" s="84"/>
      <c r="O78" s="63"/>
      <c r="Y78" s="3024" t="s">
        <v>2609</v>
      </c>
      <c r="Z78" s="3025"/>
      <c r="AA78" s="3025"/>
      <c r="AB78" s="3026"/>
    </row>
    <row r="79" spans="4:49">
      <c r="D79" s="31"/>
      <c r="E79" s="3024" t="s">
        <v>524</v>
      </c>
      <c r="F79" s="3026"/>
      <c r="G79" s="3024" t="s">
        <v>36</v>
      </c>
      <c r="H79" s="3026"/>
      <c r="I79" s="84"/>
      <c r="J79" s="3024" t="s">
        <v>37</v>
      </c>
      <c r="K79" s="3026"/>
      <c r="L79" s="3024" t="s">
        <v>142</v>
      </c>
      <c r="M79" s="3026"/>
      <c r="N79" s="84"/>
      <c r="O79" s="63"/>
      <c r="Y79" s="3024" t="s">
        <v>37</v>
      </c>
      <c r="Z79" s="3026"/>
      <c r="AA79" s="3024" t="s">
        <v>142</v>
      </c>
      <c r="AB79" s="3026"/>
    </row>
    <row r="80" spans="4:49">
      <c r="D80" s="31"/>
      <c r="E80" s="1023" t="s">
        <v>275</v>
      </c>
      <c r="F80" s="1023" t="s">
        <v>312</v>
      </c>
      <c r="G80" s="1023" t="s">
        <v>275</v>
      </c>
      <c r="H80" s="1023" t="s">
        <v>312</v>
      </c>
      <c r="I80" s="84"/>
      <c r="J80" s="1023" t="s">
        <v>275</v>
      </c>
      <c r="K80" s="1023" t="s">
        <v>312</v>
      </c>
      <c r="L80" s="1023" t="s">
        <v>275</v>
      </c>
      <c r="M80" s="1023" t="s">
        <v>312</v>
      </c>
      <c r="N80" s="84"/>
      <c r="O80" s="63"/>
      <c r="Y80" s="1023" t="s">
        <v>275</v>
      </c>
      <c r="Z80" s="1023" t="s">
        <v>312</v>
      </c>
      <c r="AA80" s="1023" t="s">
        <v>275</v>
      </c>
      <c r="AB80" s="1023" t="s">
        <v>312</v>
      </c>
    </row>
    <row r="81" spans="4:28">
      <c r="D81" s="31"/>
      <c r="E81" s="55">
        <v>24402</v>
      </c>
      <c r="F81" s="55">
        <v>24280</v>
      </c>
      <c r="G81" s="55">
        <v>23522</v>
      </c>
      <c r="H81" s="55">
        <v>23438</v>
      </c>
      <c r="I81" s="84"/>
      <c r="J81" s="55">
        <v>31533</v>
      </c>
      <c r="K81" s="55">
        <v>29505</v>
      </c>
      <c r="L81" s="55">
        <v>32733</v>
      </c>
      <c r="M81" s="55">
        <v>27454</v>
      </c>
      <c r="N81" s="84"/>
      <c r="O81" s="63"/>
      <c r="Y81" s="55">
        <v>33549</v>
      </c>
      <c r="Z81" s="55">
        <v>25010</v>
      </c>
      <c r="AA81" s="55">
        <v>34049</v>
      </c>
      <c r="AB81" s="55">
        <v>27056</v>
      </c>
    </row>
    <row r="82" spans="4:28">
      <c r="D82" s="31"/>
      <c r="E82" s="3024" t="s">
        <v>2610</v>
      </c>
      <c r="F82" s="3025"/>
      <c r="G82" s="3025"/>
      <c r="H82" s="3026"/>
      <c r="I82" s="84"/>
      <c r="J82" s="3024" t="s">
        <v>2610</v>
      </c>
      <c r="K82" s="3025"/>
      <c r="L82" s="3025"/>
      <c r="M82" s="3026"/>
      <c r="N82" s="84"/>
      <c r="O82" s="63"/>
      <c r="Y82" s="3024" t="s">
        <v>2610</v>
      </c>
      <c r="Z82" s="3025"/>
      <c r="AA82" s="3025"/>
      <c r="AB82" s="3026"/>
    </row>
    <row r="83" spans="4:28">
      <c r="D83" s="31"/>
      <c r="E83" s="3024" t="s">
        <v>524</v>
      </c>
      <c r="F83" s="3026"/>
      <c r="G83" s="3024" t="s">
        <v>36</v>
      </c>
      <c r="H83" s="3026"/>
      <c r="I83" s="84"/>
      <c r="J83" s="3024" t="s">
        <v>37</v>
      </c>
      <c r="K83" s="3026"/>
      <c r="L83" s="3024" t="s">
        <v>142</v>
      </c>
      <c r="M83" s="3026"/>
      <c r="N83" s="84"/>
      <c r="O83" s="63"/>
      <c r="Y83" s="3024" t="s">
        <v>37</v>
      </c>
      <c r="Z83" s="3026"/>
      <c r="AA83" s="3024" t="s">
        <v>142</v>
      </c>
      <c r="AB83" s="3026"/>
    </row>
    <row r="84" spans="4:28">
      <c r="D84" s="31"/>
      <c r="E84" s="1023" t="s">
        <v>275</v>
      </c>
      <c r="F84" s="1023" t="s">
        <v>312</v>
      </c>
      <c r="G84" s="1023" t="s">
        <v>275</v>
      </c>
      <c r="H84" s="1023" t="s">
        <v>312</v>
      </c>
      <c r="I84" s="84"/>
      <c r="J84" s="1023" t="s">
        <v>275</v>
      </c>
      <c r="K84" s="1023" t="s">
        <v>312</v>
      </c>
      <c r="L84" s="1023" t="s">
        <v>275</v>
      </c>
      <c r="M84" s="1023" t="s">
        <v>312</v>
      </c>
      <c r="N84" s="84"/>
      <c r="O84" s="63"/>
      <c r="Y84" s="1023" t="s">
        <v>275</v>
      </c>
      <c r="Z84" s="1023" t="s">
        <v>312</v>
      </c>
      <c r="AA84" s="1023" t="s">
        <v>275</v>
      </c>
      <c r="AB84" s="1023" t="s">
        <v>312</v>
      </c>
    </row>
    <row r="85" spans="4:28">
      <c r="D85" s="31"/>
      <c r="E85" s="55">
        <v>24639</v>
      </c>
      <c r="F85" s="55">
        <v>25350</v>
      </c>
      <c r="G85" s="55">
        <v>23753</v>
      </c>
      <c r="H85" s="55">
        <v>24439</v>
      </c>
      <c r="I85" s="84"/>
      <c r="J85" s="55">
        <v>31863</v>
      </c>
      <c r="K85" s="55">
        <v>29460</v>
      </c>
      <c r="L85" s="55">
        <v>33163</v>
      </c>
      <c r="M85" s="55">
        <v>30041</v>
      </c>
      <c r="N85" s="84"/>
      <c r="O85" s="63"/>
      <c r="Y85" s="55">
        <v>33850</v>
      </c>
      <c r="Z85" s="55">
        <v>27836</v>
      </c>
      <c r="AA85" s="55">
        <v>34350</v>
      </c>
      <c r="AB85" s="55">
        <f>10245+8044+9485</f>
        <v>27774</v>
      </c>
    </row>
    <row r="86" spans="4:28">
      <c r="D86" s="31"/>
      <c r="E86" s="3024" t="s">
        <v>2611</v>
      </c>
      <c r="F86" s="3025"/>
      <c r="G86" s="3025"/>
      <c r="H86" s="3026"/>
      <c r="I86" s="84"/>
      <c r="J86" s="3024" t="s">
        <v>2611</v>
      </c>
      <c r="K86" s="3025"/>
      <c r="L86" s="3025"/>
      <c r="M86" s="3026"/>
      <c r="N86" s="84"/>
      <c r="O86" s="63"/>
      <c r="Y86" s="3024" t="s">
        <v>2611</v>
      </c>
      <c r="Z86" s="3025"/>
      <c r="AA86" s="3025"/>
      <c r="AB86" s="3026"/>
    </row>
    <row r="87" spans="4:28">
      <c r="D87" s="31"/>
      <c r="E87" s="3024" t="s">
        <v>524</v>
      </c>
      <c r="F87" s="3026"/>
      <c r="G87" s="3024" t="s">
        <v>36</v>
      </c>
      <c r="H87" s="3026"/>
      <c r="I87" s="84"/>
      <c r="J87" s="3024" t="s">
        <v>37</v>
      </c>
      <c r="K87" s="3026"/>
      <c r="L87" s="3024" t="s">
        <v>142</v>
      </c>
      <c r="M87" s="3026"/>
      <c r="N87" s="84"/>
      <c r="O87" s="63"/>
      <c r="Y87" s="3024" t="s">
        <v>37</v>
      </c>
      <c r="Z87" s="3026"/>
      <c r="AA87" s="3024" t="s">
        <v>142</v>
      </c>
      <c r="AB87" s="3026"/>
    </row>
    <row r="88" spans="4:28">
      <c r="D88" s="31"/>
      <c r="E88" s="1023" t="s">
        <v>275</v>
      </c>
      <c r="F88" s="1023" t="s">
        <v>312</v>
      </c>
      <c r="G88" s="1023" t="s">
        <v>275</v>
      </c>
      <c r="H88" s="1023" t="s">
        <v>312</v>
      </c>
      <c r="I88" s="84"/>
      <c r="J88" s="1023" t="s">
        <v>275</v>
      </c>
      <c r="K88" s="1023" t="s">
        <v>312</v>
      </c>
      <c r="L88" s="1023" t="s">
        <v>275</v>
      </c>
      <c r="M88" s="1023" t="s">
        <v>312</v>
      </c>
      <c r="N88" s="84"/>
      <c r="O88" s="63"/>
      <c r="Y88" s="1023" t="s">
        <v>275</v>
      </c>
      <c r="Z88" s="1023" t="s">
        <v>312</v>
      </c>
      <c r="AA88" s="1023" t="s">
        <v>275</v>
      </c>
      <c r="AB88" s="1023" t="s">
        <v>312</v>
      </c>
    </row>
    <row r="89" spans="4:28">
      <c r="D89" s="31"/>
      <c r="E89" s="55">
        <v>24466</v>
      </c>
      <c r="F89" s="55">
        <v>28046</v>
      </c>
      <c r="G89" s="55">
        <v>23685</v>
      </c>
      <c r="H89" s="55">
        <v>27092</v>
      </c>
      <c r="I89" s="84"/>
      <c r="J89" s="55">
        <v>31729</v>
      </c>
      <c r="K89" s="55">
        <v>29820</v>
      </c>
      <c r="L89" s="55">
        <v>32929</v>
      </c>
      <c r="M89" s="55">
        <v>29449</v>
      </c>
      <c r="N89" s="84"/>
      <c r="O89" s="63"/>
      <c r="Y89" s="55">
        <v>33665</v>
      </c>
      <c r="Z89" s="55">
        <v>26195</v>
      </c>
      <c r="AA89" s="55">
        <v>34165</v>
      </c>
      <c r="AB89" s="55">
        <v>24443</v>
      </c>
    </row>
    <row r="90" spans="4:28">
      <c r="D90" s="31"/>
      <c r="E90" s="3024" t="s">
        <v>2612</v>
      </c>
      <c r="F90" s="3025"/>
      <c r="G90" s="3025"/>
      <c r="H90" s="3026"/>
      <c r="I90" s="84"/>
      <c r="J90" s="3024" t="s">
        <v>2612</v>
      </c>
      <c r="K90" s="3025"/>
      <c r="L90" s="3025"/>
      <c r="M90" s="3026"/>
      <c r="N90" s="84"/>
      <c r="O90" s="63"/>
      <c r="Y90" s="3024" t="s">
        <v>2612</v>
      </c>
      <c r="Z90" s="3025"/>
      <c r="AA90" s="3025"/>
      <c r="AB90" s="3026"/>
    </row>
    <row r="91" spans="4:28">
      <c r="D91" s="31"/>
      <c r="E91" s="3024" t="s">
        <v>524</v>
      </c>
      <c r="F91" s="3026"/>
      <c r="G91" s="3024" t="s">
        <v>36</v>
      </c>
      <c r="H91" s="3026"/>
      <c r="I91" s="84"/>
      <c r="J91" s="3024" t="s">
        <v>37</v>
      </c>
      <c r="K91" s="3026"/>
      <c r="L91" s="3024" t="s">
        <v>142</v>
      </c>
      <c r="M91" s="3026"/>
      <c r="N91" s="84"/>
      <c r="O91" s="63"/>
      <c r="Y91" s="3024" t="s">
        <v>37</v>
      </c>
      <c r="Z91" s="3026"/>
      <c r="AA91" s="3024" t="s">
        <v>142</v>
      </c>
      <c r="AB91" s="3026"/>
    </row>
    <row r="92" spans="4:28">
      <c r="D92" s="31"/>
      <c r="E92" s="1023" t="s">
        <v>275</v>
      </c>
      <c r="F92" s="1023" t="s">
        <v>312</v>
      </c>
      <c r="G92" s="1023" t="s">
        <v>275</v>
      </c>
      <c r="H92" s="1023" t="s">
        <v>312</v>
      </c>
      <c r="I92" s="84"/>
      <c r="J92" s="1023" t="s">
        <v>275</v>
      </c>
      <c r="K92" s="1023" t="s">
        <v>312</v>
      </c>
      <c r="L92" s="1023" t="s">
        <v>275</v>
      </c>
      <c r="M92" s="1023" t="s">
        <v>312</v>
      </c>
      <c r="N92" s="84"/>
      <c r="O92" s="63"/>
      <c r="Y92" s="1023" t="s">
        <v>275</v>
      </c>
      <c r="Z92" s="1023" t="s">
        <v>312</v>
      </c>
      <c r="AA92" s="1023" t="s">
        <v>275</v>
      </c>
      <c r="AB92" s="1023" t="s">
        <v>312</v>
      </c>
    </row>
    <row r="93" spans="4:28">
      <c r="D93" s="31"/>
      <c r="E93" s="55">
        <v>25007</v>
      </c>
      <c r="F93" s="55">
        <v>0</v>
      </c>
      <c r="G93" s="55">
        <v>24107</v>
      </c>
      <c r="H93" s="55">
        <v>0</v>
      </c>
      <c r="I93" s="84"/>
      <c r="J93" s="55">
        <v>31787</v>
      </c>
      <c r="K93" s="55">
        <v>26898</v>
      </c>
      <c r="L93" s="55">
        <v>33087</v>
      </c>
      <c r="M93" s="55">
        <v>29175</v>
      </c>
      <c r="N93" s="84"/>
      <c r="O93" s="63"/>
      <c r="Y93" s="55">
        <f>11235+11088+11409</f>
        <v>33732</v>
      </c>
      <c r="Z93" s="55">
        <v>23545</v>
      </c>
      <c r="AA93" s="55">
        <f>11385+11238+11609</f>
        <v>34232</v>
      </c>
      <c r="AB93" s="55">
        <v>18702</v>
      </c>
    </row>
    <row r="94" spans="4:28">
      <c r="D94" s="31"/>
      <c r="E94" s="3024" t="s">
        <v>2613</v>
      </c>
      <c r="F94" s="3025"/>
      <c r="G94" s="3025"/>
      <c r="H94" s="3026"/>
      <c r="I94" s="84"/>
      <c r="J94" s="3024" t="s">
        <v>2613</v>
      </c>
      <c r="K94" s="3025"/>
      <c r="L94" s="3025"/>
      <c r="M94" s="3026"/>
      <c r="N94" s="84"/>
      <c r="O94" s="63"/>
      <c r="Y94" s="3024" t="s">
        <v>2613</v>
      </c>
      <c r="Z94" s="3025"/>
      <c r="AA94" s="3025"/>
      <c r="AB94" s="3026"/>
    </row>
    <row r="95" spans="4:28">
      <c r="D95" s="31"/>
      <c r="E95" s="3024" t="s">
        <v>524</v>
      </c>
      <c r="F95" s="3026"/>
      <c r="G95" s="3024" t="s">
        <v>36</v>
      </c>
      <c r="H95" s="3026"/>
      <c r="I95" s="84"/>
      <c r="J95" s="3024" t="s">
        <v>37</v>
      </c>
      <c r="K95" s="3026"/>
      <c r="L95" s="3024" t="s">
        <v>142</v>
      </c>
      <c r="M95" s="3026"/>
      <c r="N95" s="84"/>
      <c r="O95" s="63"/>
      <c r="Y95" s="3024" t="s">
        <v>37</v>
      </c>
      <c r="Z95" s="3026"/>
      <c r="AA95" s="3024" t="s">
        <v>142</v>
      </c>
      <c r="AB95" s="3026"/>
    </row>
    <row r="96" spans="4:28">
      <c r="D96" s="31"/>
      <c r="E96" s="1023" t="s">
        <v>275</v>
      </c>
      <c r="F96" s="1023" t="s">
        <v>312</v>
      </c>
      <c r="G96" s="1023" t="s">
        <v>275</v>
      </c>
      <c r="H96" s="1023" t="s">
        <v>312</v>
      </c>
      <c r="I96" s="84"/>
      <c r="J96" s="1023" t="s">
        <v>275</v>
      </c>
      <c r="K96" s="1023" t="s">
        <v>312</v>
      </c>
      <c r="L96" s="1023" t="s">
        <v>275</v>
      </c>
      <c r="M96" s="1023" t="s">
        <v>312</v>
      </c>
      <c r="N96" s="84"/>
      <c r="O96" s="63"/>
      <c r="Y96" s="1023" t="s">
        <v>275</v>
      </c>
      <c r="Z96" s="1023" t="s">
        <v>312</v>
      </c>
      <c r="AA96" s="1023" t="s">
        <v>275</v>
      </c>
      <c r="AB96" s="1023" t="s">
        <v>312</v>
      </c>
    </row>
    <row r="97" spans="4:28">
      <c r="D97" s="31"/>
      <c r="E97" s="55">
        <f>+E89+E85+E81+E93</f>
        <v>98514</v>
      </c>
      <c r="F97" s="55">
        <f>+F89+F85+F81</f>
        <v>77676</v>
      </c>
      <c r="G97" s="55">
        <f>+G89+G85+G81</f>
        <v>70960</v>
      </c>
      <c r="H97" s="55">
        <f>+H89+H85+H81</f>
        <v>74969</v>
      </c>
      <c r="I97" s="84"/>
      <c r="J97" s="55">
        <f>+J89+J85+J81+J93</f>
        <v>126912</v>
      </c>
      <c r="K97" s="55">
        <f>+K89+K85+K81+K93+2</f>
        <v>115685</v>
      </c>
      <c r="L97" s="55">
        <f>+L89+L85+L81+L93</f>
        <v>131912</v>
      </c>
      <c r="M97" s="55">
        <f>+M89+M85+M81+M93</f>
        <v>116119</v>
      </c>
      <c r="N97" s="84"/>
      <c r="O97" s="63"/>
      <c r="Y97" s="55">
        <f>+Y89+Y85+Y81+Y93</f>
        <v>134796</v>
      </c>
      <c r="Z97" s="55">
        <f>+Z89+Z85+Z81+Z93</f>
        <v>102586</v>
      </c>
      <c r="AA97" s="55">
        <f>+AA89+AA85+AA81+AA93</f>
        <v>136796</v>
      </c>
      <c r="AB97" s="55">
        <f>+AB89+AB85+AB81+AB93</f>
        <v>97975</v>
      </c>
    </row>
    <row r="98" spans="4:28">
      <c r="D98" s="31"/>
      <c r="O98" s="63"/>
    </row>
    <row r="99" spans="4:28">
      <c r="D99" s="31"/>
      <c r="O99" s="63"/>
    </row>
    <row r="100" spans="4:28" ht="13.5" thickBot="1"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2" spans="4:28">
      <c r="E102" s="1022" t="s">
        <v>2614</v>
      </c>
      <c r="F102" s="1022"/>
      <c r="G102" s="1022"/>
      <c r="H102" s="1022"/>
      <c r="J102" s="127"/>
      <c r="K102" s="1022" t="s">
        <v>2607</v>
      </c>
      <c r="L102" s="1022"/>
      <c r="M102" s="1022"/>
      <c r="N102" s="1022"/>
    </row>
    <row r="103" spans="4:28">
      <c r="E103" s="3024" t="s">
        <v>2609</v>
      </c>
      <c r="F103" s="3025"/>
      <c r="G103" s="3025"/>
      <c r="H103" s="3026"/>
      <c r="J103" s="3024" t="s">
        <v>2609</v>
      </c>
      <c r="K103" s="3025"/>
      <c r="L103" s="3025"/>
      <c r="M103" s="3026"/>
    </row>
    <row r="104" spans="4:28">
      <c r="E104" s="3024" t="s">
        <v>524</v>
      </c>
      <c r="F104" s="3026"/>
      <c r="G104" s="3024" t="s">
        <v>36</v>
      </c>
      <c r="H104" s="3026"/>
      <c r="J104" s="3024" t="s">
        <v>37</v>
      </c>
      <c r="K104" s="3026"/>
      <c r="L104" s="3024" t="s">
        <v>142</v>
      </c>
      <c r="M104" s="3026"/>
    </row>
    <row r="105" spans="4:28">
      <c r="E105" s="1023" t="s">
        <v>275</v>
      </c>
      <c r="F105" s="1023" t="s">
        <v>312</v>
      </c>
      <c r="G105" s="1023" t="s">
        <v>275</v>
      </c>
      <c r="H105" s="1023" t="s">
        <v>312</v>
      </c>
      <c r="J105" s="1023" t="s">
        <v>275</v>
      </c>
      <c r="K105" s="1023" t="s">
        <v>312</v>
      </c>
      <c r="L105" s="1023" t="s">
        <v>275</v>
      </c>
      <c r="M105" s="1023" t="s">
        <v>312</v>
      </c>
    </row>
    <row r="106" spans="4:28">
      <c r="E106" s="55">
        <v>28863</v>
      </c>
      <c r="F106" s="55">
        <v>26895</v>
      </c>
      <c r="G106" s="55">
        <v>27833</v>
      </c>
      <c r="H106" s="55">
        <f>7775+9001+9193</f>
        <v>25969</v>
      </c>
      <c r="J106" s="55">
        <v>33549</v>
      </c>
      <c r="K106" s="55">
        <v>25010</v>
      </c>
      <c r="L106" s="55">
        <v>34049</v>
      </c>
      <c r="M106" s="55">
        <v>27056</v>
      </c>
    </row>
    <row r="107" spans="4:28">
      <c r="E107" s="3024" t="s">
        <v>2610</v>
      </c>
      <c r="F107" s="3025"/>
      <c r="G107" s="3025"/>
      <c r="H107" s="3026"/>
      <c r="J107" s="3024" t="s">
        <v>2610</v>
      </c>
      <c r="K107" s="3025"/>
      <c r="L107" s="3025"/>
      <c r="M107" s="3026"/>
    </row>
    <row r="108" spans="4:28">
      <c r="E108" s="3024" t="s">
        <v>524</v>
      </c>
      <c r="F108" s="3026"/>
      <c r="G108" s="3024" t="s">
        <v>36</v>
      </c>
      <c r="H108" s="3026"/>
      <c r="J108" s="3024" t="s">
        <v>37</v>
      </c>
      <c r="K108" s="3026"/>
      <c r="L108" s="3024" t="s">
        <v>142</v>
      </c>
      <c r="M108" s="3026"/>
    </row>
    <row r="109" spans="4:28">
      <c r="E109" s="1023" t="s">
        <v>275</v>
      </c>
      <c r="F109" s="1023" t="s">
        <v>312</v>
      </c>
      <c r="G109" s="1023" t="s">
        <v>275</v>
      </c>
      <c r="H109" s="1023" t="s">
        <v>312</v>
      </c>
      <c r="J109" s="1023" t="s">
        <v>275</v>
      </c>
      <c r="K109" s="1023" t="s">
        <v>312</v>
      </c>
      <c r="L109" s="1023" t="s">
        <v>275</v>
      </c>
      <c r="M109" s="1023" t="s">
        <v>312</v>
      </c>
    </row>
    <row r="110" spans="4:28">
      <c r="E110" s="55">
        <v>28932</v>
      </c>
      <c r="F110" s="55">
        <v>31477</v>
      </c>
      <c r="G110" s="55">
        <v>27900</v>
      </c>
      <c r="H110" s="55">
        <v>30366</v>
      </c>
      <c r="J110" s="55">
        <v>33850</v>
      </c>
      <c r="K110" s="55">
        <v>27836</v>
      </c>
      <c r="L110" s="55">
        <v>34350</v>
      </c>
      <c r="M110" s="55">
        <f>10245+8044+9485</f>
        <v>27774</v>
      </c>
    </row>
    <row r="111" spans="4:28">
      <c r="E111" s="3024" t="s">
        <v>2611</v>
      </c>
      <c r="F111" s="3025"/>
      <c r="G111" s="3025"/>
      <c r="H111" s="3026"/>
      <c r="J111" s="3024" t="s">
        <v>2611</v>
      </c>
      <c r="K111" s="3025"/>
      <c r="L111" s="3025"/>
      <c r="M111" s="3026"/>
    </row>
    <row r="112" spans="4:28">
      <c r="E112" s="3024" t="s">
        <v>524</v>
      </c>
      <c r="F112" s="3026"/>
      <c r="G112" s="3024" t="s">
        <v>36</v>
      </c>
      <c r="H112" s="3026"/>
      <c r="J112" s="3024" t="s">
        <v>37</v>
      </c>
      <c r="K112" s="3026"/>
      <c r="L112" s="3024" t="s">
        <v>142</v>
      </c>
      <c r="M112" s="3026"/>
    </row>
    <row r="113" spans="5:53">
      <c r="E113" s="1023" t="s">
        <v>275</v>
      </c>
      <c r="F113" s="1023" t="s">
        <v>312</v>
      </c>
      <c r="G113" s="1023" t="s">
        <v>275</v>
      </c>
      <c r="H113" s="1023" t="s">
        <v>312</v>
      </c>
      <c r="J113" s="1023" t="s">
        <v>275</v>
      </c>
      <c r="K113" s="1023" t="s">
        <v>312</v>
      </c>
      <c r="L113" s="1023" t="s">
        <v>275</v>
      </c>
      <c r="M113" s="1023" t="s">
        <v>312</v>
      </c>
    </row>
    <row r="114" spans="5:53">
      <c r="E114" s="55">
        <v>28778</v>
      </c>
      <c r="F114" s="55">
        <v>28649</v>
      </c>
      <c r="G114" s="55">
        <v>27750</v>
      </c>
      <c r="H114" s="508">
        <v>27693.1</v>
      </c>
      <c r="J114" s="55">
        <v>33665</v>
      </c>
      <c r="K114" s="55">
        <v>26195</v>
      </c>
      <c r="L114" s="55">
        <v>34165</v>
      </c>
      <c r="M114" s="55">
        <v>24443</v>
      </c>
    </row>
    <row r="115" spans="5:53">
      <c r="E115" s="3024" t="s">
        <v>2612</v>
      </c>
      <c r="F115" s="3025"/>
      <c r="G115" s="3025"/>
      <c r="H115" s="3026"/>
      <c r="J115" s="3024" t="s">
        <v>2612</v>
      </c>
      <c r="K115" s="3025"/>
      <c r="L115" s="3025"/>
      <c r="M115" s="3026"/>
    </row>
    <row r="116" spans="5:53">
      <c r="E116" s="3024" t="s">
        <v>524</v>
      </c>
      <c r="F116" s="3026"/>
      <c r="G116" s="3024" t="s">
        <v>36</v>
      </c>
      <c r="H116" s="3026"/>
      <c r="J116" s="3024" t="s">
        <v>37</v>
      </c>
      <c r="K116" s="3026"/>
      <c r="L116" s="3024" t="s">
        <v>142</v>
      </c>
      <c r="M116" s="3026"/>
    </row>
    <row r="117" spans="5:53">
      <c r="E117" s="1023" t="s">
        <v>275</v>
      </c>
      <c r="F117" s="1023" t="s">
        <v>312</v>
      </c>
      <c r="G117" s="1023" t="s">
        <v>275</v>
      </c>
      <c r="H117" s="1023" t="s">
        <v>312</v>
      </c>
      <c r="J117" s="1023" t="s">
        <v>275</v>
      </c>
      <c r="K117" s="1023" t="s">
        <v>312</v>
      </c>
      <c r="L117" s="1023" t="s">
        <v>275</v>
      </c>
      <c r="M117" s="1023" t="s">
        <v>312</v>
      </c>
    </row>
    <row r="118" spans="5:53">
      <c r="E118" s="55">
        <v>28743</v>
      </c>
      <c r="F118" s="55">
        <v>20363</v>
      </c>
      <c r="G118" s="55">
        <v>27716</v>
      </c>
      <c r="H118" s="508">
        <v>19619.400000000001</v>
      </c>
      <c r="J118" s="55">
        <f>11235+11088+11409</f>
        <v>33732</v>
      </c>
      <c r="K118" s="55">
        <v>23545</v>
      </c>
      <c r="L118" s="55">
        <f>11385+11238+11609</f>
        <v>34232</v>
      </c>
      <c r="M118" s="55">
        <v>18702</v>
      </c>
    </row>
    <row r="119" spans="5:53">
      <c r="E119" s="3024" t="s">
        <v>2613</v>
      </c>
      <c r="F119" s="3025"/>
      <c r="G119" s="3025"/>
      <c r="H119" s="3026"/>
      <c r="J119" s="3024" t="s">
        <v>2613</v>
      </c>
      <c r="K119" s="3025"/>
      <c r="L119" s="3025"/>
      <c r="M119" s="3026"/>
    </row>
    <row r="120" spans="5:53">
      <c r="E120" s="3024" t="s">
        <v>524</v>
      </c>
      <c r="F120" s="3026"/>
      <c r="G120" s="3024" t="s">
        <v>36</v>
      </c>
      <c r="H120" s="3026"/>
      <c r="J120" s="3024" t="s">
        <v>37</v>
      </c>
      <c r="K120" s="3026"/>
      <c r="L120" s="3024" t="s">
        <v>142</v>
      </c>
      <c r="M120" s="3026"/>
    </row>
    <row r="121" spans="5:53">
      <c r="E121" s="1023" t="s">
        <v>275</v>
      </c>
      <c r="F121" s="1023" t="s">
        <v>312</v>
      </c>
      <c r="G121" s="1023" t="s">
        <v>275</v>
      </c>
      <c r="H121" s="1023" t="s">
        <v>312</v>
      </c>
      <c r="J121" s="1023" t="s">
        <v>275</v>
      </c>
      <c r="K121" s="1023" t="s">
        <v>312</v>
      </c>
      <c r="L121" s="1023" t="s">
        <v>275</v>
      </c>
      <c r="M121" s="1023" t="s">
        <v>312</v>
      </c>
    </row>
    <row r="122" spans="5:53">
      <c r="E122" s="55">
        <f>+E114+E110+E106+E118</f>
        <v>115316</v>
      </c>
      <c r="F122" s="55">
        <f>+F114+F110+F106+F118</f>
        <v>107384</v>
      </c>
      <c r="G122" s="55">
        <f>+G114+G110+G106+G118</f>
        <v>111199</v>
      </c>
      <c r="H122" s="508">
        <f>+H114+H110+H106+H118</f>
        <v>103647.5</v>
      </c>
      <c r="J122" s="55">
        <f>+J114+J110+J106+J118</f>
        <v>134796</v>
      </c>
      <c r="K122" s="55">
        <f>+K114+K110+K106+K118</f>
        <v>102586</v>
      </c>
      <c r="L122" s="55">
        <f>+L114+L110+L106+L118</f>
        <v>136796</v>
      </c>
      <c r="M122" s="55">
        <f>+M114+M110+M106+M118</f>
        <v>97975</v>
      </c>
    </row>
    <row r="125" spans="5:53" ht="13.5" thickBot="1"/>
    <row r="126" spans="5:53">
      <c r="E126" s="1022" t="s">
        <v>2615</v>
      </c>
      <c r="F126" s="1022"/>
      <c r="G126" s="1022"/>
      <c r="H126" s="1022"/>
      <c r="J126" s="1015" t="s">
        <v>2616</v>
      </c>
      <c r="K126" s="1015"/>
      <c r="L126" s="1015"/>
      <c r="M126" s="1015"/>
      <c r="N126" s="1015"/>
      <c r="O126" s="1022" t="s">
        <v>4073</v>
      </c>
      <c r="P126" s="1022"/>
      <c r="Q126" s="1022"/>
      <c r="R126" s="1022"/>
      <c r="T126" s="1015" t="s">
        <v>4074</v>
      </c>
      <c r="U126" s="1015"/>
      <c r="V126" s="1015"/>
      <c r="W126" s="1015"/>
      <c r="X126" s="1015"/>
      <c r="Y126" s="1022" t="s">
        <v>4067</v>
      </c>
      <c r="Z126" s="1022"/>
      <c r="AA126" s="1022"/>
      <c r="AB126" s="1022"/>
      <c r="AD126" s="1015" t="s">
        <v>4068</v>
      </c>
      <c r="AE126" s="1015"/>
      <c r="AF126" s="1015"/>
      <c r="AG126" s="1015"/>
      <c r="AI126" s="1022" t="s">
        <v>4071</v>
      </c>
      <c r="AJ126" s="1022"/>
      <c r="AK126" s="1022"/>
      <c r="AL126" s="1022"/>
      <c r="AN126" s="1015" t="s">
        <v>4072</v>
      </c>
      <c r="AO126" s="1015"/>
      <c r="AP126" s="1015"/>
      <c r="AQ126" s="1015"/>
      <c r="AS126" s="1022" t="s">
        <v>4069</v>
      </c>
      <c r="AT126" s="1022"/>
      <c r="AU126" s="1022"/>
      <c r="AV126" s="1022"/>
      <c r="AX126" s="1015" t="s">
        <v>4070</v>
      </c>
      <c r="AY126" s="1015"/>
      <c r="AZ126" s="1015"/>
      <c r="BA126" s="1015"/>
    </row>
    <row r="127" spans="5:53">
      <c r="E127" s="3024" t="s">
        <v>2609</v>
      </c>
      <c r="F127" s="3025"/>
      <c r="G127" s="3025"/>
      <c r="H127" s="3026"/>
      <c r="J127" s="3024" t="s">
        <v>2609</v>
      </c>
      <c r="K127" s="3025"/>
      <c r="L127" s="3025"/>
      <c r="M127" s="3026"/>
      <c r="O127" s="3024" t="s">
        <v>2609</v>
      </c>
      <c r="P127" s="3025"/>
      <c r="Q127" s="3025"/>
      <c r="R127" s="3026"/>
      <c r="T127" s="3024" t="s">
        <v>2609</v>
      </c>
      <c r="U127" s="3025"/>
      <c r="V127" s="3025"/>
      <c r="W127" s="3026"/>
      <c r="Y127" s="2662" t="s">
        <v>2609</v>
      </c>
      <c r="Z127" s="2663"/>
      <c r="AA127" s="2663"/>
      <c r="AB127" s="2664"/>
      <c r="AD127" s="2662" t="s">
        <v>2609</v>
      </c>
      <c r="AE127" s="2663"/>
      <c r="AF127" s="2663"/>
      <c r="AG127" s="2664"/>
      <c r="AI127" s="2662" t="s">
        <v>2609</v>
      </c>
      <c r="AJ127" s="2663"/>
      <c r="AK127" s="2663"/>
      <c r="AL127" s="2664"/>
      <c r="AN127" s="2662" t="s">
        <v>2609</v>
      </c>
      <c r="AO127" s="2663"/>
      <c r="AP127" s="2663"/>
      <c r="AQ127" s="2664"/>
      <c r="AS127" s="2662" t="s">
        <v>2609</v>
      </c>
      <c r="AT127" s="2663"/>
      <c r="AU127" s="2663"/>
      <c r="AV127" s="2664"/>
      <c r="AX127" s="2662" t="s">
        <v>2609</v>
      </c>
      <c r="AY127" s="2663"/>
      <c r="AZ127" s="2663"/>
      <c r="BA127" s="2664"/>
    </row>
    <row r="128" spans="5:53">
      <c r="E128" s="3024" t="s">
        <v>524</v>
      </c>
      <c r="F128" s="3026"/>
      <c r="G128" s="3024" t="s">
        <v>36</v>
      </c>
      <c r="H128" s="3026"/>
      <c r="J128" s="3024" t="s">
        <v>37</v>
      </c>
      <c r="K128" s="3026"/>
      <c r="L128" s="3024" t="s">
        <v>142</v>
      </c>
      <c r="M128" s="3026"/>
      <c r="O128" s="3024" t="s">
        <v>524</v>
      </c>
      <c r="P128" s="3026"/>
      <c r="Q128" s="3024" t="s">
        <v>36</v>
      </c>
      <c r="R128" s="3026"/>
      <c r="T128" s="3024" t="s">
        <v>37</v>
      </c>
      <c r="U128" s="3026"/>
      <c r="V128" s="3024" t="s">
        <v>142</v>
      </c>
      <c r="W128" s="3026"/>
      <c r="Y128" s="2662" t="s">
        <v>524</v>
      </c>
      <c r="Z128" s="2664"/>
      <c r="AA128" s="2662" t="s">
        <v>36</v>
      </c>
      <c r="AB128" s="2664"/>
      <c r="AD128" s="2662" t="s">
        <v>37</v>
      </c>
      <c r="AE128" s="2664"/>
      <c r="AF128" s="2662" t="s">
        <v>142</v>
      </c>
      <c r="AG128" s="2664"/>
      <c r="AI128" s="2662" t="s">
        <v>524</v>
      </c>
      <c r="AJ128" s="2664"/>
      <c r="AK128" s="2662" t="s">
        <v>36</v>
      </c>
      <c r="AL128" s="2664"/>
      <c r="AN128" s="2662" t="s">
        <v>37</v>
      </c>
      <c r="AO128" s="2664"/>
      <c r="AP128" s="2662" t="s">
        <v>142</v>
      </c>
      <c r="AQ128" s="2664"/>
      <c r="AS128" s="2662" t="s">
        <v>524</v>
      </c>
      <c r="AT128" s="2664"/>
      <c r="AU128" s="2662" t="s">
        <v>36</v>
      </c>
      <c r="AV128" s="2664"/>
      <c r="AX128" s="2662" t="s">
        <v>37</v>
      </c>
      <c r="AY128" s="2664"/>
      <c r="AZ128" s="2662" t="s">
        <v>142</v>
      </c>
      <c r="BA128" s="2664"/>
    </row>
    <row r="129" spans="5:53">
      <c r="E129" s="1023" t="s">
        <v>275</v>
      </c>
      <c r="F129" s="1023" t="s">
        <v>312</v>
      </c>
      <c r="G129" s="1023" t="s">
        <v>275</v>
      </c>
      <c r="H129" s="1023" t="s">
        <v>312</v>
      </c>
      <c r="J129" s="1023" t="s">
        <v>275</v>
      </c>
      <c r="K129" s="1023" t="s">
        <v>312</v>
      </c>
      <c r="L129" s="1023" t="s">
        <v>275</v>
      </c>
      <c r="M129" s="1023" t="s">
        <v>312</v>
      </c>
      <c r="O129" s="1023" t="s">
        <v>275</v>
      </c>
      <c r="P129" s="1023" t="s">
        <v>312</v>
      </c>
      <c r="Q129" s="1023" t="s">
        <v>275</v>
      </c>
      <c r="R129" s="1023" t="s">
        <v>312</v>
      </c>
      <c r="T129" s="1023" t="s">
        <v>275</v>
      </c>
      <c r="U129" s="1023" t="s">
        <v>312</v>
      </c>
      <c r="V129" s="1023" t="s">
        <v>275</v>
      </c>
      <c r="W129" s="1023" t="s">
        <v>312</v>
      </c>
      <c r="Y129" s="1023" t="s">
        <v>275</v>
      </c>
      <c r="Z129" s="1023" t="s">
        <v>312</v>
      </c>
      <c r="AA129" s="1023" t="s">
        <v>275</v>
      </c>
      <c r="AB129" s="1023" t="s">
        <v>312</v>
      </c>
      <c r="AD129" s="1023" t="s">
        <v>275</v>
      </c>
      <c r="AE129" s="1023" t="s">
        <v>312</v>
      </c>
      <c r="AF129" s="1023" t="s">
        <v>275</v>
      </c>
      <c r="AG129" s="1023" t="s">
        <v>312</v>
      </c>
      <c r="AI129" s="1023" t="s">
        <v>275</v>
      </c>
      <c r="AJ129" s="1023" t="s">
        <v>312</v>
      </c>
      <c r="AK129" s="1023" t="s">
        <v>275</v>
      </c>
      <c r="AL129" s="1023" t="s">
        <v>312</v>
      </c>
      <c r="AN129" s="1023" t="s">
        <v>275</v>
      </c>
      <c r="AO129" s="1023" t="s">
        <v>312</v>
      </c>
      <c r="AP129" s="1023" t="s">
        <v>275</v>
      </c>
      <c r="AQ129" s="1023" t="s">
        <v>312</v>
      </c>
      <c r="AS129" s="1023" t="s">
        <v>275</v>
      </c>
      <c r="AT129" s="1023" t="s">
        <v>312</v>
      </c>
      <c r="AU129" s="1023" t="s">
        <v>275</v>
      </c>
      <c r="AV129" s="1023" t="s">
        <v>312</v>
      </c>
      <c r="AX129" s="1023" t="s">
        <v>275</v>
      </c>
      <c r="AY129" s="1023" t="s">
        <v>312</v>
      </c>
      <c r="AZ129" s="1023" t="s">
        <v>275</v>
      </c>
      <c r="BA129" s="1023" t="s">
        <v>312</v>
      </c>
    </row>
    <row r="130" spans="5:53">
      <c r="E130" s="55">
        <v>6300</v>
      </c>
      <c r="F130" s="55">
        <v>6307</v>
      </c>
      <c r="G130" s="55">
        <v>6080</v>
      </c>
      <c r="H130" s="55">
        <v>6081</v>
      </c>
      <c r="J130" s="55">
        <v>6728</v>
      </c>
      <c r="K130" s="55">
        <v>6728</v>
      </c>
      <c r="L130" s="55">
        <v>7228</v>
      </c>
      <c r="M130" s="55">
        <v>8385</v>
      </c>
      <c r="O130" s="55">
        <v>23504</v>
      </c>
      <c r="P130" s="55">
        <f>7151+7047+6751</f>
        <v>20949</v>
      </c>
      <c r="Q130" s="55">
        <v>22684</v>
      </c>
      <c r="R130" s="55">
        <f>6901+6807+6526</f>
        <v>20234</v>
      </c>
      <c r="T130" s="55">
        <v>29204</v>
      </c>
      <c r="U130" s="508">
        <v>22064.73</v>
      </c>
      <c r="V130" s="55">
        <v>29704</v>
      </c>
      <c r="W130" s="508">
        <v>23170.536</v>
      </c>
      <c r="Y130" s="55">
        <v>23504</v>
      </c>
      <c r="Z130" s="55">
        <f>7151+7047+6751</f>
        <v>20949</v>
      </c>
      <c r="AA130" s="55">
        <v>22684</v>
      </c>
      <c r="AB130" s="55">
        <f>6901+6807+6526</f>
        <v>20234</v>
      </c>
      <c r="AD130" s="55">
        <v>29204</v>
      </c>
      <c r="AE130" s="508">
        <v>22064.73</v>
      </c>
      <c r="AF130" s="55">
        <v>29704</v>
      </c>
      <c r="AG130" s="508">
        <v>23170.536</v>
      </c>
      <c r="AI130" s="55">
        <v>25365</v>
      </c>
      <c r="AJ130" s="55">
        <f>9717+9091+9398</f>
        <v>28206</v>
      </c>
      <c r="AK130" s="55">
        <f>8066+8332+8108</f>
        <v>24506</v>
      </c>
      <c r="AL130" s="55">
        <f>9374+8765+9087</f>
        <v>27226</v>
      </c>
      <c r="AN130" s="55">
        <f>9800+10005+9945</f>
        <v>29750</v>
      </c>
      <c r="AO130" s="508">
        <v>31583.605</v>
      </c>
      <c r="AP130" s="55">
        <f>9950+10155+10145</f>
        <v>30250</v>
      </c>
      <c r="AQ130" s="508">
        <v>31621.845000000001</v>
      </c>
      <c r="AS130" s="55">
        <v>30886</v>
      </c>
      <c r="AT130" s="55">
        <f>8986+9661+7781</f>
        <v>26428</v>
      </c>
      <c r="AU130" s="55">
        <v>29846</v>
      </c>
      <c r="AV130" s="55">
        <f>8667+9335+7517</f>
        <v>25519</v>
      </c>
      <c r="AX130" s="55">
        <v>32668</v>
      </c>
      <c r="AY130" s="508">
        <v>27120.705999999998</v>
      </c>
      <c r="AZ130" s="55">
        <v>33168</v>
      </c>
      <c r="BA130" s="508">
        <v>29619.99</v>
      </c>
    </row>
    <row r="131" spans="5:53">
      <c r="E131" s="3024" t="s">
        <v>2610</v>
      </c>
      <c r="F131" s="3025"/>
      <c r="G131" s="3025"/>
      <c r="H131" s="3026"/>
      <c r="J131" s="3024" t="s">
        <v>2610</v>
      </c>
      <c r="K131" s="3025"/>
      <c r="L131" s="3025"/>
      <c r="M131" s="3026"/>
      <c r="O131" s="3024" t="s">
        <v>2610</v>
      </c>
      <c r="P131" s="3025"/>
      <c r="Q131" s="3025"/>
      <c r="R131" s="3026"/>
      <c r="T131" s="3024" t="s">
        <v>2610</v>
      </c>
      <c r="U131" s="3025"/>
      <c r="V131" s="3025"/>
      <c r="W131" s="3026"/>
      <c r="Y131" s="2662" t="s">
        <v>2610</v>
      </c>
      <c r="Z131" s="2663"/>
      <c r="AA131" s="2663"/>
      <c r="AB131" s="2664"/>
      <c r="AD131" s="2662" t="s">
        <v>2610</v>
      </c>
      <c r="AE131" s="2663"/>
      <c r="AF131" s="2663"/>
      <c r="AG131" s="2664"/>
      <c r="AI131" s="2662" t="s">
        <v>2610</v>
      </c>
      <c r="AJ131" s="2663"/>
      <c r="AK131" s="2663"/>
      <c r="AL131" s="2664"/>
      <c r="AN131" s="2662" t="s">
        <v>2610</v>
      </c>
      <c r="AO131" s="2663"/>
      <c r="AP131" s="2663"/>
      <c r="AQ131" s="2664"/>
      <c r="AS131" s="2662" t="s">
        <v>2610</v>
      </c>
      <c r="AT131" s="2663"/>
      <c r="AU131" s="2663"/>
      <c r="AV131" s="2664"/>
      <c r="AX131" s="2662" t="s">
        <v>2610</v>
      </c>
      <c r="AY131" s="2663"/>
      <c r="AZ131" s="2663"/>
      <c r="BA131" s="2664"/>
    </row>
    <row r="132" spans="5:53">
      <c r="E132" s="3024" t="s">
        <v>524</v>
      </c>
      <c r="F132" s="3026"/>
      <c r="G132" s="3024" t="s">
        <v>36</v>
      </c>
      <c r="H132" s="3026"/>
      <c r="J132" s="3024" t="s">
        <v>37</v>
      </c>
      <c r="K132" s="3026"/>
      <c r="L132" s="3024" t="s">
        <v>142</v>
      </c>
      <c r="M132" s="3026"/>
      <c r="O132" s="3024" t="s">
        <v>524</v>
      </c>
      <c r="P132" s="3026"/>
      <c r="Q132" s="3024" t="s">
        <v>36</v>
      </c>
      <c r="R132" s="3026"/>
      <c r="T132" s="3024" t="s">
        <v>37</v>
      </c>
      <c r="U132" s="3026"/>
      <c r="V132" s="3024" t="s">
        <v>142</v>
      </c>
      <c r="W132" s="3026"/>
      <c r="Y132" s="2662" t="s">
        <v>524</v>
      </c>
      <c r="Z132" s="2664"/>
      <c r="AA132" s="2662" t="s">
        <v>36</v>
      </c>
      <c r="AB132" s="2664"/>
      <c r="AD132" s="2662" t="s">
        <v>37</v>
      </c>
      <c r="AE132" s="2664"/>
      <c r="AF132" s="2662" t="s">
        <v>142</v>
      </c>
      <c r="AG132" s="2664"/>
      <c r="AI132" s="2662" t="s">
        <v>524</v>
      </c>
      <c r="AJ132" s="2664"/>
      <c r="AK132" s="2662" t="s">
        <v>36</v>
      </c>
      <c r="AL132" s="2664"/>
      <c r="AN132" s="2662" t="s">
        <v>37</v>
      </c>
      <c r="AO132" s="2664"/>
      <c r="AP132" s="2662" t="s">
        <v>142</v>
      </c>
      <c r="AQ132" s="2664"/>
      <c r="AS132" s="2662" t="s">
        <v>524</v>
      </c>
      <c r="AT132" s="2664"/>
      <c r="AU132" s="2662" t="s">
        <v>36</v>
      </c>
      <c r="AV132" s="2664"/>
      <c r="AX132" s="2662" t="s">
        <v>37</v>
      </c>
      <c r="AY132" s="2664"/>
      <c r="AZ132" s="2662" t="s">
        <v>142</v>
      </c>
      <c r="BA132" s="2664"/>
    </row>
    <row r="133" spans="5:53">
      <c r="E133" s="1023" t="s">
        <v>275</v>
      </c>
      <c r="F133" s="1023" t="s">
        <v>312</v>
      </c>
      <c r="G133" s="1023" t="s">
        <v>275</v>
      </c>
      <c r="H133" s="1023" t="s">
        <v>312</v>
      </c>
      <c r="J133" s="1023" t="s">
        <v>275</v>
      </c>
      <c r="K133" s="1023" t="s">
        <v>312</v>
      </c>
      <c r="L133" s="1023" t="s">
        <v>275</v>
      </c>
      <c r="M133" s="1023" t="s">
        <v>312</v>
      </c>
      <c r="O133" s="1023" t="s">
        <v>275</v>
      </c>
      <c r="P133" s="1023" t="s">
        <v>312</v>
      </c>
      <c r="Q133" s="1023" t="s">
        <v>275</v>
      </c>
      <c r="R133" s="1023" t="s">
        <v>312</v>
      </c>
      <c r="T133" s="1023" t="s">
        <v>275</v>
      </c>
      <c r="U133" s="1023" t="s">
        <v>312</v>
      </c>
      <c r="V133" s="1023" t="s">
        <v>275</v>
      </c>
      <c r="W133" s="1023" t="s">
        <v>312</v>
      </c>
      <c r="Y133" s="1023" t="s">
        <v>275</v>
      </c>
      <c r="Z133" s="1023" t="s">
        <v>312</v>
      </c>
      <c r="AA133" s="1023" t="s">
        <v>275</v>
      </c>
      <c r="AB133" s="1023" t="s">
        <v>312</v>
      </c>
      <c r="AD133" s="1023" t="s">
        <v>275</v>
      </c>
      <c r="AE133" s="1023" t="s">
        <v>312</v>
      </c>
      <c r="AF133" s="1023" t="s">
        <v>275</v>
      </c>
      <c r="AG133" s="1023" t="s">
        <v>312</v>
      </c>
      <c r="AI133" s="1023" t="s">
        <v>275</v>
      </c>
      <c r="AJ133" s="1023" t="s">
        <v>312</v>
      </c>
      <c r="AK133" s="1023" t="s">
        <v>275</v>
      </c>
      <c r="AL133" s="1023" t="s">
        <v>312</v>
      </c>
      <c r="AN133" s="1023" t="s">
        <v>275</v>
      </c>
      <c r="AO133" s="1023" t="s">
        <v>312</v>
      </c>
      <c r="AP133" s="1023" t="s">
        <v>275</v>
      </c>
      <c r="AQ133" s="1023" t="s">
        <v>312</v>
      </c>
      <c r="AS133" s="1023" t="s">
        <v>275</v>
      </c>
      <c r="AT133" s="1023" t="s">
        <v>312</v>
      </c>
      <c r="AU133" s="1023" t="s">
        <v>275</v>
      </c>
      <c r="AV133" s="1023" t="s">
        <v>312</v>
      </c>
      <c r="AX133" s="1023" t="s">
        <v>275</v>
      </c>
      <c r="AY133" s="1023" t="s">
        <v>312</v>
      </c>
      <c r="AZ133" s="1023" t="s">
        <v>275</v>
      </c>
      <c r="BA133" s="1023" t="s">
        <v>312</v>
      </c>
    </row>
    <row r="134" spans="5:53">
      <c r="E134" s="55">
        <v>22218</v>
      </c>
      <c r="F134" s="55">
        <v>14940</v>
      </c>
      <c r="G134" s="55">
        <v>21447</v>
      </c>
      <c r="H134" s="55">
        <v>14428</v>
      </c>
      <c r="J134" s="55">
        <v>22361</v>
      </c>
      <c r="K134" s="55">
        <v>17235</v>
      </c>
      <c r="L134" s="55">
        <v>22861</v>
      </c>
      <c r="M134" s="55">
        <v>18446</v>
      </c>
      <c r="O134" s="55">
        <v>23758</v>
      </c>
      <c r="P134" s="55">
        <f>8461+8961+7934</f>
        <v>25356</v>
      </c>
      <c r="Q134" s="55">
        <v>22928</v>
      </c>
      <c r="R134" s="55">
        <f>8170+8657+7666</f>
        <v>24493</v>
      </c>
      <c r="T134" s="55">
        <v>29410</v>
      </c>
      <c r="U134" s="508">
        <v>28016.605</v>
      </c>
      <c r="V134" s="55">
        <v>30010</v>
      </c>
      <c r="W134" s="508">
        <v>28931.223000000002</v>
      </c>
      <c r="Y134" s="55">
        <v>23758</v>
      </c>
      <c r="Z134" s="55">
        <f>8461+8961+7934</f>
        <v>25356</v>
      </c>
      <c r="AA134" s="55">
        <v>22928</v>
      </c>
      <c r="AB134" s="55">
        <f>8170+8657+7666</f>
        <v>24493</v>
      </c>
      <c r="AD134" s="55">
        <v>29410</v>
      </c>
      <c r="AE134" s="508">
        <v>28016.605</v>
      </c>
      <c r="AF134" s="55">
        <v>30010</v>
      </c>
      <c r="AG134" s="508">
        <v>28931.223000000002</v>
      </c>
      <c r="AI134" s="55">
        <v>25642</v>
      </c>
      <c r="AJ134" s="55">
        <f>9676+9217+8674</f>
        <v>27567</v>
      </c>
      <c r="AK134" s="55">
        <f>8334+8332+8108</f>
        <v>24774</v>
      </c>
      <c r="AL134" s="55">
        <f>9356+8896+8336</f>
        <v>26588</v>
      </c>
      <c r="AN134" s="55">
        <f>9855+9950+9910</f>
        <v>29715</v>
      </c>
      <c r="AO134" s="508">
        <v>30787.597000000002</v>
      </c>
      <c r="AP134" s="55">
        <f>10005+10100+10110</f>
        <v>30215</v>
      </c>
      <c r="AQ134" s="508">
        <v>31063.008000000002</v>
      </c>
      <c r="AS134" s="55">
        <v>30910</v>
      </c>
      <c r="AT134" s="55">
        <f>7378+9437+9251</f>
        <v>26066</v>
      </c>
      <c r="AU134" s="55">
        <v>29869</v>
      </c>
      <c r="AV134" s="55">
        <f>7063+9113+8908</f>
        <v>25084</v>
      </c>
      <c r="AX134" s="55">
        <v>32810</v>
      </c>
      <c r="AY134" s="508">
        <v>27619.005000000001</v>
      </c>
      <c r="AZ134" s="55">
        <v>33310</v>
      </c>
      <c r="BA134" s="508">
        <v>30166.13</v>
      </c>
    </row>
    <row r="135" spans="5:53">
      <c r="E135" s="3024" t="s">
        <v>2611</v>
      </c>
      <c r="F135" s="3025"/>
      <c r="G135" s="3025"/>
      <c r="H135" s="3026"/>
      <c r="J135" s="3024" t="s">
        <v>2611</v>
      </c>
      <c r="K135" s="3025"/>
      <c r="L135" s="3025"/>
      <c r="M135" s="3026"/>
      <c r="O135" s="3024" t="s">
        <v>2611</v>
      </c>
      <c r="P135" s="3025"/>
      <c r="Q135" s="3025"/>
      <c r="R135" s="3026"/>
      <c r="T135" s="3024" t="s">
        <v>2611</v>
      </c>
      <c r="U135" s="3025"/>
      <c r="V135" s="3025"/>
      <c r="W135" s="3026"/>
      <c r="Y135" s="2662" t="s">
        <v>2611</v>
      </c>
      <c r="Z135" s="2663"/>
      <c r="AA135" s="2663"/>
      <c r="AB135" s="2664"/>
      <c r="AD135" s="2662" t="s">
        <v>2611</v>
      </c>
      <c r="AE135" s="2663"/>
      <c r="AF135" s="2663"/>
      <c r="AG135" s="2664"/>
      <c r="AI135" s="2662" t="s">
        <v>2611</v>
      </c>
      <c r="AJ135" s="2663"/>
      <c r="AK135" s="2663"/>
      <c r="AL135" s="2664"/>
      <c r="AN135" s="2662" t="s">
        <v>2611</v>
      </c>
      <c r="AO135" s="2663"/>
      <c r="AP135" s="2663"/>
      <c r="AQ135" s="2664"/>
      <c r="AS135" s="2662" t="s">
        <v>2611</v>
      </c>
      <c r="AT135" s="2663"/>
      <c r="AU135" s="2663"/>
      <c r="AV135" s="2664"/>
      <c r="AX135" s="2662" t="s">
        <v>2611</v>
      </c>
      <c r="AY135" s="2663"/>
      <c r="AZ135" s="2663"/>
      <c r="BA135" s="2664"/>
    </row>
    <row r="136" spans="5:53">
      <c r="E136" s="3024" t="s">
        <v>524</v>
      </c>
      <c r="F136" s="3026"/>
      <c r="G136" s="3024" t="s">
        <v>36</v>
      </c>
      <c r="H136" s="3026"/>
      <c r="J136" s="3024" t="s">
        <v>37</v>
      </c>
      <c r="K136" s="3026"/>
      <c r="L136" s="3024" t="s">
        <v>142</v>
      </c>
      <c r="M136" s="3026"/>
      <c r="O136" s="3024" t="s">
        <v>524</v>
      </c>
      <c r="P136" s="3026"/>
      <c r="Q136" s="3024" t="s">
        <v>36</v>
      </c>
      <c r="R136" s="3026"/>
      <c r="T136" s="3024" t="s">
        <v>37</v>
      </c>
      <c r="U136" s="3026"/>
      <c r="V136" s="3024" t="s">
        <v>142</v>
      </c>
      <c r="W136" s="3026"/>
      <c r="Y136" s="2662" t="s">
        <v>524</v>
      </c>
      <c r="Z136" s="2664"/>
      <c r="AA136" s="2662" t="s">
        <v>36</v>
      </c>
      <c r="AB136" s="2664"/>
      <c r="AD136" s="2662" t="s">
        <v>37</v>
      </c>
      <c r="AE136" s="2664"/>
      <c r="AF136" s="2662" t="s">
        <v>142</v>
      </c>
      <c r="AG136" s="2664"/>
      <c r="AI136" s="2662" t="s">
        <v>524</v>
      </c>
      <c r="AJ136" s="2664"/>
      <c r="AK136" s="2662" t="s">
        <v>36</v>
      </c>
      <c r="AL136" s="2664"/>
      <c r="AN136" s="2662" t="s">
        <v>37</v>
      </c>
      <c r="AO136" s="2664"/>
      <c r="AP136" s="2662" t="s">
        <v>142</v>
      </c>
      <c r="AQ136" s="2664"/>
      <c r="AS136" s="2662" t="s">
        <v>524</v>
      </c>
      <c r="AT136" s="2664"/>
      <c r="AU136" s="2662" t="s">
        <v>36</v>
      </c>
      <c r="AV136" s="2664"/>
      <c r="AX136" s="2662" t="s">
        <v>37</v>
      </c>
      <c r="AY136" s="2664"/>
      <c r="AZ136" s="2662" t="s">
        <v>142</v>
      </c>
      <c r="BA136" s="2664"/>
    </row>
    <row r="137" spans="5:53">
      <c r="E137" s="1023" t="s">
        <v>275</v>
      </c>
      <c r="F137" s="1023" t="s">
        <v>312</v>
      </c>
      <c r="G137" s="1023" t="s">
        <v>275</v>
      </c>
      <c r="H137" s="1023" t="s">
        <v>312</v>
      </c>
      <c r="J137" s="1023" t="s">
        <v>275</v>
      </c>
      <c r="K137" s="1023" t="s">
        <v>312</v>
      </c>
      <c r="L137" s="1023" t="s">
        <v>275</v>
      </c>
      <c r="M137" s="1023" t="s">
        <v>312</v>
      </c>
      <c r="O137" s="1023" t="s">
        <v>275</v>
      </c>
      <c r="P137" s="1023" t="s">
        <v>312</v>
      </c>
      <c r="Q137" s="1023" t="s">
        <v>275</v>
      </c>
      <c r="R137" s="1023" t="s">
        <v>312</v>
      </c>
      <c r="T137" s="1023" t="s">
        <v>275</v>
      </c>
      <c r="U137" s="1023" t="s">
        <v>312</v>
      </c>
      <c r="V137" s="1023" t="s">
        <v>275</v>
      </c>
      <c r="W137" s="1023" t="s">
        <v>312</v>
      </c>
      <c r="Y137" s="1023" t="s">
        <v>275</v>
      </c>
      <c r="Z137" s="1023" t="s">
        <v>312</v>
      </c>
      <c r="AA137" s="1023" t="s">
        <v>275</v>
      </c>
      <c r="AB137" s="1023" t="s">
        <v>312</v>
      </c>
      <c r="AD137" s="1023" t="s">
        <v>275</v>
      </c>
      <c r="AE137" s="1023" t="s">
        <v>312</v>
      </c>
      <c r="AF137" s="1023" t="s">
        <v>275</v>
      </c>
      <c r="AG137" s="1023" t="s">
        <v>312</v>
      </c>
      <c r="AI137" s="1023" t="s">
        <v>275</v>
      </c>
      <c r="AJ137" s="1023" t="s">
        <v>312</v>
      </c>
      <c r="AK137" s="1023" t="s">
        <v>275</v>
      </c>
      <c r="AL137" s="1023" t="s">
        <v>312</v>
      </c>
      <c r="AN137" s="1023" t="s">
        <v>275</v>
      </c>
      <c r="AO137" s="1023" t="s">
        <v>312</v>
      </c>
      <c r="AP137" s="1023" t="s">
        <v>275</v>
      </c>
      <c r="AQ137" s="1023" t="s">
        <v>312</v>
      </c>
      <c r="AS137" s="1023" t="s">
        <v>275</v>
      </c>
      <c r="AT137" s="1023" t="s">
        <v>312</v>
      </c>
      <c r="AU137" s="1023" t="s">
        <v>275</v>
      </c>
      <c r="AV137" s="1023" t="s">
        <v>312</v>
      </c>
      <c r="AX137" s="1023" t="s">
        <v>275</v>
      </c>
      <c r="AY137" s="1023" t="s">
        <v>312</v>
      </c>
      <c r="AZ137" s="1023" t="s">
        <v>275</v>
      </c>
      <c r="BA137" s="1023" t="s">
        <v>312</v>
      </c>
    </row>
    <row r="138" spans="5:53">
      <c r="E138" s="55">
        <v>27206</v>
      </c>
      <c r="F138" s="55">
        <v>17356</v>
      </c>
      <c r="G138" s="55">
        <v>26259</v>
      </c>
      <c r="H138" s="55">
        <v>16757</v>
      </c>
      <c r="J138" s="55">
        <v>32579</v>
      </c>
      <c r="K138" s="55">
        <v>20711</v>
      </c>
      <c r="L138" s="55">
        <v>33079</v>
      </c>
      <c r="M138" s="55">
        <v>21432</v>
      </c>
      <c r="O138" s="55">
        <v>23757</v>
      </c>
      <c r="P138" s="55">
        <f>8263+8086+8873</f>
        <v>25222</v>
      </c>
      <c r="Q138" s="55">
        <v>22928</v>
      </c>
      <c r="R138" s="55">
        <f>7982+7798+8579</f>
        <v>24359</v>
      </c>
      <c r="T138" s="55">
        <v>29400</v>
      </c>
      <c r="U138" s="508">
        <v>24663.266</v>
      </c>
      <c r="V138" s="55">
        <v>29900</v>
      </c>
      <c r="W138" s="508">
        <v>25729.383999999998</v>
      </c>
      <c r="Y138" s="55">
        <v>23757</v>
      </c>
      <c r="Z138" s="55">
        <f>8263+8086+8873</f>
        <v>25222</v>
      </c>
      <c r="AA138" s="55">
        <v>22928</v>
      </c>
      <c r="AB138" s="55">
        <f>7982+7798+8579</f>
        <v>24359</v>
      </c>
      <c r="AD138" s="55">
        <v>29400</v>
      </c>
      <c r="AE138" s="508">
        <v>24663.266</v>
      </c>
      <c r="AF138" s="55">
        <v>29900</v>
      </c>
      <c r="AG138" s="508">
        <v>25729.383999999998</v>
      </c>
      <c r="AI138" s="55">
        <v>25372</v>
      </c>
      <c r="AJ138" s="55">
        <f>9311+9486+10250</f>
        <v>29047</v>
      </c>
      <c r="AK138" s="55">
        <f>8074+8066+8373</f>
        <v>24513</v>
      </c>
      <c r="AL138" s="55">
        <f>8981+9150+9867</f>
        <v>27998</v>
      </c>
      <c r="AN138" s="55">
        <f>9755+9940+10000</f>
        <v>29695</v>
      </c>
      <c r="AO138" s="508">
        <v>29025.51</v>
      </c>
      <c r="AP138" s="55">
        <f>9905+10090+10200</f>
        <v>30195</v>
      </c>
      <c r="AQ138" s="508">
        <v>27599.13</v>
      </c>
      <c r="AS138" s="55">
        <v>30889</v>
      </c>
      <c r="AT138" s="55">
        <f>9979+10077+10707</f>
        <v>30763</v>
      </c>
      <c r="AU138" s="55">
        <v>29849</v>
      </c>
      <c r="AV138" s="55">
        <f>9584+9720+10248</f>
        <v>29552</v>
      </c>
      <c r="AX138" s="55">
        <v>32705</v>
      </c>
      <c r="AY138" s="508">
        <v>31065.401000000002</v>
      </c>
      <c r="AZ138" s="55">
        <v>33205</v>
      </c>
      <c r="BA138" s="508">
        <v>29969.665000000001</v>
      </c>
    </row>
    <row r="139" spans="5:53">
      <c r="E139" s="3024" t="s">
        <v>2612</v>
      </c>
      <c r="F139" s="3025"/>
      <c r="G139" s="3025"/>
      <c r="H139" s="3026"/>
      <c r="J139" s="3024" t="s">
        <v>2612</v>
      </c>
      <c r="K139" s="3025"/>
      <c r="L139" s="3025"/>
      <c r="M139" s="3026"/>
      <c r="O139" s="3024" t="s">
        <v>2612</v>
      </c>
      <c r="P139" s="3025"/>
      <c r="Q139" s="3025"/>
      <c r="R139" s="3026"/>
      <c r="T139" s="3024" t="s">
        <v>2612</v>
      </c>
      <c r="U139" s="3025"/>
      <c r="V139" s="3025"/>
      <c r="W139" s="3026"/>
      <c r="Y139" s="2662" t="s">
        <v>2612</v>
      </c>
      <c r="Z139" s="2663"/>
      <c r="AA139" s="2663"/>
      <c r="AB139" s="2664"/>
      <c r="AD139" s="2662" t="s">
        <v>2612</v>
      </c>
      <c r="AE139" s="2663"/>
      <c r="AF139" s="2663"/>
      <c r="AG139" s="2664"/>
      <c r="AI139" s="2662" t="s">
        <v>2612</v>
      </c>
      <c r="AJ139" s="2663"/>
      <c r="AK139" s="2663"/>
      <c r="AL139" s="2664"/>
      <c r="AN139" s="2662" t="s">
        <v>2612</v>
      </c>
      <c r="AO139" s="2663"/>
      <c r="AP139" s="2663"/>
      <c r="AQ139" s="2664"/>
      <c r="AS139" s="2662" t="s">
        <v>2612</v>
      </c>
      <c r="AT139" s="2663"/>
      <c r="AU139" s="2663"/>
      <c r="AV139" s="2664"/>
      <c r="AX139" s="2662" t="s">
        <v>2612</v>
      </c>
      <c r="AY139" s="2663"/>
      <c r="AZ139" s="2663"/>
      <c r="BA139" s="2664"/>
    </row>
    <row r="140" spans="5:53">
      <c r="E140" s="3024" t="s">
        <v>524</v>
      </c>
      <c r="F140" s="3026"/>
      <c r="G140" s="3024" t="s">
        <v>36</v>
      </c>
      <c r="H140" s="3026"/>
      <c r="J140" s="3024" t="s">
        <v>37</v>
      </c>
      <c r="K140" s="3026"/>
      <c r="L140" s="3024" t="s">
        <v>142</v>
      </c>
      <c r="M140" s="3026"/>
      <c r="O140" s="3024" t="s">
        <v>524</v>
      </c>
      <c r="P140" s="3026"/>
      <c r="Q140" s="3024" t="s">
        <v>36</v>
      </c>
      <c r="R140" s="3026"/>
      <c r="T140" s="3024" t="s">
        <v>37</v>
      </c>
      <c r="U140" s="3026"/>
      <c r="V140" s="3024" t="s">
        <v>142</v>
      </c>
      <c r="W140" s="3026"/>
      <c r="Y140" s="2662" t="s">
        <v>524</v>
      </c>
      <c r="Z140" s="2664"/>
      <c r="AA140" s="2662" t="s">
        <v>36</v>
      </c>
      <c r="AB140" s="2664"/>
      <c r="AD140" s="2662" t="s">
        <v>37</v>
      </c>
      <c r="AE140" s="2664"/>
      <c r="AF140" s="2662" t="s">
        <v>142</v>
      </c>
      <c r="AG140" s="2664"/>
      <c r="AI140" s="2662" t="s">
        <v>524</v>
      </c>
      <c r="AJ140" s="2664"/>
      <c r="AK140" s="2662" t="s">
        <v>36</v>
      </c>
      <c r="AL140" s="2664"/>
      <c r="AN140" s="2662" t="s">
        <v>37</v>
      </c>
      <c r="AO140" s="2664"/>
      <c r="AP140" s="2662" t="s">
        <v>142</v>
      </c>
      <c r="AQ140" s="2664"/>
      <c r="AS140" s="2662" t="s">
        <v>524</v>
      </c>
      <c r="AT140" s="2664"/>
      <c r="AU140" s="2662" t="s">
        <v>36</v>
      </c>
      <c r="AV140" s="2664"/>
      <c r="AX140" s="2662" t="s">
        <v>37</v>
      </c>
      <c r="AY140" s="2664"/>
      <c r="AZ140" s="2662" t="s">
        <v>142</v>
      </c>
      <c r="BA140" s="2664"/>
    </row>
    <row r="141" spans="5:53">
      <c r="E141" s="1023" t="s">
        <v>275</v>
      </c>
      <c r="F141" s="1023" t="s">
        <v>312</v>
      </c>
      <c r="G141" s="1023" t="s">
        <v>275</v>
      </c>
      <c r="H141" s="1023" t="s">
        <v>312</v>
      </c>
      <c r="J141" s="1023" t="s">
        <v>275</v>
      </c>
      <c r="K141" s="1023" t="s">
        <v>312</v>
      </c>
      <c r="L141" s="1023" t="s">
        <v>275</v>
      </c>
      <c r="M141" s="1023" t="s">
        <v>312</v>
      </c>
      <c r="O141" s="1023" t="s">
        <v>275</v>
      </c>
      <c r="P141" s="1023" t="s">
        <v>312</v>
      </c>
      <c r="Q141" s="1023" t="s">
        <v>275</v>
      </c>
      <c r="R141" s="1023" t="s">
        <v>312</v>
      </c>
      <c r="T141" s="1023" t="s">
        <v>275</v>
      </c>
      <c r="U141" s="1023" t="s">
        <v>312</v>
      </c>
      <c r="V141" s="1023" t="s">
        <v>275</v>
      </c>
      <c r="W141" s="1023" t="s">
        <v>312</v>
      </c>
      <c r="Y141" s="1023" t="s">
        <v>275</v>
      </c>
      <c r="Z141" s="1023" t="s">
        <v>312</v>
      </c>
      <c r="AA141" s="1023" t="s">
        <v>275</v>
      </c>
      <c r="AB141" s="1023" t="s">
        <v>312</v>
      </c>
      <c r="AD141" s="1023" t="s">
        <v>275</v>
      </c>
      <c r="AE141" s="1023" t="s">
        <v>312</v>
      </c>
      <c r="AF141" s="1023" t="s">
        <v>275</v>
      </c>
      <c r="AG141" s="1023" t="s">
        <v>312</v>
      </c>
      <c r="AI141" s="1023" t="s">
        <v>275</v>
      </c>
      <c r="AJ141" s="1023" t="s">
        <v>312</v>
      </c>
      <c r="AK141" s="1023" t="s">
        <v>275</v>
      </c>
      <c r="AL141" s="1023" t="s">
        <v>312</v>
      </c>
      <c r="AN141" s="1023" t="s">
        <v>275</v>
      </c>
      <c r="AO141" s="1023" t="s">
        <v>312</v>
      </c>
      <c r="AP141" s="1023" t="s">
        <v>275</v>
      </c>
      <c r="AQ141" s="1023" t="s">
        <v>312</v>
      </c>
      <c r="AS141" s="1023" t="s">
        <v>275</v>
      </c>
      <c r="AT141" s="1023" t="s">
        <v>312</v>
      </c>
      <c r="AU141" s="1023" t="s">
        <v>275</v>
      </c>
      <c r="AV141" s="1023" t="s">
        <v>312</v>
      </c>
      <c r="AX141" s="1023" t="s">
        <v>275</v>
      </c>
      <c r="AY141" s="1023" t="s">
        <v>312</v>
      </c>
      <c r="AZ141" s="1023" t="s">
        <v>275</v>
      </c>
      <c r="BA141" s="1023" t="s">
        <v>312</v>
      </c>
    </row>
    <row r="142" spans="5:53">
      <c r="E142" s="55">
        <v>27203</v>
      </c>
      <c r="F142" s="55">
        <v>21588</v>
      </c>
      <c r="G142" s="55">
        <v>26257</v>
      </c>
      <c r="H142" s="55">
        <v>20887</v>
      </c>
      <c r="J142" s="55">
        <v>32598</v>
      </c>
      <c r="K142" s="55">
        <v>24300</v>
      </c>
      <c r="L142" s="55">
        <v>33098</v>
      </c>
      <c r="M142" s="55">
        <v>26073</v>
      </c>
      <c r="O142" s="55">
        <v>23248</v>
      </c>
      <c r="P142" s="55">
        <f>9392+8895+9644</f>
        <v>27931</v>
      </c>
      <c r="Q142" s="55">
        <v>22437</v>
      </c>
      <c r="R142" s="55">
        <f>96037-69086</f>
        <v>26951</v>
      </c>
      <c r="T142" s="55">
        <v>29430</v>
      </c>
      <c r="U142" s="508">
        <v>27064.525000000001</v>
      </c>
      <c r="V142" s="55">
        <v>29930</v>
      </c>
      <c r="W142" s="508">
        <v>25016.61</v>
      </c>
      <c r="Y142" s="55">
        <v>23248</v>
      </c>
      <c r="Z142" s="55">
        <f>9392+8895+9644</f>
        <v>27931</v>
      </c>
      <c r="AA142" s="55">
        <v>22437</v>
      </c>
      <c r="AB142" s="55">
        <f>96037-69086</f>
        <v>26951</v>
      </c>
      <c r="AD142" s="55">
        <v>29430</v>
      </c>
      <c r="AE142" s="508">
        <v>27064.525000000001</v>
      </c>
      <c r="AF142" s="55">
        <v>29930</v>
      </c>
      <c r="AG142" s="508">
        <v>25016.61</v>
      </c>
      <c r="AI142" s="55">
        <v>25747</v>
      </c>
      <c r="AJ142" s="55">
        <f>112441-84820</f>
        <v>27621</v>
      </c>
      <c r="AK142" s="55">
        <f>8462+7957+8456</f>
        <v>24875</v>
      </c>
      <c r="AL142" s="55">
        <f>108356-81812</f>
        <v>26544</v>
      </c>
      <c r="AN142" s="55">
        <f>9950+9840+9950</f>
        <v>29740</v>
      </c>
      <c r="AO142" s="508">
        <f>119011-91396.71</f>
        <v>27614.289999999994</v>
      </c>
      <c r="AP142" s="55">
        <f>10100+9990+10150</f>
        <v>30240</v>
      </c>
      <c r="AQ142" s="508">
        <f>118427-90283.98</f>
        <v>28143.020000000004</v>
      </c>
      <c r="AS142" s="55">
        <v>30811</v>
      </c>
      <c r="AT142" s="55">
        <f>11746+11270+11463</f>
        <v>34479</v>
      </c>
      <c r="AU142" s="55">
        <v>29774</v>
      </c>
      <c r="AV142" s="55">
        <f>113208-80155</f>
        <v>33053</v>
      </c>
      <c r="AX142" s="55">
        <v>32467</v>
      </c>
      <c r="AY142" s="508">
        <f>118655-85805.11</f>
        <v>32849.89</v>
      </c>
      <c r="AZ142" s="55">
        <v>32967</v>
      </c>
      <c r="BA142" s="508">
        <f>121789-89755.79</f>
        <v>32033.210000000006</v>
      </c>
    </row>
    <row r="143" spans="5:53">
      <c r="E143" s="3024" t="s">
        <v>2613</v>
      </c>
      <c r="F143" s="3025"/>
      <c r="G143" s="3025"/>
      <c r="H143" s="3026"/>
      <c r="J143" s="3024" t="s">
        <v>2613</v>
      </c>
      <c r="K143" s="3025"/>
      <c r="L143" s="3025"/>
      <c r="M143" s="3026"/>
      <c r="O143" s="3024" t="s">
        <v>2613</v>
      </c>
      <c r="P143" s="3025"/>
      <c r="Q143" s="3025"/>
      <c r="R143" s="3026"/>
      <c r="T143" s="3024" t="s">
        <v>2613</v>
      </c>
      <c r="U143" s="3025"/>
      <c r="V143" s="3025"/>
      <c r="W143" s="3026"/>
      <c r="Y143" s="2662" t="s">
        <v>2613</v>
      </c>
      <c r="Z143" s="2663"/>
      <c r="AA143" s="2663"/>
      <c r="AB143" s="2664"/>
      <c r="AD143" s="2662" t="s">
        <v>2613</v>
      </c>
      <c r="AE143" s="2663"/>
      <c r="AF143" s="2663"/>
      <c r="AG143" s="2664"/>
      <c r="AI143" s="2662" t="s">
        <v>2613</v>
      </c>
      <c r="AJ143" s="2663"/>
      <c r="AK143" s="2663"/>
      <c r="AL143" s="2664"/>
      <c r="AN143" s="2662" t="s">
        <v>2613</v>
      </c>
      <c r="AO143" s="2663"/>
      <c r="AP143" s="2663"/>
      <c r="AQ143" s="2664"/>
      <c r="AS143" s="2662" t="s">
        <v>2613</v>
      </c>
      <c r="AT143" s="2663"/>
      <c r="AU143" s="2663"/>
      <c r="AV143" s="2664"/>
      <c r="AX143" s="2662" t="s">
        <v>2613</v>
      </c>
      <c r="AY143" s="2663"/>
      <c r="AZ143" s="2663"/>
      <c r="BA143" s="2664"/>
    </row>
    <row r="144" spans="5:53">
      <c r="E144" s="3024" t="s">
        <v>524</v>
      </c>
      <c r="F144" s="3026"/>
      <c r="G144" s="3024" t="s">
        <v>36</v>
      </c>
      <c r="H144" s="3026"/>
      <c r="J144" s="3024" t="s">
        <v>37</v>
      </c>
      <c r="K144" s="3026"/>
      <c r="L144" s="3024" t="s">
        <v>142</v>
      </c>
      <c r="M144" s="3026"/>
      <c r="O144" s="3024" t="s">
        <v>524</v>
      </c>
      <c r="P144" s="3026"/>
      <c r="Q144" s="3024" t="s">
        <v>36</v>
      </c>
      <c r="R144" s="3026"/>
      <c r="T144" s="3024" t="s">
        <v>37</v>
      </c>
      <c r="U144" s="3026"/>
      <c r="V144" s="3024" t="s">
        <v>142</v>
      </c>
      <c r="W144" s="3026"/>
      <c r="Y144" s="2662" t="s">
        <v>524</v>
      </c>
      <c r="Z144" s="2664"/>
      <c r="AA144" s="2662" t="s">
        <v>36</v>
      </c>
      <c r="AB144" s="2664"/>
      <c r="AD144" s="2662" t="s">
        <v>37</v>
      </c>
      <c r="AE144" s="2664"/>
      <c r="AF144" s="2662" t="s">
        <v>142</v>
      </c>
      <c r="AG144" s="2664"/>
      <c r="AI144" s="2662" t="s">
        <v>524</v>
      </c>
      <c r="AJ144" s="2664"/>
      <c r="AK144" s="2662" t="s">
        <v>36</v>
      </c>
      <c r="AL144" s="2664"/>
      <c r="AN144" s="2662" t="s">
        <v>37</v>
      </c>
      <c r="AO144" s="2664"/>
      <c r="AP144" s="2662" t="s">
        <v>142</v>
      </c>
      <c r="AQ144" s="2664"/>
      <c r="AS144" s="2662" t="s">
        <v>524</v>
      </c>
      <c r="AT144" s="2664"/>
      <c r="AU144" s="2662" t="s">
        <v>36</v>
      </c>
      <c r="AV144" s="2664"/>
      <c r="AX144" s="2662" t="s">
        <v>37</v>
      </c>
      <c r="AY144" s="2664"/>
      <c r="AZ144" s="2662" t="s">
        <v>142</v>
      </c>
      <c r="BA144" s="2664"/>
    </row>
    <row r="145" spans="5:53">
      <c r="E145" s="1023" t="s">
        <v>275</v>
      </c>
      <c r="F145" s="1023" t="s">
        <v>312</v>
      </c>
      <c r="G145" s="1023" t="s">
        <v>275</v>
      </c>
      <c r="H145" s="1023" t="s">
        <v>312</v>
      </c>
      <c r="J145" s="1023" t="s">
        <v>275</v>
      </c>
      <c r="K145" s="1023" t="s">
        <v>312</v>
      </c>
      <c r="L145" s="1023" t="s">
        <v>275</v>
      </c>
      <c r="M145" s="1023" t="s">
        <v>312</v>
      </c>
      <c r="O145" s="1023" t="s">
        <v>275</v>
      </c>
      <c r="P145" s="1023" t="s">
        <v>312</v>
      </c>
      <c r="Q145" s="1023" t="s">
        <v>275</v>
      </c>
      <c r="R145" s="1023" t="s">
        <v>312</v>
      </c>
      <c r="T145" s="1023" t="s">
        <v>275</v>
      </c>
      <c r="U145" s="1023" t="s">
        <v>312</v>
      </c>
      <c r="V145" s="1023" t="s">
        <v>275</v>
      </c>
      <c r="W145" s="1023" t="s">
        <v>312</v>
      </c>
      <c r="Y145" s="1023" t="s">
        <v>275</v>
      </c>
      <c r="Z145" s="1023" t="s">
        <v>312</v>
      </c>
      <c r="AA145" s="1023" t="s">
        <v>275</v>
      </c>
      <c r="AB145" s="1023" t="s">
        <v>312</v>
      </c>
      <c r="AD145" s="1023" t="s">
        <v>275</v>
      </c>
      <c r="AE145" s="1023" t="s">
        <v>312</v>
      </c>
      <c r="AF145" s="1023" t="s">
        <v>275</v>
      </c>
      <c r="AG145" s="1023" t="s">
        <v>312</v>
      </c>
      <c r="AI145" s="1023" t="s">
        <v>275</v>
      </c>
      <c r="AJ145" s="1023" t="s">
        <v>312</v>
      </c>
      <c r="AK145" s="1023" t="s">
        <v>275</v>
      </c>
      <c r="AL145" s="1023" t="s">
        <v>312</v>
      </c>
      <c r="AN145" s="1023" t="s">
        <v>275</v>
      </c>
      <c r="AO145" s="1023" t="s">
        <v>312</v>
      </c>
      <c r="AP145" s="1023" t="s">
        <v>275</v>
      </c>
      <c r="AQ145" s="1023" t="s">
        <v>312</v>
      </c>
      <c r="AS145" s="1023" t="s">
        <v>275</v>
      </c>
      <c r="AT145" s="1023" t="s">
        <v>312</v>
      </c>
      <c r="AU145" s="1023" t="s">
        <v>275</v>
      </c>
      <c r="AV145" s="1023" t="s">
        <v>312</v>
      </c>
      <c r="AX145" s="1023" t="s">
        <v>275</v>
      </c>
      <c r="AY145" s="1023" t="s">
        <v>312</v>
      </c>
      <c r="AZ145" s="1023" t="s">
        <v>275</v>
      </c>
      <c r="BA145" s="1023" t="s">
        <v>312</v>
      </c>
    </row>
    <row r="146" spans="5:53">
      <c r="E146" s="55">
        <f>+E138+E134+E130+E142</f>
        <v>82927</v>
      </c>
      <c r="F146" s="55">
        <f>+F138+F134+F130+F142</f>
        <v>60191</v>
      </c>
      <c r="G146" s="55">
        <f>+G138+G134+G130+G142</f>
        <v>80043</v>
      </c>
      <c r="H146" s="508">
        <f>+H138+H134+H130+H142</f>
        <v>58153</v>
      </c>
      <c r="J146" s="55">
        <f>+J138+J134+J130+J142</f>
        <v>94266</v>
      </c>
      <c r="K146" s="55">
        <f>+K138+K134+K130+K142</f>
        <v>68974</v>
      </c>
      <c r="L146" s="55">
        <f>+L138+L134+L130+L142</f>
        <v>96266</v>
      </c>
      <c r="M146" s="55">
        <f>+M138+M134+M130+M142</f>
        <v>74336</v>
      </c>
      <c r="O146" s="55">
        <f>+O138+O134+O130+O142</f>
        <v>94267</v>
      </c>
      <c r="P146" s="55">
        <f>+P138+P134+P130+P142</f>
        <v>99458</v>
      </c>
      <c r="Q146" s="55">
        <f>+Q138+Q134+Q130+Q142</f>
        <v>90977</v>
      </c>
      <c r="R146" s="508">
        <f>+R138+R134+R130+R142</f>
        <v>96037</v>
      </c>
      <c r="T146" s="55">
        <f>+T138+T134+T130+T142</f>
        <v>117444</v>
      </c>
      <c r="U146" s="508">
        <f>+U138+U134+U130+U142</f>
        <v>101809.12599999999</v>
      </c>
      <c r="V146" s="55">
        <f>+V138+V134+V130+V142</f>
        <v>119544</v>
      </c>
      <c r="W146" s="508">
        <f>+W138+W134+W130+W142</f>
        <v>102847.75300000001</v>
      </c>
      <c r="Y146" s="55">
        <f>+Y138+Y134+Y130+Y142</f>
        <v>94267</v>
      </c>
      <c r="Z146" s="55">
        <f>+Z138+Z134+Z130+Z142</f>
        <v>99458</v>
      </c>
      <c r="AA146" s="55">
        <f>+AA138+AA134+AA130+AA142</f>
        <v>90977</v>
      </c>
      <c r="AB146" s="508">
        <f>+AB138+AB134+AB130+AB142</f>
        <v>96037</v>
      </c>
      <c r="AD146" s="55">
        <f>+AD138+AD134+AD130+AD142</f>
        <v>117444</v>
      </c>
      <c r="AE146" s="508">
        <f>+AE138+AE134+AE130+AE142</f>
        <v>101809.12599999999</v>
      </c>
      <c r="AF146" s="55">
        <f>+AF138+AF134+AF130+AF142</f>
        <v>119544</v>
      </c>
      <c r="AG146" s="508">
        <f>+AG138+AG134+AG130+AG142</f>
        <v>102847.75300000001</v>
      </c>
      <c r="AI146" s="55">
        <f>+AI138+AI134+AI130+AI142</f>
        <v>102126</v>
      </c>
      <c r="AJ146" s="55">
        <f>+AJ138+AJ134+AJ130+AJ142</f>
        <v>112441</v>
      </c>
      <c r="AK146" s="55">
        <f>+AK138+AK134+AK130+AK142</f>
        <v>98668</v>
      </c>
      <c r="AL146" s="508">
        <f>+AL138+AL134+AL130+AL142</f>
        <v>108356</v>
      </c>
      <c r="AN146" s="55">
        <f>+AN138+AN134+AN130+AN142</f>
        <v>118900</v>
      </c>
      <c r="AO146" s="55">
        <f>+AO138+AO134+AO130+AO142</f>
        <v>119011.00199999999</v>
      </c>
      <c r="AP146" s="55">
        <f>+AP138+AP134+AP130+AP142</f>
        <v>120900</v>
      </c>
      <c r="AQ146" s="55">
        <f>+AQ138+AQ134+AQ130+AQ142</f>
        <v>118427.00300000001</v>
      </c>
      <c r="AS146" s="55">
        <f>+AS138+AS134+AS130+AS142</f>
        <v>123496</v>
      </c>
      <c r="AT146" s="55">
        <f>+AT138+AT134+AT130+AT142</f>
        <v>117736</v>
      </c>
      <c r="AU146" s="55">
        <f>+AU138+AU134+AU130+AU142</f>
        <v>119338</v>
      </c>
      <c r="AV146" s="508">
        <f>+AV138+AV134+AV130+AV142</f>
        <v>113208</v>
      </c>
      <c r="AX146" s="55">
        <f>+AX138+AX134+AX130+AX142</f>
        <v>130650</v>
      </c>
      <c r="AY146" s="55">
        <f>+AY138+AY134+AY130+AY142</f>
        <v>118655.00199999999</v>
      </c>
      <c r="AZ146" s="55">
        <f>+AZ138+AZ134+AZ130+AZ142</f>
        <v>132650</v>
      </c>
      <c r="BA146" s="55">
        <f>+BA138+BA134+BA130+BA142</f>
        <v>121788.99500000001</v>
      </c>
    </row>
    <row r="149" spans="5:53" ht="13.5" thickBot="1"/>
    <row r="150" spans="5:53">
      <c r="E150" s="1022" t="s">
        <v>4067</v>
      </c>
      <c r="F150" s="1022"/>
      <c r="G150" s="1022"/>
      <c r="H150" s="1022"/>
      <c r="J150" s="1015" t="s">
        <v>4068</v>
      </c>
      <c r="K150" s="1015"/>
      <c r="L150" s="1015"/>
      <c r="M150" s="1015"/>
    </row>
    <row r="151" spans="5:53">
      <c r="E151" s="3024" t="s">
        <v>2609</v>
      </c>
      <c r="F151" s="3025"/>
      <c r="G151" s="3025"/>
      <c r="H151" s="3026"/>
      <c r="J151" s="3024" t="s">
        <v>2609</v>
      </c>
      <c r="K151" s="3025"/>
      <c r="L151" s="3025"/>
      <c r="M151" s="3026"/>
    </row>
    <row r="152" spans="5:53">
      <c r="E152" s="3024" t="s">
        <v>524</v>
      </c>
      <c r="F152" s="3026"/>
      <c r="G152" s="3024" t="s">
        <v>36</v>
      </c>
      <c r="H152" s="3026"/>
      <c r="J152" s="3024" t="s">
        <v>37</v>
      </c>
      <c r="K152" s="3026"/>
      <c r="L152" s="3024" t="s">
        <v>142</v>
      </c>
      <c r="M152" s="3026"/>
    </row>
    <row r="153" spans="5:53">
      <c r="E153" s="1023" t="s">
        <v>275</v>
      </c>
      <c r="F153" s="1023" t="s">
        <v>312</v>
      </c>
      <c r="G153" s="1023" t="s">
        <v>275</v>
      </c>
      <c r="H153" s="1023" t="s">
        <v>312</v>
      </c>
      <c r="J153" s="1023" t="s">
        <v>275</v>
      </c>
      <c r="K153" s="1023" t="s">
        <v>312</v>
      </c>
      <c r="L153" s="1023" t="s">
        <v>275</v>
      </c>
      <c r="M153" s="1023" t="s">
        <v>312</v>
      </c>
    </row>
    <row r="154" spans="5:53">
      <c r="E154" s="55">
        <v>23504</v>
      </c>
      <c r="F154" s="55">
        <f>7151+7047+6751</f>
        <v>20949</v>
      </c>
      <c r="G154" s="55">
        <v>22684</v>
      </c>
      <c r="H154" s="55">
        <f>6901+6807+6526</f>
        <v>20234</v>
      </c>
      <c r="J154" s="55">
        <v>29204</v>
      </c>
      <c r="K154" s="508">
        <v>22064.73</v>
      </c>
      <c r="L154" s="55">
        <v>29704</v>
      </c>
      <c r="M154" s="508">
        <v>23170.536</v>
      </c>
    </row>
    <row r="155" spans="5:53">
      <c r="E155" s="3024" t="s">
        <v>2610</v>
      </c>
      <c r="F155" s="3025"/>
      <c r="G155" s="3025"/>
      <c r="H155" s="3026"/>
      <c r="J155" s="3024" t="s">
        <v>2610</v>
      </c>
      <c r="K155" s="3025"/>
      <c r="L155" s="3025"/>
      <c r="M155" s="3026"/>
    </row>
    <row r="156" spans="5:53">
      <c r="E156" s="3024" t="s">
        <v>524</v>
      </c>
      <c r="F156" s="3026"/>
      <c r="G156" s="3024" t="s">
        <v>36</v>
      </c>
      <c r="H156" s="3026"/>
      <c r="J156" s="3024" t="s">
        <v>37</v>
      </c>
      <c r="K156" s="3026"/>
      <c r="L156" s="3024" t="s">
        <v>142</v>
      </c>
      <c r="M156" s="3026"/>
    </row>
    <row r="157" spans="5:53">
      <c r="E157" s="1023" t="s">
        <v>275</v>
      </c>
      <c r="F157" s="1023" t="s">
        <v>312</v>
      </c>
      <c r="G157" s="1023" t="s">
        <v>275</v>
      </c>
      <c r="H157" s="1023" t="s">
        <v>312</v>
      </c>
      <c r="J157" s="1023" t="s">
        <v>275</v>
      </c>
      <c r="K157" s="1023" t="s">
        <v>312</v>
      </c>
      <c r="L157" s="1023" t="s">
        <v>275</v>
      </c>
      <c r="M157" s="1023" t="s">
        <v>312</v>
      </c>
    </row>
    <row r="158" spans="5:53">
      <c r="E158" s="55">
        <v>23758</v>
      </c>
      <c r="F158" s="55">
        <f>8461+8961+7934</f>
        <v>25356</v>
      </c>
      <c r="G158" s="55">
        <v>22928</v>
      </c>
      <c r="H158" s="55">
        <f>8170+8657+7666</f>
        <v>24493</v>
      </c>
      <c r="J158" s="55">
        <v>29410</v>
      </c>
      <c r="K158" s="508">
        <v>28016.605</v>
      </c>
      <c r="L158" s="55">
        <v>30010</v>
      </c>
      <c r="M158" s="508">
        <v>28931.223000000002</v>
      </c>
    </row>
    <row r="159" spans="5:53">
      <c r="E159" s="3024" t="s">
        <v>2611</v>
      </c>
      <c r="F159" s="3025"/>
      <c r="G159" s="3025"/>
      <c r="H159" s="3026"/>
      <c r="J159" s="3024" t="s">
        <v>2611</v>
      </c>
      <c r="K159" s="3025"/>
      <c r="L159" s="3025"/>
      <c r="M159" s="3026"/>
    </row>
    <row r="160" spans="5:53">
      <c r="E160" s="3024" t="s">
        <v>524</v>
      </c>
      <c r="F160" s="3026"/>
      <c r="G160" s="3024" t="s">
        <v>36</v>
      </c>
      <c r="H160" s="3026"/>
      <c r="J160" s="3024" t="s">
        <v>37</v>
      </c>
      <c r="K160" s="3026"/>
      <c r="L160" s="3024" t="s">
        <v>142</v>
      </c>
      <c r="M160" s="3026"/>
    </row>
    <row r="161" spans="5:14">
      <c r="E161" s="1023" t="s">
        <v>275</v>
      </c>
      <c r="F161" s="1023" t="s">
        <v>312</v>
      </c>
      <c r="G161" s="1023" t="s">
        <v>275</v>
      </c>
      <c r="H161" s="1023" t="s">
        <v>312</v>
      </c>
      <c r="J161" s="1023" t="s">
        <v>275</v>
      </c>
      <c r="K161" s="1023" t="s">
        <v>312</v>
      </c>
      <c r="L161" s="1023" t="s">
        <v>275</v>
      </c>
      <c r="M161" s="1023" t="s">
        <v>312</v>
      </c>
    </row>
    <row r="162" spans="5:14">
      <c r="E162" s="55">
        <v>23757</v>
      </c>
      <c r="F162" s="55">
        <f>8263+8086+8873</f>
        <v>25222</v>
      </c>
      <c r="G162" s="55">
        <v>22928</v>
      </c>
      <c r="H162" s="55">
        <f>7982+7798+8579</f>
        <v>24359</v>
      </c>
      <c r="J162" s="55">
        <v>29400</v>
      </c>
      <c r="K162" s="508">
        <v>24663.266</v>
      </c>
      <c r="L162" s="55">
        <v>29900</v>
      </c>
      <c r="M162" s="508">
        <v>25729.383999999998</v>
      </c>
      <c r="N162" s="885">
        <v>0</v>
      </c>
    </row>
    <row r="163" spans="5:14">
      <c r="E163" s="3024" t="s">
        <v>2612</v>
      </c>
      <c r="F163" s="3025"/>
      <c r="G163" s="3025"/>
      <c r="H163" s="3026"/>
      <c r="J163" s="3024" t="s">
        <v>2612</v>
      </c>
      <c r="K163" s="3025"/>
      <c r="L163" s="3025"/>
      <c r="M163" s="3026"/>
    </row>
    <row r="164" spans="5:14">
      <c r="E164" s="3024" t="s">
        <v>524</v>
      </c>
      <c r="F164" s="3026"/>
      <c r="G164" s="3024" t="s">
        <v>36</v>
      </c>
      <c r="H164" s="3026"/>
      <c r="J164" s="3024" t="s">
        <v>37</v>
      </c>
      <c r="K164" s="3026"/>
      <c r="L164" s="3024" t="s">
        <v>142</v>
      </c>
      <c r="M164" s="3026"/>
    </row>
    <row r="165" spans="5:14">
      <c r="E165" s="1023" t="s">
        <v>275</v>
      </c>
      <c r="F165" s="1023" t="s">
        <v>312</v>
      </c>
      <c r="G165" s="1023" t="s">
        <v>275</v>
      </c>
      <c r="H165" s="1023" t="s">
        <v>312</v>
      </c>
      <c r="J165" s="1023" t="s">
        <v>275</v>
      </c>
      <c r="K165" s="1023" t="s">
        <v>312</v>
      </c>
      <c r="L165" s="1023" t="s">
        <v>275</v>
      </c>
      <c r="M165" s="1023" t="s">
        <v>312</v>
      </c>
    </row>
    <row r="166" spans="5:14">
      <c r="E166" s="55">
        <v>23248</v>
      </c>
      <c r="F166" s="55">
        <f>9392+8895+9644</f>
        <v>27931</v>
      </c>
      <c r="G166" s="55">
        <v>22437</v>
      </c>
      <c r="H166" s="55">
        <f>96037-69086</f>
        <v>26951</v>
      </c>
      <c r="J166" s="55">
        <v>29430</v>
      </c>
      <c r="K166" s="508">
        <v>27064.525000000001</v>
      </c>
      <c r="L166" s="55">
        <v>29930</v>
      </c>
      <c r="M166" s="508">
        <v>25016.61</v>
      </c>
    </row>
    <row r="167" spans="5:14">
      <c r="E167" s="3024" t="s">
        <v>2613</v>
      </c>
      <c r="F167" s="3025"/>
      <c r="G167" s="3025"/>
      <c r="H167" s="3026"/>
      <c r="J167" s="3024" t="s">
        <v>2613</v>
      </c>
      <c r="K167" s="3025"/>
      <c r="L167" s="3025"/>
      <c r="M167" s="3026"/>
    </row>
    <row r="168" spans="5:14">
      <c r="E168" s="3024" t="s">
        <v>524</v>
      </c>
      <c r="F168" s="3026"/>
      <c r="G168" s="3024" t="s">
        <v>36</v>
      </c>
      <c r="H168" s="3026"/>
      <c r="J168" s="3024" t="s">
        <v>37</v>
      </c>
      <c r="K168" s="3026"/>
      <c r="L168" s="3024" t="s">
        <v>142</v>
      </c>
      <c r="M168" s="3026"/>
    </row>
    <row r="169" spans="5:14">
      <c r="E169" s="1023" t="s">
        <v>275</v>
      </c>
      <c r="F169" s="1023" t="s">
        <v>312</v>
      </c>
      <c r="G169" s="1023" t="s">
        <v>275</v>
      </c>
      <c r="H169" s="1023" t="s">
        <v>312</v>
      </c>
      <c r="J169" s="1023" t="s">
        <v>275</v>
      </c>
      <c r="K169" s="1023" t="s">
        <v>312</v>
      </c>
      <c r="L169" s="1023" t="s">
        <v>275</v>
      </c>
      <c r="M169" s="1023" t="s">
        <v>312</v>
      </c>
    </row>
    <row r="170" spans="5:14">
      <c r="E170" s="55">
        <f>+E162+E158+E154+E166</f>
        <v>94267</v>
      </c>
      <c r="F170" s="55">
        <f>+F162+F158+F154+F166</f>
        <v>99458</v>
      </c>
      <c r="G170" s="55">
        <f>+G162+G158+G154+G166</f>
        <v>90977</v>
      </c>
      <c r="H170" s="508">
        <f>+H162+H158+H154+H166</f>
        <v>96037</v>
      </c>
      <c r="J170" s="55">
        <f>+J162+J158+J154+J166</f>
        <v>117444</v>
      </c>
      <c r="K170" s="508">
        <f>+K162+K158+K154+K166</f>
        <v>101809.12599999999</v>
      </c>
      <c r="L170" s="55">
        <f>+L162+L158+L154+L166</f>
        <v>119544</v>
      </c>
      <c r="M170" s="508">
        <f>+M162+M158+M154+M166</f>
        <v>102847.75300000001</v>
      </c>
    </row>
    <row r="172" spans="5:14" ht="13.5" thickBot="1"/>
    <row r="173" spans="5:14">
      <c r="E173" s="1022" t="s">
        <v>4071</v>
      </c>
      <c r="F173" s="1022"/>
      <c r="G173" s="1022"/>
      <c r="H173" s="1022"/>
      <c r="J173" s="1015" t="s">
        <v>4072</v>
      </c>
      <c r="K173" s="1015"/>
      <c r="L173" s="1015"/>
      <c r="M173" s="1015"/>
    </row>
    <row r="174" spans="5:14">
      <c r="E174" s="3024" t="s">
        <v>2609</v>
      </c>
      <c r="F174" s="3025"/>
      <c r="G174" s="3025"/>
      <c r="H174" s="3026"/>
      <c r="J174" s="3024" t="s">
        <v>2609</v>
      </c>
      <c r="K174" s="3025"/>
      <c r="L174" s="3025"/>
      <c r="M174" s="3026"/>
    </row>
    <row r="175" spans="5:14">
      <c r="E175" s="3024" t="s">
        <v>524</v>
      </c>
      <c r="F175" s="3026"/>
      <c r="G175" s="3024" t="s">
        <v>36</v>
      </c>
      <c r="H175" s="3026"/>
      <c r="J175" s="3024" t="s">
        <v>37</v>
      </c>
      <c r="K175" s="3026"/>
      <c r="L175" s="3024" t="s">
        <v>142</v>
      </c>
      <c r="M175" s="3026"/>
    </row>
    <row r="176" spans="5:14">
      <c r="E176" s="1023" t="s">
        <v>275</v>
      </c>
      <c r="F176" s="1023" t="s">
        <v>312</v>
      </c>
      <c r="G176" s="1023" t="s">
        <v>275</v>
      </c>
      <c r="H176" s="1023" t="s">
        <v>312</v>
      </c>
      <c r="J176" s="1023" t="s">
        <v>275</v>
      </c>
      <c r="K176" s="1023" t="s">
        <v>312</v>
      </c>
      <c r="L176" s="1023" t="s">
        <v>275</v>
      </c>
      <c r="M176" s="1023" t="s">
        <v>312</v>
      </c>
    </row>
    <row r="177" spans="5:13">
      <c r="E177" s="55">
        <v>25365</v>
      </c>
      <c r="F177" s="55">
        <f>9717+9091+9398</f>
        <v>28206</v>
      </c>
      <c r="G177" s="55">
        <f>8066+8332+8108</f>
        <v>24506</v>
      </c>
      <c r="H177" s="55">
        <f>9374+8765+9087</f>
        <v>27226</v>
      </c>
      <c r="J177" s="55">
        <f>9800+10005+9945</f>
        <v>29750</v>
      </c>
      <c r="K177" s="508">
        <v>31583.605</v>
      </c>
      <c r="L177" s="55">
        <f>9950+10155+10145</f>
        <v>30250</v>
      </c>
      <c r="M177" s="508">
        <v>31621.845000000001</v>
      </c>
    </row>
    <row r="178" spans="5:13">
      <c r="E178" s="3024" t="s">
        <v>2610</v>
      </c>
      <c r="F178" s="3025"/>
      <c r="G178" s="3025"/>
      <c r="H178" s="3026"/>
      <c r="J178" s="3024" t="s">
        <v>2610</v>
      </c>
      <c r="K178" s="3025"/>
      <c r="L178" s="3025"/>
      <c r="M178" s="3026"/>
    </row>
    <row r="179" spans="5:13">
      <c r="E179" s="3024" t="s">
        <v>524</v>
      </c>
      <c r="F179" s="3026"/>
      <c r="G179" s="3024" t="s">
        <v>36</v>
      </c>
      <c r="H179" s="3026"/>
      <c r="J179" s="3024" t="s">
        <v>37</v>
      </c>
      <c r="K179" s="3026"/>
      <c r="L179" s="3024" t="s">
        <v>142</v>
      </c>
      <c r="M179" s="3026"/>
    </row>
    <row r="180" spans="5:13">
      <c r="E180" s="1023" t="s">
        <v>275</v>
      </c>
      <c r="F180" s="1023" t="s">
        <v>312</v>
      </c>
      <c r="G180" s="1023" t="s">
        <v>275</v>
      </c>
      <c r="H180" s="1023" t="s">
        <v>312</v>
      </c>
      <c r="J180" s="1023" t="s">
        <v>275</v>
      </c>
      <c r="K180" s="1023" t="s">
        <v>312</v>
      </c>
      <c r="L180" s="1023" t="s">
        <v>275</v>
      </c>
      <c r="M180" s="1023" t="s">
        <v>312</v>
      </c>
    </row>
    <row r="181" spans="5:13">
      <c r="E181" s="55">
        <v>25642</v>
      </c>
      <c r="F181" s="55">
        <f>9676+9217+8674</f>
        <v>27567</v>
      </c>
      <c r="G181" s="55">
        <f>8334+8332+8108</f>
        <v>24774</v>
      </c>
      <c r="H181" s="55">
        <f>9356+8896+8336</f>
        <v>26588</v>
      </c>
      <c r="J181" s="55">
        <f>9855+9950+9910</f>
        <v>29715</v>
      </c>
      <c r="K181" s="508">
        <v>30787.597000000002</v>
      </c>
      <c r="L181" s="55">
        <f>10005+10100+10110</f>
        <v>30215</v>
      </c>
      <c r="M181" s="508">
        <v>31063.008000000002</v>
      </c>
    </row>
    <row r="182" spans="5:13">
      <c r="E182" s="3024" t="s">
        <v>2611</v>
      </c>
      <c r="F182" s="3025"/>
      <c r="G182" s="3025"/>
      <c r="H182" s="3026"/>
      <c r="J182" s="3024" t="s">
        <v>2611</v>
      </c>
      <c r="K182" s="3025"/>
      <c r="L182" s="3025"/>
      <c r="M182" s="3026"/>
    </row>
    <row r="183" spans="5:13">
      <c r="E183" s="3024" t="s">
        <v>524</v>
      </c>
      <c r="F183" s="3026"/>
      <c r="G183" s="3024" t="s">
        <v>36</v>
      </c>
      <c r="H183" s="3026"/>
      <c r="J183" s="3024" t="s">
        <v>37</v>
      </c>
      <c r="K183" s="3026"/>
      <c r="L183" s="3024" t="s">
        <v>142</v>
      </c>
      <c r="M183" s="3026"/>
    </row>
    <row r="184" spans="5:13">
      <c r="E184" s="1023" t="s">
        <v>275</v>
      </c>
      <c r="F184" s="1023" t="s">
        <v>312</v>
      </c>
      <c r="G184" s="1023" t="s">
        <v>275</v>
      </c>
      <c r="H184" s="1023" t="s">
        <v>312</v>
      </c>
      <c r="J184" s="1023" t="s">
        <v>275</v>
      </c>
      <c r="K184" s="1023" t="s">
        <v>312</v>
      </c>
      <c r="L184" s="1023" t="s">
        <v>275</v>
      </c>
      <c r="M184" s="1023" t="s">
        <v>312</v>
      </c>
    </row>
    <row r="185" spans="5:13">
      <c r="E185" s="55">
        <v>25372</v>
      </c>
      <c r="F185" s="55">
        <f>9311+9486+10250</f>
        <v>29047</v>
      </c>
      <c r="G185" s="55">
        <f>8074+8066+8373</f>
        <v>24513</v>
      </c>
      <c r="H185" s="55">
        <f>8981+9150+9867</f>
        <v>27998</v>
      </c>
      <c r="J185" s="55">
        <f>9755+9940+10000</f>
        <v>29695</v>
      </c>
      <c r="K185" s="508">
        <v>29025.51</v>
      </c>
      <c r="L185" s="55">
        <f>9905+10090+10200</f>
        <v>30195</v>
      </c>
      <c r="M185" s="508">
        <v>27599.13</v>
      </c>
    </row>
    <row r="186" spans="5:13">
      <c r="E186" s="3024" t="s">
        <v>2612</v>
      </c>
      <c r="F186" s="3025"/>
      <c r="G186" s="3025"/>
      <c r="H186" s="3026"/>
      <c r="J186" s="3024" t="s">
        <v>2612</v>
      </c>
      <c r="K186" s="3025"/>
      <c r="L186" s="3025"/>
      <c r="M186" s="3026"/>
    </row>
    <row r="187" spans="5:13">
      <c r="E187" s="3024" t="s">
        <v>524</v>
      </c>
      <c r="F187" s="3026"/>
      <c r="G187" s="3024" t="s">
        <v>36</v>
      </c>
      <c r="H187" s="3026"/>
      <c r="J187" s="3024" t="s">
        <v>37</v>
      </c>
      <c r="K187" s="3026"/>
      <c r="L187" s="3024" t="s">
        <v>142</v>
      </c>
      <c r="M187" s="3026"/>
    </row>
    <row r="188" spans="5:13">
      <c r="E188" s="1023" t="s">
        <v>275</v>
      </c>
      <c r="F188" s="1023" t="s">
        <v>312</v>
      </c>
      <c r="G188" s="1023" t="s">
        <v>275</v>
      </c>
      <c r="H188" s="1023" t="s">
        <v>312</v>
      </c>
      <c r="J188" s="1023" t="s">
        <v>275</v>
      </c>
      <c r="K188" s="1023" t="s">
        <v>312</v>
      </c>
      <c r="L188" s="1023" t="s">
        <v>275</v>
      </c>
      <c r="M188" s="1023" t="s">
        <v>312</v>
      </c>
    </row>
    <row r="189" spans="5:13">
      <c r="E189" s="55">
        <v>25747</v>
      </c>
      <c r="F189" s="55">
        <f>112441-84820</f>
        <v>27621</v>
      </c>
      <c r="G189" s="55">
        <f>8462+7957+8456</f>
        <v>24875</v>
      </c>
      <c r="H189" s="55">
        <f>108356-81812</f>
        <v>26544</v>
      </c>
      <c r="J189" s="55">
        <f>9950+9840+9950</f>
        <v>29740</v>
      </c>
      <c r="K189" s="508">
        <f>119011-91396.71</f>
        <v>27614.289999999994</v>
      </c>
      <c r="L189" s="55">
        <f>10100+9990+10150</f>
        <v>30240</v>
      </c>
      <c r="M189" s="508">
        <f>118427-90283.98</f>
        <v>28143.020000000004</v>
      </c>
    </row>
    <row r="190" spans="5:13">
      <c r="E190" s="3024" t="s">
        <v>2613</v>
      </c>
      <c r="F190" s="3025"/>
      <c r="G190" s="3025"/>
      <c r="H190" s="3026"/>
      <c r="J190" s="3024" t="s">
        <v>2613</v>
      </c>
      <c r="K190" s="3025"/>
      <c r="L190" s="3025"/>
      <c r="M190" s="3026"/>
    </row>
    <row r="191" spans="5:13">
      <c r="E191" s="3024" t="s">
        <v>524</v>
      </c>
      <c r="F191" s="3026"/>
      <c r="G191" s="3024" t="s">
        <v>36</v>
      </c>
      <c r="H191" s="3026"/>
      <c r="J191" s="3024" t="s">
        <v>37</v>
      </c>
      <c r="K191" s="3026"/>
      <c r="L191" s="3024" t="s">
        <v>142</v>
      </c>
      <c r="M191" s="3026"/>
    </row>
    <row r="192" spans="5:13">
      <c r="E192" s="1023" t="s">
        <v>275</v>
      </c>
      <c r="F192" s="1023" t="s">
        <v>312</v>
      </c>
      <c r="G192" s="1023" t="s">
        <v>275</v>
      </c>
      <c r="H192" s="1023" t="s">
        <v>312</v>
      </c>
      <c r="J192" s="1023" t="s">
        <v>275</v>
      </c>
      <c r="K192" s="1023" t="s">
        <v>312</v>
      </c>
      <c r="L192" s="1023" t="s">
        <v>275</v>
      </c>
      <c r="M192" s="1023" t="s">
        <v>312</v>
      </c>
    </row>
    <row r="193" spans="5:13">
      <c r="E193" s="55">
        <f>+E185+E181+E177+E189</f>
        <v>102126</v>
      </c>
      <c r="F193" s="55">
        <f>+F185+F181+F177+F189</f>
        <v>112441</v>
      </c>
      <c r="G193" s="55">
        <f>+G185+G181+G177+G189</f>
        <v>98668</v>
      </c>
      <c r="H193" s="508">
        <f>+H185+H181+H177+H189</f>
        <v>108356</v>
      </c>
      <c r="J193" s="55">
        <f>+J185+J181+J177+J189</f>
        <v>118900</v>
      </c>
      <c r="K193" s="55">
        <f>+K185+K181+K177+K189</f>
        <v>119011.00199999999</v>
      </c>
      <c r="L193" s="55">
        <f>+L185+L181+L177+L189</f>
        <v>120900</v>
      </c>
      <c r="M193" s="55">
        <f>+M185+M181+M177+M189</f>
        <v>118427.00300000001</v>
      </c>
    </row>
    <row r="195" spans="5:13" ht="13.5" thickBot="1"/>
    <row r="196" spans="5:13">
      <c r="E196" s="1022" t="s">
        <v>4069</v>
      </c>
      <c r="F196" s="1022"/>
      <c r="G196" s="1022"/>
      <c r="H196" s="1022"/>
      <c r="J196" s="1015" t="s">
        <v>4070</v>
      </c>
      <c r="K196" s="1015"/>
      <c r="L196" s="1015"/>
      <c r="M196" s="1015"/>
    </row>
    <row r="197" spans="5:13">
      <c r="E197" s="3024" t="s">
        <v>2609</v>
      </c>
      <c r="F197" s="3025"/>
      <c r="G197" s="3025"/>
      <c r="H197" s="3026"/>
      <c r="J197" s="3024" t="s">
        <v>2609</v>
      </c>
      <c r="K197" s="3025"/>
      <c r="L197" s="3025"/>
      <c r="M197" s="3026"/>
    </row>
    <row r="198" spans="5:13">
      <c r="E198" s="3024" t="s">
        <v>524</v>
      </c>
      <c r="F198" s="3026"/>
      <c r="G198" s="3024" t="s">
        <v>36</v>
      </c>
      <c r="H198" s="3026"/>
      <c r="J198" s="3024" t="s">
        <v>37</v>
      </c>
      <c r="K198" s="3026"/>
      <c r="L198" s="3024" t="s">
        <v>142</v>
      </c>
      <c r="M198" s="3026"/>
    </row>
    <row r="199" spans="5:13">
      <c r="E199" s="1023" t="s">
        <v>275</v>
      </c>
      <c r="F199" s="1023" t="s">
        <v>312</v>
      </c>
      <c r="G199" s="1023" t="s">
        <v>275</v>
      </c>
      <c r="H199" s="1023" t="s">
        <v>312</v>
      </c>
      <c r="J199" s="1023" t="s">
        <v>275</v>
      </c>
      <c r="K199" s="1023" t="s">
        <v>312</v>
      </c>
      <c r="L199" s="1023" t="s">
        <v>275</v>
      </c>
      <c r="M199" s="1023" t="s">
        <v>312</v>
      </c>
    </row>
    <row r="200" spans="5:13">
      <c r="E200" s="55">
        <v>30886</v>
      </c>
      <c r="F200" s="55">
        <f>8986+9661+7781</f>
        <v>26428</v>
      </c>
      <c r="G200" s="55">
        <v>29846</v>
      </c>
      <c r="H200" s="55">
        <f>8667+9335+7517</f>
        <v>25519</v>
      </c>
      <c r="J200" s="55">
        <v>32668</v>
      </c>
      <c r="K200" s="508">
        <v>27120.705999999998</v>
      </c>
      <c r="L200" s="55">
        <v>33168</v>
      </c>
      <c r="M200" s="508">
        <v>29619.99</v>
      </c>
    </row>
    <row r="201" spans="5:13">
      <c r="E201" s="3024" t="s">
        <v>2610</v>
      </c>
      <c r="F201" s="3025"/>
      <c r="G201" s="3025"/>
      <c r="H201" s="3026"/>
      <c r="J201" s="3024" t="s">
        <v>2610</v>
      </c>
      <c r="K201" s="3025"/>
      <c r="L201" s="3025"/>
      <c r="M201" s="3026"/>
    </row>
    <row r="202" spans="5:13">
      <c r="E202" s="3024" t="s">
        <v>524</v>
      </c>
      <c r="F202" s="3026"/>
      <c r="G202" s="3024" t="s">
        <v>36</v>
      </c>
      <c r="H202" s="3026"/>
      <c r="J202" s="3024" t="s">
        <v>37</v>
      </c>
      <c r="K202" s="3026"/>
      <c r="L202" s="3024" t="s">
        <v>142</v>
      </c>
      <c r="M202" s="3026"/>
    </row>
    <row r="203" spans="5:13">
      <c r="E203" s="1023" t="s">
        <v>275</v>
      </c>
      <c r="F203" s="1023" t="s">
        <v>312</v>
      </c>
      <c r="G203" s="1023" t="s">
        <v>275</v>
      </c>
      <c r="H203" s="1023" t="s">
        <v>312</v>
      </c>
      <c r="J203" s="1023" t="s">
        <v>275</v>
      </c>
      <c r="K203" s="1023" t="s">
        <v>312</v>
      </c>
      <c r="L203" s="1023" t="s">
        <v>275</v>
      </c>
      <c r="M203" s="1023" t="s">
        <v>312</v>
      </c>
    </row>
    <row r="204" spans="5:13">
      <c r="E204" s="55">
        <v>30910</v>
      </c>
      <c r="F204" s="55">
        <f>7378+9437+9251</f>
        <v>26066</v>
      </c>
      <c r="G204" s="55">
        <v>29869</v>
      </c>
      <c r="H204" s="55">
        <f>7063+9113+8908</f>
        <v>25084</v>
      </c>
      <c r="J204" s="55">
        <v>32810</v>
      </c>
      <c r="K204" s="508">
        <v>27619.005000000001</v>
      </c>
      <c r="L204" s="55">
        <v>33310</v>
      </c>
      <c r="M204" s="508">
        <v>30166.13</v>
      </c>
    </row>
    <row r="205" spans="5:13">
      <c r="E205" s="3024" t="s">
        <v>2611</v>
      </c>
      <c r="F205" s="3025"/>
      <c r="G205" s="3025"/>
      <c r="H205" s="3026"/>
      <c r="J205" s="3024" t="s">
        <v>2611</v>
      </c>
      <c r="K205" s="3025"/>
      <c r="L205" s="3025"/>
      <c r="M205" s="3026"/>
    </row>
    <row r="206" spans="5:13">
      <c r="E206" s="3024" t="s">
        <v>524</v>
      </c>
      <c r="F206" s="3026"/>
      <c r="G206" s="3024" t="s">
        <v>36</v>
      </c>
      <c r="H206" s="3026"/>
      <c r="J206" s="3024" t="s">
        <v>37</v>
      </c>
      <c r="K206" s="3026"/>
      <c r="L206" s="3024" t="s">
        <v>142</v>
      </c>
      <c r="M206" s="3026"/>
    </row>
    <row r="207" spans="5:13">
      <c r="E207" s="1023" t="s">
        <v>275</v>
      </c>
      <c r="F207" s="1023" t="s">
        <v>312</v>
      </c>
      <c r="G207" s="1023" t="s">
        <v>275</v>
      </c>
      <c r="H207" s="1023" t="s">
        <v>312</v>
      </c>
      <c r="J207" s="1023" t="s">
        <v>275</v>
      </c>
      <c r="K207" s="1023" t="s">
        <v>312</v>
      </c>
      <c r="L207" s="1023" t="s">
        <v>275</v>
      </c>
      <c r="M207" s="1023" t="s">
        <v>312</v>
      </c>
    </row>
    <row r="208" spans="5:13">
      <c r="E208" s="55">
        <v>30889</v>
      </c>
      <c r="F208" s="55">
        <f>9979+10077+10707</f>
        <v>30763</v>
      </c>
      <c r="G208" s="55">
        <v>29849</v>
      </c>
      <c r="H208" s="55">
        <f>9584+9720+10248</f>
        <v>29552</v>
      </c>
      <c r="J208" s="55">
        <v>32705</v>
      </c>
      <c r="K208" s="508">
        <v>31065.401000000002</v>
      </c>
      <c r="L208" s="55">
        <v>33205</v>
      </c>
      <c r="M208" s="508">
        <v>29969.665000000001</v>
      </c>
    </row>
    <row r="209" spans="5:13">
      <c r="E209" s="3024" t="s">
        <v>2612</v>
      </c>
      <c r="F209" s="3025"/>
      <c r="G209" s="3025"/>
      <c r="H209" s="3026"/>
      <c r="J209" s="3024" t="s">
        <v>2612</v>
      </c>
      <c r="K209" s="3025"/>
      <c r="L209" s="3025"/>
      <c r="M209" s="3026"/>
    </row>
    <row r="210" spans="5:13">
      <c r="E210" s="3024" t="s">
        <v>524</v>
      </c>
      <c r="F210" s="3026"/>
      <c r="G210" s="3024" t="s">
        <v>36</v>
      </c>
      <c r="H210" s="3026"/>
      <c r="J210" s="3024" t="s">
        <v>37</v>
      </c>
      <c r="K210" s="3026"/>
      <c r="L210" s="3024" t="s">
        <v>142</v>
      </c>
      <c r="M210" s="3026"/>
    </row>
    <row r="211" spans="5:13">
      <c r="E211" s="1023" t="s">
        <v>275</v>
      </c>
      <c r="F211" s="1023" t="s">
        <v>312</v>
      </c>
      <c r="G211" s="1023" t="s">
        <v>275</v>
      </c>
      <c r="H211" s="1023" t="s">
        <v>312</v>
      </c>
      <c r="J211" s="1023" t="s">
        <v>275</v>
      </c>
      <c r="K211" s="1023" t="s">
        <v>312</v>
      </c>
      <c r="L211" s="1023" t="s">
        <v>275</v>
      </c>
      <c r="M211" s="1023" t="s">
        <v>312</v>
      </c>
    </row>
    <row r="212" spans="5:13">
      <c r="E212" s="55">
        <v>30811</v>
      </c>
      <c r="F212" s="55">
        <f>11746+11270+11463</f>
        <v>34479</v>
      </c>
      <c r="G212" s="55">
        <v>29774</v>
      </c>
      <c r="H212" s="55">
        <f>113208-80155</f>
        <v>33053</v>
      </c>
      <c r="J212" s="55">
        <v>32467</v>
      </c>
      <c r="K212" s="508">
        <f>118655-85805.11</f>
        <v>32849.89</v>
      </c>
      <c r="L212" s="55">
        <v>32967</v>
      </c>
      <c r="M212" s="508">
        <f>121789-89755.79</f>
        <v>32033.210000000006</v>
      </c>
    </row>
    <row r="213" spans="5:13">
      <c r="E213" s="3024" t="s">
        <v>2613</v>
      </c>
      <c r="F213" s="3025"/>
      <c r="G213" s="3025"/>
      <c r="H213" s="3026"/>
      <c r="J213" s="3024" t="s">
        <v>2613</v>
      </c>
      <c r="K213" s="3025"/>
      <c r="L213" s="3025"/>
      <c r="M213" s="3026"/>
    </row>
    <row r="214" spans="5:13">
      <c r="E214" s="3024" t="s">
        <v>524</v>
      </c>
      <c r="F214" s="3026"/>
      <c r="G214" s="3024" t="s">
        <v>36</v>
      </c>
      <c r="H214" s="3026"/>
      <c r="J214" s="3024" t="s">
        <v>37</v>
      </c>
      <c r="K214" s="3026"/>
      <c r="L214" s="3024" t="s">
        <v>142</v>
      </c>
      <c r="M214" s="3026"/>
    </row>
    <row r="215" spans="5:13">
      <c r="E215" s="1023" t="s">
        <v>275</v>
      </c>
      <c r="F215" s="1023" t="s">
        <v>312</v>
      </c>
      <c r="G215" s="1023" t="s">
        <v>275</v>
      </c>
      <c r="H215" s="1023" t="s">
        <v>312</v>
      </c>
      <c r="J215" s="1023" t="s">
        <v>275</v>
      </c>
      <c r="K215" s="1023" t="s">
        <v>312</v>
      </c>
      <c r="L215" s="1023" t="s">
        <v>275</v>
      </c>
      <c r="M215" s="1023" t="s">
        <v>312</v>
      </c>
    </row>
    <row r="216" spans="5:13">
      <c r="E216" s="55">
        <f>+E208+E204+E200+E212</f>
        <v>123496</v>
      </c>
      <c r="F216" s="55">
        <f>+F208+F204+F200+F212</f>
        <v>117736</v>
      </c>
      <c r="G216" s="55">
        <f>+G208+G204+G200+G212</f>
        <v>119338</v>
      </c>
      <c r="H216" s="508">
        <f>+H208+H204+H200+H212</f>
        <v>113208</v>
      </c>
      <c r="J216" s="55">
        <f>+J208+J204+J200+J212</f>
        <v>130650</v>
      </c>
      <c r="K216" s="55">
        <f>+K208+K204+K200+K212</f>
        <v>118655.00199999999</v>
      </c>
      <c r="L216" s="55">
        <f>+L208+L204+L200+L212</f>
        <v>132650</v>
      </c>
      <c r="M216" s="55">
        <f>+M208+M204+M200+M212</f>
        <v>121788.99500000001</v>
      </c>
    </row>
  </sheetData>
  <mergeCells count="230">
    <mergeCell ref="O143:R143"/>
    <mergeCell ref="T143:W143"/>
    <mergeCell ref="O144:P144"/>
    <mergeCell ref="Q144:R144"/>
    <mergeCell ref="T144:U144"/>
    <mergeCell ref="V144:W144"/>
    <mergeCell ref="O135:R135"/>
    <mergeCell ref="T135:W135"/>
    <mergeCell ref="O136:P136"/>
    <mergeCell ref="Q136:R136"/>
    <mergeCell ref="T136:U136"/>
    <mergeCell ref="V136:W136"/>
    <mergeCell ref="O139:R139"/>
    <mergeCell ref="T139:W139"/>
    <mergeCell ref="O140:P140"/>
    <mergeCell ref="Q140:R140"/>
    <mergeCell ref="T140:U140"/>
    <mergeCell ref="V140:W140"/>
    <mergeCell ref="O127:R127"/>
    <mergeCell ref="T127:W127"/>
    <mergeCell ref="O128:P128"/>
    <mergeCell ref="Q128:R128"/>
    <mergeCell ref="T128:U128"/>
    <mergeCell ref="V128:W128"/>
    <mergeCell ref="O131:R131"/>
    <mergeCell ref="T131:W131"/>
    <mergeCell ref="O132:P132"/>
    <mergeCell ref="Q132:R132"/>
    <mergeCell ref="T132:U132"/>
    <mergeCell ref="V132:W132"/>
    <mergeCell ref="E139:H139"/>
    <mergeCell ref="J139:M139"/>
    <mergeCell ref="E140:F140"/>
    <mergeCell ref="G140:H140"/>
    <mergeCell ref="J140:K140"/>
    <mergeCell ref="L140:M140"/>
    <mergeCell ref="E143:H143"/>
    <mergeCell ref="J143:M143"/>
    <mergeCell ref="E144:F144"/>
    <mergeCell ref="G144:H144"/>
    <mergeCell ref="J144:K144"/>
    <mergeCell ref="L144:M144"/>
    <mergeCell ref="E131:H131"/>
    <mergeCell ref="J131:M131"/>
    <mergeCell ref="E132:F132"/>
    <mergeCell ref="G132:H132"/>
    <mergeCell ref="J132:K132"/>
    <mergeCell ref="L132:M132"/>
    <mergeCell ref="E135:H135"/>
    <mergeCell ref="J135:M135"/>
    <mergeCell ref="E136:F136"/>
    <mergeCell ref="G136:H136"/>
    <mergeCell ref="J136:K136"/>
    <mergeCell ref="L136:M136"/>
    <mergeCell ref="E119:H119"/>
    <mergeCell ref="J119:M119"/>
    <mergeCell ref="E120:F120"/>
    <mergeCell ref="G120:H120"/>
    <mergeCell ref="J120:K120"/>
    <mergeCell ref="L120:M120"/>
    <mergeCell ref="E127:H127"/>
    <mergeCell ref="J127:M127"/>
    <mergeCell ref="E128:F128"/>
    <mergeCell ref="G128:H128"/>
    <mergeCell ref="J128:K128"/>
    <mergeCell ref="L128:M128"/>
    <mergeCell ref="E111:H111"/>
    <mergeCell ref="J111:M111"/>
    <mergeCell ref="E112:F112"/>
    <mergeCell ref="G112:H112"/>
    <mergeCell ref="J112:K112"/>
    <mergeCell ref="L112:M112"/>
    <mergeCell ref="E115:H115"/>
    <mergeCell ref="J115:M115"/>
    <mergeCell ref="E116:F116"/>
    <mergeCell ref="G116:H116"/>
    <mergeCell ref="J116:K116"/>
    <mergeCell ref="L116:M116"/>
    <mergeCell ref="E103:H103"/>
    <mergeCell ref="J103:M103"/>
    <mergeCell ref="E104:F104"/>
    <mergeCell ref="G104:H104"/>
    <mergeCell ref="J104:K104"/>
    <mergeCell ref="L104:M104"/>
    <mergeCell ref="E107:H107"/>
    <mergeCell ref="J107:M107"/>
    <mergeCell ref="E108:F108"/>
    <mergeCell ref="G108:H108"/>
    <mergeCell ref="J108:K108"/>
    <mergeCell ref="L108:M108"/>
    <mergeCell ref="E94:H94"/>
    <mergeCell ref="J94:M94"/>
    <mergeCell ref="Y94:AB94"/>
    <mergeCell ref="E95:F95"/>
    <mergeCell ref="G95:H95"/>
    <mergeCell ref="J95:K95"/>
    <mergeCell ref="L95:M95"/>
    <mergeCell ref="Y95:Z95"/>
    <mergeCell ref="AA95:AB95"/>
    <mergeCell ref="E90:H90"/>
    <mergeCell ref="J90:M90"/>
    <mergeCell ref="Y90:AB90"/>
    <mergeCell ref="E91:F91"/>
    <mergeCell ref="G91:H91"/>
    <mergeCell ref="J91:K91"/>
    <mergeCell ref="L91:M91"/>
    <mergeCell ref="Y91:Z91"/>
    <mergeCell ref="AA91:AB91"/>
    <mergeCell ref="E86:H86"/>
    <mergeCell ref="J86:M86"/>
    <mergeCell ref="Y86:AB86"/>
    <mergeCell ref="E87:F87"/>
    <mergeCell ref="G87:H87"/>
    <mergeCell ref="J87:K87"/>
    <mergeCell ref="L87:M87"/>
    <mergeCell ref="Y87:Z87"/>
    <mergeCell ref="AA87:AB87"/>
    <mergeCell ref="E82:H82"/>
    <mergeCell ref="J82:M82"/>
    <mergeCell ref="Y82:AB82"/>
    <mergeCell ref="E83:F83"/>
    <mergeCell ref="G83:H83"/>
    <mergeCell ref="J83:K83"/>
    <mergeCell ref="L83:M83"/>
    <mergeCell ref="Y83:Z83"/>
    <mergeCell ref="AA83:AB83"/>
    <mergeCell ref="A6:AC6"/>
    <mergeCell ref="AM7:AN7"/>
    <mergeCell ref="AO7:AP7"/>
    <mergeCell ref="AQ7:AR7"/>
    <mergeCell ref="AS7:AT7"/>
    <mergeCell ref="E78:H78"/>
    <mergeCell ref="J78:M78"/>
    <mergeCell ref="Y78:AB78"/>
    <mergeCell ref="E79:F79"/>
    <mergeCell ref="G79:H79"/>
    <mergeCell ref="J79:K79"/>
    <mergeCell ref="L79:M79"/>
    <mergeCell ref="Y79:Z79"/>
    <mergeCell ref="AA79:AB79"/>
    <mergeCell ref="E151:H151"/>
    <mergeCell ref="J151:M151"/>
    <mergeCell ref="E152:F152"/>
    <mergeCell ref="G152:H152"/>
    <mergeCell ref="J152:K152"/>
    <mergeCell ref="L152:M152"/>
    <mergeCell ref="E155:H155"/>
    <mergeCell ref="J155:M155"/>
    <mergeCell ref="E156:F156"/>
    <mergeCell ref="G156:H156"/>
    <mergeCell ref="J156:K156"/>
    <mergeCell ref="L156:M156"/>
    <mergeCell ref="E159:H159"/>
    <mergeCell ref="J159:M159"/>
    <mergeCell ref="E160:F160"/>
    <mergeCell ref="G160:H160"/>
    <mergeCell ref="J160:K160"/>
    <mergeCell ref="L160:M160"/>
    <mergeCell ref="E163:H163"/>
    <mergeCell ref="J163:M163"/>
    <mergeCell ref="E164:F164"/>
    <mergeCell ref="G164:H164"/>
    <mergeCell ref="J164:K164"/>
    <mergeCell ref="L164:M164"/>
    <mergeCell ref="E167:H167"/>
    <mergeCell ref="J167:M167"/>
    <mergeCell ref="E168:F168"/>
    <mergeCell ref="G168:H168"/>
    <mergeCell ref="J168:K168"/>
    <mergeCell ref="L168:M168"/>
    <mergeCell ref="E174:H174"/>
    <mergeCell ref="J174:M174"/>
    <mergeCell ref="E175:F175"/>
    <mergeCell ref="G175:H175"/>
    <mergeCell ref="J175:K175"/>
    <mergeCell ref="L175:M175"/>
    <mergeCell ref="E178:H178"/>
    <mergeCell ref="J178:M178"/>
    <mergeCell ref="E179:F179"/>
    <mergeCell ref="G179:H179"/>
    <mergeCell ref="J179:K179"/>
    <mergeCell ref="L179:M179"/>
    <mergeCell ref="E182:H182"/>
    <mergeCell ref="J182:M182"/>
    <mergeCell ref="E183:F183"/>
    <mergeCell ref="G183:H183"/>
    <mergeCell ref="J183:K183"/>
    <mergeCell ref="L183:M183"/>
    <mergeCell ref="E186:H186"/>
    <mergeCell ref="J186:M186"/>
    <mergeCell ref="E187:F187"/>
    <mergeCell ref="G187:H187"/>
    <mergeCell ref="J187:K187"/>
    <mergeCell ref="L187:M187"/>
    <mergeCell ref="E190:H190"/>
    <mergeCell ref="J190:M190"/>
    <mergeCell ref="E191:F191"/>
    <mergeCell ref="G191:H191"/>
    <mergeCell ref="J191:K191"/>
    <mergeCell ref="L191:M191"/>
    <mergeCell ref="E197:H197"/>
    <mergeCell ref="J197:M197"/>
    <mergeCell ref="E198:F198"/>
    <mergeCell ref="G198:H198"/>
    <mergeCell ref="J198:K198"/>
    <mergeCell ref="L198:M198"/>
    <mergeCell ref="E201:H201"/>
    <mergeCell ref="J201:M201"/>
    <mergeCell ref="E202:F202"/>
    <mergeCell ref="G202:H202"/>
    <mergeCell ref="J202:K202"/>
    <mergeCell ref="L202:M202"/>
    <mergeCell ref="E213:H213"/>
    <mergeCell ref="J213:M213"/>
    <mergeCell ref="E214:F214"/>
    <mergeCell ref="G214:H214"/>
    <mergeCell ref="J214:K214"/>
    <mergeCell ref="L214:M214"/>
    <mergeCell ref="E205:H205"/>
    <mergeCell ref="J205:M205"/>
    <mergeCell ref="E206:F206"/>
    <mergeCell ref="G206:H206"/>
    <mergeCell ref="J206:K206"/>
    <mergeCell ref="L206:M206"/>
    <mergeCell ref="E209:H209"/>
    <mergeCell ref="J209:M209"/>
    <mergeCell ref="E210:F210"/>
    <mergeCell ref="G210:H210"/>
    <mergeCell ref="J210:K210"/>
    <mergeCell ref="L210:M210"/>
  </mergeCells>
  <pageMargins left="0.7" right="0.7" top="0.75" bottom="0.75" header="0.3" footer="0.3"/>
  <pageSetup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78"/>
  <sheetViews>
    <sheetView topLeftCell="D47" zoomScale="84" zoomScaleSheetLayoutView="100" workbookViewId="0">
      <selection activeCell="U93" sqref="U93"/>
    </sheetView>
  </sheetViews>
  <sheetFormatPr defaultColWidth="9" defaultRowHeight="12.75"/>
  <cols>
    <col min="2" max="2" width="16.5703125" customWidth="1"/>
    <col min="3" max="3" width="13.140625" customWidth="1"/>
    <col min="4" max="4" width="11.7109375" customWidth="1"/>
    <col min="5" max="5" width="14.140625" customWidth="1"/>
    <col min="6" max="6" width="17.28515625" customWidth="1"/>
    <col min="7" max="7" width="15.5703125" customWidth="1"/>
    <col min="9" max="9" width="15.7109375" customWidth="1"/>
    <col min="10" max="10" width="15.28515625" customWidth="1"/>
    <col min="11" max="11" width="9.7109375" customWidth="1"/>
    <col min="12" max="12" width="14" customWidth="1"/>
    <col min="13" max="13" width="14.85546875" customWidth="1"/>
    <col min="14" max="14" width="9.85546875" hidden="1" customWidth="1"/>
    <col min="15" max="15" width="15.5703125" hidden="1" customWidth="1"/>
    <col min="16" max="16" width="9" hidden="1" customWidth="1"/>
    <col min="17" max="17" width="0.140625" hidden="1" customWidth="1"/>
    <col min="18" max="18" width="15.42578125" customWidth="1"/>
    <col min="19" max="19" width="16.42578125" customWidth="1"/>
    <col min="20" max="20" width="15.42578125" customWidth="1"/>
    <col min="21" max="21" width="15.5703125" customWidth="1"/>
    <col min="22" max="22" width="14.85546875" customWidth="1"/>
    <col min="23" max="23" width="15.7109375" customWidth="1"/>
    <col min="24" max="24" width="11.140625" customWidth="1"/>
    <col min="25" max="25" width="9.28515625" customWidth="1"/>
    <col min="29" max="29" width="10.28515625" customWidth="1"/>
    <col min="32" max="32" width="14.28515625" customWidth="1"/>
  </cols>
  <sheetData>
    <row r="1" spans="2:37">
      <c r="B1" s="84"/>
      <c r="C1" s="84"/>
      <c r="D1" s="84"/>
      <c r="E1" s="84"/>
      <c r="F1" s="84"/>
      <c r="G1" s="84"/>
      <c r="H1" s="84"/>
    </row>
    <row r="2" spans="2:37" ht="18">
      <c r="B2" s="14" t="s">
        <v>4135</v>
      </c>
      <c r="C2" s="14"/>
      <c r="D2" s="14"/>
      <c r="E2" s="14" t="s">
        <v>2049</v>
      </c>
      <c r="H2" s="84"/>
    </row>
    <row r="3" spans="2:37" ht="20.25">
      <c r="B3" s="232"/>
      <c r="C3" s="233"/>
      <c r="D3" s="247"/>
      <c r="E3" s="985"/>
      <c r="F3" s="986"/>
      <c r="G3" s="987"/>
      <c r="H3" s="84"/>
      <c r="I3" s="3029" t="s">
        <v>2617</v>
      </c>
      <c r="J3" s="3029"/>
      <c r="K3" s="3029"/>
      <c r="L3" s="3029"/>
      <c r="M3" s="3029"/>
      <c r="N3" s="3029" t="s">
        <v>2618</v>
      </c>
      <c r="O3" s="3029"/>
      <c r="P3" s="3029"/>
      <c r="Q3" s="3029"/>
      <c r="R3" s="996"/>
      <c r="S3" s="293"/>
      <c r="T3" s="293"/>
      <c r="U3" s="293"/>
      <c r="V3" s="293"/>
      <c r="W3" s="293"/>
      <c r="X3" s="293"/>
      <c r="Y3" s="293" t="s">
        <v>2619</v>
      </c>
      <c r="Z3" s="293"/>
    </row>
    <row r="4" spans="2:37" ht="20.25">
      <c r="B4" s="491" t="s">
        <v>2620</v>
      </c>
      <c r="C4" s="102" t="s">
        <v>2621</v>
      </c>
      <c r="D4" s="507" t="s">
        <v>2622</v>
      </c>
      <c r="E4" s="3" t="s">
        <v>2620</v>
      </c>
      <c r="F4" s="4" t="s">
        <v>2621</v>
      </c>
      <c r="G4" s="5" t="s">
        <v>2622</v>
      </c>
      <c r="H4" s="84"/>
      <c r="I4" s="288"/>
      <c r="J4" s="288" t="s">
        <v>2623</v>
      </c>
      <c r="K4" s="288" t="s">
        <v>524</v>
      </c>
      <c r="L4" s="288"/>
      <c r="M4" s="288"/>
      <c r="N4" s="288" t="s">
        <v>2624</v>
      </c>
      <c r="O4" s="288" t="s">
        <v>2623</v>
      </c>
      <c r="P4" s="293"/>
      <c r="Q4" s="293"/>
      <c r="R4" s="288" t="s">
        <v>2623</v>
      </c>
      <c r="S4" s="288" t="s">
        <v>524</v>
      </c>
      <c r="T4" s="293" t="s">
        <v>2625</v>
      </c>
      <c r="U4" s="293" t="s">
        <v>2626</v>
      </c>
      <c r="V4" s="293"/>
      <c r="W4" s="288" t="s">
        <v>2623</v>
      </c>
      <c r="X4" s="288" t="s">
        <v>524</v>
      </c>
      <c r="Y4" s="996"/>
      <c r="Z4" s="996"/>
    </row>
    <row r="5" spans="2:37" ht="20.25">
      <c r="B5" s="988"/>
      <c r="C5" s="232"/>
      <c r="D5" s="989"/>
      <c r="E5" s="235"/>
      <c r="F5" s="11"/>
      <c r="G5" s="248"/>
      <c r="H5" s="84"/>
      <c r="I5" s="288" t="s">
        <v>2627</v>
      </c>
      <c r="J5" s="293">
        <f>L54</f>
        <v>786640</v>
      </c>
      <c r="K5" s="293">
        <f>M54</f>
        <v>1941.3</v>
      </c>
      <c r="L5" s="293">
        <f t="shared" ref="L5:L17" si="0">+J5/K5</f>
        <v>405.21300159686808</v>
      </c>
      <c r="M5" s="293"/>
      <c r="N5" s="293"/>
      <c r="O5" s="293"/>
      <c r="P5" s="997">
        <v>247.14006943916471</v>
      </c>
      <c r="Q5" s="293"/>
      <c r="R5" s="288">
        <f>T54</f>
        <v>8459664</v>
      </c>
      <c r="S5" s="288">
        <f>U54</f>
        <v>10889.75</v>
      </c>
      <c r="T5" s="997">
        <f t="shared" ref="T5:T17" si="1">+R5/S5</f>
        <v>776.84648407906514</v>
      </c>
      <c r="U5" s="997"/>
      <c r="V5" s="998"/>
      <c r="W5" s="288">
        <f t="shared" ref="W5:X16" si="2">+R5-J5</f>
        <v>7673024</v>
      </c>
      <c r="X5" s="999">
        <f t="shared" si="2"/>
        <v>8948.4500000000007</v>
      </c>
      <c r="Y5" s="997">
        <f t="shared" ref="Y5:Y17" si="3">+W5/X5</f>
        <v>857.46961764327898</v>
      </c>
      <c r="Z5" s="997"/>
      <c r="AA5" s="352"/>
      <c r="AB5" s="352"/>
      <c r="AC5" s="352" t="s">
        <v>2624</v>
      </c>
      <c r="AD5" s="352" t="s">
        <v>2623</v>
      </c>
      <c r="AE5" s="352"/>
      <c r="AF5" s="18"/>
      <c r="AG5" s="18" t="s">
        <v>2624</v>
      </c>
      <c r="AH5" s="18" t="s">
        <v>2623</v>
      </c>
      <c r="AI5" s="18" t="s">
        <v>2625</v>
      </c>
      <c r="AJ5" s="18" t="s">
        <v>2626</v>
      </c>
      <c r="AK5" s="18"/>
    </row>
    <row r="6" spans="2:37" ht="20.25">
      <c r="B6" s="988"/>
      <c r="C6" s="233"/>
      <c r="D6" s="247"/>
      <c r="E6" s="235"/>
      <c r="F6" s="11"/>
      <c r="G6" s="248"/>
      <c r="H6" s="84"/>
      <c r="I6" s="288" t="s">
        <v>2628</v>
      </c>
      <c r="J6" s="288">
        <f>L96</f>
        <v>538710</v>
      </c>
      <c r="K6" s="288">
        <f>M96</f>
        <v>1486.7499999999998</v>
      </c>
      <c r="L6" s="288">
        <f t="shared" si="0"/>
        <v>362.34067597107793</v>
      </c>
      <c r="M6" s="288"/>
      <c r="N6" s="288"/>
      <c r="O6" s="293"/>
      <c r="P6" s="288"/>
      <c r="Q6" s="293"/>
      <c r="R6" s="288">
        <f>T96</f>
        <v>7447780</v>
      </c>
      <c r="S6" s="288">
        <f>U96</f>
        <v>10100</v>
      </c>
      <c r="T6" s="997">
        <f t="shared" si="1"/>
        <v>737.40396039603957</v>
      </c>
      <c r="U6" s="997"/>
      <c r="V6" s="998"/>
      <c r="W6" s="288">
        <f t="shared" si="2"/>
        <v>6909070</v>
      </c>
      <c r="X6" s="999">
        <f t="shared" si="2"/>
        <v>8613.25</v>
      </c>
      <c r="Y6" s="997">
        <f t="shared" si="3"/>
        <v>802.14437059182069</v>
      </c>
      <c r="Z6" s="997"/>
      <c r="AA6" s="87"/>
      <c r="AB6" s="18"/>
      <c r="AC6" s="352"/>
      <c r="AD6" s="352"/>
      <c r="AE6" s="352"/>
      <c r="AF6" s="352" t="s">
        <v>2624</v>
      </c>
      <c r="AG6" s="352" t="s">
        <v>2623</v>
      </c>
      <c r="AH6" s="18"/>
      <c r="AI6" s="18" t="s">
        <v>2624</v>
      </c>
      <c r="AJ6" s="18"/>
      <c r="AK6" s="18"/>
    </row>
    <row r="7" spans="2:37" ht="20.25">
      <c r="B7" s="988"/>
      <c r="C7" s="233"/>
      <c r="D7" s="247"/>
      <c r="E7" s="235"/>
      <c r="F7" s="11"/>
      <c r="G7" s="248"/>
      <c r="H7" s="84"/>
      <c r="I7" s="288" t="s">
        <v>2629</v>
      </c>
      <c r="J7" s="288">
        <f>L131</f>
        <v>0</v>
      </c>
      <c r="K7" s="288">
        <f>M131</f>
        <v>0</v>
      </c>
      <c r="L7" s="288" t="e">
        <f t="shared" si="0"/>
        <v>#DIV/0!</v>
      </c>
      <c r="M7" s="288"/>
      <c r="N7" s="288"/>
      <c r="O7" s="293"/>
      <c r="P7" s="288"/>
      <c r="Q7" s="293"/>
      <c r="R7" s="288">
        <f>T131</f>
        <v>524493</v>
      </c>
      <c r="S7" s="1000">
        <f>U131</f>
        <v>842.76000000000022</v>
      </c>
      <c r="T7" s="997">
        <f t="shared" si="1"/>
        <v>622.35155916275085</v>
      </c>
      <c r="U7" s="997"/>
      <c r="V7" s="998"/>
      <c r="W7" s="288">
        <f t="shared" si="2"/>
        <v>524493</v>
      </c>
      <c r="X7" s="999">
        <f t="shared" si="2"/>
        <v>842.76000000000022</v>
      </c>
      <c r="Y7" s="997">
        <f t="shared" si="3"/>
        <v>622.35155916275085</v>
      </c>
      <c r="Z7" s="997"/>
      <c r="AA7" s="87"/>
      <c r="AB7" s="18"/>
      <c r="AC7" s="87"/>
      <c r="AD7" s="18"/>
      <c r="AE7" s="18"/>
      <c r="AF7" s="18" t="s">
        <v>2630</v>
      </c>
      <c r="AG7" s="18"/>
      <c r="AH7" s="87"/>
      <c r="AI7" s="18"/>
      <c r="AJ7" s="18"/>
      <c r="AK7" s="18"/>
    </row>
    <row r="8" spans="2:37" ht="20.25">
      <c r="B8" s="266" t="s">
        <v>2456</v>
      </c>
      <c r="C8" s="35">
        <v>2</v>
      </c>
      <c r="D8" s="36">
        <v>107</v>
      </c>
      <c r="E8" s="235" t="s">
        <v>2479</v>
      </c>
      <c r="F8" s="11">
        <v>0</v>
      </c>
      <c r="G8" s="248">
        <v>0</v>
      </c>
      <c r="H8" s="84"/>
      <c r="I8" s="2461" t="s">
        <v>2631</v>
      </c>
      <c r="J8" s="288">
        <f>L165</f>
        <v>0</v>
      </c>
      <c r="K8" s="288">
        <f>M165</f>
        <v>0</v>
      </c>
      <c r="L8" s="288" t="e">
        <f t="shared" si="0"/>
        <v>#DIV/0!</v>
      </c>
      <c r="M8" s="288"/>
      <c r="N8" s="288"/>
      <c r="O8" s="293"/>
      <c r="P8" s="288"/>
      <c r="Q8" s="293"/>
      <c r="R8" s="288">
        <f>T165</f>
        <v>0</v>
      </c>
      <c r="S8" s="288">
        <f>U165</f>
        <v>0</v>
      </c>
      <c r="T8" s="997" t="e">
        <f t="shared" si="1"/>
        <v>#DIV/0!</v>
      </c>
      <c r="U8" s="997"/>
      <c r="V8" s="998"/>
      <c r="W8" s="288">
        <f t="shared" si="2"/>
        <v>0</v>
      </c>
      <c r="X8" s="999">
        <f t="shared" si="2"/>
        <v>0</v>
      </c>
      <c r="Y8" s="997" t="e">
        <f t="shared" si="3"/>
        <v>#DIV/0!</v>
      </c>
      <c r="Z8" s="997"/>
      <c r="AA8" s="87"/>
      <c r="AB8" s="18"/>
      <c r="AC8" s="87"/>
      <c r="AD8" s="18" t="s">
        <v>205</v>
      </c>
      <c r="AE8" s="18"/>
      <c r="AF8" s="18">
        <v>35155</v>
      </c>
      <c r="AG8" s="18"/>
      <c r="AH8" s="87"/>
      <c r="AI8" s="18"/>
      <c r="AJ8" s="18"/>
      <c r="AK8" s="18"/>
    </row>
    <row r="9" spans="2:37" ht="20.25">
      <c r="B9" s="272"/>
      <c r="C9" s="4"/>
      <c r="D9" s="5"/>
      <c r="E9" s="235"/>
      <c r="F9" s="11"/>
      <c r="G9" s="248"/>
      <c r="H9" s="84"/>
      <c r="I9" s="288" t="s">
        <v>2632</v>
      </c>
      <c r="J9" s="288">
        <f>L204</f>
        <v>0</v>
      </c>
      <c r="K9" s="288">
        <f>M204</f>
        <v>0</v>
      </c>
      <c r="L9" s="288" t="e">
        <f t="shared" si="0"/>
        <v>#DIV/0!</v>
      </c>
      <c r="M9" s="288"/>
      <c r="N9" s="288"/>
      <c r="O9" s="293"/>
      <c r="P9" s="288"/>
      <c r="Q9" s="293"/>
      <c r="R9" s="288">
        <f>T204</f>
        <v>0</v>
      </c>
      <c r="S9" s="288">
        <f>U204</f>
        <v>0</v>
      </c>
      <c r="T9" s="997" t="e">
        <f t="shared" si="1"/>
        <v>#DIV/0!</v>
      </c>
      <c r="U9" s="997"/>
      <c r="V9" s="998"/>
      <c r="W9" s="288">
        <f t="shared" si="2"/>
        <v>0</v>
      </c>
      <c r="X9" s="999">
        <f t="shared" si="2"/>
        <v>0</v>
      </c>
      <c r="Y9" s="997" t="e">
        <f t="shared" si="3"/>
        <v>#DIV/0!</v>
      </c>
      <c r="Z9" s="997"/>
      <c r="AA9" s="87"/>
      <c r="AB9" s="18"/>
      <c r="AC9" s="87"/>
      <c r="AD9" s="18" t="s">
        <v>206</v>
      </c>
      <c r="AE9" s="18"/>
      <c r="AF9" s="18">
        <v>36333</v>
      </c>
      <c r="AG9" s="18"/>
      <c r="AH9" s="87"/>
      <c r="AI9" s="18"/>
      <c r="AJ9" s="18"/>
      <c r="AK9" s="18"/>
    </row>
    <row r="10" spans="2:37" ht="20.25">
      <c r="B10" s="272" t="s">
        <v>2459</v>
      </c>
      <c r="C10" s="4">
        <v>32</v>
      </c>
      <c r="D10" s="5">
        <v>1584</v>
      </c>
      <c r="E10" s="235" t="s">
        <v>2481</v>
      </c>
      <c r="F10" s="11">
        <v>0</v>
      </c>
      <c r="G10" s="248">
        <v>0</v>
      </c>
      <c r="H10" s="84"/>
      <c r="I10" s="288" t="s">
        <v>2633</v>
      </c>
      <c r="J10" s="288">
        <f>L239</f>
        <v>0</v>
      </c>
      <c r="K10" s="288">
        <f>M239</f>
        <v>0</v>
      </c>
      <c r="L10" s="288" t="e">
        <f t="shared" si="0"/>
        <v>#DIV/0!</v>
      </c>
      <c r="M10" s="288"/>
      <c r="N10" s="288"/>
      <c r="O10" s="293"/>
      <c r="P10" s="288"/>
      <c r="Q10" s="293"/>
      <c r="R10" s="288">
        <f>T239</f>
        <v>0</v>
      </c>
      <c r="S10" s="288">
        <f>U239</f>
        <v>12535</v>
      </c>
      <c r="T10" s="997">
        <f t="shared" si="1"/>
        <v>0</v>
      </c>
      <c r="U10" s="997"/>
      <c r="V10" s="998"/>
      <c r="W10" s="288">
        <f t="shared" si="2"/>
        <v>0</v>
      </c>
      <c r="X10" s="999">
        <f t="shared" si="2"/>
        <v>12535</v>
      </c>
      <c r="Y10" s="997">
        <f t="shared" si="3"/>
        <v>0</v>
      </c>
      <c r="Z10" s="997"/>
      <c r="AA10" s="87"/>
      <c r="AB10" s="18"/>
      <c r="AC10" s="87"/>
      <c r="AD10" s="18" t="s">
        <v>207</v>
      </c>
      <c r="AE10" s="18"/>
      <c r="AF10" s="18">
        <v>35174</v>
      </c>
      <c r="AG10" s="18"/>
      <c r="AH10" s="87"/>
      <c r="AI10" s="18"/>
      <c r="AJ10" s="18"/>
      <c r="AK10" s="18"/>
    </row>
    <row r="11" spans="2:37" ht="20.25">
      <c r="B11" s="272"/>
      <c r="C11" s="4"/>
      <c r="D11" s="5"/>
      <c r="E11" s="235"/>
      <c r="F11" s="11"/>
      <c r="G11" s="248"/>
      <c r="H11" s="84"/>
      <c r="I11" s="288" t="s">
        <v>2634</v>
      </c>
      <c r="J11" s="288">
        <f>L275</f>
        <v>0</v>
      </c>
      <c r="K11" s="288">
        <f>M275</f>
        <v>0</v>
      </c>
      <c r="L11" s="288" t="e">
        <f t="shared" si="0"/>
        <v>#DIV/0!</v>
      </c>
      <c r="M11" s="288"/>
      <c r="N11" s="288"/>
      <c r="O11" s="293"/>
      <c r="P11" s="288"/>
      <c r="Q11" s="293"/>
      <c r="R11" s="288">
        <v>0</v>
      </c>
      <c r="S11" s="288">
        <v>0</v>
      </c>
      <c r="T11" s="997" t="e">
        <f t="shared" si="1"/>
        <v>#DIV/0!</v>
      </c>
      <c r="U11" s="997"/>
      <c r="V11" s="998"/>
      <c r="W11" s="288">
        <f t="shared" si="2"/>
        <v>0</v>
      </c>
      <c r="X11" s="999">
        <f t="shared" si="2"/>
        <v>0</v>
      </c>
      <c r="Y11" s="997" t="e">
        <f t="shared" si="3"/>
        <v>#DIV/0!</v>
      </c>
      <c r="Z11" s="997"/>
      <c r="AA11" s="87"/>
      <c r="AB11" s="18"/>
      <c r="AC11" s="87"/>
      <c r="AD11" s="18" t="s">
        <v>208</v>
      </c>
      <c r="AE11" s="18"/>
      <c r="AF11" s="87">
        <v>36359</v>
      </c>
      <c r="AG11" s="87"/>
      <c r="AH11" s="87"/>
      <c r="AI11" s="18"/>
      <c r="AJ11" s="18"/>
      <c r="AK11" s="18"/>
    </row>
    <row r="12" spans="2:37" ht="20.25">
      <c r="B12" s="272" t="s">
        <v>2460</v>
      </c>
      <c r="C12" s="4">
        <v>3</v>
      </c>
      <c r="D12" s="5">
        <v>197</v>
      </c>
      <c r="E12" s="235" t="s">
        <v>2482</v>
      </c>
      <c r="F12" s="11">
        <v>17</v>
      </c>
      <c r="G12" s="248">
        <v>1161</v>
      </c>
      <c r="H12" s="84"/>
      <c r="I12" s="288" t="s">
        <v>3942</v>
      </c>
      <c r="J12" s="288">
        <f>L310</f>
        <v>0</v>
      </c>
      <c r="K12" s="288">
        <f>M310</f>
        <v>0</v>
      </c>
      <c r="L12" s="288" t="e">
        <f t="shared" si="0"/>
        <v>#DIV/0!</v>
      </c>
      <c r="M12" s="997"/>
      <c r="N12" s="997"/>
      <c r="O12" s="997"/>
      <c r="P12" s="997"/>
      <c r="Q12" s="997"/>
      <c r="R12" s="288">
        <f>T310</f>
        <v>616412</v>
      </c>
      <c r="S12" s="288">
        <f>U310</f>
        <v>461.34000000000015</v>
      </c>
      <c r="T12" s="997">
        <f t="shared" si="1"/>
        <v>1336.133870897819</v>
      </c>
      <c r="U12" s="997"/>
      <c r="V12" s="997"/>
      <c r="W12" s="288">
        <f t="shared" si="2"/>
        <v>616412</v>
      </c>
      <c r="X12" s="999">
        <f t="shared" si="2"/>
        <v>461.34000000000015</v>
      </c>
      <c r="Y12" s="997">
        <f t="shared" si="3"/>
        <v>1336.133870897819</v>
      </c>
      <c r="Z12" s="997"/>
      <c r="AA12" s="18"/>
      <c r="AB12" s="18"/>
      <c r="AC12" s="87"/>
      <c r="AD12" s="18" t="s">
        <v>209</v>
      </c>
      <c r="AE12" s="18"/>
      <c r="AF12" s="18">
        <v>36369</v>
      </c>
      <c r="AG12" s="18"/>
      <c r="AH12" s="87"/>
      <c r="AI12" s="18"/>
      <c r="AJ12" s="18"/>
      <c r="AK12" s="18"/>
    </row>
    <row r="13" spans="2:37" ht="20.25">
      <c r="B13" s="272"/>
      <c r="C13" s="4"/>
      <c r="D13" s="5"/>
      <c r="E13" s="235"/>
      <c r="F13" s="11"/>
      <c r="G13" s="248"/>
      <c r="H13" s="84"/>
      <c r="I13" s="288" t="s">
        <v>3943</v>
      </c>
      <c r="J13" s="288">
        <f>L346</f>
        <v>0</v>
      </c>
      <c r="K13" s="288">
        <f>M346</f>
        <v>0</v>
      </c>
      <c r="L13" s="288" t="e">
        <f t="shared" si="0"/>
        <v>#DIV/0!</v>
      </c>
      <c r="M13" s="288"/>
      <c r="N13" s="288"/>
      <c r="O13" s="293"/>
      <c r="P13" s="288"/>
      <c r="Q13" s="293"/>
      <c r="R13" s="288">
        <f>T346</f>
        <v>0</v>
      </c>
      <c r="S13" s="288">
        <f>U346</f>
        <v>0</v>
      </c>
      <c r="T13" s="997" t="e">
        <f t="shared" si="1"/>
        <v>#DIV/0!</v>
      </c>
      <c r="U13" s="997"/>
      <c r="V13" s="997"/>
      <c r="W13" s="288">
        <f t="shared" si="2"/>
        <v>0</v>
      </c>
      <c r="X13" s="999">
        <f t="shared" si="2"/>
        <v>0</v>
      </c>
      <c r="Y13" s="997" t="e">
        <f t="shared" si="3"/>
        <v>#DIV/0!</v>
      </c>
      <c r="Z13" s="997"/>
      <c r="AA13" s="18"/>
      <c r="AB13" s="18"/>
      <c r="AC13" s="18"/>
      <c r="AD13" s="18" t="s">
        <v>210</v>
      </c>
      <c r="AE13" s="18"/>
      <c r="AF13" s="18">
        <v>35791</v>
      </c>
      <c r="AG13" s="18"/>
      <c r="AH13" s="18"/>
      <c r="AI13" s="18"/>
      <c r="AJ13" s="18"/>
      <c r="AK13" s="18"/>
    </row>
    <row r="14" spans="2:37" ht="20.25">
      <c r="B14" s="272" t="s">
        <v>2461</v>
      </c>
      <c r="C14" s="4">
        <v>0</v>
      </c>
      <c r="D14" s="5">
        <v>0</v>
      </c>
      <c r="E14" s="235" t="s">
        <v>2483</v>
      </c>
      <c r="F14" s="11">
        <v>14</v>
      </c>
      <c r="G14" s="248">
        <v>886</v>
      </c>
      <c r="H14" s="84"/>
      <c r="I14" s="288" t="s">
        <v>3944</v>
      </c>
      <c r="J14" s="288">
        <f>L382</f>
        <v>0</v>
      </c>
      <c r="K14" s="288">
        <f>M382</f>
        <v>0</v>
      </c>
      <c r="L14" s="288" t="e">
        <f t="shared" si="0"/>
        <v>#DIV/0!</v>
      </c>
      <c r="M14" s="288"/>
      <c r="N14" s="288"/>
      <c r="O14" s="293"/>
      <c r="P14" s="288"/>
      <c r="Q14" s="293"/>
      <c r="R14" s="288">
        <f>T382</f>
        <v>184700</v>
      </c>
      <c r="S14" s="288">
        <f>U382</f>
        <v>255</v>
      </c>
      <c r="T14" s="997">
        <f t="shared" si="1"/>
        <v>724.31372549019613</v>
      </c>
      <c r="U14" s="997"/>
      <c r="V14" s="998"/>
      <c r="W14" s="288">
        <f t="shared" si="2"/>
        <v>184700</v>
      </c>
      <c r="X14" s="999">
        <f t="shared" si="2"/>
        <v>255</v>
      </c>
      <c r="Y14" s="997">
        <f t="shared" si="3"/>
        <v>724.31372549019613</v>
      </c>
      <c r="Z14" s="997"/>
      <c r="AA14" s="18"/>
      <c r="AB14" s="18"/>
      <c r="AC14" s="18"/>
      <c r="AD14" s="18"/>
      <c r="AE14" s="18"/>
      <c r="AF14" s="18">
        <f>SUM(AF8:AF13)</f>
        <v>215181</v>
      </c>
      <c r="AG14" s="18">
        <v>44724</v>
      </c>
      <c r="AH14" s="18">
        <f>+AF14/AG14</f>
        <v>4.8113093640998121</v>
      </c>
      <c r="AI14" s="18"/>
      <c r="AJ14" s="18"/>
      <c r="AK14" s="18"/>
    </row>
    <row r="15" spans="2:37" ht="20.25">
      <c r="B15" s="272"/>
      <c r="C15" s="4"/>
      <c r="D15" s="5"/>
      <c r="E15" s="235"/>
      <c r="F15" s="11"/>
      <c r="G15" s="248"/>
      <c r="H15" s="84"/>
      <c r="I15" s="288" t="s">
        <v>3945</v>
      </c>
      <c r="J15" s="288">
        <f>L419</f>
        <v>0</v>
      </c>
      <c r="K15" s="288">
        <f>M419</f>
        <v>0</v>
      </c>
      <c r="L15" s="288" t="e">
        <f t="shared" si="0"/>
        <v>#DIV/0!</v>
      </c>
      <c r="M15" s="288"/>
      <c r="N15" s="288"/>
      <c r="O15" s="293"/>
      <c r="P15" s="293"/>
      <c r="Q15" s="293"/>
      <c r="R15" s="288">
        <f>T419</f>
        <v>0</v>
      </c>
      <c r="S15" s="288">
        <f>U419</f>
        <v>0</v>
      </c>
      <c r="T15" s="997" t="e">
        <f t="shared" si="1"/>
        <v>#DIV/0!</v>
      </c>
      <c r="U15" s="997"/>
      <c r="V15" s="998"/>
      <c r="W15" s="288">
        <f t="shared" si="2"/>
        <v>0</v>
      </c>
      <c r="X15" s="999">
        <f t="shared" si="2"/>
        <v>0</v>
      </c>
      <c r="Y15" s="997" t="e">
        <f t="shared" si="3"/>
        <v>#DIV/0!</v>
      </c>
      <c r="Z15" s="997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2:37" ht="20.25">
      <c r="B16" s="272"/>
      <c r="C16" s="4"/>
      <c r="D16" s="5"/>
      <c r="E16" s="235"/>
      <c r="F16" s="11"/>
      <c r="G16" s="248"/>
      <c r="H16" s="84"/>
      <c r="I16" s="288" t="s">
        <v>3946</v>
      </c>
      <c r="J16" s="288">
        <f>L456</f>
        <v>0</v>
      </c>
      <c r="K16" s="288">
        <f>M456</f>
        <v>0</v>
      </c>
      <c r="L16" s="288" t="e">
        <f t="shared" si="0"/>
        <v>#DIV/0!</v>
      </c>
      <c r="M16" s="288"/>
      <c r="N16" s="288"/>
      <c r="O16" s="293"/>
      <c r="P16" s="293"/>
      <c r="Q16" s="293"/>
      <c r="R16" s="288">
        <f>T456</f>
        <v>0</v>
      </c>
      <c r="S16" s="288">
        <f>U456</f>
        <v>0</v>
      </c>
      <c r="T16" s="997" t="e">
        <f t="shared" si="1"/>
        <v>#DIV/0!</v>
      </c>
      <c r="U16" s="997"/>
      <c r="V16" s="998"/>
      <c r="W16" s="288">
        <f t="shared" si="2"/>
        <v>0</v>
      </c>
      <c r="X16" s="999">
        <f t="shared" si="2"/>
        <v>0</v>
      </c>
      <c r="Y16" s="997" t="e">
        <f t="shared" si="3"/>
        <v>#DIV/0!</v>
      </c>
      <c r="Z16" s="997"/>
      <c r="AA16" s="18"/>
      <c r="AB16" s="18"/>
      <c r="AC16" s="18">
        <f>89478*0.4</f>
        <v>35791.200000000004</v>
      </c>
      <c r="AD16" s="18">
        <v>7666</v>
      </c>
      <c r="AE16" s="18"/>
      <c r="AF16" s="18">
        <f>+AC16/AD16</f>
        <v>4.6688233759457347</v>
      </c>
      <c r="AG16" s="18"/>
      <c r="AH16" s="18"/>
      <c r="AI16" s="18"/>
      <c r="AJ16" s="18"/>
      <c r="AK16" s="18"/>
    </row>
    <row r="17" spans="2:37" ht="20.25">
      <c r="B17" s="272"/>
      <c r="C17" s="4"/>
      <c r="D17" s="5"/>
      <c r="E17" s="235"/>
      <c r="F17" s="11"/>
      <c r="G17" s="248"/>
      <c r="H17" s="84"/>
      <c r="I17" s="288"/>
      <c r="J17" s="288">
        <f>SUM(J5:J16)</f>
        <v>1325350</v>
      </c>
      <c r="K17" s="288">
        <f>SUM(K5:K16)</f>
        <v>3428.0499999999997</v>
      </c>
      <c r="L17" s="288">
        <f t="shared" si="0"/>
        <v>386.61921500561544</v>
      </c>
      <c r="M17" s="288"/>
      <c r="N17" s="288"/>
      <c r="O17" s="288"/>
      <c r="P17" s="288"/>
      <c r="Q17" s="293"/>
      <c r="R17" s="288">
        <f>SUM(R5:R16)</f>
        <v>17233049</v>
      </c>
      <c r="S17" s="288">
        <f>SUM(S5:S16)</f>
        <v>35083.850000000006</v>
      </c>
      <c r="T17" s="997">
        <f t="shared" si="1"/>
        <v>491.19606314586332</v>
      </c>
      <c r="U17" s="288"/>
      <c r="V17" s="288"/>
      <c r="W17" s="288">
        <f>SUM(W5:W16)</f>
        <v>15907699</v>
      </c>
      <c r="X17" s="288">
        <f>SUM(X5:X16)</f>
        <v>31655.8</v>
      </c>
      <c r="Y17" s="997">
        <f t="shared" si="3"/>
        <v>502.52083346495743</v>
      </c>
      <c r="Z17" s="293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2:37" ht="20.25">
      <c r="B18" s="272" t="s">
        <v>2464</v>
      </c>
      <c r="C18" s="4">
        <v>29</v>
      </c>
      <c r="D18" s="5">
        <v>1849</v>
      </c>
      <c r="E18" s="235" t="s">
        <v>2484</v>
      </c>
      <c r="F18" s="11">
        <v>59</v>
      </c>
      <c r="G18" s="248">
        <v>3762</v>
      </c>
      <c r="H18" s="84"/>
      <c r="I18" s="288"/>
      <c r="J18" s="293"/>
      <c r="K18" s="293"/>
      <c r="L18" s="305"/>
      <c r="M18" s="305"/>
      <c r="N18" s="305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2:37" ht="18">
      <c r="B19" s="272"/>
      <c r="C19" s="4"/>
      <c r="D19" s="5"/>
      <c r="E19" s="235"/>
      <c r="F19" s="11"/>
      <c r="G19" s="248"/>
      <c r="H19" s="84"/>
      <c r="I19" s="293"/>
      <c r="J19" s="293"/>
      <c r="K19" s="293"/>
      <c r="L19" s="305"/>
      <c r="M19" s="305"/>
      <c r="N19" s="305"/>
      <c r="O19" s="293"/>
      <c r="P19" s="293"/>
      <c r="Q19" s="293"/>
      <c r="R19" s="293">
        <f>5337215-256000</f>
        <v>5081215</v>
      </c>
      <c r="S19" s="293"/>
      <c r="T19" s="293"/>
      <c r="U19" s="293"/>
      <c r="V19" s="293"/>
      <c r="W19" s="293"/>
      <c r="X19" s="293"/>
      <c r="Y19" s="293"/>
      <c r="Z19" s="293"/>
    </row>
    <row r="20" spans="2:37" ht="18">
      <c r="B20" s="272" t="s">
        <v>2635</v>
      </c>
      <c r="C20" s="4">
        <v>69</v>
      </c>
      <c r="D20" s="5">
        <v>3793</v>
      </c>
      <c r="E20" s="235" t="s">
        <v>2485</v>
      </c>
      <c r="F20" s="11">
        <v>3</v>
      </c>
      <c r="G20" s="248">
        <v>165</v>
      </c>
      <c r="H20" s="84"/>
    </row>
    <row r="21" spans="2:37" ht="18">
      <c r="B21" s="272"/>
      <c r="C21" s="4"/>
      <c r="D21" s="5"/>
      <c r="E21" s="964"/>
      <c r="F21" s="11"/>
      <c r="G21" s="248"/>
      <c r="H21" s="84"/>
      <c r="J21" s="84" t="s">
        <v>2636</v>
      </c>
      <c r="K21" s="84" t="s">
        <v>2637</v>
      </c>
      <c r="L21" s="84"/>
      <c r="M21" s="84"/>
      <c r="N21" s="2688"/>
      <c r="O21" s="2689"/>
      <c r="P21" s="2689"/>
      <c r="Q21" s="2689"/>
      <c r="R21" s="2689"/>
      <c r="T21" s="3030" t="s">
        <v>2638</v>
      </c>
      <c r="U21" s="2915"/>
      <c r="V21" s="2915"/>
      <c r="W21" s="3030" t="s">
        <v>2639</v>
      </c>
      <c r="X21" s="2915"/>
      <c r="Y21" s="2915"/>
    </row>
    <row r="22" spans="2:37" ht="18">
      <c r="B22" s="272" t="s">
        <v>2466</v>
      </c>
      <c r="C22" s="4">
        <v>58</v>
      </c>
      <c r="D22" s="5">
        <v>3750</v>
      </c>
      <c r="E22" s="235" t="s">
        <v>23</v>
      </c>
      <c r="F22" s="11"/>
      <c r="G22" s="248">
        <f>SUM(G8:G21)</f>
        <v>5974</v>
      </c>
      <c r="H22" s="84"/>
      <c r="K22" s="84"/>
      <c r="L22" s="14" t="s">
        <v>754</v>
      </c>
      <c r="M22" s="14" t="s">
        <v>554</v>
      </c>
      <c r="N22" s="14"/>
      <c r="O22" s="84"/>
      <c r="P22" s="84"/>
      <c r="Q22" s="84"/>
      <c r="R22" s="84" t="s">
        <v>520</v>
      </c>
      <c r="S22" s="84" t="s">
        <v>2640</v>
      </c>
      <c r="T22" s="84" t="s">
        <v>2641</v>
      </c>
      <c r="U22" s="84" t="s">
        <v>524</v>
      </c>
      <c r="V22" s="84" t="s">
        <v>520</v>
      </c>
      <c r="W22" s="84" t="s">
        <v>518</v>
      </c>
      <c r="X22" s="84" t="s">
        <v>524</v>
      </c>
      <c r="Y22" s="84" t="s">
        <v>520</v>
      </c>
    </row>
    <row r="23" spans="2:37" ht="18">
      <c r="B23" s="272"/>
      <c r="C23" s="4"/>
      <c r="D23" s="5"/>
      <c r="E23" s="236"/>
      <c r="F23" s="237"/>
      <c r="G23" s="251"/>
      <c r="H23" s="84"/>
      <c r="J23">
        <f>+T23-S23</f>
        <v>53300</v>
      </c>
      <c r="K23" s="2433" t="s">
        <v>2642</v>
      </c>
      <c r="L23">
        <v>21200</v>
      </c>
      <c r="M23">
        <v>53.1</v>
      </c>
      <c r="R23" s="2691">
        <f>+L23/M23</f>
        <v>399.24670433145008</v>
      </c>
      <c r="S23">
        <v>94500</v>
      </c>
      <c r="T23">
        <v>147800</v>
      </c>
      <c r="U23">
        <v>215</v>
      </c>
      <c r="V23" s="520">
        <f>+T23/U23</f>
        <v>687.44186046511629</v>
      </c>
      <c r="W23">
        <f>+T23-L23</f>
        <v>126600</v>
      </c>
      <c r="X23">
        <f>+U23-M23</f>
        <v>161.9</v>
      </c>
      <c r="Y23">
        <f>+W23/X23</f>
        <v>781.96417541692404</v>
      </c>
    </row>
    <row r="24" spans="2:37" ht="18">
      <c r="B24" s="272" t="s">
        <v>2643</v>
      </c>
      <c r="C24" s="4">
        <v>31</v>
      </c>
      <c r="D24" s="5">
        <v>1949</v>
      </c>
      <c r="E24" s="257"/>
      <c r="F24" s="257"/>
      <c r="G24" s="87"/>
      <c r="H24" s="84"/>
      <c r="J24">
        <f t="shared" ref="J24:J54" si="4">+T24-S24</f>
        <v>98800</v>
      </c>
      <c r="K24" s="2433" t="s">
        <v>2644</v>
      </c>
      <c r="L24">
        <v>41200</v>
      </c>
      <c r="M24">
        <v>101.5</v>
      </c>
      <c r="R24" s="2691">
        <f t="shared" ref="R24:R54" si="5">+L24/M24</f>
        <v>405.9113300492611</v>
      </c>
      <c r="S24">
        <v>159500</v>
      </c>
      <c r="T24">
        <v>258300</v>
      </c>
      <c r="U24">
        <v>303</v>
      </c>
      <c r="V24" s="520">
        <f t="shared" ref="V24:V52" si="6">+T24/U24</f>
        <v>852.47524752475249</v>
      </c>
      <c r="W24">
        <f t="shared" ref="W24:X54" si="7">+T24-L24</f>
        <v>217100</v>
      </c>
      <c r="X24">
        <f t="shared" si="7"/>
        <v>201.5</v>
      </c>
      <c r="Y24">
        <f t="shared" ref="Y24:Y54" si="8">+W24/X24</f>
        <v>1077.4193548387098</v>
      </c>
    </row>
    <row r="25" spans="2:37" ht="18">
      <c r="B25" s="272"/>
      <c r="C25" s="4"/>
      <c r="D25" s="5"/>
      <c r="E25" s="257"/>
      <c r="F25" s="257"/>
      <c r="G25" s="87"/>
      <c r="H25" s="84"/>
      <c r="J25">
        <f t="shared" si="4"/>
        <v>114700</v>
      </c>
      <c r="K25" s="2433" t="s">
        <v>2645</v>
      </c>
      <c r="L25">
        <v>60300</v>
      </c>
      <c r="M25">
        <v>146.85</v>
      </c>
      <c r="R25" s="2691">
        <f t="shared" si="5"/>
        <v>410.62308478038818</v>
      </c>
      <c r="S25">
        <v>163950</v>
      </c>
      <c r="T25">
        <v>278650</v>
      </c>
      <c r="U25">
        <v>407</v>
      </c>
      <c r="V25" s="520">
        <f t="shared" si="6"/>
        <v>684.64373464373466</v>
      </c>
      <c r="W25">
        <f t="shared" si="7"/>
        <v>218350</v>
      </c>
      <c r="X25">
        <f t="shared" si="7"/>
        <v>260.14999999999998</v>
      </c>
      <c r="Y25">
        <f t="shared" si="8"/>
        <v>839.32346723044407</v>
      </c>
    </row>
    <row r="26" spans="2:37" ht="18">
      <c r="B26" s="272" t="s">
        <v>2468</v>
      </c>
      <c r="C26" s="4">
        <v>9</v>
      </c>
      <c r="D26" s="5">
        <v>557</v>
      </c>
      <c r="E26" s="257"/>
      <c r="F26" s="257"/>
      <c r="G26" s="87"/>
      <c r="H26" s="84"/>
      <c r="J26">
        <f t="shared" si="4"/>
        <v>81900</v>
      </c>
      <c r="K26" s="2433" t="s">
        <v>2646</v>
      </c>
      <c r="L26">
        <v>14500</v>
      </c>
      <c r="M26">
        <v>52.6</v>
      </c>
      <c r="R26" s="2691">
        <f t="shared" si="5"/>
        <v>275.66539923954372</v>
      </c>
      <c r="S26">
        <v>196900</v>
      </c>
      <c r="T26">
        <v>278800</v>
      </c>
      <c r="U26">
        <v>369</v>
      </c>
      <c r="V26" s="520">
        <f t="shared" si="6"/>
        <v>755.55555555555554</v>
      </c>
      <c r="W26">
        <f t="shared" si="7"/>
        <v>264300</v>
      </c>
      <c r="X26">
        <f t="shared" si="7"/>
        <v>316.39999999999998</v>
      </c>
      <c r="Y26">
        <f t="shared" si="8"/>
        <v>835.33501896333757</v>
      </c>
    </row>
    <row r="27" spans="2:37" ht="18">
      <c r="B27" s="272"/>
      <c r="C27" s="4"/>
      <c r="D27" s="5"/>
      <c r="E27" s="257"/>
      <c r="F27" s="257"/>
      <c r="G27" s="87"/>
      <c r="H27" s="84"/>
      <c r="I27">
        <f>+L26+L25+L24</f>
        <v>116000</v>
      </c>
      <c r="J27">
        <f t="shared" si="4"/>
        <v>76600</v>
      </c>
      <c r="K27" s="2433" t="s">
        <v>2647</v>
      </c>
      <c r="L27">
        <v>42600</v>
      </c>
      <c r="M27">
        <v>98.9</v>
      </c>
      <c r="R27" s="2691">
        <f t="shared" si="5"/>
        <v>430.73811931243677</v>
      </c>
      <c r="S27">
        <v>100920</v>
      </c>
      <c r="T27">
        <v>177520</v>
      </c>
      <c r="U27">
        <v>253</v>
      </c>
      <c r="V27" s="520">
        <f t="shared" si="6"/>
        <v>701.66007905138338</v>
      </c>
      <c r="W27">
        <f t="shared" si="7"/>
        <v>134920</v>
      </c>
      <c r="X27">
        <f t="shared" si="7"/>
        <v>154.1</v>
      </c>
      <c r="Y27">
        <f t="shared" si="8"/>
        <v>875.53536664503577</v>
      </c>
    </row>
    <row r="28" spans="2:37" ht="18">
      <c r="B28" s="272" t="s">
        <v>2469</v>
      </c>
      <c r="C28" s="4">
        <v>28</v>
      </c>
      <c r="D28" s="5">
        <v>1706</v>
      </c>
      <c r="E28" s="257"/>
      <c r="F28" s="257"/>
      <c r="G28" s="87"/>
      <c r="H28" s="84"/>
      <c r="J28">
        <f t="shared" si="4"/>
        <v>109500</v>
      </c>
      <c r="K28" s="2433" t="s">
        <v>2648</v>
      </c>
      <c r="L28">
        <v>47800</v>
      </c>
      <c r="M28">
        <v>97.25</v>
      </c>
      <c r="N28">
        <v>407.04368440000002</v>
      </c>
      <c r="R28" s="2691">
        <f t="shared" si="5"/>
        <v>491.51670951156814</v>
      </c>
      <c r="S28">
        <v>135300</v>
      </c>
      <c r="T28">
        <v>244800</v>
      </c>
      <c r="U28">
        <v>306</v>
      </c>
      <c r="V28" s="520">
        <f t="shared" si="6"/>
        <v>800</v>
      </c>
      <c r="W28">
        <f t="shared" si="7"/>
        <v>197000</v>
      </c>
      <c r="X28">
        <f t="shared" si="7"/>
        <v>208.75</v>
      </c>
      <c r="Y28">
        <f t="shared" si="8"/>
        <v>943.71257485029935</v>
      </c>
    </row>
    <row r="29" spans="2:37" ht="18">
      <c r="B29" s="272"/>
      <c r="C29" s="4"/>
      <c r="D29" s="5"/>
      <c r="E29" s="257"/>
      <c r="F29" s="257"/>
      <c r="G29" s="87"/>
      <c r="H29" s="84"/>
      <c r="J29">
        <f t="shared" si="4"/>
        <v>86300</v>
      </c>
      <c r="K29" s="2433" t="s">
        <v>2649</v>
      </c>
      <c r="L29">
        <v>38500</v>
      </c>
      <c r="M29">
        <v>97.9</v>
      </c>
      <c r="N29">
        <v>564.48412699999994</v>
      </c>
      <c r="R29" s="2691">
        <f t="shared" si="5"/>
        <v>393.25842696629212</v>
      </c>
      <c r="S29">
        <v>167400</v>
      </c>
      <c r="T29">
        <v>253700</v>
      </c>
      <c r="U29">
        <v>362</v>
      </c>
      <c r="V29" s="520">
        <f t="shared" si="6"/>
        <v>700.82872928176801</v>
      </c>
      <c r="W29">
        <f t="shared" si="7"/>
        <v>215200</v>
      </c>
      <c r="X29">
        <f t="shared" si="7"/>
        <v>264.10000000000002</v>
      </c>
      <c r="Y29">
        <f t="shared" si="8"/>
        <v>814.84286255206359</v>
      </c>
    </row>
    <row r="30" spans="2:37" ht="18">
      <c r="B30" s="272" t="s">
        <v>2477</v>
      </c>
      <c r="C30" s="4">
        <v>16</v>
      </c>
      <c r="D30" s="5">
        <v>1037</v>
      </c>
      <c r="E30" s="257"/>
      <c r="F30" s="257"/>
      <c r="G30" s="87"/>
      <c r="H30" s="84"/>
      <c r="J30">
        <f t="shared" si="4"/>
        <v>92400</v>
      </c>
      <c r="K30" s="2433" t="s">
        <v>2650</v>
      </c>
      <c r="L30">
        <v>42000</v>
      </c>
      <c r="M30">
        <v>91.6</v>
      </c>
      <c r="N30">
        <v>439.92994750000003</v>
      </c>
      <c r="R30" s="2691">
        <f t="shared" si="5"/>
        <v>458.51528384279482</v>
      </c>
      <c r="S30">
        <v>210000</v>
      </c>
      <c r="T30">
        <v>302400</v>
      </c>
      <c r="U30">
        <v>400</v>
      </c>
      <c r="V30" s="520">
        <f t="shared" si="6"/>
        <v>756</v>
      </c>
      <c r="W30">
        <f t="shared" si="7"/>
        <v>260400</v>
      </c>
      <c r="X30">
        <f t="shared" si="7"/>
        <v>308.39999999999998</v>
      </c>
      <c r="Y30">
        <f t="shared" si="8"/>
        <v>844.3579766536966</v>
      </c>
    </row>
    <row r="31" spans="2:37" ht="18">
      <c r="B31" s="272"/>
      <c r="C31" s="4"/>
      <c r="D31" s="5"/>
      <c r="E31" s="257"/>
      <c r="F31" s="257"/>
      <c r="G31" s="87"/>
      <c r="H31" s="84"/>
      <c r="J31">
        <f t="shared" si="4"/>
        <v>79300</v>
      </c>
      <c r="K31" s="2433" t="s">
        <v>2651</v>
      </c>
      <c r="L31">
        <v>44100</v>
      </c>
      <c r="M31">
        <v>147.85</v>
      </c>
      <c r="N31">
        <v>493.51559759999998</v>
      </c>
      <c r="R31" s="2691">
        <f t="shared" si="5"/>
        <v>298.27527899898547</v>
      </c>
      <c r="S31">
        <v>142300</v>
      </c>
      <c r="T31">
        <v>221600</v>
      </c>
      <c r="U31">
        <v>356</v>
      </c>
      <c r="V31" s="520">
        <f t="shared" si="6"/>
        <v>622.47191011235952</v>
      </c>
      <c r="W31">
        <f t="shared" si="7"/>
        <v>177500</v>
      </c>
      <c r="X31">
        <f t="shared" si="7"/>
        <v>208.15</v>
      </c>
      <c r="Y31">
        <f t="shared" si="8"/>
        <v>852.75042036992556</v>
      </c>
    </row>
    <row r="32" spans="2:37" ht="18">
      <c r="B32" s="272" t="s">
        <v>2652</v>
      </c>
      <c r="C32" s="4">
        <v>6</v>
      </c>
      <c r="D32" s="5">
        <v>433</v>
      </c>
      <c r="E32" s="257"/>
      <c r="F32" s="257"/>
      <c r="G32" s="87"/>
      <c r="H32" s="84"/>
      <c r="I32" s="84"/>
      <c r="J32">
        <f t="shared" si="4"/>
        <v>95300</v>
      </c>
      <c r="K32" s="2433" t="s">
        <v>2653</v>
      </c>
      <c r="L32">
        <v>49500</v>
      </c>
      <c r="M32">
        <v>151.5</v>
      </c>
      <c r="N32">
        <v>454.29666120000002</v>
      </c>
      <c r="R32" s="2691">
        <f t="shared" si="5"/>
        <v>326.73267326732673</v>
      </c>
      <c r="S32">
        <v>173700</v>
      </c>
      <c r="T32">
        <v>269000</v>
      </c>
      <c r="U32">
        <v>412</v>
      </c>
      <c r="V32" s="520">
        <f t="shared" si="6"/>
        <v>652.91262135922329</v>
      </c>
      <c r="W32">
        <f t="shared" si="7"/>
        <v>219500</v>
      </c>
      <c r="X32">
        <f t="shared" si="7"/>
        <v>260.5</v>
      </c>
      <c r="Y32">
        <f t="shared" si="8"/>
        <v>842.61036468330133</v>
      </c>
    </row>
    <row r="33" spans="2:25" ht="18">
      <c r="B33" s="990"/>
      <c r="C33" s="951">
        <f>SUM(C8:C32)</f>
        <v>283</v>
      </c>
      <c r="D33" s="294">
        <f>SUM(D8:D32)</f>
        <v>16962</v>
      </c>
      <c r="E33" s="257"/>
      <c r="F33" s="257"/>
      <c r="G33" s="87"/>
      <c r="H33" s="84"/>
      <c r="I33" s="991"/>
      <c r="J33">
        <f t="shared" si="4"/>
        <v>11600</v>
      </c>
      <c r="K33" s="2433" t="s">
        <v>2654</v>
      </c>
      <c r="N33">
        <v>470.82228120000002</v>
      </c>
      <c r="R33" s="2691" t="e">
        <f t="shared" si="5"/>
        <v>#DIV/0!</v>
      </c>
      <c r="S33">
        <v>31600</v>
      </c>
      <c r="T33">
        <v>43200</v>
      </c>
      <c r="U33">
        <v>53</v>
      </c>
      <c r="V33" s="520">
        <f t="shared" si="6"/>
        <v>815.09433962264154</v>
      </c>
      <c r="W33">
        <f t="shared" si="7"/>
        <v>43200</v>
      </c>
      <c r="X33">
        <f t="shared" si="7"/>
        <v>53</v>
      </c>
      <c r="Y33">
        <f t="shared" si="8"/>
        <v>815.09433962264154</v>
      </c>
    </row>
    <row r="34" spans="2:25">
      <c r="B34" s="84"/>
      <c r="C34" s="84"/>
      <c r="D34" s="84"/>
      <c r="E34" s="84"/>
      <c r="F34" s="84"/>
      <c r="G34" s="87"/>
      <c r="H34" s="84"/>
      <c r="J34">
        <f t="shared" si="4"/>
        <v>63900</v>
      </c>
      <c r="K34" s="2433" t="s">
        <v>2655</v>
      </c>
      <c r="L34">
        <v>18400</v>
      </c>
      <c r="M34">
        <v>49.45</v>
      </c>
      <c r="N34">
        <v>441.10617960000002</v>
      </c>
      <c r="R34" s="2691">
        <f t="shared" si="5"/>
        <v>372.09302325581393</v>
      </c>
      <c r="S34">
        <v>160600</v>
      </c>
      <c r="T34">
        <v>224500</v>
      </c>
      <c r="U34">
        <v>312</v>
      </c>
      <c r="V34" s="520">
        <f t="shared" si="6"/>
        <v>719.5512820512821</v>
      </c>
      <c r="W34">
        <f t="shared" si="7"/>
        <v>206100</v>
      </c>
      <c r="X34">
        <f t="shared" si="7"/>
        <v>262.55</v>
      </c>
      <c r="Y34">
        <f t="shared" si="8"/>
        <v>784.99333460293269</v>
      </c>
    </row>
    <row r="35" spans="2:25">
      <c r="D35" s="991"/>
      <c r="E35" s="84"/>
      <c r="F35" s="84"/>
      <c r="H35" s="84"/>
      <c r="I35" s="20"/>
      <c r="J35">
        <f t="shared" si="4"/>
        <v>98500</v>
      </c>
      <c r="K35" s="2433" t="s">
        <v>2656</v>
      </c>
      <c r="L35">
        <v>19200</v>
      </c>
      <c r="M35">
        <v>49.15</v>
      </c>
      <c r="N35">
        <v>389.10133839999997</v>
      </c>
      <c r="R35" s="2691">
        <f t="shared" si="5"/>
        <v>390.64089521871824</v>
      </c>
      <c r="S35">
        <v>234400</v>
      </c>
      <c r="T35">
        <v>332900</v>
      </c>
      <c r="U35">
        <v>418</v>
      </c>
      <c r="V35" s="520">
        <f t="shared" si="6"/>
        <v>796.41148325358847</v>
      </c>
      <c r="W35">
        <f t="shared" si="7"/>
        <v>313700</v>
      </c>
      <c r="X35">
        <f t="shared" si="7"/>
        <v>368.85</v>
      </c>
      <c r="Y35">
        <f t="shared" si="8"/>
        <v>850.48122543039176</v>
      </c>
    </row>
    <row r="36" spans="2:25">
      <c r="D36" s="84"/>
      <c r="E36" s="991"/>
      <c r="F36" s="991"/>
      <c r="G36" s="84"/>
      <c r="J36">
        <f t="shared" si="4"/>
        <v>123400</v>
      </c>
      <c r="K36" s="2433" t="s">
        <v>2657</v>
      </c>
      <c r="L36">
        <v>40700</v>
      </c>
      <c r="M36">
        <v>95.75</v>
      </c>
      <c r="N36">
        <v>173.65269459999999</v>
      </c>
      <c r="R36" s="2691">
        <f t="shared" si="5"/>
        <v>425.06527415143603</v>
      </c>
      <c r="S36">
        <v>234600</v>
      </c>
      <c r="T36">
        <v>358000</v>
      </c>
      <c r="U36">
        <v>464</v>
      </c>
      <c r="V36" s="520">
        <f t="shared" si="6"/>
        <v>771.55172413793105</v>
      </c>
      <c r="W36">
        <f t="shared" si="7"/>
        <v>317300</v>
      </c>
      <c r="X36">
        <f t="shared" si="7"/>
        <v>368.25</v>
      </c>
      <c r="Y36">
        <f t="shared" si="8"/>
        <v>861.64290563475902</v>
      </c>
    </row>
    <row r="37" spans="2:25">
      <c r="J37">
        <f t="shared" si="4"/>
        <v>82300</v>
      </c>
      <c r="K37" s="2433" t="s">
        <v>2658</v>
      </c>
      <c r="L37">
        <v>17600</v>
      </c>
      <c r="M37">
        <v>45.3</v>
      </c>
      <c r="N37">
        <v>554.40414510000005</v>
      </c>
      <c r="R37" s="2691">
        <f t="shared" si="5"/>
        <v>388.52097130242828</v>
      </c>
      <c r="S37">
        <v>191400</v>
      </c>
      <c r="T37">
        <v>273700</v>
      </c>
      <c r="U37">
        <v>357</v>
      </c>
      <c r="V37" s="520">
        <f t="shared" si="6"/>
        <v>766.66666666666663</v>
      </c>
      <c r="W37">
        <f t="shared" si="7"/>
        <v>256100</v>
      </c>
      <c r="X37">
        <f t="shared" si="7"/>
        <v>311.7</v>
      </c>
      <c r="Y37">
        <f t="shared" si="8"/>
        <v>821.62335579082458</v>
      </c>
    </row>
    <row r="38" spans="2:25">
      <c r="J38">
        <f t="shared" si="4"/>
        <v>80000</v>
      </c>
      <c r="K38" s="2433" t="s">
        <v>2659</v>
      </c>
      <c r="N38">
        <v>345.84178500000002</v>
      </c>
      <c r="R38" s="2691" t="e">
        <f t="shared" si="5"/>
        <v>#DIV/0!</v>
      </c>
      <c r="S38">
        <v>230800</v>
      </c>
      <c r="T38">
        <v>310800</v>
      </c>
      <c r="U38">
        <v>363</v>
      </c>
      <c r="V38" s="520">
        <f t="shared" si="6"/>
        <v>856.19834710743805</v>
      </c>
      <c r="W38">
        <f t="shared" si="7"/>
        <v>310800</v>
      </c>
      <c r="X38">
        <f t="shared" si="7"/>
        <v>363</v>
      </c>
      <c r="Y38">
        <f t="shared" si="8"/>
        <v>856.19834710743805</v>
      </c>
    </row>
    <row r="39" spans="2:25" ht="15.75">
      <c r="B39" s="353"/>
      <c r="C39" s="353"/>
      <c r="D39" s="353"/>
      <c r="E39" s="353"/>
      <c r="F39" s="353"/>
      <c r="J39">
        <f t="shared" si="4"/>
        <v>98640</v>
      </c>
      <c r="K39" s="2433" t="s">
        <v>2660</v>
      </c>
      <c r="L39">
        <v>31240</v>
      </c>
      <c r="M39">
        <v>96</v>
      </c>
      <c r="N39">
        <v>394.14634150000001</v>
      </c>
      <c r="R39" s="2691">
        <f t="shared" si="5"/>
        <v>325.41666666666669</v>
      </c>
      <c r="S39">
        <v>202500</v>
      </c>
      <c r="T39">
        <v>301140</v>
      </c>
      <c r="U39">
        <v>413</v>
      </c>
      <c r="V39" s="520">
        <f t="shared" si="6"/>
        <v>729.15254237288138</v>
      </c>
      <c r="W39">
        <f t="shared" si="7"/>
        <v>269900</v>
      </c>
      <c r="X39">
        <f t="shared" si="7"/>
        <v>317</v>
      </c>
      <c r="Y39">
        <f t="shared" si="8"/>
        <v>851.41955835962142</v>
      </c>
    </row>
    <row r="40" spans="2:25" ht="15.75">
      <c r="B40" s="353"/>
      <c r="C40" s="353"/>
      <c r="D40" s="353"/>
      <c r="E40" s="353"/>
      <c r="F40" s="353"/>
      <c r="J40">
        <f t="shared" si="4"/>
        <v>64600</v>
      </c>
      <c r="K40" s="2433" t="s">
        <v>2661</v>
      </c>
      <c r="N40" t="e">
        <v>#DIV/0!</v>
      </c>
      <c r="R40" s="2691" t="e">
        <f t="shared" si="5"/>
        <v>#DIV/0!</v>
      </c>
      <c r="S40">
        <v>189000</v>
      </c>
      <c r="T40">
        <v>253600</v>
      </c>
      <c r="U40">
        <v>323</v>
      </c>
      <c r="V40" s="520">
        <f t="shared" si="6"/>
        <v>785.13931888544892</v>
      </c>
      <c r="W40">
        <f t="shared" si="7"/>
        <v>253600</v>
      </c>
      <c r="X40">
        <f t="shared" si="7"/>
        <v>323</v>
      </c>
      <c r="Y40">
        <f t="shared" si="8"/>
        <v>785.13931888544892</v>
      </c>
    </row>
    <row r="41" spans="2:25" ht="15.75">
      <c r="B41" s="353"/>
      <c r="C41" s="353"/>
      <c r="D41" s="353"/>
      <c r="E41" s="353"/>
      <c r="F41" s="353"/>
      <c r="J41">
        <f t="shared" si="4"/>
        <v>89200</v>
      </c>
      <c r="K41" s="2433" t="s">
        <v>2662</v>
      </c>
      <c r="L41">
        <v>49100</v>
      </c>
      <c r="M41">
        <v>101.2</v>
      </c>
      <c r="N41">
        <v>343.31337330000002</v>
      </c>
      <c r="R41" s="2691">
        <f t="shared" si="5"/>
        <v>485.17786561264819</v>
      </c>
      <c r="S41">
        <v>126100</v>
      </c>
      <c r="T41">
        <v>215300</v>
      </c>
      <c r="U41">
        <v>313</v>
      </c>
      <c r="V41" s="520">
        <f t="shared" si="6"/>
        <v>687.85942492012782</v>
      </c>
      <c r="W41">
        <f t="shared" si="7"/>
        <v>166200</v>
      </c>
      <c r="X41">
        <f t="shared" si="7"/>
        <v>211.8</v>
      </c>
      <c r="Y41">
        <f t="shared" si="8"/>
        <v>784.70254957507075</v>
      </c>
    </row>
    <row r="42" spans="2:25" ht="15.75">
      <c r="B42" s="353"/>
      <c r="C42" s="353"/>
      <c r="D42" s="353"/>
      <c r="E42" s="353"/>
      <c r="F42" s="353"/>
      <c r="J42">
        <f t="shared" si="4"/>
        <v>238174</v>
      </c>
      <c r="K42" s="2433" t="s">
        <v>2663</v>
      </c>
      <c r="N42">
        <v>149.82224479999999</v>
      </c>
      <c r="R42" s="2691" t="e">
        <f t="shared" si="5"/>
        <v>#DIV/0!</v>
      </c>
      <c r="S42">
        <v>160200</v>
      </c>
      <c r="T42">
        <f>8459664-8061290</f>
        <v>398374</v>
      </c>
      <c r="U42">
        <v>260</v>
      </c>
      <c r="V42" s="520">
        <f t="shared" si="6"/>
        <v>1532.2076923076922</v>
      </c>
      <c r="W42">
        <f t="shared" si="7"/>
        <v>398374</v>
      </c>
      <c r="X42">
        <f t="shared" si="7"/>
        <v>260</v>
      </c>
      <c r="Y42">
        <f t="shared" si="8"/>
        <v>1532.2076923076922</v>
      </c>
    </row>
    <row r="43" spans="2:25" ht="15.75">
      <c r="B43" s="353"/>
      <c r="C43" s="353"/>
      <c r="D43" s="353"/>
      <c r="E43" s="353"/>
      <c r="J43">
        <f t="shared" si="4"/>
        <v>77900</v>
      </c>
      <c r="K43" s="2433" t="s">
        <v>2664</v>
      </c>
      <c r="N43">
        <v>320.08018709999999</v>
      </c>
      <c r="R43" s="2691" t="e">
        <f t="shared" si="5"/>
        <v>#DIV/0!</v>
      </c>
      <c r="S43">
        <v>259700</v>
      </c>
      <c r="T43">
        <v>337600</v>
      </c>
      <c r="U43">
        <v>371</v>
      </c>
      <c r="V43" s="520">
        <f t="shared" si="6"/>
        <v>909.97304582210245</v>
      </c>
      <c r="W43">
        <f t="shared" si="7"/>
        <v>337600</v>
      </c>
      <c r="X43">
        <f t="shared" si="7"/>
        <v>371</v>
      </c>
      <c r="Y43">
        <f t="shared" si="8"/>
        <v>909.97304582210245</v>
      </c>
    </row>
    <row r="44" spans="2:25" ht="15.75">
      <c r="B44" s="353"/>
      <c r="J44">
        <f t="shared" si="4"/>
        <v>80400</v>
      </c>
      <c r="K44" s="2433" t="s">
        <v>2665</v>
      </c>
      <c r="N44">
        <v>394.29140389999998</v>
      </c>
      <c r="R44" s="2691" t="e">
        <f t="shared" si="5"/>
        <v>#DIV/0!</v>
      </c>
      <c r="S44">
        <v>246100</v>
      </c>
      <c r="T44">
        <v>326500</v>
      </c>
      <c r="U44">
        <v>380</v>
      </c>
      <c r="V44" s="520">
        <f t="shared" si="6"/>
        <v>859.21052631578948</v>
      </c>
      <c r="W44">
        <f t="shared" si="7"/>
        <v>326500</v>
      </c>
      <c r="X44">
        <f t="shared" si="7"/>
        <v>380</v>
      </c>
      <c r="Y44">
        <f t="shared" si="8"/>
        <v>859.21052631578948</v>
      </c>
    </row>
    <row r="45" spans="2:25">
      <c r="J45">
        <f t="shared" si="4"/>
        <v>90300</v>
      </c>
      <c r="K45" s="2433" t="s">
        <v>2666</v>
      </c>
      <c r="L45">
        <v>17800</v>
      </c>
      <c r="M45">
        <v>50.6</v>
      </c>
      <c r="N45">
        <v>424.15169659999998</v>
      </c>
      <c r="R45" s="2691">
        <f t="shared" si="5"/>
        <v>351.77865612648219</v>
      </c>
      <c r="S45">
        <v>267400</v>
      </c>
      <c r="T45">
        <v>357700</v>
      </c>
      <c r="U45">
        <v>478</v>
      </c>
      <c r="V45" s="520">
        <f t="shared" si="6"/>
        <v>748.32635983263594</v>
      </c>
      <c r="W45">
        <f t="shared" si="7"/>
        <v>339900</v>
      </c>
      <c r="X45">
        <f t="shared" si="7"/>
        <v>427.4</v>
      </c>
      <c r="Y45">
        <f t="shared" si="8"/>
        <v>795.27374824520359</v>
      </c>
    </row>
    <row r="46" spans="2:25">
      <c r="J46">
        <f t="shared" si="4"/>
        <v>80000</v>
      </c>
      <c r="K46" s="2462" t="s">
        <v>2667</v>
      </c>
      <c r="L46">
        <v>25500</v>
      </c>
      <c r="M46">
        <v>49.25</v>
      </c>
      <c r="N46">
        <v>520.35749750000002</v>
      </c>
      <c r="R46" s="2691">
        <f t="shared" si="5"/>
        <v>517.76649746192891</v>
      </c>
      <c r="S46">
        <v>192000</v>
      </c>
      <c r="T46">
        <v>272000</v>
      </c>
      <c r="U46">
        <v>366</v>
      </c>
      <c r="V46" s="520">
        <f t="shared" si="6"/>
        <v>743.16939890710387</v>
      </c>
      <c r="W46">
        <f t="shared" si="7"/>
        <v>246500</v>
      </c>
      <c r="X46">
        <f t="shared" si="7"/>
        <v>316.75</v>
      </c>
      <c r="Y46">
        <f t="shared" si="8"/>
        <v>778.21625887924233</v>
      </c>
    </row>
    <row r="47" spans="2:25">
      <c r="B47" s="84" t="s">
        <v>2668</v>
      </c>
      <c r="C47" s="84"/>
      <c r="D47" s="84"/>
      <c r="E47" s="84"/>
      <c r="F47" s="84"/>
      <c r="G47" s="84"/>
      <c r="J47">
        <f t="shared" si="4"/>
        <v>113400</v>
      </c>
      <c r="K47" t="s">
        <v>2669</v>
      </c>
      <c r="L47">
        <v>14400</v>
      </c>
      <c r="M47">
        <v>52.6</v>
      </c>
      <c r="N47">
        <v>432.45033110000003</v>
      </c>
      <c r="R47" s="2691">
        <f t="shared" si="5"/>
        <v>273.7642585551331</v>
      </c>
      <c r="S47">
        <v>270600</v>
      </c>
      <c r="T47">
        <v>384000</v>
      </c>
      <c r="U47">
        <v>468</v>
      </c>
      <c r="V47" s="520">
        <f t="shared" si="6"/>
        <v>820.51282051282055</v>
      </c>
      <c r="W47">
        <f t="shared" si="7"/>
        <v>369600</v>
      </c>
      <c r="X47">
        <f t="shared" si="7"/>
        <v>415.4</v>
      </c>
      <c r="Y47">
        <f t="shared" si="8"/>
        <v>889.74482426576799</v>
      </c>
    </row>
    <row r="48" spans="2:25">
      <c r="J48">
        <f t="shared" si="4"/>
        <v>124200</v>
      </c>
      <c r="K48" t="s">
        <v>2670</v>
      </c>
      <c r="L48">
        <v>16900</v>
      </c>
      <c r="M48">
        <v>52.6</v>
      </c>
      <c r="N48">
        <v>511.37594799999999</v>
      </c>
      <c r="R48" s="2691">
        <f t="shared" si="5"/>
        <v>321.29277566539923</v>
      </c>
      <c r="S48">
        <v>256600</v>
      </c>
      <c r="T48">
        <v>380800</v>
      </c>
      <c r="U48">
        <v>475</v>
      </c>
      <c r="V48" s="520">
        <f t="shared" si="6"/>
        <v>801.68421052631584</v>
      </c>
      <c r="W48">
        <f t="shared" si="7"/>
        <v>363900</v>
      </c>
      <c r="X48">
        <f t="shared" si="7"/>
        <v>422.4</v>
      </c>
      <c r="Y48">
        <f t="shared" si="8"/>
        <v>861.50568181818187</v>
      </c>
    </row>
    <row r="49" spans="2:25">
      <c r="B49" t="s">
        <v>2260</v>
      </c>
      <c r="C49" s="992">
        <v>36430</v>
      </c>
      <c r="D49" s="993">
        <v>9375</v>
      </c>
      <c r="E49">
        <f>+C49/D49</f>
        <v>3.8858666666666668</v>
      </c>
      <c r="J49">
        <f t="shared" si="4"/>
        <v>94200</v>
      </c>
      <c r="K49" t="s">
        <v>2671</v>
      </c>
      <c r="L49">
        <v>31800</v>
      </c>
      <c r="M49">
        <v>52.6</v>
      </c>
      <c r="N49">
        <v>511.37594799999999</v>
      </c>
      <c r="R49" s="2691">
        <f t="shared" si="5"/>
        <v>604.56273764258549</v>
      </c>
      <c r="S49">
        <v>209680</v>
      </c>
      <c r="T49">
        <v>303880</v>
      </c>
      <c r="U49">
        <v>372</v>
      </c>
      <c r="V49" s="520">
        <f t="shared" si="6"/>
        <v>816.88172043010752</v>
      </c>
      <c r="W49">
        <f t="shared" si="7"/>
        <v>272080</v>
      </c>
      <c r="X49">
        <f t="shared" si="7"/>
        <v>319.39999999999998</v>
      </c>
      <c r="Y49">
        <f t="shared" si="8"/>
        <v>851.84721352536008</v>
      </c>
    </row>
    <row r="50" spans="2:25">
      <c r="B50" t="s">
        <v>723</v>
      </c>
      <c r="C50" s="994">
        <v>37627</v>
      </c>
      <c r="D50" s="993">
        <v>8764</v>
      </c>
      <c r="E50">
        <f t="shared" ref="E50:E62" si="9">+C50/D50</f>
        <v>4.2933591967138289</v>
      </c>
      <c r="I50" s="290" t="s">
        <v>2672</v>
      </c>
      <c r="J50">
        <f t="shared" si="4"/>
        <v>106600</v>
      </c>
      <c r="K50" s="2462" t="s">
        <v>2673</v>
      </c>
      <c r="L50">
        <v>44000</v>
      </c>
      <c r="M50">
        <v>105.2</v>
      </c>
      <c r="N50">
        <v>533.11439519999999</v>
      </c>
      <c r="R50" s="2691">
        <f t="shared" si="5"/>
        <v>418.25095057034218</v>
      </c>
      <c r="S50">
        <v>214600</v>
      </c>
      <c r="T50">
        <v>321200</v>
      </c>
      <c r="U50">
        <v>477</v>
      </c>
      <c r="V50" s="520">
        <f t="shared" si="6"/>
        <v>673.37526205450729</v>
      </c>
      <c r="W50">
        <f t="shared" si="7"/>
        <v>277200</v>
      </c>
      <c r="X50">
        <f t="shared" si="7"/>
        <v>371.8</v>
      </c>
      <c r="Y50">
        <f t="shared" si="8"/>
        <v>745.56213017751475</v>
      </c>
    </row>
    <row r="51" spans="2:25">
      <c r="B51" t="s">
        <v>2147</v>
      </c>
      <c r="C51" s="994">
        <v>42625</v>
      </c>
      <c r="D51" s="993">
        <v>9087</v>
      </c>
      <c r="E51">
        <f t="shared" si="9"/>
        <v>4.6907670298228235</v>
      </c>
      <c r="I51" s="290"/>
      <c r="J51">
        <f t="shared" si="4"/>
        <v>47600</v>
      </c>
      <c r="K51" t="s">
        <v>2674</v>
      </c>
      <c r="N51">
        <v>584.50338009999996</v>
      </c>
      <c r="R51" s="2691" t="e">
        <f t="shared" si="5"/>
        <v>#DIV/0!</v>
      </c>
      <c r="S51">
        <v>162400</v>
      </c>
      <c r="T51">
        <v>210000</v>
      </c>
      <c r="U51">
        <v>259</v>
      </c>
      <c r="V51" s="520">
        <f t="shared" si="6"/>
        <v>810.81081081081084</v>
      </c>
      <c r="W51">
        <f t="shared" si="7"/>
        <v>210000</v>
      </c>
      <c r="X51">
        <f t="shared" si="7"/>
        <v>259</v>
      </c>
      <c r="Y51">
        <f t="shared" si="8"/>
        <v>810.81081081081084</v>
      </c>
    </row>
    <row r="52" spans="2:25">
      <c r="B52" t="s">
        <v>1993</v>
      </c>
      <c r="C52" s="994">
        <v>40068</v>
      </c>
      <c r="D52" s="993">
        <v>9356</v>
      </c>
      <c r="E52">
        <f t="shared" si="9"/>
        <v>4.2825994014536128</v>
      </c>
      <c r="I52" s="290"/>
      <c r="J52">
        <f t="shared" si="4"/>
        <v>157700</v>
      </c>
      <c r="K52" t="s">
        <v>2675</v>
      </c>
      <c r="L52">
        <v>58300</v>
      </c>
      <c r="M52">
        <v>102.55</v>
      </c>
      <c r="N52">
        <v>374.46980409999998</v>
      </c>
      <c r="R52" s="2691">
        <f t="shared" si="5"/>
        <v>568.50316918576311</v>
      </c>
      <c r="S52">
        <v>264200</v>
      </c>
      <c r="T52">
        <v>421900</v>
      </c>
      <c r="U52">
        <f>10889.75-10305</f>
        <v>584.75</v>
      </c>
      <c r="V52" s="520">
        <f t="shared" si="6"/>
        <v>721.5049166310389</v>
      </c>
      <c r="W52">
        <f t="shared" si="7"/>
        <v>363600</v>
      </c>
      <c r="X52">
        <f t="shared" si="7"/>
        <v>482.2</v>
      </c>
      <c r="Y52">
        <f t="shared" si="8"/>
        <v>754.04396515968483</v>
      </c>
    </row>
    <row r="53" spans="2:25">
      <c r="B53" t="s">
        <v>726</v>
      </c>
      <c r="C53" s="994">
        <v>40053</v>
      </c>
      <c r="D53" s="993">
        <v>8799</v>
      </c>
      <c r="E53">
        <f t="shared" si="9"/>
        <v>4.5519945448346402</v>
      </c>
      <c r="I53" s="290"/>
      <c r="J53">
        <f t="shared" si="4"/>
        <v>0</v>
      </c>
      <c r="R53" s="2691" t="e">
        <f t="shared" si="5"/>
        <v>#DIV/0!</v>
      </c>
      <c r="V53" s="520"/>
      <c r="W53">
        <f t="shared" si="7"/>
        <v>0</v>
      </c>
      <c r="X53">
        <f t="shared" si="7"/>
        <v>0</v>
      </c>
      <c r="Y53" t="e">
        <f t="shared" si="8"/>
        <v>#DIV/0!</v>
      </c>
    </row>
    <row r="54" spans="2:25" ht="18">
      <c r="B54" t="s">
        <v>1994</v>
      </c>
      <c r="C54" s="994">
        <v>38635</v>
      </c>
      <c r="D54" s="993">
        <v>8335</v>
      </c>
      <c r="E54">
        <f t="shared" si="9"/>
        <v>4.6352729454109181</v>
      </c>
      <c r="I54" s="87">
        <f>+S54/U54</f>
        <v>518.74009963497781</v>
      </c>
      <c r="J54">
        <f t="shared" si="4"/>
        <v>2810714</v>
      </c>
      <c r="L54" s="14">
        <f>SUM(L23:L52)</f>
        <v>786640</v>
      </c>
      <c r="M54" s="14">
        <f>SUM(M23:M52)</f>
        <v>1941.3</v>
      </c>
      <c r="N54" s="14"/>
      <c r="O54" s="14"/>
      <c r="P54" s="14"/>
      <c r="Q54" s="14"/>
      <c r="R54" s="2688">
        <f t="shared" si="5"/>
        <v>405.21300159686808</v>
      </c>
      <c r="S54" s="14">
        <f>SUM(S23:S52)</f>
        <v>5648950</v>
      </c>
      <c r="T54" s="14">
        <f>SUM(T23:T52)</f>
        <v>8459664</v>
      </c>
      <c r="U54" s="1001">
        <f>SUM(U23:U52)</f>
        <v>10889.75</v>
      </c>
      <c r="V54" s="1002">
        <f>+T54/U54</f>
        <v>776.84648407906514</v>
      </c>
      <c r="W54" s="14">
        <f t="shared" si="7"/>
        <v>7673024</v>
      </c>
      <c r="X54" s="14">
        <f t="shared" si="7"/>
        <v>8948.4500000000007</v>
      </c>
      <c r="Y54" s="14">
        <f t="shared" si="8"/>
        <v>857.46961764327898</v>
      </c>
    </row>
    <row r="55" spans="2:25">
      <c r="B55" t="s">
        <v>729</v>
      </c>
      <c r="C55">
        <f>100028*0.4</f>
        <v>40011.200000000004</v>
      </c>
      <c r="D55" s="995">
        <v>8980</v>
      </c>
      <c r="E55">
        <f t="shared" si="9"/>
        <v>4.4555902004454344</v>
      </c>
      <c r="L55">
        <v>362800</v>
      </c>
      <c r="M55">
        <v>980.85</v>
      </c>
      <c r="R55" s="27"/>
      <c r="T55">
        <v>5870718</v>
      </c>
      <c r="V55" s="520"/>
    </row>
    <row r="56" spans="2:25">
      <c r="B56" t="s">
        <v>730</v>
      </c>
      <c r="E56" t="e">
        <f t="shared" si="9"/>
        <v>#DIV/0!</v>
      </c>
      <c r="I56">
        <f>4828140-432298</f>
        <v>4395842</v>
      </c>
      <c r="L56">
        <v>0</v>
      </c>
      <c r="M56">
        <v>0</v>
      </c>
      <c r="R56" s="27" t="e">
        <f>+M56/L56</f>
        <v>#DIV/0!</v>
      </c>
      <c r="S56">
        <v>0</v>
      </c>
      <c r="T56">
        <f>+T54-T55</f>
        <v>2588946</v>
      </c>
      <c r="U56">
        <f>3718.76*701</f>
        <v>2606850.7600000002</v>
      </c>
      <c r="V56" s="520">
        <f>+T56/U56</f>
        <v>0.99313165131094794</v>
      </c>
      <c r="W56">
        <f>+T56-M56</f>
        <v>2588946</v>
      </c>
      <c r="X56">
        <f>+U56-L56</f>
        <v>2606850.7600000002</v>
      </c>
      <c r="Y56">
        <f>+W56/X56</f>
        <v>0.99313165131094794</v>
      </c>
    </row>
    <row r="57" spans="2:25">
      <c r="B57" t="s">
        <v>731</v>
      </c>
      <c r="E57" t="e">
        <f t="shared" si="9"/>
        <v>#DIV/0!</v>
      </c>
      <c r="K57" s="84"/>
      <c r="L57" s="84"/>
      <c r="M57" s="84">
        <v>432298</v>
      </c>
      <c r="N57" s="84"/>
      <c r="O57" s="84"/>
      <c r="P57" s="84"/>
      <c r="Q57" s="84"/>
      <c r="R57" s="84">
        <f>+M57-M56</f>
        <v>432298</v>
      </c>
      <c r="S57" s="84"/>
      <c r="T57" s="84">
        <f>+T56-M56</f>
        <v>2588946</v>
      </c>
      <c r="U57" s="84"/>
      <c r="V57" s="84"/>
      <c r="W57" s="84"/>
      <c r="X57" s="84"/>
      <c r="Y57" s="84"/>
    </row>
    <row r="58" spans="2:25" ht="18">
      <c r="B58" t="s">
        <v>732</v>
      </c>
      <c r="E58" t="e">
        <f t="shared" si="9"/>
        <v>#DIV/0!</v>
      </c>
      <c r="K58" s="84"/>
      <c r="L58" s="2793" t="s">
        <v>2676</v>
      </c>
      <c r="M58" s="2793"/>
      <c r="N58" s="257"/>
      <c r="O58" s="18"/>
      <c r="P58" s="18"/>
      <c r="Q58" s="18"/>
      <c r="R58" s="18"/>
      <c r="S58" s="84"/>
      <c r="T58" s="2793" t="s">
        <v>2638</v>
      </c>
      <c r="U58" s="2793"/>
      <c r="V58" s="2793"/>
      <c r="W58" s="2793" t="s">
        <v>2639</v>
      </c>
      <c r="X58" s="2793"/>
      <c r="Y58" s="2793"/>
    </row>
    <row r="59" spans="2:25" ht="18">
      <c r="B59" t="s">
        <v>733</v>
      </c>
      <c r="E59" t="e">
        <f t="shared" si="9"/>
        <v>#DIV/0!</v>
      </c>
      <c r="K59" s="84"/>
      <c r="L59" s="14" t="s">
        <v>554</v>
      </c>
      <c r="M59" s="14" t="s">
        <v>754</v>
      </c>
      <c r="N59" s="14"/>
      <c r="O59" s="84"/>
      <c r="P59" s="84"/>
      <c r="Q59" s="84"/>
      <c r="R59" s="84" t="s">
        <v>520</v>
      </c>
      <c r="S59" s="84" t="s">
        <v>2640</v>
      </c>
      <c r="T59" s="84" t="s">
        <v>23</v>
      </c>
      <c r="U59" s="84" t="s">
        <v>524</v>
      </c>
      <c r="V59" s="84" t="s">
        <v>520</v>
      </c>
      <c r="W59" s="84" t="s">
        <v>518</v>
      </c>
      <c r="X59" s="84" t="s">
        <v>524</v>
      </c>
      <c r="Y59" s="84" t="s">
        <v>520</v>
      </c>
    </row>
    <row r="60" spans="2:25">
      <c r="B60" t="s">
        <v>734</v>
      </c>
      <c r="E60" t="e">
        <f t="shared" si="9"/>
        <v>#DIV/0!</v>
      </c>
      <c r="K60" s="84" t="s">
        <v>2677</v>
      </c>
      <c r="L60" s="84">
        <f t="shared" ref="L60:Q60" si="10">J15</f>
        <v>0</v>
      </c>
      <c r="M60" s="84">
        <f t="shared" si="10"/>
        <v>0</v>
      </c>
      <c r="N60" s="84" t="e">
        <f t="shared" si="10"/>
        <v>#DIV/0!</v>
      </c>
      <c r="O60" s="84">
        <f t="shared" si="10"/>
        <v>0</v>
      </c>
      <c r="P60" s="84">
        <f t="shared" si="10"/>
        <v>0</v>
      </c>
      <c r="Q60" s="84">
        <f t="shared" si="10"/>
        <v>0</v>
      </c>
      <c r="R60" s="87" t="e">
        <f>L15</f>
        <v>#DIV/0!</v>
      </c>
      <c r="S60" s="84">
        <f t="shared" ref="S60:Y60" si="11">S56</f>
        <v>0</v>
      </c>
      <c r="T60" s="84">
        <f t="shared" si="11"/>
        <v>2588946</v>
      </c>
      <c r="U60" s="84">
        <f t="shared" si="11"/>
        <v>2606850.7600000002</v>
      </c>
      <c r="V60" s="87">
        <f t="shared" si="11"/>
        <v>0.99313165131094794</v>
      </c>
      <c r="W60" s="84">
        <f t="shared" si="11"/>
        <v>2588946</v>
      </c>
      <c r="X60" s="84">
        <f t="shared" si="11"/>
        <v>2606850.7600000002</v>
      </c>
      <c r="Y60" s="87">
        <f t="shared" si="11"/>
        <v>0.99313165131094794</v>
      </c>
    </row>
    <row r="61" spans="2:25">
      <c r="E61" t="e">
        <f t="shared" si="9"/>
        <v>#DIV/0!</v>
      </c>
      <c r="K61" s="84"/>
      <c r="L61" s="84"/>
      <c r="M61" s="84"/>
      <c r="N61" s="84"/>
      <c r="O61" s="84"/>
      <c r="P61" s="84"/>
      <c r="Q61" s="84"/>
      <c r="R61" s="84"/>
      <c r="S61" s="84"/>
      <c r="T61" s="84" t="s">
        <v>520</v>
      </c>
      <c r="U61" s="84"/>
      <c r="V61" s="84"/>
      <c r="W61" s="84"/>
      <c r="X61" s="84"/>
      <c r="Y61" s="84"/>
    </row>
    <row r="62" spans="2:25">
      <c r="C62">
        <f>SUM(C49:C60)</f>
        <v>275449.2</v>
      </c>
      <c r="D62">
        <f>SUM(D49:D60)</f>
        <v>62696</v>
      </c>
      <c r="E62">
        <f t="shared" si="9"/>
        <v>4.3934094679086391</v>
      </c>
      <c r="K62" s="84"/>
      <c r="L62" s="84"/>
      <c r="M62" s="84"/>
      <c r="N62" s="84"/>
      <c r="O62" s="84"/>
      <c r="P62" s="84"/>
      <c r="Q62" s="84"/>
      <c r="R62" s="84"/>
      <c r="S62" s="84" t="s">
        <v>2640</v>
      </c>
      <c r="T62" s="87">
        <f>+S60/U60</f>
        <v>0</v>
      </c>
      <c r="U62" s="84"/>
      <c r="V62" s="84"/>
      <c r="W62" s="84"/>
      <c r="X62" s="84"/>
      <c r="Y62" s="84"/>
    </row>
    <row r="63" spans="2:25"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spans="2:25" ht="18">
      <c r="D64">
        <v>77155200</v>
      </c>
      <c r="K64" s="84"/>
      <c r="L64" s="14" t="s">
        <v>2678</v>
      </c>
      <c r="M64" s="14" t="s">
        <v>2624</v>
      </c>
      <c r="N64" s="14"/>
      <c r="O64" s="84"/>
      <c r="P64" s="84"/>
      <c r="Q64" s="84"/>
      <c r="R64" s="84" t="s">
        <v>520</v>
      </c>
      <c r="S64" s="84" t="s">
        <v>2640</v>
      </c>
      <c r="T64" s="84" t="s">
        <v>2679</v>
      </c>
      <c r="U64" s="84" t="s">
        <v>524</v>
      </c>
      <c r="V64" s="84" t="s">
        <v>520</v>
      </c>
      <c r="W64" s="84" t="s">
        <v>518</v>
      </c>
      <c r="X64" s="84" t="s">
        <v>524</v>
      </c>
      <c r="Y64" s="84" t="s">
        <v>520</v>
      </c>
    </row>
    <row r="65" spans="2:25">
      <c r="D65">
        <v>12778800</v>
      </c>
      <c r="H65">
        <f>+T65-S65-L65</f>
        <v>27400</v>
      </c>
      <c r="J65">
        <f t="shared" ref="J65:J95" si="12">+T65-S65</f>
        <v>50500</v>
      </c>
      <c r="K65" s="2462" t="s">
        <v>2680</v>
      </c>
      <c r="L65">
        <v>23100</v>
      </c>
      <c r="M65">
        <v>52.6</v>
      </c>
      <c r="R65">
        <f t="shared" ref="R65:R96" si="13">+L65/M65</f>
        <v>439.16349809885929</v>
      </c>
      <c r="S65">
        <v>106700</v>
      </c>
      <c r="T65">
        <v>157200</v>
      </c>
      <c r="U65">
        <v>211</v>
      </c>
      <c r="V65" s="520">
        <f t="shared" ref="V65:V96" si="14">+T65/U65</f>
        <v>745.02369668246445</v>
      </c>
      <c r="W65">
        <f t="shared" ref="W65:W96" si="15">+T65-L65</f>
        <v>134100</v>
      </c>
      <c r="X65">
        <f t="shared" ref="X65:X95" si="16">+U65-M65</f>
        <v>158.4</v>
      </c>
      <c r="Y65">
        <f>+W65/X65</f>
        <v>846.59090909090901</v>
      </c>
    </row>
    <row r="66" spans="2:25">
      <c r="D66">
        <f>+D64+D65</f>
        <v>89934000</v>
      </c>
      <c r="H66">
        <f t="shared" ref="H66:H129" si="17">+T66-S66-L66</f>
        <v>50400</v>
      </c>
      <c r="J66">
        <f t="shared" si="12"/>
        <v>50400</v>
      </c>
      <c r="K66" s="2462" t="s">
        <v>2681</v>
      </c>
      <c r="R66" t="e">
        <f t="shared" si="13"/>
        <v>#DIV/0!</v>
      </c>
      <c r="S66">
        <v>189800</v>
      </c>
      <c r="T66">
        <v>240200</v>
      </c>
      <c r="U66">
        <v>319</v>
      </c>
      <c r="V66" s="520">
        <f t="shared" si="14"/>
        <v>752.97805642633227</v>
      </c>
      <c r="W66">
        <f t="shared" si="15"/>
        <v>240200</v>
      </c>
      <c r="X66">
        <f t="shared" si="16"/>
        <v>319</v>
      </c>
      <c r="Y66">
        <f t="shared" ref="Y66:Y96" si="18">+W66/X66</f>
        <v>752.97805642633227</v>
      </c>
    </row>
    <row r="67" spans="2:25">
      <c r="H67">
        <f t="shared" si="17"/>
        <v>67900</v>
      </c>
      <c r="J67">
        <f t="shared" si="12"/>
        <v>67900</v>
      </c>
      <c r="K67" s="2462" t="s">
        <v>2682</v>
      </c>
      <c r="R67" t="e">
        <f t="shared" si="13"/>
        <v>#DIV/0!</v>
      </c>
      <c r="S67">
        <v>212700</v>
      </c>
      <c r="T67">
        <v>280600</v>
      </c>
      <c r="U67">
        <v>369</v>
      </c>
      <c r="V67" s="520">
        <f t="shared" si="14"/>
        <v>760.43360433604335</v>
      </c>
      <c r="W67">
        <f t="shared" si="15"/>
        <v>280600</v>
      </c>
      <c r="X67">
        <f t="shared" si="16"/>
        <v>369</v>
      </c>
      <c r="Y67">
        <f t="shared" si="18"/>
        <v>760.43360433604335</v>
      </c>
    </row>
    <row r="68" spans="2:25">
      <c r="H68">
        <f t="shared" si="17"/>
        <v>52600</v>
      </c>
      <c r="J68">
        <f t="shared" si="12"/>
        <v>52600</v>
      </c>
      <c r="K68" s="2462" t="s">
        <v>2683</v>
      </c>
      <c r="R68" t="e">
        <f t="shared" si="13"/>
        <v>#DIV/0!</v>
      </c>
      <c r="S68">
        <v>184100</v>
      </c>
      <c r="T68">
        <v>236700</v>
      </c>
      <c r="U68">
        <v>315</v>
      </c>
      <c r="V68" s="520">
        <f t="shared" si="14"/>
        <v>751.42857142857144</v>
      </c>
      <c r="W68">
        <f t="shared" si="15"/>
        <v>236700</v>
      </c>
      <c r="X68">
        <f t="shared" si="16"/>
        <v>315</v>
      </c>
      <c r="Y68">
        <f t="shared" si="18"/>
        <v>751.42857142857144</v>
      </c>
    </row>
    <row r="69" spans="2:25">
      <c r="H69">
        <f t="shared" si="17"/>
        <v>66000</v>
      </c>
      <c r="J69">
        <f t="shared" si="12"/>
        <v>66000</v>
      </c>
      <c r="K69" s="2462" t="s">
        <v>2684</v>
      </c>
      <c r="R69" t="e">
        <f t="shared" si="13"/>
        <v>#DIV/0!</v>
      </c>
      <c r="S69">
        <v>212800</v>
      </c>
      <c r="T69">
        <v>278800</v>
      </c>
      <c r="U69">
        <v>368</v>
      </c>
      <c r="V69" s="520">
        <f t="shared" si="14"/>
        <v>757.60869565217388</v>
      </c>
      <c r="W69">
        <f t="shared" si="15"/>
        <v>278800</v>
      </c>
      <c r="X69">
        <f t="shared" si="16"/>
        <v>368</v>
      </c>
      <c r="Y69">
        <f t="shared" si="18"/>
        <v>757.60869565217388</v>
      </c>
    </row>
    <row r="70" spans="2:25">
      <c r="B70" s="97"/>
      <c r="C70" s="590"/>
      <c r="D70" s="590"/>
      <c r="E70" s="590"/>
      <c r="F70" s="97"/>
      <c r="G70" s="97"/>
      <c r="H70">
        <f t="shared" si="17"/>
        <v>59600</v>
      </c>
      <c r="J70">
        <f t="shared" si="12"/>
        <v>59600</v>
      </c>
      <c r="K70" s="2462" t="s">
        <v>2685</v>
      </c>
      <c r="R70" t="e">
        <f t="shared" si="13"/>
        <v>#DIV/0!</v>
      </c>
      <c r="S70">
        <v>170500</v>
      </c>
      <c r="T70">
        <v>230100</v>
      </c>
      <c r="U70">
        <v>306</v>
      </c>
      <c r="V70" s="520">
        <f t="shared" si="14"/>
        <v>751.96078431372553</v>
      </c>
      <c r="W70">
        <f t="shared" si="15"/>
        <v>230100</v>
      </c>
      <c r="X70">
        <f t="shared" si="16"/>
        <v>306</v>
      </c>
      <c r="Y70">
        <f t="shared" si="18"/>
        <v>751.96078431372553</v>
      </c>
    </row>
    <row r="71" spans="2:25">
      <c r="B71" s="97"/>
      <c r="C71" s="590"/>
      <c r="D71" s="590"/>
      <c r="E71" s="590"/>
      <c r="F71" s="97"/>
      <c r="G71" s="97"/>
      <c r="H71">
        <f t="shared" si="17"/>
        <v>118000</v>
      </c>
      <c r="J71">
        <f t="shared" si="12"/>
        <v>118000</v>
      </c>
      <c r="K71" s="2462" t="s">
        <v>2686</v>
      </c>
      <c r="R71" t="e">
        <f t="shared" si="13"/>
        <v>#DIV/0!</v>
      </c>
      <c r="S71">
        <v>218500</v>
      </c>
      <c r="T71">
        <v>336500</v>
      </c>
      <c r="U71">
        <v>369</v>
      </c>
      <c r="V71" s="520">
        <f t="shared" si="14"/>
        <v>911.92411924119244</v>
      </c>
      <c r="W71">
        <f t="shared" si="15"/>
        <v>336500</v>
      </c>
      <c r="X71">
        <f t="shared" si="16"/>
        <v>369</v>
      </c>
      <c r="Y71">
        <f t="shared" si="18"/>
        <v>911.92411924119244</v>
      </c>
    </row>
    <row r="72" spans="2:25">
      <c r="B72" s="97"/>
      <c r="C72" s="590"/>
      <c r="D72" s="590"/>
      <c r="E72" s="590"/>
      <c r="F72" s="97"/>
      <c r="G72" s="97"/>
      <c r="H72">
        <f t="shared" si="17"/>
        <v>56300</v>
      </c>
      <c r="J72">
        <f t="shared" si="12"/>
        <v>70500</v>
      </c>
      <c r="K72" s="2462" t="s">
        <v>2687</v>
      </c>
      <c r="L72">
        <v>14200</v>
      </c>
      <c r="M72">
        <v>46.8</v>
      </c>
      <c r="R72">
        <f t="shared" si="13"/>
        <v>303.41880341880346</v>
      </c>
      <c r="S72">
        <v>186800</v>
      </c>
      <c r="T72">
        <v>257300</v>
      </c>
      <c r="U72">
        <v>362</v>
      </c>
      <c r="V72" s="520">
        <f t="shared" si="14"/>
        <v>710.77348066298339</v>
      </c>
      <c r="W72">
        <f t="shared" si="15"/>
        <v>243100</v>
      </c>
      <c r="X72">
        <f t="shared" si="16"/>
        <v>315.2</v>
      </c>
      <c r="Y72">
        <f t="shared" si="18"/>
        <v>771.25634517766503</v>
      </c>
    </row>
    <row r="73" spans="2:25">
      <c r="B73" s="97"/>
      <c r="C73" s="590"/>
      <c r="D73" s="590"/>
      <c r="E73" s="590"/>
      <c r="F73" s="97"/>
      <c r="G73" s="97"/>
      <c r="H73">
        <f t="shared" si="17"/>
        <v>67500</v>
      </c>
      <c r="J73">
        <f t="shared" si="12"/>
        <v>81600</v>
      </c>
      <c r="K73" s="2462" t="s">
        <v>2688</v>
      </c>
      <c r="L73">
        <v>14100</v>
      </c>
      <c r="M73">
        <v>48.95</v>
      </c>
      <c r="R73">
        <f t="shared" si="13"/>
        <v>288.0490296220633</v>
      </c>
      <c r="S73">
        <v>187700</v>
      </c>
      <c r="T73">
        <v>269300</v>
      </c>
      <c r="U73">
        <v>372</v>
      </c>
      <c r="V73" s="520">
        <f t="shared" si="14"/>
        <v>723.92473118279565</v>
      </c>
      <c r="W73">
        <f t="shared" si="15"/>
        <v>255200</v>
      </c>
      <c r="X73">
        <f t="shared" si="16"/>
        <v>323.05</v>
      </c>
      <c r="Y73">
        <f t="shared" si="18"/>
        <v>789.97059278749418</v>
      </c>
    </row>
    <row r="74" spans="2:25">
      <c r="B74" s="97"/>
      <c r="C74" s="590"/>
      <c r="D74" s="590"/>
      <c r="E74" s="590"/>
      <c r="F74" s="97"/>
      <c r="G74" s="97"/>
      <c r="H74">
        <f t="shared" si="17"/>
        <v>0</v>
      </c>
      <c r="J74">
        <f t="shared" si="12"/>
        <v>41900</v>
      </c>
      <c r="K74" s="2462" t="s">
        <v>2689</v>
      </c>
      <c r="L74">
        <v>41900</v>
      </c>
      <c r="M74">
        <v>151.5</v>
      </c>
      <c r="R74">
        <f t="shared" si="13"/>
        <v>276.56765676567659</v>
      </c>
      <c r="T74">
        <v>41900</v>
      </c>
      <c r="U74">
        <v>152</v>
      </c>
      <c r="V74" s="520">
        <f t="shared" si="14"/>
        <v>275.65789473684208</v>
      </c>
      <c r="W74">
        <f t="shared" si="15"/>
        <v>0</v>
      </c>
      <c r="X74">
        <f t="shared" si="16"/>
        <v>0.5</v>
      </c>
      <c r="Y74">
        <f t="shared" si="18"/>
        <v>0</v>
      </c>
    </row>
    <row r="75" spans="2:25">
      <c r="B75" s="97"/>
      <c r="C75" s="590"/>
      <c r="D75" s="590"/>
      <c r="E75" s="590"/>
      <c r="F75" s="590"/>
      <c r="G75" s="97"/>
      <c r="H75">
        <f t="shared" si="17"/>
        <v>72200</v>
      </c>
      <c r="J75">
        <f t="shared" si="12"/>
        <v>88500</v>
      </c>
      <c r="K75" s="2433" t="s">
        <v>2690</v>
      </c>
      <c r="L75">
        <v>16300</v>
      </c>
      <c r="M75">
        <v>48.95</v>
      </c>
      <c r="R75">
        <f t="shared" si="13"/>
        <v>332.99284984678241</v>
      </c>
      <c r="S75">
        <v>223800</v>
      </c>
      <c r="T75">
        <v>312300</v>
      </c>
      <c r="U75">
        <v>411</v>
      </c>
      <c r="V75" s="520">
        <f t="shared" si="14"/>
        <v>759.85401459854018</v>
      </c>
      <c r="W75">
        <f t="shared" si="15"/>
        <v>296000</v>
      </c>
      <c r="X75">
        <f t="shared" si="16"/>
        <v>362.05</v>
      </c>
      <c r="Y75">
        <f t="shared" si="18"/>
        <v>817.56663444275648</v>
      </c>
    </row>
    <row r="76" spans="2:25">
      <c r="B76" s="97"/>
      <c r="C76" s="590"/>
      <c r="D76" s="590"/>
      <c r="E76" s="590"/>
      <c r="F76" s="590"/>
      <c r="G76" s="97"/>
      <c r="H76">
        <f t="shared" si="17"/>
        <v>55300</v>
      </c>
      <c r="J76">
        <f t="shared" si="12"/>
        <v>69400</v>
      </c>
      <c r="K76" s="2462" t="s">
        <v>2691</v>
      </c>
      <c r="L76">
        <v>14100</v>
      </c>
      <c r="M76">
        <v>48.95</v>
      </c>
      <c r="R76">
        <f t="shared" si="13"/>
        <v>288.0490296220633</v>
      </c>
      <c r="S76">
        <v>178000</v>
      </c>
      <c r="T76">
        <v>247400</v>
      </c>
      <c r="U76">
        <v>365</v>
      </c>
      <c r="V76" s="520">
        <f t="shared" si="14"/>
        <v>677.80821917808214</v>
      </c>
      <c r="W76">
        <f t="shared" si="15"/>
        <v>233300</v>
      </c>
      <c r="X76">
        <f t="shared" si="16"/>
        <v>316.05</v>
      </c>
      <c r="Y76">
        <f t="shared" si="18"/>
        <v>738.17433950324312</v>
      </c>
    </row>
    <row r="77" spans="2:25">
      <c r="B77" s="97"/>
      <c r="C77" s="590"/>
      <c r="D77" s="590"/>
      <c r="E77" s="590"/>
      <c r="F77" s="590"/>
      <c r="G77" s="97"/>
      <c r="H77">
        <f t="shared" si="17"/>
        <v>58100</v>
      </c>
      <c r="J77">
        <f t="shared" si="12"/>
        <v>84560</v>
      </c>
      <c r="K77" t="s">
        <v>2692</v>
      </c>
      <c r="L77">
        <v>26460</v>
      </c>
      <c r="M77">
        <v>101.55</v>
      </c>
      <c r="R77">
        <f t="shared" si="13"/>
        <v>260.56129985228949</v>
      </c>
      <c r="S77">
        <v>177000</v>
      </c>
      <c r="T77">
        <v>261560</v>
      </c>
      <c r="U77">
        <v>424</v>
      </c>
      <c r="V77" s="520">
        <f t="shared" si="14"/>
        <v>616.88679245283015</v>
      </c>
      <c r="W77">
        <f t="shared" si="15"/>
        <v>235100</v>
      </c>
      <c r="X77">
        <f t="shared" si="16"/>
        <v>322.45</v>
      </c>
      <c r="Y77">
        <f t="shared" si="18"/>
        <v>729.10528764149478</v>
      </c>
    </row>
    <row r="78" spans="2:25">
      <c r="B78" s="97"/>
      <c r="C78" s="590"/>
      <c r="D78" s="590"/>
      <c r="E78" s="590"/>
      <c r="F78" s="590"/>
      <c r="G78" s="97"/>
      <c r="H78">
        <f t="shared" si="17"/>
        <v>60500</v>
      </c>
      <c r="J78">
        <f t="shared" si="12"/>
        <v>76900</v>
      </c>
      <c r="K78" s="2462" t="s">
        <v>2693</v>
      </c>
      <c r="L78">
        <v>16400</v>
      </c>
      <c r="M78">
        <v>48.95</v>
      </c>
      <c r="R78">
        <f t="shared" si="13"/>
        <v>335.0357507660878</v>
      </c>
      <c r="S78">
        <v>176800</v>
      </c>
      <c r="T78">
        <v>253700</v>
      </c>
      <c r="U78">
        <v>369</v>
      </c>
      <c r="V78" s="520">
        <f t="shared" si="14"/>
        <v>687.53387533875343</v>
      </c>
      <c r="W78">
        <f t="shared" si="15"/>
        <v>237300</v>
      </c>
      <c r="X78">
        <f t="shared" si="16"/>
        <v>320.05</v>
      </c>
      <c r="Y78">
        <f t="shared" si="18"/>
        <v>741.44664896109975</v>
      </c>
    </row>
    <row r="79" spans="2:25">
      <c r="B79" s="97"/>
      <c r="C79" s="590"/>
      <c r="D79" s="590"/>
      <c r="E79" s="590"/>
      <c r="F79" s="590"/>
      <c r="G79" s="97"/>
      <c r="H79">
        <f t="shared" si="17"/>
        <v>57700</v>
      </c>
      <c r="J79">
        <f t="shared" si="12"/>
        <v>57700</v>
      </c>
      <c r="K79" s="2462" t="s">
        <v>2694</v>
      </c>
      <c r="R79" t="e">
        <f t="shared" si="13"/>
        <v>#DIV/0!</v>
      </c>
      <c r="S79">
        <v>117900</v>
      </c>
      <c r="T79">
        <v>175600</v>
      </c>
      <c r="U79">
        <v>200</v>
      </c>
      <c r="V79" s="520">
        <f t="shared" si="14"/>
        <v>878</v>
      </c>
      <c r="W79">
        <f t="shared" si="15"/>
        <v>175600</v>
      </c>
      <c r="X79">
        <f t="shared" si="16"/>
        <v>200</v>
      </c>
      <c r="Y79">
        <f t="shared" si="18"/>
        <v>878</v>
      </c>
    </row>
    <row r="80" spans="2:25">
      <c r="B80" s="97"/>
      <c r="C80" s="590"/>
      <c r="D80" s="590"/>
      <c r="E80" s="590"/>
      <c r="F80" s="590"/>
      <c r="G80" s="97"/>
      <c r="H80">
        <f t="shared" si="17"/>
        <v>40300</v>
      </c>
      <c r="J80">
        <f t="shared" si="12"/>
        <v>84200</v>
      </c>
      <c r="K80" s="2462" t="s">
        <v>2695</v>
      </c>
      <c r="L80">
        <v>43900</v>
      </c>
      <c r="M80">
        <v>102.05</v>
      </c>
      <c r="R80">
        <f t="shared" si="13"/>
        <v>430.18128368446838</v>
      </c>
      <c r="S80">
        <v>140300</v>
      </c>
      <c r="T80">
        <v>224500</v>
      </c>
      <c r="U80">
        <v>306</v>
      </c>
      <c r="V80" s="520">
        <f t="shared" si="14"/>
        <v>733.66013071895429</v>
      </c>
      <c r="W80">
        <f t="shared" si="15"/>
        <v>180600</v>
      </c>
      <c r="X80">
        <f t="shared" si="16"/>
        <v>203.95</v>
      </c>
      <c r="Y80">
        <f t="shared" si="18"/>
        <v>885.51115469477816</v>
      </c>
    </row>
    <row r="81" spans="2:25">
      <c r="B81" s="97"/>
      <c r="C81" s="590"/>
      <c r="D81" s="590"/>
      <c r="E81" s="590"/>
      <c r="F81" s="590"/>
      <c r="G81" s="97"/>
      <c r="H81">
        <f t="shared" si="17"/>
        <v>61200</v>
      </c>
      <c r="J81">
        <f t="shared" si="12"/>
        <v>79650</v>
      </c>
      <c r="K81" s="2462" t="s">
        <v>2696</v>
      </c>
      <c r="L81">
        <v>18450</v>
      </c>
      <c r="M81">
        <v>45.8</v>
      </c>
      <c r="R81">
        <f t="shared" si="13"/>
        <v>402.83842794759829</v>
      </c>
      <c r="S81">
        <v>168000</v>
      </c>
      <c r="T81">
        <v>247650</v>
      </c>
      <c r="U81">
        <v>303</v>
      </c>
      <c r="V81" s="520">
        <f t="shared" si="14"/>
        <v>817.32673267326732</v>
      </c>
      <c r="W81">
        <f t="shared" si="15"/>
        <v>229200</v>
      </c>
      <c r="X81">
        <f t="shared" si="16"/>
        <v>257.2</v>
      </c>
      <c r="Y81">
        <f t="shared" si="18"/>
        <v>891.13530326594093</v>
      </c>
    </row>
    <row r="82" spans="2:25">
      <c r="B82" s="97"/>
      <c r="C82" s="590"/>
      <c r="D82" s="590"/>
      <c r="E82" s="590"/>
      <c r="F82" s="590"/>
      <c r="G82" s="97"/>
      <c r="H82">
        <f t="shared" si="17"/>
        <v>53100</v>
      </c>
      <c r="J82">
        <f t="shared" si="12"/>
        <v>85400</v>
      </c>
      <c r="K82" s="2462" t="s">
        <v>2697</v>
      </c>
      <c r="L82">
        <v>32300</v>
      </c>
      <c r="M82">
        <v>98.4</v>
      </c>
      <c r="R82">
        <f t="shared" si="13"/>
        <v>328.2520325203252</v>
      </c>
      <c r="S82">
        <v>171600</v>
      </c>
      <c r="T82">
        <v>257000</v>
      </c>
      <c r="U82">
        <v>365</v>
      </c>
      <c r="V82" s="520">
        <f t="shared" si="14"/>
        <v>704.10958904109589</v>
      </c>
      <c r="W82">
        <f t="shared" si="15"/>
        <v>224700</v>
      </c>
      <c r="X82">
        <f t="shared" si="16"/>
        <v>266.60000000000002</v>
      </c>
      <c r="Y82">
        <f t="shared" si="18"/>
        <v>842.83570892723174</v>
      </c>
    </row>
    <row r="83" spans="2:25">
      <c r="B83" s="97"/>
      <c r="C83" s="590"/>
      <c r="D83" s="590"/>
      <c r="E83" s="590"/>
      <c r="F83" s="590"/>
      <c r="G83" s="97"/>
      <c r="H83">
        <f t="shared" si="17"/>
        <v>59900</v>
      </c>
      <c r="J83">
        <f t="shared" si="12"/>
        <v>75400</v>
      </c>
      <c r="K83" s="2462" t="s">
        <v>2698</v>
      </c>
      <c r="L83">
        <v>15500</v>
      </c>
      <c r="M83">
        <v>48.95</v>
      </c>
      <c r="R83">
        <f t="shared" si="13"/>
        <v>316.64964249233913</v>
      </c>
      <c r="S83">
        <v>222500</v>
      </c>
      <c r="T83">
        <v>297900</v>
      </c>
      <c r="U83">
        <v>425</v>
      </c>
      <c r="V83" s="520">
        <f t="shared" si="14"/>
        <v>700.94117647058829</v>
      </c>
      <c r="W83">
        <f t="shared" si="15"/>
        <v>282400</v>
      </c>
      <c r="X83">
        <f t="shared" si="16"/>
        <v>376.05</v>
      </c>
      <c r="Y83">
        <f t="shared" si="18"/>
        <v>750.96396755750561</v>
      </c>
    </row>
    <row r="84" spans="2:25">
      <c r="B84" s="97"/>
      <c r="C84" s="590"/>
      <c r="D84" s="590"/>
      <c r="E84" s="590"/>
      <c r="F84" s="590"/>
      <c r="G84" s="97"/>
      <c r="H84">
        <f t="shared" si="17"/>
        <v>58600</v>
      </c>
      <c r="J84">
        <f t="shared" si="12"/>
        <v>58600</v>
      </c>
      <c r="K84" s="2462" t="s">
        <v>2699</v>
      </c>
      <c r="R84" t="e">
        <f t="shared" si="13"/>
        <v>#DIV/0!</v>
      </c>
      <c r="S84">
        <v>187300</v>
      </c>
      <c r="T84">
        <v>245900</v>
      </c>
      <c r="U84">
        <v>320</v>
      </c>
      <c r="V84" s="520">
        <f t="shared" si="14"/>
        <v>768.4375</v>
      </c>
      <c r="W84">
        <f t="shared" si="15"/>
        <v>245900</v>
      </c>
      <c r="X84">
        <f t="shared" si="16"/>
        <v>320</v>
      </c>
      <c r="Y84">
        <f t="shared" si="18"/>
        <v>768.4375</v>
      </c>
    </row>
    <row r="85" spans="2:25">
      <c r="B85" s="97"/>
      <c r="C85" s="590"/>
      <c r="D85" s="590"/>
      <c r="E85" s="590"/>
      <c r="F85" s="590"/>
      <c r="G85" s="97"/>
      <c r="H85">
        <f t="shared" si="17"/>
        <v>53600</v>
      </c>
      <c r="J85">
        <f t="shared" si="12"/>
        <v>53600</v>
      </c>
      <c r="K85" s="2462" t="s">
        <v>2700</v>
      </c>
      <c r="R85" t="e">
        <f t="shared" si="13"/>
        <v>#DIV/0!</v>
      </c>
      <c r="S85">
        <v>156100</v>
      </c>
      <c r="T85">
        <v>209700</v>
      </c>
      <c r="U85">
        <v>267</v>
      </c>
      <c r="V85" s="520">
        <f t="shared" si="14"/>
        <v>785.39325842696633</v>
      </c>
      <c r="W85">
        <f t="shared" si="15"/>
        <v>209700</v>
      </c>
      <c r="X85">
        <f t="shared" si="16"/>
        <v>267</v>
      </c>
      <c r="Y85">
        <f t="shared" si="18"/>
        <v>785.39325842696633</v>
      </c>
    </row>
    <row r="86" spans="2:25">
      <c r="B86" s="97"/>
      <c r="C86" s="590"/>
      <c r="D86" s="590"/>
      <c r="E86" s="590"/>
      <c r="F86" s="590"/>
      <c r="G86" s="97"/>
      <c r="H86">
        <f t="shared" si="17"/>
        <v>87220</v>
      </c>
      <c r="J86">
        <f t="shared" si="12"/>
        <v>109920</v>
      </c>
      <c r="K86" s="2462" t="s">
        <v>2701</v>
      </c>
      <c r="L86">
        <v>22700</v>
      </c>
      <c r="M86">
        <v>45.3</v>
      </c>
      <c r="R86">
        <f t="shared" si="13"/>
        <v>501.1037527593819</v>
      </c>
      <c r="S86">
        <v>227600</v>
      </c>
      <c r="T86">
        <v>337520</v>
      </c>
      <c r="U86">
        <v>419</v>
      </c>
      <c r="V86" s="520">
        <f t="shared" si="14"/>
        <v>805.53699284009542</v>
      </c>
      <c r="W86">
        <f t="shared" si="15"/>
        <v>314820</v>
      </c>
      <c r="X86">
        <f t="shared" si="16"/>
        <v>373.7</v>
      </c>
      <c r="Y86">
        <f t="shared" si="18"/>
        <v>842.44046026224248</v>
      </c>
    </row>
    <row r="87" spans="2:25">
      <c r="B87" s="97"/>
      <c r="C87" s="590"/>
      <c r="D87" s="590"/>
      <c r="E87" s="590"/>
      <c r="F87" s="590"/>
      <c r="G87" s="97"/>
      <c r="H87">
        <f t="shared" si="17"/>
        <v>66350</v>
      </c>
      <c r="J87">
        <f t="shared" si="12"/>
        <v>100550</v>
      </c>
      <c r="K87" s="2462" t="s">
        <v>2702</v>
      </c>
      <c r="L87">
        <v>34200</v>
      </c>
      <c r="M87">
        <v>98.65</v>
      </c>
      <c r="R87">
        <f t="shared" si="13"/>
        <v>346.68018246325391</v>
      </c>
      <c r="S87">
        <v>204300</v>
      </c>
      <c r="T87">
        <v>304850</v>
      </c>
      <c r="U87">
        <v>413</v>
      </c>
      <c r="V87" s="520">
        <f t="shared" si="14"/>
        <v>738.13559322033893</v>
      </c>
      <c r="W87">
        <f t="shared" si="15"/>
        <v>270650</v>
      </c>
      <c r="X87">
        <f t="shared" si="16"/>
        <v>314.35000000000002</v>
      </c>
      <c r="Y87">
        <f t="shared" si="18"/>
        <v>860.98298075393666</v>
      </c>
    </row>
    <row r="88" spans="2:25">
      <c r="B88" s="97"/>
      <c r="C88" s="590"/>
      <c r="D88" s="590"/>
      <c r="E88" s="590"/>
      <c r="F88" s="590"/>
      <c r="G88" s="97"/>
      <c r="H88">
        <f t="shared" si="17"/>
        <v>49400</v>
      </c>
      <c r="J88">
        <f t="shared" si="12"/>
        <v>84000</v>
      </c>
      <c r="K88" s="2462" t="s">
        <v>2703</v>
      </c>
      <c r="L88">
        <v>34600</v>
      </c>
      <c r="M88">
        <v>92.1</v>
      </c>
      <c r="R88">
        <f t="shared" si="13"/>
        <v>375.67861020629755</v>
      </c>
      <c r="S88">
        <v>154900</v>
      </c>
      <c r="T88">
        <v>238900</v>
      </c>
      <c r="U88">
        <v>349</v>
      </c>
      <c r="V88" s="520">
        <f t="shared" si="14"/>
        <v>684.52722063037254</v>
      </c>
      <c r="W88">
        <f t="shared" si="15"/>
        <v>204300</v>
      </c>
      <c r="X88">
        <f t="shared" si="16"/>
        <v>256.89999999999998</v>
      </c>
      <c r="Y88">
        <f t="shared" si="18"/>
        <v>795.25107045543018</v>
      </c>
    </row>
    <row r="89" spans="2:25">
      <c r="B89" s="97"/>
      <c r="C89" s="590"/>
      <c r="D89" s="590"/>
      <c r="E89" s="590"/>
      <c r="F89" s="590"/>
      <c r="G89" s="97"/>
      <c r="H89">
        <f t="shared" si="17"/>
        <v>44300</v>
      </c>
      <c r="J89">
        <f t="shared" si="12"/>
        <v>93200</v>
      </c>
      <c r="K89" s="2462" t="s">
        <v>2704</v>
      </c>
      <c r="L89">
        <v>48900</v>
      </c>
      <c r="M89">
        <v>98.95</v>
      </c>
      <c r="R89">
        <f t="shared" si="13"/>
        <v>494.188984335523</v>
      </c>
      <c r="S89">
        <v>189400</v>
      </c>
      <c r="T89">
        <v>282600</v>
      </c>
      <c r="U89">
        <v>352</v>
      </c>
      <c r="V89" s="520">
        <f t="shared" si="14"/>
        <v>802.84090909090912</v>
      </c>
      <c r="W89">
        <f t="shared" si="15"/>
        <v>233700</v>
      </c>
      <c r="X89">
        <f t="shared" si="16"/>
        <v>253.05</v>
      </c>
      <c r="Y89">
        <f t="shared" si="18"/>
        <v>923.53289863663304</v>
      </c>
    </row>
    <row r="90" spans="2:25">
      <c r="B90" s="97"/>
      <c r="C90" s="590"/>
      <c r="D90" s="590"/>
      <c r="E90" s="590"/>
      <c r="F90" s="590"/>
      <c r="G90" s="97"/>
      <c r="H90">
        <f t="shared" si="17"/>
        <v>57100</v>
      </c>
      <c r="J90">
        <f t="shared" si="12"/>
        <v>72700</v>
      </c>
      <c r="K90" s="2462" t="s">
        <v>2705</v>
      </c>
      <c r="L90">
        <v>15600</v>
      </c>
      <c r="M90">
        <v>52.6</v>
      </c>
      <c r="R90">
        <f t="shared" si="13"/>
        <v>296.57794676806083</v>
      </c>
      <c r="S90">
        <v>185800</v>
      </c>
      <c r="T90">
        <v>258500</v>
      </c>
      <c r="U90">
        <v>370</v>
      </c>
      <c r="V90" s="520">
        <f t="shared" si="14"/>
        <v>698.64864864864865</v>
      </c>
      <c r="W90">
        <f t="shared" si="15"/>
        <v>242900</v>
      </c>
      <c r="X90">
        <f t="shared" si="16"/>
        <v>317.39999999999998</v>
      </c>
      <c r="Y90">
        <f t="shared" si="18"/>
        <v>765.28040327662256</v>
      </c>
    </row>
    <row r="91" spans="2:25">
      <c r="B91" s="97"/>
      <c r="C91" s="590"/>
      <c r="D91" s="590"/>
      <c r="E91" s="590"/>
      <c r="F91" s="590"/>
      <c r="G91" s="97"/>
      <c r="H91">
        <f t="shared" si="17"/>
        <v>68700</v>
      </c>
      <c r="J91">
        <f t="shared" si="12"/>
        <v>88200</v>
      </c>
      <c r="K91" s="2462" t="s">
        <v>2706</v>
      </c>
      <c r="L91">
        <v>19500</v>
      </c>
      <c r="M91">
        <v>48.95</v>
      </c>
      <c r="R91">
        <f t="shared" si="13"/>
        <v>398.36567926455564</v>
      </c>
      <c r="S91">
        <v>160300</v>
      </c>
      <c r="T91">
        <v>248500</v>
      </c>
      <c r="U91">
        <v>315</v>
      </c>
      <c r="V91" s="520">
        <f t="shared" si="14"/>
        <v>788.88888888888891</v>
      </c>
      <c r="W91">
        <f t="shared" si="15"/>
        <v>229000</v>
      </c>
      <c r="X91">
        <f t="shared" si="16"/>
        <v>266.05</v>
      </c>
      <c r="Y91">
        <f t="shared" si="18"/>
        <v>860.74046231911291</v>
      </c>
    </row>
    <row r="92" spans="2:25">
      <c r="B92" s="97"/>
      <c r="C92" s="590"/>
      <c r="D92" s="590"/>
      <c r="E92" s="988"/>
      <c r="F92" s="590"/>
      <c r="G92" s="97"/>
      <c r="H92">
        <f t="shared" si="17"/>
        <v>82400</v>
      </c>
      <c r="J92">
        <f t="shared" si="12"/>
        <v>146600</v>
      </c>
      <c r="K92" t="s">
        <v>2707</v>
      </c>
      <c r="L92">
        <v>64200</v>
      </c>
      <c r="M92">
        <v>154.15</v>
      </c>
      <c r="R92">
        <f t="shared" si="13"/>
        <v>416.4774570223808</v>
      </c>
      <c r="S92">
        <v>215700</v>
      </c>
      <c r="T92">
        <v>362300</v>
      </c>
      <c r="U92">
        <v>522</v>
      </c>
      <c r="V92" s="520">
        <f t="shared" si="14"/>
        <v>694.06130268199229</v>
      </c>
      <c r="W92">
        <f t="shared" si="15"/>
        <v>298100</v>
      </c>
      <c r="X92">
        <f t="shared" si="16"/>
        <v>367.85</v>
      </c>
      <c r="Y92">
        <f t="shared" si="18"/>
        <v>810.3846676634497</v>
      </c>
    </row>
    <row r="93" spans="2:25">
      <c r="B93" s="97"/>
      <c r="C93" s="590"/>
      <c r="D93" s="590"/>
      <c r="E93" s="590"/>
      <c r="F93" s="590"/>
      <c r="G93" s="97"/>
      <c r="H93">
        <f t="shared" si="17"/>
        <v>79000</v>
      </c>
      <c r="J93">
        <f t="shared" si="12"/>
        <v>101300</v>
      </c>
      <c r="K93" s="2462" t="s">
        <v>2708</v>
      </c>
      <c r="L93">
        <v>22300</v>
      </c>
      <c r="M93">
        <v>52.6</v>
      </c>
      <c r="R93">
        <f t="shared" si="13"/>
        <v>423.95437262357416</v>
      </c>
      <c r="S93">
        <v>251500</v>
      </c>
      <c r="T93">
        <v>352800</v>
      </c>
      <c r="U93">
        <v>462</v>
      </c>
      <c r="V93" s="520">
        <f t="shared" si="14"/>
        <v>763.63636363636363</v>
      </c>
      <c r="W93">
        <f t="shared" si="15"/>
        <v>330500</v>
      </c>
      <c r="X93">
        <f t="shared" si="16"/>
        <v>409.4</v>
      </c>
      <c r="Y93">
        <f t="shared" si="18"/>
        <v>807.27894479726433</v>
      </c>
    </row>
    <row r="94" spans="2:25">
      <c r="B94" s="97"/>
      <c r="C94" s="590"/>
      <c r="D94" s="590"/>
      <c r="E94" s="590"/>
      <c r="F94" s="590"/>
      <c r="G94" s="97"/>
      <c r="H94">
        <f t="shared" si="17"/>
        <v>0</v>
      </c>
      <c r="J94">
        <f t="shared" si="12"/>
        <v>0</v>
      </c>
      <c r="K94" t="s">
        <v>2709</v>
      </c>
      <c r="R94" t="e">
        <f t="shared" si="13"/>
        <v>#DIV/0!</v>
      </c>
      <c r="V94" s="520" t="e">
        <f t="shared" si="14"/>
        <v>#DIV/0!</v>
      </c>
      <c r="W94">
        <f t="shared" si="15"/>
        <v>0</v>
      </c>
      <c r="X94">
        <f t="shared" si="16"/>
        <v>0</v>
      </c>
      <c r="Y94" t="e">
        <f t="shared" si="18"/>
        <v>#DIV/0!</v>
      </c>
    </row>
    <row r="95" spans="2:25">
      <c r="B95" s="97"/>
      <c r="C95" s="590"/>
      <c r="D95" s="590"/>
      <c r="E95" s="590"/>
      <c r="F95" s="590"/>
      <c r="G95" s="97"/>
      <c r="H95">
        <f t="shared" si="17"/>
        <v>0</v>
      </c>
      <c r="J95">
        <f t="shared" si="12"/>
        <v>0</v>
      </c>
      <c r="K95" s="2462" t="s">
        <v>2710</v>
      </c>
      <c r="R95" t="e">
        <f t="shared" si="13"/>
        <v>#DIV/0!</v>
      </c>
      <c r="V95" s="520" t="e">
        <f t="shared" si="14"/>
        <v>#DIV/0!</v>
      </c>
      <c r="W95">
        <f t="shared" si="15"/>
        <v>0</v>
      </c>
      <c r="X95">
        <f t="shared" si="16"/>
        <v>0</v>
      </c>
      <c r="Y95" t="e">
        <f t="shared" si="18"/>
        <v>#DIV/0!</v>
      </c>
    </row>
    <row r="96" spans="2:25">
      <c r="B96" s="97"/>
      <c r="C96" s="590"/>
      <c r="D96" s="590"/>
      <c r="E96" s="590"/>
      <c r="F96" s="590"/>
      <c r="G96" s="97"/>
      <c r="H96">
        <f t="shared" si="17"/>
        <v>1730670</v>
      </c>
      <c r="K96" t="s">
        <v>103</v>
      </c>
      <c r="L96">
        <f>SUM(L65:L95)</f>
        <v>538710</v>
      </c>
      <c r="M96">
        <f>SUM(M65:M95)</f>
        <v>1486.7499999999998</v>
      </c>
      <c r="R96">
        <f t="shared" si="13"/>
        <v>362.34067597107793</v>
      </c>
      <c r="S96">
        <f>SUM(S65:S95)</f>
        <v>5178400</v>
      </c>
      <c r="T96">
        <f>SUM(T65:T95)</f>
        <v>7447780</v>
      </c>
      <c r="U96">
        <f>SUM(U65:U95)</f>
        <v>10100</v>
      </c>
      <c r="V96">
        <f t="shared" si="14"/>
        <v>737.40396039603957</v>
      </c>
      <c r="W96">
        <f t="shared" si="15"/>
        <v>6909070</v>
      </c>
      <c r="X96">
        <f>SUM(X65:X95)</f>
        <v>8613.25</v>
      </c>
      <c r="Y96">
        <f t="shared" si="18"/>
        <v>802.14437059182069</v>
      </c>
    </row>
    <row r="97" spans="2:25">
      <c r="B97" s="97"/>
      <c r="C97" s="590"/>
      <c r="D97" s="590"/>
      <c r="E97" s="590"/>
      <c r="F97" s="590"/>
      <c r="G97" s="97"/>
      <c r="H97">
        <f t="shared" si="17"/>
        <v>6605204</v>
      </c>
      <c r="T97">
        <v>6605204</v>
      </c>
      <c r="U97">
        <f>+T97-T96</f>
        <v>-842576</v>
      </c>
    </row>
    <row r="98" spans="2:25">
      <c r="B98" s="97"/>
      <c r="C98" s="590"/>
      <c r="D98" s="590"/>
      <c r="E98" s="590"/>
      <c r="F98" s="590"/>
      <c r="G98" s="97"/>
      <c r="H98" t="e">
        <f t="shared" si="17"/>
        <v>#VALUE!</v>
      </c>
      <c r="L98" s="2793" t="s">
        <v>514</v>
      </c>
      <c r="M98" s="2793"/>
      <c r="T98" s="84" t="s">
        <v>2711</v>
      </c>
      <c r="U98" s="84"/>
      <c r="V98" s="84"/>
      <c r="W98" s="2793" t="s">
        <v>2639</v>
      </c>
      <c r="X98" s="2793"/>
      <c r="Y98" s="2793"/>
    </row>
    <row r="99" spans="2:25" ht="18">
      <c r="B99" s="97"/>
      <c r="C99" s="590"/>
      <c r="D99" s="590"/>
      <c r="E99" s="590"/>
      <c r="F99" s="590"/>
      <c r="G99" s="97"/>
      <c r="H99" t="e">
        <f t="shared" si="17"/>
        <v>#VALUE!</v>
      </c>
      <c r="K99" s="84"/>
      <c r="L99" s="14" t="s">
        <v>2678</v>
      </c>
      <c r="M99" s="14" t="s">
        <v>2624</v>
      </c>
      <c r="N99" s="14"/>
      <c r="O99" s="84"/>
      <c r="P99" s="84"/>
      <c r="Q99" s="84"/>
      <c r="R99" s="84" t="s">
        <v>520</v>
      </c>
      <c r="S99" s="84" t="s">
        <v>2640</v>
      </c>
      <c r="T99" s="84" t="s">
        <v>587</v>
      </c>
      <c r="U99" s="84" t="s">
        <v>524</v>
      </c>
      <c r="V99" s="84" t="s">
        <v>520</v>
      </c>
      <c r="W99" s="84" t="s">
        <v>518</v>
      </c>
      <c r="X99" s="84" t="s">
        <v>524</v>
      </c>
      <c r="Y99" s="84" t="s">
        <v>520</v>
      </c>
    </row>
    <row r="100" spans="2:25" ht="18">
      <c r="B100" s="97"/>
      <c r="C100" s="590"/>
      <c r="D100" s="590"/>
      <c r="E100" s="590"/>
      <c r="F100" s="590"/>
      <c r="G100" s="97"/>
      <c r="H100">
        <f t="shared" si="17"/>
        <v>0</v>
      </c>
      <c r="J100">
        <f t="shared" ref="J100:J129" si="19">+T100-S100</f>
        <v>0</v>
      </c>
      <c r="K100" s="2462" t="s">
        <v>2712</v>
      </c>
      <c r="L100" s="305"/>
      <c r="M100" s="305"/>
      <c r="R100" s="27" t="e">
        <f t="shared" ref="R100:R129" si="20">+L100/M100</f>
        <v>#DIV/0!</v>
      </c>
      <c r="S100" s="305"/>
      <c r="T100" s="305"/>
      <c r="U100" s="305"/>
      <c r="V100" s="520" t="e">
        <f t="shared" ref="V100:V129" si="21">+T100/U100</f>
        <v>#DIV/0!</v>
      </c>
      <c r="W100">
        <f t="shared" ref="W100:W129" si="22">+T100-L100</f>
        <v>0</v>
      </c>
      <c r="X100">
        <f t="shared" ref="X100:X129" si="23">+U100-M100</f>
        <v>0</v>
      </c>
      <c r="Y100" t="e">
        <f>+W100/X100</f>
        <v>#DIV/0!</v>
      </c>
    </row>
    <row r="101" spans="2:25" ht="18">
      <c r="B101" s="97"/>
      <c r="C101" s="590"/>
      <c r="D101" s="590"/>
      <c r="E101" s="590"/>
      <c r="F101" s="590"/>
      <c r="G101" s="97"/>
      <c r="H101">
        <f t="shared" si="17"/>
        <v>0</v>
      </c>
      <c r="J101">
        <f t="shared" si="19"/>
        <v>0</v>
      </c>
      <c r="K101" s="2462" t="s">
        <v>2713</v>
      </c>
      <c r="L101" s="305"/>
      <c r="M101" s="305"/>
      <c r="R101" s="27" t="e">
        <f t="shared" si="20"/>
        <v>#DIV/0!</v>
      </c>
      <c r="S101" s="305"/>
      <c r="T101" s="305"/>
      <c r="U101" s="305"/>
      <c r="V101" s="520" t="e">
        <f t="shared" si="21"/>
        <v>#DIV/0!</v>
      </c>
      <c r="W101">
        <f t="shared" si="22"/>
        <v>0</v>
      </c>
      <c r="X101">
        <f t="shared" si="23"/>
        <v>0</v>
      </c>
      <c r="Y101" t="e">
        <f t="shared" ref="Y101:Y129" si="24">+W101/X101</f>
        <v>#DIV/0!</v>
      </c>
    </row>
    <row r="102" spans="2:25" ht="18">
      <c r="B102" s="97"/>
      <c r="C102" s="590"/>
      <c r="D102" s="590"/>
      <c r="E102" s="590"/>
      <c r="F102" s="590"/>
      <c r="G102" s="97"/>
      <c r="H102">
        <f t="shared" si="17"/>
        <v>0</v>
      </c>
      <c r="J102">
        <f t="shared" si="19"/>
        <v>0</v>
      </c>
      <c r="K102" s="2462" t="s">
        <v>2714</v>
      </c>
      <c r="L102" s="305"/>
      <c r="M102" s="305"/>
      <c r="R102" s="27" t="e">
        <f t="shared" si="20"/>
        <v>#DIV/0!</v>
      </c>
      <c r="S102" s="305"/>
      <c r="T102" s="305"/>
      <c r="U102" s="305"/>
      <c r="V102" s="520" t="e">
        <f t="shared" si="21"/>
        <v>#DIV/0!</v>
      </c>
      <c r="W102">
        <f t="shared" si="22"/>
        <v>0</v>
      </c>
      <c r="X102">
        <f t="shared" si="23"/>
        <v>0</v>
      </c>
      <c r="Y102" t="e">
        <f t="shared" si="24"/>
        <v>#DIV/0!</v>
      </c>
    </row>
    <row r="103" spans="2:25" ht="18">
      <c r="B103" s="97"/>
      <c r="C103" s="590"/>
      <c r="D103" s="590"/>
      <c r="E103" s="590"/>
      <c r="F103" s="590"/>
      <c r="G103" s="590"/>
      <c r="H103">
        <f t="shared" si="17"/>
        <v>0</v>
      </c>
      <c r="J103">
        <f t="shared" si="19"/>
        <v>0</v>
      </c>
      <c r="K103" s="2462" t="s">
        <v>2715</v>
      </c>
      <c r="L103" s="305"/>
      <c r="M103" s="305"/>
      <c r="R103" s="27" t="e">
        <f t="shared" si="20"/>
        <v>#DIV/0!</v>
      </c>
      <c r="S103" s="305"/>
      <c r="T103" s="305"/>
      <c r="U103" s="305"/>
      <c r="V103" s="520" t="e">
        <f t="shared" si="21"/>
        <v>#DIV/0!</v>
      </c>
      <c r="W103">
        <f t="shared" si="22"/>
        <v>0</v>
      </c>
      <c r="X103">
        <f t="shared" si="23"/>
        <v>0</v>
      </c>
      <c r="Y103" t="e">
        <f t="shared" si="24"/>
        <v>#DIV/0!</v>
      </c>
    </row>
    <row r="104" spans="2:25" ht="18">
      <c r="H104">
        <f t="shared" si="17"/>
        <v>0</v>
      </c>
      <c r="J104">
        <f t="shared" si="19"/>
        <v>0</v>
      </c>
      <c r="K104" s="2462" t="s">
        <v>2716</v>
      </c>
      <c r="L104" s="305"/>
      <c r="M104" s="305"/>
      <c r="R104" s="27" t="e">
        <f t="shared" si="20"/>
        <v>#DIV/0!</v>
      </c>
      <c r="S104" s="305"/>
      <c r="T104" s="305"/>
      <c r="U104" s="305"/>
      <c r="V104" s="520" t="e">
        <f t="shared" si="21"/>
        <v>#DIV/0!</v>
      </c>
      <c r="W104">
        <f t="shared" si="22"/>
        <v>0</v>
      </c>
      <c r="X104">
        <f t="shared" si="23"/>
        <v>0</v>
      </c>
      <c r="Y104" t="e">
        <f t="shared" si="24"/>
        <v>#DIV/0!</v>
      </c>
    </row>
    <row r="105" spans="2:25" ht="18">
      <c r="H105">
        <f t="shared" si="17"/>
        <v>0</v>
      </c>
      <c r="J105">
        <f t="shared" si="19"/>
        <v>0</v>
      </c>
      <c r="K105" s="2462" t="s">
        <v>2717</v>
      </c>
      <c r="L105" s="305"/>
      <c r="M105" s="305"/>
      <c r="R105" s="27" t="e">
        <f t="shared" si="20"/>
        <v>#DIV/0!</v>
      </c>
      <c r="S105" s="305"/>
      <c r="T105" s="305"/>
      <c r="U105" s="305"/>
      <c r="V105" s="520" t="e">
        <f t="shared" si="21"/>
        <v>#DIV/0!</v>
      </c>
      <c r="W105">
        <f t="shared" si="22"/>
        <v>0</v>
      </c>
      <c r="X105">
        <f t="shared" si="23"/>
        <v>0</v>
      </c>
      <c r="Y105" t="e">
        <f t="shared" si="24"/>
        <v>#DIV/0!</v>
      </c>
    </row>
    <row r="106" spans="2:25" ht="18">
      <c r="H106">
        <f t="shared" si="17"/>
        <v>0</v>
      </c>
      <c r="J106">
        <f t="shared" si="19"/>
        <v>0</v>
      </c>
      <c r="K106" s="2462" t="s">
        <v>2718</v>
      </c>
      <c r="L106" s="305"/>
      <c r="M106" s="305"/>
      <c r="R106" s="27" t="e">
        <f t="shared" si="20"/>
        <v>#DIV/0!</v>
      </c>
      <c r="S106" s="305"/>
      <c r="T106" s="305"/>
      <c r="U106" s="305"/>
      <c r="V106" s="520" t="e">
        <f t="shared" si="21"/>
        <v>#DIV/0!</v>
      </c>
      <c r="W106">
        <f t="shared" si="22"/>
        <v>0</v>
      </c>
      <c r="X106">
        <f t="shared" si="23"/>
        <v>0</v>
      </c>
      <c r="Y106" t="e">
        <f t="shared" si="24"/>
        <v>#DIV/0!</v>
      </c>
    </row>
    <row r="107" spans="2:25" ht="18">
      <c r="H107">
        <f t="shared" si="17"/>
        <v>0</v>
      </c>
      <c r="J107">
        <f t="shared" si="19"/>
        <v>0</v>
      </c>
      <c r="K107" s="2462" t="s">
        <v>2719</v>
      </c>
      <c r="L107" s="305"/>
      <c r="M107" s="305"/>
      <c r="R107" s="27" t="e">
        <f t="shared" si="20"/>
        <v>#DIV/0!</v>
      </c>
      <c r="S107" s="305"/>
      <c r="T107" s="305"/>
      <c r="U107" s="305"/>
      <c r="V107" s="520" t="e">
        <f t="shared" si="21"/>
        <v>#DIV/0!</v>
      </c>
      <c r="W107">
        <f t="shared" si="22"/>
        <v>0</v>
      </c>
      <c r="X107">
        <f t="shared" si="23"/>
        <v>0</v>
      </c>
      <c r="Y107" t="e">
        <f t="shared" si="24"/>
        <v>#DIV/0!</v>
      </c>
    </row>
    <row r="108" spans="2:25" ht="18">
      <c r="H108">
        <f t="shared" si="17"/>
        <v>0</v>
      </c>
      <c r="J108">
        <f t="shared" si="19"/>
        <v>0</v>
      </c>
      <c r="K108" s="2462" t="s">
        <v>2720</v>
      </c>
      <c r="L108" s="305"/>
      <c r="M108" s="305"/>
      <c r="R108" s="27" t="e">
        <f t="shared" si="20"/>
        <v>#DIV/0!</v>
      </c>
      <c r="S108" s="305"/>
      <c r="T108" s="305"/>
      <c r="U108" s="305"/>
      <c r="V108" s="520" t="e">
        <f t="shared" si="21"/>
        <v>#DIV/0!</v>
      </c>
      <c r="W108">
        <f t="shared" si="22"/>
        <v>0</v>
      </c>
      <c r="X108">
        <f t="shared" si="23"/>
        <v>0</v>
      </c>
      <c r="Y108" t="e">
        <f t="shared" si="24"/>
        <v>#DIV/0!</v>
      </c>
    </row>
    <row r="109" spans="2:25" ht="18">
      <c r="H109">
        <f t="shared" si="17"/>
        <v>0</v>
      </c>
      <c r="J109">
        <f t="shared" si="19"/>
        <v>0</v>
      </c>
      <c r="K109" s="2462" t="s">
        <v>2721</v>
      </c>
      <c r="L109" s="305"/>
      <c r="M109" s="305"/>
      <c r="R109" s="27" t="e">
        <f t="shared" si="20"/>
        <v>#DIV/0!</v>
      </c>
      <c r="S109" s="305"/>
      <c r="T109" s="305"/>
      <c r="U109" s="305"/>
      <c r="V109" s="520" t="e">
        <f t="shared" si="21"/>
        <v>#DIV/0!</v>
      </c>
      <c r="W109">
        <f t="shared" si="22"/>
        <v>0</v>
      </c>
      <c r="X109">
        <f t="shared" si="23"/>
        <v>0</v>
      </c>
      <c r="Y109" t="e">
        <f t="shared" si="24"/>
        <v>#DIV/0!</v>
      </c>
    </row>
    <row r="110" spans="2:25" ht="18">
      <c r="H110">
        <f t="shared" si="17"/>
        <v>0</v>
      </c>
      <c r="J110">
        <f t="shared" si="19"/>
        <v>0</v>
      </c>
      <c r="K110" s="2433" t="s">
        <v>2722</v>
      </c>
      <c r="L110" s="305"/>
      <c r="M110" s="305"/>
      <c r="R110" s="27" t="e">
        <f t="shared" si="20"/>
        <v>#DIV/0!</v>
      </c>
      <c r="S110" s="305"/>
      <c r="T110" s="305"/>
      <c r="U110" s="305"/>
      <c r="V110" s="520" t="e">
        <f t="shared" si="21"/>
        <v>#DIV/0!</v>
      </c>
      <c r="W110">
        <f t="shared" si="22"/>
        <v>0</v>
      </c>
      <c r="X110">
        <f t="shared" si="23"/>
        <v>0</v>
      </c>
      <c r="Y110" t="e">
        <f t="shared" si="24"/>
        <v>#DIV/0!</v>
      </c>
    </row>
    <row r="111" spans="2:25" ht="18">
      <c r="H111">
        <f t="shared" si="17"/>
        <v>0</v>
      </c>
      <c r="J111">
        <f t="shared" si="19"/>
        <v>0</v>
      </c>
      <c r="K111" s="2462" t="s">
        <v>2723</v>
      </c>
      <c r="L111" s="305"/>
      <c r="M111" s="305"/>
      <c r="R111" s="27" t="e">
        <f t="shared" si="20"/>
        <v>#DIV/0!</v>
      </c>
      <c r="S111" s="305"/>
      <c r="T111" s="305"/>
      <c r="U111" s="305"/>
      <c r="V111" s="520" t="e">
        <f t="shared" si="21"/>
        <v>#DIV/0!</v>
      </c>
      <c r="W111">
        <f t="shared" si="22"/>
        <v>0</v>
      </c>
      <c r="X111">
        <f t="shared" si="23"/>
        <v>0</v>
      </c>
      <c r="Y111" t="e">
        <f t="shared" si="24"/>
        <v>#DIV/0!</v>
      </c>
    </row>
    <row r="112" spans="2:25" ht="18">
      <c r="H112">
        <f t="shared" si="17"/>
        <v>0</v>
      </c>
      <c r="J112">
        <f t="shared" si="19"/>
        <v>0</v>
      </c>
      <c r="K112" t="s">
        <v>2724</v>
      </c>
      <c r="L112" s="305"/>
      <c r="M112" s="305"/>
      <c r="R112" s="27" t="e">
        <f t="shared" si="20"/>
        <v>#DIV/0!</v>
      </c>
      <c r="S112" s="305"/>
      <c r="T112" s="305"/>
      <c r="U112" s="305"/>
      <c r="V112" s="520" t="e">
        <f t="shared" si="21"/>
        <v>#DIV/0!</v>
      </c>
      <c r="W112">
        <f t="shared" si="22"/>
        <v>0</v>
      </c>
      <c r="X112">
        <f t="shared" si="23"/>
        <v>0</v>
      </c>
      <c r="Y112" t="e">
        <f t="shared" si="24"/>
        <v>#DIV/0!</v>
      </c>
    </row>
    <row r="113" spans="4:25" ht="18">
      <c r="H113">
        <f t="shared" si="17"/>
        <v>0</v>
      </c>
      <c r="J113">
        <f t="shared" si="19"/>
        <v>0</v>
      </c>
      <c r="K113" s="2462" t="s">
        <v>2725</v>
      </c>
      <c r="L113" s="305"/>
      <c r="M113" s="305"/>
      <c r="R113" s="27" t="e">
        <f t="shared" si="20"/>
        <v>#DIV/0!</v>
      </c>
      <c r="S113" s="305"/>
      <c r="T113" s="305"/>
      <c r="U113" s="305"/>
      <c r="V113" s="520" t="e">
        <f t="shared" si="21"/>
        <v>#DIV/0!</v>
      </c>
      <c r="W113">
        <f t="shared" si="22"/>
        <v>0</v>
      </c>
      <c r="X113">
        <f t="shared" si="23"/>
        <v>0</v>
      </c>
      <c r="Y113" t="e">
        <f t="shared" si="24"/>
        <v>#DIV/0!</v>
      </c>
    </row>
    <row r="114" spans="4:25" ht="18">
      <c r="H114">
        <f t="shared" si="17"/>
        <v>0</v>
      </c>
      <c r="J114">
        <f t="shared" si="19"/>
        <v>0</v>
      </c>
      <c r="K114" s="2462" t="s">
        <v>2726</v>
      </c>
      <c r="L114" s="305"/>
      <c r="M114" s="305"/>
      <c r="R114" s="27" t="e">
        <f t="shared" si="20"/>
        <v>#DIV/0!</v>
      </c>
      <c r="S114" s="305"/>
      <c r="T114" s="305"/>
      <c r="U114" s="305"/>
      <c r="V114" s="520" t="e">
        <f t="shared" si="21"/>
        <v>#DIV/0!</v>
      </c>
      <c r="W114">
        <f t="shared" si="22"/>
        <v>0</v>
      </c>
      <c r="X114">
        <f t="shared" si="23"/>
        <v>0</v>
      </c>
      <c r="Y114" t="e">
        <f t="shared" si="24"/>
        <v>#DIV/0!</v>
      </c>
    </row>
    <row r="115" spans="4:25" ht="18">
      <c r="H115">
        <f t="shared" si="17"/>
        <v>0</v>
      </c>
      <c r="J115">
        <f t="shared" si="19"/>
        <v>0</v>
      </c>
      <c r="K115" s="2462" t="s">
        <v>2727</v>
      </c>
      <c r="L115" s="305"/>
      <c r="M115" s="305"/>
      <c r="R115" s="27" t="e">
        <f t="shared" si="20"/>
        <v>#DIV/0!</v>
      </c>
      <c r="S115" s="305"/>
      <c r="T115" s="305"/>
      <c r="U115" s="305"/>
      <c r="V115" s="520" t="e">
        <f t="shared" si="21"/>
        <v>#DIV/0!</v>
      </c>
      <c r="W115">
        <f t="shared" si="22"/>
        <v>0</v>
      </c>
      <c r="X115">
        <f t="shared" si="23"/>
        <v>0</v>
      </c>
      <c r="Y115" t="e">
        <f t="shared" si="24"/>
        <v>#DIV/0!</v>
      </c>
    </row>
    <row r="116" spans="4:25" ht="18">
      <c r="H116">
        <f t="shared" si="17"/>
        <v>0</v>
      </c>
      <c r="J116">
        <f t="shared" si="19"/>
        <v>0</v>
      </c>
      <c r="K116" s="2462" t="s">
        <v>2728</v>
      </c>
      <c r="L116" s="305"/>
      <c r="M116" s="305"/>
      <c r="R116" s="27" t="e">
        <f t="shared" si="20"/>
        <v>#DIV/0!</v>
      </c>
      <c r="S116" s="305"/>
      <c r="T116" s="305"/>
      <c r="U116" s="305"/>
      <c r="V116" s="520" t="e">
        <f t="shared" si="21"/>
        <v>#DIV/0!</v>
      </c>
      <c r="W116">
        <f t="shared" si="22"/>
        <v>0</v>
      </c>
      <c r="X116">
        <f t="shared" si="23"/>
        <v>0</v>
      </c>
      <c r="Y116" t="e">
        <f t="shared" si="24"/>
        <v>#DIV/0!</v>
      </c>
    </row>
    <row r="117" spans="4:25" ht="18">
      <c r="H117">
        <f t="shared" si="17"/>
        <v>0</v>
      </c>
      <c r="J117">
        <f t="shared" si="19"/>
        <v>0</v>
      </c>
      <c r="K117" s="2462" t="s">
        <v>2729</v>
      </c>
      <c r="L117" s="305"/>
      <c r="M117" s="305"/>
      <c r="R117" s="27" t="e">
        <f t="shared" si="20"/>
        <v>#DIV/0!</v>
      </c>
      <c r="S117" s="305"/>
      <c r="T117" s="305"/>
      <c r="U117" s="305"/>
      <c r="V117" s="520" t="e">
        <f t="shared" si="21"/>
        <v>#DIV/0!</v>
      </c>
      <c r="W117">
        <f t="shared" si="22"/>
        <v>0</v>
      </c>
      <c r="X117">
        <f t="shared" si="23"/>
        <v>0</v>
      </c>
      <c r="Y117" t="e">
        <f t="shared" si="24"/>
        <v>#DIV/0!</v>
      </c>
    </row>
    <row r="118" spans="4:25" ht="18">
      <c r="H118">
        <f t="shared" si="17"/>
        <v>0</v>
      </c>
      <c r="J118">
        <f t="shared" si="19"/>
        <v>0</v>
      </c>
      <c r="K118" s="2462" t="s">
        <v>2730</v>
      </c>
      <c r="L118" s="305"/>
      <c r="M118" s="305"/>
      <c r="R118" s="27" t="e">
        <f t="shared" si="20"/>
        <v>#DIV/0!</v>
      </c>
      <c r="S118" s="305"/>
      <c r="T118" s="305"/>
      <c r="U118" s="305"/>
      <c r="V118" s="520" t="e">
        <f t="shared" si="21"/>
        <v>#DIV/0!</v>
      </c>
      <c r="W118">
        <f t="shared" si="22"/>
        <v>0</v>
      </c>
      <c r="X118">
        <f t="shared" si="23"/>
        <v>0</v>
      </c>
      <c r="Y118" t="e">
        <f t="shared" si="24"/>
        <v>#DIV/0!</v>
      </c>
    </row>
    <row r="119" spans="4:25" ht="18">
      <c r="D119">
        <f>120+35+40+40+30+90+180+145+600+60+55+70+70+35+30+35+30+75+350+570+90+630+2700+35+150+100+150</f>
        <v>6515</v>
      </c>
      <c r="E119">
        <f>140+35+40+40+50+180+50+160+20+145+700+190+65+65+600+620+120+85+700+2800+35+250+100+75+250</f>
        <v>7515</v>
      </c>
      <c r="H119">
        <f t="shared" si="17"/>
        <v>0</v>
      </c>
      <c r="J119">
        <f t="shared" si="19"/>
        <v>0</v>
      </c>
      <c r="K119" s="2462" t="s">
        <v>2731</v>
      </c>
      <c r="L119" s="305"/>
      <c r="M119" s="305"/>
      <c r="R119" s="27" t="e">
        <f t="shared" si="20"/>
        <v>#DIV/0!</v>
      </c>
      <c r="S119" s="305"/>
      <c r="T119" s="305"/>
      <c r="U119" s="305"/>
      <c r="V119" s="520" t="e">
        <f t="shared" si="21"/>
        <v>#DIV/0!</v>
      </c>
      <c r="W119">
        <f t="shared" si="22"/>
        <v>0</v>
      </c>
      <c r="X119">
        <f t="shared" si="23"/>
        <v>0</v>
      </c>
      <c r="Y119" t="e">
        <f t="shared" si="24"/>
        <v>#DIV/0!</v>
      </c>
    </row>
    <row r="120" spans="4:25" ht="18">
      <c r="H120">
        <f t="shared" si="17"/>
        <v>0</v>
      </c>
      <c r="J120">
        <f t="shared" si="19"/>
        <v>0</v>
      </c>
      <c r="K120" s="2462" t="s">
        <v>2732</v>
      </c>
      <c r="L120" s="305"/>
      <c r="M120" s="305"/>
      <c r="R120" s="27" t="e">
        <f t="shared" si="20"/>
        <v>#DIV/0!</v>
      </c>
      <c r="S120" s="305"/>
      <c r="T120" s="305"/>
      <c r="U120" s="305"/>
      <c r="V120" s="520" t="e">
        <f t="shared" si="21"/>
        <v>#DIV/0!</v>
      </c>
      <c r="W120">
        <f t="shared" si="22"/>
        <v>0</v>
      </c>
      <c r="X120">
        <f t="shared" si="23"/>
        <v>0</v>
      </c>
      <c r="Y120" t="e">
        <f t="shared" si="24"/>
        <v>#DIV/0!</v>
      </c>
    </row>
    <row r="121" spans="4:25" ht="18">
      <c r="H121">
        <f t="shared" si="17"/>
        <v>0</v>
      </c>
      <c r="J121">
        <f t="shared" si="19"/>
        <v>0</v>
      </c>
      <c r="K121" s="2462" t="s">
        <v>2733</v>
      </c>
      <c r="L121" s="305"/>
      <c r="M121" s="305"/>
      <c r="R121" s="27" t="e">
        <f t="shared" si="20"/>
        <v>#DIV/0!</v>
      </c>
      <c r="S121" s="305"/>
      <c r="T121" s="305"/>
      <c r="U121" s="305"/>
      <c r="V121" s="520" t="e">
        <f t="shared" si="21"/>
        <v>#DIV/0!</v>
      </c>
      <c r="W121">
        <f t="shared" si="22"/>
        <v>0</v>
      </c>
      <c r="X121">
        <f t="shared" si="23"/>
        <v>0</v>
      </c>
      <c r="Y121" t="e">
        <f t="shared" si="24"/>
        <v>#DIV/0!</v>
      </c>
    </row>
    <row r="122" spans="4:25" ht="18">
      <c r="H122">
        <f t="shared" si="17"/>
        <v>0</v>
      </c>
      <c r="J122">
        <f t="shared" si="19"/>
        <v>0</v>
      </c>
      <c r="K122" s="2462" t="s">
        <v>2734</v>
      </c>
      <c r="L122" s="305"/>
      <c r="M122" s="305"/>
      <c r="R122" s="27" t="e">
        <f t="shared" si="20"/>
        <v>#DIV/0!</v>
      </c>
      <c r="S122" s="305"/>
      <c r="T122" s="305"/>
      <c r="U122" s="305"/>
      <c r="V122" s="520" t="e">
        <f t="shared" si="21"/>
        <v>#DIV/0!</v>
      </c>
      <c r="W122">
        <f t="shared" si="22"/>
        <v>0</v>
      </c>
      <c r="X122">
        <f t="shared" si="23"/>
        <v>0</v>
      </c>
      <c r="Y122" t="e">
        <f t="shared" si="24"/>
        <v>#DIV/0!</v>
      </c>
    </row>
    <row r="123" spans="4:25" ht="18">
      <c r="H123">
        <f t="shared" si="17"/>
        <v>0</v>
      </c>
      <c r="J123">
        <f t="shared" si="19"/>
        <v>0</v>
      </c>
      <c r="K123" s="2462" t="s">
        <v>2735</v>
      </c>
      <c r="L123" s="305"/>
      <c r="M123" s="305"/>
      <c r="R123" s="27" t="e">
        <f t="shared" si="20"/>
        <v>#DIV/0!</v>
      </c>
      <c r="S123" s="305"/>
      <c r="T123" s="305"/>
      <c r="U123" s="305"/>
      <c r="V123" s="520" t="e">
        <f t="shared" si="21"/>
        <v>#DIV/0!</v>
      </c>
      <c r="W123">
        <f t="shared" si="22"/>
        <v>0</v>
      </c>
      <c r="X123">
        <f t="shared" si="23"/>
        <v>0</v>
      </c>
      <c r="Y123" t="e">
        <f t="shared" si="24"/>
        <v>#DIV/0!</v>
      </c>
    </row>
    <row r="124" spans="4:25" ht="18">
      <c r="H124">
        <f t="shared" si="17"/>
        <v>0</v>
      </c>
      <c r="J124">
        <f t="shared" si="19"/>
        <v>0</v>
      </c>
      <c r="K124" s="2462" t="s">
        <v>2736</v>
      </c>
      <c r="L124" s="305"/>
      <c r="M124" s="305"/>
      <c r="R124" s="27" t="e">
        <f t="shared" si="20"/>
        <v>#DIV/0!</v>
      </c>
      <c r="S124" s="305"/>
      <c r="T124" s="305"/>
      <c r="U124" s="305"/>
      <c r="V124" s="520" t="e">
        <f t="shared" si="21"/>
        <v>#DIV/0!</v>
      </c>
      <c r="W124">
        <f t="shared" si="22"/>
        <v>0</v>
      </c>
      <c r="X124">
        <f t="shared" si="23"/>
        <v>0</v>
      </c>
      <c r="Y124" t="e">
        <f t="shared" si="24"/>
        <v>#DIV/0!</v>
      </c>
    </row>
    <row r="125" spans="4:25" ht="18">
      <c r="H125">
        <f t="shared" si="17"/>
        <v>0</v>
      </c>
      <c r="J125">
        <f t="shared" si="19"/>
        <v>0</v>
      </c>
      <c r="K125" s="2462" t="s">
        <v>2737</v>
      </c>
      <c r="L125" s="305"/>
      <c r="M125" s="305"/>
      <c r="R125" s="27" t="e">
        <f t="shared" si="20"/>
        <v>#DIV/0!</v>
      </c>
      <c r="S125" s="305"/>
      <c r="T125" s="305"/>
      <c r="U125" s="305"/>
      <c r="V125" s="520" t="e">
        <f t="shared" si="21"/>
        <v>#DIV/0!</v>
      </c>
      <c r="W125">
        <f t="shared" si="22"/>
        <v>0</v>
      </c>
      <c r="X125">
        <f t="shared" si="23"/>
        <v>0</v>
      </c>
      <c r="Y125" t="e">
        <f t="shared" si="24"/>
        <v>#DIV/0!</v>
      </c>
    </row>
    <row r="126" spans="4:25" ht="18">
      <c r="H126">
        <f t="shared" si="17"/>
        <v>0</v>
      </c>
      <c r="J126">
        <f t="shared" si="19"/>
        <v>0</v>
      </c>
      <c r="K126" s="2462" t="s">
        <v>2738</v>
      </c>
      <c r="L126" s="305"/>
      <c r="M126" s="305"/>
      <c r="R126" s="27" t="e">
        <f t="shared" si="20"/>
        <v>#DIV/0!</v>
      </c>
      <c r="S126" s="305"/>
      <c r="T126" s="305"/>
      <c r="U126" s="305"/>
      <c r="V126" s="520" t="e">
        <f t="shared" si="21"/>
        <v>#DIV/0!</v>
      </c>
      <c r="W126">
        <f t="shared" si="22"/>
        <v>0</v>
      </c>
      <c r="X126">
        <f t="shared" si="23"/>
        <v>0</v>
      </c>
      <c r="Y126" t="e">
        <f t="shared" si="24"/>
        <v>#DIV/0!</v>
      </c>
    </row>
    <row r="127" spans="4:25" ht="18">
      <c r="H127">
        <f t="shared" si="17"/>
        <v>0</v>
      </c>
      <c r="J127">
        <f t="shared" si="19"/>
        <v>0</v>
      </c>
      <c r="K127" t="s">
        <v>2739</v>
      </c>
      <c r="L127" s="305"/>
      <c r="M127" s="305"/>
      <c r="R127" s="27" t="e">
        <f t="shared" si="20"/>
        <v>#DIV/0!</v>
      </c>
      <c r="S127" s="305"/>
      <c r="T127" s="305"/>
      <c r="U127" s="305"/>
      <c r="V127" s="520" t="e">
        <f t="shared" si="21"/>
        <v>#DIV/0!</v>
      </c>
      <c r="W127">
        <f t="shared" si="22"/>
        <v>0</v>
      </c>
      <c r="X127">
        <f t="shared" si="23"/>
        <v>0</v>
      </c>
      <c r="Y127" t="e">
        <f t="shared" si="24"/>
        <v>#DIV/0!</v>
      </c>
    </row>
    <row r="128" spans="4:25" ht="18">
      <c r="H128">
        <f t="shared" si="17"/>
        <v>0</v>
      </c>
      <c r="J128">
        <f t="shared" si="19"/>
        <v>0</v>
      </c>
      <c r="K128" s="2462" t="s">
        <v>2740</v>
      </c>
      <c r="L128" s="305"/>
      <c r="M128" s="305"/>
      <c r="R128" s="27" t="e">
        <f t="shared" si="20"/>
        <v>#DIV/0!</v>
      </c>
      <c r="S128" s="305"/>
      <c r="T128" s="305"/>
      <c r="U128" s="305"/>
      <c r="V128" s="520" t="e">
        <f t="shared" si="21"/>
        <v>#DIV/0!</v>
      </c>
      <c r="W128">
        <f t="shared" si="22"/>
        <v>0</v>
      </c>
      <c r="X128">
        <f t="shared" si="23"/>
        <v>0</v>
      </c>
      <c r="Y128" t="e">
        <f t="shared" si="24"/>
        <v>#DIV/0!</v>
      </c>
    </row>
    <row r="129" spans="8:28" ht="18">
      <c r="H129">
        <f t="shared" si="17"/>
        <v>524493</v>
      </c>
      <c r="J129">
        <f t="shared" si="19"/>
        <v>524493</v>
      </c>
      <c r="K129" t="s">
        <v>2741</v>
      </c>
      <c r="L129" s="305"/>
      <c r="M129" s="305"/>
      <c r="R129" s="27" t="e">
        <f t="shared" si="20"/>
        <v>#DIV/0!</v>
      </c>
      <c r="T129">
        <f>7231983-6707490</f>
        <v>524493</v>
      </c>
      <c r="U129">
        <f>10216.76-9374</f>
        <v>842.76000000000022</v>
      </c>
      <c r="V129" s="520">
        <f t="shared" si="21"/>
        <v>622.35155916275085</v>
      </c>
      <c r="W129">
        <f t="shared" si="22"/>
        <v>524493</v>
      </c>
      <c r="X129">
        <f t="shared" si="23"/>
        <v>842.76000000000022</v>
      </c>
      <c r="Y129">
        <f t="shared" si="24"/>
        <v>622.35155916275085</v>
      </c>
      <c r="Z129">
        <f>+AA128-T131</f>
        <v>-524493</v>
      </c>
      <c r="AA129">
        <v>4240950</v>
      </c>
    </row>
    <row r="130" spans="8:28">
      <c r="H130">
        <f t="shared" ref="H130:H193" si="25">+T130-S130-L130</f>
        <v>0</v>
      </c>
    </row>
    <row r="131" spans="8:28" ht="20.25">
      <c r="H131">
        <f t="shared" si="25"/>
        <v>524493</v>
      </c>
      <c r="L131">
        <f>SUM(L100:L130)</f>
        <v>0</v>
      </c>
      <c r="M131">
        <f>SUM(M100:M130)</f>
        <v>0</v>
      </c>
      <c r="R131" s="349" t="e">
        <f>+L131/M131</f>
        <v>#DIV/0!</v>
      </c>
      <c r="S131">
        <f>SUM(S100:S129)</f>
        <v>0</v>
      </c>
      <c r="T131">
        <f>SUM(T100:T129)</f>
        <v>524493</v>
      </c>
      <c r="U131" s="1004">
        <f>SUM(U100:U129)</f>
        <v>842.76000000000022</v>
      </c>
      <c r="V131" s="349">
        <f>+T131/U131</f>
        <v>622.35155916275085</v>
      </c>
      <c r="W131">
        <f>SUM(W100:W129)</f>
        <v>524493</v>
      </c>
      <c r="X131">
        <f>SUM(X100:X129)</f>
        <v>842.76000000000022</v>
      </c>
      <c r="Y131" s="349">
        <f>+W131/X131</f>
        <v>622.35155916275085</v>
      </c>
      <c r="Z131">
        <f>+T131/U131</f>
        <v>622.35155916275085</v>
      </c>
    </row>
    <row r="132" spans="8:28" ht="20.25">
      <c r="H132">
        <f t="shared" si="25"/>
        <v>87024</v>
      </c>
      <c r="M132">
        <f>1857.35*258</f>
        <v>479196.3</v>
      </c>
      <c r="R132" s="349"/>
      <c r="T132">
        <f>5308704-5221680</f>
        <v>87024</v>
      </c>
      <c r="V132" s="349"/>
      <c r="Y132" s="349"/>
    </row>
    <row r="133" spans="8:28" ht="18">
      <c r="H133" t="e">
        <f t="shared" si="25"/>
        <v>#VALUE!</v>
      </c>
      <c r="J133" t="s">
        <v>2742</v>
      </c>
      <c r="L133" s="14" t="s">
        <v>2743</v>
      </c>
      <c r="M133" s="14" t="s">
        <v>2624</v>
      </c>
      <c r="N133" s="14"/>
      <c r="O133" s="84"/>
      <c r="P133" s="84"/>
      <c r="Q133" s="84"/>
      <c r="R133" s="84" t="s">
        <v>520</v>
      </c>
      <c r="S133" s="84" t="s">
        <v>2640</v>
      </c>
      <c r="T133" s="84" t="s">
        <v>2679</v>
      </c>
      <c r="U133" s="84" t="s">
        <v>524</v>
      </c>
      <c r="V133" s="84" t="s">
        <v>520</v>
      </c>
      <c r="W133" s="84" t="s">
        <v>518</v>
      </c>
      <c r="X133" s="84" t="s">
        <v>524</v>
      </c>
      <c r="Y133" s="84" t="s">
        <v>520</v>
      </c>
      <c r="AB133">
        <f>2331900/2877.99</f>
        <v>810.25298906528519</v>
      </c>
    </row>
    <row r="134" spans="8:28" ht="18">
      <c r="H134">
        <f t="shared" si="25"/>
        <v>0</v>
      </c>
      <c r="J134">
        <f>+T134-S134-L134</f>
        <v>0</v>
      </c>
      <c r="K134" s="2462" t="s">
        <v>2744</v>
      </c>
      <c r="L134" s="305"/>
      <c r="M134" s="305"/>
      <c r="R134" s="1005" t="e">
        <f t="shared" ref="R134:R165" si="26">+L134/M134</f>
        <v>#DIV/0!</v>
      </c>
      <c r="S134" s="305"/>
      <c r="T134" s="305"/>
      <c r="U134" s="305"/>
      <c r="V134" s="1003" t="e">
        <f t="shared" ref="V134:V165" si="27">+T134/U134</f>
        <v>#DIV/0!</v>
      </c>
      <c r="W134">
        <f t="shared" ref="W134:W164" si="28">+T134-L134</f>
        <v>0</v>
      </c>
      <c r="X134">
        <f t="shared" ref="X134:X164" si="29">+U134-M134</f>
        <v>0</v>
      </c>
      <c r="Y134" t="e">
        <f>+W134/X134</f>
        <v>#DIV/0!</v>
      </c>
    </row>
    <row r="135" spans="8:28" ht="18">
      <c r="H135">
        <f t="shared" si="25"/>
        <v>0</v>
      </c>
      <c r="J135">
        <f t="shared" ref="J135:J156" si="30">+T135-S135-L135</f>
        <v>0</v>
      </c>
      <c r="K135" s="2462" t="s">
        <v>2745</v>
      </c>
      <c r="L135" s="305"/>
      <c r="M135" s="305"/>
      <c r="R135" s="1005" t="e">
        <f t="shared" si="26"/>
        <v>#DIV/0!</v>
      </c>
      <c r="S135" s="305"/>
      <c r="T135" s="305"/>
      <c r="U135" s="305"/>
      <c r="V135" s="1003" t="e">
        <f t="shared" si="27"/>
        <v>#DIV/0!</v>
      </c>
      <c r="W135">
        <f t="shared" si="28"/>
        <v>0</v>
      </c>
      <c r="X135">
        <f t="shared" si="29"/>
        <v>0</v>
      </c>
      <c r="Y135" t="e">
        <f t="shared" ref="Y135:Y165" si="31">+W135/X135</f>
        <v>#DIV/0!</v>
      </c>
    </row>
    <row r="136" spans="8:28" ht="18">
      <c r="H136">
        <f t="shared" si="25"/>
        <v>0</v>
      </c>
      <c r="J136">
        <f t="shared" si="30"/>
        <v>0</v>
      </c>
      <c r="K136" s="2462" t="s">
        <v>2746</v>
      </c>
      <c r="L136" s="305"/>
      <c r="M136" s="305"/>
      <c r="R136" s="1005" t="e">
        <f t="shared" si="26"/>
        <v>#DIV/0!</v>
      </c>
      <c r="S136" s="305"/>
      <c r="T136" s="305"/>
      <c r="U136" s="305"/>
      <c r="V136" s="1003" t="e">
        <f t="shared" si="27"/>
        <v>#DIV/0!</v>
      </c>
      <c r="W136">
        <f t="shared" si="28"/>
        <v>0</v>
      </c>
      <c r="X136">
        <f t="shared" si="29"/>
        <v>0</v>
      </c>
      <c r="Y136" t="e">
        <f t="shared" si="31"/>
        <v>#DIV/0!</v>
      </c>
    </row>
    <row r="137" spans="8:28" ht="18">
      <c r="H137">
        <f t="shared" si="25"/>
        <v>0</v>
      </c>
      <c r="J137">
        <f t="shared" si="30"/>
        <v>0</v>
      </c>
      <c r="K137" s="2462" t="s">
        <v>2747</v>
      </c>
      <c r="L137" s="305"/>
      <c r="M137" s="305"/>
      <c r="R137" s="1005" t="e">
        <f t="shared" si="26"/>
        <v>#DIV/0!</v>
      </c>
      <c r="S137" s="305"/>
      <c r="T137" s="305"/>
      <c r="U137" s="305"/>
      <c r="V137" s="1003" t="e">
        <f t="shared" si="27"/>
        <v>#DIV/0!</v>
      </c>
      <c r="W137">
        <f t="shared" si="28"/>
        <v>0</v>
      </c>
      <c r="X137">
        <f t="shared" si="29"/>
        <v>0</v>
      </c>
      <c r="Y137" t="e">
        <f t="shared" si="31"/>
        <v>#DIV/0!</v>
      </c>
    </row>
    <row r="138" spans="8:28" ht="18">
      <c r="H138">
        <f t="shared" si="25"/>
        <v>0</v>
      </c>
      <c r="J138">
        <f t="shared" si="30"/>
        <v>0</v>
      </c>
      <c r="K138" s="2462" t="s">
        <v>2748</v>
      </c>
      <c r="L138" s="305"/>
      <c r="M138" s="305"/>
      <c r="R138" s="1005" t="e">
        <f t="shared" si="26"/>
        <v>#DIV/0!</v>
      </c>
      <c r="S138" s="305"/>
      <c r="T138" s="305"/>
      <c r="U138" s="305"/>
      <c r="V138" s="1003" t="e">
        <f t="shared" si="27"/>
        <v>#DIV/0!</v>
      </c>
      <c r="W138">
        <f t="shared" si="28"/>
        <v>0</v>
      </c>
      <c r="X138">
        <f t="shared" si="29"/>
        <v>0</v>
      </c>
      <c r="Y138" t="e">
        <f t="shared" si="31"/>
        <v>#DIV/0!</v>
      </c>
    </row>
    <row r="139" spans="8:28" ht="18">
      <c r="H139">
        <f t="shared" si="25"/>
        <v>0</v>
      </c>
      <c r="J139">
        <f t="shared" si="30"/>
        <v>0</v>
      </c>
      <c r="K139" s="2462" t="s">
        <v>2749</v>
      </c>
      <c r="L139" s="305"/>
      <c r="M139" s="305"/>
      <c r="R139" s="1005" t="e">
        <f t="shared" si="26"/>
        <v>#DIV/0!</v>
      </c>
      <c r="S139" s="305"/>
      <c r="T139" s="305"/>
      <c r="U139" s="305"/>
      <c r="V139" s="1003" t="e">
        <f t="shared" si="27"/>
        <v>#DIV/0!</v>
      </c>
      <c r="W139">
        <f t="shared" si="28"/>
        <v>0</v>
      </c>
      <c r="X139">
        <f t="shared" si="29"/>
        <v>0</v>
      </c>
      <c r="Y139" t="e">
        <f t="shared" si="31"/>
        <v>#DIV/0!</v>
      </c>
    </row>
    <row r="140" spans="8:28" ht="18">
      <c r="H140">
        <f t="shared" si="25"/>
        <v>0</v>
      </c>
      <c r="J140">
        <f t="shared" si="30"/>
        <v>0</v>
      </c>
      <c r="K140" s="2462" t="s">
        <v>2750</v>
      </c>
      <c r="L140" s="305"/>
      <c r="M140" s="305"/>
      <c r="R140" s="1005" t="e">
        <f t="shared" si="26"/>
        <v>#DIV/0!</v>
      </c>
      <c r="S140" s="305"/>
      <c r="T140" s="305"/>
      <c r="U140" s="305"/>
      <c r="V140" s="1003" t="e">
        <f t="shared" si="27"/>
        <v>#DIV/0!</v>
      </c>
      <c r="W140">
        <f t="shared" si="28"/>
        <v>0</v>
      </c>
      <c r="X140">
        <f t="shared" si="29"/>
        <v>0</v>
      </c>
      <c r="Y140" t="e">
        <f t="shared" si="31"/>
        <v>#DIV/0!</v>
      </c>
    </row>
    <row r="141" spans="8:28" ht="18">
      <c r="H141">
        <f t="shared" si="25"/>
        <v>0</v>
      </c>
      <c r="J141">
        <f t="shared" si="30"/>
        <v>0</v>
      </c>
      <c r="K141" s="2462" t="s">
        <v>2751</v>
      </c>
      <c r="L141" s="305"/>
      <c r="M141" s="305"/>
      <c r="R141" s="1005" t="e">
        <f t="shared" si="26"/>
        <v>#DIV/0!</v>
      </c>
      <c r="S141" s="305"/>
      <c r="T141" s="305"/>
      <c r="U141" s="305"/>
      <c r="V141" s="1003" t="e">
        <f t="shared" si="27"/>
        <v>#DIV/0!</v>
      </c>
      <c r="W141">
        <f t="shared" si="28"/>
        <v>0</v>
      </c>
      <c r="X141">
        <f t="shared" si="29"/>
        <v>0</v>
      </c>
      <c r="Y141" t="e">
        <f t="shared" si="31"/>
        <v>#DIV/0!</v>
      </c>
    </row>
    <row r="142" spans="8:28" ht="18">
      <c r="H142">
        <f t="shared" si="25"/>
        <v>0</v>
      </c>
      <c r="J142">
        <f t="shared" si="30"/>
        <v>0</v>
      </c>
      <c r="K142" s="2462" t="s">
        <v>2752</v>
      </c>
      <c r="L142" s="305"/>
      <c r="M142" s="305"/>
      <c r="R142" s="1005" t="e">
        <f t="shared" si="26"/>
        <v>#DIV/0!</v>
      </c>
      <c r="S142" s="305"/>
      <c r="T142" s="305"/>
      <c r="U142" s="305"/>
      <c r="V142" s="1003" t="e">
        <f t="shared" si="27"/>
        <v>#DIV/0!</v>
      </c>
      <c r="W142">
        <f t="shared" si="28"/>
        <v>0</v>
      </c>
      <c r="X142">
        <f t="shared" si="29"/>
        <v>0</v>
      </c>
      <c r="Y142" t="e">
        <f t="shared" si="31"/>
        <v>#DIV/0!</v>
      </c>
    </row>
    <row r="143" spans="8:28" ht="18">
      <c r="H143">
        <f t="shared" si="25"/>
        <v>0</v>
      </c>
      <c r="J143">
        <f t="shared" si="30"/>
        <v>0</v>
      </c>
      <c r="K143" s="2462" t="s">
        <v>2753</v>
      </c>
      <c r="L143" s="305"/>
      <c r="M143" s="305"/>
      <c r="R143" s="1005" t="e">
        <f t="shared" si="26"/>
        <v>#DIV/0!</v>
      </c>
      <c r="S143" s="305"/>
      <c r="T143" s="305"/>
      <c r="U143" s="305"/>
      <c r="V143" s="1003" t="e">
        <f t="shared" si="27"/>
        <v>#DIV/0!</v>
      </c>
      <c r="W143">
        <f t="shared" si="28"/>
        <v>0</v>
      </c>
      <c r="X143">
        <f t="shared" si="29"/>
        <v>0</v>
      </c>
      <c r="Y143" t="e">
        <f t="shared" si="31"/>
        <v>#DIV/0!</v>
      </c>
    </row>
    <row r="144" spans="8:28" ht="18">
      <c r="H144">
        <f t="shared" si="25"/>
        <v>0</v>
      </c>
      <c r="J144">
        <f t="shared" si="30"/>
        <v>0</v>
      </c>
      <c r="K144" s="2433" t="s">
        <v>2754</v>
      </c>
      <c r="L144" s="305"/>
      <c r="M144" s="305"/>
      <c r="R144" s="1005" t="e">
        <f t="shared" si="26"/>
        <v>#DIV/0!</v>
      </c>
      <c r="S144" s="305"/>
      <c r="T144" s="305"/>
      <c r="U144" s="305"/>
      <c r="V144" s="520" t="e">
        <f t="shared" si="27"/>
        <v>#DIV/0!</v>
      </c>
      <c r="W144">
        <f t="shared" si="28"/>
        <v>0</v>
      </c>
      <c r="X144">
        <f t="shared" si="29"/>
        <v>0</v>
      </c>
      <c r="Y144" t="e">
        <f t="shared" si="31"/>
        <v>#DIV/0!</v>
      </c>
    </row>
    <row r="145" spans="8:25" ht="18">
      <c r="H145">
        <f t="shared" si="25"/>
        <v>0</v>
      </c>
      <c r="J145">
        <f t="shared" si="30"/>
        <v>0</v>
      </c>
      <c r="K145" s="2462" t="s">
        <v>2755</v>
      </c>
      <c r="L145" s="305"/>
      <c r="M145" s="305"/>
      <c r="R145" s="1005" t="e">
        <f t="shared" si="26"/>
        <v>#DIV/0!</v>
      </c>
      <c r="S145" s="305"/>
      <c r="T145" s="305"/>
      <c r="U145" s="305"/>
      <c r="V145" s="520" t="e">
        <f t="shared" si="27"/>
        <v>#DIV/0!</v>
      </c>
      <c r="W145">
        <f t="shared" si="28"/>
        <v>0</v>
      </c>
      <c r="X145">
        <f t="shared" si="29"/>
        <v>0</v>
      </c>
      <c r="Y145" t="e">
        <f t="shared" si="31"/>
        <v>#DIV/0!</v>
      </c>
    </row>
    <row r="146" spans="8:25" ht="18">
      <c r="H146">
        <f t="shared" si="25"/>
        <v>0</v>
      </c>
      <c r="J146">
        <f t="shared" si="30"/>
        <v>0</v>
      </c>
      <c r="K146" t="s">
        <v>2756</v>
      </c>
      <c r="L146" s="305"/>
      <c r="M146" s="305"/>
      <c r="R146" s="27" t="e">
        <f t="shared" si="26"/>
        <v>#DIV/0!</v>
      </c>
      <c r="S146" s="305"/>
      <c r="T146" s="305"/>
      <c r="U146" s="305"/>
      <c r="V146" s="520" t="e">
        <f t="shared" si="27"/>
        <v>#DIV/0!</v>
      </c>
      <c r="W146">
        <f t="shared" si="28"/>
        <v>0</v>
      </c>
      <c r="X146">
        <f t="shared" si="29"/>
        <v>0</v>
      </c>
      <c r="Y146" t="e">
        <f t="shared" si="31"/>
        <v>#DIV/0!</v>
      </c>
    </row>
    <row r="147" spans="8:25" ht="18">
      <c r="H147">
        <f t="shared" si="25"/>
        <v>0</v>
      </c>
      <c r="J147">
        <f t="shared" si="30"/>
        <v>0</v>
      </c>
      <c r="K147" s="2462" t="s">
        <v>2757</v>
      </c>
      <c r="L147" s="305"/>
      <c r="M147" s="305"/>
      <c r="R147" s="27" t="e">
        <f t="shared" si="26"/>
        <v>#DIV/0!</v>
      </c>
      <c r="S147" s="305"/>
      <c r="T147" s="305"/>
      <c r="U147" s="305"/>
      <c r="V147" s="520" t="e">
        <f t="shared" si="27"/>
        <v>#DIV/0!</v>
      </c>
      <c r="W147">
        <f t="shared" si="28"/>
        <v>0</v>
      </c>
      <c r="X147">
        <f t="shared" si="29"/>
        <v>0</v>
      </c>
      <c r="Y147" t="e">
        <f t="shared" si="31"/>
        <v>#DIV/0!</v>
      </c>
    </row>
    <row r="148" spans="8:25" ht="18">
      <c r="H148">
        <f t="shared" si="25"/>
        <v>0</v>
      </c>
      <c r="J148">
        <f t="shared" si="30"/>
        <v>0</v>
      </c>
      <c r="K148" s="2462" t="s">
        <v>2758</v>
      </c>
      <c r="L148" s="305"/>
      <c r="M148" s="305"/>
      <c r="R148" s="27" t="e">
        <f t="shared" si="26"/>
        <v>#DIV/0!</v>
      </c>
      <c r="S148" s="305"/>
      <c r="T148" s="305"/>
      <c r="U148" s="305"/>
      <c r="V148" s="520" t="e">
        <f t="shared" si="27"/>
        <v>#DIV/0!</v>
      </c>
      <c r="W148">
        <f t="shared" si="28"/>
        <v>0</v>
      </c>
      <c r="X148">
        <f t="shared" si="29"/>
        <v>0</v>
      </c>
      <c r="Y148" t="e">
        <f t="shared" si="31"/>
        <v>#DIV/0!</v>
      </c>
    </row>
    <row r="149" spans="8:25" ht="18">
      <c r="H149">
        <f t="shared" si="25"/>
        <v>0</v>
      </c>
      <c r="J149">
        <f t="shared" si="30"/>
        <v>0</v>
      </c>
      <c r="K149" s="2462" t="s">
        <v>2759</v>
      </c>
      <c r="L149" s="305"/>
      <c r="M149" s="305"/>
      <c r="R149" s="27" t="e">
        <f t="shared" si="26"/>
        <v>#DIV/0!</v>
      </c>
      <c r="S149" s="305"/>
      <c r="T149" s="305"/>
      <c r="U149" s="305"/>
      <c r="V149" s="520" t="e">
        <f t="shared" si="27"/>
        <v>#DIV/0!</v>
      </c>
      <c r="W149">
        <f t="shared" si="28"/>
        <v>0</v>
      </c>
      <c r="X149">
        <f t="shared" si="29"/>
        <v>0</v>
      </c>
      <c r="Y149" t="e">
        <f t="shared" si="31"/>
        <v>#DIV/0!</v>
      </c>
    </row>
    <row r="150" spans="8:25" ht="18">
      <c r="H150">
        <f t="shared" si="25"/>
        <v>0</v>
      </c>
      <c r="J150">
        <f t="shared" si="30"/>
        <v>0</v>
      </c>
      <c r="K150" s="2462" t="s">
        <v>2760</v>
      </c>
      <c r="L150" s="305"/>
      <c r="M150" s="305"/>
      <c r="R150" s="27" t="e">
        <f t="shared" si="26"/>
        <v>#DIV/0!</v>
      </c>
      <c r="S150" s="305"/>
      <c r="T150" s="305"/>
      <c r="U150" s="305"/>
      <c r="V150" s="520" t="e">
        <f t="shared" si="27"/>
        <v>#DIV/0!</v>
      </c>
      <c r="W150">
        <f t="shared" si="28"/>
        <v>0</v>
      </c>
      <c r="X150">
        <f t="shared" si="29"/>
        <v>0</v>
      </c>
      <c r="Y150" t="e">
        <f t="shared" si="31"/>
        <v>#DIV/0!</v>
      </c>
    </row>
    <row r="151" spans="8:25" ht="18">
      <c r="H151">
        <f t="shared" si="25"/>
        <v>0</v>
      </c>
      <c r="J151">
        <f t="shared" si="30"/>
        <v>0</v>
      </c>
      <c r="K151" s="2462" t="s">
        <v>2761</v>
      </c>
      <c r="L151" s="305"/>
      <c r="M151" s="305"/>
      <c r="R151" s="27" t="e">
        <f t="shared" si="26"/>
        <v>#DIV/0!</v>
      </c>
      <c r="S151" s="305"/>
      <c r="T151" s="305"/>
      <c r="U151" s="305"/>
      <c r="V151" s="520" t="e">
        <f t="shared" si="27"/>
        <v>#DIV/0!</v>
      </c>
      <c r="W151">
        <f t="shared" si="28"/>
        <v>0</v>
      </c>
      <c r="X151">
        <f t="shared" si="29"/>
        <v>0</v>
      </c>
      <c r="Y151" t="e">
        <f t="shared" si="31"/>
        <v>#DIV/0!</v>
      </c>
    </row>
    <row r="152" spans="8:25" ht="18">
      <c r="H152">
        <f t="shared" si="25"/>
        <v>0</v>
      </c>
      <c r="J152">
        <f t="shared" si="30"/>
        <v>0</v>
      </c>
      <c r="K152" s="2462" t="s">
        <v>2762</v>
      </c>
      <c r="L152" s="305"/>
      <c r="M152" s="305"/>
      <c r="R152" s="27" t="e">
        <f t="shared" si="26"/>
        <v>#DIV/0!</v>
      </c>
      <c r="S152" s="305"/>
      <c r="T152" s="305"/>
      <c r="U152" s="305"/>
      <c r="V152" s="520" t="e">
        <f t="shared" si="27"/>
        <v>#DIV/0!</v>
      </c>
      <c r="W152">
        <f t="shared" si="28"/>
        <v>0</v>
      </c>
      <c r="X152">
        <f t="shared" si="29"/>
        <v>0</v>
      </c>
      <c r="Y152" t="e">
        <f t="shared" si="31"/>
        <v>#DIV/0!</v>
      </c>
    </row>
    <row r="153" spans="8:25" ht="18">
      <c r="H153">
        <f t="shared" si="25"/>
        <v>0</v>
      </c>
      <c r="J153">
        <f t="shared" si="30"/>
        <v>0</v>
      </c>
      <c r="K153" s="2462" t="s">
        <v>2763</v>
      </c>
      <c r="L153" s="305"/>
      <c r="M153" s="305"/>
      <c r="R153" s="27" t="e">
        <f t="shared" si="26"/>
        <v>#DIV/0!</v>
      </c>
      <c r="S153" s="305"/>
      <c r="T153" s="305"/>
      <c r="U153" s="305"/>
      <c r="V153" s="520" t="e">
        <f t="shared" si="27"/>
        <v>#DIV/0!</v>
      </c>
      <c r="W153">
        <f t="shared" si="28"/>
        <v>0</v>
      </c>
      <c r="X153">
        <f t="shared" si="29"/>
        <v>0</v>
      </c>
      <c r="Y153" t="e">
        <f t="shared" si="31"/>
        <v>#DIV/0!</v>
      </c>
    </row>
    <row r="154" spans="8:25" ht="18">
      <c r="H154">
        <f t="shared" si="25"/>
        <v>0</v>
      </c>
      <c r="J154">
        <f t="shared" si="30"/>
        <v>0</v>
      </c>
      <c r="K154" s="2462" t="s">
        <v>2764</v>
      </c>
      <c r="L154" s="305"/>
      <c r="M154" s="305"/>
      <c r="R154" s="27" t="e">
        <f t="shared" si="26"/>
        <v>#DIV/0!</v>
      </c>
      <c r="S154" s="305"/>
      <c r="T154" s="305"/>
      <c r="U154" s="305"/>
      <c r="V154" s="520" t="e">
        <f t="shared" si="27"/>
        <v>#DIV/0!</v>
      </c>
      <c r="W154">
        <f t="shared" si="28"/>
        <v>0</v>
      </c>
      <c r="X154">
        <f t="shared" si="29"/>
        <v>0</v>
      </c>
      <c r="Y154" t="e">
        <f t="shared" si="31"/>
        <v>#DIV/0!</v>
      </c>
    </row>
    <row r="155" spans="8:25" ht="18">
      <c r="H155">
        <f t="shared" si="25"/>
        <v>0</v>
      </c>
      <c r="J155">
        <f t="shared" si="30"/>
        <v>0</v>
      </c>
      <c r="K155" s="2462" t="s">
        <v>2765</v>
      </c>
      <c r="L155" s="305"/>
      <c r="M155" s="305"/>
      <c r="R155" s="27" t="e">
        <f t="shared" si="26"/>
        <v>#DIV/0!</v>
      </c>
      <c r="S155" s="305"/>
      <c r="T155" s="305"/>
      <c r="U155" s="305"/>
      <c r="V155" s="520" t="e">
        <f t="shared" si="27"/>
        <v>#DIV/0!</v>
      </c>
      <c r="W155">
        <f t="shared" si="28"/>
        <v>0</v>
      </c>
      <c r="X155">
        <f t="shared" si="29"/>
        <v>0</v>
      </c>
      <c r="Y155" t="e">
        <f t="shared" si="31"/>
        <v>#DIV/0!</v>
      </c>
    </row>
    <row r="156" spans="8:25" ht="18">
      <c r="H156">
        <f t="shared" si="25"/>
        <v>0</v>
      </c>
      <c r="J156">
        <f t="shared" si="30"/>
        <v>0</v>
      </c>
      <c r="K156" s="2462" t="s">
        <v>2766</v>
      </c>
      <c r="L156" s="305"/>
      <c r="M156" s="305"/>
      <c r="R156" s="27" t="e">
        <f t="shared" si="26"/>
        <v>#DIV/0!</v>
      </c>
      <c r="S156" s="305"/>
      <c r="T156" s="305"/>
      <c r="U156" s="305"/>
      <c r="V156" s="520" t="e">
        <f t="shared" si="27"/>
        <v>#DIV/0!</v>
      </c>
      <c r="W156">
        <f t="shared" si="28"/>
        <v>0</v>
      </c>
      <c r="X156">
        <f t="shared" si="29"/>
        <v>0</v>
      </c>
      <c r="Y156" t="e">
        <f t="shared" si="31"/>
        <v>#DIV/0!</v>
      </c>
    </row>
    <row r="157" spans="8:25" ht="18">
      <c r="H157">
        <f t="shared" si="25"/>
        <v>0</v>
      </c>
      <c r="J157">
        <f t="shared" ref="J157:J164" si="32">+T157-S157</f>
        <v>0</v>
      </c>
      <c r="K157" s="2462" t="s">
        <v>2767</v>
      </c>
      <c r="L157" s="305"/>
      <c r="M157" s="305"/>
      <c r="R157" s="27" t="e">
        <f t="shared" si="26"/>
        <v>#DIV/0!</v>
      </c>
      <c r="S157" s="305"/>
      <c r="T157" s="305"/>
      <c r="U157" s="305"/>
      <c r="V157" s="520" t="e">
        <f t="shared" si="27"/>
        <v>#DIV/0!</v>
      </c>
      <c r="W157">
        <f t="shared" si="28"/>
        <v>0</v>
      </c>
      <c r="X157">
        <f t="shared" si="29"/>
        <v>0</v>
      </c>
      <c r="Y157" t="e">
        <f t="shared" si="31"/>
        <v>#DIV/0!</v>
      </c>
    </row>
    <row r="158" spans="8:25" ht="18">
      <c r="H158">
        <f t="shared" si="25"/>
        <v>0</v>
      </c>
      <c r="J158">
        <f t="shared" si="32"/>
        <v>0</v>
      </c>
      <c r="K158" s="2462" t="s">
        <v>2768</v>
      </c>
      <c r="L158" s="305"/>
      <c r="M158" s="305"/>
      <c r="R158" s="27" t="e">
        <f t="shared" si="26"/>
        <v>#DIV/0!</v>
      </c>
      <c r="S158" s="305"/>
      <c r="T158" s="305"/>
      <c r="U158" s="305"/>
      <c r="V158" s="520" t="e">
        <f t="shared" si="27"/>
        <v>#DIV/0!</v>
      </c>
      <c r="W158">
        <f t="shared" si="28"/>
        <v>0</v>
      </c>
      <c r="X158">
        <f t="shared" si="29"/>
        <v>0</v>
      </c>
      <c r="Y158" t="e">
        <f t="shared" si="31"/>
        <v>#DIV/0!</v>
      </c>
    </row>
    <row r="159" spans="8:25" ht="18">
      <c r="H159">
        <f t="shared" si="25"/>
        <v>0</v>
      </c>
      <c r="J159">
        <f t="shared" si="32"/>
        <v>0</v>
      </c>
      <c r="K159" s="2462" t="s">
        <v>2769</v>
      </c>
      <c r="L159" s="305"/>
      <c r="M159" s="305"/>
      <c r="R159" s="27" t="e">
        <f t="shared" si="26"/>
        <v>#DIV/0!</v>
      </c>
      <c r="S159" s="305"/>
      <c r="T159" s="305"/>
      <c r="U159" s="305"/>
      <c r="V159" s="520" t="e">
        <f t="shared" si="27"/>
        <v>#DIV/0!</v>
      </c>
      <c r="W159">
        <f t="shared" si="28"/>
        <v>0</v>
      </c>
      <c r="X159">
        <f t="shared" si="29"/>
        <v>0</v>
      </c>
      <c r="Y159" t="e">
        <f t="shared" si="31"/>
        <v>#DIV/0!</v>
      </c>
    </row>
    <row r="160" spans="8:25" ht="18">
      <c r="H160">
        <f t="shared" si="25"/>
        <v>0</v>
      </c>
      <c r="J160">
        <f t="shared" si="32"/>
        <v>0</v>
      </c>
      <c r="K160" s="2462" t="s">
        <v>2770</v>
      </c>
      <c r="L160" s="305"/>
      <c r="M160" s="305"/>
      <c r="R160" s="27" t="e">
        <f t="shared" si="26"/>
        <v>#DIV/0!</v>
      </c>
      <c r="S160" s="305"/>
      <c r="T160" s="305"/>
      <c r="U160" s="305"/>
      <c r="V160" s="520" t="e">
        <f t="shared" si="27"/>
        <v>#DIV/0!</v>
      </c>
      <c r="W160">
        <f t="shared" si="28"/>
        <v>0</v>
      </c>
      <c r="X160">
        <f t="shared" si="29"/>
        <v>0</v>
      </c>
      <c r="Y160" t="e">
        <f t="shared" si="31"/>
        <v>#DIV/0!</v>
      </c>
    </row>
    <row r="161" spans="8:25" ht="18">
      <c r="H161">
        <f t="shared" si="25"/>
        <v>0</v>
      </c>
      <c r="J161">
        <f t="shared" si="32"/>
        <v>0</v>
      </c>
      <c r="K161" t="s">
        <v>2771</v>
      </c>
      <c r="L161" s="305"/>
      <c r="M161" s="305"/>
      <c r="R161" s="27" t="e">
        <f t="shared" si="26"/>
        <v>#DIV/0!</v>
      </c>
      <c r="S161" s="305"/>
      <c r="T161" s="305"/>
      <c r="U161" s="305"/>
      <c r="V161" s="520" t="e">
        <f t="shared" si="27"/>
        <v>#DIV/0!</v>
      </c>
      <c r="W161">
        <f t="shared" si="28"/>
        <v>0</v>
      </c>
      <c r="X161">
        <f t="shared" si="29"/>
        <v>0</v>
      </c>
      <c r="Y161" t="e">
        <f t="shared" si="31"/>
        <v>#DIV/0!</v>
      </c>
    </row>
    <row r="162" spans="8:25" ht="18">
      <c r="H162">
        <f t="shared" si="25"/>
        <v>0</v>
      </c>
      <c r="J162">
        <f t="shared" si="32"/>
        <v>0</v>
      </c>
      <c r="K162" s="2462" t="s">
        <v>2772</v>
      </c>
      <c r="L162" s="305"/>
      <c r="M162" s="305"/>
      <c r="R162" s="27" t="e">
        <f t="shared" si="26"/>
        <v>#DIV/0!</v>
      </c>
      <c r="S162" s="305"/>
      <c r="T162" s="305"/>
      <c r="U162" s="305"/>
      <c r="V162" s="520" t="e">
        <f t="shared" si="27"/>
        <v>#DIV/0!</v>
      </c>
      <c r="W162">
        <f t="shared" si="28"/>
        <v>0</v>
      </c>
      <c r="X162">
        <f t="shared" si="29"/>
        <v>0</v>
      </c>
      <c r="Y162" t="e">
        <f t="shared" si="31"/>
        <v>#DIV/0!</v>
      </c>
    </row>
    <row r="163" spans="8:25" ht="18">
      <c r="H163">
        <f t="shared" si="25"/>
        <v>0</v>
      </c>
      <c r="J163">
        <f t="shared" si="32"/>
        <v>0</v>
      </c>
      <c r="K163" t="s">
        <v>2773</v>
      </c>
      <c r="L163" s="305"/>
      <c r="M163" s="305"/>
      <c r="R163" s="27" t="e">
        <f t="shared" si="26"/>
        <v>#DIV/0!</v>
      </c>
      <c r="S163" s="305"/>
      <c r="T163" s="305"/>
      <c r="U163" s="305"/>
      <c r="V163" s="520" t="e">
        <f t="shared" si="27"/>
        <v>#DIV/0!</v>
      </c>
      <c r="W163">
        <f t="shared" si="28"/>
        <v>0</v>
      </c>
      <c r="X163">
        <f t="shared" si="29"/>
        <v>0</v>
      </c>
      <c r="Y163" t="e">
        <f t="shared" si="31"/>
        <v>#DIV/0!</v>
      </c>
    </row>
    <row r="164" spans="8:25" ht="18">
      <c r="H164">
        <f t="shared" si="25"/>
        <v>0</v>
      </c>
      <c r="J164">
        <f t="shared" si="32"/>
        <v>0</v>
      </c>
      <c r="K164" s="2462" t="s">
        <v>2774</v>
      </c>
      <c r="L164" s="305"/>
      <c r="M164" s="305"/>
      <c r="R164" s="27" t="e">
        <f t="shared" si="26"/>
        <v>#DIV/0!</v>
      </c>
      <c r="S164" s="305"/>
      <c r="T164" s="305"/>
      <c r="U164" s="305"/>
      <c r="V164" s="520" t="e">
        <f t="shared" si="27"/>
        <v>#DIV/0!</v>
      </c>
      <c r="W164">
        <f t="shared" si="28"/>
        <v>0</v>
      </c>
      <c r="X164">
        <f t="shared" si="29"/>
        <v>0</v>
      </c>
      <c r="Y164" t="e">
        <f t="shared" si="31"/>
        <v>#DIV/0!</v>
      </c>
    </row>
    <row r="165" spans="8:25" ht="18">
      <c r="H165">
        <f t="shared" si="25"/>
        <v>0</v>
      </c>
      <c r="I165">
        <v>1082382</v>
      </c>
      <c r="J165">
        <f>SUM(J134:J164)</f>
        <v>0</v>
      </c>
      <c r="L165" s="305"/>
      <c r="M165" s="305"/>
      <c r="R165" s="27" t="e">
        <f t="shared" si="26"/>
        <v>#DIV/0!</v>
      </c>
      <c r="S165">
        <f>SUM(S134:S164)</f>
        <v>0</v>
      </c>
      <c r="T165">
        <f>SUM(T134:T164)</f>
        <v>0</v>
      </c>
      <c r="U165" s="1004">
        <f>SUM(U134:U164)</f>
        <v>0</v>
      </c>
      <c r="V165" t="e">
        <f t="shared" si="27"/>
        <v>#DIV/0!</v>
      </c>
      <c r="W165">
        <f>SUM(W134:W164)</f>
        <v>0</v>
      </c>
      <c r="X165">
        <f>SUM(X134:X164)</f>
        <v>0</v>
      </c>
      <c r="Y165" t="e">
        <f t="shared" si="31"/>
        <v>#DIV/0!</v>
      </c>
    </row>
    <row r="166" spans="8:25">
      <c r="H166">
        <f t="shared" si="25"/>
        <v>107092</v>
      </c>
      <c r="T166" s="544">
        <f>8439062-8331970</f>
        <v>107092</v>
      </c>
      <c r="U166" s="544"/>
    </row>
    <row r="167" spans="8:25">
      <c r="H167">
        <f t="shared" si="25"/>
        <v>6591748</v>
      </c>
      <c r="T167" s="84">
        <v>6591748</v>
      </c>
    </row>
    <row r="168" spans="8:25">
      <c r="H168">
        <f t="shared" si="25"/>
        <v>4796390</v>
      </c>
      <c r="M168">
        <f>4555382-105886</f>
        <v>4449496</v>
      </c>
      <c r="S168">
        <f>4555382-3452000</f>
        <v>1103382</v>
      </c>
      <c r="T168">
        <v>5899772</v>
      </c>
    </row>
    <row r="169" spans="8:25">
      <c r="H169">
        <f t="shared" si="25"/>
        <v>5793886</v>
      </c>
      <c r="S169">
        <v>105886</v>
      </c>
      <c r="T169">
        <f>+T168-T165</f>
        <v>5899772</v>
      </c>
    </row>
    <row r="170" spans="8:25">
      <c r="H170">
        <f t="shared" si="25"/>
        <v>0</v>
      </c>
    </row>
    <row r="171" spans="8:25">
      <c r="H171">
        <f t="shared" si="25"/>
        <v>5258153</v>
      </c>
      <c r="T171">
        <v>5258153</v>
      </c>
    </row>
    <row r="172" spans="8:25" ht="18">
      <c r="H172" t="e">
        <f t="shared" si="25"/>
        <v>#VALUE!</v>
      </c>
      <c r="L172" s="14" t="s">
        <v>2678</v>
      </c>
      <c r="M172" s="14" t="s">
        <v>2624</v>
      </c>
      <c r="N172" s="14"/>
      <c r="O172" s="84"/>
      <c r="P172" s="84"/>
      <c r="Q172" s="84"/>
      <c r="R172" s="84" t="s">
        <v>520</v>
      </c>
      <c r="S172" s="84" t="s">
        <v>2640</v>
      </c>
      <c r="T172" s="84" t="s">
        <v>2679</v>
      </c>
      <c r="U172" s="84" t="s">
        <v>524</v>
      </c>
      <c r="V172" s="84" t="s">
        <v>520</v>
      </c>
      <c r="W172" s="84" t="s">
        <v>518</v>
      </c>
      <c r="X172" s="84" t="s">
        <v>524</v>
      </c>
      <c r="Y172" s="84" t="s">
        <v>520</v>
      </c>
    </row>
    <row r="173" spans="8:25" ht="18">
      <c r="H173">
        <f t="shared" si="25"/>
        <v>0</v>
      </c>
      <c r="I173">
        <f>+J173-L173</f>
        <v>0</v>
      </c>
      <c r="J173">
        <f>+T173-S173</f>
        <v>0</v>
      </c>
      <c r="K173" s="2463" t="s">
        <v>2775</v>
      </c>
      <c r="R173" s="27" t="e">
        <f>L173/M173</f>
        <v>#DIV/0!</v>
      </c>
      <c r="S173" s="305"/>
      <c r="T173" s="305"/>
      <c r="U173" s="305"/>
      <c r="V173" s="520" t="e">
        <f t="shared" ref="V173:V204" si="33">+T173/U173</f>
        <v>#DIV/0!</v>
      </c>
      <c r="W173">
        <f t="shared" ref="W173:X203" si="34">+T173-L173</f>
        <v>0</v>
      </c>
      <c r="X173">
        <f t="shared" si="34"/>
        <v>0</v>
      </c>
      <c r="Y173" t="e">
        <f>+W173/X173</f>
        <v>#DIV/0!</v>
      </c>
    </row>
    <row r="174" spans="8:25" ht="18">
      <c r="H174">
        <f t="shared" si="25"/>
        <v>0</v>
      </c>
      <c r="I174">
        <f t="shared" ref="I174:I203" si="35">+J174-L174</f>
        <v>0</v>
      </c>
      <c r="J174">
        <f t="shared" ref="J174:J203" si="36">+T174-S174</f>
        <v>0</v>
      </c>
      <c r="K174" s="2463" t="s">
        <v>2776</v>
      </c>
      <c r="L174" s="305"/>
      <c r="M174" s="305"/>
      <c r="R174" s="27" t="e">
        <f t="shared" ref="R174:R203" si="37">L174/M174</f>
        <v>#DIV/0!</v>
      </c>
      <c r="S174" s="305"/>
      <c r="T174" s="305"/>
      <c r="U174" s="305"/>
      <c r="V174" s="520" t="e">
        <f t="shared" si="33"/>
        <v>#DIV/0!</v>
      </c>
      <c r="W174">
        <f t="shared" si="34"/>
        <v>0</v>
      </c>
      <c r="X174">
        <f t="shared" si="34"/>
        <v>0</v>
      </c>
      <c r="Y174" t="e">
        <f t="shared" ref="Y174:Y204" si="38">+W174/X174</f>
        <v>#DIV/0!</v>
      </c>
    </row>
    <row r="175" spans="8:25" ht="18">
      <c r="H175">
        <f t="shared" si="25"/>
        <v>0</v>
      </c>
      <c r="I175">
        <f t="shared" si="35"/>
        <v>0</v>
      </c>
      <c r="J175">
        <f t="shared" si="36"/>
        <v>0</v>
      </c>
      <c r="K175" s="2463" t="s">
        <v>2777</v>
      </c>
      <c r="L175" s="305"/>
      <c r="M175" s="305"/>
      <c r="R175" s="27" t="e">
        <f t="shared" si="37"/>
        <v>#DIV/0!</v>
      </c>
      <c r="S175" s="305"/>
      <c r="T175" s="305"/>
      <c r="U175" s="305"/>
      <c r="V175" s="520" t="e">
        <f t="shared" si="33"/>
        <v>#DIV/0!</v>
      </c>
      <c r="W175">
        <f t="shared" si="34"/>
        <v>0</v>
      </c>
      <c r="X175">
        <f t="shared" si="34"/>
        <v>0</v>
      </c>
      <c r="Y175" t="e">
        <f t="shared" si="38"/>
        <v>#DIV/0!</v>
      </c>
    </row>
    <row r="176" spans="8:25" ht="18">
      <c r="H176">
        <f t="shared" si="25"/>
        <v>0</v>
      </c>
      <c r="I176">
        <f t="shared" si="35"/>
        <v>0</v>
      </c>
      <c r="J176">
        <f t="shared" si="36"/>
        <v>0</v>
      </c>
      <c r="K176" s="2463" t="s">
        <v>2778</v>
      </c>
      <c r="L176" s="305"/>
      <c r="M176" s="305"/>
      <c r="R176" s="27" t="e">
        <f t="shared" si="37"/>
        <v>#DIV/0!</v>
      </c>
      <c r="S176" s="305"/>
      <c r="T176" s="305"/>
      <c r="U176" s="305"/>
      <c r="V176" s="520" t="e">
        <f t="shared" si="33"/>
        <v>#DIV/0!</v>
      </c>
      <c r="W176">
        <f t="shared" si="34"/>
        <v>0</v>
      </c>
      <c r="X176">
        <f t="shared" si="34"/>
        <v>0</v>
      </c>
      <c r="Y176" t="e">
        <f t="shared" si="38"/>
        <v>#DIV/0!</v>
      </c>
    </row>
    <row r="177" spans="8:25" ht="18">
      <c r="H177">
        <f t="shared" si="25"/>
        <v>0</v>
      </c>
      <c r="I177">
        <f t="shared" si="35"/>
        <v>0</v>
      </c>
      <c r="J177">
        <f t="shared" si="36"/>
        <v>0</v>
      </c>
      <c r="K177" s="2463" t="s">
        <v>2779</v>
      </c>
      <c r="L177" s="305"/>
      <c r="M177" s="305"/>
      <c r="R177" s="27" t="e">
        <f t="shared" si="37"/>
        <v>#DIV/0!</v>
      </c>
      <c r="S177" s="305"/>
      <c r="T177" s="305"/>
      <c r="U177" s="305"/>
      <c r="V177" s="520" t="e">
        <f t="shared" si="33"/>
        <v>#DIV/0!</v>
      </c>
      <c r="W177">
        <f t="shared" si="34"/>
        <v>0</v>
      </c>
      <c r="X177">
        <f t="shared" si="34"/>
        <v>0</v>
      </c>
      <c r="Y177" t="e">
        <f t="shared" si="38"/>
        <v>#DIV/0!</v>
      </c>
    </row>
    <row r="178" spans="8:25" ht="18">
      <c r="H178">
        <f t="shared" si="25"/>
        <v>0</v>
      </c>
      <c r="I178">
        <f t="shared" si="35"/>
        <v>0</v>
      </c>
      <c r="J178">
        <f t="shared" si="36"/>
        <v>0</v>
      </c>
      <c r="K178" s="2463" t="s">
        <v>2780</v>
      </c>
      <c r="L178" s="305"/>
      <c r="M178" s="305"/>
      <c r="R178" s="27" t="e">
        <f t="shared" si="37"/>
        <v>#DIV/0!</v>
      </c>
      <c r="S178" s="305"/>
      <c r="T178" s="305"/>
      <c r="U178" s="305"/>
      <c r="V178" s="520" t="e">
        <f t="shared" si="33"/>
        <v>#DIV/0!</v>
      </c>
      <c r="W178">
        <f t="shared" si="34"/>
        <v>0</v>
      </c>
      <c r="X178">
        <f t="shared" si="34"/>
        <v>0</v>
      </c>
      <c r="Y178" t="e">
        <f t="shared" si="38"/>
        <v>#DIV/0!</v>
      </c>
    </row>
    <row r="179" spans="8:25" ht="18">
      <c r="H179">
        <f t="shared" si="25"/>
        <v>0</v>
      </c>
      <c r="I179">
        <f t="shared" si="35"/>
        <v>0</v>
      </c>
      <c r="J179">
        <f t="shared" si="36"/>
        <v>0</v>
      </c>
      <c r="K179" s="2463" t="s">
        <v>2781</v>
      </c>
      <c r="L179" s="305"/>
      <c r="M179" s="305"/>
      <c r="R179" s="27" t="e">
        <f t="shared" si="37"/>
        <v>#DIV/0!</v>
      </c>
      <c r="S179" s="305"/>
      <c r="T179" s="305"/>
      <c r="U179" s="305"/>
      <c r="V179" s="520" t="e">
        <f t="shared" si="33"/>
        <v>#DIV/0!</v>
      </c>
      <c r="W179">
        <f t="shared" si="34"/>
        <v>0</v>
      </c>
      <c r="X179">
        <f t="shared" si="34"/>
        <v>0</v>
      </c>
      <c r="Y179" t="e">
        <f t="shared" si="38"/>
        <v>#DIV/0!</v>
      </c>
    </row>
    <row r="180" spans="8:25" ht="18">
      <c r="H180">
        <f t="shared" si="25"/>
        <v>0</v>
      </c>
      <c r="I180">
        <f t="shared" si="35"/>
        <v>0</v>
      </c>
      <c r="J180">
        <f t="shared" si="36"/>
        <v>0</v>
      </c>
      <c r="K180" s="2463" t="s">
        <v>2782</v>
      </c>
      <c r="L180" s="305"/>
      <c r="M180" s="305"/>
      <c r="R180" s="27" t="e">
        <f t="shared" si="37"/>
        <v>#DIV/0!</v>
      </c>
      <c r="S180" s="305"/>
      <c r="T180" s="305"/>
      <c r="U180" s="305"/>
      <c r="V180" s="520" t="e">
        <f t="shared" si="33"/>
        <v>#DIV/0!</v>
      </c>
      <c r="W180">
        <f t="shared" si="34"/>
        <v>0</v>
      </c>
      <c r="X180">
        <f t="shared" si="34"/>
        <v>0</v>
      </c>
      <c r="Y180" t="e">
        <f t="shared" si="38"/>
        <v>#DIV/0!</v>
      </c>
    </row>
    <row r="181" spans="8:25" ht="18">
      <c r="H181">
        <f t="shared" si="25"/>
        <v>0</v>
      </c>
      <c r="I181">
        <f t="shared" si="35"/>
        <v>0</v>
      </c>
      <c r="J181">
        <f t="shared" si="36"/>
        <v>0</v>
      </c>
      <c r="K181" s="2463" t="s">
        <v>2783</v>
      </c>
      <c r="L181" s="305"/>
      <c r="M181" s="305"/>
      <c r="R181" s="27" t="e">
        <f t="shared" si="37"/>
        <v>#DIV/0!</v>
      </c>
      <c r="S181" s="305"/>
      <c r="T181" s="305"/>
      <c r="U181" s="305"/>
      <c r="V181" s="520" t="e">
        <f t="shared" si="33"/>
        <v>#DIV/0!</v>
      </c>
      <c r="W181">
        <f t="shared" si="34"/>
        <v>0</v>
      </c>
      <c r="X181">
        <f t="shared" si="34"/>
        <v>0</v>
      </c>
      <c r="Y181" t="e">
        <f t="shared" si="38"/>
        <v>#DIV/0!</v>
      </c>
    </row>
    <row r="182" spans="8:25" ht="18">
      <c r="H182">
        <f t="shared" si="25"/>
        <v>0</v>
      </c>
      <c r="I182">
        <f t="shared" si="35"/>
        <v>0</v>
      </c>
      <c r="J182">
        <f t="shared" si="36"/>
        <v>0</v>
      </c>
      <c r="K182" s="2463" t="s">
        <v>2784</v>
      </c>
      <c r="L182" s="305"/>
      <c r="M182" s="305"/>
      <c r="R182" s="27" t="e">
        <f t="shared" si="37"/>
        <v>#DIV/0!</v>
      </c>
      <c r="S182" s="305"/>
      <c r="T182" s="305"/>
      <c r="U182" s="305"/>
      <c r="V182" s="520" t="e">
        <f t="shared" si="33"/>
        <v>#DIV/0!</v>
      </c>
      <c r="W182">
        <f t="shared" si="34"/>
        <v>0</v>
      </c>
      <c r="X182">
        <f t="shared" si="34"/>
        <v>0</v>
      </c>
      <c r="Y182" t="e">
        <f t="shared" si="38"/>
        <v>#DIV/0!</v>
      </c>
    </row>
    <row r="183" spans="8:25" ht="18">
      <c r="H183">
        <f t="shared" si="25"/>
        <v>0</v>
      </c>
      <c r="I183">
        <f t="shared" si="35"/>
        <v>0</v>
      </c>
      <c r="J183">
        <f t="shared" si="36"/>
        <v>0</v>
      </c>
      <c r="K183" s="2463" t="s">
        <v>2785</v>
      </c>
      <c r="L183" s="305"/>
      <c r="M183" s="305"/>
      <c r="R183" s="27" t="e">
        <f t="shared" si="37"/>
        <v>#DIV/0!</v>
      </c>
      <c r="S183" s="305"/>
      <c r="T183" s="305"/>
      <c r="U183" s="305"/>
      <c r="V183" s="520" t="e">
        <f t="shared" si="33"/>
        <v>#DIV/0!</v>
      </c>
      <c r="W183">
        <f t="shared" si="34"/>
        <v>0</v>
      </c>
      <c r="X183">
        <f t="shared" si="34"/>
        <v>0</v>
      </c>
      <c r="Y183" t="e">
        <f t="shared" si="38"/>
        <v>#DIV/0!</v>
      </c>
    </row>
    <row r="184" spans="8:25" ht="18">
      <c r="H184">
        <f t="shared" si="25"/>
        <v>0</v>
      </c>
      <c r="I184">
        <f t="shared" si="35"/>
        <v>0</v>
      </c>
      <c r="J184">
        <f t="shared" si="36"/>
        <v>0</v>
      </c>
      <c r="K184" s="2463" t="s">
        <v>2786</v>
      </c>
      <c r="L184" s="305"/>
      <c r="M184" s="305"/>
      <c r="R184" s="27" t="e">
        <f t="shared" si="37"/>
        <v>#DIV/0!</v>
      </c>
      <c r="S184" s="305"/>
      <c r="T184" s="305"/>
      <c r="U184" s="305"/>
      <c r="V184" s="520" t="e">
        <f t="shared" si="33"/>
        <v>#DIV/0!</v>
      </c>
      <c r="W184">
        <f t="shared" si="34"/>
        <v>0</v>
      </c>
      <c r="X184">
        <f t="shared" si="34"/>
        <v>0</v>
      </c>
      <c r="Y184" t="e">
        <f t="shared" si="38"/>
        <v>#DIV/0!</v>
      </c>
    </row>
    <row r="185" spans="8:25" ht="18">
      <c r="H185">
        <f t="shared" si="25"/>
        <v>0</v>
      </c>
      <c r="I185">
        <f t="shared" si="35"/>
        <v>0</v>
      </c>
      <c r="J185">
        <f t="shared" si="36"/>
        <v>0</v>
      </c>
      <c r="K185" s="787" t="s">
        <v>2787</v>
      </c>
      <c r="L185" s="305"/>
      <c r="M185" s="305"/>
      <c r="R185" s="27" t="e">
        <f t="shared" si="37"/>
        <v>#DIV/0!</v>
      </c>
      <c r="S185" s="305"/>
      <c r="T185" s="305"/>
      <c r="U185" s="305"/>
      <c r="V185" s="520" t="e">
        <f t="shared" si="33"/>
        <v>#DIV/0!</v>
      </c>
      <c r="W185">
        <f t="shared" si="34"/>
        <v>0</v>
      </c>
      <c r="X185">
        <f t="shared" si="34"/>
        <v>0</v>
      </c>
      <c r="Y185" t="e">
        <f t="shared" si="38"/>
        <v>#DIV/0!</v>
      </c>
    </row>
    <row r="186" spans="8:25" ht="18">
      <c r="H186">
        <f t="shared" si="25"/>
        <v>0</v>
      </c>
      <c r="I186">
        <f t="shared" si="35"/>
        <v>0</v>
      </c>
      <c r="J186">
        <f t="shared" si="36"/>
        <v>0</v>
      </c>
      <c r="K186" s="2463" t="s">
        <v>2788</v>
      </c>
      <c r="L186" s="305"/>
      <c r="M186" s="305"/>
      <c r="R186" s="27" t="e">
        <f t="shared" si="37"/>
        <v>#DIV/0!</v>
      </c>
      <c r="S186" s="305"/>
      <c r="T186" s="305"/>
      <c r="U186" s="305"/>
      <c r="V186" s="520" t="e">
        <f t="shared" si="33"/>
        <v>#DIV/0!</v>
      </c>
      <c r="W186">
        <f t="shared" si="34"/>
        <v>0</v>
      </c>
      <c r="X186">
        <f t="shared" si="34"/>
        <v>0</v>
      </c>
      <c r="Y186" t="e">
        <f t="shared" si="38"/>
        <v>#DIV/0!</v>
      </c>
    </row>
    <row r="187" spans="8:25" ht="18">
      <c r="H187">
        <f t="shared" si="25"/>
        <v>0</v>
      </c>
      <c r="I187">
        <f t="shared" si="35"/>
        <v>0</v>
      </c>
      <c r="J187">
        <f t="shared" si="36"/>
        <v>0</v>
      </c>
      <c r="K187" s="2463" t="s">
        <v>2789</v>
      </c>
      <c r="L187" s="305"/>
      <c r="M187" s="305"/>
      <c r="R187" s="27" t="e">
        <f t="shared" si="37"/>
        <v>#DIV/0!</v>
      </c>
      <c r="S187" s="305"/>
      <c r="T187" s="305"/>
      <c r="U187" s="305"/>
      <c r="V187" s="520" t="e">
        <f t="shared" si="33"/>
        <v>#DIV/0!</v>
      </c>
      <c r="W187">
        <f t="shared" si="34"/>
        <v>0</v>
      </c>
      <c r="X187">
        <f t="shared" si="34"/>
        <v>0</v>
      </c>
      <c r="Y187" t="e">
        <f t="shared" si="38"/>
        <v>#DIV/0!</v>
      </c>
    </row>
    <row r="188" spans="8:25" ht="18">
      <c r="H188">
        <f t="shared" si="25"/>
        <v>0</v>
      </c>
      <c r="I188">
        <f t="shared" si="35"/>
        <v>0</v>
      </c>
      <c r="J188">
        <f t="shared" si="36"/>
        <v>0</v>
      </c>
      <c r="K188" s="2463" t="s">
        <v>2790</v>
      </c>
      <c r="L188" s="305"/>
      <c r="M188" s="305"/>
      <c r="R188" s="27" t="e">
        <f t="shared" si="37"/>
        <v>#DIV/0!</v>
      </c>
      <c r="S188" s="305"/>
      <c r="T188" s="305"/>
      <c r="U188" s="305"/>
      <c r="V188" s="520" t="e">
        <f t="shared" si="33"/>
        <v>#DIV/0!</v>
      </c>
      <c r="W188">
        <f t="shared" si="34"/>
        <v>0</v>
      </c>
      <c r="X188">
        <f t="shared" si="34"/>
        <v>0</v>
      </c>
      <c r="Y188" t="e">
        <f t="shared" si="38"/>
        <v>#DIV/0!</v>
      </c>
    </row>
    <row r="189" spans="8:25" ht="18">
      <c r="H189">
        <f t="shared" si="25"/>
        <v>0</v>
      </c>
      <c r="I189">
        <f t="shared" si="35"/>
        <v>0</v>
      </c>
      <c r="J189">
        <f t="shared" si="36"/>
        <v>0</v>
      </c>
      <c r="K189" s="2463" t="s">
        <v>2791</v>
      </c>
      <c r="L189" s="305"/>
      <c r="M189" s="305"/>
      <c r="R189" s="27" t="e">
        <f t="shared" si="37"/>
        <v>#DIV/0!</v>
      </c>
      <c r="S189" s="305"/>
      <c r="T189" s="305"/>
      <c r="U189" s="305"/>
      <c r="V189" s="520" t="e">
        <f t="shared" si="33"/>
        <v>#DIV/0!</v>
      </c>
      <c r="W189">
        <f t="shared" si="34"/>
        <v>0</v>
      </c>
      <c r="X189">
        <f t="shared" si="34"/>
        <v>0</v>
      </c>
      <c r="Y189" t="e">
        <f t="shared" si="38"/>
        <v>#DIV/0!</v>
      </c>
    </row>
    <row r="190" spans="8:25" ht="18">
      <c r="H190">
        <f t="shared" si="25"/>
        <v>0</v>
      </c>
      <c r="I190">
        <f t="shared" si="35"/>
        <v>0</v>
      </c>
      <c r="J190">
        <f t="shared" si="36"/>
        <v>0</v>
      </c>
      <c r="K190" s="2463" t="s">
        <v>2792</v>
      </c>
      <c r="L190" s="305"/>
      <c r="M190" s="305"/>
      <c r="R190" s="27" t="e">
        <f t="shared" si="37"/>
        <v>#DIV/0!</v>
      </c>
      <c r="S190" s="305"/>
      <c r="T190" s="305"/>
      <c r="U190" s="305"/>
      <c r="V190" s="520" t="e">
        <f t="shared" si="33"/>
        <v>#DIV/0!</v>
      </c>
      <c r="W190">
        <f t="shared" si="34"/>
        <v>0</v>
      </c>
      <c r="X190">
        <f t="shared" si="34"/>
        <v>0</v>
      </c>
      <c r="Y190" t="e">
        <f t="shared" si="38"/>
        <v>#DIV/0!</v>
      </c>
    </row>
    <row r="191" spans="8:25" ht="18">
      <c r="H191">
        <f t="shared" si="25"/>
        <v>0</v>
      </c>
      <c r="I191">
        <f t="shared" si="35"/>
        <v>0</v>
      </c>
      <c r="J191">
        <f t="shared" si="36"/>
        <v>0</v>
      </c>
      <c r="K191" s="2463" t="s">
        <v>2793</v>
      </c>
      <c r="L191" s="305"/>
      <c r="M191" s="305"/>
      <c r="R191" s="27" t="e">
        <f t="shared" si="37"/>
        <v>#DIV/0!</v>
      </c>
      <c r="S191" s="305"/>
      <c r="T191" s="305"/>
      <c r="U191" s="305"/>
      <c r="V191" s="520" t="e">
        <f t="shared" si="33"/>
        <v>#DIV/0!</v>
      </c>
      <c r="W191">
        <f t="shared" si="34"/>
        <v>0</v>
      </c>
      <c r="X191">
        <f t="shared" si="34"/>
        <v>0</v>
      </c>
      <c r="Y191" t="e">
        <f t="shared" si="38"/>
        <v>#DIV/0!</v>
      </c>
    </row>
    <row r="192" spans="8:25" ht="18">
      <c r="H192">
        <f t="shared" si="25"/>
        <v>0</v>
      </c>
      <c r="I192">
        <f t="shared" si="35"/>
        <v>0</v>
      </c>
      <c r="J192">
        <f t="shared" si="36"/>
        <v>0</v>
      </c>
      <c r="K192" s="2463" t="s">
        <v>2794</v>
      </c>
      <c r="L192" s="305"/>
      <c r="M192" s="305"/>
      <c r="R192" s="27" t="e">
        <f t="shared" si="37"/>
        <v>#DIV/0!</v>
      </c>
      <c r="S192" s="305"/>
      <c r="T192" s="305"/>
      <c r="U192" s="305"/>
      <c r="V192" s="520" t="e">
        <f t="shared" si="33"/>
        <v>#DIV/0!</v>
      </c>
      <c r="W192">
        <f t="shared" si="34"/>
        <v>0</v>
      </c>
      <c r="X192">
        <f t="shared" si="34"/>
        <v>0</v>
      </c>
      <c r="Y192" t="e">
        <f t="shared" si="38"/>
        <v>#DIV/0!</v>
      </c>
    </row>
    <row r="193" spans="8:30" ht="18">
      <c r="H193">
        <f t="shared" si="25"/>
        <v>0</v>
      </c>
      <c r="I193">
        <f t="shared" si="35"/>
        <v>0</v>
      </c>
      <c r="J193">
        <f t="shared" si="36"/>
        <v>0</v>
      </c>
      <c r="K193" s="2463" t="s">
        <v>2795</v>
      </c>
      <c r="L193" s="305"/>
      <c r="M193" s="305"/>
      <c r="R193" s="27" t="e">
        <f t="shared" si="37"/>
        <v>#DIV/0!</v>
      </c>
      <c r="S193" s="305"/>
      <c r="T193" s="305"/>
      <c r="U193" s="305"/>
      <c r="V193" s="520" t="e">
        <f t="shared" si="33"/>
        <v>#DIV/0!</v>
      </c>
      <c r="W193">
        <f t="shared" si="34"/>
        <v>0</v>
      </c>
      <c r="X193">
        <f t="shared" si="34"/>
        <v>0</v>
      </c>
      <c r="Y193" t="e">
        <f t="shared" si="38"/>
        <v>#DIV/0!</v>
      </c>
      <c r="Z193" s="1006"/>
      <c r="AA193" s="1007" t="s">
        <v>2796</v>
      </c>
      <c r="AB193" s="1006"/>
      <c r="AC193">
        <v>130650</v>
      </c>
      <c r="AD193">
        <f>+AA193/AC193</f>
        <v>1184.6584003061614</v>
      </c>
    </row>
    <row r="194" spans="8:30" ht="18">
      <c r="H194">
        <f t="shared" ref="H194:H257" si="39">+T194-S194-L194</f>
        <v>0</v>
      </c>
      <c r="I194">
        <f t="shared" si="35"/>
        <v>0</v>
      </c>
      <c r="J194">
        <f t="shared" si="36"/>
        <v>0</v>
      </c>
      <c r="K194" s="2463" t="s">
        <v>2797</v>
      </c>
      <c r="L194" s="305"/>
      <c r="M194" s="305"/>
      <c r="R194" s="27" t="e">
        <f t="shared" si="37"/>
        <v>#DIV/0!</v>
      </c>
      <c r="S194" s="305"/>
      <c r="T194" s="305"/>
      <c r="U194" s="305"/>
      <c r="V194" s="520" t="e">
        <f t="shared" si="33"/>
        <v>#DIV/0!</v>
      </c>
      <c r="W194">
        <f t="shared" si="34"/>
        <v>0</v>
      </c>
      <c r="X194">
        <f t="shared" si="34"/>
        <v>0</v>
      </c>
      <c r="Y194" t="e">
        <f t="shared" si="38"/>
        <v>#DIV/0!</v>
      </c>
    </row>
    <row r="195" spans="8:30" ht="18">
      <c r="H195">
        <f t="shared" si="39"/>
        <v>0</v>
      </c>
      <c r="I195">
        <f t="shared" si="35"/>
        <v>0</v>
      </c>
      <c r="J195">
        <f t="shared" si="36"/>
        <v>0</v>
      </c>
      <c r="K195" s="2463" t="s">
        <v>2798</v>
      </c>
      <c r="L195" s="305"/>
      <c r="M195" s="305"/>
      <c r="R195" s="27" t="e">
        <f t="shared" si="37"/>
        <v>#DIV/0!</v>
      </c>
      <c r="S195" s="305"/>
      <c r="T195" s="305"/>
      <c r="U195" s="305"/>
      <c r="V195" s="520" t="e">
        <f t="shared" si="33"/>
        <v>#DIV/0!</v>
      </c>
      <c r="W195">
        <f t="shared" si="34"/>
        <v>0</v>
      </c>
      <c r="X195">
        <f t="shared" si="34"/>
        <v>0</v>
      </c>
      <c r="Y195" t="e">
        <f t="shared" si="38"/>
        <v>#DIV/0!</v>
      </c>
      <c r="AC195">
        <v>154775620</v>
      </c>
    </row>
    <row r="196" spans="8:30" ht="18">
      <c r="H196">
        <f t="shared" si="39"/>
        <v>0</v>
      </c>
      <c r="I196">
        <f t="shared" si="35"/>
        <v>0</v>
      </c>
      <c r="J196">
        <f t="shared" si="36"/>
        <v>0</v>
      </c>
      <c r="K196" s="2463" t="s">
        <v>2799</v>
      </c>
      <c r="L196" s="305"/>
      <c r="M196" s="305"/>
      <c r="R196" s="27" t="e">
        <f t="shared" si="37"/>
        <v>#DIV/0!</v>
      </c>
      <c r="S196" s="305"/>
      <c r="T196" s="305"/>
      <c r="U196" s="305"/>
      <c r="V196" s="520" t="e">
        <f t="shared" si="33"/>
        <v>#DIV/0!</v>
      </c>
      <c r="W196">
        <f t="shared" si="34"/>
        <v>0</v>
      </c>
      <c r="X196">
        <f t="shared" si="34"/>
        <v>0</v>
      </c>
      <c r="Y196" t="e">
        <f t="shared" si="38"/>
        <v>#DIV/0!</v>
      </c>
      <c r="AC196">
        <f>AC195/AC193</f>
        <v>1184.6584003061614</v>
      </c>
    </row>
    <row r="197" spans="8:30" ht="18">
      <c r="H197">
        <f t="shared" si="39"/>
        <v>0</v>
      </c>
      <c r="I197">
        <f t="shared" si="35"/>
        <v>0</v>
      </c>
      <c r="J197">
        <f t="shared" si="36"/>
        <v>0</v>
      </c>
      <c r="K197" s="2463" t="s">
        <v>2800</v>
      </c>
      <c r="L197" s="305"/>
      <c r="M197" s="305"/>
      <c r="R197" s="27" t="e">
        <f t="shared" si="37"/>
        <v>#DIV/0!</v>
      </c>
      <c r="S197" s="305"/>
      <c r="T197" s="305"/>
      <c r="U197" s="305"/>
      <c r="V197" s="520" t="e">
        <f t="shared" si="33"/>
        <v>#DIV/0!</v>
      </c>
      <c r="W197">
        <f t="shared" si="34"/>
        <v>0</v>
      </c>
      <c r="X197">
        <f t="shared" si="34"/>
        <v>0</v>
      </c>
      <c r="Y197" t="e">
        <f t="shared" si="38"/>
        <v>#DIV/0!</v>
      </c>
    </row>
    <row r="198" spans="8:30" ht="18">
      <c r="H198">
        <f t="shared" si="39"/>
        <v>0</v>
      </c>
      <c r="I198">
        <f t="shared" si="35"/>
        <v>0</v>
      </c>
      <c r="J198">
        <f t="shared" si="36"/>
        <v>0</v>
      </c>
      <c r="K198" s="2463" t="s">
        <v>2801</v>
      </c>
      <c r="L198" s="305"/>
      <c r="M198" s="305"/>
      <c r="R198" s="27" t="e">
        <f t="shared" si="37"/>
        <v>#DIV/0!</v>
      </c>
      <c r="S198" s="305"/>
      <c r="T198" s="305"/>
      <c r="U198" s="305"/>
      <c r="V198" s="520" t="e">
        <f t="shared" si="33"/>
        <v>#DIV/0!</v>
      </c>
      <c r="W198">
        <f t="shared" si="34"/>
        <v>0</v>
      </c>
      <c r="X198">
        <f t="shared" si="34"/>
        <v>0</v>
      </c>
      <c r="Y198" t="e">
        <f t="shared" si="38"/>
        <v>#DIV/0!</v>
      </c>
    </row>
    <row r="199" spans="8:30" ht="18">
      <c r="H199">
        <f t="shared" si="39"/>
        <v>0</v>
      </c>
      <c r="I199">
        <f t="shared" si="35"/>
        <v>0</v>
      </c>
      <c r="J199">
        <f t="shared" si="36"/>
        <v>0</v>
      </c>
      <c r="K199" s="2463" t="s">
        <v>2802</v>
      </c>
      <c r="L199" s="305"/>
      <c r="M199" s="305"/>
      <c r="R199" s="27" t="e">
        <f t="shared" si="37"/>
        <v>#DIV/0!</v>
      </c>
      <c r="S199" s="305"/>
      <c r="T199" s="305"/>
      <c r="U199" s="305"/>
      <c r="V199" s="520" t="e">
        <f t="shared" si="33"/>
        <v>#DIV/0!</v>
      </c>
      <c r="W199">
        <f t="shared" si="34"/>
        <v>0</v>
      </c>
      <c r="X199">
        <f t="shared" si="34"/>
        <v>0</v>
      </c>
      <c r="Y199" t="e">
        <f t="shared" si="38"/>
        <v>#DIV/0!</v>
      </c>
    </row>
    <row r="200" spans="8:30" ht="18">
      <c r="H200">
        <f t="shared" si="39"/>
        <v>0</v>
      </c>
      <c r="I200">
        <f t="shared" si="35"/>
        <v>0</v>
      </c>
      <c r="J200">
        <f t="shared" si="36"/>
        <v>0</v>
      </c>
      <c r="K200" s="787" t="s">
        <v>2803</v>
      </c>
      <c r="L200" s="305"/>
      <c r="M200" s="305"/>
      <c r="R200" s="27" t="e">
        <f t="shared" si="37"/>
        <v>#DIV/0!</v>
      </c>
      <c r="S200" s="305"/>
      <c r="T200" s="305"/>
      <c r="U200" s="305"/>
      <c r="V200" s="520" t="e">
        <f t="shared" si="33"/>
        <v>#DIV/0!</v>
      </c>
      <c r="W200">
        <f t="shared" si="34"/>
        <v>0</v>
      </c>
      <c r="X200">
        <f t="shared" si="34"/>
        <v>0</v>
      </c>
      <c r="Y200" t="e">
        <f t="shared" si="38"/>
        <v>#DIV/0!</v>
      </c>
    </row>
    <row r="201" spans="8:30" ht="18">
      <c r="H201">
        <f t="shared" si="39"/>
        <v>0</v>
      </c>
      <c r="I201">
        <f t="shared" si="35"/>
        <v>0</v>
      </c>
      <c r="J201">
        <f t="shared" si="36"/>
        <v>0</v>
      </c>
      <c r="K201" s="2463" t="s">
        <v>2804</v>
      </c>
      <c r="L201" s="305"/>
      <c r="M201" s="305"/>
      <c r="R201" s="27" t="e">
        <f t="shared" si="37"/>
        <v>#DIV/0!</v>
      </c>
      <c r="S201" s="305"/>
      <c r="T201" s="305"/>
      <c r="U201" s="305"/>
      <c r="V201" s="520" t="e">
        <f t="shared" si="33"/>
        <v>#DIV/0!</v>
      </c>
      <c r="W201">
        <f t="shared" si="34"/>
        <v>0</v>
      </c>
      <c r="X201">
        <f t="shared" si="34"/>
        <v>0</v>
      </c>
      <c r="Y201" t="e">
        <f t="shared" si="38"/>
        <v>#DIV/0!</v>
      </c>
    </row>
    <row r="202" spans="8:30" ht="18">
      <c r="H202">
        <f t="shared" si="39"/>
        <v>0</v>
      </c>
      <c r="I202">
        <f t="shared" si="35"/>
        <v>0</v>
      </c>
      <c r="J202">
        <f t="shared" si="36"/>
        <v>0</v>
      </c>
      <c r="K202" s="787" t="s">
        <v>2805</v>
      </c>
      <c r="L202" s="305"/>
      <c r="M202" s="305"/>
      <c r="R202" s="27" t="e">
        <f t="shared" si="37"/>
        <v>#DIV/0!</v>
      </c>
      <c r="S202" s="305"/>
      <c r="T202" s="305"/>
      <c r="U202" s="305"/>
      <c r="V202" s="520" t="e">
        <f t="shared" si="33"/>
        <v>#DIV/0!</v>
      </c>
      <c r="W202">
        <f t="shared" si="34"/>
        <v>0</v>
      </c>
      <c r="X202">
        <f t="shared" si="34"/>
        <v>0</v>
      </c>
      <c r="Y202" t="e">
        <f t="shared" si="38"/>
        <v>#DIV/0!</v>
      </c>
    </row>
    <row r="203" spans="8:30" ht="18">
      <c r="H203">
        <f t="shared" si="39"/>
        <v>0</v>
      </c>
      <c r="I203">
        <f t="shared" si="35"/>
        <v>0</v>
      </c>
      <c r="J203">
        <f t="shared" si="36"/>
        <v>0</v>
      </c>
      <c r="K203" s="2463" t="s">
        <v>2806</v>
      </c>
      <c r="L203" s="305"/>
      <c r="M203" s="305"/>
      <c r="R203" s="27" t="e">
        <f t="shared" si="37"/>
        <v>#DIV/0!</v>
      </c>
      <c r="S203" s="305"/>
      <c r="T203" s="305"/>
      <c r="U203" s="305"/>
      <c r="V203" s="520" t="e">
        <f t="shared" si="33"/>
        <v>#DIV/0!</v>
      </c>
      <c r="W203">
        <f t="shared" si="34"/>
        <v>0</v>
      </c>
      <c r="X203">
        <f t="shared" si="34"/>
        <v>0</v>
      </c>
      <c r="Y203" t="e">
        <f t="shared" si="38"/>
        <v>#DIV/0!</v>
      </c>
    </row>
    <row r="204" spans="8:30">
      <c r="H204">
        <f t="shared" si="39"/>
        <v>0</v>
      </c>
      <c r="L204">
        <f>SUM(L173:L203)</f>
        <v>0</v>
      </c>
      <c r="M204">
        <f>SUM(M173:M203)</f>
        <v>0</v>
      </c>
      <c r="R204" t="e">
        <f>+L204/M204</f>
        <v>#DIV/0!</v>
      </c>
      <c r="S204">
        <f>SUM(S173:S203)</f>
        <v>0</v>
      </c>
      <c r="T204">
        <f>SUM(T173:T203)</f>
        <v>0</v>
      </c>
      <c r="U204">
        <f>SUM(U173:U203)</f>
        <v>0</v>
      </c>
      <c r="V204" t="e">
        <f t="shared" si="33"/>
        <v>#DIV/0!</v>
      </c>
      <c r="W204">
        <f>SUM(W173:W203)</f>
        <v>0</v>
      </c>
      <c r="X204">
        <f>SUM(X173:X203)</f>
        <v>0</v>
      </c>
      <c r="Y204" t="e">
        <f t="shared" si="38"/>
        <v>#DIV/0!</v>
      </c>
    </row>
    <row r="205" spans="8:30">
      <c r="H205">
        <f t="shared" si="39"/>
        <v>6652304</v>
      </c>
      <c r="T205" s="544">
        <v>6652304</v>
      </c>
      <c r="U205">
        <v>0</v>
      </c>
    </row>
    <row r="206" spans="8:30">
      <c r="H206">
        <f t="shared" si="39"/>
        <v>6652304</v>
      </c>
      <c r="T206" s="544">
        <f>+T205-T204</f>
        <v>6652304</v>
      </c>
    </row>
    <row r="207" spans="8:30">
      <c r="H207">
        <f t="shared" si="39"/>
        <v>0</v>
      </c>
      <c r="K207" s="2793" t="s">
        <v>2807</v>
      </c>
      <c r="L207" s="2793"/>
      <c r="M207" s="2793"/>
    </row>
    <row r="208" spans="8:30" ht="18">
      <c r="H208" t="e">
        <f t="shared" si="39"/>
        <v>#VALUE!</v>
      </c>
      <c r="I208" t="s">
        <v>2808</v>
      </c>
      <c r="L208" s="14" t="s">
        <v>2678</v>
      </c>
      <c r="M208" s="14" t="s">
        <v>2624</v>
      </c>
      <c r="N208" s="14"/>
      <c r="O208" s="84"/>
      <c r="P208" s="84"/>
      <c r="Q208" s="84"/>
      <c r="R208" s="84" t="s">
        <v>520</v>
      </c>
      <c r="S208" s="84" t="s">
        <v>2640</v>
      </c>
      <c r="T208" s="84" t="s">
        <v>2679</v>
      </c>
      <c r="U208" s="84" t="s">
        <v>524</v>
      </c>
      <c r="V208" s="84" t="s">
        <v>520</v>
      </c>
      <c r="W208" s="84" t="s">
        <v>518</v>
      </c>
      <c r="X208" s="84" t="s">
        <v>524</v>
      </c>
      <c r="Y208" s="84" t="s">
        <v>520</v>
      </c>
    </row>
    <row r="209" spans="8:25" ht="18">
      <c r="H209">
        <f t="shared" si="39"/>
        <v>0</v>
      </c>
      <c r="I209">
        <f>+J209-L209</f>
        <v>0</v>
      </c>
      <c r="J209">
        <f>+T209-S209</f>
        <v>0</v>
      </c>
      <c r="K209" s="2462" t="s">
        <v>2809</v>
      </c>
      <c r="L209" s="305"/>
      <c r="M209" s="305"/>
      <c r="R209" s="27" t="e">
        <f t="shared" ref="R209:R239" si="40">+L209/M209</f>
        <v>#DIV/0!</v>
      </c>
      <c r="S209" s="305"/>
      <c r="T209" s="305"/>
      <c r="U209">
        <v>162</v>
      </c>
      <c r="V209" s="520">
        <f t="shared" ref="V209:V239" si="41">+T209/U209</f>
        <v>0</v>
      </c>
      <c r="W209">
        <f t="shared" ref="W209:W238" si="42">+T209-L209</f>
        <v>0</v>
      </c>
      <c r="X209">
        <f t="shared" ref="X209:X238" si="43">+U209-M209</f>
        <v>162</v>
      </c>
      <c r="Y209">
        <f t="shared" ref="Y209:Y239" si="44">+W209/X209</f>
        <v>0</v>
      </c>
    </row>
    <row r="210" spans="8:25" ht="18">
      <c r="H210">
        <f t="shared" si="39"/>
        <v>0</v>
      </c>
      <c r="I210">
        <f t="shared" ref="I210:I232" si="45">+J210-L210</f>
        <v>0</v>
      </c>
      <c r="J210">
        <f t="shared" ref="J210:J238" si="46">+T210-S210</f>
        <v>0</v>
      </c>
      <c r="K210" s="2462" t="s">
        <v>2810</v>
      </c>
      <c r="L210" s="305"/>
      <c r="M210" s="305"/>
      <c r="R210" s="27" t="e">
        <f t="shared" si="40"/>
        <v>#DIV/0!</v>
      </c>
      <c r="S210" s="305"/>
      <c r="T210" s="305"/>
      <c r="U210">
        <v>423</v>
      </c>
      <c r="V210" s="520">
        <f t="shared" si="41"/>
        <v>0</v>
      </c>
      <c r="W210">
        <f t="shared" si="42"/>
        <v>0</v>
      </c>
      <c r="X210">
        <f t="shared" si="43"/>
        <v>423</v>
      </c>
      <c r="Y210">
        <f t="shared" si="44"/>
        <v>0</v>
      </c>
    </row>
    <row r="211" spans="8:25" ht="18">
      <c r="H211">
        <f t="shared" si="39"/>
        <v>0</v>
      </c>
      <c r="I211">
        <f t="shared" si="45"/>
        <v>0</v>
      </c>
      <c r="J211">
        <f t="shared" si="46"/>
        <v>0</v>
      </c>
      <c r="K211" s="2462" t="s">
        <v>2811</v>
      </c>
      <c r="L211" s="305"/>
      <c r="M211" s="305"/>
      <c r="R211" s="27" t="e">
        <f t="shared" si="40"/>
        <v>#DIV/0!</v>
      </c>
      <c r="S211" s="305"/>
      <c r="T211" s="305"/>
      <c r="U211">
        <v>372</v>
      </c>
      <c r="V211" s="520">
        <f t="shared" si="41"/>
        <v>0</v>
      </c>
      <c r="W211">
        <f t="shared" si="42"/>
        <v>0</v>
      </c>
      <c r="X211">
        <f t="shared" si="43"/>
        <v>372</v>
      </c>
      <c r="Y211">
        <f t="shared" si="44"/>
        <v>0</v>
      </c>
    </row>
    <row r="212" spans="8:25" ht="18">
      <c r="H212">
        <f t="shared" si="39"/>
        <v>0</v>
      </c>
      <c r="I212">
        <f t="shared" si="45"/>
        <v>0</v>
      </c>
      <c r="J212">
        <f t="shared" si="46"/>
        <v>0</v>
      </c>
      <c r="K212" s="2462" t="s">
        <v>2812</v>
      </c>
      <c r="L212" s="305"/>
      <c r="M212" s="305"/>
      <c r="R212" s="27" t="e">
        <f t="shared" si="40"/>
        <v>#DIV/0!</v>
      </c>
      <c r="S212" s="305"/>
      <c r="T212" s="305"/>
      <c r="U212">
        <v>414</v>
      </c>
      <c r="V212" s="520">
        <f t="shared" si="41"/>
        <v>0</v>
      </c>
      <c r="W212">
        <f t="shared" si="42"/>
        <v>0</v>
      </c>
      <c r="X212">
        <f t="shared" si="43"/>
        <v>414</v>
      </c>
      <c r="Y212">
        <f t="shared" si="44"/>
        <v>0</v>
      </c>
    </row>
    <row r="213" spans="8:25" ht="18">
      <c r="H213">
        <f t="shared" si="39"/>
        <v>0</v>
      </c>
      <c r="I213">
        <f t="shared" si="45"/>
        <v>0</v>
      </c>
      <c r="J213">
        <f t="shared" si="46"/>
        <v>0</v>
      </c>
      <c r="K213" s="2462" t="s">
        <v>2813</v>
      </c>
      <c r="L213" s="305"/>
      <c r="M213" s="305"/>
      <c r="R213" s="27" t="e">
        <f t="shared" si="40"/>
        <v>#DIV/0!</v>
      </c>
      <c r="S213" s="305"/>
      <c r="T213" s="305"/>
      <c r="U213">
        <v>431</v>
      </c>
      <c r="V213" s="520">
        <f t="shared" si="41"/>
        <v>0</v>
      </c>
      <c r="W213">
        <f t="shared" si="42"/>
        <v>0</v>
      </c>
      <c r="X213">
        <f t="shared" si="43"/>
        <v>431</v>
      </c>
      <c r="Y213">
        <f t="shared" si="44"/>
        <v>0</v>
      </c>
    </row>
    <row r="214" spans="8:25" ht="18">
      <c r="H214">
        <f t="shared" si="39"/>
        <v>0</v>
      </c>
      <c r="I214">
        <f t="shared" si="45"/>
        <v>0</v>
      </c>
      <c r="J214">
        <f t="shared" si="46"/>
        <v>0</v>
      </c>
      <c r="K214" s="2462" t="s">
        <v>2814</v>
      </c>
      <c r="L214" s="305"/>
      <c r="M214" s="305"/>
      <c r="R214" s="27" t="e">
        <f t="shared" si="40"/>
        <v>#DIV/0!</v>
      </c>
      <c r="S214" s="305"/>
      <c r="T214" s="305"/>
      <c r="U214">
        <v>528</v>
      </c>
      <c r="V214" s="520">
        <f t="shared" si="41"/>
        <v>0</v>
      </c>
      <c r="W214">
        <f t="shared" si="42"/>
        <v>0</v>
      </c>
      <c r="X214">
        <f t="shared" si="43"/>
        <v>528</v>
      </c>
      <c r="Y214">
        <f t="shared" si="44"/>
        <v>0</v>
      </c>
    </row>
    <row r="215" spans="8:25" ht="18">
      <c r="H215">
        <f t="shared" si="39"/>
        <v>0</v>
      </c>
      <c r="I215">
        <f t="shared" si="45"/>
        <v>0</v>
      </c>
      <c r="J215">
        <f t="shared" si="46"/>
        <v>0</v>
      </c>
      <c r="K215" s="2462" t="s">
        <v>2815</v>
      </c>
      <c r="L215" s="305"/>
      <c r="M215" s="305"/>
      <c r="R215" s="27" t="e">
        <f t="shared" si="40"/>
        <v>#DIV/0!</v>
      </c>
      <c r="S215" s="305"/>
      <c r="T215" s="305"/>
      <c r="U215">
        <v>366</v>
      </c>
      <c r="V215" s="520">
        <f t="shared" si="41"/>
        <v>0</v>
      </c>
      <c r="W215">
        <f t="shared" si="42"/>
        <v>0</v>
      </c>
      <c r="X215">
        <f t="shared" si="43"/>
        <v>366</v>
      </c>
      <c r="Y215">
        <f t="shared" si="44"/>
        <v>0</v>
      </c>
    </row>
    <row r="216" spans="8:25" ht="18">
      <c r="H216">
        <f t="shared" si="39"/>
        <v>0</v>
      </c>
      <c r="I216">
        <f t="shared" si="45"/>
        <v>0</v>
      </c>
      <c r="J216">
        <f t="shared" si="46"/>
        <v>0</v>
      </c>
      <c r="K216" s="2462" t="s">
        <v>2816</v>
      </c>
      <c r="L216" s="305"/>
      <c r="M216" s="305"/>
      <c r="R216" s="27" t="e">
        <f t="shared" si="40"/>
        <v>#DIV/0!</v>
      </c>
      <c r="S216" s="305"/>
      <c r="T216" s="305"/>
      <c r="U216">
        <v>412</v>
      </c>
      <c r="V216" s="520">
        <f t="shared" si="41"/>
        <v>0</v>
      </c>
      <c r="W216">
        <f t="shared" si="42"/>
        <v>0</v>
      </c>
      <c r="X216">
        <f t="shared" si="43"/>
        <v>412</v>
      </c>
      <c r="Y216">
        <f t="shared" si="44"/>
        <v>0</v>
      </c>
    </row>
    <row r="217" spans="8:25" ht="18">
      <c r="H217">
        <f t="shared" si="39"/>
        <v>0</v>
      </c>
      <c r="I217">
        <f t="shared" si="45"/>
        <v>0</v>
      </c>
      <c r="J217">
        <f t="shared" si="46"/>
        <v>0</v>
      </c>
      <c r="K217" s="2462" t="s">
        <v>2817</v>
      </c>
      <c r="L217" s="305"/>
      <c r="M217" s="305"/>
      <c r="R217" s="27" t="e">
        <f t="shared" si="40"/>
        <v>#DIV/0!</v>
      </c>
      <c r="S217" s="305"/>
      <c r="T217" s="305"/>
      <c r="U217">
        <v>474</v>
      </c>
      <c r="V217" s="520">
        <f t="shared" si="41"/>
        <v>0</v>
      </c>
      <c r="W217">
        <f t="shared" si="42"/>
        <v>0</v>
      </c>
      <c r="X217">
        <f t="shared" si="43"/>
        <v>474</v>
      </c>
      <c r="Y217">
        <f t="shared" si="44"/>
        <v>0</v>
      </c>
    </row>
    <row r="218" spans="8:25" ht="18">
      <c r="H218">
        <f t="shared" si="39"/>
        <v>0</v>
      </c>
      <c r="I218">
        <f t="shared" si="45"/>
        <v>0</v>
      </c>
      <c r="J218">
        <f t="shared" si="46"/>
        <v>0</v>
      </c>
      <c r="K218" s="2462" t="s">
        <v>2818</v>
      </c>
      <c r="L218" s="305"/>
      <c r="M218" s="305"/>
      <c r="R218" s="27" t="e">
        <f t="shared" si="40"/>
        <v>#DIV/0!</v>
      </c>
      <c r="S218" s="305"/>
      <c r="T218" s="305"/>
      <c r="U218">
        <v>473</v>
      </c>
      <c r="V218" s="520">
        <f t="shared" si="41"/>
        <v>0</v>
      </c>
      <c r="W218">
        <f t="shared" si="42"/>
        <v>0</v>
      </c>
      <c r="X218">
        <f t="shared" si="43"/>
        <v>473</v>
      </c>
      <c r="Y218">
        <f t="shared" si="44"/>
        <v>0</v>
      </c>
    </row>
    <row r="219" spans="8:25" ht="18">
      <c r="H219">
        <f t="shared" si="39"/>
        <v>0</v>
      </c>
      <c r="I219">
        <f t="shared" si="45"/>
        <v>0</v>
      </c>
      <c r="J219">
        <f t="shared" si="46"/>
        <v>0</v>
      </c>
      <c r="K219" s="2433" t="s">
        <v>2819</v>
      </c>
      <c r="L219" s="305"/>
      <c r="M219" s="305"/>
      <c r="R219" s="27" t="e">
        <f t="shared" si="40"/>
        <v>#DIV/0!</v>
      </c>
      <c r="S219" s="305"/>
      <c r="T219" s="305"/>
      <c r="U219">
        <v>474</v>
      </c>
      <c r="V219" s="520">
        <f t="shared" si="41"/>
        <v>0</v>
      </c>
      <c r="W219">
        <f t="shared" si="42"/>
        <v>0</v>
      </c>
      <c r="X219">
        <f t="shared" si="43"/>
        <v>474</v>
      </c>
      <c r="Y219">
        <f t="shared" si="44"/>
        <v>0</v>
      </c>
    </row>
    <row r="220" spans="8:25" ht="18">
      <c r="H220">
        <f t="shared" si="39"/>
        <v>0</v>
      </c>
      <c r="I220">
        <f t="shared" si="45"/>
        <v>0</v>
      </c>
      <c r="J220">
        <f t="shared" si="46"/>
        <v>0</v>
      </c>
      <c r="K220" s="2462" t="s">
        <v>2820</v>
      </c>
      <c r="L220" s="305"/>
      <c r="M220" s="305"/>
      <c r="R220" s="27" t="e">
        <f t="shared" si="40"/>
        <v>#DIV/0!</v>
      </c>
      <c r="S220" s="305"/>
      <c r="T220" s="305"/>
      <c r="U220">
        <v>422</v>
      </c>
      <c r="V220" s="520">
        <f t="shared" si="41"/>
        <v>0</v>
      </c>
      <c r="W220">
        <f t="shared" si="42"/>
        <v>0</v>
      </c>
      <c r="X220">
        <f t="shared" si="43"/>
        <v>422</v>
      </c>
      <c r="Y220">
        <f t="shared" si="44"/>
        <v>0</v>
      </c>
    </row>
    <row r="221" spans="8:25" ht="18">
      <c r="H221">
        <f t="shared" si="39"/>
        <v>0</v>
      </c>
      <c r="I221">
        <f t="shared" si="45"/>
        <v>0</v>
      </c>
      <c r="J221">
        <f t="shared" si="46"/>
        <v>0</v>
      </c>
      <c r="K221" t="s">
        <v>2821</v>
      </c>
      <c r="L221" s="305"/>
      <c r="M221" s="305"/>
      <c r="R221" s="27" t="e">
        <f t="shared" si="40"/>
        <v>#DIV/0!</v>
      </c>
      <c r="S221" s="305"/>
      <c r="T221" s="305"/>
      <c r="U221">
        <v>476</v>
      </c>
      <c r="V221" s="520">
        <f t="shared" si="41"/>
        <v>0</v>
      </c>
      <c r="W221">
        <f t="shared" si="42"/>
        <v>0</v>
      </c>
      <c r="X221">
        <f t="shared" si="43"/>
        <v>476</v>
      </c>
      <c r="Y221">
        <f t="shared" si="44"/>
        <v>0</v>
      </c>
    </row>
    <row r="222" spans="8:25" ht="18">
      <c r="H222">
        <f t="shared" si="39"/>
        <v>0</v>
      </c>
      <c r="I222">
        <f t="shared" si="45"/>
        <v>0</v>
      </c>
      <c r="J222">
        <f t="shared" si="46"/>
        <v>0</v>
      </c>
      <c r="K222" s="2462" t="s">
        <v>2822</v>
      </c>
      <c r="L222" s="305"/>
      <c r="M222" s="305"/>
      <c r="R222" s="27" t="e">
        <f t="shared" si="40"/>
        <v>#DIV/0!</v>
      </c>
      <c r="S222" s="305"/>
      <c r="T222" s="305"/>
      <c r="U222">
        <v>533</v>
      </c>
      <c r="V222" s="520">
        <f t="shared" si="41"/>
        <v>0</v>
      </c>
      <c r="W222">
        <f t="shared" si="42"/>
        <v>0</v>
      </c>
      <c r="X222">
        <f t="shared" si="43"/>
        <v>533</v>
      </c>
      <c r="Y222">
        <f t="shared" si="44"/>
        <v>0</v>
      </c>
    </row>
    <row r="223" spans="8:25" ht="18">
      <c r="H223">
        <f t="shared" si="39"/>
        <v>0</v>
      </c>
      <c r="I223">
        <f t="shared" si="45"/>
        <v>0</v>
      </c>
      <c r="J223">
        <f t="shared" si="46"/>
        <v>0</v>
      </c>
      <c r="K223" s="2462" t="s">
        <v>2823</v>
      </c>
      <c r="L223" s="305"/>
      <c r="M223" s="305"/>
      <c r="R223" s="27" t="e">
        <f t="shared" si="40"/>
        <v>#DIV/0!</v>
      </c>
      <c r="S223" s="305"/>
      <c r="T223" s="305"/>
      <c r="U223">
        <v>370</v>
      </c>
      <c r="V223" s="520">
        <f t="shared" si="41"/>
        <v>0</v>
      </c>
      <c r="W223">
        <f t="shared" si="42"/>
        <v>0</v>
      </c>
      <c r="X223">
        <f t="shared" si="43"/>
        <v>370</v>
      </c>
      <c r="Y223">
        <f t="shared" si="44"/>
        <v>0</v>
      </c>
    </row>
    <row r="224" spans="8:25" ht="18">
      <c r="H224">
        <f t="shared" si="39"/>
        <v>0</v>
      </c>
      <c r="I224">
        <f t="shared" si="45"/>
        <v>0</v>
      </c>
      <c r="J224">
        <f t="shared" si="46"/>
        <v>0</v>
      </c>
      <c r="K224" s="2462" t="s">
        <v>2824</v>
      </c>
      <c r="L224" s="305"/>
      <c r="M224" s="305"/>
      <c r="R224" s="27" t="e">
        <f t="shared" si="40"/>
        <v>#DIV/0!</v>
      </c>
      <c r="S224" s="305"/>
      <c r="T224" s="305"/>
      <c r="U224">
        <v>472</v>
      </c>
      <c r="V224" s="520">
        <f t="shared" si="41"/>
        <v>0</v>
      </c>
      <c r="W224">
        <f t="shared" si="42"/>
        <v>0</v>
      </c>
      <c r="X224">
        <f t="shared" si="43"/>
        <v>472</v>
      </c>
      <c r="Y224">
        <f t="shared" si="44"/>
        <v>0</v>
      </c>
    </row>
    <row r="225" spans="8:25" ht="18">
      <c r="H225">
        <f t="shared" si="39"/>
        <v>0</v>
      </c>
      <c r="I225">
        <f t="shared" si="45"/>
        <v>0</v>
      </c>
      <c r="J225">
        <f t="shared" si="46"/>
        <v>0</v>
      </c>
      <c r="K225" s="2462" t="s">
        <v>2825</v>
      </c>
      <c r="L225" s="305"/>
      <c r="M225" s="305"/>
      <c r="R225" s="27" t="e">
        <f t="shared" si="40"/>
        <v>#DIV/0!</v>
      </c>
      <c r="S225" s="305"/>
      <c r="T225" s="305"/>
      <c r="U225">
        <v>412</v>
      </c>
      <c r="V225" s="520">
        <f t="shared" si="41"/>
        <v>0</v>
      </c>
      <c r="W225">
        <f t="shared" si="42"/>
        <v>0</v>
      </c>
      <c r="X225">
        <f t="shared" si="43"/>
        <v>412</v>
      </c>
      <c r="Y225">
        <f t="shared" si="44"/>
        <v>0</v>
      </c>
    </row>
    <row r="226" spans="8:25" ht="18">
      <c r="H226">
        <f t="shared" si="39"/>
        <v>0</v>
      </c>
      <c r="I226">
        <f t="shared" si="45"/>
        <v>0</v>
      </c>
      <c r="J226">
        <f t="shared" si="46"/>
        <v>0</v>
      </c>
      <c r="K226" s="2462" t="s">
        <v>2826</v>
      </c>
      <c r="L226" s="305"/>
      <c r="M226" s="305"/>
      <c r="R226" s="27" t="e">
        <f t="shared" si="40"/>
        <v>#DIV/0!</v>
      </c>
      <c r="S226" s="305"/>
      <c r="T226" s="305"/>
      <c r="U226">
        <v>309</v>
      </c>
      <c r="V226" s="520">
        <f t="shared" si="41"/>
        <v>0</v>
      </c>
      <c r="W226">
        <f t="shared" si="42"/>
        <v>0</v>
      </c>
      <c r="X226">
        <f t="shared" si="43"/>
        <v>309</v>
      </c>
      <c r="Y226">
        <f t="shared" si="44"/>
        <v>0</v>
      </c>
    </row>
    <row r="227" spans="8:25" ht="18">
      <c r="H227">
        <f t="shared" si="39"/>
        <v>0</v>
      </c>
      <c r="I227">
        <f t="shared" si="45"/>
        <v>0</v>
      </c>
      <c r="J227">
        <f t="shared" si="46"/>
        <v>0</v>
      </c>
      <c r="K227" s="2462" t="s">
        <v>2827</v>
      </c>
      <c r="L227" s="305"/>
      <c r="M227" s="305"/>
      <c r="R227" s="27" t="e">
        <f t="shared" si="40"/>
        <v>#DIV/0!</v>
      </c>
      <c r="S227" s="305"/>
      <c r="T227" s="305"/>
      <c r="U227">
        <v>202</v>
      </c>
      <c r="V227" s="520">
        <f t="shared" si="41"/>
        <v>0</v>
      </c>
      <c r="W227">
        <f t="shared" si="42"/>
        <v>0</v>
      </c>
      <c r="X227">
        <f t="shared" si="43"/>
        <v>202</v>
      </c>
      <c r="Y227">
        <f t="shared" si="44"/>
        <v>0</v>
      </c>
    </row>
    <row r="228" spans="8:25" ht="18">
      <c r="H228">
        <f t="shared" si="39"/>
        <v>0</v>
      </c>
      <c r="I228">
        <f t="shared" si="45"/>
        <v>0</v>
      </c>
      <c r="J228">
        <f t="shared" si="46"/>
        <v>0</v>
      </c>
      <c r="K228" s="2462" t="s">
        <v>2828</v>
      </c>
      <c r="L228" s="305"/>
      <c r="M228" s="305"/>
      <c r="R228" s="27" t="e">
        <f t="shared" si="40"/>
        <v>#DIV/0!</v>
      </c>
      <c r="S228" s="305"/>
      <c r="T228" s="305"/>
      <c r="U228">
        <v>261</v>
      </c>
      <c r="V228" s="520">
        <f t="shared" si="41"/>
        <v>0</v>
      </c>
      <c r="W228">
        <f t="shared" si="42"/>
        <v>0</v>
      </c>
      <c r="X228">
        <f t="shared" si="43"/>
        <v>261</v>
      </c>
      <c r="Y228">
        <f t="shared" si="44"/>
        <v>0</v>
      </c>
    </row>
    <row r="229" spans="8:25" ht="18">
      <c r="H229">
        <f t="shared" si="39"/>
        <v>0</v>
      </c>
      <c r="I229">
        <f t="shared" si="45"/>
        <v>0</v>
      </c>
      <c r="J229">
        <f t="shared" si="46"/>
        <v>0</v>
      </c>
      <c r="K229" s="2462" t="s">
        <v>2829</v>
      </c>
      <c r="L229" s="305"/>
      <c r="M229" s="305"/>
      <c r="R229" s="27" t="e">
        <f t="shared" si="40"/>
        <v>#DIV/0!</v>
      </c>
      <c r="S229" s="305"/>
      <c r="T229" s="305"/>
      <c r="U229">
        <v>201</v>
      </c>
      <c r="V229" s="520">
        <f t="shared" si="41"/>
        <v>0</v>
      </c>
      <c r="W229">
        <f t="shared" si="42"/>
        <v>0</v>
      </c>
      <c r="X229">
        <f t="shared" si="43"/>
        <v>201</v>
      </c>
      <c r="Y229">
        <f t="shared" si="44"/>
        <v>0</v>
      </c>
    </row>
    <row r="230" spans="8:25" ht="18">
      <c r="H230">
        <f t="shared" si="39"/>
        <v>0</v>
      </c>
      <c r="I230">
        <f t="shared" si="45"/>
        <v>0</v>
      </c>
      <c r="J230">
        <f t="shared" si="46"/>
        <v>0</v>
      </c>
      <c r="K230" s="2462" t="s">
        <v>2830</v>
      </c>
      <c r="L230" s="305"/>
      <c r="M230" s="305"/>
      <c r="R230" s="27" t="e">
        <f t="shared" si="40"/>
        <v>#DIV/0!</v>
      </c>
      <c r="S230" s="305"/>
      <c r="T230" s="305"/>
      <c r="U230">
        <v>251</v>
      </c>
      <c r="V230" s="520">
        <f t="shared" si="41"/>
        <v>0</v>
      </c>
      <c r="W230">
        <f t="shared" si="42"/>
        <v>0</v>
      </c>
      <c r="X230">
        <f t="shared" si="43"/>
        <v>251</v>
      </c>
      <c r="Y230">
        <f t="shared" si="44"/>
        <v>0</v>
      </c>
    </row>
    <row r="231" spans="8:25" ht="18">
      <c r="H231">
        <f t="shared" si="39"/>
        <v>0</v>
      </c>
      <c r="I231">
        <f t="shared" si="45"/>
        <v>0</v>
      </c>
      <c r="J231">
        <f t="shared" si="46"/>
        <v>0</v>
      </c>
      <c r="K231" s="2462" t="s">
        <v>2831</v>
      </c>
      <c r="L231" s="305"/>
      <c r="M231" s="305"/>
      <c r="R231" s="27" t="e">
        <f t="shared" si="40"/>
        <v>#DIV/0!</v>
      </c>
      <c r="S231" s="305"/>
      <c r="T231" s="305"/>
      <c r="U231">
        <v>419</v>
      </c>
      <c r="V231" s="520">
        <f t="shared" si="41"/>
        <v>0</v>
      </c>
      <c r="W231">
        <f t="shared" si="42"/>
        <v>0</v>
      </c>
      <c r="X231">
        <f t="shared" si="43"/>
        <v>419</v>
      </c>
      <c r="Y231">
        <f t="shared" si="44"/>
        <v>0</v>
      </c>
    </row>
    <row r="232" spans="8:25" ht="18">
      <c r="H232">
        <f t="shared" si="39"/>
        <v>0</v>
      </c>
      <c r="I232">
        <f t="shared" si="45"/>
        <v>0</v>
      </c>
      <c r="J232">
        <f t="shared" si="46"/>
        <v>0</v>
      </c>
      <c r="K232" s="2462" t="s">
        <v>2832</v>
      </c>
      <c r="L232" s="305"/>
      <c r="M232" s="305"/>
      <c r="R232" s="27" t="e">
        <f t="shared" si="40"/>
        <v>#DIV/0!</v>
      </c>
      <c r="S232" s="305"/>
      <c r="T232" s="305"/>
      <c r="U232">
        <v>498</v>
      </c>
      <c r="V232" s="520">
        <f t="shared" si="41"/>
        <v>0</v>
      </c>
      <c r="W232">
        <f t="shared" si="42"/>
        <v>0</v>
      </c>
      <c r="X232">
        <f t="shared" si="43"/>
        <v>498</v>
      </c>
      <c r="Y232">
        <f t="shared" si="44"/>
        <v>0</v>
      </c>
    </row>
    <row r="233" spans="8:25" ht="18">
      <c r="H233">
        <f t="shared" si="39"/>
        <v>0</v>
      </c>
      <c r="I233">
        <f t="shared" ref="I233:I238" si="47">J233-L233</f>
        <v>0</v>
      </c>
      <c r="J233">
        <f t="shared" si="46"/>
        <v>0</v>
      </c>
      <c r="K233" s="2462" t="s">
        <v>2833</v>
      </c>
      <c r="L233" s="305"/>
      <c r="M233" s="305"/>
      <c r="R233" s="27" t="e">
        <f t="shared" si="40"/>
        <v>#DIV/0!</v>
      </c>
      <c r="S233" s="305"/>
      <c r="T233" s="305"/>
      <c r="U233">
        <v>415</v>
      </c>
      <c r="V233" s="520">
        <f t="shared" si="41"/>
        <v>0</v>
      </c>
      <c r="W233">
        <f t="shared" si="42"/>
        <v>0</v>
      </c>
      <c r="X233">
        <f t="shared" si="43"/>
        <v>415</v>
      </c>
      <c r="Y233">
        <f t="shared" si="44"/>
        <v>0</v>
      </c>
    </row>
    <row r="234" spans="8:25" ht="18">
      <c r="H234">
        <f t="shared" si="39"/>
        <v>0</v>
      </c>
      <c r="I234">
        <f t="shared" si="47"/>
        <v>0</v>
      </c>
      <c r="J234">
        <f t="shared" si="46"/>
        <v>0</v>
      </c>
      <c r="K234" s="2462" t="s">
        <v>2834</v>
      </c>
      <c r="L234" s="305"/>
      <c r="M234" s="305"/>
      <c r="R234" s="27" t="e">
        <f t="shared" si="40"/>
        <v>#DIV/0!</v>
      </c>
      <c r="S234" s="305"/>
      <c r="T234" s="305"/>
      <c r="U234">
        <v>528</v>
      </c>
      <c r="V234" s="520">
        <f t="shared" si="41"/>
        <v>0</v>
      </c>
      <c r="W234">
        <f t="shared" si="42"/>
        <v>0</v>
      </c>
      <c r="X234">
        <f t="shared" si="43"/>
        <v>528</v>
      </c>
      <c r="Y234">
        <f t="shared" si="44"/>
        <v>0</v>
      </c>
    </row>
    <row r="235" spans="8:25" ht="18">
      <c r="H235">
        <f t="shared" si="39"/>
        <v>0</v>
      </c>
      <c r="I235">
        <f t="shared" si="47"/>
        <v>0</v>
      </c>
      <c r="J235">
        <f t="shared" si="46"/>
        <v>0</v>
      </c>
      <c r="K235" s="2462" t="s">
        <v>2835</v>
      </c>
      <c r="L235" s="305"/>
      <c r="M235" s="305"/>
      <c r="R235" s="27" t="e">
        <f t="shared" si="40"/>
        <v>#DIV/0!</v>
      </c>
      <c r="S235" s="305"/>
      <c r="T235" s="305"/>
      <c r="U235">
        <v>570</v>
      </c>
      <c r="V235" s="520">
        <f t="shared" si="41"/>
        <v>0</v>
      </c>
      <c r="W235">
        <f t="shared" si="42"/>
        <v>0</v>
      </c>
      <c r="X235">
        <f t="shared" si="43"/>
        <v>570</v>
      </c>
      <c r="Y235">
        <f t="shared" si="44"/>
        <v>0</v>
      </c>
    </row>
    <row r="236" spans="8:25" ht="18">
      <c r="H236">
        <f t="shared" si="39"/>
        <v>0</v>
      </c>
      <c r="I236">
        <f t="shared" si="47"/>
        <v>0</v>
      </c>
      <c r="J236">
        <f t="shared" si="46"/>
        <v>0</v>
      </c>
      <c r="K236" t="s">
        <v>2836</v>
      </c>
      <c r="L236" s="305"/>
      <c r="M236" s="305"/>
      <c r="R236" s="27" t="e">
        <f t="shared" si="40"/>
        <v>#DIV/0!</v>
      </c>
      <c r="S236" s="305"/>
      <c r="T236" s="305"/>
      <c r="U236">
        <v>418</v>
      </c>
      <c r="V236" s="520">
        <f t="shared" si="41"/>
        <v>0</v>
      </c>
      <c r="W236">
        <f t="shared" si="42"/>
        <v>0</v>
      </c>
      <c r="X236">
        <f t="shared" si="43"/>
        <v>418</v>
      </c>
      <c r="Y236">
        <f t="shared" si="44"/>
        <v>0</v>
      </c>
    </row>
    <row r="237" spans="8:25" ht="18">
      <c r="H237">
        <f t="shared" si="39"/>
        <v>0</v>
      </c>
      <c r="I237">
        <f t="shared" si="47"/>
        <v>0</v>
      </c>
      <c r="J237">
        <f t="shared" si="46"/>
        <v>0</v>
      </c>
      <c r="K237" s="2462" t="s">
        <v>2837</v>
      </c>
      <c r="L237" s="305"/>
      <c r="M237" s="305"/>
      <c r="R237" s="27" t="e">
        <f t="shared" si="40"/>
        <v>#DIV/0!</v>
      </c>
      <c r="S237" s="305"/>
      <c r="T237" s="305"/>
      <c r="U237">
        <v>480</v>
      </c>
      <c r="V237" s="520">
        <f t="shared" si="41"/>
        <v>0</v>
      </c>
      <c r="W237">
        <f t="shared" si="42"/>
        <v>0</v>
      </c>
      <c r="X237">
        <f t="shared" si="43"/>
        <v>480</v>
      </c>
      <c r="Y237">
        <f t="shared" si="44"/>
        <v>0</v>
      </c>
    </row>
    <row r="238" spans="8:25" ht="18">
      <c r="H238">
        <f t="shared" si="39"/>
        <v>0</v>
      </c>
      <c r="I238">
        <f t="shared" si="47"/>
        <v>0</v>
      </c>
      <c r="J238">
        <f t="shared" si="46"/>
        <v>0</v>
      </c>
      <c r="K238" t="s">
        <v>2838</v>
      </c>
      <c r="L238" s="305"/>
      <c r="M238" s="305"/>
      <c r="R238" s="27" t="e">
        <f t="shared" si="40"/>
        <v>#DIV/0!</v>
      </c>
      <c r="S238" s="305"/>
      <c r="T238" s="305"/>
      <c r="U238">
        <v>769</v>
      </c>
      <c r="V238" s="520">
        <f t="shared" si="41"/>
        <v>0</v>
      </c>
      <c r="W238">
        <f t="shared" si="42"/>
        <v>0</v>
      </c>
      <c r="X238">
        <f t="shared" si="43"/>
        <v>769</v>
      </c>
      <c r="Y238">
        <f t="shared" si="44"/>
        <v>0</v>
      </c>
    </row>
    <row r="239" spans="8:25">
      <c r="H239">
        <f t="shared" si="39"/>
        <v>0</v>
      </c>
      <c r="I239">
        <v>80</v>
      </c>
      <c r="L239">
        <f>SUM(L209:L238)</f>
        <v>0</v>
      </c>
      <c r="M239">
        <f>SUM(M209:M238)</f>
        <v>0</v>
      </c>
      <c r="R239" t="e">
        <f t="shared" si="40"/>
        <v>#DIV/0!</v>
      </c>
      <c r="S239">
        <f>SUM(S209:S238)</f>
        <v>0</v>
      </c>
      <c r="T239">
        <f>SUM(T209:T238)</f>
        <v>0</v>
      </c>
      <c r="U239" s="520">
        <f>SUM(U209:U238)</f>
        <v>12535</v>
      </c>
      <c r="V239">
        <f t="shared" si="41"/>
        <v>0</v>
      </c>
      <c r="W239">
        <f>SUM(W209:W238)</f>
        <v>0</v>
      </c>
      <c r="X239">
        <f>SUM(X209:X238)</f>
        <v>12535</v>
      </c>
      <c r="Y239">
        <f t="shared" si="44"/>
        <v>0</v>
      </c>
    </row>
    <row r="240" spans="8:25">
      <c r="H240">
        <f t="shared" si="39"/>
        <v>6049841</v>
      </c>
      <c r="T240">
        <v>6049841</v>
      </c>
      <c r="U240">
        <v>4845.2359999999999</v>
      </c>
    </row>
    <row r="241" spans="8:25">
      <c r="H241">
        <f t="shared" si="39"/>
        <v>0</v>
      </c>
    </row>
    <row r="242" spans="8:25">
      <c r="H242" t="e">
        <f t="shared" si="39"/>
        <v>#VALUE!</v>
      </c>
      <c r="L242" s="2915" t="s">
        <v>829</v>
      </c>
      <c r="M242" s="2915"/>
      <c r="T242" s="2915" t="s">
        <v>2839</v>
      </c>
      <c r="U242" s="2915"/>
      <c r="W242" s="2915" t="s">
        <v>2840</v>
      </c>
      <c r="X242" s="2915"/>
      <c r="Y242" s="2915"/>
    </row>
    <row r="243" spans="8:25" ht="18">
      <c r="H243" t="e">
        <f t="shared" si="39"/>
        <v>#VALUE!</v>
      </c>
      <c r="L243" s="14" t="s">
        <v>2678</v>
      </c>
      <c r="M243" s="14" t="s">
        <v>2624</v>
      </c>
      <c r="N243" s="14"/>
      <c r="O243" s="84"/>
      <c r="P243" s="84"/>
      <c r="Q243" s="84"/>
      <c r="R243" s="84" t="s">
        <v>520</v>
      </c>
      <c r="S243" s="84" t="s">
        <v>2640</v>
      </c>
      <c r="T243" s="84" t="s">
        <v>2679</v>
      </c>
      <c r="U243" s="84" t="s">
        <v>524</v>
      </c>
      <c r="V243" s="84" t="s">
        <v>520</v>
      </c>
      <c r="W243" s="84" t="s">
        <v>518</v>
      </c>
      <c r="X243" s="84" t="s">
        <v>524</v>
      </c>
      <c r="Y243" s="84" t="s">
        <v>520</v>
      </c>
    </row>
    <row r="244" spans="8:25" ht="18">
      <c r="H244">
        <f t="shared" si="39"/>
        <v>0</v>
      </c>
      <c r="J244">
        <f t="shared" ref="J244:J274" si="48">+T244-S244</f>
        <v>0</v>
      </c>
      <c r="K244" s="2462" t="s">
        <v>2841</v>
      </c>
      <c r="L244" s="305"/>
      <c r="M244" s="305"/>
      <c r="R244" s="27" t="e">
        <f t="shared" ref="R244:R276" si="49">+L244/M244</f>
        <v>#DIV/0!</v>
      </c>
      <c r="S244" s="305"/>
      <c r="T244" s="305"/>
      <c r="U244" s="305"/>
      <c r="V244" s="520" t="e">
        <f t="shared" ref="V244:V276" si="50">+T244/U244</f>
        <v>#DIV/0!</v>
      </c>
      <c r="W244">
        <f t="shared" ref="W244:W274" si="51">+T244-L244</f>
        <v>0</v>
      </c>
      <c r="X244">
        <f t="shared" ref="X244:X274" si="52">+U244-M244</f>
        <v>0</v>
      </c>
      <c r="Y244" t="e">
        <f>+W244/X244</f>
        <v>#DIV/0!</v>
      </c>
    </row>
    <row r="245" spans="8:25" ht="18">
      <c r="H245">
        <f t="shared" si="39"/>
        <v>0</v>
      </c>
      <c r="J245">
        <f t="shared" si="48"/>
        <v>0</v>
      </c>
      <c r="K245" s="2462" t="s">
        <v>2842</v>
      </c>
      <c r="L245" s="305"/>
      <c r="M245" s="305"/>
      <c r="R245" s="27" t="e">
        <f t="shared" si="49"/>
        <v>#DIV/0!</v>
      </c>
      <c r="S245" s="305"/>
      <c r="T245" s="305"/>
      <c r="U245" s="305"/>
      <c r="V245" s="520" t="e">
        <f t="shared" si="50"/>
        <v>#DIV/0!</v>
      </c>
      <c r="W245">
        <f t="shared" si="51"/>
        <v>0</v>
      </c>
      <c r="X245">
        <f t="shared" si="52"/>
        <v>0</v>
      </c>
      <c r="Y245" t="e">
        <f>+W245/X245</f>
        <v>#DIV/0!</v>
      </c>
    </row>
    <row r="246" spans="8:25" ht="18">
      <c r="H246">
        <f t="shared" si="39"/>
        <v>0</v>
      </c>
      <c r="J246">
        <f t="shared" si="48"/>
        <v>0</v>
      </c>
      <c r="K246" s="2462" t="s">
        <v>2843</v>
      </c>
      <c r="L246" s="305"/>
      <c r="M246" s="305"/>
      <c r="R246" s="27" t="e">
        <f t="shared" si="49"/>
        <v>#DIV/0!</v>
      </c>
      <c r="S246" s="305"/>
      <c r="T246" s="305"/>
      <c r="U246" s="305"/>
      <c r="V246" s="520" t="e">
        <f t="shared" si="50"/>
        <v>#DIV/0!</v>
      </c>
      <c r="W246">
        <f t="shared" si="51"/>
        <v>0</v>
      </c>
      <c r="X246">
        <f t="shared" si="52"/>
        <v>0</v>
      </c>
      <c r="Y246" t="e">
        <f t="shared" ref="Y246:Y276" si="53">+W246/X246</f>
        <v>#DIV/0!</v>
      </c>
    </row>
    <row r="247" spans="8:25" ht="18">
      <c r="H247">
        <f t="shared" si="39"/>
        <v>0</v>
      </c>
      <c r="J247">
        <f t="shared" si="48"/>
        <v>0</v>
      </c>
      <c r="K247" s="2462" t="s">
        <v>2844</v>
      </c>
      <c r="L247" s="305"/>
      <c r="M247" s="305"/>
      <c r="R247" s="27" t="e">
        <f t="shared" si="49"/>
        <v>#DIV/0!</v>
      </c>
      <c r="S247" s="305"/>
      <c r="T247" s="305"/>
      <c r="U247" s="305"/>
      <c r="V247" s="520" t="e">
        <f t="shared" si="50"/>
        <v>#DIV/0!</v>
      </c>
      <c r="W247">
        <f t="shared" si="51"/>
        <v>0</v>
      </c>
      <c r="X247">
        <f t="shared" si="52"/>
        <v>0</v>
      </c>
      <c r="Y247" t="e">
        <f t="shared" si="53"/>
        <v>#DIV/0!</v>
      </c>
    </row>
    <row r="248" spans="8:25" ht="18">
      <c r="H248">
        <f t="shared" si="39"/>
        <v>0</v>
      </c>
      <c r="J248">
        <f t="shared" si="48"/>
        <v>0</v>
      </c>
      <c r="K248" s="2462" t="s">
        <v>2845</v>
      </c>
      <c r="L248" s="305"/>
      <c r="M248" s="305"/>
      <c r="R248" s="27" t="e">
        <f t="shared" si="49"/>
        <v>#DIV/0!</v>
      </c>
      <c r="S248" s="305"/>
      <c r="T248" s="305"/>
      <c r="U248" s="305"/>
      <c r="V248" s="520" t="e">
        <f t="shared" si="50"/>
        <v>#DIV/0!</v>
      </c>
      <c r="W248">
        <f t="shared" si="51"/>
        <v>0</v>
      </c>
      <c r="X248">
        <f t="shared" si="52"/>
        <v>0</v>
      </c>
      <c r="Y248" t="e">
        <f t="shared" si="53"/>
        <v>#DIV/0!</v>
      </c>
    </row>
    <row r="249" spans="8:25" ht="18">
      <c r="H249">
        <f t="shared" si="39"/>
        <v>0</v>
      </c>
      <c r="J249">
        <f t="shared" si="48"/>
        <v>0</v>
      </c>
      <c r="K249" s="2462" t="s">
        <v>2846</v>
      </c>
      <c r="L249" s="305"/>
      <c r="M249" s="305"/>
      <c r="R249" s="27" t="e">
        <f t="shared" si="49"/>
        <v>#DIV/0!</v>
      </c>
      <c r="S249" s="305"/>
      <c r="T249" s="305"/>
      <c r="U249" s="305"/>
      <c r="V249" s="520" t="e">
        <f t="shared" si="50"/>
        <v>#DIV/0!</v>
      </c>
      <c r="W249">
        <f t="shared" si="51"/>
        <v>0</v>
      </c>
      <c r="X249">
        <f t="shared" si="52"/>
        <v>0</v>
      </c>
      <c r="Y249" t="e">
        <f t="shared" si="53"/>
        <v>#DIV/0!</v>
      </c>
    </row>
    <row r="250" spans="8:25" ht="18">
      <c r="H250">
        <f t="shared" si="39"/>
        <v>0</v>
      </c>
      <c r="J250">
        <f t="shared" si="48"/>
        <v>0</v>
      </c>
      <c r="K250" s="2462" t="s">
        <v>2847</v>
      </c>
      <c r="L250" s="305"/>
      <c r="M250" s="305"/>
      <c r="R250" s="27" t="e">
        <f t="shared" si="49"/>
        <v>#DIV/0!</v>
      </c>
      <c r="S250" s="305"/>
      <c r="T250" s="305"/>
      <c r="U250" s="305"/>
      <c r="V250" s="520" t="e">
        <f t="shared" si="50"/>
        <v>#DIV/0!</v>
      </c>
      <c r="W250">
        <f t="shared" si="51"/>
        <v>0</v>
      </c>
      <c r="X250">
        <f t="shared" si="52"/>
        <v>0</v>
      </c>
      <c r="Y250" t="e">
        <f t="shared" si="53"/>
        <v>#DIV/0!</v>
      </c>
    </row>
    <row r="251" spans="8:25" ht="18">
      <c r="H251">
        <f t="shared" si="39"/>
        <v>0</v>
      </c>
      <c r="J251">
        <f t="shared" si="48"/>
        <v>0</v>
      </c>
      <c r="K251" s="2462" t="s">
        <v>2848</v>
      </c>
      <c r="L251" s="305"/>
      <c r="M251" s="305"/>
      <c r="R251" s="27" t="e">
        <f t="shared" si="49"/>
        <v>#DIV/0!</v>
      </c>
      <c r="S251" s="305"/>
      <c r="T251" s="305"/>
      <c r="U251" s="305"/>
      <c r="V251" s="520" t="e">
        <f t="shared" si="50"/>
        <v>#DIV/0!</v>
      </c>
      <c r="W251">
        <f t="shared" si="51"/>
        <v>0</v>
      </c>
      <c r="X251">
        <f t="shared" si="52"/>
        <v>0</v>
      </c>
      <c r="Y251" t="e">
        <f t="shared" si="53"/>
        <v>#DIV/0!</v>
      </c>
    </row>
    <row r="252" spans="8:25" ht="18">
      <c r="H252">
        <f t="shared" si="39"/>
        <v>0</v>
      </c>
      <c r="J252">
        <f t="shared" si="48"/>
        <v>0</v>
      </c>
      <c r="K252" s="2462" t="s">
        <v>2849</v>
      </c>
      <c r="L252" s="305"/>
      <c r="M252" s="305"/>
      <c r="R252" s="27" t="e">
        <f t="shared" si="49"/>
        <v>#DIV/0!</v>
      </c>
      <c r="S252" s="305"/>
      <c r="T252" s="305"/>
      <c r="U252" s="305"/>
      <c r="V252" s="520" t="e">
        <f t="shared" si="50"/>
        <v>#DIV/0!</v>
      </c>
      <c r="W252">
        <f t="shared" si="51"/>
        <v>0</v>
      </c>
      <c r="X252">
        <f t="shared" si="52"/>
        <v>0</v>
      </c>
      <c r="Y252" t="e">
        <f t="shared" si="53"/>
        <v>#DIV/0!</v>
      </c>
    </row>
    <row r="253" spans="8:25" ht="18">
      <c r="H253">
        <f t="shared" si="39"/>
        <v>0</v>
      </c>
      <c r="J253">
        <f t="shared" si="48"/>
        <v>0</v>
      </c>
      <c r="K253" s="2462" t="s">
        <v>2850</v>
      </c>
      <c r="L253" s="305"/>
      <c r="M253" s="305"/>
      <c r="R253" s="27" t="e">
        <f t="shared" si="49"/>
        <v>#DIV/0!</v>
      </c>
      <c r="S253" s="305"/>
      <c r="T253" s="305"/>
      <c r="U253" s="305"/>
      <c r="V253" s="520" t="e">
        <f t="shared" si="50"/>
        <v>#DIV/0!</v>
      </c>
      <c r="W253">
        <f t="shared" si="51"/>
        <v>0</v>
      </c>
      <c r="X253">
        <f t="shared" si="52"/>
        <v>0</v>
      </c>
      <c r="Y253" t="e">
        <f t="shared" si="53"/>
        <v>#DIV/0!</v>
      </c>
    </row>
    <row r="254" spans="8:25" ht="18">
      <c r="H254">
        <f t="shared" si="39"/>
        <v>0</v>
      </c>
      <c r="J254">
        <f t="shared" si="48"/>
        <v>0</v>
      </c>
      <c r="K254" s="2433" t="s">
        <v>2851</v>
      </c>
      <c r="L254" s="305"/>
      <c r="M254" s="305"/>
      <c r="R254" s="27" t="e">
        <f t="shared" si="49"/>
        <v>#DIV/0!</v>
      </c>
      <c r="S254" s="305"/>
      <c r="T254" s="305"/>
      <c r="U254" s="305"/>
      <c r="V254" s="520" t="e">
        <f t="shared" si="50"/>
        <v>#DIV/0!</v>
      </c>
      <c r="W254">
        <f t="shared" si="51"/>
        <v>0</v>
      </c>
      <c r="X254">
        <f t="shared" si="52"/>
        <v>0</v>
      </c>
      <c r="Y254" t="e">
        <f t="shared" si="53"/>
        <v>#DIV/0!</v>
      </c>
    </row>
    <row r="255" spans="8:25" ht="18">
      <c r="H255">
        <f t="shared" si="39"/>
        <v>0</v>
      </c>
      <c r="J255">
        <f t="shared" si="48"/>
        <v>0</v>
      </c>
      <c r="K255" s="2462" t="s">
        <v>2852</v>
      </c>
      <c r="L255" s="305"/>
      <c r="M255" s="305"/>
      <c r="R255" s="27" t="e">
        <f t="shared" si="49"/>
        <v>#DIV/0!</v>
      </c>
      <c r="S255" s="305"/>
      <c r="T255" s="305"/>
      <c r="U255" s="305"/>
      <c r="V255" s="520" t="e">
        <f t="shared" si="50"/>
        <v>#DIV/0!</v>
      </c>
      <c r="W255">
        <f t="shared" si="51"/>
        <v>0</v>
      </c>
      <c r="X255">
        <f t="shared" si="52"/>
        <v>0</v>
      </c>
      <c r="Y255" t="e">
        <f t="shared" si="53"/>
        <v>#DIV/0!</v>
      </c>
    </row>
    <row r="256" spans="8:25" ht="18">
      <c r="H256">
        <f t="shared" si="39"/>
        <v>0</v>
      </c>
      <c r="J256">
        <f t="shared" si="48"/>
        <v>0</v>
      </c>
      <c r="K256" t="s">
        <v>2853</v>
      </c>
      <c r="L256" s="305"/>
      <c r="M256" s="305"/>
      <c r="R256" s="27" t="e">
        <f t="shared" si="49"/>
        <v>#DIV/0!</v>
      </c>
      <c r="S256" s="305"/>
      <c r="T256" s="305"/>
      <c r="U256" s="305"/>
      <c r="V256" s="520" t="e">
        <f t="shared" si="50"/>
        <v>#DIV/0!</v>
      </c>
      <c r="W256">
        <f t="shared" si="51"/>
        <v>0</v>
      </c>
      <c r="X256">
        <f t="shared" si="52"/>
        <v>0</v>
      </c>
      <c r="Y256" t="e">
        <f t="shared" si="53"/>
        <v>#DIV/0!</v>
      </c>
    </row>
    <row r="257" spans="8:25" ht="18">
      <c r="H257">
        <f t="shared" si="39"/>
        <v>0</v>
      </c>
      <c r="J257">
        <f t="shared" si="48"/>
        <v>0</v>
      </c>
      <c r="K257" s="2462" t="s">
        <v>2854</v>
      </c>
      <c r="L257" s="305"/>
      <c r="M257" s="305"/>
      <c r="R257" s="27" t="e">
        <f t="shared" si="49"/>
        <v>#DIV/0!</v>
      </c>
      <c r="S257" s="305"/>
      <c r="T257" s="305"/>
      <c r="U257" s="305"/>
      <c r="V257" s="520" t="e">
        <f t="shared" si="50"/>
        <v>#DIV/0!</v>
      </c>
      <c r="W257">
        <f t="shared" si="51"/>
        <v>0</v>
      </c>
      <c r="X257">
        <f t="shared" si="52"/>
        <v>0</v>
      </c>
      <c r="Y257" t="e">
        <f t="shared" si="53"/>
        <v>#DIV/0!</v>
      </c>
    </row>
    <row r="258" spans="8:25" ht="18">
      <c r="H258">
        <f t="shared" ref="H258:H321" si="54">+T258-S258-L258</f>
        <v>0</v>
      </c>
      <c r="J258">
        <f t="shared" si="48"/>
        <v>0</v>
      </c>
      <c r="K258" s="2462" t="s">
        <v>2855</v>
      </c>
      <c r="L258" s="305"/>
      <c r="M258" s="305"/>
      <c r="R258" s="27" t="e">
        <f t="shared" si="49"/>
        <v>#DIV/0!</v>
      </c>
      <c r="S258" s="305"/>
      <c r="T258" s="305"/>
      <c r="U258" s="305"/>
      <c r="V258" s="520" t="e">
        <f t="shared" si="50"/>
        <v>#DIV/0!</v>
      </c>
      <c r="W258">
        <f t="shared" si="51"/>
        <v>0</v>
      </c>
      <c r="X258">
        <f t="shared" si="52"/>
        <v>0</v>
      </c>
      <c r="Y258" t="e">
        <f t="shared" si="53"/>
        <v>#DIV/0!</v>
      </c>
    </row>
    <row r="259" spans="8:25" ht="18">
      <c r="H259">
        <f t="shared" si="54"/>
        <v>0</v>
      </c>
      <c r="J259">
        <f t="shared" si="48"/>
        <v>0</v>
      </c>
      <c r="K259" s="2462" t="s">
        <v>2856</v>
      </c>
      <c r="L259" s="305"/>
      <c r="M259" s="305"/>
      <c r="R259" s="27" t="e">
        <f t="shared" si="49"/>
        <v>#DIV/0!</v>
      </c>
      <c r="S259" s="305"/>
      <c r="T259" s="305"/>
      <c r="U259" s="305"/>
      <c r="V259" s="520" t="e">
        <f t="shared" si="50"/>
        <v>#DIV/0!</v>
      </c>
      <c r="W259">
        <f t="shared" si="51"/>
        <v>0</v>
      </c>
      <c r="X259">
        <f t="shared" si="52"/>
        <v>0</v>
      </c>
      <c r="Y259" t="e">
        <f t="shared" si="53"/>
        <v>#DIV/0!</v>
      </c>
    </row>
    <row r="260" spans="8:25" ht="18">
      <c r="H260">
        <f t="shared" si="54"/>
        <v>0</v>
      </c>
      <c r="J260">
        <f t="shared" si="48"/>
        <v>0</v>
      </c>
      <c r="K260" s="2462" t="s">
        <v>2857</v>
      </c>
      <c r="L260" s="305"/>
      <c r="M260" s="305"/>
      <c r="R260" s="27" t="e">
        <f t="shared" si="49"/>
        <v>#DIV/0!</v>
      </c>
      <c r="S260" s="305"/>
      <c r="T260" s="305"/>
      <c r="U260" s="305"/>
      <c r="V260" s="520" t="e">
        <f t="shared" si="50"/>
        <v>#DIV/0!</v>
      </c>
      <c r="W260">
        <f t="shared" si="51"/>
        <v>0</v>
      </c>
      <c r="X260">
        <f t="shared" si="52"/>
        <v>0</v>
      </c>
      <c r="Y260" t="e">
        <f t="shared" si="53"/>
        <v>#DIV/0!</v>
      </c>
    </row>
    <row r="261" spans="8:25" ht="18">
      <c r="H261">
        <f t="shared" si="54"/>
        <v>0</v>
      </c>
      <c r="J261">
        <f t="shared" si="48"/>
        <v>0</v>
      </c>
      <c r="K261" s="2462" t="s">
        <v>2858</v>
      </c>
      <c r="L261" s="305"/>
      <c r="M261" s="305"/>
      <c r="R261" s="27" t="e">
        <f t="shared" si="49"/>
        <v>#DIV/0!</v>
      </c>
      <c r="S261" s="305"/>
      <c r="T261" s="305"/>
      <c r="U261" s="305"/>
      <c r="V261" s="520" t="e">
        <f t="shared" si="50"/>
        <v>#DIV/0!</v>
      </c>
      <c r="W261">
        <f t="shared" si="51"/>
        <v>0</v>
      </c>
      <c r="X261">
        <f t="shared" si="52"/>
        <v>0</v>
      </c>
      <c r="Y261" t="e">
        <f t="shared" si="53"/>
        <v>#DIV/0!</v>
      </c>
    </row>
    <row r="262" spans="8:25" ht="18">
      <c r="H262">
        <f t="shared" si="54"/>
        <v>0</v>
      </c>
      <c r="J262">
        <f t="shared" si="48"/>
        <v>0</v>
      </c>
      <c r="K262" s="2462" t="s">
        <v>2859</v>
      </c>
      <c r="L262" s="305"/>
      <c r="M262" s="305"/>
      <c r="R262" s="27" t="e">
        <f t="shared" si="49"/>
        <v>#DIV/0!</v>
      </c>
      <c r="S262" s="305"/>
      <c r="T262" s="305"/>
      <c r="U262" s="305"/>
      <c r="V262" s="520" t="e">
        <f t="shared" si="50"/>
        <v>#DIV/0!</v>
      </c>
      <c r="W262">
        <f t="shared" si="51"/>
        <v>0</v>
      </c>
      <c r="X262">
        <f t="shared" si="52"/>
        <v>0</v>
      </c>
      <c r="Y262" t="e">
        <f t="shared" si="53"/>
        <v>#DIV/0!</v>
      </c>
    </row>
    <row r="263" spans="8:25" ht="18">
      <c r="H263">
        <f t="shared" si="54"/>
        <v>0</v>
      </c>
      <c r="J263">
        <f t="shared" si="48"/>
        <v>0</v>
      </c>
      <c r="K263" s="2462" t="s">
        <v>2860</v>
      </c>
      <c r="L263" s="305"/>
      <c r="M263" s="305"/>
      <c r="R263" s="27" t="e">
        <f t="shared" si="49"/>
        <v>#DIV/0!</v>
      </c>
      <c r="S263" s="305"/>
      <c r="T263" s="305"/>
      <c r="U263" s="305"/>
      <c r="V263" s="520" t="e">
        <f t="shared" si="50"/>
        <v>#DIV/0!</v>
      </c>
      <c r="W263">
        <f t="shared" si="51"/>
        <v>0</v>
      </c>
      <c r="X263">
        <f t="shared" si="52"/>
        <v>0</v>
      </c>
      <c r="Y263" t="e">
        <f t="shared" si="53"/>
        <v>#DIV/0!</v>
      </c>
    </row>
    <row r="264" spans="8:25" ht="18">
      <c r="H264">
        <f t="shared" si="54"/>
        <v>0</v>
      </c>
      <c r="J264">
        <f t="shared" si="48"/>
        <v>0</v>
      </c>
      <c r="K264" s="2462" t="s">
        <v>2861</v>
      </c>
      <c r="L264" s="305"/>
      <c r="M264" s="305"/>
      <c r="R264" s="27" t="e">
        <f t="shared" si="49"/>
        <v>#DIV/0!</v>
      </c>
      <c r="S264" s="305"/>
      <c r="T264" s="305"/>
      <c r="U264" s="305"/>
      <c r="V264" s="520" t="e">
        <f t="shared" si="50"/>
        <v>#DIV/0!</v>
      </c>
      <c r="W264">
        <f t="shared" si="51"/>
        <v>0</v>
      </c>
      <c r="X264">
        <f t="shared" si="52"/>
        <v>0</v>
      </c>
      <c r="Y264" t="e">
        <f t="shared" si="53"/>
        <v>#DIV/0!</v>
      </c>
    </row>
    <row r="265" spans="8:25" ht="18">
      <c r="H265">
        <f t="shared" si="54"/>
        <v>0</v>
      </c>
      <c r="J265">
        <f t="shared" si="48"/>
        <v>0</v>
      </c>
      <c r="K265" s="2462" t="s">
        <v>2862</v>
      </c>
      <c r="L265" s="305"/>
      <c r="M265" s="305"/>
      <c r="R265" s="27" t="e">
        <f t="shared" si="49"/>
        <v>#DIV/0!</v>
      </c>
      <c r="S265" s="305"/>
      <c r="T265" s="305"/>
      <c r="U265" s="305"/>
      <c r="V265" s="520" t="e">
        <f t="shared" si="50"/>
        <v>#DIV/0!</v>
      </c>
      <c r="W265">
        <f t="shared" si="51"/>
        <v>0</v>
      </c>
      <c r="X265">
        <f t="shared" si="52"/>
        <v>0</v>
      </c>
      <c r="Y265" t="e">
        <f t="shared" si="53"/>
        <v>#DIV/0!</v>
      </c>
    </row>
    <row r="266" spans="8:25" ht="18">
      <c r="H266">
        <f t="shared" si="54"/>
        <v>0</v>
      </c>
      <c r="J266">
        <f t="shared" si="48"/>
        <v>0</v>
      </c>
      <c r="K266" s="2462" t="s">
        <v>2863</v>
      </c>
      <c r="L266" s="305"/>
      <c r="M266" s="305"/>
      <c r="R266" s="27" t="e">
        <f t="shared" si="49"/>
        <v>#DIV/0!</v>
      </c>
      <c r="S266" s="305"/>
      <c r="T266" s="305"/>
      <c r="U266" s="305"/>
      <c r="V266" s="520" t="e">
        <f t="shared" si="50"/>
        <v>#DIV/0!</v>
      </c>
      <c r="W266">
        <f t="shared" si="51"/>
        <v>0</v>
      </c>
      <c r="X266">
        <f t="shared" si="52"/>
        <v>0</v>
      </c>
      <c r="Y266" t="e">
        <f t="shared" si="53"/>
        <v>#DIV/0!</v>
      </c>
    </row>
    <row r="267" spans="8:25" ht="18">
      <c r="H267">
        <f t="shared" si="54"/>
        <v>0</v>
      </c>
      <c r="J267">
        <f t="shared" si="48"/>
        <v>0</v>
      </c>
      <c r="K267" s="2462" t="s">
        <v>2864</v>
      </c>
      <c r="L267" s="305"/>
      <c r="M267" s="305"/>
      <c r="R267" s="27" t="e">
        <f t="shared" si="49"/>
        <v>#DIV/0!</v>
      </c>
      <c r="S267" s="305"/>
      <c r="T267" s="305"/>
      <c r="U267" s="305"/>
      <c r="V267" s="520" t="e">
        <f t="shared" si="50"/>
        <v>#DIV/0!</v>
      </c>
      <c r="W267">
        <f t="shared" si="51"/>
        <v>0</v>
      </c>
      <c r="X267">
        <f t="shared" si="52"/>
        <v>0</v>
      </c>
      <c r="Y267" t="e">
        <f t="shared" si="53"/>
        <v>#DIV/0!</v>
      </c>
    </row>
    <row r="268" spans="8:25" ht="18">
      <c r="H268">
        <f t="shared" si="54"/>
        <v>0</v>
      </c>
      <c r="J268">
        <f t="shared" si="48"/>
        <v>0</v>
      </c>
      <c r="K268" s="2462" t="s">
        <v>2865</v>
      </c>
      <c r="L268" s="305"/>
      <c r="M268" s="305"/>
      <c r="R268" s="27" t="e">
        <f t="shared" si="49"/>
        <v>#DIV/0!</v>
      </c>
      <c r="S268" s="305"/>
      <c r="T268" s="305"/>
      <c r="U268" s="305"/>
      <c r="V268" s="520" t="e">
        <f t="shared" si="50"/>
        <v>#DIV/0!</v>
      </c>
      <c r="W268">
        <f t="shared" si="51"/>
        <v>0</v>
      </c>
      <c r="X268">
        <f t="shared" si="52"/>
        <v>0</v>
      </c>
      <c r="Y268" t="e">
        <f t="shared" si="53"/>
        <v>#DIV/0!</v>
      </c>
    </row>
    <row r="269" spans="8:25" ht="18">
      <c r="H269">
        <f t="shared" si="54"/>
        <v>0</v>
      </c>
      <c r="J269">
        <f t="shared" si="48"/>
        <v>0</v>
      </c>
      <c r="K269" s="2462" t="s">
        <v>2866</v>
      </c>
      <c r="L269" s="305"/>
      <c r="M269" s="305"/>
      <c r="R269" s="27" t="e">
        <f t="shared" si="49"/>
        <v>#DIV/0!</v>
      </c>
      <c r="S269" s="305"/>
      <c r="T269" s="305"/>
      <c r="U269" s="305"/>
      <c r="V269" s="520" t="e">
        <f t="shared" si="50"/>
        <v>#DIV/0!</v>
      </c>
      <c r="W269">
        <f t="shared" si="51"/>
        <v>0</v>
      </c>
      <c r="X269">
        <f t="shared" si="52"/>
        <v>0</v>
      </c>
      <c r="Y269" t="e">
        <f t="shared" si="53"/>
        <v>#DIV/0!</v>
      </c>
    </row>
    <row r="270" spans="8:25" ht="18">
      <c r="H270">
        <f t="shared" si="54"/>
        <v>0</v>
      </c>
      <c r="J270">
        <f t="shared" si="48"/>
        <v>0</v>
      </c>
      <c r="K270" s="2462" t="s">
        <v>2867</v>
      </c>
      <c r="L270" s="305"/>
      <c r="M270" s="305"/>
      <c r="R270" s="27" t="e">
        <f t="shared" si="49"/>
        <v>#DIV/0!</v>
      </c>
      <c r="S270" s="305"/>
      <c r="T270" s="305"/>
      <c r="U270" s="305"/>
      <c r="V270" s="520" t="e">
        <f t="shared" si="50"/>
        <v>#DIV/0!</v>
      </c>
      <c r="W270">
        <f t="shared" si="51"/>
        <v>0</v>
      </c>
      <c r="X270">
        <f t="shared" si="52"/>
        <v>0</v>
      </c>
      <c r="Y270" t="e">
        <f t="shared" si="53"/>
        <v>#DIV/0!</v>
      </c>
    </row>
    <row r="271" spans="8:25" ht="18">
      <c r="H271">
        <f t="shared" si="54"/>
        <v>0</v>
      </c>
      <c r="J271">
        <f t="shared" si="48"/>
        <v>0</v>
      </c>
      <c r="K271" t="s">
        <v>2868</v>
      </c>
      <c r="L271" s="305"/>
      <c r="M271" s="305"/>
      <c r="R271" s="27" t="e">
        <f t="shared" si="49"/>
        <v>#DIV/0!</v>
      </c>
      <c r="S271" s="305"/>
      <c r="T271" s="305"/>
      <c r="U271" s="305"/>
      <c r="V271" s="520" t="e">
        <f t="shared" si="50"/>
        <v>#DIV/0!</v>
      </c>
      <c r="W271">
        <f t="shared" si="51"/>
        <v>0</v>
      </c>
      <c r="X271">
        <f t="shared" si="52"/>
        <v>0</v>
      </c>
      <c r="Y271" t="e">
        <f t="shared" si="53"/>
        <v>#DIV/0!</v>
      </c>
    </row>
    <row r="272" spans="8:25" ht="18">
      <c r="H272">
        <f t="shared" si="54"/>
        <v>0</v>
      </c>
      <c r="J272">
        <f t="shared" si="48"/>
        <v>0</v>
      </c>
      <c r="K272" s="2462" t="s">
        <v>2869</v>
      </c>
      <c r="L272" s="305"/>
      <c r="M272" s="305"/>
      <c r="R272" s="27" t="e">
        <f t="shared" si="49"/>
        <v>#DIV/0!</v>
      </c>
      <c r="S272" s="305"/>
      <c r="T272" s="305"/>
      <c r="U272" s="305"/>
      <c r="V272" s="520" t="e">
        <f t="shared" si="50"/>
        <v>#DIV/0!</v>
      </c>
      <c r="W272">
        <f t="shared" si="51"/>
        <v>0</v>
      </c>
      <c r="X272">
        <f t="shared" si="52"/>
        <v>0</v>
      </c>
      <c r="Y272" t="e">
        <f t="shared" si="53"/>
        <v>#DIV/0!</v>
      </c>
    </row>
    <row r="273" spans="8:25" ht="18">
      <c r="H273">
        <f t="shared" si="54"/>
        <v>0</v>
      </c>
      <c r="J273">
        <f t="shared" si="48"/>
        <v>0</v>
      </c>
      <c r="K273" t="s">
        <v>2870</v>
      </c>
      <c r="L273" s="305"/>
      <c r="M273" s="305"/>
      <c r="R273" s="27" t="e">
        <f t="shared" si="49"/>
        <v>#DIV/0!</v>
      </c>
      <c r="S273" s="305"/>
      <c r="T273" s="305"/>
      <c r="U273" s="305"/>
      <c r="V273" s="520" t="e">
        <f t="shared" si="50"/>
        <v>#DIV/0!</v>
      </c>
      <c r="W273">
        <f t="shared" si="51"/>
        <v>0</v>
      </c>
      <c r="X273">
        <f t="shared" si="52"/>
        <v>0</v>
      </c>
      <c r="Y273" t="e">
        <f t="shared" si="53"/>
        <v>#DIV/0!</v>
      </c>
    </row>
    <row r="274" spans="8:25" ht="18">
      <c r="H274">
        <f t="shared" si="54"/>
        <v>0</v>
      </c>
      <c r="J274">
        <f t="shared" si="48"/>
        <v>0</v>
      </c>
      <c r="K274" s="2462" t="s">
        <v>2871</v>
      </c>
      <c r="L274" s="305"/>
      <c r="M274" s="305"/>
      <c r="R274" s="27" t="e">
        <f t="shared" si="49"/>
        <v>#DIV/0!</v>
      </c>
      <c r="S274" s="305"/>
      <c r="T274" s="305"/>
      <c r="U274" s="305"/>
      <c r="V274" s="520" t="e">
        <f t="shared" si="50"/>
        <v>#DIV/0!</v>
      </c>
      <c r="W274">
        <f t="shared" si="51"/>
        <v>0</v>
      </c>
      <c r="X274">
        <f t="shared" si="52"/>
        <v>0</v>
      </c>
      <c r="Y274" t="e">
        <f t="shared" si="53"/>
        <v>#DIV/0!</v>
      </c>
    </row>
    <row r="275" spans="8:25">
      <c r="H275">
        <f t="shared" si="54"/>
        <v>0</v>
      </c>
      <c r="L275">
        <f>SUM(L244:L274)</f>
        <v>0</v>
      </c>
      <c r="M275">
        <f>SUM(M244:M274)</f>
        <v>0</v>
      </c>
      <c r="R275" t="e">
        <f t="shared" si="49"/>
        <v>#DIV/0!</v>
      </c>
      <c r="S275">
        <f>SUM(S244:S274)</f>
        <v>0</v>
      </c>
      <c r="T275">
        <f>SUM(T244:T274)</f>
        <v>0</v>
      </c>
      <c r="U275" s="520">
        <f>SUM(U244:U274)</f>
        <v>0</v>
      </c>
      <c r="V275" t="e">
        <f t="shared" si="50"/>
        <v>#DIV/0!</v>
      </c>
      <c r="W275">
        <f>SUM(W244:W274)</f>
        <v>0</v>
      </c>
      <c r="X275">
        <f>SUM(X244:X274)</f>
        <v>0</v>
      </c>
      <c r="Y275" t="e">
        <f t="shared" si="53"/>
        <v>#DIV/0!</v>
      </c>
    </row>
    <row r="276" spans="8:25">
      <c r="H276">
        <f t="shared" si="54"/>
        <v>4904156</v>
      </c>
      <c r="L276">
        <v>1060460</v>
      </c>
      <c r="M276">
        <v>0</v>
      </c>
      <c r="R276" s="27" t="e">
        <f t="shared" si="49"/>
        <v>#DIV/0!</v>
      </c>
      <c r="T276">
        <v>5964616</v>
      </c>
      <c r="U276">
        <v>7264</v>
      </c>
      <c r="V276" s="520">
        <f t="shared" si="50"/>
        <v>821.12004405286348</v>
      </c>
      <c r="W276">
        <f>+T276-L276</f>
        <v>4904156</v>
      </c>
      <c r="X276">
        <f>+U276-M276</f>
        <v>7264</v>
      </c>
      <c r="Y276">
        <f t="shared" si="53"/>
        <v>675.13160792951544</v>
      </c>
    </row>
    <row r="277" spans="8:25">
      <c r="H277">
        <f t="shared" si="54"/>
        <v>-5964616</v>
      </c>
      <c r="T277">
        <f>+T275-T276</f>
        <v>-5964616</v>
      </c>
    </row>
    <row r="278" spans="8:25" ht="18">
      <c r="H278" t="e">
        <f t="shared" si="54"/>
        <v>#VALUE!</v>
      </c>
      <c r="I278" t="s">
        <v>2872</v>
      </c>
      <c r="L278" s="14" t="s">
        <v>2678</v>
      </c>
      <c r="M278" s="14" t="s">
        <v>2624</v>
      </c>
      <c r="N278" s="14"/>
      <c r="O278" s="84"/>
      <c r="P278" s="84"/>
      <c r="Q278" s="84"/>
      <c r="R278" s="84" t="s">
        <v>520</v>
      </c>
      <c r="S278" s="84" t="s">
        <v>2640</v>
      </c>
      <c r="T278" s="84" t="s">
        <v>2679</v>
      </c>
      <c r="U278" s="84" t="s">
        <v>524</v>
      </c>
      <c r="V278" s="84" t="s">
        <v>520</v>
      </c>
      <c r="W278" s="84" t="s">
        <v>518</v>
      </c>
      <c r="X278" s="84" t="s">
        <v>524</v>
      </c>
      <c r="Y278" s="84" t="s">
        <v>520</v>
      </c>
    </row>
    <row r="279" spans="8:25" ht="18">
      <c r="H279">
        <f t="shared" si="54"/>
        <v>0</v>
      </c>
      <c r="I279">
        <f>J279-L279</f>
        <v>0</v>
      </c>
      <c r="J279">
        <f t="shared" ref="J279:J310" si="55">+T279-S279</f>
        <v>0</v>
      </c>
      <c r="K279" s="2464" t="s">
        <v>2873</v>
      </c>
      <c r="L279" s="305"/>
      <c r="M279" s="305"/>
      <c r="R279" s="27" t="e">
        <f t="shared" ref="R279:R308" si="56">+L279/M279</f>
        <v>#DIV/0!</v>
      </c>
      <c r="S279" s="305"/>
      <c r="T279" s="305"/>
      <c r="U279" s="305"/>
      <c r="V279" s="520" t="e">
        <f t="shared" ref="V279:V308" si="57">+T279/U279</f>
        <v>#DIV/0!</v>
      </c>
      <c r="W279">
        <f t="shared" ref="W279:W308" si="58">+T279-L279</f>
        <v>0</v>
      </c>
      <c r="X279">
        <f t="shared" ref="X279:X308" si="59">+U279-M279</f>
        <v>0</v>
      </c>
      <c r="Y279" t="e">
        <f t="shared" ref="Y279:Y308" si="60">+W279/X279</f>
        <v>#DIV/0!</v>
      </c>
    </row>
    <row r="280" spans="8:25" ht="18">
      <c r="H280">
        <f t="shared" si="54"/>
        <v>0</v>
      </c>
      <c r="I280">
        <f t="shared" ref="I280:I310" si="61">J280-L280</f>
        <v>0</v>
      </c>
      <c r="J280">
        <f t="shared" si="55"/>
        <v>0</v>
      </c>
      <c r="K280" s="2433" t="s">
        <v>2874</v>
      </c>
      <c r="L280" s="305"/>
      <c r="M280" s="305"/>
      <c r="R280" s="27" t="e">
        <f t="shared" ref="R280" si="62">+L280/M280</f>
        <v>#DIV/0!</v>
      </c>
      <c r="S280" s="305"/>
      <c r="T280" s="305"/>
      <c r="U280" s="305"/>
      <c r="V280" s="520" t="e">
        <f t="shared" si="57"/>
        <v>#DIV/0!</v>
      </c>
      <c r="W280">
        <f t="shared" si="58"/>
        <v>0</v>
      </c>
      <c r="X280">
        <f t="shared" si="59"/>
        <v>0</v>
      </c>
      <c r="Y280" t="e">
        <f t="shared" si="60"/>
        <v>#DIV/0!</v>
      </c>
    </row>
    <row r="281" spans="8:25" ht="18">
      <c r="H281">
        <f t="shared" si="54"/>
        <v>0</v>
      </c>
      <c r="I281">
        <f t="shared" si="61"/>
        <v>0</v>
      </c>
      <c r="J281">
        <f t="shared" si="55"/>
        <v>0</v>
      </c>
      <c r="K281" s="2433" t="s">
        <v>2875</v>
      </c>
      <c r="L281" s="305"/>
      <c r="M281" s="305"/>
      <c r="R281" s="27" t="e">
        <f t="shared" si="56"/>
        <v>#DIV/0!</v>
      </c>
      <c r="S281" s="305"/>
      <c r="T281" s="305"/>
      <c r="U281" s="305"/>
      <c r="V281" s="520" t="e">
        <f t="shared" si="57"/>
        <v>#DIV/0!</v>
      </c>
      <c r="W281">
        <f t="shared" si="58"/>
        <v>0</v>
      </c>
      <c r="X281">
        <f t="shared" si="59"/>
        <v>0</v>
      </c>
      <c r="Y281" t="e">
        <f t="shared" si="60"/>
        <v>#DIV/0!</v>
      </c>
    </row>
    <row r="282" spans="8:25" ht="18">
      <c r="H282">
        <f t="shared" si="54"/>
        <v>0</v>
      </c>
      <c r="I282">
        <f t="shared" si="61"/>
        <v>0</v>
      </c>
      <c r="J282">
        <f t="shared" si="55"/>
        <v>0</v>
      </c>
      <c r="K282" s="2433" t="s">
        <v>2876</v>
      </c>
      <c r="L282" s="305"/>
      <c r="M282" s="305"/>
      <c r="R282" s="27" t="e">
        <f t="shared" si="56"/>
        <v>#DIV/0!</v>
      </c>
      <c r="S282" s="305"/>
      <c r="T282" s="305"/>
      <c r="U282" s="305"/>
      <c r="V282" s="520" t="e">
        <f t="shared" si="57"/>
        <v>#DIV/0!</v>
      </c>
      <c r="W282">
        <f t="shared" si="58"/>
        <v>0</v>
      </c>
      <c r="X282">
        <f t="shared" si="59"/>
        <v>0</v>
      </c>
      <c r="Y282" t="e">
        <f t="shared" si="60"/>
        <v>#DIV/0!</v>
      </c>
    </row>
    <row r="283" spans="8:25" ht="18">
      <c r="H283">
        <f t="shared" si="54"/>
        <v>0</v>
      </c>
      <c r="I283">
        <f t="shared" si="61"/>
        <v>0</v>
      </c>
      <c r="J283">
        <f t="shared" si="55"/>
        <v>0</v>
      </c>
      <c r="K283" s="2433" t="s">
        <v>2877</v>
      </c>
      <c r="L283" s="305"/>
      <c r="M283" s="305"/>
      <c r="R283" s="27" t="e">
        <f t="shared" si="56"/>
        <v>#DIV/0!</v>
      </c>
      <c r="S283" s="305"/>
      <c r="T283" s="305"/>
      <c r="U283" s="305"/>
      <c r="V283" s="520" t="e">
        <f t="shared" si="57"/>
        <v>#DIV/0!</v>
      </c>
      <c r="W283">
        <f t="shared" si="58"/>
        <v>0</v>
      </c>
      <c r="X283">
        <f t="shared" si="59"/>
        <v>0</v>
      </c>
      <c r="Y283" t="e">
        <f t="shared" si="60"/>
        <v>#DIV/0!</v>
      </c>
    </row>
    <row r="284" spans="8:25" ht="18">
      <c r="H284">
        <f t="shared" si="54"/>
        <v>0</v>
      </c>
      <c r="I284">
        <f t="shared" si="61"/>
        <v>0</v>
      </c>
      <c r="J284">
        <f t="shared" si="55"/>
        <v>0</v>
      </c>
      <c r="K284" s="2433" t="s">
        <v>2878</v>
      </c>
      <c r="L284" s="305"/>
      <c r="M284" s="305"/>
      <c r="R284" s="27" t="e">
        <f t="shared" si="56"/>
        <v>#DIV/0!</v>
      </c>
      <c r="S284" s="305"/>
      <c r="T284" s="305"/>
      <c r="U284" s="305"/>
      <c r="V284" s="520" t="e">
        <f t="shared" si="57"/>
        <v>#DIV/0!</v>
      </c>
      <c r="W284">
        <f t="shared" si="58"/>
        <v>0</v>
      </c>
      <c r="X284">
        <f t="shared" si="59"/>
        <v>0</v>
      </c>
      <c r="Y284" t="e">
        <f t="shared" si="60"/>
        <v>#DIV/0!</v>
      </c>
    </row>
    <row r="285" spans="8:25" ht="18">
      <c r="H285">
        <f t="shared" si="54"/>
        <v>0</v>
      </c>
      <c r="I285">
        <f t="shared" si="61"/>
        <v>0</v>
      </c>
      <c r="J285">
        <f t="shared" si="55"/>
        <v>0</v>
      </c>
      <c r="K285" s="2433" t="s">
        <v>2879</v>
      </c>
      <c r="L285" s="305"/>
      <c r="M285" s="305"/>
      <c r="R285" s="27" t="e">
        <f t="shared" si="56"/>
        <v>#DIV/0!</v>
      </c>
      <c r="S285" s="305"/>
      <c r="T285" s="305"/>
      <c r="U285" s="305"/>
      <c r="V285" s="520" t="e">
        <f t="shared" si="57"/>
        <v>#DIV/0!</v>
      </c>
      <c r="W285">
        <f t="shared" si="58"/>
        <v>0</v>
      </c>
      <c r="X285">
        <f t="shared" si="59"/>
        <v>0</v>
      </c>
      <c r="Y285" t="e">
        <f t="shared" si="60"/>
        <v>#DIV/0!</v>
      </c>
    </row>
    <row r="286" spans="8:25" ht="18">
      <c r="H286">
        <f t="shared" si="54"/>
        <v>0</v>
      </c>
      <c r="I286">
        <f t="shared" si="61"/>
        <v>0</v>
      </c>
      <c r="J286">
        <f t="shared" si="55"/>
        <v>0</v>
      </c>
      <c r="K286" s="2433" t="s">
        <v>2880</v>
      </c>
      <c r="L286" s="305"/>
      <c r="M286" s="305"/>
      <c r="R286" s="27" t="e">
        <f t="shared" si="56"/>
        <v>#DIV/0!</v>
      </c>
      <c r="S286" s="305"/>
      <c r="T286" s="305"/>
      <c r="U286" s="305"/>
      <c r="V286" s="520" t="e">
        <f t="shared" si="57"/>
        <v>#DIV/0!</v>
      </c>
      <c r="W286">
        <f t="shared" si="58"/>
        <v>0</v>
      </c>
      <c r="X286">
        <f t="shared" si="59"/>
        <v>0</v>
      </c>
      <c r="Y286" t="e">
        <f t="shared" si="60"/>
        <v>#DIV/0!</v>
      </c>
    </row>
    <row r="287" spans="8:25" ht="18">
      <c r="H287">
        <f t="shared" si="54"/>
        <v>0</v>
      </c>
      <c r="I287">
        <f t="shared" si="61"/>
        <v>0</v>
      </c>
      <c r="J287">
        <f t="shared" si="55"/>
        <v>0</v>
      </c>
      <c r="K287" s="2433" t="s">
        <v>2881</v>
      </c>
      <c r="L287" s="305"/>
      <c r="M287" s="305"/>
      <c r="R287" s="27" t="e">
        <f t="shared" si="56"/>
        <v>#DIV/0!</v>
      </c>
      <c r="S287" s="305"/>
      <c r="T287" s="305"/>
      <c r="U287" s="305"/>
      <c r="V287" s="520" t="e">
        <f t="shared" si="57"/>
        <v>#DIV/0!</v>
      </c>
      <c r="W287">
        <f t="shared" si="58"/>
        <v>0</v>
      </c>
      <c r="X287">
        <f t="shared" si="59"/>
        <v>0</v>
      </c>
      <c r="Y287" t="e">
        <f t="shared" si="60"/>
        <v>#DIV/0!</v>
      </c>
    </row>
    <row r="288" spans="8:25" ht="18">
      <c r="H288">
        <f t="shared" si="54"/>
        <v>0</v>
      </c>
      <c r="I288">
        <f t="shared" si="61"/>
        <v>0</v>
      </c>
      <c r="J288">
        <f t="shared" si="55"/>
        <v>0</v>
      </c>
      <c r="K288" s="2433" t="s">
        <v>2882</v>
      </c>
      <c r="L288" s="305"/>
      <c r="M288" s="305"/>
      <c r="R288" s="27" t="e">
        <f t="shared" si="56"/>
        <v>#DIV/0!</v>
      </c>
      <c r="S288" s="305"/>
      <c r="T288" s="305"/>
      <c r="U288" s="305"/>
      <c r="V288" s="520" t="e">
        <f t="shared" si="57"/>
        <v>#DIV/0!</v>
      </c>
      <c r="W288">
        <f t="shared" si="58"/>
        <v>0</v>
      </c>
      <c r="X288">
        <f t="shared" si="59"/>
        <v>0</v>
      </c>
      <c r="Y288" t="e">
        <f t="shared" si="60"/>
        <v>#DIV/0!</v>
      </c>
    </row>
    <row r="289" spans="8:25" ht="18">
      <c r="H289">
        <f t="shared" si="54"/>
        <v>0</v>
      </c>
      <c r="I289">
        <f t="shared" si="61"/>
        <v>0</v>
      </c>
      <c r="J289">
        <f t="shared" si="55"/>
        <v>0</v>
      </c>
      <c r="K289" s="2433" t="s">
        <v>2883</v>
      </c>
      <c r="L289" s="305"/>
      <c r="M289" s="305"/>
      <c r="R289" s="27" t="e">
        <f t="shared" si="56"/>
        <v>#DIV/0!</v>
      </c>
      <c r="S289" s="305"/>
      <c r="T289" s="305"/>
      <c r="U289" s="305"/>
      <c r="V289" s="520" t="e">
        <f t="shared" si="57"/>
        <v>#DIV/0!</v>
      </c>
      <c r="W289">
        <f t="shared" si="58"/>
        <v>0</v>
      </c>
      <c r="X289">
        <f t="shared" si="59"/>
        <v>0</v>
      </c>
      <c r="Y289" t="e">
        <f t="shared" si="60"/>
        <v>#DIV/0!</v>
      </c>
    </row>
    <row r="290" spans="8:25" ht="18">
      <c r="H290">
        <f t="shared" si="54"/>
        <v>0</v>
      </c>
      <c r="I290">
        <f t="shared" si="61"/>
        <v>0</v>
      </c>
      <c r="J290">
        <f t="shared" si="55"/>
        <v>0</v>
      </c>
      <c r="K290" s="2462" t="s">
        <v>2884</v>
      </c>
      <c r="L290" s="305"/>
      <c r="M290" s="305"/>
      <c r="R290" s="27" t="e">
        <f t="shared" si="56"/>
        <v>#DIV/0!</v>
      </c>
      <c r="S290" s="305"/>
      <c r="T290" s="305"/>
      <c r="U290" s="305"/>
      <c r="V290" s="520" t="e">
        <f t="shared" si="57"/>
        <v>#DIV/0!</v>
      </c>
      <c r="W290">
        <f t="shared" si="58"/>
        <v>0</v>
      </c>
      <c r="X290">
        <f t="shared" si="59"/>
        <v>0</v>
      </c>
      <c r="Y290" t="e">
        <f t="shared" si="60"/>
        <v>#DIV/0!</v>
      </c>
    </row>
    <row r="291" spans="8:25" ht="18">
      <c r="H291">
        <f t="shared" si="54"/>
        <v>0</v>
      </c>
      <c r="I291">
        <f t="shared" si="61"/>
        <v>0</v>
      </c>
      <c r="J291">
        <f t="shared" si="55"/>
        <v>0</v>
      </c>
      <c r="K291" t="s">
        <v>2885</v>
      </c>
      <c r="L291" s="305"/>
      <c r="M291" s="305"/>
      <c r="R291" s="27" t="e">
        <f t="shared" si="56"/>
        <v>#DIV/0!</v>
      </c>
      <c r="S291" s="305"/>
      <c r="T291" s="305"/>
      <c r="U291" s="305"/>
      <c r="V291" s="520" t="e">
        <f t="shared" si="57"/>
        <v>#DIV/0!</v>
      </c>
      <c r="W291">
        <f t="shared" si="58"/>
        <v>0</v>
      </c>
      <c r="X291">
        <f t="shared" si="59"/>
        <v>0</v>
      </c>
      <c r="Y291" t="e">
        <f t="shared" si="60"/>
        <v>#DIV/0!</v>
      </c>
    </row>
    <row r="292" spans="8:25" ht="18">
      <c r="H292">
        <f t="shared" si="54"/>
        <v>0</v>
      </c>
      <c r="I292">
        <f t="shared" si="61"/>
        <v>0</v>
      </c>
      <c r="J292">
        <f t="shared" si="55"/>
        <v>0</v>
      </c>
      <c r="K292" s="2462" t="s">
        <v>2886</v>
      </c>
      <c r="L292" s="305"/>
      <c r="M292" s="305"/>
      <c r="R292" s="27" t="e">
        <f t="shared" si="56"/>
        <v>#DIV/0!</v>
      </c>
      <c r="S292" s="305"/>
      <c r="T292" s="305"/>
      <c r="U292" s="305"/>
      <c r="V292" s="520" t="e">
        <f t="shared" si="57"/>
        <v>#DIV/0!</v>
      </c>
      <c r="W292">
        <f t="shared" si="58"/>
        <v>0</v>
      </c>
      <c r="X292">
        <f t="shared" si="59"/>
        <v>0</v>
      </c>
      <c r="Y292" t="e">
        <f t="shared" si="60"/>
        <v>#DIV/0!</v>
      </c>
    </row>
    <row r="293" spans="8:25" ht="18">
      <c r="H293">
        <f t="shared" si="54"/>
        <v>0</v>
      </c>
      <c r="I293">
        <f t="shared" si="61"/>
        <v>0</v>
      </c>
      <c r="J293">
        <f t="shared" si="55"/>
        <v>0</v>
      </c>
      <c r="K293" s="2462" t="s">
        <v>2887</v>
      </c>
      <c r="L293" s="305"/>
      <c r="M293" s="305"/>
      <c r="R293" s="27" t="e">
        <f t="shared" si="56"/>
        <v>#DIV/0!</v>
      </c>
      <c r="S293" s="305"/>
      <c r="T293" s="305"/>
      <c r="U293" s="305"/>
      <c r="V293" s="520" t="e">
        <f t="shared" si="57"/>
        <v>#DIV/0!</v>
      </c>
      <c r="W293">
        <f t="shared" si="58"/>
        <v>0</v>
      </c>
      <c r="X293">
        <f t="shared" si="59"/>
        <v>0</v>
      </c>
      <c r="Y293" t="e">
        <f t="shared" si="60"/>
        <v>#DIV/0!</v>
      </c>
    </row>
    <row r="294" spans="8:25" ht="18">
      <c r="H294">
        <f t="shared" si="54"/>
        <v>0</v>
      </c>
      <c r="I294">
        <f t="shared" si="61"/>
        <v>0</v>
      </c>
      <c r="J294">
        <f t="shared" si="55"/>
        <v>0</v>
      </c>
      <c r="K294" s="2462" t="s">
        <v>2888</v>
      </c>
      <c r="L294" s="305"/>
      <c r="M294" s="305"/>
      <c r="R294" s="27" t="e">
        <f t="shared" si="56"/>
        <v>#DIV/0!</v>
      </c>
      <c r="S294" s="305"/>
      <c r="T294" s="305"/>
      <c r="U294" s="305"/>
      <c r="V294" s="520" t="e">
        <f t="shared" si="57"/>
        <v>#DIV/0!</v>
      </c>
      <c r="W294">
        <f t="shared" si="58"/>
        <v>0</v>
      </c>
      <c r="X294">
        <f t="shared" si="59"/>
        <v>0</v>
      </c>
      <c r="Y294" t="e">
        <f t="shared" si="60"/>
        <v>#DIV/0!</v>
      </c>
    </row>
    <row r="295" spans="8:25" ht="18">
      <c r="H295">
        <f t="shared" si="54"/>
        <v>0</v>
      </c>
      <c r="I295">
        <f t="shared" si="61"/>
        <v>0</v>
      </c>
      <c r="J295">
        <f t="shared" si="55"/>
        <v>0</v>
      </c>
      <c r="K295" s="2462" t="s">
        <v>2889</v>
      </c>
      <c r="L295" s="305"/>
      <c r="M295" s="305"/>
      <c r="R295" s="27" t="e">
        <f t="shared" si="56"/>
        <v>#DIV/0!</v>
      </c>
      <c r="S295" s="305"/>
      <c r="T295" s="305"/>
      <c r="U295" s="305"/>
      <c r="V295" s="520" t="e">
        <f t="shared" si="57"/>
        <v>#DIV/0!</v>
      </c>
      <c r="W295">
        <f t="shared" si="58"/>
        <v>0</v>
      </c>
      <c r="X295">
        <f t="shared" si="59"/>
        <v>0</v>
      </c>
      <c r="Y295" t="e">
        <f t="shared" si="60"/>
        <v>#DIV/0!</v>
      </c>
    </row>
    <row r="296" spans="8:25" ht="18">
      <c r="H296">
        <f t="shared" si="54"/>
        <v>0</v>
      </c>
      <c r="I296">
        <f t="shared" si="61"/>
        <v>0</v>
      </c>
      <c r="J296">
        <f t="shared" si="55"/>
        <v>0</v>
      </c>
      <c r="K296" s="2462" t="s">
        <v>2890</v>
      </c>
      <c r="L296" s="305"/>
      <c r="M296" s="305"/>
      <c r="R296" s="27" t="e">
        <f t="shared" si="56"/>
        <v>#DIV/0!</v>
      </c>
      <c r="S296" s="305"/>
      <c r="T296" s="305"/>
      <c r="U296" s="305"/>
      <c r="V296" s="520" t="e">
        <f t="shared" si="57"/>
        <v>#DIV/0!</v>
      </c>
      <c r="W296">
        <f t="shared" si="58"/>
        <v>0</v>
      </c>
      <c r="X296">
        <f t="shared" si="59"/>
        <v>0</v>
      </c>
      <c r="Y296" t="e">
        <f t="shared" si="60"/>
        <v>#DIV/0!</v>
      </c>
    </row>
    <row r="297" spans="8:25" ht="18">
      <c r="H297">
        <f t="shared" si="54"/>
        <v>0</v>
      </c>
      <c r="I297">
        <f t="shared" si="61"/>
        <v>0</v>
      </c>
      <c r="J297">
        <f t="shared" si="55"/>
        <v>0</v>
      </c>
      <c r="K297" s="2462" t="s">
        <v>2891</v>
      </c>
      <c r="L297" s="305"/>
      <c r="M297" s="305"/>
      <c r="R297" s="27" t="e">
        <f t="shared" si="56"/>
        <v>#DIV/0!</v>
      </c>
      <c r="S297" s="305"/>
      <c r="T297" s="305"/>
      <c r="U297" s="305"/>
      <c r="V297" s="520" t="e">
        <f t="shared" si="57"/>
        <v>#DIV/0!</v>
      </c>
      <c r="W297">
        <f t="shared" si="58"/>
        <v>0</v>
      </c>
      <c r="X297">
        <f t="shared" si="59"/>
        <v>0</v>
      </c>
      <c r="Y297" t="e">
        <f t="shared" si="60"/>
        <v>#DIV/0!</v>
      </c>
    </row>
    <row r="298" spans="8:25" ht="18">
      <c r="H298">
        <f t="shared" si="54"/>
        <v>0</v>
      </c>
      <c r="I298">
        <f t="shared" si="61"/>
        <v>0</v>
      </c>
      <c r="J298">
        <f t="shared" si="55"/>
        <v>0</v>
      </c>
      <c r="K298" s="2462" t="s">
        <v>2892</v>
      </c>
      <c r="L298" s="305"/>
      <c r="M298" s="305"/>
      <c r="R298" s="27" t="e">
        <f t="shared" si="56"/>
        <v>#DIV/0!</v>
      </c>
      <c r="S298" s="305"/>
      <c r="T298" s="305"/>
      <c r="U298" s="305"/>
      <c r="V298" s="520" t="e">
        <f t="shared" si="57"/>
        <v>#DIV/0!</v>
      </c>
      <c r="W298">
        <f t="shared" si="58"/>
        <v>0</v>
      </c>
      <c r="X298">
        <f t="shared" si="59"/>
        <v>0</v>
      </c>
      <c r="Y298" t="e">
        <f t="shared" si="60"/>
        <v>#DIV/0!</v>
      </c>
    </row>
    <row r="299" spans="8:25" ht="18">
      <c r="H299">
        <f t="shared" si="54"/>
        <v>0</v>
      </c>
      <c r="I299">
        <f t="shared" si="61"/>
        <v>0</v>
      </c>
      <c r="J299">
        <f t="shared" si="55"/>
        <v>0</v>
      </c>
      <c r="K299" s="2462" t="s">
        <v>2893</v>
      </c>
      <c r="L299" s="305"/>
      <c r="M299" s="305"/>
      <c r="R299" s="27" t="e">
        <f t="shared" si="56"/>
        <v>#DIV/0!</v>
      </c>
      <c r="S299" s="305"/>
      <c r="T299" s="305"/>
      <c r="U299" s="305"/>
      <c r="V299" s="520" t="e">
        <f t="shared" si="57"/>
        <v>#DIV/0!</v>
      </c>
      <c r="W299">
        <f t="shared" si="58"/>
        <v>0</v>
      </c>
      <c r="X299">
        <f t="shared" si="59"/>
        <v>0</v>
      </c>
      <c r="Y299" t="e">
        <f t="shared" si="60"/>
        <v>#DIV/0!</v>
      </c>
    </row>
    <row r="300" spans="8:25" ht="18">
      <c r="H300">
        <f t="shared" si="54"/>
        <v>0</v>
      </c>
      <c r="I300">
        <f t="shared" si="61"/>
        <v>0</v>
      </c>
      <c r="J300">
        <f t="shared" si="55"/>
        <v>0</v>
      </c>
      <c r="K300" s="2462" t="s">
        <v>2894</v>
      </c>
      <c r="L300" s="305"/>
      <c r="M300" s="305"/>
      <c r="R300" s="27" t="e">
        <f t="shared" si="56"/>
        <v>#DIV/0!</v>
      </c>
      <c r="S300" s="305"/>
      <c r="T300" s="305"/>
      <c r="U300" s="305"/>
      <c r="V300" s="520" t="e">
        <f t="shared" si="57"/>
        <v>#DIV/0!</v>
      </c>
      <c r="W300">
        <f t="shared" si="58"/>
        <v>0</v>
      </c>
      <c r="X300">
        <f t="shared" si="59"/>
        <v>0</v>
      </c>
      <c r="Y300" t="e">
        <f t="shared" si="60"/>
        <v>#DIV/0!</v>
      </c>
    </row>
    <row r="301" spans="8:25" ht="18">
      <c r="H301">
        <f t="shared" si="54"/>
        <v>0</v>
      </c>
      <c r="I301">
        <f t="shared" si="61"/>
        <v>0</v>
      </c>
      <c r="J301">
        <f t="shared" si="55"/>
        <v>0</v>
      </c>
      <c r="K301" s="2462" t="s">
        <v>2895</v>
      </c>
      <c r="L301" s="305"/>
      <c r="M301" s="305"/>
      <c r="R301" s="27" t="e">
        <f t="shared" si="56"/>
        <v>#DIV/0!</v>
      </c>
      <c r="S301" s="305"/>
      <c r="T301" s="305"/>
      <c r="U301" s="305"/>
      <c r="V301" s="520" t="e">
        <f t="shared" si="57"/>
        <v>#DIV/0!</v>
      </c>
      <c r="W301">
        <f t="shared" si="58"/>
        <v>0</v>
      </c>
      <c r="X301">
        <f t="shared" si="59"/>
        <v>0</v>
      </c>
      <c r="Y301" t="e">
        <f t="shared" si="60"/>
        <v>#DIV/0!</v>
      </c>
    </row>
    <row r="302" spans="8:25" ht="18">
      <c r="H302">
        <f t="shared" si="54"/>
        <v>0</v>
      </c>
      <c r="I302">
        <f t="shared" si="61"/>
        <v>0</v>
      </c>
      <c r="J302">
        <f t="shared" si="55"/>
        <v>0</v>
      </c>
      <c r="K302" s="2462" t="s">
        <v>2896</v>
      </c>
      <c r="L302" s="305"/>
      <c r="M302" s="305"/>
      <c r="R302" s="27" t="e">
        <f t="shared" si="56"/>
        <v>#DIV/0!</v>
      </c>
      <c r="S302" s="305"/>
      <c r="T302" s="305"/>
      <c r="U302" s="305"/>
      <c r="V302" s="520" t="e">
        <f t="shared" si="57"/>
        <v>#DIV/0!</v>
      </c>
      <c r="W302">
        <f t="shared" si="58"/>
        <v>0</v>
      </c>
      <c r="X302">
        <f t="shared" si="59"/>
        <v>0</v>
      </c>
      <c r="Y302" t="e">
        <f t="shared" si="60"/>
        <v>#DIV/0!</v>
      </c>
    </row>
    <row r="303" spans="8:25" ht="18">
      <c r="H303">
        <f t="shared" si="54"/>
        <v>0</v>
      </c>
      <c r="I303">
        <f t="shared" si="61"/>
        <v>0</v>
      </c>
      <c r="J303">
        <f t="shared" si="55"/>
        <v>0</v>
      </c>
      <c r="K303" s="2462" t="s">
        <v>2897</v>
      </c>
      <c r="L303" s="305"/>
      <c r="M303" s="305"/>
      <c r="R303" s="27" t="e">
        <f t="shared" si="56"/>
        <v>#DIV/0!</v>
      </c>
      <c r="S303" s="305"/>
      <c r="T303" s="305"/>
      <c r="U303" s="305"/>
      <c r="V303" s="520" t="e">
        <f t="shared" si="57"/>
        <v>#DIV/0!</v>
      </c>
      <c r="W303">
        <f t="shared" si="58"/>
        <v>0</v>
      </c>
      <c r="X303">
        <f t="shared" si="59"/>
        <v>0</v>
      </c>
      <c r="Y303" t="e">
        <f t="shared" si="60"/>
        <v>#DIV/0!</v>
      </c>
    </row>
    <row r="304" spans="8:25" ht="18">
      <c r="H304">
        <f t="shared" si="54"/>
        <v>0</v>
      </c>
      <c r="I304">
        <f t="shared" si="61"/>
        <v>0</v>
      </c>
      <c r="J304">
        <f t="shared" si="55"/>
        <v>0</v>
      </c>
      <c r="K304" s="2462" t="s">
        <v>2898</v>
      </c>
      <c r="L304" s="305"/>
      <c r="M304" s="305"/>
      <c r="R304" s="27" t="e">
        <f t="shared" si="56"/>
        <v>#DIV/0!</v>
      </c>
      <c r="S304" s="305"/>
      <c r="T304" s="305"/>
      <c r="U304" s="305"/>
      <c r="V304" s="520" t="e">
        <f t="shared" si="57"/>
        <v>#DIV/0!</v>
      </c>
      <c r="W304">
        <f t="shared" si="58"/>
        <v>0</v>
      </c>
      <c r="X304">
        <f t="shared" si="59"/>
        <v>0</v>
      </c>
      <c r="Y304" t="e">
        <f t="shared" si="60"/>
        <v>#DIV/0!</v>
      </c>
    </row>
    <row r="305" spans="8:35" ht="18">
      <c r="H305">
        <f t="shared" si="54"/>
        <v>0</v>
      </c>
      <c r="I305">
        <f t="shared" si="61"/>
        <v>0</v>
      </c>
      <c r="J305">
        <f t="shared" si="55"/>
        <v>0</v>
      </c>
      <c r="K305" s="2462" t="s">
        <v>2899</v>
      </c>
      <c r="L305" s="305"/>
      <c r="M305" s="305"/>
      <c r="R305" s="27" t="e">
        <f t="shared" si="56"/>
        <v>#DIV/0!</v>
      </c>
      <c r="S305" s="305"/>
      <c r="T305" s="305"/>
      <c r="U305" s="305"/>
      <c r="V305" s="520" t="e">
        <f t="shared" si="57"/>
        <v>#DIV/0!</v>
      </c>
      <c r="W305">
        <f t="shared" si="58"/>
        <v>0</v>
      </c>
      <c r="X305">
        <f t="shared" si="59"/>
        <v>0</v>
      </c>
      <c r="Y305" t="e">
        <f t="shared" si="60"/>
        <v>#DIV/0!</v>
      </c>
    </row>
    <row r="306" spans="8:35" ht="18">
      <c r="H306">
        <f t="shared" si="54"/>
        <v>0</v>
      </c>
      <c r="I306">
        <f t="shared" si="61"/>
        <v>0</v>
      </c>
      <c r="J306">
        <f t="shared" si="55"/>
        <v>0</v>
      </c>
      <c r="K306" t="s">
        <v>2900</v>
      </c>
      <c r="L306" s="305"/>
      <c r="M306" s="305"/>
      <c r="R306" s="27" t="e">
        <f t="shared" si="56"/>
        <v>#DIV/0!</v>
      </c>
      <c r="S306" s="305"/>
      <c r="T306" s="305"/>
      <c r="U306" s="305"/>
      <c r="V306" s="520" t="e">
        <f t="shared" si="57"/>
        <v>#DIV/0!</v>
      </c>
      <c r="W306">
        <f t="shared" si="58"/>
        <v>0</v>
      </c>
      <c r="X306">
        <f t="shared" si="59"/>
        <v>0</v>
      </c>
      <c r="Y306" t="e">
        <f t="shared" si="60"/>
        <v>#DIV/0!</v>
      </c>
    </row>
    <row r="307" spans="8:35" ht="18">
      <c r="H307">
        <f t="shared" si="54"/>
        <v>0</v>
      </c>
      <c r="I307">
        <f t="shared" si="61"/>
        <v>0</v>
      </c>
      <c r="J307">
        <f t="shared" si="55"/>
        <v>0</v>
      </c>
      <c r="K307" s="2462" t="s">
        <v>2901</v>
      </c>
      <c r="L307" s="305"/>
      <c r="M307" s="305"/>
      <c r="R307" s="27" t="e">
        <f t="shared" si="56"/>
        <v>#DIV/0!</v>
      </c>
      <c r="S307" s="305"/>
      <c r="T307" s="305"/>
      <c r="U307" s="305"/>
      <c r="V307" s="520" t="e">
        <f t="shared" si="57"/>
        <v>#DIV/0!</v>
      </c>
      <c r="W307">
        <f t="shared" si="58"/>
        <v>0</v>
      </c>
      <c r="X307">
        <f t="shared" si="59"/>
        <v>0</v>
      </c>
      <c r="Y307" t="e">
        <f t="shared" si="60"/>
        <v>#DIV/0!</v>
      </c>
    </row>
    <row r="308" spans="8:35" ht="18">
      <c r="H308">
        <f t="shared" si="54"/>
        <v>358712</v>
      </c>
      <c r="I308">
        <f t="shared" si="61"/>
        <v>358712</v>
      </c>
      <c r="J308">
        <f t="shared" si="55"/>
        <v>358712</v>
      </c>
      <c r="K308" t="s">
        <v>2902</v>
      </c>
      <c r="L308" s="305"/>
      <c r="M308" s="305"/>
      <c r="R308" s="27" t="e">
        <f t="shared" si="56"/>
        <v>#DIV/0!</v>
      </c>
      <c r="S308">
        <v>257700</v>
      </c>
      <c r="T308">
        <f>8145062-7528650</f>
        <v>616412</v>
      </c>
      <c r="U308">
        <f>9859.34-9398</f>
        <v>461.34000000000015</v>
      </c>
      <c r="V308" s="520">
        <f t="shared" si="57"/>
        <v>1336.133870897819</v>
      </c>
      <c r="W308">
        <f t="shared" si="58"/>
        <v>616412</v>
      </c>
      <c r="X308">
        <f t="shared" si="59"/>
        <v>461.34000000000015</v>
      </c>
      <c r="Y308">
        <f t="shared" si="60"/>
        <v>1336.133870897819</v>
      </c>
    </row>
    <row r="309" spans="8:35">
      <c r="H309">
        <f t="shared" si="54"/>
        <v>0</v>
      </c>
      <c r="I309">
        <f t="shared" si="61"/>
        <v>0</v>
      </c>
    </row>
    <row r="310" spans="8:35">
      <c r="H310">
        <f t="shared" si="54"/>
        <v>358712</v>
      </c>
      <c r="I310">
        <f t="shared" si="61"/>
        <v>358712</v>
      </c>
      <c r="J310">
        <f t="shared" si="55"/>
        <v>358712</v>
      </c>
      <c r="L310">
        <f>SUM(L279:L309)</f>
        <v>0</v>
      </c>
      <c r="M310">
        <f>SUM(M279:M309)</f>
        <v>0</v>
      </c>
      <c r="R310" t="e">
        <f>+L310/M310</f>
        <v>#DIV/0!</v>
      </c>
      <c r="S310">
        <f>SUM(S279:S309)</f>
        <v>257700</v>
      </c>
      <c r="T310">
        <f>SUM(T279:T309)</f>
        <v>616412</v>
      </c>
      <c r="U310">
        <f>SUM(U279:U309)</f>
        <v>461.34000000000015</v>
      </c>
      <c r="V310">
        <f>+T310/U310</f>
        <v>1336.133870897819</v>
      </c>
      <c r="W310">
        <f>SUM(W279:W309)</f>
        <v>616412</v>
      </c>
      <c r="X310">
        <f>SUM(X279:X309)</f>
        <v>461.34000000000015</v>
      </c>
      <c r="Y310">
        <f>+W310/X310</f>
        <v>1336.133870897819</v>
      </c>
    </row>
    <row r="311" spans="8:35">
      <c r="H311">
        <f t="shared" si="54"/>
        <v>0</v>
      </c>
      <c r="T311" s="544"/>
    </row>
    <row r="312" spans="8:35">
      <c r="H312">
        <f t="shared" si="54"/>
        <v>0</v>
      </c>
      <c r="T312" s="544"/>
    </row>
    <row r="313" spans="8:35" ht="18">
      <c r="H313">
        <f t="shared" si="54"/>
        <v>0</v>
      </c>
      <c r="Z313" s="1514"/>
      <c r="AA313" s="1245" t="s">
        <v>3937</v>
      </c>
      <c r="AB313" s="1245"/>
      <c r="AC313" s="1245"/>
      <c r="AD313" s="1514"/>
      <c r="AE313" s="1514"/>
      <c r="AF313" s="3028" t="s">
        <v>3938</v>
      </c>
      <c r="AG313" s="3028"/>
      <c r="AH313" s="1514"/>
      <c r="AI313" s="1514"/>
    </row>
    <row r="314" spans="8:35" ht="18">
      <c r="H314" t="e">
        <f t="shared" si="54"/>
        <v>#VALUE!</v>
      </c>
      <c r="L314" s="14" t="s">
        <v>2678</v>
      </c>
      <c r="M314" s="14" t="s">
        <v>2624</v>
      </c>
      <c r="N314" s="14"/>
      <c r="O314" s="84"/>
      <c r="P314" s="84"/>
      <c r="Q314" s="84"/>
      <c r="R314" s="84" t="s">
        <v>520</v>
      </c>
      <c r="S314" s="84" t="s">
        <v>2640</v>
      </c>
      <c r="T314" s="84" t="s">
        <v>2679</v>
      </c>
      <c r="U314" s="84" t="s">
        <v>524</v>
      </c>
      <c r="V314" s="84" t="s">
        <v>520</v>
      </c>
      <c r="W314" s="84" t="s">
        <v>518</v>
      </c>
      <c r="X314" s="84" t="s">
        <v>524</v>
      </c>
      <c r="Y314" s="84" t="s">
        <v>520</v>
      </c>
      <c r="Z314" s="1514"/>
      <c r="AA314" s="1514" t="s">
        <v>540</v>
      </c>
      <c r="AB314" s="1514" t="s">
        <v>3936</v>
      </c>
      <c r="AC314" s="1514" t="s">
        <v>111</v>
      </c>
      <c r="AD314" s="1514" t="s">
        <v>2334</v>
      </c>
      <c r="AE314" s="1514" t="s">
        <v>680</v>
      </c>
      <c r="AF314" s="1514" t="s">
        <v>23</v>
      </c>
      <c r="AG314" s="1514" t="s">
        <v>2334</v>
      </c>
      <c r="AH314" s="1514" t="s">
        <v>3939</v>
      </c>
      <c r="AI314" s="1514" t="s">
        <v>3940</v>
      </c>
    </row>
    <row r="315" spans="8:35" ht="18">
      <c r="H315">
        <f t="shared" si="54"/>
        <v>0</v>
      </c>
      <c r="J315">
        <f>+T315-S315</f>
        <v>0</v>
      </c>
      <c r="K315" s="2464" t="s">
        <v>2903</v>
      </c>
      <c r="L315" s="305"/>
      <c r="M315" s="305"/>
      <c r="R315" s="27" t="e">
        <f t="shared" ref="R315:R346" si="63">+L315/M315</f>
        <v>#DIV/0!</v>
      </c>
      <c r="S315" s="305"/>
      <c r="T315" s="305"/>
      <c r="U315" s="305"/>
      <c r="V315" s="520" t="e">
        <f t="shared" ref="V315:V346" si="64">+T315/U315</f>
        <v>#DIV/0!</v>
      </c>
      <c r="W315">
        <f t="shared" ref="W315:W345" si="65">+T315-L315</f>
        <v>0</v>
      </c>
      <c r="X315">
        <f t="shared" ref="X315:X345" si="66">+U315-M315</f>
        <v>0</v>
      </c>
      <c r="Y315" t="e">
        <f t="shared" ref="Y315:Y346" si="67">+W315/X315</f>
        <v>#DIV/0!</v>
      </c>
      <c r="Z315" s="293" t="s">
        <v>242</v>
      </c>
      <c r="AA315" s="293">
        <v>4884</v>
      </c>
      <c r="AB315" s="293">
        <v>6180</v>
      </c>
      <c r="AC315" s="293">
        <v>3471</v>
      </c>
      <c r="AD315" s="293">
        <v>3191</v>
      </c>
      <c r="AE315" s="2671">
        <v>3928</v>
      </c>
      <c r="AF315" s="293">
        <v>176</v>
      </c>
      <c r="AG315" s="293">
        <v>65</v>
      </c>
      <c r="AH315" s="293">
        <v>1</v>
      </c>
      <c r="AI315" s="293">
        <f>+AG315-AH315</f>
        <v>64</v>
      </c>
    </row>
    <row r="316" spans="8:35" ht="18">
      <c r="H316">
        <f t="shared" si="54"/>
        <v>0</v>
      </c>
      <c r="J316">
        <f t="shared" ref="J316:J345" si="68">+T316-S316</f>
        <v>0</v>
      </c>
      <c r="K316" s="2433" t="s">
        <v>2904</v>
      </c>
      <c r="L316" s="305"/>
      <c r="M316" s="305"/>
      <c r="R316" s="27" t="e">
        <f t="shared" si="63"/>
        <v>#DIV/0!</v>
      </c>
      <c r="S316" s="305"/>
      <c r="T316" s="305"/>
      <c r="U316" s="305"/>
      <c r="V316" s="520" t="e">
        <f t="shared" si="64"/>
        <v>#DIV/0!</v>
      </c>
      <c r="W316">
        <f t="shared" si="65"/>
        <v>0</v>
      </c>
      <c r="X316">
        <f t="shared" si="66"/>
        <v>0</v>
      </c>
      <c r="Y316" t="e">
        <f t="shared" si="67"/>
        <v>#DIV/0!</v>
      </c>
      <c r="Z316" s="293" t="s">
        <v>243</v>
      </c>
      <c r="AA316" s="293">
        <v>6331</v>
      </c>
      <c r="AB316" s="293">
        <v>6801</v>
      </c>
      <c r="AC316" s="293">
        <v>3308</v>
      </c>
      <c r="AD316" s="293">
        <v>3691</v>
      </c>
      <c r="AE316" s="2671">
        <f>1193+2073</f>
        <v>3266</v>
      </c>
      <c r="AF316" s="293">
        <v>190</v>
      </c>
      <c r="AG316" s="293">
        <v>75</v>
      </c>
      <c r="AH316" s="293">
        <v>3</v>
      </c>
      <c r="AI316" s="293">
        <f t="shared" ref="AI316:AI327" si="69">+AG316-AH316</f>
        <v>72</v>
      </c>
    </row>
    <row r="317" spans="8:35" ht="18">
      <c r="H317">
        <f t="shared" si="54"/>
        <v>0</v>
      </c>
      <c r="J317">
        <f t="shared" si="68"/>
        <v>0</v>
      </c>
      <c r="K317" s="2433" t="s">
        <v>2905</v>
      </c>
      <c r="L317" s="305"/>
      <c r="M317" s="305"/>
      <c r="R317" s="27" t="e">
        <f t="shared" si="63"/>
        <v>#DIV/0!</v>
      </c>
      <c r="S317" s="305"/>
      <c r="T317" s="305"/>
      <c r="U317" s="305"/>
      <c r="V317" s="520" t="e">
        <f t="shared" si="64"/>
        <v>#DIV/0!</v>
      </c>
      <c r="W317">
        <f t="shared" si="65"/>
        <v>0</v>
      </c>
      <c r="X317">
        <f t="shared" si="66"/>
        <v>0</v>
      </c>
      <c r="Y317" t="e">
        <f t="shared" si="67"/>
        <v>#DIV/0!</v>
      </c>
      <c r="Z317" s="293" t="s">
        <v>244</v>
      </c>
      <c r="AA317" s="293">
        <v>3624</v>
      </c>
      <c r="AB317" s="293">
        <v>5206</v>
      </c>
      <c r="AC317" s="293">
        <v>3557</v>
      </c>
      <c r="AD317" s="293">
        <v>3391</v>
      </c>
      <c r="AE317" s="2671">
        <f>1639+2294</f>
        <v>3933</v>
      </c>
      <c r="AF317" s="293">
        <v>154</v>
      </c>
      <c r="AG317" s="293">
        <v>69</v>
      </c>
      <c r="AH317" s="293">
        <v>0</v>
      </c>
      <c r="AI317" s="293">
        <f t="shared" si="69"/>
        <v>69</v>
      </c>
    </row>
    <row r="318" spans="8:35" ht="18">
      <c r="H318">
        <f t="shared" si="54"/>
        <v>0</v>
      </c>
      <c r="J318">
        <f t="shared" si="68"/>
        <v>0</v>
      </c>
      <c r="K318" s="2433" t="s">
        <v>2906</v>
      </c>
      <c r="L318" s="305"/>
      <c r="M318" s="305"/>
      <c r="R318" s="27" t="e">
        <f t="shared" si="63"/>
        <v>#DIV/0!</v>
      </c>
      <c r="S318" s="305"/>
      <c r="T318" s="305"/>
      <c r="U318" s="305"/>
      <c r="V318" s="520" t="e">
        <f t="shared" si="64"/>
        <v>#DIV/0!</v>
      </c>
      <c r="W318">
        <f t="shared" si="65"/>
        <v>0</v>
      </c>
      <c r="X318">
        <f t="shared" si="66"/>
        <v>0</v>
      </c>
      <c r="Y318" t="e">
        <f t="shared" si="67"/>
        <v>#DIV/0!</v>
      </c>
      <c r="Z318" s="293" t="s">
        <v>245</v>
      </c>
      <c r="AA318" s="293">
        <v>5287</v>
      </c>
      <c r="AB318" s="293">
        <v>5231</v>
      </c>
      <c r="AC318" s="293">
        <v>4019</v>
      </c>
      <c r="AD318" s="293">
        <v>4909</v>
      </c>
      <c r="AE318" s="2671">
        <f>1730+149.5</f>
        <v>1879.5</v>
      </c>
      <c r="AF318" s="293">
        <v>145</v>
      </c>
      <c r="AG318" s="293">
        <v>97</v>
      </c>
      <c r="AH318" s="293">
        <v>0</v>
      </c>
      <c r="AI318" s="293">
        <f t="shared" si="69"/>
        <v>97</v>
      </c>
    </row>
    <row r="319" spans="8:35" ht="18">
      <c r="H319">
        <f t="shared" si="54"/>
        <v>0</v>
      </c>
      <c r="J319">
        <f t="shared" si="68"/>
        <v>0</v>
      </c>
      <c r="K319" s="2433" t="s">
        <v>2907</v>
      </c>
      <c r="L319" s="305"/>
      <c r="M319" s="305"/>
      <c r="R319" s="27" t="e">
        <f t="shared" si="63"/>
        <v>#DIV/0!</v>
      </c>
      <c r="S319" s="305"/>
      <c r="T319" s="305"/>
      <c r="U319" s="305"/>
      <c r="V319" s="520" t="e">
        <f t="shared" si="64"/>
        <v>#DIV/0!</v>
      </c>
      <c r="W319">
        <f t="shared" si="65"/>
        <v>0</v>
      </c>
      <c r="X319">
        <f t="shared" si="66"/>
        <v>0</v>
      </c>
      <c r="Y319" t="e">
        <f t="shared" si="67"/>
        <v>#DIV/0!</v>
      </c>
      <c r="Z319" s="293" t="s">
        <v>246</v>
      </c>
      <c r="AA319" s="293">
        <v>5443</v>
      </c>
      <c r="AB319" s="293">
        <v>5998</v>
      </c>
      <c r="AC319" s="293">
        <v>4025</v>
      </c>
      <c r="AD319" s="293">
        <v>3814</v>
      </c>
      <c r="AE319" s="2671">
        <f>2574+2308</f>
        <v>4882</v>
      </c>
      <c r="AF319" s="293">
        <v>183</v>
      </c>
      <c r="AG319" s="293">
        <v>75</v>
      </c>
      <c r="AH319" s="293">
        <v>1</v>
      </c>
      <c r="AI319" s="293">
        <f t="shared" si="69"/>
        <v>74</v>
      </c>
    </row>
    <row r="320" spans="8:35" ht="18">
      <c r="H320">
        <f t="shared" si="54"/>
        <v>0</v>
      </c>
      <c r="J320">
        <f t="shared" si="68"/>
        <v>0</v>
      </c>
      <c r="K320" s="2433" t="s">
        <v>2908</v>
      </c>
      <c r="L320" s="305"/>
      <c r="M320" s="305"/>
      <c r="R320" s="27" t="e">
        <f t="shared" si="63"/>
        <v>#DIV/0!</v>
      </c>
      <c r="S320" s="305"/>
      <c r="T320" s="305"/>
      <c r="U320" s="305"/>
      <c r="V320" s="520" t="e">
        <f t="shared" si="64"/>
        <v>#DIV/0!</v>
      </c>
      <c r="W320">
        <f t="shared" si="65"/>
        <v>0</v>
      </c>
      <c r="X320">
        <f t="shared" si="66"/>
        <v>0</v>
      </c>
      <c r="Y320" t="e">
        <f t="shared" si="67"/>
        <v>#DIV/0!</v>
      </c>
      <c r="Z320" s="293" t="s">
        <v>247</v>
      </c>
      <c r="AA320" s="293">
        <v>5797</v>
      </c>
      <c r="AB320" s="293">
        <v>4155</v>
      </c>
      <c r="AC320" s="293">
        <v>4062</v>
      </c>
      <c r="AD320" s="293">
        <v>1860</v>
      </c>
      <c r="AE320" s="2671">
        <f>700.5+2551.45</f>
        <v>3251.95</v>
      </c>
      <c r="AF320" s="293">
        <v>179</v>
      </c>
      <c r="AG320" s="293">
        <v>37</v>
      </c>
      <c r="AH320" s="293">
        <v>2</v>
      </c>
      <c r="AI320" s="293">
        <f t="shared" si="69"/>
        <v>35</v>
      </c>
    </row>
    <row r="321" spans="8:35" ht="18">
      <c r="H321">
        <f t="shared" si="54"/>
        <v>0</v>
      </c>
      <c r="J321">
        <f t="shared" si="68"/>
        <v>0</v>
      </c>
      <c r="K321" s="2433" t="s">
        <v>2909</v>
      </c>
      <c r="L321" s="305"/>
      <c r="M321" s="305"/>
      <c r="R321" s="27" t="e">
        <f t="shared" si="63"/>
        <v>#DIV/0!</v>
      </c>
      <c r="S321" s="305"/>
      <c r="T321" s="305"/>
      <c r="U321" s="305"/>
      <c r="V321" s="520" t="e">
        <f t="shared" si="64"/>
        <v>#DIV/0!</v>
      </c>
      <c r="W321">
        <f t="shared" si="65"/>
        <v>0</v>
      </c>
      <c r="X321">
        <f t="shared" si="66"/>
        <v>0</v>
      </c>
      <c r="Y321" t="e">
        <f t="shared" si="67"/>
        <v>#DIV/0!</v>
      </c>
      <c r="Z321" s="293" t="s">
        <v>248</v>
      </c>
      <c r="AA321" s="293">
        <v>6297</v>
      </c>
      <c r="AB321" s="293">
        <v>6871</v>
      </c>
      <c r="AC321" s="293">
        <v>3356</v>
      </c>
      <c r="AD321" s="293">
        <v>2767</v>
      </c>
      <c r="AE321" s="2671">
        <f>1534.45+2039.2</f>
        <v>3573.65</v>
      </c>
      <c r="AF321" s="293">
        <v>195</v>
      </c>
      <c r="AG321" s="293">
        <v>56</v>
      </c>
      <c r="AH321" s="293">
        <v>0</v>
      </c>
      <c r="AI321" s="293">
        <f t="shared" si="69"/>
        <v>56</v>
      </c>
    </row>
    <row r="322" spans="8:35" ht="18">
      <c r="H322">
        <f t="shared" ref="H322:H348" si="70">+T322-S322-L322</f>
        <v>0</v>
      </c>
      <c r="J322">
        <f t="shared" si="68"/>
        <v>0</v>
      </c>
      <c r="K322" s="2433" t="s">
        <v>2910</v>
      </c>
      <c r="L322" s="305"/>
      <c r="M322" s="305"/>
      <c r="R322" s="27" t="e">
        <f t="shared" si="63"/>
        <v>#DIV/0!</v>
      </c>
      <c r="S322" s="305"/>
      <c r="T322" s="305"/>
      <c r="U322" s="305"/>
      <c r="V322" s="520" t="e">
        <f t="shared" si="64"/>
        <v>#DIV/0!</v>
      </c>
      <c r="W322">
        <f t="shared" si="65"/>
        <v>0</v>
      </c>
      <c r="X322">
        <f t="shared" si="66"/>
        <v>0</v>
      </c>
      <c r="Y322" t="e">
        <f t="shared" si="67"/>
        <v>#DIV/0!</v>
      </c>
      <c r="Z322" s="293" t="s">
        <v>249</v>
      </c>
      <c r="AA322" s="293">
        <v>5822</v>
      </c>
      <c r="AB322" s="293">
        <v>6847</v>
      </c>
      <c r="AC322" s="293">
        <v>3863</v>
      </c>
      <c r="AD322" s="293">
        <v>3514</v>
      </c>
      <c r="AE322" s="2671">
        <f>2420.9+1933.25</f>
        <v>4354.1499999999996</v>
      </c>
      <c r="AF322" s="293">
        <v>197</v>
      </c>
      <c r="AG322" s="293">
        <v>71</v>
      </c>
      <c r="AH322" s="293">
        <v>2</v>
      </c>
      <c r="AI322" s="293">
        <f t="shared" si="69"/>
        <v>69</v>
      </c>
    </row>
    <row r="323" spans="8:35" ht="18">
      <c r="H323">
        <f t="shared" si="70"/>
        <v>0</v>
      </c>
      <c r="J323">
        <f t="shared" si="68"/>
        <v>0</v>
      </c>
      <c r="K323" s="2433" t="s">
        <v>2911</v>
      </c>
      <c r="L323" s="305"/>
      <c r="M323" s="305"/>
      <c r="R323" s="27" t="e">
        <f t="shared" si="63"/>
        <v>#DIV/0!</v>
      </c>
      <c r="S323" s="305"/>
      <c r="T323" s="305"/>
      <c r="U323" s="305"/>
      <c r="V323" s="520" t="e">
        <f t="shared" si="64"/>
        <v>#DIV/0!</v>
      </c>
      <c r="W323">
        <f t="shared" si="65"/>
        <v>0</v>
      </c>
      <c r="X323">
        <f t="shared" si="66"/>
        <v>0</v>
      </c>
      <c r="Y323" t="e">
        <f t="shared" si="67"/>
        <v>#DIV/0!</v>
      </c>
      <c r="Z323" s="293" t="s">
        <v>250</v>
      </c>
      <c r="AA323" s="293">
        <v>5761</v>
      </c>
      <c r="AB323" s="293">
        <v>6856</v>
      </c>
      <c r="AC323" s="293">
        <v>3765</v>
      </c>
      <c r="AD323" s="293">
        <v>3740</v>
      </c>
      <c r="AE323" s="2671">
        <f>2332.05+2077.15</f>
        <v>4409.2000000000007</v>
      </c>
      <c r="AF323" s="293">
        <v>207</v>
      </c>
      <c r="AG323" s="293">
        <v>74</v>
      </c>
      <c r="AH323" s="293">
        <v>0</v>
      </c>
      <c r="AI323" s="293">
        <f t="shared" si="69"/>
        <v>74</v>
      </c>
    </row>
    <row r="324" spans="8:35" ht="18">
      <c r="H324">
        <f t="shared" si="70"/>
        <v>0</v>
      </c>
      <c r="J324">
        <f t="shared" si="68"/>
        <v>0</v>
      </c>
      <c r="K324" s="2433" t="s">
        <v>2912</v>
      </c>
      <c r="L324" s="305"/>
      <c r="M324" s="305"/>
      <c r="R324" s="27" t="e">
        <f t="shared" si="63"/>
        <v>#DIV/0!</v>
      </c>
      <c r="S324" s="305"/>
      <c r="T324" s="305"/>
      <c r="U324" s="305"/>
      <c r="V324" s="520" t="e">
        <f t="shared" si="64"/>
        <v>#DIV/0!</v>
      </c>
      <c r="W324">
        <f t="shared" si="65"/>
        <v>0</v>
      </c>
      <c r="X324">
        <f t="shared" si="66"/>
        <v>0</v>
      </c>
      <c r="Y324" t="e">
        <f t="shared" si="67"/>
        <v>#DIV/0!</v>
      </c>
      <c r="Z324" s="293" t="s">
        <v>861</v>
      </c>
      <c r="AA324" s="293">
        <v>6969</v>
      </c>
      <c r="AB324" s="293">
        <v>7810</v>
      </c>
      <c r="AC324" s="293">
        <v>4005</v>
      </c>
      <c r="AD324" s="293">
        <v>4299</v>
      </c>
      <c r="AE324" s="2671">
        <f>2510+1667</f>
        <v>4177</v>
      </c>
      <c r="AF324" s="293">
        <v>226</v>
      </c>
      <c r="AG324" s="293">
        <v>84</v>
      </c>
      <c r="AH324" s="293">
        <v>1</v>
      </c>
      <c r="AI324" s="293">
        <f t="shared" si="69"/>
        <v>83</v>
      </c>
    </row>
    <row r="325" spans="8:35" ht="18">
      <c r="H325">
        <f t="shared" si="70"/>
        <v>0</v>
      </c>
      <c r="J325">
        <f t="shared" si="68"/>
        <v>0</v>
      </c>
      <c r="K325" s="2433" t="s">
        <v>2913</v>
      </c>
      <c r="L325" s="305"/>
      <c r="M325" s="305"/>
      <c r="R325" s="27" t="e">
        <f t="shared" si="63"/>
        <v>#DIV/0!</v>
      </c>
      <c r="S325" s="305"/>
      <c r="T325" s="305"/>
      <c r="U325" s="305"/>
      <c r="V325" s="520" t="e">
        <f t="shared" si="64"/>
        <v>#DIV/0!</v>
      </c>
      <c r="W325">
        <f t="shared" si="65"/>
        <v>0</v>
      </c>
      <c r="X325">
        <f t="shared" si="66"/>
        <v>0</v>
      </c>
      <c r="Y325" t="e">
        <f t="shared" si="67"/>
        <v>#DIV/0!</v>
      </c>
      <c r="Z325" s="293" t="s">
        <v>862</v>
      </c>
      <c r="AA325" s="293">
        <v>6612</v>
      </c>
      <c r="AB325" s="293">
        <v>6827</v>
      </c>
      <c r="AC325" s="293">
        <v>3841</v>
      </c>
      <c r="AD325" s="293">
        <v>3646</v>
      </c>
      <c r="AE325" s="2671">
        <f>2169+2371</f>
        <v>4540</v>
      </c>
      <c r="AF325" s="293">
        <v>216</v>
      </c>
      <c r="AG325" s="293">
        <v>71</v>
      </c>
      <c r="AH325" s="293">
        <v>2</v>
      </c>
      <c r="AI325" s="293">
        <f t="shared" si="69"/>
        <v>69</v>
      </c>
    </row>
    <row r="326" spans="8:35" ht="18">
      <c r="H326">
        <f t="shared" si="70"/>
        <v>0</v>
      </c>
      <c r="J326">
        <f t="shared" si="68"/>
        <v>0</v>
      </c>
      <c r="K326" s="2462" t="s">
        <v>2914</v>
      </c>
      <c r="L326" s="305"/>
      <c r="M326" s="305"/>
      <c r="R326" s="27" t="e">
        <f t="shared" si="63"/>
        <v>#DIV/0!</v>
      </c>
      <c r="S326" s="305"/>
      <c r="T326" s="305"/>
      <c r="U326" s="305"/>
      <c r="V326" s="520" t="e">
        <f t="shared" si="64"/>
        <v>#DIV/0!</v>
      </c>
      <c r="W326">
        <f t="shared" si="65"/>
        <v>0</v>
      </c>
      <c r="X326">
        <f t="shared" si="66"/>
        <v>0</v>
      </c>
      <c r="Y326" t="e">
        <f t="shared" si="67"/>
        <v>#DIV/0!</v>
      </c>
      <c r="Z326" s="293" t="s">
        <v>863</v>
      </c>
      <c r="AA326" s="293">
        <v>6907</v>
      </c>
      <c r="AB326" s="293">
        <v>7013</v>
      </c>
      <c r="AC326" s="293">
        <v>4236</v>
      </c>
      <c r="AD326" s="293">
        <v>4332</v>
      </c>
      <c r="AE326" s="2671">
        <f>2221.8+1519.4</f>
        <v>3741.2000000000003</v>
      </c>
      <c r="AF326" s="293">
        <v>220</v>
      </c>
      <c r="AG326" s="293">
        <v>84</v>
      </c>
      <c r="AH326" s="293">
        <v>1</v>
      </c>
      <c r="AI326" s="293">
        <f t="shared" si="69"/>
        <v>83</v>
      </c>
    </row>
    <row r="327" spans="8:35" ht="18">
      <c r="H327">
        <f t="shared" si="70"/>
        <v>0</v>
      </c>
      <c r="J327">
        <f t="shared" si="68"/>
        <v>0</v>
      </c>
      <c r="K327" t="s">
        <v>2915</v>
      </c>
      <c r="L327" s="305"/>
      <c r="M327" s="305"/>
      <c r="R327" s="27" t="e">
        <f t="shared" si="63"/>
        <v>#DIV/0!</v>
      </c>
      <c r="S327" s="305"/>
      <c r="T327" s="305"/>
      <c r="U327" s="305"/>
      <c r="V327" s="520" t="e">
        <f t="shared" si="64"/>
        <v>#DIV/0!</v>
      </c>
      <c r="W327">
        <f t="shared" si="65"/>
        <v>0</v>
      </c>
      <c r="X327">
        <f t="shared" si="66"/>
        <v>0</v>
      </c>
      <c r="Y327" t="e">
        <f t="shared" si="67"/>
        <v>#DIV/0!</v>
      </c>
      <c r="Z327" s="293"/>
      <c r="AA327" s="293">
        <f>SUM(AA315:AA326)</f>
        <v>69734</v>
      </c>
      <c r="AB327" s="293">
        <f t="shared" ref="AB327:AE327" si="71">SUM(AB315:AB326)</f>
        <v>75795</v>
      </c>
      <c r="AC327" s="293">
        <f t="shared" si="71"/>
        <v>45508</v>
      </c>
      <c r="AD327" s="293">
        <f t="shared" si="71"/>
        <v>43154</v>
      </c>
      <c r="AE327" s="293">
        <f t="shared" si="71"/>
        <v>45935.649999999994</v>
      </c>
      <c r="AF327" s="293">
        <f>SUM(AF315:AF326)</f>
        <v>2288</v>
      </c>
      <c r="AG327" s="293">
        <f t="shared" ref="AG327:AH327" si="72">SUM(AG315:AG326)</f>
        <v>858</v>
      </c>
      <c r="AH327" s="293">
        <f t="shared" si="72"/>
        <v>13</v>
      </c>
      <c r="AI327" s="293">
        <f t="shared" si="69"/>
        <v>845</v>
      </c>
    </row>
    <row r="328" spans="8:35" ht="18">
      <c r="H328">
        <f t="shared" si="70"/>
        <v>0</v>
      </c>
      <c r="J328">
        <f t="shared" si="68"/>
        <v>0</v>
      </c>
      <c r="K328" s="2462" t="s">
        <v>2916</v>
      </c>
      <c r="L328" s="305"/>
      <c r="M328" s="305"/>
      <c r="R328" s="27" t="e">
        <f t="shared" si="63"/>
        <v>#DIV/0!</v>
      </c>
      <c r="S328" s="305"/>
      <c r="T328" s="305"/>
      <c r="U328" s="305"/>
      <c r="V328" s="520" t="e">
        <f t="shared" si="64"/>
        <v>#DIV/0!</v>
      </c>
      <c r="W328">
        <f t="shared" si="65"/>
        <v>0</v>
      </c>
      <c r="X328">
        <f t="shared" si="66"/>
        <v>0</v>
      </c>
      <c r="Y328" t="e">
        <f t="shared" si="67"/>
        <v>#DIV/0!</v>
      </c>
      <c r="Z328" s="1245" t="s">
        <v>4180</v>
      </c>
      <c r="AA328" s="1245"/>
      <c r="AB328" s="1245"/>
      <c r="AC328" s="1514"/>
      <c r="AD328" s="1514"/>
      <c r="AE328" s="2711"/>
      <c r="AF328" s="3028" t="s">
        <v>3938</v>
      </c>
      <c r="AG328" s="3028"/>
    </row>
    <row r="329" spans="8:35" ht="18">
      <c r="H329">
        <f t="shared" si="70"/>
        <v>0</v>
      </c>
      <c r="J329">
        <f t="shared" si="68"/>
        <v>0</v>
      </c>
      <c r="K329" s="2462" t="s">
        <v>2917</v>
      </c>
      <c r="L329" s="305"/>
      <c r="M329" s="305"/>
      <c r="R329" s="27" t="e">
        <f t="shared" si="63"/>
        <v>#DIV/0!</v>
      </c>
      <c r="S329" s="305"/>
      <c r="T329" s="305"/>
      <c r="U329" s="305"/>
      <c r="V329" s="520" t="e">
        <f t="shared" si="64"/>
        <v>#DIV/0!</v>
      </c>
      <c r="W329">
        <f t="shared" si="65"/>
        <v>0</v>
      </c>
      <c r="X329">
        <f t="shared" si="66"/>
        <v>0</v>
      </c>
      <c r="Y329" t="e">
        <f t="shared" si="67"/>
        <v>#DIV/0!</v>
      </c>
      <c r="Z329" s="293" t="s">
        <v>274</v>
      </c>
      <c r="AA329" s="293" t="s">
        <v>540</v>
      </c>
      <c r="AB329" s="293" t="s">
        <v>3936</v>
      </c>
      <c r="AC329" s="293" t="s">
        <v>111</v>
      </c>
      <c r="AD329" s="293" t="s">
        <v>2334</v>
      </c>
      <c r="AE329" s="293" t="s">
        <v>680</v>
      </c>
      <c r="AF329" s="293" t="s">
        <v>23</v>
      </c>
      <c r="AG329" s="293" t="s">
        <v>2334</v>
      </c>
      <c r="AH329" s="293" t="s">
        <v>3939</v>
      </c>
      <c r="AI329" s="293" t="s">
        <v>3940</v>
      </c>
    </row>
    <row r="330" spans="8:35" ht="18">
      <c r="H330">
        <f t="shared" si="70"/>
        <v>0</v>
      </c>
      <c r="J330">
        <f t="shared" si="68"/>
        <v>0</v>
      </c>
      <c r="K330" s="2462" t="s">
        <v>2918</v>
      </c>
      <c r="L330" s="305"/>
      <c r="M330" s="305"/>
      <c r="R330" s="27" t="e">
        <f t="shared" si="63"/>
        <v>#DIV/0!</v>
      </c>
      <c r="S330" s="305"/>
      <c r="T330" s="305"/>
      <c r="U330" s="305"/>
      <c r="V330" s="520" t="e">
        <f t="shared" si="64"/>
        <v>#DIV/0!</v>
      </c>
      <c r="W330">
        <f t="shared" si="65"/>
        <v>0</v>
      </c>
      <c r="X330">
        <f t="shared" si="66"/>
        <v>0</v>
      </c>
      <c r="Y330" t="e">
        <f t="shared" si="67"/>
        <v>#DIV/0!</v>
      </c>
      <c r="Z330" s="293" t="s">
        <v>864</v>
      </c>
      <c r="AA330" s="293">
        <v>6861</v>
      </c>
      <c r="AB330" s="293">
        <v>7113</v>
      </c>
      <c r="AC330" s="293">
        <v>2804</v>
      </c>
      <c r="AD330" s="293">
        <v>1657</v>
      </c>
      <c r="AE330" s="293">
        <v>2344.2399999999998</v>
      </c>
      <c r="AF330" s="293">
        <v>187</v>
      </c>
      <c r="AG330" s="293">
        <v>33</v>
      </c>
      <c r="AH330" s="293">
        <v>1</v>
      </c>
      <c r="AI330" s="293">
        <f t="shared" ref="AI330:AI341" si="73">+AG330-AH330</f>
        <v>32</v>
      </c>
    </row>
    <row r="331" spans="8:35" ht="18">
      <c r="H331">
        <f t="shared" si="70"/>
        <v>0</v>
      </c>
      <c r="J331">
        <f t="shared" si="68"/>
        <v>0</v>
      </c>
      <c r="K331" s="2462" t="s">
        <v>2919</v>
      </c>
      <c r="L331" s="305"/>
      <c r="M331" s="305"/>
      <c r="R331" s="27" t="e">
        <f t="shared" si="63"/>
        <v>#DIV/0!</v>
      </c>
      <c r="S331" s="305"/>
      <c r="T331" s="305"/>
      <c r="U331" s="305"/>
      <c r="V331" s="520" t="e">
        <f t="shared" si="64"/>
        <v>#DIV/0!</v>
      </c>
      <c r="W331">
        <f t="shared" si="65"/>
        <v>0</v>
      </c>
      <c r="X331">
        <f t="shared" si="66"/>
        <v>0</v>
      </c>
      <c r="Y331" t="e">
        <f t="shared" si="67"/>
        <v>#DIV/0!</v>
      </c>
      <c r="Z331" s="293" t="s">
        <v>865</v>
      </c>
      <c r="AA331" s="293">
        <v>6451</v>
      </c>
      <c r="AB331" s="293">
        <v>6967</v>
      </c>
      <c r="AC331" s="293">
        <v>3622</v>
      </c>
      <c r="AD331" s="293">
        <v>3214</v>
      </c>
      <c r="AE331" s="293">
        <v>4782</v>
      </c>
      <c r="AF331" s="293">
        <v>217</v>
      </c>
      <c r="AG331" s="293">
        <v>64</v>
      </c>
      <c r="AH331" s="293">
        <v>1</v>
      </c>
      <c r="AI331" s="293">
        <f t="shared" si="73"/>
        <v>63</v>
      </c>
    </row>
    <row r="332" spans="8:35" ht="18">
      <c r="H332">
        <f t="shared" si="70"/>
        <v>0</v>
      </c>
      <c r="J332">
        <f t="shared" si="68"/>
        <v>0</v>
      </c>
      <c r="K332" s="2462" t="s">
        <v>2920</v>
      </c>
      <c r="L332" s="305"/>
      <c r="M332" s="305"/>
      <c r="R332" s="27" t="e">
        <f t="shared" si="63"/>
        <v>#DIV/0!</v>
      </c>
      <c r="S332" s="305"/>
      <c r="T332" s="305"/>
      <c r="U332" s="305"/>
      <c r="V332" s="520" t="e">
        <f t="shared" si="64"/>
        <v>#DIV/0!</v>
      </c>
      <c r="W332">
        <f t="shared" si="65"/>
        <v>0</v>
      </c>
      <c r="X332">
        <f t="shared" si="66"/>
        <v>0</v>
      </c>
      <c r="Y332" t="e">
        <f t="shared" si="67"/>
        <v>#DIV/0!</v>
      </c>
      <c r="Z332" s="293" t="s">
        <v>866</v>
      </c>
      <c r="AA332" s="293">
        <v>6257</v>
      </c>
      <c r="AB332" s="293">
        <v>6627</v>
      </c>
      <c r="AC332" s="293">
        <v>2869</v>
      </c>
      <c r="AD332" s="293">
        <v>2443</v>
      </c>
      <c r="AE332" s="293">
        <v>3542</v>
      </c>
      <c r="AF332" s="293">
        <v>198</v>
      </c>
      <c r="AG332" s="293">
        <v>48</v>
      </c>
      <c r="AH332" s="293">
        <v>0</v>
      </c>
      <c r="AI332" s="293">
        <f t="shared" si="73"/>
        <v>48</v>
      </c>
    </row>
    <row r="333" spans="8:35" ht="18">
      <c r="H333">
        <f t="shared" si="70"/>
        <v>0</v>
      </c>
      <c r="J333">
        <f t="shared" si="68"/>
        <v>0</v>
      </c>
      <c r="K333" s="2462" t="s">
        <v>2921</v>
      </c>
      <c r="L333" s="305"/>
      <c r="M333" s="305"/>
      <c r="R333" s="27" t="e">
        <f t="shared" si="63"/>
        <v>#DIV/0!</v>
      </c>
      <c r="S333" s="305"/>
      <c r="T333" s="305"/>
      <c r="U333" s="305"/>
      <c r="V333" s="520" t="e">
        <f t="shared" si="64"/>
        <v>#DIV/0!</v>
      </c>
      <c r="W333">
        <f t="shared" si="65"/>
        <v>0</v>
      </c>
      <c r="X333">
        <f t="shared" si="66"/>
        <v>0</v>
      </c>
      <c r="Y333" t="e">
        <f t="shared" si="67"/>
        <v>#DIV/0!</v>
      </c>
      <c r="Z333" s="293" t="s">
        <v>867</v>
      </c>
      <c r="AA333" s="293">
        <v>6459</v>
      </c>
      <c r="AB333" s="293">
        <v>6670</v>
      </c>
      <c r="AC333" s="293">
        <v>4421</v>
      </c>
      <c r="AD333" s="293">
        <v>2950</v>
      </c>
      <c r="AE333" s="293">
        <v>4704.75</v>
      </c>
      <c r="AF333" s="293">
        <v>224</v>
      </c>
      <c r="AG333" s="293">
        <v>60</v>
      </c>
      <c r="AH333" s="293">
        <v>3</v>
      </c>
      <c r="AI333" s="293">
        <f t="shared" si="73"/>
        <v>57</v>
      </c>
    </row>
    <row r="334" spans="8:35" ht="18">
      <c r="H334">
        <f t="shared" si="70"/>
        <v>0</v>
      </c>
      <c r="J334">
        <f t="shared" si="68"/>
        <v>0</v>
      </c>
      <c r="K334" s="2462" t="s">
        <v>2922</v>
      </c>
      <c r="L334" s="305"/>
      <c r="M334" s="305"/>
      <c r="R334" s="27" t="e">
        <f t="shared" si="63"/>
        <v>#DIV/0!</v>
      </c>
      <c r="S334" s="305"/>
      <c r="T334" s="305"/>
      <c r="U334" s="305"/>
      <c r="V334" s="520" t="e">
        <f t="shared" si="64"/>
        <v>#DIV/0!</v>
      </c>
      <c r="W334">
        <f t="shared" si="65"/>
        <v>0</v>
      </c>
      <c r="X334">
        <f t="shared" si="66"/>
        <v>0</v>
      </c>
      <c r="Y334" t="e">
        <f t="shared" si="67"/>
        <v>#DIV/0!</v>
      </c>
      <c r="Z334" s="293" t="s">
        <v>868</v>
      </c>
      <c r="AA334" s="293">
        <v>7158</v>
      </c>
      <c r="AB334" s="293">
        <v>8068</v>
      </c>
      <c r="AC334" s="293">
        <v>4822</v>
      </c>
      <c r="AD334" s="293">
        <v>1795</v>
      </c>
      <c r="AE334" s="293">
        <v>6679.55</v>
      </c>
      <c r="AF334" s="293">
        <v>272</v>
      </c>
      <c r="AG334" s="293">
        <v>37</v>
      </c>
      <c r="AH334" s="293">
        <v>1</v>
      </c>
      <c r="AI334" s="293">
        <f t="shared" si="73"/>
        <v>36</v>
      </c>
    </row>
    <row r="335" spans="8:35" ht="18">
      <c r="H335">
        <f t="shared" si="70"/>
        <v>0</v>
      </c>
      <c r="J335">
        <f t="shared" si="68"/>
        <v>0</v>
      </c>
      <c r="K335" s="2462" t="s">
        <v>2923</v>
      </c>
      <c r="L335" s="305"/>
      <c r="M335" s="305"/>
      <c r="R335" s="27" t="e">
        <f t="shared" si="63"/>
        <v>#DIV/0!</v>
      </c>
      <c r="S335" s="305"/>
      <c r="T335" s="305"/>
      <c r="U335" s="305"/>
      <c r="V335" s="520" t="e">
        <f t="shared" si="64"/>
        <v>#DIV/0!</v>
      </c>
      <c r="W335">
        <f t="shared" si="65"/>
        <v>0</v>
      </c>
      <c r="X335">
        <f t="shared" si="66"/>
        <v>0</v>
      </c>
      <c r="Y335" t="e">
        <f t="shared" si="67"/>
        <v>#DIV/0!</v>
      </c>
      <c r="Z335" s="293" t="s">
        <v>315</v>
      </c>
      <c r="AA335" s="293">
        <v>6580</v>
      </c>
      <c r="AB335" s="293">
        <v>7504</v>
      </c>
      <c r="AC335" s="293">
        <v>4077</v>
      </c>
      <c r="AD335" s="293">
        <v>2167</v>
      </c>
      <c r="AE335" s="293">
        <v>5452.55</v>
      </c>
      <c r="AF335" s="293">
        <v>240</v>
      </c>
      <c r="AG335" s="293">
        <v>43</v>
      </c>
      <c r="AH335" s="293">
        <v>1</v>
      </c>
      <c r="AI335" s="293">
        <f t="shared" si="73"/>
        <v>42</v>
      </c>
    </row>
    <row r="336" spans="8:35" ht="18">
      <c r="H336">
        <f t="shared" si="70"/>
        <v>0</v>
      </c>
      <c r="J336">
        <f t="shared" si="68"/>
        <v>0</v>
      </c>
      <c r="K336" s="2462" t="s">
        <v>2924</v>
      </c>
      <c r="L336" s="305"/>
      <c r="M336" s="305"/>
      <c r="R336" s="27" t="e">
        <f t="shared" si="63"/>
        <v>#DIV/0!</v>
      </c>
      <c r="S336" s="305"/>
      <c r="T336" s="305"/>
      <c r="U336" s="305"/>
      <c r="V336" s="520" t="e">
        <f t="shared" si="64"/>
        <v>#DIV/0!</v>
      </c>
      <c r="W336">
        <f t="shared" si="65"/>
        <v>0</v>
      </c>
      <c r="X336">
        <f t="shared" si="66"/>
        <v>0</v>
      </c>
      <c r="Y336" t="e">
        <f t="shared" si="67"/>
        <v>#DIV/0!</v>
      </c>
      <c r="Z336" s="293" t="s">
        <v>305</v>
      </c>
      <c r="AA336" s="293">
        <v>7428</v>
      </c>
      <c r="AB336" s="293">
        <v>7497</v>
      </c>
      <c r="AC336" s="293">
        <v>3167</v>
      </c>
      <c r="AD336" s="293">
        <v>2107</v>
      </c>
      <c r="AE336" s="293">
        <v>4473.7</v>
      </c>
      <c r="AF336" s="293">
        <v>228</v>
      </c>
      <c r="AG336" s="293">
        <v>42</v>
      </c>
      <c r="AH336" s="293">
        <v>2</v>
      </c>
      <c r="AI336" s="293">
        <f t="shared" si="73"/>
        <v>40</v>
      </c>
    </row>
    <row r="337" spans="8:35" ht="18">
      <c r="H337">
        <f t="shared" si="70"/>
        <v>0</v>
      </c>
      <c r="J337">
        <f t="shared" si="68"/>
        <v>0</v>
      </c>
      <c r="K337" s="2462" t="s">
        <v>2925</v>
      </c>
      <c r="L337" s="305"/>
      <c r="M337" s="305"/>
      <c r="R337" s="27" t="e">
        <f t="shared" si="63"/>
        <v>#DIV/0!</v>
      </c>
      <c r="S337" s="305"/>
      <c r="T337" s="305"/>
      <c r="U337" s="305"/>
      <c r="V337" s="520" t="e">
        <f t="shared" si="64"/>
        <v>#DIV/0!</v>
      </c>
      <c r="W337">
        <f t="shared" si="65"/>
        <v>0</v>
      </c>
      <c r="X337">
        <f t="shared" si="66"/>
        <v>0</v>
      </c>
      <c r="Y337" t="e">
        <f t="shared" si="67"/>
        <v>#DIV/0!</v>
      </c>
      <c r="Z337" s="293" t="s">
        <v>3886</v>
      </c>
      <c r="AA337" s="293">
        <v>5846</v>
      </c>
      <c r="AB337" s="293">
        <v>6563</v>
      </c>
      <c r="AC337" s="293">
        <v>1626</v>
      </c>
      <c r="AD337" s="293">
        <v>426</v>
      </c>
      <c r="AE337" s="293">
        <v>3774.49</v>
      </c>
      <c r="AF337" s="293">
        <v>190</v>
      </c>
      <c r="AG337" s="293">
        <v>9</v>
      </c>
      <c r="AH337" s="293"/>
      <c r="AI337" s="293">
        <f t="shared" si="73"/>
        <v>9</v>
      </c>
    </row>
    <row r="338" spans="8:35" ht="18">
      <c r="H338">
        <f t="shared" si="70"/>
        <v>0</v>
      </c>
      <c r="J338">
        <f t="shared" si="68"/>
        <v>0</v>
      </c>
      <c r="K338" s="2462" t="s">
        <v>2926</v>
      </c>
      <c r="L338" s="305"/>
      <c r="M338" s="305"/>
      <c r="R338" s="27" t="e">
        <f t="shared" si="63"/>
        <v>#DIV/0!</v>
      </c>
      <c r="S338" s="305"/>
      <c r="T338" s="305"/>
      <c r="U338" s="305"/>
      <c r="V338" s="520" t="e">
        <f t="shared" si="64"/>
        <v>#DIV/0!</v>
      </c>
      <c r="W338">
        <f t="shared" si="65"/>
        <v>0</v>
      </c>
      <c r="X338">
        <f t="shared" si="66"/>
        <v>0</v>
      </c>
      <c r="Y338" t="e">
        <f t="shared" si="67"/>
        <v>#DIV/0!</v>
      </c>
      <c r="Z338" s="293" t="s">
        <v>3941</v>
      </c>
      <c r="AA338" s="293">
        <v>5767</v>
      </c>
      <c r="AB338" s="293">
        <v>4847</v>
      </c>
      <c r="AC338" s="293">
        <v>1170</v>
      </c>
      <c r="AD338" s="293">
        <v>866</v>
      </c>
      <c r="AE338" s="293">
        <v>2293.75</v>
      </c>
      <c r="AF338" s="293">
        <v>156</v>
      </c>
      <c r="AG338" s="293">
        <v>17</v>
      </c>
      <c r="AH338" s="293">
        <v>0</v>
      </c>
      <c r="AI338" s="293">
        <f t="shared" si="73"/>
        <v>17</v>
      </c>
    </row>
    <row r="339" spans="8:35" ht="18">
      <c r="H339">
        <f t="shared" si="70"/>
        <v>0</v>
      </c>
      <c r="J339">
        <f t="shared" si="68"/>
        <v>0</v>
      </c>
      <c r="K339" s="2462" t="s">
        <v>2927</v>
      </c>
      <c r="L339" s="305"/>
      <c r="M339" s="305"/>
      <c r="R339" s="27" t="e">
        <f t="shared" si="63"/>
        <v>#DIV/0!</v>
      </c>
      <c r="S339" s="305"/>
      <c r="T339" s="305"/>
      <c r="U339" s="305"/>
      <c r="V339" s="520" t="e">
        <f t="shared" si="64"/>
        <v>#DIV/0!</v>
      </c>
      <c r="W339">
        <f t="shared" si="65"/>
        <v>0</v>
      </c>
      <c r="X339">
        <f t="shared" si="66"/>
        <v>0</v>
      </c>
      <c r="Y339" t="e">
        <f t="shared" si="67"/>
        <v>#DIV/0!</v>
      </c>
      <c r="Z339" s="293" t="s">
        <v>3949</v>
      </c>
      <c r="AA339" s="293">
        <v>6273.62</v>
      </c>
      <c r="AB339" s="293">
        <v>6320.35</v>
      </c>
      <c r="AC339" s="293">
        <v>2198.98</v>
      </c>
      <c r="AD339" s="293">
        <v>2025.7</v>
      </c>
      <c r="AE339" s="293">
        <v>2984.5</v>
      </c>
      <c r="AF339" s="293">
        <v>180</v>
      </c>
      <c r="AG339" s="293">
        <v>39</v>
      </c>
      <c r="AH339" s="293">
        <v>4</v>
      </c>
      <c r="AI339" s="293">
        <f t="shared" si="73"/>
        <v>35</v>
      </c>
    </row>
    <row r="340" spans="8:35" ht="18">
      <c r="H340">
        <f t="shared" si="70"/>
        <v>0</v>
      </c>
      <c r="J340">
        <f t="shared" si="68"/>
        <v>0</v>
      </c>
      <c r="K340" s="2462" t="s">
        <v>2928</v>
      </c>
      <c r="L340" s="305"/>
      <c r="M340" s="305"/>
      <c r="R340" s="27" t="e">
        <f t="shared" si="63"/>
        <v>#DIV/0!</v>
      </c>
      <c r="S340" s="305"/>
      <c r="T340" s="305"/>
      <c r="U340" s="305"/>
      <c r="V340" s="520" t="e">
        <f t="shared" si="64"/>
        <v>#DIV/0!</v>
      </c>
      <c r="W340">
        <f t="shared" si="65"/>
        <v>0</v>
      </c>
      <c r="X340">
        <f t="shared" si="66"/>
        <v>0</v>
      </c>
      <c r="Y340" t="e">
        <f t="shared" si="67"/>
        <v>#DIV/0!</v>
      </c>
      <c r="Z340" s="293" t="s">
        <v>3986</v>
      </c>
      <c r="AA340" s="293">
        <v>7030.56</v>
      </c>
      <c r="AB340" s="293">
        <v>6576.88</v>
      </c>
      <c r="AC340" s="293">
        <v>3275.8</v>
      </c>
      <c r="AD340" s="293">
        <v>2578.9499999999998</v>
      </c>
      <c r="AE340" s="293">
        <v>5173.4399999999996</v>
      </c>
      <c r="AF340" s="293">
        <v>204</v>
      </c>
      <c r="AG340" s="293">
        <v>53</v>
      </c>
      <c r="AH340" s="293">
        <v>0</v>
      </c>
      <c r="AI340" s="293">
        <f t="shared" si="73"/>
        <v>53</v>
      </c>
    </row>
    <row r="341" spans="8:35" ht="18">
      <c r="H341">
        <f t="shared" si="70"/>
        <v>0</v>
      </c>
      <c r="J341">
        <f t="shared" si="68"/>
        <v>0</v>
      </c>
      <c r="K341" s="2462" t="s">
        <v>2929</v>
      </c>
      <c r="L341" s="305"/>
      <c r="M341" s="305"/>
      <c r="R341" s="27" t="e">
        <f t="shared" si="63"/>
        <v>#DIV/0!</v>
      </c>
      <c r="S341" s="305"/>
      <c r="T341" s="305"/>
      <c r="U341" s="305"/>
      <c r="V341" s="520" t="e">
        <f t="shared" si="64"/>
        <v>#DIV/0!</v>
      </c>
      <c r="W341">
        <f t="shared" si="65"/>
        <v>0</v>
      </c>
      <c r="X341">
        <f t="shared" si="66"/>
        <v>0</v>
      </c>
      <c r="Y341" t="e">
        <f t="shared" si="67"/>
        <v>#DIV/0!</v>
      </c>
      <c r="Z341" s="293" t="s">
        <v>4139</v>
      </c>
      <c r="AA341" s="293">
        <v>6647</v>
      </c>
      <c r="AB341" s="293">
        <v>6731.4</v>
      </c>
      <c r="AC341" s="293">
        <v>3745.95</v>
      </c>
      <c r="AD341" s="293">
        <v>3672.75</v>
      </c>
      <c r="AE341" s="293">
        <v>6749.31</v>
      </c>
      <c r="AF341" s="293">
        <v>233</v>
      </c>
      <c r="AG341" s="293">
        <v>72</v>
      </c>
      <c r="AH341" s="293">
        <v>1</v>
      </c>
      <c r="AI341" s="293">
        <f t="shared" si="73"/>
        <v>71</v>
      </c>
    </row>
    <row r="342" spans="8:35" ht="18">
      <c r="H342">
        <f t="shared" si="70"/>
        <v>0</v>
      </c>
      <c r="J342">
        <f t="shared" si="68"/>
        <v>0</v>
      </c>
      <c r="K342" t="s">
        <v>2930</v>
      </c>
      <c r="L342" s="305"/>
      <c r="M342" s="305"/>
      <c r="R342" s="27" t="e">
        <f t="shared" si="63"/>
        <v>#DIV/0!</v>
      </c>
      <c r="S342" s="305"/>
      <c r="T342" s="305"/>
      <c r="U342" s="305"/>
      <c r="V342" s="520" t="e">
        <f t="shared" si="64"/>
        <v>#DIV/0!</v>
      </c>
      <c r="W342">
        <f t="shared" si="65"/>
        <v>0</v>
      </c>
      <c r="X342">
        <f t="shared" si="66"/>
        <v>0</v>
      </c>
      <c r="Y342" t="e">
        <f t="shared" si="67"/>
        <v>#DIV/0!</v>
      </c>
      <c r="AF342" s="3028" t="s">
        <v>3938</v>
      </c>
      <c r="AG342" s="3028"/>
    </row>
    <row r="343" spans="8:35" ht="18">
      <c r="H343">
        <f t="shared" si="70"/>
        <v>0</v>
      </c>
      <c r="J343">
        <f t="shared" si="68"/>
        <v>0</v>
      </c>
      <c r="K343" s="2462" t="s">
        <v>2931</v>
      </c>
      <c r="L343" s="305"/>
      <c r="M343" s="305"/>
      <c r="R343" s="27" t="e">
        <f t="shared" si="63"/>
        <v>#DIV/0!</v>
      </c>
      <c r="S343" s="305"/>
      <c r="T343" s="305"/>
      <c r="U343" s="305"/>
      <c r="V343" s="520" t="e">
        <f t="shared" si="64"/>
        <v>#DIV/0!</v>
      </c>
      <c r="W343">
        <f t="shared" si="65"/>
        <v>0</v>
      </c>
      <c r="X343">
        <f t="shared" si="66"/>
        <v>0</v>
      </c>
      <c r="Y343" t="e">
        <f t="shared" si="67"/>
        <v>#DIV/0!</v>
      </c>
      <c r="Z343" s="293" t="s">
        <v>4132</v>
      </c>
      <c r="AA343" s="293" t="s">
        <v>540</v>
      </c>
      <c r="AB343" s="293" t="s">
        <v>3936</v>
      </c>
      <c r="AC343" s="293" t="s">
        <v>111</v>
      </c>
      <c r="AD343" s="293" t="s">
        <v>2334</v>
      </c>
      <c r="AE343" s="293" t="s">
        <v>680</v>
      </c>
      <c r="AF343" s="293" t="s">
        <v>23</v>
      </c>
      <c r="AG343" s="293" t="s">
        <v>2334</v>
      </c>
      <c r="AH343" s="293" t="s">
        <v>3939</v>
      </c>
      <c r="AI343" s="293" t="s">
        <v>3940</v>
      </c>
    </row>
    <row r="344" spans="8:35" ht="18">
      <c r="H344">
        <f t="shared" si="70"/>
        <v>0</v>
      </c>
      <c r="J344">
        <f t="shared" si="68"/>
        <v>0</v>
      </c>
      <c r="K344" t="s">
        <v>2932</v>
      </c>
      <c r="L344" s="305"/>
      <c r="M344" s="305"/>
      <c r="R344" s="27" t="e">
        <f t="shared" si="63"/>
        <v>#DIV/0!</v>
      </c>
      <c r="S344" s="305"/>
      <c r="T344" s="305"/>
      <c r="U344" s="305"/>
      <c r="V344" s="520" t="e">
        <f t="shared" si="64"/>
        <v>#DIV/0!</v>
      </c>
      <c r="W344">
        <f t="shared" si="65"/>
        <v>0</v>
      </c>
      <c r="X344">
        <f t="shared" si="66"/>
        <v>0</v>
      </c>
      <c r="Y344" t="e">
        <f t="shared" si="67"/>
        <v>#DIV/0!</v>
      </c>
      <c r="Z344" s="293" t="s">
        <v>4137</v>
      </c>
      <c r="AA344" s="293">
        <v>5824.25</v>
      </c>
      <c r="AB344" s="293">
        <v>5930.82</v>
      </c>
      <c r="AC344" s="293">
        <v>2839.45</v>
      </c>
      <c r="AD344" s="293">
        <v>1936.8</v>
      </c>
      <c r="AE344" s="293">
        <v>5174.25</v>
      </c>
      <c r="AF344" s="293">
        <v>209</v>
      </c>
      <c r="AG344" s="293">
        <v>39</v>
      </c>
      <c r="AH344" s="293">
        <v>0</v>
      </c>
      <c r="AI344" s="293">
        <f t="shared" ref="AI344" si="74">+AG344-AH344</f>
        <v>39</v>
      </c>
    </row>
    <row r="345" spans="8:35" ht="18">
      <c r="H345">
        <f t="shared" si="70"/>
        <v>0</v>
      </c>
      <c r="J345">
        <f t="shared" si="68"/>
        <v>0</v>
      </c>
      <c r="K345" t="s">
        <v>2933</v>
      </c>
      <c r="L345" s="305"/>
      <c r="M345" s="305"/>
      <c r="R345" s="27" t="e">
        <f t="shared" si="63"/>
        <v>#DIV/0!</v>
      </c>
      <c r="S345" s="305"/>
      <c r="T345" s="305"/>
      <c r="U345" s="305"/>
      <c r="V345" s="520" t="e">
        <f t="shared" si="64"/>
        <v>#DIV/0!</v>
      </c>
      <c r="W345">
        <f t="shared" si="65"/>
        <v>0</v>
      </c>
      <c r="X345">
        <f t="shared" si="66"/>
        <v>0</v>
      </c>
      <c r="Y345" t="e">
        <f t="shared" si="67"/>
        <v>#DIV/0!</v>
      </c>
    </row>
    <row r="346" spans="8:35">
      <c r="H346">
        <f t="shared" si="70"/>
        <v>0</v>
      </c>
      <c r="L346">
        <f>SUM(L315:L345)</f>
        <v>0</v>
      </c>
      <c r="M346">
        <f>SUM(M315:M345)</f>
        <v>0</v>
      </c>
      <c r="R346" t="e">
        <f t="shared" si="63"/>
        <v>#DIV/0!</v>
      </c>
      <c r="S346">
        <f>SUM(S315:S345)</f>
        <v>0</v>
      </c>
      <c r="T346">
        <f>SUM(T315:T345)</f>
        <v>0</v>
      </c>
      <c r="U346">
        <f>SUM(U315:U345)</f>
        <v>0</v>
      </c>
      <c r="V346" t="e">
        <f t="shared" si="64"/>
        <v>#DIV/0!</v>
      </c>
      <c r="W346">
        <f>SUM(W315:W345)</f>
        <v>0</v>
      </c>
      <c r="X346">
        <f>SUM(X315:X345)</f>
        <v>0</v>
      </c>
      <c r="Y346" t="e">
        <f t="shared" si="67"/>
        <v>#DIV/0!</v>
      </c>
    </row>
    <row r="347" spans="8:35">
      <c r="H347">
        <f t="shared" si="70"/>
        <v>5098528.08</v>
      </c>
      <c r="L347">
        <f>921.88*259</f>
        <v>238766.92</v>
      </c>
      <c r="T347" s="544">
        <v>5337295</v>
      </c>
      <c r="U347">
        <v>7370.3669999999993</v>
      </c>
    </row>
    <row r="348" spans="8:35">
      <c r="H348" t="e">
        <f t="shared" si="70"/>
        <v>#VALUE!</v>
      </c>
      <c r="L348">
        <f>+L346-L347</f>
        <v>-238766.92</v>
      </c>
      <c r="S348" t="s">
        <v>271</v>
      </c>
      <c r="T348" s="544"/>
      <c r="U348" s="544"/>
    </row>
    <row r="349" spans="8:35">
      <c r="T349">
        <v>0</v>
      </c>
    </row>
    <row r="350" spans="8:35" s="374" customFormat="1" ht="15.75">
      <c r="L350" s="353" t="s">
        <v>2934</v>
      </c>
      <c r="M350" s="353" t="s">
        <v>2624</v>
      </c>
      <c r="N350" s="353"/>
      <c r="O350" s="353"/>
      <c r="P350" s="353"/>
      <c r="Q350" s="353"/>
      <c r="R350" s="353" t="s">
        <v>520</v>
      </c>
      <c r="S350" s="353" t="s">
        <v>2640</v>
      </c>
      <c r="T350" s="353" t="s">
        <v>2679</v>
      </c>
      <c r="U350" s="353" t="s">
        <v>524</v>
      </c>
      <c r="V350" s="353" t="s">
        <v>520</v>
      </c>
      <c r="W350" s="353" t="s">
        <v>518</v>
      </c>
      <c r="X350" s="353" t="s">
        <v>524</v>
      </c>
      <c r="Y350" s="353" t="s">
        <v>520</v>
      </c>
    </row>
    <row r="351" spans="8:35">
      <c r="J351">
        <f>+T351-S351</f>
        <v>58600</v>
      </c>
      <c r="K351" s="2464" t="s">
        <v>2935</v>
      </c>
      <c r="R351" s="27" t="e">
        <f t="shared" ref="R351:R382" si="75">+L351/M351</f>
        <v>#DIV/0!</v>
      </c>
      <c r="S351">
        <v>126100</v>
      </c>
      <c r="T351">
        <v>184700</v>
      </c>
      <c r="U351">
        <v>255</v>
      </c>
      <c r="V351" s="520">
        <f t="shared" ref="V351:V382" si="76">+T351/U351</f>
        <v>724.31372549019613</v>
      </c>
      <c r="W351">
        <f t="shared" ref="W351:W381" si="77">+T351-L351</f>
        <v>184700</v>
      </c>
      <c r="X351">
        <f t="shared" ref="X351:X381" si="78">+U351-M351</f>
        <v>255</v>
      </c>
      <c r="Y351">
        <f t="shared" ref="Y351:Y382" si="79">+W351/X351</f>
        <v>724.31372549019613</v>
      </c>
    </row>
    <row r="352" spans="8:35" ht="18">
      <c r="J352">
        <f t="shared" ref="J352:J381" si="80">+T352-S352</f>
        <v>0</v>
      </c>
      <c r="K352" s="2433" t="s">
        <v>2936</v>
      </c>
      <c r="L352" s="305"/>
      <c r="M352" s="305"/>
      <c r="R352" s="27" t="e">
        <f t="shared" si="75"/>
        <v>#DIV/0!</v>
      </c>
      <c r="S352" s="305"/>
      <c r="T352" s="305"/>
      <c r="U352" s="305"/>
      <c r="V352" s="520" t="e">
        <f t="shared" si="76"/>
        <v>#DIV/0!</v>
      </c>
      <c r="W352">
        <f t="shared" si="77"/>
        <v>0</v>
      </c>
      <c r="X352">
        <f t="shared" si="78"/>
        <v>0</v>
      </c>
      <c r="Y352" t="e">
        <f t="shared" si="79"/>
        <v>#DIV/0!</v>
      </c>
    </row>
    <row r="353" spans="10:25" ht="18">
      <c r="J353">
        <f t="shared" si="80"/>
        <v>0</v>
      </c>
      <c r="K353" s="2433" t="s">
        <v>2937</v>
      </c>
      <c r="L353" s="305"/>
      <c r="M353" s="305"/>
      <c r="R353" s="27" t="e">
        <f t="shared" si="75"/>
        <v>#DIV/0!</v>
      </c>
      <c r="S353" s="305"/>
      <c r="T353" s="305"/>
      <c r="U353" s="305"/>
      <c r="V353" s="520" t="e">
        <f t="shared" si="76"/>
        <v>#DIV/0!</v>
      </c>
      <c r="W353">
        <f t="shared" si="77"/>
        <v>0</v>
      </c>
      <c r="X353">
        <f t="shared" si="78"/>
        <v>0</v>
      </c>
      <c r="Y353" t="e">
        <f t="shared" si="79"/>
        <v>#DIV/0!</v>
      </c>
    </row>
    <row r="354" spans="10:25" ht="18">
      <c r="J354">
        <f t="shared" si="80"/>
        <v>0</v>
      </c>
      <c r="K354" s="2433" t="s">
        <v>2938</v>
      </c>
      <c r="L354" s="305"/>
      <c r="M354" s="305"/>
      <c r="R354" s="27" t="e">
        <f t="shared" si="75"/>
        <v>#DIV/0!</v>
      </c>
      <c r="S354" s="305"/>
      <c r="T354" s="305"/>
      <c r="U354" s="305"/>
      <c r="V354" s="520" t="e">
        <f t="shared" si="76"/>
        <v>#DIV/0!</v>
      </c>
      <c r="W354">
        <f t="shared" si="77"/>
        <v>0</v>
      </c>
      <c r="X354">
        <f t="shared" si="78"/>
        <v>0</v>
      </c>
      <c r="Y354" t="e">
        <f t="shared" si="79"/>
        <v>#DIV/0!</v>
      </c>
    </row>
    <row r="355" spans="10:25" ht="18">
      <c r="J355">
        <f t="shared" si="80"/>
        <v>0</v>
      </c>
      <c r="K355" s="2433" t="s">
        <v>2939</v>
      </c>
      <c r="L355" s="305"/>
      <c r="M355" s="305"/>
      <c r="R355" s="27" t="e">
        <f t="shared" si="75"/>
        <v>#DIV/0!</v>
      </c>
      <c r="S355" s="305"/>
      <c r="T355" s="305"/>
      <c r="U355" s="305"/>
      <c r="V355" s="520" t="e">
        <f t="shared" si="76"/>
        <v>#DIV/0!</v>
      </c>
      <c r="W355">
        <f t="shared" si="77"/>
        <v>0</v>
      </c>
      <c r="X355">
        <f t="shared" si="78"/>
        <v>0</v>
      </c>
      <c r="Y355" t="e">
        <f t="shared" si="79"/>
        <v>#DIV/0!</v>
      </c>
    </row>
    <row r="356" spans="10:25" ht="18">
      <c r="J356">
        <f t="shared" si="80"/>
        <v>0</v>
      </c>
      <c r="K356" s="2433" t="s">
        <v>2940</v>
      </c>
      <c r="L356" s="305"/>
      <c r="M356" s="305"/>
      <c r="R356" s="27" t="e">
        <f t="shared" si="75"/>
        <v>#DIV/0!</v>
      </c>
      <c r="S356" s="305"/>
      <c r="T356" s="305"/>
      <c r="U356" s="305"/>
      <c r="V356" s="520" t="e">
        <f t="shared" si="76"/>
        <v>#DIV/0!</v>
      </c>
      <c r="W356">
        <f t="shared" si="77"/>
        <v>0</v>
      </c>
      <c r="X356">
        <f t="shared" si="78"/>
        <v>0</v>
      </c>
      <c r="Y356" t="e">
        <f t="shared" si="79"/>
        <v>#DIV/0!</v>
      </c>
    </row>
    <row r="357" spans="10:25" ht="18">
      <c r="J357">
        <f t="shared" si="80"/>
        <v>0</v>
      </c>
      <c r="K357" s="2433" t="s">
        <v>2941</v>
      </c>
      <c r="L357" s="305"/>
      <c r="M357" s="305"/>
      <c r="R357" s="27" t="e">
        <f t="shared" si="75"/>
        <v>#DIV/0!</v>
      </c>
      <c r="S357" s="305"/>
      <c r="T357" s="305"/>
      <c r="U357" s="305"/>
      <c r="V357" s="520" t="e">
        <f t="shared" si="76"/>
        <v>#DIV/0!</v>
      </c>
      <c r="W357">
        <f t="shared" si="77"/>
        <v>0</v>
      </c>
      <c r="X357">
        <f t="shared" si="78"/>
        <v>0</v>
      </c>
      <c r="Y357" t="e">
        <f t="shared" si="79"/>
        <v>#DIV/0!</v>
      </c>
    </row>
    <row r="358" spans="10:25" ht="18">
      <c r="J358">
        <f t="shared" si="80"/>
        <v>0</v>
      </c>
      <c r="K358" s="2433" t="s">
        <v>2942</v>
      </c>
      <c r="L358" s="305"/>
      <c r="M358" s="305"/>
      <c r="R358" s="27" t="e">
        <f t="shared" si="75"/>
        <v>#DIV/0!</v>
      </c>
      <c r="S358" s="305"/>
      <c r="T358" s="305"/>
      <c r="U358" s="305"/>
      <c r="V358" s="520" t="e">
        <f t="shared" si="76"/>
        <v>#DIV/0!</v>
      </c>
      <c r="W358">
        <f t="shared" si="77"/>
        <v>0</v>
      </c>
      <c r="X358">
        <f t="shared" si="78"/>
        <v>0</v>
      </c>
      <c r="Y358" t="e">
        <f t="shared" si="79"/>
        <v>#DIV/0!</v>
      </c>
    </row>
    <row r="359" spans="10:25" ht="18">
      <c r="J359">
        <f t="shared" si="80"/>
        <v>0</v>
      </c>
      <c r="K359" s="2433" t="s">
        <v>2943</v>
      </c>
      <c r="L359" s="305"/>
      <c r="M359" s="305"/>
      <c r="R359" s="27" t="e">
        <f t="shared" si="75"/>
        <v>#DIV/0!</v>
      </c>
      <c r="S359" s="305"/>
      <c r="T359" s="305"/>
      <c r="U359" s="305"/>
      <c r="V359" s="520" t="e">
        <f t="shared" si="76"/>
        <v>#DIV/0!</v>
      </c>
      <c r="W359">
        <f t="shared" si="77"/>
        <v>0</v>
      </c>
      <c r="X359">
        <f t="shared" si="78"/>
        <v>0</v>
      </c>
      <c r="Y359" t="e">
        <f t="shared" si="79"/>
        <v>#DIV/0!</v>
      </c>
    </row>
    <row r="360" spans="10:25" ht="18">
      <c r="J360">
        <f t="shared" si="80"/>
        <v>0</v>
      </c>
      <c r="K360" s="2433" t="s">
        <v>2944</v>
      </c>
      <c r="L360" s="305"/>
      <c r="M360" s="305"/>
      <c r="R360" s="27" t="e">
        <f t="shared" si="75"/>
        <v>#DIV/0!</v>
      </c>
      <c r="S360" s="305"/>
      <c r="T360" s="305"/>
      <c r="U360" s="305"/>
      <c r="V360" s="520" t="e">
        <f t="shared" si="76"/>
        <v>#DIV/0!</v>
      </c>
      <c r="W360">
        <f t="shared" si="77"/>
        <v>0</v>
      </c>
      <c r="X360">
        <f t="shared" si="78"/>
        <v>0</v>
      </c>
      <c r="Y360" t="e">
        <f t="shared" si="79"/>
        <v>#DIV/0!</v>
      </c>
    </row>
    <row r="361" spans="10:25" ht="18">
      <c r="J361">
        <f t="shared" si="80"/>
        <v>0</v>
      </c>
      <c r="K361" s="2433" t="s">
        <v>2945</v>
      </c>
      <c r="L361" s="305"/>
      <c r="M361" s="305"/>
      <c r="R361" s="27" t="e">
        <f t="shared" si="75"/>
        <v>#DIV/0!</v>
      </c>
      <c r="S361" s="305"/>
      <c r="T361" s="305"/>
      <c r="U361" s="305"/>
      <c r="V361" s="520" t="e">
        <f t="shared" si="76"/>
        <v>#DIV/0!</v>
      </c>
      <c r="W361">
        <f t="shared" si="77"/>
        <v>0</v>
      </c>
      <c r="X361">
        <f t="shared" si="78"/>
        <v>0</v>
      </c>
      <c r="Y361" t="e">
        <f t="shared" si="79"/>
        <v>#DIV/0!</v>
      </c>
    </row>
    <row r="362" spans="10:25" ht="18">
      <c r="J362">
        <f t="shared" si="80"/>
        <v>0</v>
      </c>
      <c r="K362" s="2462" t="s">
        <v>2946</v>
      </c>
      <c r="L362" s="305"/>
      <c r="M362" s="305"/>
      <c r="R362" s="27" t="e">
        <f t="shared" si="75"/>
        <v>#DIV/0!</v>
      </c>
      <c r="S362" s="305"/>
      <c r="T362" s="305"/>
      <c r="U362" s="305"/>
      <c r="V362" s="520" t="e">
        <f t="shared" si="76"/>
        <v>#DIV/0!</v>
      </c>
      <c r="W362">
        <f t="shared" si="77"/>
        <v>0</v>
      </c>
      <c r="X362">
        <f t="shared" si="78"/>
        <v>0</v>
      </c>
      <c r="Y362" t="e">
        <f t="shared" si="79"/>
        <v>#DIV/0!</v>
      </c>
    </row>
    <row r="363" spans="10:25" ht="18">
      <c r="J363">
        <f t="shared" si="80"/>
        <v>0</v>
      </c>
      <c r="K363" t="s">
        <v>2947</v>
      </c>
      <c r="L363" s="305"/>
      <c r="M363" s="305"/>
      <c r="R363" s="27" t="e">
        <f t="shared" si="75"/>
        <v>#DIV/0!</v>
      </c>
      <c r="S363" s="305"/>
      <c r="T363" s="305"/>
      <c r="U363" s="305"/>
      <c r="V363" s="520" t="e">
        <f t="shared" si="76"/>
        <v>#DIV/0!</v>
      </c>
      <c r="W363">
        <f t="shared" si="77"/>
        <v>0</v>
      </c>
      <c r="X363">
        <f t="shared" si="78"/>
        <v>0</v>
      </c>
      <c r="Y363" t="e">
        <f t="shared" si="79"/>
        <v>#DIV/0!</v>
      </c>
    </row>
    <row r="364" spans="10:25" ht="18">
      <c r="J364">
        <f t="shared" si="80"/>
        <v>0</v>
      </c>
      <c r="K364" s="2462" t="s">
        <v>2948</v>
      </c>
      <c r="L364" s="305"/>
      <c r="M364" s="305"/>
      <c r="R364" s="27" t="e">
        <f t="shared" si="75"/>
        <v>#DIV/0!</v>
      </c>
      <c r="S364" s="305"/>
      <c r="T364" s="305"/>
      <c r="U364" s="305"/>
      <c r="V364" s="520" t="e">
        <f t="shared" si="76"/>
        <v>#DIV/0!</v>
      </c>
      <c r="W364">
        <f t="shared" si="77"/>
        <v>0</v>
      </c>
      <c r="X364">
        <f t="shared" si="78"/>
        <v>0</v>
      </c>
      <c r="Y364" t="e">
        <f t="shared" si="79"/>
        <v>#DIV/0!</v>
      </c>
    </row>
    <row r="365" spans="10:25" ht="18">
      <c r="J365">
        <f t="shared" si="80"/>
        <v>0</v>
      </c>
      <c r="K365" s="2462" t="s">
        <v>2949</v>
      </c>
      <c r="L365" s="305"/>
      <c r="M365" s="305"/>
      <c r="R365" s="27" t="e">
        <f t="shared" si="75"/>
        <v>#DIV/0!</v>
      </c>
      <c r="S365" s="305"/>
      <c r="T365" s="305"/>
      <c r="U365" s="305"/>
      <c r="V365" s="520" t="e">
        <f t="shared" si="76"/>
        <v>#DIV/0!</v>
      </c>
      <c r="W365">
        <f t="shared" si="77"/>
        <v>0</v>
      </c>
      <c r="X365">
        <f t="shared" si="78"/>
        <v>0</v>
      </c>
      <c r="Y365" t="e">
        <f t="shared" si="79"/>
        <v>#DIV/0!</v>
      </c>
    </row>
    <row r="366" spans="10:25" ht="18">
      <c r="J366">
        <f t="shared" si="80"/>
        <v>0</v>
      </c>
      <c r="K366" s="2462" t="s">
        <v>2950</v>
      </c>
      <c r="L366" s="305"/>
      <c r="M366" s="305"/>
      <c r="R366" s="27" t="e">
        <f t="shared" si="75"/>
        <v>#DIV/0!</v>
      </c>
      <c r="S366" s="305"/>
      <c r="T366" s="305"/>
      <c r="U366" s="305"/>
      <c r="V366" s="520" t="e">
        <f t="shared" si="76"/>
        <v>#DIV/0!</v>
      </c>
      <c r="W366">
        <f t="shared" si="77"/>
        <v>0</v>
      </c>
      <c r="X366">
        <f t="shared" si="78"/>
        <v>0</v>
      </c>
      <c r="Y366" t="e">
        <f t="shared" si="79"/>
        <v>#DIV/0!</v>
      </c>
    </row>
    <row r="367" spans="10:25" ht="18">
      <c r="J367">
        <f t="shared" si="80"/>
        <v>0</v>
      </c>
      <c r="K367" s="2462" t="s">
        <v>2951</v>
      </c>
      <c r="L367" s="305"/>
      <c r="M367" s="305"/>
      <c r="R367" s="27" t="e">
        <f t="shared" si="75"/>
        <v>#DIV/0!</v>
      </c>
      <c r="S367" s="305"/>
      <c r="T367" s="305"/>
      <c r="U367" s="305"/>
      <c r="V367" s="520" t="e">
        <f t="shared" si="76"/>
        <v>#DIV/0!</v>
      </c>
      <c r="W367">
        <f t="shared" si="77"/>
        <v>0</v>
      </c>
      <c r="X367">
        <f t="shared" si="78"/>
        <v>0</v>
      </c>
      <c r="Y367" t="e">
        <f t="shared" si="79"/>
        <v>#DIV/0!</v>
      </c>
    </row>
    <row r="368" spans="10:25" ht="18">
      <c r="J368">
        <f t="shared" si="80"/>
        <v>0</v>
      </c>
      <c r="K368" s="2462" t="s">
        <v>2952</v>
      </c>
      <c r="L368" s="305"/>
      <c r="M368" s="305"/>
      <c r="R368" s="27" t="e">
        <f t="shared" si="75"/>
        <v>#DIV/0!</v>
      </c>
      <c r="S368" s="305"/>
      <c r="T368" s="305"/>
      <c r="U368" s="305"/>
      <c r="V368" s="520" t="e">
        <f t="shared" si="76"/>
        <v>#DIV/0!</v>
      </c>
      <c r="W368">
        <f t="shared" si="77"/>
        <v>0</v>
      </c>
      <c r="X368">
        <f t="shared" si="78"/>
        <v>0</v>
      </c>
      <c r="Y368" t="e">
        <f t="shared" si="79"/>
        <v>#DIV/0!</v>
      </c>
    </row>
    <row r="369" spans="10:25" ht="18">
      <c r="J369">
        <f t="shared" si="80"/>
        <v>0</v>
      </c>
      <c r="K369" s="2462" t="s">
        <v>2953</v>
      </c>
      <c r="L369" s="305"/>
      <c r="M369" s="305"/>
      <c r="R369" s="27" t="e">
        <f t="shared" si="75"/>
        <v>#DIV/0!</v>
      </c>
      <c r="S369" s="305"/>
      <c r="T369" s="305"/>
      <c r="U369" s="305"/>
      <c r="V369" s="520" t="e">
        <f t="shared" si="76"/>
        <v>#DIV/0!</v>
      </c>
      <c r="W369">
        <f t="shared" si="77"/>
        <v>0</v>
      </c>
      <c r="X369">
        <f t="shared" si="78"/>
        <v>0</v>
      </c>
      <c r="Y369" t="e">
        <f t="shared" si="79"/>
        <v>#DIV/0!</v>
      </c>
    </row>
    <row r="370" spans="10:25" ht="18">
      <c r="J370">
        <f t="shared" si="80"/>
        <v>0</v>
      </c>
      <c r="K370" s="2462" t="s">
        <v>2954</v>
      </c>
      <c r="L370" s="305"/>
      <c r="M370" s="305"/>
      <c r="R370" s="27" t="e">
        <f t="shared" si="75"/>
        <v>#DIV/0!</v>
      </c>
      <c r="S370" s="305"/>
      <c r="T370" s="305"/>
      <c r="U370" s="305"/>
      <c r="V370" s="520" t="e">
        <f t="shared" si="76"/>
        <v>#DIV/0!</v>
      </c>
      <c r="W370">
        <f t="shared" si="77"/>
        <v>0</v>
      </c>
      <c r="X370">
        <f t="shared" si="78"/>
        <v>0</v>
      </c>
      <c r="Y370" t="e">
        <f t="shared" si="79"/>
        <v>#DIV/0!</v>
      </c>
    </row>
    <row r="371" spans="10:25" ht="18">
      <c r="J371">
        <f t="shared" si="80"/>
        <v>0</v>
      </c>
      <c r="K371" s="2462" t="s">
        <v>2955</v>
      </c>
      <c r="L371" s="305"/>
      <c r="M371" s="305"/>
      <c r="R371" s="27" t="e">
        <f t="shared" si="75"/>
        <v>#DIV/0!</v>
      </c>
      <c r="S371" s="305"/>
      <c r="T371" s="305"/>
      <c r="U371" s="305"/>
      <c r="V371" s="520" t="e">
        <f t="shared" si="76"/>
        <v>#DIV/0!</v>
      </c>
      <c r="W371">
        <f t="shared" si="77"/>
        <v>0</v>
      </c>
      <c r="X371">
        <f t="shared" si="78"/>
        <v>0</v>
      </c>
      <c r="Y371" t="e">
        <f t="shared" si="79"/>
        <v>#DIV/0!</v>
      </c>
    </row>
    <row r="372" spans="10:25" ht="18">
      <c r="J372">
        <f t="shared" si="80"/>
        <v>0</v>
      </c>
      <c r="K372" s="2462" t="s">
        <v>2956</v>
      </c>
      <c r="L372" s="305"/>
      <c r="M372" s="305"/>
      <c r="R372" s="27" t="e">
        <f t="shared" si="75"/>
        <v>#DIV/0!</v>
      </c>
      <c r="S372" s="305"/>
      <c r="T372" s="305"/>
      <c r="U372" s="305"/>
      <c r="V372" s="520" t="e">
        <f t="shared" si="76"/>
        <v>#DIV/0!</v>
      </c>
      <c r="W372">
        <f t="shared" si="77"/>
        <v>0</v>
      </c>
      <c r="X372">
        <f t="shared" si="78"/>
        <v>0</v>
      </c>
      <c r="Y372" t="e">
        <f t="shared" si="79"/>
        <v>#DIV/0!</v>
      </c>
    </row>
    <row r="373" spans="10:25" ht="18">
      <c r="J373">
        <f t="shared" si="80"/>
        <v>0</v>
      </c>
      <c r="K373" s="2462" t="s">
        <v>2957</v>
      </c>
      <c r="L373" s="305"/>
      <c r="M373" s="305"/>
      <c r="R373" s="27" t="e">
        <f t="shared" si="75"/>
        <v>#DIV/0!</v>
      </c>
      <c r="S373" s="305"/>
      <c r="T373" s="305"/>
      <c r="U373" s="305"/>
      <c r="V373" s="520" t="e">
        <f t="shared" si="76"/>
        <v>#DIV/0!</v>
      </c>
      <c r="W373">
        <f t="shared" si="77"/>
        <v>0</v>
      </c>
      <c r="X373">
        <f t="shared" si="78"/>
        <v>0</v>
      </c>
      <c r="Y373" t="e">
        <f t="shared" si="79"/>
        <v>#DIV/0!</v>
      </c>
    </row>
    <row r="374" spans="10:25" ht="18">
      <c r="J374">
        <f t="shared" si="80"/>
        <v>0</v>
      </c>
      <c r="K374" s="2462" t="s">
        <v>2958</v>
      </c>
      <c r="L374" s="305"/>
      <c r="M374" s="305"/>
      <c r="R374" s="27" t="e">
        <f t="shared" si="75"/>
        <v>#DIV/0!</v>
      </c>
      <c r="S374" s="305"/>
      <c r="T374" s="305"/>
      <c r="U374" s="305"/>
      <c r="V374" s="520" t="e">
        <f t="shared" si="76"/>
        <v>#DIV/0!</v>
      </c>
      <c r="W374">
        <f t="shared" si="77"/>
        <v>0</v>
      </c>
      <c r="X374">
        <f t="shared" si="78"/>
        <v>0</v>
      </c>
      <c r="Y374" t="e">
        <f t="shared" si="79"/>
        <v>#DIV/0!</v>
      </c>
    </row>
    <row r="375" spans="10:25" ht="18">
      <c r="J375">
        <f t="shared" si="80"/>
        <v>0</v>
      </c>
      <c r="K375" s="2462" t="s">
        <v>2959</v>
      </c>
      <c r="L375" s="305"/>
      <c r="M375" s="305"/>
      <c r="R375" s="27" t="e">
        <f t="shared" si="75"/>
        <v>#DIV/0!</v>
      </c>
      <c r="S375" s="305"/>
      <c r="T375" s="305"/>
      <c r="U375" s="305"/>
      <c r="V375" s="520" t="e">
        <f t="shared" si="76"/>
        <v>#DIV/0!</v>
      </c>
      <c r="W375">
        <f t="shared" si="77"/>
        <v>0</v>
      </c>
      <c r="X375">
        <f t="shared" si="78"/>
        <v>0</v>
      </c>
      <c r="Y375" t="e">
        <f t="shared" si="79"/>
        <v>#DIV/0!</v>
      </c>
    </row>
    <row r="376" spans="10:25" ht="18">
      <c r="J376">
        <f t="shared" si="80"/>
        <v>0</v>
      </c>
      <c r="K376" s="2462" t="s">
        <v>2960</v>
      </c>
      <c r="L376" s="305"/>
      <c r="M376" s="305"/>
      <c r="R376" s="27" t="e">
        <f t="shared" si="75"/>
        <v>#DIV/0!</v>
      </c>
      <c r="S376" s="305"/>
      <c r="T376" s="305"/>
      <c r="U376" s="305"/>
      <c r="V376" s="520" t="e">
        <f t="shared" si="76"/>
        <v>#DIV/0!</v>
      </c>
      <c r="W376">
        <f t="shared" si="77"/>
        <v>0</v>
      </c>
      <c r="X376">
        <f t="shared" si="78"/>
        <v>0</v>
      </c>
      <c r="Y376" t="e">
        <f t="shared" si="79"/>
        <v>#DIV/0!</v>
      </c>
    </row>
    <row r="377" spans="10:25" ht="18">
      <c r="J377">
        <f t="shared" si="80"/>
        <v>0</v>
      </c>
      <c r="K377" s="2462" t="s">
        <v>2961</v>
      </c>
      <c r="L377" s="305"/>
      <c r="M377" s="305"/>
      <c r="R377" s="27" t="e">
        <f t="shared" si="75"/>
        <v>#DIV/0!</v>
      </c>
      <c r="S377" s="305"/>
      <c r="T377" s="305"/>
      <c r="U377" s="305"/>
      <c r="V377" s="520" t="e">
        <f t="shared" si="76"/>
        <v>#DIV/0!</v>
      </c>
      <c r="W377">
        <f t="shared" si="77"/>
        <v>0</v>
      </c>
      <c r="X377">
        <f t="shared" si="78"/>
        <v>0</v>
      </c>
      <c r="Y377" t="e">
        <f t="shared" si="79"/>
        <v>#DIV/0!</v>
      </c>
    </row>
    <row r="378" spans="10:25" ht="18">
      <c r="J378">
        <f t="shared" si="80"/>
        <v>0</v>
      </c>
      <c r="K378" t="s">
        <v>2962</v>
      </c>
      <c r="L378" s="305"/>
      <c r="M378" s="305"/>
      <c r="R378" s="27" t="e">
        <f t="shared" si="75"/>
        <v>#DIV/0!</v>
      </c>
      <c r="S378" s="305"/>
      <c r="T378" s="305"/>
      <c r="U378" s="305"/>
      <c r="V378" s="520" t="e">
        <f t="shared" si="76"/>
        <v>#DIV/0!</v>
      </c>
      <c r="W378">
        <f t="shared" si="77"/>
        <v>0</v>
      </c>
      <c r="X378">
        <f t="shared" si="78"/>
        <v>0</v>
      </c>
      <c r="Y378" t="e">
        <f t="shared" si="79"/>
        <v>#DIV/0!</v>
      </c>
    </row>
    <row r="379" spans="10:25" ht="18">
      <c r="J379">
        <f t="shared" si="80"/>
        <v>0</v>
      </c>
      <c r="K379" s="2462" t="s">
        <v>2963</v>
      </c>
      <c r="L379" s="305"/>
      <c r="M379" s="305"/>
      <c r="R379" s="27" t="e">
        <f t="shared" si="75"/>
        <v>#DIV/0!</v>
      </c>
      <c r="S379" s="305"/>
      <c r="T379" s="305"/>
      <c r="U379" s="305"/>
      <c r="V379" s="520" t="e">
        <f t="shared" si="76"/>
        <v>#DIV/0!</v>
      </c>
      <c r="W379">
        <f t="shared" si="77"/>
        <v>0</v>
      </c>
      <c r="X379">
        <f t="shared" si="78"/>
        <v>0</v>
      </c>
      <c r="Y379" t="e">
        <f t="shared" si="79"/>
        <v>#DIV/0!</v>
      </c>
    </row>
    <row r="380" spans="10:25" ht="18">
      <c r="J380">
        <f t="shared" si="80"/>
        <v>0</v>
      </c>
      <c r="K380" t="s">
        <v>2964</v>
      </c>
      <c r="L380" s="305"/>
      <c r="M380" s="305"/>
      <c r="R380" s="27" t="e">
        <f t="shared" si="75"/>
        <v>#DIV/0!</v>
      </c>
      <c r="S380" s="305"/>
      <c r="T380" s="305"/>
      <c r="U380" s="305"/>
      <c r="V380" s="520" t="e">
        <f t="shared" si="76"/>
        <v>#DIV/0!</v>
      </c>
      <c r="W380">
        <f t="shared" si="77"/>
        <v>0</v>
      </c>
      <c r="X380">
        <f t="shared" si="78"/>
        <v>0</v>
      </c>
      <c r="Y380" t="e">
        <f t="shared" si="79"/>
        <v>#DIV/0!</v>
      </c>
    </row>
    <row r="381" spans="10:25" ht="18">
      <c r="J381">
        <f t="shared" si="80"/>
        <v>0</v>
      </c>
      <c r="K381" s="2462" t="s">
        <v>2965</v>
      </c>
      <c r="L381" s="305"/>
      <c r="M381" s="305"/>
      <c r="R381" s="27" t="e">
        <f t="shared" si="75"/>
        <v>#DIV/0!</v>
      </c>
      <c r="V381" s="520" t="e">
        <f t="shared" si="76"/>
        <v>#DIV/0!</v>
      </c>
      <c r="W381">
        <f t="shared" si="77"/>
        <v>0</v>
      </c>
      <c r="X381">
        <f t="shared" si="78"/>
        <v>0</v>
      </c>
      <c r="Y381" t="e">
        <f t="shared" si="79"/>
        <v>#DIV/0!</v>
      </c>
    </row>
    <row r="382" spans="10:25">
      <c r="L382">
        <f>SUM(L351:L381)</f>
        <v>0</v>
      </c>
      <c r="M382">
        <f>SUM(M351:M381)</f>
        <v>0</v>
      </c>
      <c r="R382" t="e">
        <f t="shared" si="75"/>
        <v>#DIV/0!</v>
      </c>
      <c r="S382">
        <f>SUM(S351:S381)</f>
        <v>126100</v>
      </c>
      <c r="T382">
        <f>SUM(T351:T381)</f>
        <v>184700</v>
      </c>
      <c r="U382" s="1004">
        <f>SUM(U351:U381)</f>
        <v>255</v>
      </c>
      <c r="V382">
        <f t="shared" si="76"/>
        <v>724.31372549019613</v>
      </c>
      <c r="W382">
        <f>SUM(W351:W381)</f>
        <v>184700</v>
      </c>
      <c r="X382">
        <f>SUM(X351:X381)</f>
        <v>255</v>
      </c>
      <c r="Y382">
        <f t="shared" si="79"/>
        <v>724.31372549019613</v>
      </c>
    </row>
    <row r="383" spans="10:25">
      <c r="T383">
        <v>5771630</v>
      </c>
    </row>
    <row r="384" spans="10:25">
      <c r="L384">
        <f>+L382-L383</f>
        <v>0</v>
      </c>
    </row>
    <row r="387" spans="10:25" ht="18">
      <c r="L387" s="14" t="s">
        <v>2678</v>
      </c>
      <c r="M387" s="14" t="s">
        <v>2624</v>
      </c>
      <c r="N387" s="14"/>
      <c r="O387" s="84"/>
      <c r="P387" s="84"/>
      <c r="Q387" s="84"/>
      <c r="R387" s="84" t="s">
        <v>520</v>
      </c>
      <c r="S387" s="84" t="s">
        <v>2640</v>
      </c>
      <c r="T387" s="84" t="s">
        <v>2679</v>
      </c>
      <c r="U387" s="84" t="s">
        <v>524</v>
      </c>
      <c r="V387" s="84" t="s">
        <v>520</v>
      </c>
      <c r="W387" s="84" t="s">
        <v>518</v>
      </c>
      <c r="X387" s="84" t="s">
        <v>524</v>
      </c>
      <c r="Y387" s="84" t="s">
        <v>520</v>
      </c>
    </row>
    <row r="388" spans="10:25" ht="18">
      <c r="J388">
        <f>+T388-S388</f>
        <v>0</v>
      </c>
      <c r="K388" s="2464" t="s">
        <v>2966</v>
      </c>
      <c r="L388" s="305"/>
      <c r="M388" s="305"/>
      <c r="R388" s="27" t="e">
        <f t="shared" ref="R388:R419" si="81">+L388/M388</f>
        <v>#DIV/0!</v>
      </c>
      <c r="S388" s="305"/>
      <c r="T388" s="305"/>
      <c r="U388" s="305"/>
      <c r="V388" s="520" t="e">
        <f t="shared" ref="V388:V419" si="82">+T388/U388</f>
        <v>#DIV/0!</v>
      </c>
      <c r="W388">
        <f t="shared" ref="W388:X418" si="83">+T388-L388</f>
        <v>0</v>
      </c>
      <c r="X388">
        <f t="shared" si="83"/>
        <v>0</v>
      </c>
      <c r="Y388" t="e">
        <f t="shared" ref="Y388:Y419" si="84">+W388/X388</f>
        <v>#DIV/0!</v>
      </c>
    </row>
    <row r="389" spans="10:25" ht="18">
      <c r="J389">
        <f t="shared" ref="J389:J417" si="85">+T389-S389</f>
        <v>0</v>
      </c>
      <c r="K389" s="2433" t="s">
        <v>2967</v>
      </c>
      <c r="L389" s="305"/>
      <c r="M389" s="305"/>
      <c r="R389" s="27" t="e">
        <f t="shared" si="81"/>
        <v>#DIV/0!</v>
      </c>
      <c r="S389" s="305"/>
      <c r="T389" s="305"/>
      <c r="U389" s="305"/>
      <c r="V389" s="520" t="e">
        <f t="shared" si="82"/>
        <v>#DIV/0!</v>
      </c>
      <c r="W389">
        <f t="shared" si="83"/>
        <v>0</v>
      </c>
      <c r="X389">
        <f t="shared" si="83"/>
        <v>0</v>
      </c>
      <c r="Y389" t="e">
        <f t="shared" si="84"/>
        <v>#DIV/0!</v>
      </c>
    </row>
    <row r="390" spans="10:25" ht="18">
      <c r="J390">
        <f t="shared" si="85"/>
        <v>0</v>
      </c>
      <c r="K390" s="2433" t="s">
        <v>2968</v>
      </c>
      <c r="L390" s="305"/>
      <c r="M390" s="305"/>
      <c r="R390" s="27" t="e">
        <f t="shared" si="81"/>
        <v>#DIV/0!</v>
      </c>
      <c r="S390" s="305"/>
      <c r="T390" s="305"/>
      <c r="U390" s="305"/>
      <c r="V390" s="520" t="e">
        <f t="shared" si="82"/>
        <v>#DIV/0!</v>
      </c>
      <c r="W390">
        <f t="shared" si="83"/>
        <v>0</v>
      </c>
      <c r="X390">
        <f t="shared" si="83"/>
        <v>0</v>
      </c>
      <c r="Y390" t="e">
        <f t="shared" si="84"/>
        <v>#DIV/0!</v>
      </c>
    </row>
    <row r="391" spans="10:25" ht="18">
      <c r="J391">
        <f t="shared" si="85"/>
        <v>0</v>
      </c>
      <c r="K391" s="2433" t="s">
        <v>2969</v>
      </c>
      <c r="L391" s="305"/>
      <c r="M391" s="305"/>
      <c r="R391" s="27" t="e">
        <f t="shared" si="81"/>
        <v>#DIV/0!</v>
      </c>
      <c r="S391" s="305"/>
      <c r="T391" s="305"/>
      <c r="U391" s="305"/>
      <c r="V391" s="520" t="e">
        <f t="shared" si="82"/>
        <v>#DIV/0!</v>
      </c>
      <c r="W391">
        <f t="shared" si="83"/>
        <v>0</v>
      </c>
      <c r="X391">
        <f t="shared" si="83"/>
        <v>0</v>
      </c>
      <c r="Y391" t="e">
        <f t="shared" si="84"/>
        <v>#DIV/0!</v>
      </c>
    </row>
    <row r="392" spans="10:25" ht="18">
      <c r="J392">
        <f t="shared" si="85"/>
        <v>0</v>
      </c>
      <c r="K392" s="2433" t="s">
        <v>2970</v>
      </c>
      <c r="L392" s="305"/>
      <c r="M392" s="305"/>
      <c r="R392" s="27" t="e">
        <f t="shared" si="81"/>
        <v>#DIV/0!</v>
      </c>
      <c r="S392" s="305"/>
      <c r="T392" s="305"/>
      <c r="U392" s="305"/>
      <c r="V392" s="520" t="e">
        <f t="shared" si="82"/>
        <v>#DIV/0!</v>
      </c>
      <c r="W392">
        <f t="shared" si="83"/>
        <v>0</v>
      </c>
      <c r="X392">
        <f t="shared" si="83"/>
        <v>0</v>
      </c>
      <c r="Y392" t="e">
        <f t="shared" si="84"/>
        <v>#DIV/0!</v>
      </c>
    </row>
    <row r="393" spans="10:25" ht="18">
      <c r="J393">
        <f t="shared" si="85"/>
        <v>0</v>
      </c>
      <c r="K393" s="2433" t="s">
        <v>2971</v>
      </c>
      <c r="L393" s="305"/>
      <c r="M393" s="305"/>
      <c r="R393" s="27" t="e">
        <f t="shared" si="81"/>
        <v>#DIV/0!</v>
      </c>
      <c r="S393" s="305"/>
      <c r="T393" s="305"/>
      <c r="U393" s="305"/>
      <c r="V393" s="520" t="e">
        <f t="shared" si="82"/>
        <v>#DIV/0!</v>
      </c>
      <c r="W393">
        <f t="shared" si="83"/>
        <v>0</v>
      </c>
      <c r="X393">
        <f t="shared" si="83"/>
        <v>0</v>
      </c>
      <c r="Y393" t="e">
        <f t="shared" si="84"/>
        <v>#DIV/0!</v>
      </c>
    </row>
    <row r="394" spans="10:25" ht="18">
      <c r="J394">
        <f t="shared" si="85"/>
        <v>0</v>
      </c>
      <c r="K394" s="2433" t="s">
        <v>2972</v>
      </c>
      <c r="L394" s="305"/>
      <c r="M394" s="305"/>
      <c r="R394" s="27" t="e">
        <f t="shared" si="81"/>
        <v>#DIV/0!</v>
      </c>
      <c r="S394" s="305"/>
      <c r="T394" s="305"/>
      <c r="U394" s="305"/>
      <c r="V394" s="520" t="e">
        <f t="shared" si="82"/>
        <v>#DIV/0!</v>
      </c>
      <c r="W394">
        <f t="shared" si="83"/>
        <v>0</v>
      </c>
      <c r="X394">
        <f t="shared" si="83"/>
        <v>0</v>
      </c>
      <c r="Y394" t="e">
        <f t="shared" si="84"/>
        <v>#DIV/0!</v>
      </c>
    </row>
    <row r="395" spans="10:25" ht="18">
      <c r="J395">
        <f t="shared" si="85"/>
        <v>0</v>
      </c>
      <c r="K395" s="2433" t="s">
        <v>2973</v>
      </c>
      <c r="L395" s="305"/>
      <c r="M395" s="305"/>
      <c r="R395" s="27" t="e">
        <f t="shared" si="81"/>
        <v>#DIV/0!</v>
      </c>
      <c r="S395" s="305"/>
      <c r="T395" s="305"/>
      <c r="U395" s="305"/>
      <c r="V395" s="520" t="e">
        <f t="shared" si="82"/>
        <v>#DIV/0!</v>
      </c>
      <c r="W395">
        <f t="shared" si="83"/>
        <v>0</v>
      </c>
      <c r="X395">
        <f t="shared" si="83"/>
        <v>0</v>
      </c>
      <c r="Y395" t="e">
        <f t="shared" si="84"/>
        <v>#DIV/0!</v>
      </c>
    </row>
    <row r="396" spans="10:25" ht="18">
      <c r="J396">
        <f t="shared" si="85"/>
        <v>0</v>
      </c>
      <c r="K396" s="2433" t="s">
        <v>2974</v>
      </c>
      <c r="L396" s="305"/>
      <c r="M396" s="305"/>
      <c r="R396" s="27" t="e">
        <f t="shared" si="81"/>
        <v>#DIV/0!</v>
      </c>
      <c r="S396" s="305"/>
      <c r="T396" s="305"/>
      <c r="U396" s="305"/>
      <c r="V396" s="520" t="e">
        <f t="shared" si="82"/>
        <v>#DIV/0!</v>
      </c>
      <c r="W396">
        <f t="shared" si="83"/>
        <v>0</v>
      </c>
      <c r="X396">
        <f t="shared" si="83"/>
        <v>0</v>
      </c>
      <c r="Y396" t="e">
        <f t="shared" si="84"/>
        <v>#DIV/0!</v>
      </c>
    </row>
    <row r="397" spans="10:25" ht="18">
      <c r="J397">
        <f t="shared" si="85"/>
        <v>0</v>
      </c>
      <c r="K397" s="2433" t="s">
        <v>2975</v>
      </c>
      <c r="L397" s="305"/>
      <c r="M397" s="305"/>
      <c r="R397" s="27" t="e">
        <f t="shared" si="81"/>
        <v>#DIV/0!</v>
      </c>
      <c r="S397" s="305"/>
      <c r="T397" s="305"/>
      <c r="U397" s="305"/>
      <c r="V397" s="520" t="e">
        <f t="shared" si="82"/>
        <v>#DIV/0!</v>
      </c>
      <c r="W397">
        <f t="shared" si="83"/>
        <v>0</v>
      </c>
      <c r="X397">
        <f t="shared" si="83"/>
        <v>0</v>
      </c>
      <c r="Y397" t="e">
        <f t="shared" si="84"/>
        <v>#DIV/0!</v>
      </c>
    </row>
    <row r="398" spans="10:25" ht="18">
      <c r="J398">
        <f t="shared" si="85"/>
        <v>0</v>
      </c>
      <c r="K398" s="2433" t="s">
        <v>2976</v>
      </c>
      <c r="L398" s="305"/>
      <c r="M398" s="305"/>
      <c r="R398" s="27" t="e">
        <f t="shared" si="81"/>
        <v>#DIV/0!</v>
      </c>
      <c r="S398" s="305"/>
      <c r="T398" s="305"/>
      <c r="U398" s="305"/>
      <c r="V398" s="520" t="e">
        <f t="shared" si="82"/>
        <v>#DIV/0!</v>
      </c>
      <c r="W398">
        <f t="shared" si="83"/>
        <v>0</v>
      </c>
      <c r="X398">
        <f t="shared" si="83"/>
        <v>0</v>
      </c>
      <c r="Y398" t="e">
        <f t="shared" si="84"/>
        <v>#DIV/0!</v>
      </c>
    </row>
    <row r="399" spans="10:25" ht="18">
      <c r="J399">
        <f t="shared" si="85"/>
        <v>0</v>
      </c>
      <c r="K399" s="2462" t="s">
        <v>2977</v>
      </c>
      <c r="L399" s="305"/>
      <c r="M399" s="305"/>
      <c r="R399" s="27" t="e">
        <f t="shared" si="81"/>
        <v>#DIV/0!</v>
      </c>
      <c r="S399" s="305"/>
      <c r="T399" s="305"/>
      <c r="U399" s="305"/>
      <c r="V399" s="520" t="e">
        <f t="shared" si="82"/>
        <v>#DIV/0!</v>
      </c>
      <c r="W399">
        <f t="shared" si="83"/>
        <v>0</v>
      </c>
      <c r="X399">
        <f t="shared" si="83"/>
        <v>0</v>
      </c>
      <c r="Y399" t="e">
        <f t="shared" si="84"/>
        <v>#DIV/0!</v>
      </c>
    </row>
    <row r="400" spans="10:25" ht="18">
      <c r="J400">
        <f t="shared" si="85"/>
        <v>0</v>
      </c>
      <c r="K400" t="s">
        <v>2978</v>
      </c>
      <c r="L400" s="305"/>
      <c r="M400" s="305"/>
      <c r="R400" s="27" t="e">
        <f t="shared" si="81"/>
        <v>#DIV/0!</v>
      </c>
      <c r="S400" s="305"/>
      <c r="T400" s="305"/>
      <c r="U400" s="305"/>
      <c r="V400" s="520" t="e">
        <f t="shared" si="82"/>
        <v>#DIV/0!</v>
      </c>
      <c r="W400">
        <f t="shared" si="83"/>
        <v>0</v>
      </c>
      <c r="X400">
        <f t="shared" si="83"/>
        <v>0</v>
      </c>
      <c r="Y400" t="e">
        <f t="shared" si="84"/>
        <v>#DIV/0!</v>
      </c>
    </row>
    <row r="401" spans="10:25" ht="18">
      <c r="J401">
        <f t="shared" si="85"/>
        <v>0</v>
      </c>
      <c r="K401" s="2462" t="s">
        <v>2979</v>
      </c>
      <c r="L401" s="305"/>
      <c r="M401" s="305"/>
      <c r="R401" s="27" t="e">
        <f t="shared" si="81"/>
        <v>#DIV/0!</v>
      </c>
      <c r="S401" s="305"/>
      <c r="T401" s="305"/>
      <c r="U401" s="305"/>
      <c r="V401" s="520" t="e">
        <f t="shared" si="82"/>
        <v>#DIV/0!</v>
      </c>
      <c r="W401">
        <f t="shared" si="83"/>
        <v>0</v>
      </c>
      <c r="X401">
        <f t="shared" si="83"/>
        <v>0</v>
      </c>
      <c r="Y401" t="e">
        <f t="shared" si="84"/>
        <v>#DIV/0!</v>
      </c>
    </row>
    <row r="402" spans="10:25" ht="18">
      <c r="J402">
        <f t="shared" si="85"/>
        <v>0</v>
      </c>
      <c r="K402" s="2462" t="s">
        <v>2980</v>
      </c>
      <c r="L402" s="305"/>
      <c r="M402" s="305"/>
      <c r="R402" s="27" t="e">
        <f t="shared" si="81"/>
        <v>#DIV/0!</v>
      </c>
      <c r="S402" s="305"/>
      <c r="T402" s="305"/>
      <c r="U402" s="305"/>
      <c r="V402" s="520" t="e">
        <f t="shared" si="82"/>
        <v>#DIV/0!</v>
      </c>
      <c r="W402">
        <f t="shared" si="83"/>
        <v>0</v>
      </c>
      <c r="X402">
        <f t="shared" si="83"/>
        <v>0</v>
      </c>
      <c r="Y402" t="e">
        <f t="shared" si="84"/>
        <v>#DIV/0!</v>
      </c>
    </row>
    <row r="403" spans="10:25" ht="18">
      <c r="J403">
        <f t="shared" si="85"/>
        <v>0</v>
      </c>
      <c r="K403" s="2462" t="s">
        <v>2981</v>
      </c>
      <c r="L403" s="305"/>
      <c r="M403" s="305"/>
      <c r="R403" s="27" t="e">
        <f t="shared" si="81"/>
        <v>#DIV/0!</v>
      </c>
      <c r="S403" s="305"/>
      <c r="T403" s="305"/>
      <c r="U403" s="305"/>
      <c r="V403" s="520" t="e">
        <f t="shared" si="82"/>
        <v>#DIV/0!</v>
      </c>
      <c r="W403">
        <f t="shared" si="83"/>
        <v>0</v>
      </c>
      <c r="X403">
        <f t="shared" si="83"/>
        <v>0</v>
      </c>
      <c r="Y403" t="e">
        <f t="shared" si="84"/>
        <v>#DIV/0!</v>
      </c>
    </row>
    <row r="404" spans="10:25" ht="18">
      <c r="J404">
        <f t="shared" si="85"/>
        <v>0</v>
      </c>
      <c r="K404" s="2462" t="s">
        <v>2982</v>
      </c>
      <c r="L404" s="305"/>
      <c r="M404" s="305"/>
      <c r="R404" s="27" t="e">
        <f t="shared" si="81"/>
        <v>#DIV/0!</v>
      </c>
      <c r="S404" s="305"/>
      <c r="T404" s="305"/>
      <c r="U404" s="305"/>
      <c r="V404" s="520" t="e">
        <f t="shared" si="82"/>
        <v>#DIV/0!</v>
      </c>
      <c r="W404">
        <f t="shared" si="83"/>
        <v>0</v>
      </c>
      <c r="X404">
        <f t="shared" si="83"/>
        <v>0</v>
      </c>
      <c r="Y404" t="e">
        <f t="shared" si="84"/>
        <v>#DIV/0!</v>
      </c>
    </row>
    <row r="405" spans="10:25" ht="18">
      <c r="J405">
        <f t="shared" si="85"/>
        <v>0</v>
      </c>
      <c r="K405" s="2462" t="s">
        <v>2983</v>
      </c>
      <c r="L405" s="305"/>
      <c r="M405" s="305"/>
      <c r="R405" s="27" t="e">
        <f t="shared" si="81"/>
        <v>#DIV/0!</v>
      </c>
      <c r="S405" s="305"/>
      <c r="T405" s="305"/>
      <c r="U405" s="305"/>
      <c r="V405" s="520" t="e">
        <f t="shared" si="82"/>
        <v>#DIV/0!</v>
      </c>
      <c r="W405">
        <f t="shared" si="83"/>
        <v>0</v>
      </c>
      <c r="X405">
        <f t="shared" si="83"/>
        <v>0</v>
      </c>
      <c r="Y405" t="e">
        <f t="shared" si="84"/>
        <v>#DIV/0!</v>
      </c>
    </row>
    <row r="406" spans="10:25" ht="18">
      <c r="J406">
        <f t="shared" si="85"/>
        <v>0</v>
      </c>
      <c r="K406" s="2462" t="s">
        <v>2984</v>
      </c>
      <c r="L406" s="305"/>
      <c r="M406" s="305"/>
      <c r="R406" s="27" t="e">
        <f t="shared" si="81"/>
        <v>#DIV/0!</v>
      </c>
      <c r="S406" s="305"/>
      <c r="T406" s="305"/>
      <c r="U406" s="305"/>
      <c r="V406" s="520" t="e">
        <f t="shared" si="82"/>
        <v>#DIV/0!</v>
      </c>
      <c r="W406">
        <f t="shared" si="83"/>
        <v>0</v>
      </c>
      <c r="X406">
        <f t="shared" si="83"/>
        <v>0</v>
      </c>
      <c r="Y406" t="e">
        <f t="shared" si="84"/>
        <v>#DIV/0!</v>
      </c>
    </row>
    <row r="407" spans="10:25" ht="18">
      <c r="J407">
        <f t="shared" si="85"/>
        <v>0</v>
      </c>
      <c r="K407" s="2462" t="s">
        <v>2985</v>
      </c>
      <c r="L407" s="305"/>
      <c r="M407" s="305"/>
      <c r="R407" s="27" t="e">
        <f t="shared" si="81"/>
        <v>#DIV/0!</v>
      </c>
      <c r="S407" s="305"/>
      <c r="T407" s="305"/>
      <c r="U407" s="305"/>
      <c r="V407" s="520" t="e">
        <f t="shared" si="82"/>
        <v>#DIV/0!</v>
      </c>
      <c r="W407">
        <f t="shared" si="83"/>
        <v>0</v>
      </c>
      <c r="X407">
        <f t="shared" si="83"/>
        <v>0</v>
      </c>
      <c r="Y407" t="e">
        <f t="shared" si="84"/>
        <v>#DIV/0!</v>
      </c>
    </row>
    <row r="408" spans="10:25" ht="18">
      <c r="J408">
        <f t="shared" si="85"/>
        <v>0</v>
      </c>
      <c r="K408" s="2462" t="s">
        <v>2986</v>
      </c>
      <c r="L408" s="305"/>
      <c r="M408" s="305"/>
      <c r="R408" s="27" t="e">
        <f t="shared" si="81"/>
        <v>#DIV/0!</v>
      </c>
      <c r="S408" s="305"/>
      <c r="T408" s="305"/>
      <c r="U408" s="305"/>
      <c r="V408" s="520" t="e">
        <f t="shared" si="82"/>
        <v>#DIV/0!</v>
      </c>
      <c r="W408">
        <f t="shared" si="83"/>
        <v>0</v>
      </c>
      <c r="X408">
        <f t="shared" si="83"/>
        <v>0</v>
      </c>
      <c r="Y408" t="e">
        <f t="shared" si="84"/>
        <v>#DIV/0!</v>
      </c>
    </row>
    <row r="409" spans="10:25" ht="18">
      <c r="J409">
        <f t="shared" si="85"/>
        <v>0</v>
      </c>
      <c r="K409" s="2462" t="s">
        <v>2987</v>
      </c>
      <c r="L409" s="305"/>
      <c r="M409" s="305"/>
      <c r="R409" s="27" t="e">
        <f t="shared" si="81"/>
        <v>#DIV/0!</v>
      </c>
      <c r="S409" s="305"/>
      <c r="T409" s="305"/>
      <c r="U409" s="305"/>
      <c r="V409" s="520" t="e">
        <f t="shared" si="82"/>
        <v>#DIV/0!</v>
      </c>
      <c r="W409">
        <f t="shared" si="83"/>
        <v>0</v>
      </c>
      <c r="X409">
        <f t="shared" si="83"/>
        <v>0</v>
      </c>
      <c r="Y409" t="e">
        <f t="shared" si="84"/>
        <v>#DIV/0!</v>
      </c>
    </row>
    <row r="410" spans="10:25" ht="18">
      <c r="J410">
        <f t="shared" si="85"/>
        <v>0</v>
      </c>
      <c r="K410" s="2462" t="s">
        <v>2988</v>
      </c>
      <c r="L410" s="305"/>
      <c r="M410" s="305"/>
      <c r="R410" s="27" t="e">
        <f t="shared" si="81"/>
        <v>#DIV/0!</v>
      </c>
      <c r="S410" s="305"/>
      <c r="T410" s="305"/>
      <c r="U410" s="305"/>
      <c r="V410" s="520" t="e">
        <f t="shared" si="82"/>
        <v>#DIV/0!</v>
      </c>
      <c r="W410">
        <f t="shared" si="83"/>
        <v>0</v>
      </c>
      <c r="X410">
        <f t="shared" si="83"/>
        <v>0</v>
      </c>
      <c r="Y410" t="e">
        <f t="shared" si="84"/>
        <v>#DIV/0!</v>
      </c>
    </row>
    <row r="411" spans="10:25" ht="18">
      <c r="J411">
        <f t="shared" si="85"/>
        <v>0</v>
      </c>
      <c r="K411" s="2462" t="s">
        <v>2989</v>
      </c>
      <c r="L411" s="305"/>
      <c r="M411" s="305"/>
      <c r="R411" s="27" t="e">
        <f t="shared" si="81"/>
        <v>#DIV/0!</v>
      </c>
      <c r="S411" s="305"/>
      <c r="T411" s="305"/>
      <c r="U411" s="305"/>
      <c r="V411" s="520" t="e">
        <f t="shared" si="82"/>
        <v>#DIV/0!</v>
      </c>
      <c r="W411">
        <f t="shared" si="83"/>
        <v>0</v>
      </c>
      <c r="X411">
        <f t="shared" si="83"/>
        <v>0</v>
      </c>
      <c r="Y411" t="e">
        <f t="shared" si="84"/>
        <v>#DIV/0!</v>
      </c>
    </row>
    <row r="412" spans="10:25" ht="18">
      <c r="J412">
        <f t="shared" si="85"/>
        <v>0</v>
      </c>
      <c r="K412" s="2462" t="s">
        <v>2990</v>
      </c>
      <c r="L412" s="305"/>
      <c r="M412" s="305"/>
      <c r="R412" s="27" t="e">
        <f t="shared" si="81"/>
        <v>#DIV/0!</v>
      </c>
      <c r="S412" s="305"/>
      <c r="T412" s="305"/>
      <c r="U412" s="305"/>
      <c r="V412" s="520" t="e">
        <f t="shared" si="82"/>
        <v>#DIV/0!</v>
      </c>
      <c r="W412">
        <f t="shared" si="83"/>
        <v>0</v>
      </c>
      <c r="X412">
        <f t="shared" si="83"/>
        <v>0</v>
      </c>
      <c r="Y412" t="e">
        <f t="shared" si="84"/>
        <v>#DIV/0!</v>
      </c>
    </row>
    <row r="413" spans="10:25" ht="18">
      <c r="J413">
        <f t="shared" si="85"/>
        <v>0</v>
      </c>
      <c r="K413" s="2462" t="s">
        <v>2991</v>
      </c>
      <c r="L413" s="305"/>
      <c r="M413" s="305"/>
      <c r="R413" s="27" t="e">
        <f t="shared" si="81"/>
        <v>#DIV/0!</v>
      </c>
      <c r="S413" s="305"/>
      <c r="T413" s="305"/>
      <c r="U413" s="305"/>
      <c r="V413" s="520" t="e">
        <f t="shared" si="82"/>
        <v>#DIV/0!</v>
      </c>
      <c r="W413">
        <f t="shared" si="83"/>
        <v>0</v>
      </c>
      <c r="X413">
        <f t="shared" si="83"/>
        <v>0</v>
      </c>
      <c r="Y413" t="e">
        <f t="shared" si="84"/>
        <v>#DIV/0!</v>
      </c>
    </row>
    <row r="414" spans="10:25" ht="18">
      <c r="J414">
        <f t="shared" si="85"/>
        <v>0</v>
      </c>
      <c r="K414" s="2462" t="s">
        <v>2992</v>
      </c>
      <c r="L414" s="305"/>
      <c r="M414" s="305"/>
      <c r="R414" s="27" t="e">
        <f t="shared" si="81"/>
        <v>#DIV/0!</v>
      </c>
      <c r="S414" s="305"/>
      <c r="T414" s="305"/>
      <c r="U414" s="305"/>
      <c r="V414" s="520" t="e">
        <f t="shared" si="82"/>
        <v>#DIV/0!</v>
      </c>
      <c r="W414">
        <f t="shared" si="83"/>
        <v>0</v>
      </c>
      <c r="X414">
        <f t="shared" si="83"/>
        <v>0</v>
      </c>
      <c r="Y414" t="e">
        <f t="shared" si="84"/>
        <v>#DIV/0!</v>
      </c>
    </row>
    <row r="415" spans="10:25" ht="18">
      <c r="J415">
        <f t="shared" si="85"/>
        <v>0</v>
      </c>
      <c r="K415" t="s">
        <v>2993</v>
      </c>
      <c r="L415" s="305"/>
      <c r="M415" s="305"/>
      <c r="R415" s="27" t="e">
        <f t="shared" si="81"/>
        <v>#DIV/0!</v>
      </c>
      <c r="S415" s="305"/>
      <c r="T415" s="305"/>
      <c r="U415" s="305"/>
      <c r="V415" s="520" t="e">
        <f t="shared" si="82"/>
        <v>#DIV/0!</v>
      </c>
      <c r="W415">
        <f t="shared" si="83"/>
        <v>0</v>
      </c>
      <c r="X415">
        <f t="shared" si="83"/>
        <v>0</v>
      </c>
      <c r="Y415" t="e">
        <f t="shared" si="84"/>
        <v>#DIV/0!</v>
      </c>
    </row>
    <row r="416" spans="10:25" ht="18">
      <c r="J416">
        <f t="shared" si="85"/>
        <v>0</v>
      </c>
      <c r="K416" s="2462" t="s">
        <v>2994</v>
      </c>
      <c r="L416" s="305"/>
      <c r="M416" s="305"/>
      <c r="R416" s="27" t="e">
        <f t="shared" si="81"/>
        <v>#DIV/0!</v>
      </c>
      <c r="S416" s="305"/>
      <c r="T416" s="305"/>
      <c r="U416" s="305"/>
      <c r="V416" s="520" t="e">
        <f t="shared" si="82"/>
        <v>#DIV/0!</v>
      </c>
      <c r="W416">
        <f t="shared" si="83"/>
        <v>0</v>
      </c>
      <c r="X416">
        <f t="shared" si="83"/>
        <v>0</v>
      </c>
      <c r="Y416" t="e">
        <f t="shared" si="84"/>
        <v>#DIV/0!</v>
      </c>
    </row>
    <row r="417" spans="10:25" ht="18">
      <c r="J417">
        <f t="shared" si="85"/>
        <v>0</v>
      </c>
      <c r="K417" t="s">
        <v>2995</v>
      </c>
      <c r="L417" s="305"/>
      <c r="M417" s="305"/>
      <c r="R417" s="27" t="e">
        <f t="shared" si="81"/>
        <v>#DIV/0!</v>
      </c>
      <c r="S417" s="305"/>
      <c r="T417" s="305"/>
      <c r="U417" s="305"/>
      <c r="V417" s="520" t="e">
        <f t="shared" si="82"/>
        <v>#DIV/0!</v>
      </c>
      <c r="W417">
        <f t="shared" si="83"/>
        <v>0</v>
      </c>
      <c r="X417">
        <f t="shared" si="83"/>
        <v>0</v>
      </c>
      <c r="Y417" t="e">
        <f t="shared" si="84"/>
        <v>#DIV/0!</v>
      </c>
    </row>
    <row r="418" spans="10:25" ht="18">
      <c r="K418" s="2462" t="s">
        <v>2996</v>
      </c>
      <c r="L418" s="305"/>
      <c r="M418" s="305"/>
      <c r="R418" s="27" t="e">
        <f t="shared" si="81"/>
        <v>#DIV/0!</v>
      </c>
      <c r="S418" s="305"/>
      <c r="T418" s="305"/>
      <c r="U418" s="305"/>
      <c r="V418" s="520" t="e">
        <f t="shared" si="82"/>
        <v>#DIV/0!</v>
      </c>
      <c r="W418">
        <f t="shared" si="83"/>
        <v>0</v>
      </c>
      <c r="X418">
        <f t="shared" si="83"/>
        <v>0</v>
      </c>
      <c r="Y418" t="e">
        <f t="shared" si="84"/>
        <v>#DIV/0!</v>
      </c>
    </row>
    <row r="419" spans="10:25">
      <c r="L419">
        <f>SUM(L388:L418)</f>
        <v>0</v>
      </c>
      <c r="M419">
        <f>SUM(M388:M418)</f>
        <v>0</v>
      </c>
      <c r="R419" t="e">
        <f t="shared" si="81"/>
        <v>#DIV/0!</v>
      </c>
      <c r="S419">
        <f>SUM(S388:S418)</f>
        <v>0</v>
      </c>
      <c r="T419">
        <f>SUM(T388:T418)</f>
        <v>0</v>
      </c>
      <c r="U419">
        <f>SUM(U388:U418)</f>
        <v>0</v>
      </c>
      <c r="V419" t="e">
        <f t="shared" si="82"/>
        <v>#DIV/0!</v>
      </c>
      <c r="W419">
        <f>SUM(W388:W418)</f>
        <v>0</v>
      </c>
      <c r="X419">
        <f>SUM(X388:X418)</f>
        <v>0</v>
      </c>
      <c r="Y419" t="e">
        <f t="shared" si="84"/>
        <v>#DIV/0!</v>
      </c>
    </row>
    <row r="420" spans="10:25">
      <c r="S420">
        <f>4094*665</f>
        <v>2722510</v>
      </c>
      <c r="T420" s="544">
        <f>+T419-T418</f>
        <v>0</v>
      </c>
      <c r="U420" t="e">
        <f>T420/U417</f>
        <v>#DIV/0!</v>
      </c>
    </row>
    <row r="421" spans="10:25">
      <c r="T421">
        <f>7459.3*5104673</f>
        <v>38077287308.900002</v>
      </c>
      <c r="U421">
        <f>7459.3*684.34</f>
        <v>5104697.3620000007</v>
      </c>
    </row>
    <row r="422" spans="10:25">
      <c r="T422">
        <v>4009800</v>
      </c>
    </row>
    <row r="423" spans="10:25">
      <c r="T423">
        <v>4142285</v>
      </c>
    </row>
    <row r="424" spans="10:25" ht="18">
      <c r="L424" s="14" t="s">
        <v>2934</v>
      </c>
      <c r="M424" s="14" t="s">
        <v>2997</v>
      </c>
      <c r="N424" s="14"/>
      <c r="O424" s="84"/>
      <c r="P424" s="84"/>
      <c r="Q424" s="84"/>
      <c r="R424" s="84" t="s">
        <v>520</v>
      </c>
      <c r="S424" s="84" t="s">
        <v>2640</v>
      </c>
      <c r="T424" s="84" t="s">
        <v>2679</v>
      </c>
      <c r="U424" s="84" t="s">
        <v>524</v>
      </c>
      <c r="V424" s="84" t="s">
        <v>520</v>
      </c>
      <c r="W424" s="84" t="s">
        <v>518</v>
      </c>
      <c r="X424" s="84" t="s">
        <v>2998</v>
      </c>
      <c r="Y424" s="84" t="s">
        <v>520</v>
      </c>
    </row>
    <row r="425" spans="10:25" ht="18">
      <c r="J425">
        <f>+T425-S425</f>
        <v>0</v>
      </c>
      <c r="K425" s="2464" t="s">
        <v>2999</v>
      </c>
      <c r="L425" s="305"/>
      <c r="M425" s="305"/>
      <c r="R425" s="27" t="e">
        <f t="shared" ref="R425:R456" si="86">+L425/M425</f>
        <v>#DIV/0!</v>
      </c>
      <c r="S425" s="305"/>
      <c r="T425" s="305"/>
      <c r="U425" s="305"/>
      <c r="V425" s="520" t="e">
        <f t="shared" ref="V425:V456" si="87">+T425/U425</f>
        <v>#DIV/0!</v>
      </c>
      <c r="W425">
        <f t="shared" ref="W425:W455" si="88">+T425-L425</f>
        <v>0</v>
      </c>
      <c r="X425">
        <f t="shared" ref="X425:X455" si="89">+U425-M425</f>
        <v>0</v>
      </c>
      <c r="Y425" t="e">
        <f t="shared" ref="Y425:Y456" si="90">+W425/X425</f>
        <v>#DIV/0!</v>
      </c>
    </row>
    <row r="426" spans="10:25" ht="18">
      <c r="J426">
        <f t="shared" ref="J426:J454" si="91">+T426-S426</f>
        <v>0</v>
      </c>
      <c r="K426" s="2433" t="s">
        <v>3000</v>
      </c>
      <c r="L426" s="305"/>
      <c r="M426" s="305"/>
      <c r="R426" s="27" t="e">
        <f t="shared" si="86"/>
        <v>#DIV/0!</v>
      </c>
      <c r="S426" s="305"/>
      <c r="T426" s="305"/>
      <c r="U426" s="305"/>
      <c r="V426" s="520" t="e">
        <f t="shared" si="87"/>
        <v>#DIV/0!</v>
      </c>
      <c r="W426">
        <f t="shared" si="88"/>
        <v>0</v>
      </c>
      <c r="X426">
        <f t="shared" si="89"/>
        <v>0</v>
      </c>
      <c r="Y426" t="e">
        <f t="shared" si="90"/>
        <v>#DIV/0!</v>
      </c>
    </row>
    <row r="427" spans="10:25" ht="18">
      <c r="J427">
        <f t="shared" si="91"/>
        <v>0</v>
      </c>
      <c r="K427" s="2433" t="s">
        <v>3001</v>
      </c>
      <c r="L427" s="305"/>
      <c r="M427" s="305"/>
      <c r="R427" s="27" t="e">
        <f t="shared" si="86"/>
        <v>#DIV/0!</v>
      </c>
      <c r="S427" s="305"/>
      <c r="T427" s="305"/>
      <c r="U427" s="305"/>
      <c r="V427" s="520" t="e">
        <f t="shared" si="87"/>
        <v>#DIV/0!</v>
      </c>
      <c r="W427">
        <f t="shared" si="88"/>
        <v>0</v>
      </c>
      <c r="X427">
        <f t="shared" si="89"/>
        <v>0</v>
      </c>
      <c r="Y427" t="e">
        <f t="shared" si="90"/>
        <v>#DIV/0!</v>
      </c>
    </row>
    <row r="428" spans="10:25" ht="18">
      <c r="J428">
        <f t="shared" si="91"/>
        <v>0</v>
      </c>
      <c r="K428" s="2433" t="s">
        <v>3002</v>
      </c>
      <c r="L428" s="305"/>
      <c r="M428" s="305"/>
      <c r="R428" s="27" t="e">
        <f t="shared" si="86"/>
        <v>#DIV/0!</v>
      </c>
      <c r="S428" s="305"/>
      <c r="T428" s="305"/>
      <c r="U428" s="305"/>
      <c r="V428" s="520" t="e">
        <f t="shared" si="87"/>
        <v>#DIV/0!</v>
      </c>
      <c r="W428">
        <f t="shared" si="88"/>
        <v>0</v>
      </c>
      <c r="X428">
        <f t="shared" si="89"/>
        <v>0</v>
      </c>
      <c r="Y428" t="e">
        <f t="shared" si="90"/>
        <v>#DIV/0!</v>
      </c>
    </row>
    <row r="429" spans="10:25" ht="18">
      <c r="J429">
        <f t="shared" si="91"/>
        <v>0</v>
      </c>
      <c r="K429" s="2433" t="s">
        <v>3003</v>
      </c>
      <c r="L429" s="305"/>
      <c r="M429" s="305"/>
      <c r="R429" s="27" t="e">
        <f t="shared" si="86"/>
        <v>#DIV/0!</v>
      </c>
      <c r="S429" s="305"/>
      <c r="T429" s="305"/>
      <c r="U429" s="305"/>
      <c r="V429" s="520" t="e">
        <f t="shared" si="87"/>
        <v>#DIV/0!</v>
      </c>
      <c r="W429">
        <f t="shared" si="88"/>
        <v>0</v>
      </c>
      <c r="X429">
        <f t="shared" si="89"/>
        <v>0</v>
      </c>
      <c r="Y429" t="e">
        <f t="shared" si="90"/>
        <v>#DIV/0!</v>
      </c>
    </row>
    <row r="430" spans="10:25" ht="18">
      <c r="J430">
        <f t="shared" si="91"/>
        <v>0</v>
      </c>
      <c r="K430" s="2433" t="s">
        <v>3004</v>
      </c>
      <c r="L430" s="305"/>
      <c r="M430" s="305"/>
      <c r="R430" s="27" t="e">
        <f t="shared" si="86"/>
        <v>#DIV/0!</v>
      </c>
      <c r="S430" s="305"/>
      <c r="T430" s="305"/>
      <c r="U430" s="305"/>
      <c r="V430" s="520" t="e">
        <f t="shared" si="87"/>
        <v>#DIV/0!</v>
      </c>
      <c r="W430">
        <f t="shared" si="88"/>
        <v>0</v>
      </c>
      <c r="X430">
        <f t="shared" si="89"/>
        <v>0</v>
      </c>
      <c r="Y430" t="e">
        <f t="shared" si="90"/>
        <v>#DIV/0!</v>
      </c>
    </row>
    <row r="431" spans="10:25" ht="18">
      <c r="J431">
        <f t="shared" si="91"/>
        <v>0</v>
      </c>
      <c r="K431" s="2433" t="s">
        <v>3005</v>
      </c>
      <c r="L431" s="305"/>
      <c r="M431" s="305"/>
      <c r="R431" s="27" t="e">
        <f t="shared" si="86"/>
        <v>#DIV/0!</v>
      </c>
      <c r="S431" s="305"/>
      <c r="T431" s="305"/>
      <c r="U431" s="305"/>
      <c r="V431" s="520" t="e">
        <f t="shared" si="87"/>
        <v>#DIV/0!</v>
      </c>
      <c r="W431">
        <f t="shared" si="88"/>
        <v>0</v>
      </c>
      <c r="X431">
        <f t="shared" si="89"/>
        <v>0</v>
      </c>
      <c r="Y431" t="e">
        <f t="shared" si="90"/>
        <v>#DIV/0!</v>
      </c>
    </row>
    <row r="432" spans="10:25" ht="18">
      <c r="J432">
        <f t="shared" si="91"/>
        <v>0</v>
      </c>
      <c r="K432" s="2433" t="s">
        <v>3006</v>
      </c>
      <c r="L432" s="305"/>
      <c r="M432" s="305"/>
      <c r="R432" s="27" t="e">
        <f t="shared" si="86"/>
        <v>#DIV/0!</v>
      </c>
      <c r="S432" s="305"/>
      <c r="T432" s="305"/>
      <c r="U432" s="305"/>
      <c r="V432" s="520" t="e">
        <f t="shared" si="87"/>
        <v>#DIV/0!</v>
      </c>
      <c r="W432">
        <f t="shared" si="88"/>
        <v>0</v>
      </c>
      <c r="X432">
        <f t="shared" si="89"/>
        <v>0</v>
      </c>
      <c r="Y432" t="e">
        <f t="shared" si="90"/>
        <v>#DIV/0!</v>
      </c>
    </row>
    <row r="433" spans="10:25" ht="18">
      <c r="J433">
        <f t="shared" si="91"/>
        <v>0</v>
      </c>
      <c r="K433" s="2433" t="s">
        <v>3007</v>
      </c>
      <c r="L433" s="305"/>
      <c r="M433" s="305"/>
      <c r="R433" s="27" t="e">
        <f t="shared" si="86"/>
        <v>#DIV/0!</v>
      </c>
      <c r="S433" s="305"/>
      <c r="T433" s="305"/>
      <c r="U433" s="305"/>
      <c r="V433" s="520" t="e">
        <f t="shared" si="87"/>
        <v>#DIV/0!</v>
      </c>
      <c r="W433">
        <f t="shared" si="88"/>
        <v>0</v>
      </c>
      <c r="X433">
        <f t="shared" si="89"/>
        <v>0</v>
      </c>
      <c r="Y433" t="e">
        <f t="shared" si="90"/>
        <v>#DIV/0!</v>
      </c>
    </row>
    <row r="434" spans="10:25" ht="18">
      <c r="J434">
        <f t="shared" si="91"/>
        <v>0</v>
      </c>
      <c r="K434" s="2433" t="s">
        <v>3008</v>
      </c>
      <c r="L434" s="305"/>
      <c r="M434" s="305"/>
      <c r="R434" s="27" t="e">
        <f t="shared" si="86"/>
        <v>#DIV/0!</v>
      </c>
      <c r="S434" s="305"/>
      <c r="T434" s="305"/>
      <c r="U434" s="305"/>
      <c r="V434" s="520" t="e">
        <f t="shared" si="87"/>
        <v>#DIV/0!</v>
      </c>
      <c r="W434">
        <f t="shared" si="88"/>
        <v>0</v>
      </c>
      <c r="X434">
        <f t="shared" si="89"/>
        <v>0</v>
      </c>
      <c r="Y434" t="e">
        <f t="shared" si="90"/>
        <v>#DIV/0!</v>
      </c>
    </row>
    <row r="435" spans="10:25" ht="18">
      <c r="J435">
        <f t="shared" si="91"/>
        <v>0</v>
      </c>
      <c r="K435" s="2433" t="s">
        <v>3009</v>
      </c>
      <c r="L435" s="305"/>
      <c r="M435" s="305"/>
      <c r="R435" s="27" t="e">
        <f t="shared" si="86"/>
        <v>#DIV/0!</v>
      </c>
      <c r="S435" s="305"/>
      <c r="T435" s="305"/>
      <c r="U435" s="305"/>
      <c r="V435" s="520" t="e">
        <f t="shared" si="87"/>
        <v>#DIV/0!</v>
      </c>
      <c r="W435">
        <f t="shared" si="88"/>
        <v>0</v>
      </c>
      <c r="X435">
        <f t="shared" si="89"/>
        <v>0</v>
      </c>
      <c r="Y435" t="e">
        <f t="shared" si="90"/>
        <v>#DIV/0!</v>
      </c>
    </row>
    <row r="436" spans="10:25" ht="18">
      <c r="J436">
        <f t="shared" si="91"/>
        <v>0</v>
      </c>
      <c r="K436" s="2462" t="s">
        <v>3010</v>
      </c>
      <c r="L436" s="305"/>
      <c r="M436" s="305"/>
      <c r="R436" s="27" t="e">
        <f t="shared" si="86"/>
        <v>#DIV/0!</v>
      </c>
      <c r="S436" s="305"/>
      <c r="T436" s="305"/>
      <c r="U436" s="305"/>
      <c r="V436" s="520" t="e">
        <f t="shared" si="87"/>
        <v>#DIV/0!</v>
      </c>
      <c r="W436">
        <f t="shared" si="88"/>
        <v>0</v>
      </c>
      <c r="X436">
        <f t="shared" si="89"/>
        <v>0</v>
      </c>
      <c r="Y436" t="e">
        <f t="shared" si="90"/>
        <v>#DIV/0!</v>
      </c>
    </row>
    <row r="437" spans="10:25" ht="18">
      <c r="J437">
        <f t="shared" si="91"/>
        <v>0</v>
      </c>
      <c r="K437" t="s">
        <v>3011</v>
      </c>
      <c r="L437" s="305"/>
      <c r="M437" s="305"/>
      <c r="R437" s="27" t="e">
        <f t="shared" si="86"/>
        <v>#DIV/0!</v>
      </c>
      <c r="S437" s="305"/>
      <c r="T437" s="305"/>
      <c r="U437" s="305"/>
      <c r="V437" s="520" t="e">
        <f t="shared" si="87"/>
        <v>#DIV/0!</v>
      </c>
      <c r="W437">
        <f t="shared" si="88"/>
        <v>0</v>
      </c>
      <c r="X437">
        <f t="shared" si="89"/>
        <v>0</v>
      </c>
      <c r="Y437" t="e">
        <f t="shared" si="90"/>
        <v>#DIV/0!</v>
      </c>
    </row>
    <row r="438" spans="10:25" ht="18">
      <c r="J438">
        <f t="shared" si="91"/>
        <v>0</v>
      </c>
      <c r="K438" s="2462" t="s">
        <v>3012</v>
      </c>
      <c r="L438" s="305"/>
      <c r="M438" s="305"/>
      <c r="R438" s="27" t="e">
        <f t="shared" si="86"/>
        <v>#DIV/0!</v>
      </c>
      <c r="S438" s="305"/>
      <c r="T438" s="305"/>
      <c r="U438" s="305"/>
      <c r="V438" s="520" t="e">
        <f t="shared" si="87"/>
        <v>#DIV/0!</v>
      </c>
      <c r="W438">
        <f t="shared" si="88"/>
        <v>0</v>
      </c>
      <c r="X438">
        <f t="shared" si="89"/>
        <v>0</v>
      </c>
      <c r="Y438" t="e">
        <f t="shared" si="90"/>
        <v>#DIV/0!</v>
      </c>
    </row>
    <row r="439" spans="10:25" ht="18">
      <c r="J439">
        <f t="shared" si="91"/>
        <v>0</v>
      </c>
      <c r="K439" s="2462" t="s">
        <v>3013</v>
      </c>
      <c r="L439" s="305"/>
      <c r="M439" s="305"/>
      <c r="R439" s="27" t="e">
        <f t="shared" si="86"/>
        <v>#DIV/0!</v>
      </c>
      <c r="S439" s="305"/>
      <c r="T439" s="305"/>
      <c r="U439" s="305"/>
      <c r="V439" s="520" t="e">
        <f t="shared" si="87"/>
        <v>#DIV/0!</v>
      </c>
      <c r="W439">
        <f t="shared" si="88"/>
        <v>0</v>
      </c>
      <c r="X439">
        <f t="shared" si="89"/>
        <v>0</v>
      </c>
      <c r="Y439" t="e">
        <f t="shared" si="90"/>
        <v>#DIV/0!</v>
      </c>
    </row>
    <row r="440" spans="10:25" ht="18">
      <c r="J440">
        <f t="shared" si="91"/>
        <v>0</v>
      </c>
      <c r="K440" s="2462" t="s">
        <v>3014</v>
      </c>
      <c r="L440" s="305"/>
      <c r="M440" s="305"/>
      <c r="R440" s="27" t="e">
        <f t="shared" si="86"/>
        <v>#DIV/0!</v>
      </c>
      <c r="S440" s="305"/>
      <c r="T440" s="305"/>
      <c r="U440" s="305"/>
      <c r="V440" s="520" t="e">
        <f t="shared" si="87"/>
        <v>#DIV/0!</v>
      </c>
      <c r="W440">
        <f t="shared" si="88"/>
        <v>0</v>
      </c>
      <c r="X440">
        <f t="shared" si="89"/>
        <v>0</v>
      </c>
      <c r="Y440" t="e">
        <f t="shared" si="90"/>
        <v>#DIV/0!</v>
      </c>
    </row>
    <row r="441" spans="10:25" ht="18">
      <c r="J441">
        <f t="shared" si="91"/>
        <v>0</v>
      </c>
      <c r="K441" s="2462" t="s">
        <v>3015</v>
      </c>
      <c r="L441" s="305"/>
      <c r="M441" s="305"/>
      <c r="R441" s="27" t="e">
        <f t="shared" si="86"/>
        <v>#DIV/0!</v>
      </c>
      <c r="S441" s="305"/>
      <c r="T441" s="305"/>
      <c r="U441" s="305"/>
      <c r="V441" s="520" t="e">
        <f t="shared" si="87"/>
        <v>#DIV/0!</v>
      </c>
      <c r="W441">
        <f t="shared" si="88"/>
        <v>0</v>
      </c>
      <c r="X441">
        <f t="shared" si="89"/>
        <v>0</v>
      </c>
      <c r="Y441" t="e">
        <f t="shared" si="90"/>
        <v>#DIV/0!</v>
      </c>
    </row>
    <row r="442" spans="10:25" ht="18">
      <c r="J442">
        <f t="shared" si="91"/>
        <v>0</v>
      </c>
      <c r="K442" s="2462" t="s">
        <v>3016</v>
      </c>
      <c r="L442" s="305"/>
      <c r="M442" s="305"/>
      <c r="R442" s="27" t="e">
        <f t="shared" si="86"/>
        <v>#DIV/0!</v>
      </c>
      <c r="S442" s="305"/>
      <c r="T442" s="305"/>
      <c r="U442" s="305"/>
      <c r="V442" s="520" t="e">
        <f t="shared" si="87"/>
        <v>#DIV/0!</v>
      </c>
      <c r="W442">
        <f t="shared" si="88"/>
        <v>0</v>
      </c>
      <c r="X442">
        <f t="shared" si="89"/>
        <v>0</v>
      </c>
      <c r="Y442" t="e">
        <f t="shared" si="90"/>
        <v>#DIV/0!</v>
      </c>
    </row>
    <row r="443" spans="10:25" ht="18">
      <c r="J443">
        <f t="shared" si="91"/>
        <v>0</v>
      </c>
      <c r="K443" s="2462" t="s">
        <v>3017</v>
      </c>
      <c r="L443" s="305"/>
      <c r="M443" s="305"/>
      <c r="R443" s="27" t="e">
        <f t="shared" si="86"/>
        <v>#DIV/0!</v>
      </c>
      <c r="S443" s="305"/>
      <c r="T443" s="305"/>
      <c r="U443" s="305"/>
      <c r="V443" s="520" t="e">
        <f t="shared" si="87"/>
        <v>#DIV/0!</v>
      </c>
      <c r="W443">
        <f t="shared" si="88"/>
        <v>0</v>
      </c>
      <c r="X443">
        <f t="shared" si="89"/>
        <v>0</v>
      </c>
      <c r="Y443" t="e">
        <f t="shared" si="90"/>
        <v>#DIV/0!</v>
      </c>
    </row>
    <row r="444" spans="10:25" ht="18">
      <c r="J444">
        <f t="shared" si="91"/>
        <v>0</v>
      </c>
      <c r="K444" s="2462" t="s">
        <v>3018</v>
      </c>
      <c r="L444" s="305"/>
      <c r="M444" s="305"/>
      <c r="R444" s="27" t="e">
        <f t="shared" si="86"/>
        <v>#DIV/0!</v>
      </c>
      <c r="S444" s="305"/>
      <c r="T444" s="305"/>
      <c r="U444" s="305"/>
      <c r="V444" s="520" t="e">
        <f t="shared" si="87"/>
        <v>#DIV/0!</v>
      </c>
      <c r="W444">
        <f t="shared" si="88"/>
        <v>0</v>
      </c>
      <c r="X444">
        <f t="shared" si="89"/>
        <v>0</v>
      </c>
      <c r="Y444" t="e">
        <f t="shared" si="90"/>
        <v>#DIV/0!</v>
      </c>
    </row>
    <row r="445" spans="10:25" ht="18">
      <c r="J445">
        <f t="shared" si="91"/>
        <v>0</v>
      </c>
      <c r="K445" s="2462" t="s">
        <v>3019</v>
      </c>
      <c r="L445" s="305"/>
      <c r="M445" s="305"/>
      <c r="R445" s="27" t="e">
        <f t="shared" si="86"/>
        <v>#DIV/0!</v>
      </c>
      <c r="S445" s="305"/>
      <c r="T445" s="305"/>
      <c r="U445" s="305"/>
      <c r="V445" s="520" t="e">
        <f t="shared" si="87"/>
        <v>#DIV/0!</v>
      </c>
      <c r="W445">
        <f t="shared" si="88"/>
        <v>0</v>
      </c>
      <c r="X445">
        <f t="shared" si="89"/>
        <v>0</v>
      </c>
      <c r="Y445" t="e">
        <f t="shared" si="90"/>
        <v>#DIV/0!</v>
      </c>
    </row>
    <row r="446" spans="10:25" ht="18">
      <c r="J446">
        <f t="shared" si="91"/>
        <v>0</v>
      </c>
      <c r="K446" s="2462" t="s">
        <v>3020</v>
      </c>
      <c r="L446" s="305"/>
      <c r="M446" s="305"/>
      <c r="R446" s="27" t="e">
        <f t="shared" si="86"/>
        <v>#DIV/0!</v>
      </c>
      <c r="S446" s="305"/>
      <c r="T446" s="305"/>
      <c r="U446" s="305"/>
      <c r="V446" s="520" t="e">
        <f t="shared" si="87"/>
        <v>#DIV/0!</v>
      </c>
      <c r="W446">
        <f t="shared" si="88"/>
        <v>0</v>
      </c>
      <c r="X446">
        <f t="shared" si="89"/>
        <v>0</v>
      </c>
      <c r="Y446" t="e">
        <f t="shared" si="90"/>
        <v>#DIV/0!</v>
      </c>
    </row>
    <row r="447" spans="10:25" ht="18">
      <c r="J447">
        <f t="shared" si="91"/>
        <v>0</v>
      </c>
      <c r="K447" s="2462" t="s">
        <v>3021</v>
      </c>
      <c r="L447" s="305"/>
      <c r="M447" s="305"/>
      <c r="R447" s="27" t="e">
        <f t="shared" si="86"/>
        <v>#DIV/0!</v>
      </c>
      <c r="S447" s="305"/>
      <c r="T447" s="305"/>
      <c r="U447" s="305"/>
      <c r="V447" s="520" t="e">
        <f t="shared" si="87"/>
        <v>#DIV/0!</v>
      </c>
      <c r="W447">
        <f t="shared" si="88"/>
        <v>0</v>
      </c>
      <c r="X447">
        <f t="shared" si="89"/>
        <v>0</v>
      </c>
      <c r="Y447" t="e">
        <f t="shared" si="90"/>
        <v>#DIV/0!</v>
      </c>
    </row>
    <row r="448" spans="10:25" ht="18">
      <c r="J448">
        <f t="shared" si="91"/>
        <v>0</v>
      </c>
      <c r="K448" s="2462" t="s">
        <v>3022</v>
      </c>
      <c r="L448" s="305"/>
      <c r="M448" s="305"/>
      <c r="R448" s="27" t="e">
        <f t="shared" si="86"/>
        <v>#DIV/0!</v>
      </c>
      <c r="S448" s="305"/>
      <c r="T448" s="305"/>
      <c r="U448" s="305"/>
      <c r="V448" s="520" t="e">
        <f t="shared" si="87"/>
        <v>#DIV/0!</v>
      </c>
      <c r="W448">
        <f t="shared" si="88"/>
        <v>0</v>
      </c>
      <c r="X448">
        <f t="shared" si="89"/>
        <v>0</v>
      </c>
      <c r="Y448" t="e">
        <f t="shared" si="90"/>
        <v>#DIV/0!</v>
      </c>
    </row>
    <row r="449" spans="10:25" ht="18">
      <c r="J449">
        <f t="shared" si="91"/>
        <v>0</v>
      </c>
      <c r="K449" s="2462" t="s">
        <v>3023</v>
      </c>
      <c r="L449" s="305"/>
      <c r="M449" s="305"/>
      <c r="R449" s="27" t="e">
        <f t="shared" si="86"/>
        <v>#DIV/0!</v>
      </c>
      <c r="S449" s="305"/>
      <c r="T449" s="305"/>
      <c r="U449" s="305"/>
      <c r="V449" s="520" t="e">
        <f t="shared" si="87"/>
        <v>#DIV/0!</v>
      </c>
      <c r="W449">
        <f t="shared" si="88"/>
        <v>0</v>
      </c>
      <c r="X449">
        <f t="shared" si="89"/>
        <v>0</v>
      </c>
      <c r="Y449" t="e">
        <f t="shared" si="90"/>
        <v>#DIV/0!</v>
      </c>
    </row>
    <row r="450" spans="10:25" ht="18">
      <c r="J450">
        <f t="shared" si="91"/>
        <v>0</v>
      </c>
      <c r="K450" s="2462" t="s">
        <v>3024</v>
      </c>
      <c r="L450" s="305"/>
      <c r="M450" s="305"/>
      <c r="R450" s="27" t="e">
        <f t="shared" si="86"/>
        <v>#DIV/0!</v>
      </c>
      <c r="S450" s="305"/>
      <c r="T450" s="305"/>
      <c r="U450" s="305"/>
      <c r="V450" s="520" t="e">
        <f t="shared" si="87"/>
        <v>#DIV/0!</v>
      </c>
      <c r="W450">
        <f t="shared" si="88"/>
        <v>0</v>
      </c>
      <c r="X450">
        <f t="shared" si="89"/>
        <v>0</v>
      </c>
      <c r="Y450" t="e">
        <f t="shared" si="90"/>
        <v>#DIV/0!</v>
      </c>
    </row>
    <row r="451" spans="10:25" ht="18">
      <c r="J451">
        <f t="shared" si="91"/>
        <v>0</v>
      </c>
      <c r="K451" s="2462" t="s">
        <v>3025</v>
      </c>
      <c r="L451" s="305"/>
      <c r="M451" s="305"/>
      <c r="R451" s="27" t="e">
        <f t="shared" si="86"/>
        <v>#DIV/0!</v>
      </c>
      <c r="S451" s="305"/>
      <c r="T451" s="305"/>
      <c r="U451" s="305"/>
      <c r="V451" s="520" t="e">
        <f t="shared" si="87"/>
        <v>#DIV/0!</v>
      </c>
      <c r="W451">
        <f t="shared" si="88"/>
        <v>0</v>
      </c>
      <c r="X451">
        <f t="shared" si="89"/>
        <v>0</v>
      </c>
      <c r="Y451" t="e">
        <f t="shared" si="90"/>
        <v>#DIV/0!</v>
      </c>
    </row>
    <row r="452" spans="10:25" ht="18">
      <c r="J452">
        <f t="shared" si="91"/>
        <v>0</v>
      </c>
      <c r="K452" t="s">
        <v>3026</v>
      </c>
      <c r="L452" s="305"/>
      <c r="M452" s="305"/>
      <c r="R452" s="27" t="e">
        <f t="shared" si="86"/>
        <v>#DIV/0!</v>
      </c>
      <c r="S452" s="305"/>
      <c r="T452" s="305"/>
      <c r="U452" s="305"/>
      <c r="V452" s="520" t="e">
        <f t="shared" si="87"/>
        <v>#DIV/0!</v>
      </c>
      <c r="W452">
        <f t="shared" si="88"/>
        <v>0</v>
      </c>
      <c r="X452">
        <f t="shared" si="89"/>
        <v>0</v>
      </c>
      <c r="Y452" t="e">
        <f t="shared" si="90"/>
        <v>#DIV/0!</v>
      </c>
    </row>
    <row r="453" spans="10:25" ht="18">
      <c r="J453">
        <f t="shared" si="91"/>
        <v>0</v>
      </c>
      <c r="K453" s="2462" t="s">
        <v>3027</v>
      </c>
      <c r="L453" s="305"/>
      <c r="M453" s="305"/>
      <c r="R453" s="27" t="e">
        <f t="shared" si="86"/>
        <v>#DIV/0!</v>
      </c>
      <c r="S453" s="305"/>
      <c r="T453" s="305"/>
      <c r="U453" s="305"/>
      <c r="V453" s="520" t="e">
        <f t="shared" si="87"/>
        <v>#DIV/0!</v>
      </c>
      <c r="W453">
        <f t="shared" si="88"/>
        <v>0</v>
      </c>
      <c r="X453">
        <f t="shared" si="89"/>
        <v>0</v>
      </c>
      <c r="Y453" t="e">
        <f t="shared" si="90"/>
        <v>#DIV/0!</v>
      </c>
    </row>
    <row r="454" spans="10:25" ht="18">
      <c r="J454">
        <f t="shared" si="91"/>
        <v>0</v>
      </c>
      <c r="K454" t="s">
        <v>3028</v>
      </c>
      <c r="L454" s="305"/>
      <c r="M454" s="305"/>
      <c r="R454" s="27" t="e">
        <f t="shared" si="86"/>
        <v>#DIV/0!</v>
      </c>
      <c r="S454" s="305"/>
      <c r="T454" s="305"/>
      <c r="U454" s="305"/>
      <c r="V454" s="520" t="e">
        <f t="shared" si="87"/>
        <v>#DIV/0!</v>
      </c>
      <c r="W454">
        <f t="shared" si="88"/>
        <v>0</v>
      </c>
      <c r="X454">
        <f t="shared" si="89"/>
        <v>0</v>
      </c>
      <c r="Y454" t="e">
        <f t="shared" si="90"/>
        <v>#DIV/0!</v>
      </c>
    </row>
    <row r="455" spans="10:25" ht="18">
      <c r="K455" s="2462" t="s">
        <v>3029</v>
      </c>
      <c r="L455" s="305"/>
      <c r="M455" s="305"/>
      <c r="R455" s="27" t="e">
        <f t="shared" si="86"/>
        <v>#DIV/0!</v>
      </c>
      <c r="S455" s="305"/>
      <c r="T455" s="305"/>
      <c r="U455" s="305"/>
      <c r="V455" s="520" t="e">
        <f t="shared" si="87"/>
        <v>#DIV/0!</v>
      </c>
      <c r="W455">
        <f t="shared" si="88"/>
        <v>0</v>
      </c>
      <c r="X455">
        <f t="shared" si="89"/>
        <v>0</v>
      </c>
      <c r="Y455" t="e">
        <f t="shared" si="90"/>
        <v>#DIV/0!</v>
      </c>
    </row>
    <row r="456" spans="10:25">
      <c r="L456">
        <f>SUM(L425:L455)</f>
        <v>0</v>
      </c>
      <c r="M456">
        <f>SUM(M425:M455)</f>
        <v>0</v>
      </c>
      <c r="R456" t="e">
        <f t="shared" si="86"/>
        <v>#DIV/0!</v>
      </c>
      <c r="S456">
        <f>SUM(S425:S455)</f>
        <v>0</v>
      </c>
      <c r="T456">
        <f>SUM(T425:T455)</f>
        <v>0</v>
      </c>
      <c r="V456" t="e">
        <f t="shared" si="87"/>
        <v>#DIV/0!</v>
      </c>
      <c r="W456">
        <f>SUM(W425:W455)</f>
        <v>0</v>
      </c>
      <c r="X456">
        <f>SUM(X425:X455)</f>
        <v>0</v>
      </c>
      <c r="Y456" t="e">
        <f t="shared" si="90"/>
        <v>#DIV/0!</v>
      </c>
    </row>
    <row r="457" spans="10:25" ht="18">
      <c r="L457" s="1008"/>
      <c r="M457" s="1009"/>
      <c r="T457">
        <v>5787610</v>
      </c>
    </row>
    <row r="458" spans="10:25">
      <c r="T458">
        <f>+T457-T456</f>
        <v>5787610</v>
      </c>
    </row>
    <row r="459" spans="10:25">
      <c r="T459">
        <f>+T458-T457</f>
        <v>0</v>
      </c>
    </row>
    <row r="460" spans="10:25">
      <c r="T460">
        <v>4380110</v>
      </c>
    </row>
    <row r="462" spans="10:25">
      <c r="T462">
        <f>4542140-4397330</f>
        <v>144810</v>
      </c>
    </row>
    <row r="466" spans="13:26">
      <c r="U466">
        <f>68000+68000+68000+60000</f>
        <v>264000</v>
      </c>
      <c r="V466">
        <f>13978*4</f>
        <v>55912</v>
      </c>
      <c r="W466">
        <f>+U466-V466</f>
        <v>208088</v>
      </c>
    </row>
    <row r="469" spans="13:26">
      <c r="M469">
        <v>300000</v>
      </c>
      <c r="R469">
        <v>57708</v>
      </c>
      <c r="S469">
        <f t="shared" ref="S469:S476" si="92">+M469-R469</f>
        <v>242292</v>
      </c>
      <c r="U469">
        <f>69000+72000+68000+60890</f>
        <v>269890</v>
      </c>
      <c r="V469">
        <f>13978*4</f>
        <v>55912</v>
      </c>
      <c r="W469">
        <f>+U469-V469</f>
        <v>213978</v>
      </c>
      <c r="X469">
        <f>+W469-50000</f>
        <v>163978</v>
      </c>
      <c r="Y469">
        <f>35000+15000+20000+25000</f>
        <v>95000</v>
      </c>
      <c r="Z469">
        <f>+X469-Y469</f>
        <v>68978</v>
      </c>
    </row>
    <row r="470" spans="13:26">
      <c r="M470">
        <v>242292</v>
      </c>
      <c r="R470">
        <v>37098</v>
      </c>
      <c r="S470">
        <f t="shared" si="92"/>
        <v>205194</v>
      </c>
    </row>
    <row r="471" spans="13:26">
      <c r="M471">
        <v>205194</v>
      </c>
      <c r="R471">
        <v>35724</v>
      </c>
      <c r="S471">
        <f t="shared" si="92"/>
        <v>169470</v>
      </c>
    </row>
    <row r="472" spans="13:26">
      <c r="M472">
        <v>169470</v>
      </c>
      <c r="R472">
        <v>35724</v>
      </c>
      <c r="S472">
        <f t="shared" si="92"/>
        <v>133746</v>
      </c>
    </row>
    <row r="473" spans="13:26">
      <c r="M473">
        <v>133476</v>
      </c>
      <c r="R473">
        <v>31602</v>
      </c>
      <c r="S473">
        <f t="shared" si="92"/>
        <v>101874</v>
      </c>
    </row>
    <row r="474" spans="13:26">
      <c r="M474">
        <v>101874</v>
      </c>
      <c r="R474">
        <v>32289</v>
      </c>
      <c r="S474">
        <f t="shared" si="92"/>
        <v>69585</v>
      </c>
    </row>
    <row r="475" spans="13:26">
      <c r="M475">
        <v>69585</v>
      </c>
      <c r="R475">
        <v>33663</v>
      </c>
      <c r="S475">
        <f t="shared" si="92"/>
        <v>35922</v>
      </c>
    </row>
    <row r="476" spans="13:26">
      <c r="M476">
        <v>35922</v>
      </c>
      <c r="R476">
        <v>32976</v>
      </c>
      <c r="S476">
        <f t="shared" si="92"/>
        <v>2946</v>
      </c>
    </row>
    <row r="477" spans="13:26">
      <c r="R477">
        <f>SUM(R469:R476)</f>
        <v>296784</v>
      </c>
    </row>
    <row r="478" spans="13:26">
      <c r="S478" s="520">
        <f>140000/3</f>
        <v>46666.666666666664</v>
      </c>
    </row>
  </sheetData>
  <mergeCells count="16">
    <mergeCell ref="AF328:AG328"/>
    <mergeCell ref="AF342:AG342"/>
    <mergeCell ref="AF313:AG313"/>
    <mergeCell ref="I3:M3"/>
    <mergeCell ref="N3:Q3"/>
    <mergeCell ref="T21:V21"/>
    <mergeCell ref="W21:Y21"/>
    <mergeCell ref="L58:M58"/>
    <mergeCell ref="T58:V58"/>
    <mergeCell ref="W58:Y58"/>
    <mergeCell ref="L98:M98"/>
    <mergeCell ref="W98:Y98"/>
    <mergeCell ref="K207:M207"/>
    <mergeCell ref="L242:M242"/>
    <mergeCell ref="T242:U242"/>
    <mergeCell ref="W242:Y242"/>
  </mergeCells>
  <pageMargins left="0.19861111099999998" right="0.19861111099999998" top="0.75" bottom="0.75" header="0.3" footer="0.3"/>
  <pageSetup paperSize="9" scale="85" orientation="landscape" horizont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611"/>
  <sheetViews>
    <sheetView topLeftCell="A564" zoomScaleSheetLayoutView="100" workbookViewId="0">
      <selection activeCell="M592" sqref="M592"/>
    </sheetView>
  </sheetViews>
  <sheetFormatPr defaultColWidth="9" defaultRowHeight="12.75"/>
  <cols>
    <col min="2" max="2" width="28.140625" customWidth="1"/>
    <col min="3" max="3" width="19.28515625" customWidth="1"/>
    <col min="4" max="4" width="16.42578125" customWidth="1"/>
    <col min="5" max="5" width="11.5703125" customWidth="1"/>
    <col min="6" max="6" width="16.85546875" customWidth="1"/>
    <col min="7" max="7" width="13.42578125" customWidth="1"/>
    <col min="8" max="8" width="12.42578125" customWidth="1"/>
    <col min="9" max="9" width="17.5703125" customWidth="1"/>
    <col min="10" max="10" width="13.5703125" customWidth="1"/>
    <col min="11" max="11" width="11.140625" customWidth="1"/>
    <col min="12" max="12" width="9.85546875" customWidth="1"/>
    <col min="13" max="13" width="17.28515625" customWidth="1"/>
    <col min="14" max="14" width="13.140625" customWidth="1"/>
    <col min="15" max="15" width="18.140625" customWidth="1"/>
    <col min="16" max="16" width="15.5703125" customWidth="1"/>
  </cols>
  <sheetData>
    <row r="2" spans="2:16">
      <c r="B2" s="308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354"/>
    </row>
    <row r="3" spans="2:16">
      <c r="B3" s="31"/>
      <c r="P3" s="63"/>
    </row>
    <row r="4" spans="2:16">
      <c r="B4" s="31"/>
      <c r="P4" s="63"/>
    </row>
    <row r="5" spans="2:16">
      <c r="B5" s="31"/>
      <c r="P5" s="63"/>
    </row>
    <row r="6" spans="2:16">
      <c r="B6" s="31"/>
      <c r="P6" s="63"/>
    </row>
    <row r="7" spans="2:16" ht="27">
      <c r="B7" s="3033" t="s">
        <v>3030</v>
      </c>
      <c r="C7" s="3034"/>
      <c r="D7" s="3034"/>
      <c r="E7" s="3034"/>
      <c r="F7" s="3034"/>
      <c r="G7" s="3034"/>
      <c r="H7" s="3034"/>
      <c r="I7" s="3034"/>
      <c r="J7" s="3034"/>
      <c r="K7" s="3034"/>
      <c r="L7" s="3034"/>
      <c r="M7" s="3034"/>
      <c r="N7" s="3034"/>
      <c r="O7" s="3034"/>
      <c r="P7" s="3035"/>
    </row>
    <row r="8" spans="2:16">
      <c r="B8" s="31"/>
      <c r="P8" s="63"/>
    </row>
    <row r="9" spans="2:16" ht="21.75">
      <c r="B9" s="894" t="s">
        <v>721</v>
      </c>
      <c r="C9" s="896" t="s">
        <v>722</v>
      </c>
      <c r="D9" s="896" t="s">
        <v>723</v>
      </c>
      <c r="E9" s="896" t="s">
        <v>724</v>
      </c>
      <c r="F9" s="896" t="s">
        <v>725</v>
      </c>
      <c r="G9" s="896" t="s">
        <v>726</v>
      </c>
      <c r="H9" s="896" t="s">
        <v>727</v>
      </c>
      <c r="I9" s="911" t="s">
        <v>3031</v>
      </c>
      <c r="J9" s="896" t="s">
        <v>729</v>
      </c>
      <c r="K9" s="896" t="s">
        <v>730</v>
      </c>
      <c r="L9" s="896" t="s">
        <v>731</v>
      </c>
      <c r="M9" s="896" t="s">
        <v>732</v>
      </c>
      <c r="N9" s="896" t="s">
        <v>733</v>
      </c>
      <c r="O9" s="896" t="s">
        <v>734</v>
      </c>
      <c r="P9" s="915" t="s">
        <v>2351</v>
      </c>
    </row>
    <row r="10" spans="2:16" ht="21.75">
      <c r="B10" s="897" t="s">
        <v>405</v>
      </c>
      <c r="C10" s="898">
        <v>1.49</v>
      </c>
      <c r="D10" s="898">
        <v>0</v>
      </c>
      <c r="E10" s="898">
        <v>0</v>
      </c>
      <c r="F10" s="898">
        <v>0</v>
      </c>
      <c r="G10" s="898">
        <v>8.9600000000000009</v>
      </c>
      <c r="H10" s="898">
        <v>315.8</v>
      </c>
      <c r="I10" s="711">
        <f>+H10+G10+F10+E10+D10+C10</f>
        <v>326.25</v>
      </c>
      <c r="J10" s="898">
        <v>0</v>
      </c>
      <c r="K10" s="898">
        <v>109.36</v>
      </c>
      <c r="L10" s="898">
        <v>746.9</v>
      </c>
      <c r="M10" s="898">
        <v>262.33</v>
      </c>
      <c r="N10" s="898">
        <v>127.97</v>
      </c>
      <c r="O10" s="898">
        <v>0</v>
      </c>
      <c r="P10" s="916">
        <f>+J10+K10+L10+M10+I10+N10+O10</f>
        <v>1572.81</v>
      </c>
    </row>
    <row r="11" spans="2:16" ht="21.75">
      <c r="B11" s="897" t="s">
        <v>3032</v>
      </c>
      <c r="C11" s="899">
        <v>435.54</v>
      </c>
      <c r="D11" s="898">
        <v>0</v>
      </c>
      <c r="E11" s="898">
        <v>580.05999999999995</v>
      </c>
      <c r="F11" s="898">
        <v>1704</v>
      </c>
      <c r="G11" s="898">
        <v>884.57</v>
      </c>
      <c r="H11" s="898">
        <v>999</v>
      </c>
      <c r="I11" s="711">
        <f>+H11+G11+F11+E11+D11+C11</f>
        <v>4603.17</v>
      </c>
      <c r="J11" s="898">
        <v>249.41</v>
      </c>
      <c r="K11" s="898">
        <v>890.44</v>
      </c>
      <c r="L11" s="898">
        <v>310.20999999999998</v>
      </c>
      <c r="M11" s="898">
        <v>137.33000000000001</v>
      </c>
      <c r="N11" s="898">
        <v>871.36</v>
      </c>
      <c r="O11" s="898">
        <v>958.5</v>
      </c>
      <c r="P11" s="916">
        <f>+J11+K11+L11+M11+I11+N11+O11</f>
        <v>8020.42</v>
      </c>
    </row>
    <row r="12" spans="2:16" ht="21.75">
      <c r="B12" s="897" t="s">
        <v>3033</v>
      </c>
      <c r="C12" s="899">
        <v>0</v>
      </c>
      <c r="D12" s="899">
        <v>0</v>
      </c>
      <c r="E12" s="899">
        <v>0</v>
      </c>
      <c r="F12" s="899">
        <v>0</v>
      </c>
      <c r="G12" s="899">
        <v>0</v>
      </c>
      <c r="H12" s="899">
        <v>0</v>
      </c>
      <c r="I12" s="711">
        <f>+H12+G12+F12+E12+D12+C12</f>
        <v>0</v>
      </c>
      <c r="J12" s="899">
        <v>0</v>
      </c>
      <c r="K12" s="899">
        <v>0</v>
      </c>
      <c r="L12" s="899">
        <v>0</v>
      </c>
      <c r="M12" s="899">
        <v>0</v>
      </c>
      <c r="N12" s="899">
        <v>0</v>
      </c>
      <c r="O12" s="899">
        <v>0</v>
      </c>
      <c r="P12" s="916">
        <f>+J12+K12+L12+M12+I12+N12+O12</f>
        <v>0</v>
      </c>
    </row>
    <row r="13" spans="2:16" ht="21.75">
      <c r="B13" s="973"/>
      <c r="C13" s="904"/>
      <c r="D13" s="904"/>
      <c r="E13" s="904"/>
      <c r="F13" s="904"/>
      <c r="G13" s="904"/>
      <c r="H13" s="904"/>
      <c r="I13" s="904"/>
      <c r="J13" s="904"/>
      <c r="K13" s="904"/>
      <c r="L13" s="904"/>
      <c r="M13" s="904"/>
      <c r="N13" s="904"/>
      <c r="O13" s="904"/>
      <c r="P13" s="976"/>
    </row>
    <row r="14" spans="2:16">
      <c r="B14" s="31"/>
      <c r="P14" s="63"/>
    </row>
    <row r="15" spans="2:16" ht="27">
      <c r="B15" s="3033" t="s">
        <v>3034</v>
      </c>
      <c r="C15" s="3034"/>
      <c r="D15" s="3034"/>
      <c r="E15" s="3034"/>
      <c r="F15" s="3034"/>
      <c r="G15" s="3034"/>
      <c r="H15" s="3034"/>
      <c r="I15" s="3034"/>
      <c r="J15" s="3034"/>
      <c r="K15" s="3034"/>
      <c r="L15" s="3034"/>
      <c r="M15" s="3034"/>
      <c r="N15" s="3034"/>
      <c r="O15" s="3034"/>
      <c r="P15" s="3035"/>
    </row>
    <row r="16" spans="2:16">
      <c r="B16" s="31"/>
      <c r="P16" s="63"/>
    </row>
    <row r="17" spans="2:16" ht="21.75">
      <c r="B17" s="894" t="s">
        <v>721</v>
      </c>
      <c r="C17" s="896" t="s">
        <v>722</v>
      </c>
      <c r="D17" s="896" t="s">
        <v>723</v>
      </c>
      <c r="E17" s="896" t="s">
        <v>724</v>
      </c>
      <c r="F17" s="896" t="s">
        <v>725</v>
      </c>
      <c r="G17" s="896" t="s">
        <v>726</v>
      </c>
      <c r="H17" s="896" t="s">
        <v>727</v>
      </c>
      <c r="I17" s="911" t="s">
        <v>3031</v>
      </c>
      <c r="J17" s="896" t="s">
        <v>729</v>
      </c>
      <c r="K17" s="896" t="s">
        <v>730</v>
      </c>
      <c r="L17" s="896" t="s">
        <v>731</v>
      </c>
      <c r="M17" s="896" t="s">
        <v>732</v>
      </c>
      <c r="N17" s="896" t="s">
        <v>733</v>
      </c>
      <c r="O17" s="896" t="s">
        <v>734</v>
      </c>
      <c r="P17" s="915" t="s">
        <v>2412</v>
      </c>
    </row>
    <row r="18" spans="2:16" ht="21.75">
      <c r="B18" s="897" t="s">
        <v>405</v>
      </c>
      <c r="C18" s="898">
        <v>0</v>
      </c>
      <c r="D18" s="898">
        <v>0</v>
      </c>
      <c r="E18" s="898">
        <v>0</v>
      </c>
      <c r="F18" s="898">
        <v>54.07</v>
      </c>
      <c r="G18" s="898">
        <v>207.91</v>
      </c>
      <c r="H18" s="898">
        <v>0</v>
      </c>
      <c r="I18" s="711">
        <f>+H18+G18+F18+E18+D18+C18</f>
        <v>261.98</v>
      </c>
      <c r="J18" s="898">
        <v>0</v>
      </c>
      <c r="K18" s="898">
        <v>0</v>
      </c>
      <c r="L18" s="898">
        <v>39.86</v>
      </c>
      <c r="M18" s="898">
        <v>88.55</v>
      </c>
      <c r="N18" s="898">
        <v>0</v>
      </c>
      <c r="O18" s="898">
        <v>95.5</v>
      </c>
      <c r="P18" s="916">
        <f>+J18+K18+L18+M18+I18+N18+O18</f>
        <v>485.89</v>
      </c>
    </row>
    <row r="19" spans="2:16" ht="21.75">
      <c r="B19" s="897" t="s">
        <v>3032</v>
      </c>
      <c r="C19" s="899">
        <v>0</v>
      </c>
      <c r="D19" s="899">
        <v>161.68</v>
      </c>
      <c r="E19" s="899">
        <v>63.6</v>
      </c>
      <c r="F19" s="899">
        <v>340.66</v>
      </c>
      <c r="G19" s="899">
        <v>947.39</v>
      </c>
      <c r="H19" s="899">
        <v>159.36000000000001</v>
      </c>
      <c r="I19" s="711">
        <f>+H19+G19+F19+E19+D19+C19</f>
        <v>1672.69</v>
      </c>
      <c r="J19" s="899">
        <v>249.11</v>
      </c>
      <c r="K19" s="899">
        <v>115.84</v>
      </c>
      <c r="L19" s="899">
        <v>613.22</v>
      </c>
      <c r="M19" s="899">
        <v>245.56</v>
      </c>
      <c r="N19" s="899">
        <v>123.61</v>
      </c>
      <c r="O19" s="899">
        <v>895.96</v>
      </c>
      <c r="P19" s="916">
        <f>+J19+K19+L19+M19+I19+N19+O19</f>
        <v>3915.9900000000002</v>
      </c>
    </row>
    <row r="20" spans="2:16" ht="21.75">
      <c r="B20" s="897" t="s">
        <v>3033</v>
      </c>
      <c r="C20" s="899">
        <v>0</v>
      </c>
      <c r="D20" s="899">
        <v>0</v>
      </c>
      <c r="E20" s="899">
        <v>0</v>
      </c>
      <c r="F20" s="899">
        <v>0</v>
      </c>
      <c r="G20" s="899">
        <v>0</v>
      </c>
      <c r="H20" s="899">
        <v>0</v>
      </c>
      <c r="I20" s="711">
        <f>+H20+G20+F20+E20+D20+C20</f>
        <v>0</v>
      </c>
      <c r="J20" s="899">
        <v>0</v>
      </c>
      <c r="K20" s="899">
        <v>0</v>
      </c>
      <c r="L20" s="899">
        <v>0</v>
      </c>
      <c r="M20" s="899">
        <v>0</v>
      </c>
      <c r="N20" s="899">
        <v>0</v>
      </c>
      <c r="O20" s="899">
        <v>0</v>
      </c>
      <c r="P20" s="977">
        <v>0</v>
      </c>
    </row>
    <row r="21" spans="2:16">
      <c r="B21" s="31"/>
      <c r="P21" s="63"/>
    </row>
    <row r="22" spans="2:16">
      <c r="B22" s="31"/>
      <c r="P22" s="63"/>
    </row>
    <row r="23" spans="2:16">
      <c r="B23" s="31"/>
      <c r="P23" s="63"/>
    </row>
    <row r="24" spans="2:16">
      <c r="B24" s="31"/>
      <c r="P24" s="63"/>
    </row>
    <row r="25" spans="2:16">
      <c r="B25" s="31"/>
      <c r="P25" s="63"/>
    </row>
    <row r="26" spans="2:16">
      <c r="B26" s="31"/>
      <c r="P26" s="63"/>
    </row>
    <row r="27" spans="2:16" ht="27">
      <c r="B27" s="3033" t="s">
        <v>3035</v>
      </c>
      <c r="C27" s="3034"/>
      <c r="D27" s="3034"/>
      <c r="E27" s="3034"/>
      <c r="F27" s="3034"/>
      <c r="G27" s="3034"/>
      <c r="H27" s="3034"/>
      <c r="I27" s="3034"/>
      <c r="J27" s="3034"/>
      <c r="K27" s="3034"/>
      <c r="L27" s="3034"/>
      <c r="M27" s="3034"/>
      <c r="N27" s="3034"/>
      <c r="O27" s="3034"/>
      <c r="P27" s="3035"/>
    </row>
    <row r="28" spans="2:16">
      <c r="B28" s="31"/>
      <c r="P28" s="63"/>
    </row>
    <row r="29" spans="2:16" ht="21.75">
      <c r="B29" s="894" t="s">
        <v>721</v>
      </c>
      <c r="C29" s="896" t="s">
        <v>722</v>
      </c>
      <c r="D29" s="896" t="s">
        <v>723</v>
      </c>
      <c r="E29" s="896" t="s">
        <v>724</v>
      </c>
      <c r="F29" s="896" t="s">
        <v>725</v>
      </c>
      <c r="G29" s="896" t="s">
        <v>726</v>
      </c>
      <c r="H29" s="896" t="s">
        <v>727</v>
      </c>
      <c r="I29" s="913" t="s">
        <v>3036</v>
      </c>
      <c r="J29" s="896" t="s">
        <v>729</v>
      </c>
      <c r="K29" s="896" t="s">
        <v>730</v>
      </c>
      <c r="L29" s="896" t="s">
        <v>731</v>
      </c>
      <c r="M29" s="896" t="s">
        <v>732</v>
      </c>
      <c r="N29" s="896" t="s">
        <v>733</v>
      </c>
      <c r="O29" s="896" t="s">
        <v>734</v>
      </c>
      <c r="P29" s="915" t="s">
        <v>2411</v>
      </c>
    </row>
    <row r="30" spans="2:16" ht="21.75">
      <c r="B30" s="897" t="s">
        <v>405</v>
      </c>
      <c r="C30" s="898">
        <v>0</v>
      </c>
      <c r="D30" s="898">
        <v>41.9</v>
      </c>
      <c r="E30" s="898">
        <v>0</v>
      </c>
      <c r="F30" s="898">
        <v>0</v>
      </c>
      <c r="G30" s="898">
        <v>0</v>
      </c>
      <c r="H30" s="898">
        <v>0</v>
      </c>
      <c r="I30" s="711">
        <f>+H30+G30+F30+E30+D30+C30</f>
        <v>41.9</v>
      </c>
      <c r="J30" s="898">
        <v>0</v>
      </c>
      <c r="K30" s="898">
        <v>130.66</v>
      </c>
      <c r="L30" s="898">
        <v>287.86</v>
      </c>
      <c r="M30" s="898">
        <v>38.69</v>
      </c>
      <c r="N30" s="898">
        <v>233.09</v>
      </c>
      <c r="O30" s="898">
        <v>472.3</v>
      </c>
      <c r="P30" s="916">
        <f>+J30+K30+L30+M30+I30+N30+O30</f>
        <v>1204.5</v>
      </c>
    </row>
    <row r="31" spans="2:16" ht="21.75">
      <c r="B31" s="897" t="s">
        <v>3032</v>
      </c>
      <c r="C31" s="899">
        <v>863.83</v>
      </c>
      <c r="D31" s="899">
        <v>1396</v>
      </c>
      <c r="E31" s="899">
        <v>665.65</v>
      </c>
      <c r="F31" s="899">
        <v>313.51</v>
      </c>
      <c r="G31" s="899">
        <v>706.8</v>
      </c>
      <c r="H31" s="899">
        <v>67.31</v>
      </c>
      <c r="I31" s="711">
        <f>+H31+G31+F31+E31+D31+C31</f>
        <v>4013.1</v>
      </c>
      <c r="J31" s="899">
        <v>316.33999999999997</v>
      </c>
      <c r="K31" s="899">
        <v>297.27</v>
      </c>
      <c r="L31" s="899">
        <v>547.57000000000005</v>
      </c>
      <c r="M31" s="899">
        <v>332.69</v>
      </c>
      <c r="N31" s="899">
        <v>0</v>
      </c>
      <c r="O31" s="899">
        <v>24.2</v>
      </c>
      <c r="P31" s="916">
        <f>+J31+K31+L31+M31+I31+N31+O31</f>
        <v>5531.1699999999992</v>
      </c>
    </row>
    <row r="32" spans="2:16" ht="21.75">
      <c r="B32" s="974" t="s">
        <v>3033</v>
      </c>
      <c r="C32" s="975">
        <v>0</v>
      </c>
      <c r="D32" s="975">
        <v>0</v>
      </c>
      <c r="E32" s="975">
        <v>0</v>
      </c>
      <c r="F32" s="975">
        <v>0</v>
      </c>
      <c r="G32" s="975">
        <v>0</v>
      </c>
      <c r="H32" s="975">
        <v>0</v>
      </c>
      <c r="I32" s="978">
        <f>+H32+G32+F32+E32+D32+C32</f>
        <v>0</v>
      </c>
      <c r="J32" s="975">
        <v>0</v>
      </c>
      <c r="K32" s="975">
        <v>0</v>
      </c>
      <c r="L32" s="975">
        <v>0</v>
      </c>
      <c r="M32" s="975">
        <v>0</v>
      </c>
      <c r="N32" s="975">
        <v>0</v>
      </c>
      <c r="O32" s="975">
        <v>0</v>
      </c>
      <c r="P32" s="979">
        <v>0</v>
      </c>
    </row>
    <row r="36" spans="2:17">
      <c r="B36" s="308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354"/>
    </row>
    <row r="37" spans="2:17">
      <c r="B37" s="31"/>
      <c r="Q37" s="63"/>
    </row>
    <row r="38" spans="2:17" ht="27">
      <c r="B38" s="3033" t="s">
        <v>3037</v>
      </c>
      <c r="C38" s="3034"/>
      <c r="D38" s="3034"/>
      <c r="E38" s="3034"/>
      <c r="F38" s="3034"/>
      <c r="G38" s="3034"/>
      <c r="H38" s="3034"/>
      <c r="I38" s="3034"/>
      <c r="J38" s="3034"/>
      <c r="K38" s="3034"/>
      <c r="L38" s="3034"/>
      <c r="M38" s="3034"/>
      <c r="N38" s="3034"/>
      <c r="O38" s="3034"/>
      <c r="P38" s="3034"/>
      <c r="Q38" s="63"/>
    </row>
    <row r="39" spans="2:17">
      <c r="B39" s="31"/>
      <c r="Q39" s="63"/>
    </row>
    <row r="40" spans="2:17" ht="21.75">
      <c r="B40" s="894" t="s">
        <v>721</v>
      </c>
      <c r="C40" s="896" t="s">
        <v>722</v>
      </c>
      <c r="D40" s="896" t="s">
        <v>723</v>
      </c>
      <c r="E40" s="896" t="s">
        <v>724</v>
      </c>
      <c r="F40" s="896" t="s">
        <v>725</v>
      </c>
      <c r="G40" s="896" t="s">
        <v>726</v>
      </c>
      <c r="H40" s="896" t="s">
        <v>727</v>
      </c>
      <c r="I40" s="911" t="s">
        <v>3031</v>
      </c>
      <c r="J40" s="896" t="s">
        <v>729</v>
      </c>
      <c r="K40" s="896" t="s">
        <v>730</v>
      </c>
      <c r="L40" s="896" t="s">
        <v>731</v>
      </c>
      <c r="M40" s="896" t="s">
        <v>732</v>
      </c>
      <c r="N40" s="896" t="s">
        <v>733</v>
      </c>
      <c r="O40" s="896" t="s">
        <v>734</v>
      </c>
      <c r="P40" s="915" t="s">
        <v>808</v>
      </c>
      <c r="Q40" s="63"/>
    </row>
    <row r="41" spans="2:17" ht="21.75">
      <c r="B41" s="897" t="s">
        <v>405</v>
      </c>
      <c r="C41" s="898">
        <v>370</v>
      </c>
      <c r="D41" s="711">
        <v>732</v>
      </c>
      <c r="E41" s="711">
        <v>0</v>
      </c>
      <c r="F41" s="711">
        <v>0</v>
      </c>
      <c r="G41" s="711">
        <v>1038</v>
      </c>
      <c r="H41" s="711">
        <v>576</v>
      </c>
      <c r="I41" s="711">
        <f>+H41+G41+F41+E41+D41+C41</f>
        <v>2716</v>
      </c>
      <c r="J41" s="711">
        <v>1770</v>
      </c>
      <c r="K41" s="711">
        <v>834</v>
      </c>
      <c r="L41" s="711">
        <v>1956</v>
      </c>
      <c r="M41" s="711">
        <v>1374</v>
      </c>
      <c r="N41" s="711">
        <v>0</v>
      </c>
      <c r="O41" s="711">
        <v>1122</v>
      </c>
      <c r="P41" s="916">
        <f>+J41+K41+L41+M41+I41+N41+O41</f>
        <v>9772</v>
      </c>
      <c r="Q41" s="63"/>
    </row>
    <row r="42" spans="2:17" ht="21.75">
      <c r="B42" s="897" t="s">
        <v>3032</v>
      </c>
      <c r="C42" s="899">
        <v>2101.6</v>
      </c>
      <c r="D42" s="899">
        <v>0</v>
      </c>
      <c r="E42" s="900">
        <v>0</v>
      </c>
      <c r="F42" s="899">
        <v>1121.8</v>
      </c>
      <c r="G42" s="899">
        <v>89.7</v>
      </c>
      <c r="H42" s="899">
        <v>972.7</v>
      </c>
      <c r="I42" s="711">
        <f>+H42+G42+F42+E42+D42+C42</f>
        <v>4285.7999999999993</v>
      </c>
      <c r="J42" s="900">
        <f>639</f>
        <v>639</v>
      </c>
      <c r="K42" s="900">
        <f>639</f>
        <v>639</v>
      </c>
      <c r="L42" s="900">
        <v>639</v>
      </c>
      <c r="M42" s="899">
        <v>4927</v>
      </c>
      <c r="N42" s="899">
        <v>767</v>
      </c>
      <c r="O42" s="899">
        <v>0</v>
      </c>
      <c r="P42" s="916">
        <f>+J42+K42+L42+M42+I42+N42+O42</f>
        <v>11896.8</v>
      </c>
      <c r="Q42" s="63"/>
    </row>
    <row r="43" spans="2:17" ht="21.75">
      <c r="B43" s="897" t="s">
        <v>3033</v>
      </c>
      <c r="C43" s="899">
        <v>0</v>
      </c>
      <c r="D43" s="899">
        <v>0</v>
      </c>
      <c r="E43" s="900">
        <v>0</v>
      </c>
      <c r="F43" s="899">
        <v>0</v>
      </c>
      <c r="G43" s="900">
        <v>0</v>
      </c>
      <c r="H43" s="899">
        <v>0</v>
      </c>
      <c r="I43" s="711">
        <f>+H43+G43+F43+E43+D43+C43</f>
        <v>0</v>
      </c>
      <c r="J43" s="899">
        <v>0</v>
      </c>
      <c r="K43" s="899">
        <v>0</v>
      </c>
      <c r="L43" s="899">
        <v>0</v>
      </c>
      <c r="M43" s="899">
        <v>0</v>
      </c>
      <c r="N43" s="899">
        <v>0</v>
      </c>
      <c r="O43" s="899">
        <v>0</v>
      </c>
      <c r="P43" s="916">
        <f>+J43+K43+L43+M43+I43+N43+O43</f>
        <v>0</v>
      </c>
      <c r="Q43" s="63"/>
    </row>
    <row r="44" spans="2:17">
      <c r="B44" s="31"/>
      <c r="Q44" s="63"/>
    </row>
    <row r="45" spans="2:17">
      <c r="B45" s="31"/>
      <c r="Q45" s="63"/>
    </row>
    <row r="46" spans="2:17" ht="27">
      <c r="B46" s="3033" t="s">
        <v>3038</v>
      </c>
      <c r="C46" s="3034"/>
      <c r="D46" s="3034"/>
      <c r="E46" s="3034"/>
      <c r="F46" s="3034"/>
      <c r="G46" s="3034"/>
      <c r="H46" s="3034"/>
      <c r="I46" s="3034"/>
      <c r="J46" s="3034"/>
      <c r="K46" s="3034"/>
      <c r="L46" s="3034"/>
      <c r="M46" s="3034"/>
      <c r="N46" s="3034"/>
      <c r="O46" s="3034"/>
      <c r="P46" s="3034"/>
      <c r="Q46" s="63"/>
    </row>
    <row r="47" spans="2:17">
      <c r="B47" s="31"/>
      <c r="Q47" s="63"/>
    </row>
    <row r="48" spans="2:17" ht="21.75">
      <c r="B48" s="894" t="s">
        <v>721</v>
      </c>
      <c r="C48" s="896" t="s">
        <v>722</v>
      </c>
      <c r="D48" s="896" t="s">
        <v>723</v>
      </c>
      <c r="E48" s="896" t="s">
        <v>724</v>
      </c>
      <c r="F48" s="896" t="s">
        <v>725</v>
      </c>
      <c r="G48" s="896" t="s">
        <v>726</v>
      </c>
      <c r="H48" s="896" t="s">
        <v>727</v>
      </c>
      <c r="I48" s="911" t="s">
        <v>3031</v>
      </c>
      <c r="J48" s="896" t="s">
        <v>729</v>
      </c>
      <c r="K48" s="896" t="s">
        <v>730</v>
      </c>
      <c r="L48" s="896" t="s">
        <v>731</v>
      </c>
      <c r="M48" s="896" t="s">
        <v>732</v>
      </c>
      <c r="N48" s="896" t="s">
        <v>733</v>
      </c>
      <c r="O48" s="896" t="s">
        <v>734</v>
      </c>
      <c r="P48" s="915" t="s">
        <v>2351</v>
      </c>
      <c r="Q48" s="63"/>
    </row>
    <row r="49" spans="2:17" ht="21.75">
      <c r="B49" s="897" t="s">
        <v>405</v>
      </c>
      <c r="C49" s="898">
        <v>0</v>
      </c>
      <c r="D49" s="898">
        <v>0</v>
      </c>
      <c r="E49" s="898">
        <v>0</v>
      </c>
      <c r="F49" s="898">
        <v>0</v>
      </c>
      <c r="G49" s="898">
        <v>4.05</v>
      </c>
      <c r="H49" s="898">
        <v>554</v>
      </c>
      <c r="I49" s="711">
        <f>+H49+G49+F49+E49+D49+C49</f>
        <v>558.04999999999995</v>
      </c>
      <c r="J49" s="898">
        <v>0</v>
      </c>
      <c r="K49" s="898">
        <v>334.64</v>
      </c>
      <c r="L49" s="898">
        <v>346.99</v>
      </c>
      <c r="M49" s="898">
        <v>567.35</v>
      </c>
      <c r="N49" s="898">
        <v>0</v>
      </c>
      <c r="O49" s="898">
        <v>35</v>
      </c>
      <c r="P49" s="916">
        <f>+J49+K49+L49+M49+I49+N49+O49</f>
        <v>1842.03</v>
      </c>
      <c r="Q49" s="63"/>
    </row>
    <row r="50" spans="2:17" ht="21.75">
      <c r="B50" s="897" t="s">
        <v>3032</v>
      </c>
      <c r="C50" s="898">
        <v>1263</v>
      </c>
      <c r="D50" s="898">
        <v>321.91000000000003</v>
      </c>
      <c r="E50" s="898">
        <v>487.71</v>
      </c>
      <c r="F50" s="898">
        <v>1068.04</v>
      </c>
      <c r="G50" s="898">
        <v>1220.4100000000001</v>
      </c>
      <c r="H50" s="898">
        <v>0</v>
      </c>
      <c r="I50" s="711">
        <f>+H50+G50+F50+E50+D50+C50</f>
        <v>4361.07</v>
      </c>
      <c r="J50" s="898">
        <v>1094.53</v>
      </c>
      <c r="K50" s="898">
        <v>170.91</v>
      </c>
      <c r="L50" s="898">
        <v>486.74</v>
      </c>
      <c r="M50" s="898">
        <v>737</v>
      </c>
      <c r="N50" s="898">
        <v>470.1</v>
      </c>
      <c r="O50" s="898">
        <v>988.77</v>
      </c>
      <c r="P50" s="916">
        <f>+J50+K50+L50+M50+I50+N50+O50</f>
        <v>8309.1200000000008</v>
      </c>
      <c r="Q50" s="63"/>
    </row>
    <row r="51" spans="2:17" ht="21.75">
      <c r="B51" s="897" t="s">
        <v>3033</v>
      </c>
      <c r="C51" s="898"/>
      <c r="D51" s="898"/>
      <c r="E51" s="898"/>
      <c r="F51" s="898"/>
      <c r="G51" s="898"/>
      <c r="H51" s="898"/>
      <c r="I51" s="711">
        <f>+H51+G51+F51+E51+D51+C51</f>
        <v>0</v>
      </c>
      <c r="J51" s="898"/>
      <c r="K51" s="898"/>
      <c r="L51" s="898"/>
      <c r="M51" s="898"/>
      <c r="N51" s="898"/>
      <c r="O51" s="898"/>
      <c r="P51" s="916"/>
      <c r="Q51" s="63"/>
    </row>
    <row r="52" spans="2:17" ht="21.75">
      <c r="B52" s="901" t="s">
        <v>3039</v>
      </c>
      <c r="C52" s="898">
        <v>363.8</v>
      </c>
      <c r="D52" s="898">
        <v>1415.82</v>
      </c>
      <c r="E52" s="898">
        <v>507.46</v>
      </c>
      <c r="F52" s="898">
        <v>26.27</v>
      </c>
      <c r="G52" s="898">
        <v>385.91899999999998</v>
      </c>
      <c r="H52" s="898">
        <v>490.57</v>
      </c>
      <c r="I52" s="711">
        <f>+H52+G52+F52+E52+D52+C52</f>
        <v>3189.8389999999999</v>
      </c>
      <c r="J52" s="898">
        <v>321.64</v>
      </c>
      <c r="K52" s="898">
        <v>794.67</v>
      </c>
      <c r="L52" s="898">
        <v>766.67</v>
      </c>
      <c r="M52" s="898">
        <v>998.65</v>
      </c>
      <c r="N52" s="898">
        <v>954.54</v>
      </c>
      <c r="O52" s="898">
        <v>859.45</v>
      </c>
      <c r="P52" s="916">
        <f>+J52+K52+L52+M52+I52+N52+O52</f>
        <v>7885.4589999999998</v>
      </c>
      <c r="Q52" s="63"/>
    </row>
    <row r="53" spans="2:17">
      <c r="B53" s="31"/>
      <c r="Q53" s="63"/>
    </row>
    <row r="54" spans="2:17">
      <c r="B54" s="31"/>
      <c r="Q54" s="63"/>
    </row>
    <row r="55" spans="2:17">
      <c r="B55" s="31"/>
      <c r="Q55" s="63"/>
    </row>
    <row r="56" spans="2:17">
      <c r="B56" s="31"/>
      <c r="Q56" s="63"/>
    </row>
    <row r="57" spans="2:17">
      <c r="B57" s="31"/>
      <c r="Q57" s="63"/>
    </row>
    <row r="58" spans="2:17">
      <c r="B58" s="31"/>
      <c r="Q58" s="63"/>
    </row>
    <row r="59" spans="2:17" ht="27">
      <c r="B59" s="3036" t="s">
        <v>3040</v>
      </c>
      <c r="C59" s="3037"/>
      <c r="D59" s="3037"/>
      <c r="E59" s="3037"/>
      <c r="F59" s="3037"/>
      <c r="G59" s="3037"/>
      <c r="H59" s="3037"/>
      <c r="I59" s="3037"/>
      <c r="J59" s="3037"/>
      <c r="K59" s="3037"/>
      <c r="L59" s="3037"/>
      <c r="M59" s="3037"/>
      <c r="N59" s="3037"/>
      <c r="O59" s="3037"/>
      <c r="P59" s="3037"/>
      <c r="Q59" s="63"/>
    </row>
    <row r="60" spans="2:17" ht="21.75">
      <c r="B60" s="894" t="s">
        <v>721</v>
      </c>
      <c r="C60" s="896" t="s">
        <v>722</v>
      </c>
      <c r="D60" s="896" t="s">
        <v>723</v>
      </c>
      <c r="E60" s="896" t="s">
        <v>724</v>
      </c>
      <c r="F60" s="896" t="s">
        <v>725</v>
      </c>
      <c r="G60" s="896" t="s">
        <v>726</v>
      </c>
      <c r="H60" s="896" t="s">
        <v>727</v>
      </c>
      <c r="I60" s="911" t="s">
        <v>3031</v>
      </c>
      <c r="J60" s="896" t="s">
        <v>729</v>
      </c>
      <c r="K60" s="896" t="s">
        <v>730</v>
      </c>
      <c r="L60" s="896" t="s">
        <v>731</v>
      </c>
      <c r="M60" s="896" t="s">
        <v>732</v>
      </c>
      <c r="N60" s="896" t="s">
        <v>733</v>
      </c>
      <c r="O60" s="896" t="s">
        <v>734</v>
      </c>
      <c r="P60" s="915" t="s">
        <v>809</v>
      </c>
      <c r="Q60" s="63"/>
    </row>
    <row r="61" spans="2:17" ht="21.75">
      <c r="B61" s="897" t="s">
        <v>405</v>
      </c>
      <c r="C61" s="907">
        <v>684</v>
      </c>
      <c r="D61" s="908">
        <v>2748</v>
      </c>
      <c r="E61" s="908">
        <v>450</v>
      </c>
      <c r="F61" s="908">
        <v>120</v>
      </c>
      <c r="G61" s="908">
        <v>102</v>
      </c>
      <c r="H61" s="908">
        <v>1380</v>
      </c>
      <c r="I61" s="711">
        <f>+H61+G61+F61+E61+D61+C61</f>
        <v>5484</v>
      </c>
      <c r="J61" s="908">
        <v>0</v>
      </c>
      <c r="K61" s="908">
        <v>0</v>
      </c>
      <c r="L61" s="908">
        <v>954</v>
      </c>
      <c r="M61" s="908">
        <v>615.6</v>
      </c>
      <c r="N61" s="908">
        <v>0</v>
      </c>
      <c r="O61" s="908">
        <v>1130</v>
      </c>
      <c r="P61" s="916">
        <f>+J61+K61+L61+M61+I61+N61+O61</f>
        <v>8183.6</v>
      </c>
      <c r="Q61" s="63"/>
    </row>
    <row r="62" spans="2:17" ht="21.75">
      <c r="B62" s="897" t="s">
        <v>3032</v>
      </c>
      <c r="C62" s="909">
        <v>959</v>
      </c>
      <c r="D62" s="909">
        <v>0</v>
      </c>
      <c r="E62" s="909">
        <v>1661</v>
      </c>
      <c r="F62" s="909">
        <v>0</v>
      </c>
      <c r="G62" s="909">
        <v>1022</v>
      </c>
      <c r="H62" s="909">
        <v>0</v>
      </c>
      <c r="I62" s="711">
        <f>+H62+G62+F62+E62+D62+C62</f>
        <v>3642</v>
      </c>
      <c r="J62" s="909">
        <v>0</v>
      </c>
      <c r="K62" s="909">
        <v>1037</v>
      </c>
      <c r="L62" s="909"/>
      <c r="M62" s="909">
        <v>2178</v>
      </c>
      <c r="N62" s="908">
        <v>0</v>
      </c>
      <c r="O62" s="909">
        <v>3103</v>
      </c>
      <c r="P62" s="916">
        <f>+J62+K62+L62+M62+I62+N62+O62</f>
        <v>9960</v>
      </c>
      <c r="Q62" s="63"/>
    </row>
    <row r="63" spans="2:17" ht="21.75">
      <c r="B63" s="897" t="s">
        <v>3033</v>
      </c>
      <c r="C63" s="899">
        <v>0</v>
      </c>
      <c r="D63" s="899">
        <v>0</v>
      </c>
      <c r="E63" s="899">
        <v>0</v>
      </c>
      <c r="F63" s="899">
        <v>0</v>
      </c>
      <c r="G63" s="899">
        <v>0</v>
      </c>
      <c r="H63" s="899">
        <v>0</v>
      </c>
      <c r="I63" s="711">
        <f>+H63+G63+F63+E63+D63+C63</f>
        <v>0</v>
      </c>
      <c r="J63" s="899">
        <v>0</v>
      </c>
      <c r="K63" s="899">
        <v>0</v>
      </c>
      <c r="L63" s="899">
        <v>0</v>
      </c>
      <c r="M63" s="899">
        <v>0</v>
      </c>
      <c r="N63" s="899">
        <v>0</v>
      </c>
      <c r="O63" s="899">
        <v>0</v>
      </c>
      <c r="P63" s="916">
        <f>+J63+K63+L63+M63+I63+N63+O63</f>
        <v>0</v>
      </c>
      <c r="Q63" s="63"/>
    </row>
    <row r="64" spans="2:17">
      <c r="B64" s="31"/>
      <c r="Q64" s="63"/>
    </row>
    <row r="65" spans="2:17">
      <c r="B65" s="31"/>
      <c r="Q65" s="63"/>
    </row>
    <row r="66" spans="2:17">
      <c r="B66" s="31"/>
      <c r="Q66" s="63"/>
    </row>
    <row r="67" spans="2:17">
      <c r="B67" s="31"/>
      <c r="Q67" s="63"/>
    </row>
    <row r="68" spans="2:17" ht="27">
      <c r="B68" s="3033" t="s">
        <v>3041</v>
      </c>
      <c r="C68" s="3034"/>
      <c r="D68" s="3034"/>
      <c r="E68" s="3034"/>
      <c r="F68" s="3034"/>
      <c r="G68" s="3034"/>
      <c r="H68" s="3034"/>
      <c r="I68" s="3034"/>
      <c r="J68" s="3034"/>
      <c r="K68" s="3034"/>
      <c r="L68" s="3034"/>
      <c r="M68" s="3034"/>
      <c r="N68" s="3034"/>
      <c r="O68" s="3034"/>
      <c r="P68" s="3034"/>
      <c r="Q68" s="63"/>
    </row>
    <row r="69" spans="2:17">
      <c r="B69" s="31"/>
      <c r="Q69" s="63"/>
    </row>
    <row r="70" spans="2:17" ht="21.75">
      <c r="B70" s="894" t="s">
        <v>721</v>
      </c>
      <c r="C70" s="896" t="s">
        <v>722</v>
      </c>
      <c r="D70" s="896" t="s">
        <v>723</v>
      </c>
      <c r="E70" s="896" t="s">
        <v>724</v>
      </c>
      <c r="F70" s="896" t="s">
        <v>725</v>
      </c>
      <c r="G70" s="896" t="s">
        <v>726</v>
      </c>
      <c r="H70" s="896" t="s">
        <v>727</v>
      </c>
      <c r="I70" s="911" t="s">
        <v>3031</v>
      </c>
      <c r="J70" s="896" t="s">
        <v>729</v>
      </c>
      <c r="K70" s="896" t="s">
        <v>730</v>
      </c>
      <c r="L70" s="896" t="s">
        <v>731</v>
      </c>
      <c r="M70" s="896" t="s">
        <v>732</v>
      </c>
      <c r="N70" s="896" t="s">
        <v>733</v>
      </c>
      <c r="O70" s="896" t="s">
        <v>734</v>
      </c>
      <c r="P70" s="915" t="s">
        <v>2412</v>
      </c>
      <c r="Q70" s="63"/>
    </row>
    <row r="71" spans="2:17" ht="21.75">
      <c r="B71" s="901" t="s">
        <v>3042</v>
      </c>
      <c r="C71" s="898">
        <v>3.75</v>
      </c>
      <c r="D71" s="898">
        <v>0</v>
      </c>
      <c r="E71" s="898">
        <v>1.88</v>
      </c>
      <c r="F71" s="898">
        <v>0</v>
      </c>
      <c r="G71" s="898">
        <v>0</v>
      </c>
      <c r="H71" s="898">
        <v>0</v>
      </c>
      <c r="I71" s="711">
        <f>+H71+G71+F71+E71+D71+C71</f>
        <v>5.63</v>
      </c>
      <c r="J71" s="898">
        <v>0</v>
      </c>
      <c r="K71" s="898">
        <v>0</v>
      </c>
      <c r="L71" s="898">
        <v>208.69</v>
      </c>
      <c r="M71" s="898">
        <v>2.8</v>
      </c>
      <c r="N71" s="898">
        <v>0</v>
      </c>
      <c r="O71" s="898">
        <v>3.57</v>
      </c>
      <c r="P71" s="916">
        <f>+J71+K71+L71+M71+I71+N71+O71</f>
        <v>220.69</v>
      </c>
      <c r="Q71" s="63"/>
    </row>
    <row r="72" spans="2:17" ht="21.75">
      <c r="B72" s="901" t="s">
        <v>3043</v>
      </c>
      <c r="C72" s="898">
        <v>0</v>
      </c>
      <c r="D72" s="898">
        <v>203.66</v>
      </c>
      <c r="E72" s="898">
        <v>0</v>
      </c>
      <c r="F72" s="898">
        <v>300.58999999999997</v>
      </c>
      <c r="G72" s="898">
        <v>531.22</v>
      </c>
      <c r="H72" s="898">
        <v>329.95</v>
      </c>
      <c r="I72" s="711">
        <f>+H72+G72+F72+E72+D72+C72</f>
        <v>1365.42</v>
      </c>
      <c r="J72" s="898">
        <v>336.95</v>
      </c>
      <c r="K72" s="898">
        <v>0</v>
      </c>
      <c r="L72" s="898">
        <v>203.48</v>
      </c>
      <c r="M72" s="898">
        <v>414.65</v>
      </c>
      <c r="N72" s="898">
        <v>86.74</v>
      </c>
      <c r="O72" s="898">
        <v>900.97</v>
      </c>
      <c r="P72" s="916">
        <f>+J72+K72+L72+M72+I72+N72+O72</f>
        <v>3308.21</v>
      </c>
      <c r="Q72" s="63"/>
    </row>
    <row r="73" spans="2:17" ht="21.75">
      <c r="B73" s="901"/>
      <c r="C73" s="898"/>
      <c r="D73" s="898"/>
      <c r="E73" s="898"/>
      <c r="F73" s="898"/>
      <c r="G73" s="898"/>
      <c r="H73" s="898"/>
      <c r="I73" s="711">
        <f>+H73+G73+F73+E73+D73+C73</f>
        <v>0</v>
      </c>
      <c r="J73" s="898"/>
      <c r="K73" s="898"/>
      <c r="L73" s="898"/>
      <c r="M73" s="898"/>
      <c r="N73" s="898"/>
      <c r="O73" s="898"/>
      <c r="P73" s="916"/>
      <c r="Q73" s="63"/>
    </row>
    <row r="74" spans="2:17" ht="21.75">
      <c r="B74" s="901" t="s">
        <v>3039</v>
      </c>
      <c r="C74" s="898">
        <v>396.23</v>
      </c>
      <c r="D74" s="898">
        <v>707.38</v>
      </c>
      <c r="E74" s="898">
        <v>678.7</v>
      </c>
      <c r="F74" s="898">
        <v>1167.74</v>
      </c>
      <c r="G74" s="898">
        <v>158.75</v>
      </c>
      <c r="H74" s="898">
        <v>1384.41</v>
      </c>
      <c r="I74" s="711">
        <f>+H74+G74+F74+E74+D74+C74</f>
        <v>4493.2100000000009</v>
      </c>
      <c r="J74" s="898">
        <v>855.51</v>
      </c>
      <c r="K74" s="898">
        <v>676.84</v>
      </c>
      <c r="L74" s="898">
        <v>628.56600000000003</v>
      </c>
      <c r="M74" s="898">
        <v>506.67</v>
      </c>
      <c r="N74" s="898">
        <v>611.87</v>
      </c>
      <c r="O74" s="898">
        <v>953.06899999999996</v>
      </c>
      <c r="P74" s="916">
        <f>+J74+K74+L74+M74+I74+N74+O74</f>
        <v>8725.7350000000006</v>
      </c>
      <c r="Q74" s="63"/>
    </row>
    <row r="75" spans="2:17">
      <c r="B75" s="31"/>
      <c r="Q75" s="63"/>
    </row>
    <row r="76" spans="2:17">
      <c r="B76" s="31"/>
      <c r="Q76" s="63"/>
    </row>
    <row r="77" spans="2:17" ht="27">
      <c r="B77" s="3033" t="s">
        <v>3044</v>
      </c>
      <c r="C77" s="3034"/>
      <c r="D77" s="3034"/>
      <c r="E77" s="3034"/>
      <c r="F77" s="3034"/>
      <c r="G77" s="3034"/>
      <c r="H77" s="3034"/>
      <c r="I77" s="3034"/>
      <c r="J77" s="3034"/>
      <c r="K77" s="3034"/>
      <c r="L77" s="3034"/>
      <c r="M77" s="3034"/>
      <c r="N77" s="3034"/>
      <c r="O77" s="3034"/>
      <c r="P77" s="3034"/>
      <c r="Q77" s="3035"/>
    </row>
    <row r="78" spans="2:17">
      <c r="B78" s="31"/>
      <c r="Q78" s="63"/>
    </row>
    <row r="79" spans="2:17">
      <c r="B79" s="31"/>
      <c r="Q79" s="63"/>
    </row>
    <row r="80" spans="2:17" ht="21.75">
      <c r="B80" s="894" t="s">
        <v>721</v>
      </c>
      <c r="C80" s="896" t="s">
        <v>722</v>
      </c>
      <c r="D80" s="896" t="s">
        <v>723</v>
      </c>
      <c r="E80" s="896" t="s">
        <v>724</v>
      </c>
      <c r="F80" s="896" t="s">
        <v>725</v>
      </c>
      <c r="G80" s="896" t="s">
        <v>726</v>
      </c>
      <c r="H80" s="896" t="s">
        <v>727</v>
      </c>
      <c r="I80" s="913" t="s">
        <v>3031</v>
      </c>
      <c r="J80" s="896" t="s">
        <v>729</v>
      </c>
      <c r="K80" s="896" t="s">
        <v>730</v>
      </c>
      <c r="L80" s="896" t="s">
        <v>731</v>
      </c>
      <c r="M80" s="896" t="s">
        <v>732</v>
      </c>
      <c r="N80" s="896" t="s">
        <v>733</v>
      </c>
      <c r="O80" s="896" t="s">
        <v>734</v>
      </c>
      <c r="P80" s="915" t="s">
        <v>2411</v>
      </c>
      <c r="Q80" s="63"/>
    </row>
    <row r="81" spans="1:256" ht="21.75">
      <c r="B81" s="897" t="s">
        <v>405</v>
      </c>
      <c r="C81" s="898">
        <v>1340</v>
      </c>
      <c r="D81" s="711">
        <v>0</v>
      </c>
      <c r="E81" s="711">
        <v>1053</v>
      </c>
      <c r="F81" s="711">
        <v>1002</v>
      </c>
      <c r="G81" s="711">
        <v>0</v>
      </c>
      <c r="H81" s="711">
        <v>966</v>
      </c>
      <c r="I81" s="711">
        <f>+H81+G81+F81+E81+D81+C81</f>
        <v>4361</v>
      </c>
      <c r="J81" s="711">
        <v>0</v>
      </c>
      <c r="K81" s="711">
        <v>2368</v>
      </c>
      <c r="L81" s="711">
        <v>0</v>
      </c>
      <c r="M81" s="711">
        <v>1338</v>
      </c>
      <c r="N81" s="711">
        <v>280</v>
      </c>
      <c r="O81" s="711">
        <v>916</v>
      </c>
      <c r="P81" s="916">
        <f>+J81+K81+L81+M81+I81+N81+O81</f>
        <v>9263</v>
      </c>
      <c r="Q81" s="63"/>
    </row>
    <row r="82" spans="1:256" ht="21.75">
      <c r="B82" s="897" t="s">
        <v>3032</v>
      </c>
      <c r="C82" s="899">
        <v>1980</v>
      </c>
      <c r="D82" s="711">
        <v>2883</v>
      </c>
      <c r="E82" s="711">
        <v>1789</v>
      </c>
      <c r="F82" s="711">
        <v>923</v>
      </c>
      <c r="G82" s="711">
        <v>1200</v>
      </c>
      <c r="H82" s="711">
        <v>433.1</v>
      </c>
      <c r="I82" s="711">
        <f>+H82+G82+F82+E82+D82+C82</f>
        <v>9208.1</v>
      </c>
      <c r="J82" s="711">
        <v>142</v>
      </c>
      <c r="K82" s="711">
        <v>2272</v>
      </c>
      <c r="L82" s="711">
        <v>759</v>
      </c>
      <c r="M82" s="711">
        <v>170</v>
      </c>
      <c r="N82" s="711">
        <v>653</v>
      </c>
      <c r="O82" s="711">
        <v>3387</v>
      </c>
      <c r="P82" s="916">
        <f>+J82+K82+L82+M82+I82+N82+O82</f>
        <v>16591.099999999999</v>
      </c>
      <c r="Q82" s="63"/>
    </row>
    <row r="83" spans="1:256" ht="21.75">
      <c r="B83" s="974" t="s">
        <v>3033</v>
      </c>
      <c r="C83" s="975"/>
      <c r="D83" s="978">
        <v>103</v>
      </c>
      <c r="E83" s="975">
        <v>0</v>
      </c>
      <c r="F83" s="975">
        <v>0</v>
      </c>
      <c r="G83" s="978">
        <v>237.6</v>
      </c>
      <c r="H83" s="975">
        <v>0</v>
      </c>
      <c r="I83" s="978">
        <f>+H83+G83+F83+E83+D83+C83</f>
        <v>340.6</v>
      </c>
      <c r="J83" s="975">
        <v>0</v>
      </c>
      <c r="K83" s="975">
        <v>0</v>
      </c>
      <c r="L83" s="975">
        <v>0</v>
      </c>
      <c r="M83" s="975">
        <v>0</v>
      </c>
      <c r="N83" s="975">
        <v>0</v>
      </c>
      <c r="O83" s="975">
        <v>0</v>
      </c>
      <c r="P83" s="916">
        <f>+J83+K83+L83+M83+I83+N83+O83</f>
        <v>340.6</v>
      </c>
      <c r="Q83" s="9"/>
    </row>
    <row r="84" spans="1:256" ht="21.75">
      <c r="B84" s="980"/>
      <c r="C84" s="981"/>
      <c r="D84" s="917"/>
      <c r="E84" s="981"/>
      <c r="F84" s="981"/>
      <c r="G84" s="917"/>
      <c r="H84" s="981"/>
      <c r="I84" s="917"/>
      <c r="J84" s="981"/>
      <c r="K84" s="981"/>
      <c r="L84" s="981"/>
      <c r="M84" s="981"/>
      <c r="N84" s="981"/>
      <c r="O84" s="981"/>
      <c r="P84" s="917"/>
    </row>
    <row r="85" spans="1:256" ht="27">
      <c r="A85" s="3033" t="s">
        <v>3045</v>
      </c>
      <c r="B85" s="3034"/>
      <c r="C85" s="3034"/>
      <c r="D85" s="3034"/>
      <c r="E85" s="3034"/>
      <c r="F85" s="3034"/>
      <c r="G85" s="3034"/>
      <c r="H85" s="3034"/>
      <c r="I85" s="3034"/>
      <c r="J85" s="3034"/>
      <c r="K85" s="3034"/>
      <c r="L85" s="3034"/>
      <c r="M85" s="3034"/>
      <c r="N85" s="3034"/>
      <c r="O85" s="3034"/>
      <c r="P85" s="3035"/>
      <c r="Q85" s="3033" t="s">
        <v>3044</v>
      </c>
      <c r="R85" s="3034"/>
      <c r="S85" s="3034"/>
      <c r="T85" s="3034"/>
      <c r="U85" s="3034"/>
      <c r="V85" s="3034"/>
      <c r="W85" s="3034"/>
      <c r="X85" s="3034"/>
      <c r="Y85" s="3034"/>
      <c r="Z85" s="3034"/>
      <c r="AA85" s="3034"/>
      <c r="AB85" s="3034"/>
      <c r="AC85" s="3034"/>
      <c r="AD85" s="3034"/>
      <c r="AE85" s="3034"/>
      <c r="AF85" s="3035"/>
      <c r="AG85" s="3033" t="s">
        <v>3044</v>
      </c>
      <c r="AH85" s="3034"/>
      <c r="AI85" s="3034"/>
      <c r="AJ85" s="3034"/>
      <c r="AK85" s="3034"/>
      <c r="AL85" s="3034"/>
      <c r="AM85" s="3034"/>
      <c r="AN85" s="3034"/>
      <c r="AO85" s="3034"/>
      <c r="AP85" s="3034"/>
      <c r="AQ85" s="3034"/>
      <c r="AR85" s="3034"/>
      <c r="AS85" s="3034"/>
      <c r="AT85" s="3034"/>
      <c r="AU85" s="3034"/>
      <c r="AV85" s="3035"/>
      <c r="AW85" s="3033" t="s">
        <v>3044</v>
      </c>
      <c r="AX85" s="3034"/>
      <c r="AY85" s="3034"/>
      <c r="AZ85" s="3034"/>
      <c r="BA85" s="3034"/>
      <c r="BB85" s="3034"/>
      <c r="BC85" s="3034"/>
      <c r="BD85" s="3034"/>
      <c r="BE85" s="3034"/>
      <c r="BF85" s="3034"/>
      <c r="BG85" s="3034"/>
      <c r="BH85" s="3034"/>
      <c r="BI85" s="3034"/>
      <c r="BJ85" s="3034"/>
      <c r="BK85" s="3034"/>
      <c r="BL85" s="3035"/>
      <c r="BM85" s="3033" t="s">
        <v>3044</v>
      </c>
      <c r="BN85" s="3034"/>
      <c r="BO85" s="3034"/>
      <c r="BP85" s="3034"/>
      <c r="BQ85" s="3034"/>
      <c r="BR85" s="3034"/>
      <c r="BS85" s="3034"/>
      <c r="BT85" s="3034"/>
      <c r="BU85" s="3034"/>
      <c r="BV85" s="3034"/>
      <c r="BW85" s="3034"/>
      <c r="BX85" s="3034"/>
      <c r="BY85" s="3034"/>
      <c r="BZ85" s="3034"/>
      <c r="CA85" s="3034"/>
      <c r="CB85" s="3035"/>
      <c r="CC85" s="3033" t="s">
        <v>3044</v>
      </c>
      <c r="CD85" s="3034"/>
      <c r="CE85" s="3034"/>
      <c r="CF85" s="3034"/>
      <c r="CG85" s="3034"/>
      <c r="CH85" s="3034"/>
      <c r="CI85" s="3034"/>
      <c r="CJ85" s="3034"/>
      <c r="CK85" s="3034"/>
      <c r="CL85" s="3034"/>
      <c r="CM85" s="3034"/>
      <c r="CN85" s="3034"/>
      <c r="CO85" s="3034"/>
      <c r="CP85" s="3034"/>
      <c r="CQ85" s="3034"/>
      <c r="CR85" s="3035"/>
      <c r="CS85" s="3033" t="s">
        <v>3044</v>
      </c>
      <c r="CT85" s="3034"/>
      <c r="CU85" s="3034"/>
      <c r="CV85" s="3034"/>
      <c r="CW85" s="3034"/>
      <c r="CX85" s="3034"/>
      <c r="CY85" s="3034"/>
      <c r="CZ85" s="3034"/>
      <c r="DA85" s="3034"/>
      <c r="DB85" s="3034"/>
      <c r="DC85" s="3034"/>
      <c r="DD85" s="3034"/>
      <c r="DE85" s="3034"/>
      <c r="DF85" s="3034"/>
      <c r="DG85" s="3034"/>
      <c r="DH85" s="3035"/>
      <c r="DI85" s="3033" t="s">
        <v>3044</v>
      </c>
      <c r="DJ85" s="3034"/>
      <c r="DK85" s="3034"/>
      <c r="DL85" s="3034"/>
      <c r="DM85" s="3034"/>
      <c r="DN85" s="3034"/>
      <c r="DO85" s="3034"/>
      <c r="DP85" s="3034"/>
      <c r="DQ85" s="3034"/>
      <c r="DR85" s="3034"/>
      <c r="DS85" s="3034"/>
      <c r="DT85" s="3034"/>
      <c r="DU85" s="3034"/>
      <c r="DV85" s="3034"/>
      <c r="DW85" s="3034"/>
      <c r="DX85" s="3035"/>
      <c r="DY85" s="3033" t="s">
        <v>3044</v>
      </c>
      <c r="DZ85" s="3034"/>
      <c r="EA85" s="3034"/>
      <c r="EB85" s="3034"/>
      <c r="EC85" s="3034"/>
      <c r="ED85" s="3034"/>
      <c r="EE85" s="3034"/>
      <c r="EF85" s="3034"/>
      <c r="EG85" s="3034"/>
      <c r="EH85" s="3034"/>
      <c r="EI85" s="3034"/>
      <c r="EJ85" s="3034"/>
      <c r="EK85" s="3034"/>
      <c r="EL85" s="3034"/>
      <c r="EM85" s="3034"/>
      <c r="EN85" s="3035"/>
      <c r="EO85" s="3033" t="s">
        <v>3044</v>
      </c>
      <c r="EP85" s="3034"/>
      <c r="EQ85" s="3034"/>
      <c r="ER85" s="3034"/>
      <c r="ES85" s="3034"/>
      <c r="ET85" s="3034"/>
      <c r="EU85" s="3034"/>
      <c r="EV85" s="3034"/>
      <c r="EW85" s="3034"/>
      <c r="EX85" s="3034"/>
      <c r="EY85" s="3034"/>
      <c r="EZ85" s="3034"/>
      <c r="FA85" s="3034"/>
      <c r="FB85" s="3034"/>
      <c r="FC85" s="3034"/>
      <c r="FD85" s="3035"/>
      <c r="FE85" s="3033" t="s">
        <v>3044</v>
      </c>
      <c r="FF85" s="3034"/>
      <c r="FG85" s="3034"/>
      <c r="FH85" s="3034"/>
      <c r="FI85" s="3034"/>
      <c r="FJ85" s="3034"/>
      <c r="FK85" s="3034"/>
      <c r="FL85" s="3034"/>
      <c r="FM85" s="3034"/>
      <c r="FN85" s="3034"/>
      <c r="FO85" s="3034"/>
      <c r="FP85" s="3034"/>
      <c r="FQ85" s="3034"/>
      <c r="FR85" s="3034"/>
      <c r="FS85" s="3034"/>
      <c r="FT85" s="3035"/>
      <c r="FU85" s="3033" t="s">
        <v>3044</v>
      </c>
      <c r="FV85" s="3034"/>
      <c r="FW85" s="3034"/>
      <c r="FX85" s="3034"/>
      <c r="FY85" s="3034"/>
      <c r="FZ85" s="3034"/>
      <c r="GA85" s="3034"/>
      <c r="GB85" s="3034"/>
      <c r="GC85" s="3034"/>
      <c r="GD85" s="3034"/>
      <c r="GE85" s="3034"/>
      <c r="GF85" s="3034"/>
      <c r="GG85" s="3034"/>
      <c r="GH85" s="3034"/>
      <c r="GI85" s="3034"/>
      <c r="GJ85" s="3035"/>
      <c r="GK85" s="3033" t="s">
        <v>3044</v>
      </c>
      <c r="GL85" s="3034"/>
      <c r="GM85" s="3034"/>
      <c r="GN85" s="3034"/>
      <c r="GO85" s="3034"/>
      <c r="GP85" s="3034"/>
      <c r="GQ85" s="3034"/>
      <c r="GR85" s="3034"/>
      <c r="GS85" s="3034"/>
      <c r="GT85" s="3034"/>
      <c r="GU85" s="3034"/>
      <c r="GV85" s="3034"/>
      <c r="GW85" s="3034"/>
      <c r="GX85" s="3034"/>
      <c r="GY85" s="3034"/>
      <c r="GZ85" s="3035"/>
      <c r="HA85" s="3033" t="s">
        <v>3044</v>
      </c>
      <c r="HB85" s="3034"/>
      <c r="HC85" s="3034"/>
      <c r="HD85" s="3034"/>
      <c r="HE85" s="3034"/>
      <c r="HF85" s="3034"/>
      <c r="HG85" s="3034"/>
      <c r="HH85" s="3034"/>
      <c r="HI85" s="3034"/>
      <c r="HJ85" s="3034"/>
      <c r="HK85" s="3034"/>
      <c r="HL85" s="3034"/>
      <c r="HM85" s="3034"/>
      <c r="HN85" s="3034"/>
      <c r="HO85" s="3034"/>
      <c r="HP85" s="3035"/>
      <c r="HQ85" s="3033" t="s">
        <v>3044</v>
      </c>
      <c r="HR85" s="3034"/>
      <c r="HS85" s="3034"/>
      <c r="HT85" s="3034"/>
      <c r="HU85" s="3034"/>
      <c r="HV85" s="3034"/>
      <c r="HW85" s="3034"/>
      <c r="HX85" s="3034"/>
      <c r="HY85" s="3034"/>
      <c r="HZ85" s="3034"/>
      <c r="IA85" s="3034"/>
      <c r="IB85" s="3034"/>
      <c r="IC85" s="3034"/>
      <c r="ID85" s="3034"/>
      <c r="IE85" s="3034"/>
      <c r="IF85" s="3035"/>
      <c r="IG85" s="3033" t="s">
        <v>3044</v>
      </c>
      <c r="IH85" s="3034"/>
      <c r="II85" s="3034"/>
      <c r="IJ85" s="3034"/>
      <c r="IK85" s="3034"/>
      <c r="IL85" s="3034"/>
      <c r="IM85" s="3034"/>
      <c r="IN85" s="3034"/>
      <c r="IO85" s="3034"/>
      <c r="IP85" s="3034"/>
      <c r="IQ85" s="3034"/>
      <c r="IR85" s="3034"/>
      <c r="IS85" s="3034"/>
      <c r="IT85" s="3034"/>
      <c r="IU85" s="3034"/>
      <c r="IV85" s="3035"/>
    </row>
    <row r="88" spans="1:256" ht="21.75">
      <c r="B88" s="894" t="s">
        <v>721</v>
      </c>
      <c r="C88" s="896" t="s">
        <v>722</v>
      </c>
      <c r="D88" s="896" t="s">
        <v>723</v>
      </c>
      <c r="E88" s="896" t="s">
        <v>724</v>
      </c>
      <c r="F88" s="896" t="s">
        <v>725</v>
      </c>
      <c r="G88" s="896" t="s">
        <v>726</v>
      </c>
      <c r="H88" s="896" t="s">
        <v>727</v>
      </c>
      <c r="I88" s="913" t="s">
        <v>3031</v>
      </c>
      <c r="J88" s="896" t="s">
        <v>729</v>
      </c>
      <c r="K88" s="896" t="s">
        <v>730</v>
      </c>
      <c r="L88" s="896" t="s">
        <v>731</v>
      </c>
      <c r="M88" s="896" t="s">
        <v>732</v>
      </c>
      <c r="N88" s="896" t="s">
        <v>733</v>
      </c>
      <c r="O88" s="896" t="s">
        <v>734</v>
      </c>
      <c r="P88" s="915" t="s">
        <v>2411</v>
      </c>
    </row>
    <row r="89" spans="1:256" ht="21.75">
      <c r="B89" s="897" t="s">
        <v>405</v>
      </c>
      <c r="C89" s="898">
        <v>0</v>
      </c>
      <c r="D89" s="711">
        <v>0</v>
      </c>
      <c r="E89" s="711">
        <v>286.10000000000002</v>
      </c>
      <c r="F89" s="711"/>
      <c r="G89" s="711"/>
      <c r="H89" s="711"/>
      <c r="I89" s="711">
        <f>+H89+G89+F89+E89+D89+C89</f>
        <v>286.10000000000002</v>
      </c>
      <c r="J89" s="711">
        <v>155.27000000000001</v>
      </c>
      <c r="K89" s="711">
        <v>282.73</v>
      </c>
      <c r="L89" s="711"/>
      <c r="M89" s="711">
        <v>483.48</v>
      </c>
      <c r="N89" s="711">
        <v>316.05</v>
      </c>
      <c r="O89" s="711"/>
      <c r="P89" s="916">
        <f>+J89+K89+L89+M89+I89+N89+O89</f>
        <v>1523.6299999999999</v>
      </c>
    </row>
    <row r="90" spans="1:256" ht="21.75">
      <c r="B90" s="897" t="s">
        <v>3032</v>
      </c>
      <c r="C90" s="899"/>
      <c r="D90" s="711">
        <v>872.91</v>
      </c>
      <c r="E90" s="711">
        <v>1267</v>
      </c>
      <c r="F90" s="711">
        <v>812</v>
      </c>
      <c r="G90" s="711">
        <v>20.309999999999999</v>
      </c>
      <c r="H90" s="711">
        <v>291.48</v>
      </c>
      <c r="I90" s="711">
        <f>+H90+G90+F90+E90+D90+C90</f>
        <v>3263.7</v>
      </c>
      <c r="J90" s="711">
        <v>177.63</v>
      </c>
      <c r="K90" s="711">
        <v>250.74</v>
      </c>
      <c r="L90" s="711">
        <v>548.69000000000005</v>
      </c>
      <c r="M90" s="711">
        <v>6.88</v>
      </c>
      <c r="N90" s="711">
        <v>3.7</v>
      </c>
      <c r="O90" s="711">
        <v>288.62</v>
      </c>
      <c r="P90" s="916">
        <f>+J90+K90+L90+M90+I90+N90+O90</f>
        <v>4539.9599999999991</v>
      </c>
    </row>
    <row r="91" spans="1:256" ht="21.75">
      <c r="B91" s="974" t="s">
        <v>3033</v>
      </c>
      <c r="C91" s="975"/>
      <c r="D91" s="978"/>
      <c r="E91" s="975"/>
      <c r="F91" s="975"/>
      <c r="G91" s="978"/>
      <c r="H91" s="975"/>
      <c r="I91" s="711">
        <f>+H91+G91+F91+E91+D91+C91</f>
        <v>0</v>
      </c>
      <c r="J91" s="975"/>
      <c r="K91" s="975"/>
      <c r="L91" s="975"/>
      <c r="M91" s="975"/>
      <c r="N91" s="975"/>
      <c r="O91" s="975"/>
      <c r="P91" s="916">
        <f>+J91+K91+L91+M91+I91+N91+O91</f>
        <v>0</v>
      </c>
    </row>
    <row r="94" spans="1:256" ht="27">
      <c r="A94" s="3033" t="s">
        <v>3046</v>
      </c>
      <c r="B94" s="3034"/>
      <c r="C94" s="3034"/>
      <c r="D94" s="3034"/>
      <c r="E94" s="3034"/>
      <c r="F94" s="3034"/>
      <c r="G94" s="3034"/>
      <c r="H94" s="3034"/>
      <c r="I94" s="3034"/>
      <c r="J94" s="3034"/>
      <c r="K94" s="3034"/>
      <c r="L94" s="3034"/>
      <c r="M94" s="3034"/>
      <c r="N94" s="3034"/>
      <c r="O94" s="3034"/>
      <c r="P94" s="3035"/>
    </row>
    <row r="97" spans="2:17" ht="21.75">
      <c r="B97" s="894" t="s">
        <v>721</v>
      </c>
      <c r="C97" s="896" t="s">
        <v>722</v>
      </c>
      <c r="D97" s="896" t="s">
        <v>723</v>
      </c>
      <c r="E97" s="896" t="s">
        <v>724</v>
      </c>
      <c r="F97" s="896" t="s">
        <v>725</v>
      </c>
      <c r="G97" s="896" t="s">
        <v>726</v>
      </c>
      <c r="H97" s="896" t="s">
        <v>727</v>
      </c>
      <c r="I97" s="913" t="s">
        <v>3031</v>
      </c>
      <c r="J97" s="896" t="s">
        <v>729</v>
      </c>
      <c r="K97" s="896" t="s">
        <v>730</v>
      </c>
      <c r="L97" s="896" t="s">
        <v>731</v>
      </c>
      <c r="M97" s="896" t="s">
        <v>732</v>
      </c>
      <c r="N97" s="896" t="s">
        <v>733</v>
      </c>
      <c r="O97" s="896" t="s">
        <v>734</v>
      </c>
      <c r="P97" s="915" t="s">
        <v>2411</v>
      </c>
    </row>
    <row r="98" spans="2:17" ht="21.75">
      <c r="B98" s="897" t="s">
        <v>405</v>
      </c>
      <c r="C98" s="898">
        <v>0</v>
      </c>
      <c r="D98" s="711">
        <v>41.9</v>
      </c>
      <c r="E98" s="711"/>
      <c r="F98" s="711"/>
      <c r="G98" s="711"/>
      <c r="H98" s="711"/>
      <c r="I98" s="711">
        <f>+H98+G98+F98+E98+D98+C98</f>
        <v>41.9</v>
      </c>
      <c r="J98" s="711"/>
      <c r="K98" s="711">
        <v>130.66</v>
      </c>
      <c r="L98" s="711">
        <v>287.86</v>
      </c>
      <c r="M98" s="711">
        <v>38.69</v>
      </c>
      <c r="N98" s="711">
        <v>233.09</v>
      </c>
      <c r="O98" s="711">
        <f>496.5-24.2</f>
        <v>472.3</v>
      </c>
      <c r="P98" s="916">
        <f>+J98+K98+L98+M98+I98+N98+O98</f>
        <v>1204.5</v>
      </c>
    </row>
    <row r="99" spans="2:17" ht="21.75">
      <c r="B99" s="897" t="s">
        <v>3032</v>
      </c>
      <c r="C99" s="899">
        <v>863.83</v>
      </c>
      <c r="D99" s="711">
        <f>1466.93-29.03-41.9</f>
        <v>1396</v>
      </c>
      <c r="E99" s="711">
        <v>665.65</v>
      </c>
      <c r="F99" s="711">
        <v>313.51</v>
      </c>
      <c r="G99" s="711">
        <v>706.8</v>
      </c>
      <c r="H99" s="711">
        <v>67.31</v>
      </c>
      <c r="I99" s="711">
        <f>+H99+G99+F99+E99+D99+C99</f>
        <v>4013.1</v>
      </c>
      <c r="J99" s="711">
        <v>316.33999999999997</v>
      </c>
      <c r="K99" s="711">
        <f>427.93-130.66</f>
        <v>297.27</v>
      </c>
      <c r="L99" s="711">
        <f>835.4-287.86</f>
        <v>547.54</v>
      </c>
      <c r="M99" s="711">
        <f>371.38-M98</f>
        <v>332.69</v>
      </c>
      <c r="N99" s="711"/>
      <c r="O99" s="711">
        <v>24.2</v>
      </c>
      <c r="P99" s="916">
        <f>+J99+K99+L99+M99+I99+N99+O99</f>
        <v>5531.1399999999994</v>
      </c>
    </row>
    <row r="100" spans="2:17" ht="21.75">
      <c r="B100" s="974" t="s">
        <v>3033</v>
      </c>
      <c r="C100" s="975"/>
      <c r="D100" s="978">
        <v>29.03</v>
      </c>
      <c r="E100" s="975"/>
      <c r="F100" s="975"/>
      <c r="G100" s="978"/>
      <c r="H100" s="975"/>
      <c r="I100" s="711">
        <f>+H100+G100+F100+E100+D100+C100</f>
        <v>29.03</v>
      </c>
      <c r="J100" s="975"/>
      <c r="K100" s="975"/>
      <c r="L100" s="975"/>
      <c r="M100" s="975"/>
      <c r="N100" s="975"/>
      <c r="O100" s="975"/>
      <c r="P100" s="916">
        <f>+J100+K100+L100+M100+I100+N100+O100</f>
        <v>29.03</v>
      </c>
    </row>
    <row r="105" spans="2:17" ht="27">
      <c r="B105" s="3033" t="s">
        <v>3047</v>
      </c>
      <c r="C105" s="3034"/>
      <c r="D105" s="3034"/>
      <c r="E105" s="3034"/>
      <c r="F105" s="3034"/>
      <c r="G105" s="3034"/>
      <c r="H105" s="3034"/>
      <c r="I105" s="3034"/>
      <c r="J105" s="3034"/>
      <c r="K105" s="3034"/>
      <c r="L105" s="3034"/>
      <c r="M105" s="3034"/>
      <c r="N105" s="3034"/>
      <c r="O105" s="3034"/>
      <c r="P105" s="3034"/>
      <c r="Q105" s="3035"/>
    </row>
    <row r="106" spans="2:17">
      <c r="B106" s="31"/>
      <c r="Q106" s="63"/>
    </row>
    <row r="107" spans="2:17">
      <c r="B107" s="31"/>
      <c r="Q107" s="63"/>
    </row>
    <row r="108" spans="2:17" ht="21.75">
      <c r="B108" s="894" t="s">
        <v>721</v>
      </c>
      <c r="C108" s="896" t="s">
        <v>722</v>
      </c>
      <c r="D108" s="896" t="s">
        <v>723</v>
      </c>
      <c r="E108" s="896" t="s">
        <v>724</v>
      </c>
      <c r="F108" s="896" t="s">
        <v>725</v>
      </c>
      <c r="G108" s="896" t="s">
        <v>726</v>
      </c>
      <c r="H108" s="896" t="s">
        <v>727</v>
      </c>
      <c r="I108" s="913" t="s">
        <v>3031</v>
      </c>
      <c r="J108" s="896" t="s">
        <v>729</v>
      </c>
      <c r="K108" s="896" t="s">
        <v>730</v>
      </c>
      <c r="L108" s="896" t="s">
        <v>731</v>
      </c>
      <c r="M108" s="896" t="s">
        <v>732</v>
      </c>
      <c r="N108" s="896" t="s">
        <v>733</v>
      </c>
      <c r="O108" s="896" t="s">
        <v>734</v>
      </c>
      <c r="P108" s="915" t="s">
        <v>2411</v>
      </c>
      <c r="Q108" s="63"/>
    </row>
    <row r="109" spans="2:17" ht="21.75">
      <c r="B109" s="897" t="s">
        <v>405</v>
      </c>
      <c r="C109" s="899">
        <v>0</v>
      </c>
      <c r="D109" s="899">
        <v>0</v>
      </c>
      <c r="E109" s="899">
        <v>0</v>
      </c>
      <c r="F109" s="899">
        <v>1066</v>
      </c>
      <c r="G109" s="899">
        <v>1024</v>
      </c>
      <c r="H109" s="899">
        <v>1800</v>
      </c>
      <c r="I109" s="899">
        <f>+H109+G109+F109+E109+D109+C109</f>
        <v>3890</v>
      </c>
      <c r="J109" s="899">
        <v>1076</v>
      </c>
      <c r="K109" s="899">
        <v>0</v>
      </c>
      <c r="L109" s="899">
        <v>1560</v>
      </c>
      <c r="M109" s="899">
        <v>1550</v>
      </c>
      <c r="N109" s="899">
        <v>0</v>
      </c>
      <c r="O109" s="899">
        <f>K86</f>
        <v>0</v>
      </c>
      <c r="P109" s="916">
        <f>+J109+K109+L109+M109+I109+N109+O109</f>
        <v>8076</v>
      </c>
      <c r="Q109" s="63"/>
    </row>
    <row r="110" spans="2:17" ht="21.75">
      <c r="B110" s="897" t="s">
        <v>3032</v>
      </c>
      <c r="C110" s="899">
        <v>2741</v>
      </c>
      <c r="D110" s="711">
        <v>2307.5</v>
      </c>
      <c r="E110" s="711">
        <v>1022.4</v>
      </c>
      <c r="F110" s="711">
        <v>0</v>
      </c>
      <c r="G110" s="711">
        <v>902</v>
      </c>
      <c r="H110" s="711">
        <v>2300.4</v>
      </c>
      <c r="I110" s="711">
        <f>+H110+G110+F110+E110+D110+C110</f>
        <v>9273.2999999999993</v>
      </c>
      <c r="J110" s="899">
        <v>2314.65</v>
      </c>
      <c r="K110" s="899">
        <v>2641.2</v>
      </c>
      <c r="L110" s="899">
        <v>3187.8999999999996</v>
      </c>
      <c r="M110" s="899">
        <v>1980.5</v>
      </c>
      <c r="N110" s="899">
        <v>1150.2</v>
      </c>
      <c r="O110" s="899">
        <v>1214</v>
      </c>
      <c r="P110" s="916">
        <f>+J110+K110+L110+M110+I110+N110+O110</f>
        <v>21761.75</v>
      </c>
      <c r="Q110" s="63"/>
    </row>
    <row r="111" spans="2:17" ht="21.75">
      <c r="B111" s="974" t="s">
        <v>3033</v>
      </c>
      <c r="C111" s="975"/>
      <c r="D111" s="978">
        <v>0</v>
      </c>
      <c r="E111" s="975">
        <v>0</v>
      </c>
      <c r="F111" s="975">
        <v>0</v>
      </c>
      <c r="G111" s="978">
        <v>0</v>
      </c>
      <c r="H111" s="975">
        <v>0</v>
      </c>
      <c r="I111" s="978">
        <f>+H111+G111+F111+E111+D111+C111</f>
        <v>0</v>
      </c>
      <c r="J111" s="975">
        <v>0</v>
      </c>
      <c r="K111" s="975">
        <v>0</v>
      </c>
      <c r="L111" s="975">
        <v>0</v>
      </c>
      <c r="M111" s="975">
        <v>0</v>
      </c>
      <c r="N111" s="975">
        <v>0</v>
      </c>
      <c r="O111" s="975">
        <v>0</v>
      </c>
      <c r="P111" s="916">
        <f>+J111+K111+L111+M111+I111+N111+O111</f>
        <v>0</v>
      </c>
      <c r="Q111" s="9"/>
    </row>
    <row r="112" spans="2:17" ht="21.75">
      <c r="B112" s="980"/>
      <c r="C112" s="981"/>
      <c r="D112" s="917"/>
      <c r="E112" s="981"/>
      <c r="F112" s="981"/>
      <c r="G112" s="917"/>
      <c r="H112" s="981"/>
      <c r="I112" s="917"/>
      <c r="J112" s="981"/>
      <c r="K112" s="981"/>
      <c r="L112" s="981"/>
      <c r="M112" s="981"/>
      <c r="N112" s="981"/>
      <c r="O112" s="981"/>
      <c r="P112" s="917"/>
    </row>
    <row r="113" spans="1:32" ht="27">
      <c r="A113" s="3033" t="s">
        <v>3048</v>
      </c>
      <c r="B113" s="3034"/>
      <c r="C113" s="3034"/>
      <c r="D113" s="3034"/>
      <c r="E113" s="3034"/>
      <c r="F113" s="3034"/>
      <c r="G113" s="3034"/>
      <c r="H113" s="3034"/>
      <c r="I113" s="3034"/>
      <c r="J113" s="3034"/>
      <c r="K113" s="3034"/>
      <c r="L113" s="3034"/>
      <c r="M113" s="3034"/>
      <c r="N113" s="3034"/>
      <c r="O113" s="3034"/>
      <c r="P113" s="3035"/>
      <c r="Q113" s="3033" t="s">
        <v>3044</v>
      </c>
      <c r="R113" s="3034"/>
      <c r="S113" s="3034"/>
      <c r="T113" s="3034"/>
      <c r="U113" s="3034"/>
      <c r="V113" s="3034"/>
      <c r="W113" s="3034"/>
      <c r="X113" s="3034"/>
      <c r="Y113" s="3034"/>
      <c r="Z113" s="3034"/>
      <c r="AA113" s="3034"/>
      <c r="AB113" s="3034"/>
      <c r="AC113" s="3034"/>
      <c r="AD113" s="3034"/>
      <c r="AE113" s="3034"/>
      <c r="AF113" s="3035"/>
    </row>
    <row r="116" spans="1:32" ht="21.75">
      <c r="B116" s="894" t="s">
        <v>721</v>
      </c>
      <c r="C116" s="896" t="s">
        <v>722</v>
      </c>
      <c r="D116" s="896" t="s">
        <v>723</v>
      </c>
      <c r="E116" s="896" t="s">
        <v>724</v>
      </c>
      <c r="F116" s="896" t="s">
        <v>725</v>
      </c>
      <c r="G116" s="896" t="s">
        <v>726</v>
      </c>
      <c r="H116" s="896" t="s">
        <v>727</v>
      </c>
      <c r="I116" s="913" t="s">
        <v>3031</v>
      </c>
      <c r="J116" s="896" t="s">
        <v>729</v>
      </c>
      <c r="K116" s="896" t="s">
        <v>730</v>
      </c>
      <c r="L116" s="896" t="s">
        <v>731</v>
      </c>
      <c r="M116" s="896" t="s">
        <v>732</v>
      </c>
      <c r="N116" s="896" t="s">
        <v>733</v>
      </c>
      <c r="O116" s="896" t="s">
        <v>734</v>
      </c>
      <c r="P116" s="915" t="s">
        <v>2411</v>
      </c>
    </row>
    <row r="117" spans="1:32" ht="21.75">
      <c r="B117" s="897" t="s">
        <v>405</v>
      </c>
      <c r="C117" s="898">
        <v>0</v>
      </c>
      <c r="D117" s="711">
        <v>3.83</v>
      </c>
      <c r="E117" s="711">
        <v>0</v>
      </c>
      <c r="F117" s="711">
        <v>601.82000000000005</v>
      </c>
      <c r="G117" s="711">
        <v>514.23</v>
      </c>
      <c r="H117" s="711">
        <v>773.15</v>
      </c>
      <c r="I117" s="711">
        <f>+H117+G117+F117+E117+D117+C117</f>
        <v>1893.0300000000002</v>
      </c>
      <c r="J117" s="711">
        <v>0</v>
      </c>
      <c r="K117" s="711">
        <v>10.64</v>
      </c>
      <c r="L117" s="711">
        <v>10.77</v>
      </c>
      <c r="M117" s="711">
        <v>3.55</v>
      </c>
      <c r="N117" s="711">
        <v>0</v>
      </c>
      <c r="O117" s="711"/>
      <c r="P117" s="916">
        <f>+J117+K117+L117+M117+I117+N117+O117</f>
        <v>1917.9900000000002</v>
      </c>
    </row>
    <row r="118" spans="1:32" ht="21.75">
      <c r="B118" s="897" t="s">
        <v>3032</v>
      </c>
      <c r="C118" s="899">
        <v>738.52</v>
      </c>
      <c r="D118" s="711">
        <v>734.67</v>
      </c>
      <c r="E118" s="711">
        <v>288.64</v>
      </c>
      <c r="F118" s="711">
        <v>9.58</v>
      </c>
      <c r="G118" s="711">
        <v>411.84</v>
      </c>
      <c r="H118" s="711">
        <v>0</v>
      </c>
      <c r="I118" s="711">
        <f>+H118+G118+F118+E118+D118+C118</f>
        <v>2183.25</v>
      </c>
      <c r="J118" s="711">
        <v>1608</v>
      </c>
      <c r="K118" s="711">
        <v>0</v>
      </c>
      <c r="L118" s="711">
        <v>557.32000000000005</v>
      </c>
      <c r="M118" s="711">
        <v>45.72</v>
      </c>
      <c r="N118" s="711">
        <v>0</v>
      </c>
      <c r="O118" s="711">
        <v>329.13</v>
      </c>
      <c r="P118" s="916">
        <f>+J118+K118+L118+M118+I118+N118+O118</f>
        <v>4723.42</v>
      </c>
    </row>
    <row r="119" spans="1:32" ht="21.75">
      <c r="B119" s="974" t="s">
        <v>3033</v>
      </c>
      <c r="C119" s="975"/>
      <c r="D119" s="978"/>
      <c r="E119" s="975"/>
      <c r="F119" s="975"/>
      <c r="G119" s="978"/>
      <c r="H119" s="975"/>
      <c r="I119" s="711">
        <f>+H119+G119+F119+E119+D119+C119</f>
        <v>0</v>
      </c>
      <c r="J119" s="975"/>
      <c r="K119" s="975"/>
      <c r="L119" s="975"/>
      <c r="M119" s="975"/>
      <c r="N119" s="975"/>
      <c r="O119" s="975"/>
      <c r="P119" s="916">
        <f>+J119+K119+L119+M119+I119+N119+O119</f>
        <v>0</v>
      </c>
    </row>
    <row r="122" spans="1:32" ht="27">
      <c r="A122" s="3033" t="s">
        <v>3049</v>
      </c>
      <c r="B122" s="3034"/>
      <c r="C122" s="3034"/>
      <c r="D122" s="3034"/>
      <c r="E122" s="3034"/>
      <c r="F122" s="3034"/>
      <c r="G122" s="3034"/>
      <c r="H122" s="3034"/>
      <c r="I122" s="3034"/>
      <c r="J122" s="3034"/>
      <c r="K122" s="3034"/>
      <c r="L122" s="3034"/>
      <c r="M122" s="3034"/>
      <c r="N122" s="3034"/>
      <c r="O122" s="3034"/>
      <c r="P122" s="3035"/>
    </row>
    <row r="125" spans="1:32" ht="21.75">
      <c r="B125" s="894" t="s">
        <v>721</v>
      </c>
      <c r="C125" s="896" t="s">
        <v>722</v>
      </c>
      <c r="D125" s="896" t="s">
        <v>723</v>
      </c>
      <c r="E125" s="896" t="s">
        <v>724</v>
      </c>
      <c r="F125" s="896" t="s">
        <v>725</v>
      </c>
      <c r="G125" s="896" t="s">
        <v>726</v>
      </c>
      <c r="H125" s="896" t="s">
        <v>727</v>
      </c>
      <c r="I125" s="913" t="s">
        <v>3031</v>
      </c>
      <c r="J125" s="896" t="s">
        <v>729</v>
      </c>
      <c r="K125" s="896" t="s">
        <v>730</v>
      </c>
      <c r="L125" s="896" t="s">
        <v>731</v>
      </c>
      <c r="M125" s="896" t="s">
        <v>732</v>
      </c>
      <c r="N125" s="896" t="s">
        <v>733</v>
      </c>
      <c r="O125" s="896" t="s">
        <v>734</v>
      </c>
      <c r="P125" s="915" t="s">
        <v>2411</v>
      </c>
    </row>
    <row r="126" spans="1:32" ht="21.75">
      <c r="B126" s="897" t="s">
        <v>405</v>
      </c>
      <c r="C126" s="898">
        <v>65.319999999999993</v>
      </c>
      <c r="D126" s="898">
        <v>0</v>
      </c>
      <c r="E126" s="711"/>
      <c r="F126" s="711">
        <v>598.5</v>
      </c>
      <c r="G126" s="711">
        <v>438.96</v>
      </c>
      <c r="H126" s="711">
        <v>661.06</v>
      </c>
      <c r="I126" s="711">
        <f>+H126+G126+F126+E126+D126+C126</f>
        <v>1763.84</v>
      </c>
      <c r="J126" s="898">
        <v>213.94</v>
      </c>
      <c r="K126" s="898">
        <v>0</v>
      </c>
      <c r="L126" s="898">
        <v>0</v>
      </c>
      <c r="M126" s="898">
        <v>0</v>
      </c>
      <c r="N126" s="898">
        <v>0</v>
      </c>
      <c r="O126" s="898">
        <v>0</v>
      </c>
      <c r="P126" s="916">
        <f>+J126+K126+L126+M126+I126+N126+O126</f>
        <v>1977.78</v>
      </c>
    </row>
    <row r="127" spans="1:32" ht="21.75">
      <c r="B127" s="897" t="s">
        <v>3032</v>
      </c>
      <c r="C127" s="898">
        <f>982.49-65.32</f>
        <v>917.17000000000007</v>
      </c>
      <c r="D127" s="898">
        <v>511.15</v>
      </c>
      <c r="E127" s="898">
        <v>287.98</v>
      </c>
      <c r="F127" s="898">
        <f>1020.07-598.5</f>
        <v>421.57000000000005</v>
      </c>
      <c r="G127" s="898">
        <f>859.32-438.96</f>
        <v>420.36000000000007</v>
      </c>
      <c r="H127" s="898">
        <f>684.42-661.06</f>
        <v>23.360000000000014</v>
      </c>
      <c r="I127" s="711">
        <f>+H127+G127+F127+E127+D127+C127</f>
        <v>2581.59</v>
      </c>
      <c r="J127" s="898">
        <f>1101.59-213.94</f>
        <v>887.64999999999986</v>
      </c>
      <c r="K127" s="898">
        <v>525.66999999999996</v>
      </c>
      <c r="L127" s="898">
        <v>480.27</v>
      </c>
      <c r="M127" s="898">
        <v>146.83000000000001</v>
      </c>
      <c r="N127" s="898">
        <v>48.37</v>
      </c>
      <c r="O127" s="898">
        <v>309.35000000000002</v>
      </c>
      <c r="P127" s="916">
        <f>+J127+K127+L127+M127+I127+N127+O127</f>
        <v>4979.7300000000005</v>
      </c>
    </row>
    <row r="128" spans="1:32" ht="21.75">
      <c r="B128" s="974" t="s">
        <v>3033</v>
      </c>
      <c r="C128" s="898">
        <v>0</v>
      </c>
      <c r="D128" s="898">
        <v>0</v>
      </c>
      <c r="E128" s="898">
        <v>0</v>
      </c>
      <c r="F128" s="898">
        <v>0</v>
      </c>
      <c r="G128" s="898">
        <v>0</v>
      </c>
      <c r="H128" s="898">
        <v>0</v>
      </c>
      <c r="I128" s="711">
        <f>+H128+G128+F128+E128+D128+C128</f>
        <v>0</v>
      </c>
      <c r="J128" s="898">
        <v>0</v>
      </c>
      <c r="K128" s="898">
        <v>0</v>
      </c>
      <c r="L128" s="898">
        <v>0</v>
      </c>
      <c r="M128" s="898">
        <v>0</v>
      </c>
      <c r="N128" s="898">
        <v>0</v>
      </c>
      <c r="O128" s="898">
        <v>0</v>
      </c>
      <c r="P128" s="916">
        <f>+J128+K128+L128+M128+I128+N128+O128</f>
        <v>0</v>
      </c>
    </row>
    <row r="130" spans="1:17" ht="12" customHeight="1"/>
    <row r="131" spans="1:17" ht="12" customHeight="1"/>
    <row r="132" spans="1:17" ht="12" customHeight="1"/>
    <row r="133" spans="1:17" ht="30.75" customHeight="1">
      <c r="A133" s="3033" t="s">
        <v>3050</v>
      </c>
      <c r="B133" s="3034"/>
      <c r="C133" s="3034"/>
      <c r="D133" s="3034"/>
      <c r="E133" s="3034"/>
      <c r="F133" s="3034"/>
      <c r="G133" s="3034"/>
      <c r="H133" s="3034"/>
      <c r="I133" s="3034"/>
      <c r="J133" s="3034"/>
      <c r="K133" s="3034"/>
      <c r="L133" s="3034"/>
      <c r="M133" s="3034"/>
      <c r="N133" s="3034"/>
      <c r="O133" s="3034"/>
      <c r="P133" s="3035"/>
    </row>
    <row r="134" spans="1:17" ht="12" customHeight="1"/>
    <row r="135" spans="1:17" ht="12" customHeight="1"/>
    <row r="136" spans="1:17" ht="12" customHeight="1"/>
    <row r="137" spans="1:17" ht="22.5" customHeight="1">
      <c r="B137" s="894" t="s">
        <v>721</v>
      </c>
      <c r="C137" s="896" t="s">
        <v>722</v>
      </c>
      <c r="D137" s="896" t="s">
        <v>723</v>
      </c>
      <c r="E137" s="896" t="s">
        <v>724</v>
      </c>
      <c r="F137" s="896" t="s">
        <v>725</v>
      </c>
      <c r="G137" s="896" t="s">
        <v>726</v>
      </c>
      <c r="H137" s="896" t="s">
        <v>727</v>
      </c>
      <c r="I137" s="913" t="s">
        <v>3031</v>
      </c>
      <c r="J137" s="896" t="s">
        <v>729</v>
      </c>
      <c r="K137" s="896" t="s">
        <v>730</v>
      </c>
      <c r="L137" s="896" t="s">
        <v>731</v>
      </c>
      <c r="M137" s="896" t="s">
        <v>732</v>
      </c>
      <c r="N137" s="896" t="s">
        <v>733</v>
      </c>
      <c r="O137" s="896" t="s">
        <v>734</v>
      </c>
      <c r="P137" s="915" t="s">
        <v>321</v>
      </c>
    </row>
    <row r="138" spans="1:17" ht="22.5" customHeight="1">
      <c r="B138" s="897" t="s">
        <v>405</v>
      </c>
      <c r="C138" s="899">
        <v>0</v>
      </c>
      <c r="D138" s="899">
        <v>0</v>
      </c>
      <c r="E138" s="899">
        <v>200.75</v>
      </c>
      <c r="F138" s="899">
        <v>0</v>
      </c>
      <c r="G138" s="899">
        <v>116</v>
      </c>
      <c r="H138" s="899">
        <v>181.32</v>
      </c>
      <c r="I138" s="899">
        <f>+H138+G138+F138+E138+D138+C138</f>
        <v>498.07</v>
      </c>
      <c r="J138" s="899">
        <v>0</v>
      </c>
      <c r="K138" s="899">
        <v>0</v>
      </c>
      <c r="L138" s="899">
        <v>0</v>
      </c>
      <c r="M138" s="899">
        <v>0</v>
      </c>
      <c r="N138" s="899">
        <v>0</v>
      </c>
      <c r="O138" s="899">
        <v>0</v>
      </c>
      <c r="P138" s="916">
        <f>+J138+K138+L138+M138+I138+N138+O138</f>
        <v>498.07</v>
      </c>
    </row>
    <row r="139" spans="1:17" ht="22.5" customHeight="1">
      <c r="B139" s="897" t="s">
        <v>3032</v>
      </c>
      <c r="C139" s="899">
        <v>1796</v>
      </c>
      <c r="D139" s="711">
        <v>2236.5</v>
      </c>
      <c r="E139" s="711">
        <v>0</v>
      </c>
      <c r="F139" s="711">
        <v>0</v>
      </c>
      <c r="G139" s="711">
        <v>1341.9</v>
      </c>
      <c r="H139" s="711">
        <v>2300.4</v>
      </c>
      <c r="I139" s="711">
        <f>+H139+G139+F139+E139+D139+C139</f>
        <v>7674.8</v>
      </c>
      <c r="J139" s="899">
        <v>0</v>
      </c>
      <c r="K139" s="899">
        <v>0</v>
      </c>
      <c r="L139" s="899">
        <v>0</v>
      </c>
      <c r="M139" s="899">
        <v>0</v>
      </c>
      <c r="N139" s="899">
        <v>0</v>
      </c>
      <c r="O139" s="899">
        <v>0</v>
      </c>
      <c r="P139" s="916">
        <f>+J139+K139+L139+M139+I139+N139+O139</f>
        <v>7674.8</v>
      </c>
    </row>
    <row r="140" spans="1:17" ht="22.5" customHeight="1">
      <c r="B140" s="974" t="s">
        <v>3033</v>
      </c>
      <c r="C140" s="975"/>
      <c r="D140" s="978">
        <v>0</v>
      </c>
      <c r="E140" s="975">
        <v>0</v>
      </c>
      <c r="F140" s="975">
        <v>0</v>
      </c>
      <c r="G140" s="978">
        <v>0</v>
      </c>
      <c r="H140" s="975">
        <v>0</v>
      </c>
      <c r="I140" s="978">
        <f>+H140+G140+F140+E140+D140+C140</f>
        <v>0</v>
      </c>
      <c r="J140" s="975">
        <v>0</v>
      </c>
      <c r="K140" s="975">
        <v>0</v>
      </c>
      <c r="L140" s="975">
        <v>0</v>
      </c>
      <c r="M140" s="975">
        <v>0</v>
      </c>
      <c r="N140" s="975">
        <v>0</v>
      </c>
      <c r="O140" s="975">
        <v>0</v>
      </c>
      <c r="P140" s="916">
        <f>+J140+K140+L140+M140+I140+N140+O140</f>
        <v>0</v>
      </c>
    </row>
    <row r="141" spans="1:17" ht="12" customHeight="1">
      <c r="C141" s="980"/>
      <c r="D141" s="981"/>
      <c r="E141" s="917"/>
      <c r="F141" s="981"/>
      <c r="G141" s="981"/>
      <c r="H141" s="917"/>
      <c r="I141" s="981"/>
      <c r="J141" s="917"/>
      <c r="K141" s="981"/>
      <c r="L141" s="981"/>
      <c r="M141" s="981"/>
      <c r="N141" s="981"/>
      <c r="O141" s="981"/>
      <c r="P141" s="981"/>
      <c r="Q141" s="917"/>
    </row>
    <row r="142" spans="1:17" ht="40.5" customHeight="1">
      <c r="B142" s="3033" t="s">
        <v>3051</v>
      </c>
      <c r="C142" s="3034"/>
      <c r="D142" s="3034"/>
      <c r="E142" s="3034"/>
      <c r="F142" s="3034"/>
      <c r="G142" s="3034"/>
      <c r="H142" s="3034"/>
      <c r="I142" s="3034"/>
      <c r="J142" s="3034"/>
      <c r="K142" s="3034"/>
      <c r="L142" s="3034"/>
      <c r="M142" s="3034"/>
      <c r="N142" s="3034"/>
      <c r="O142" s="3034"/>
      <c r="P142" s="3034"/>
      <c r="Q142" s="3035"/>
    </row>
    <row r="143" spans="1:17" ht="12" customHeight="1"/>
    <row r="144" spans="1:17" ht="12" customHeight="1"/>
    <row r="145" spans="2:17" ht="27.75" customHeight="1">
      <c r="B145" s="894" t="s">
        <v>721</v>
      </c>
      <c r="C145" s="896" t="s">
        <v>722</v>
      </c>
      <c r="D145" s="896" t="s">
        <v>723</v>
      </c>
      <c r="E145" s="896" t="s">
        <v>724</v>
      </c>
      <c r="F145" s="896" t="s">
        <v>725</v>
      </c>
      <c r="G145" s="896" t="s">
        <v>726</v>
      </c>
      <c r="H145" s="896" t="s">
        <v>727</v>
      </c>
      <c r="I145" s="913" t="s">
        <v>3031</v>
      </c>
      <c r="J145" s="896" t="s">
        <v>729</v>
      </c>
      <c r="K145" s="896" t="s">
        <v>730</v>
      </c>
      <c r="L145" s="896" t="s">
        <v>731</v>
      </c>
      <c r="M145" s="896" t="s">
        <v>732</v>
      </c>
      <c r="N145" s="896" t="s">
        <v>733</v>
      </c>
      <c r="O145" s="896" t="s">
        <v>734</v>
      </c>
      <c r="P145" s="915" t="s">
        <v>321</v>
      </c>
    </row>
    <row r="146" spans="2:17" ht="23.25" customHeight="1">
      <c r="B146" s="897" t="s">
        <v>405</v>
      </c>
      <c r="C146" s="898">
        <v>0</v>
      </c>
      <c r="D146" s="898">
        <v>0</v>
      </c>
      <c r="E146" s="898">
        <v>0</v>
      </c>
      <c r="F146" s="898">
        <v>0</v>
      </c>
      <c r="G146" s="898">
        <v>0</v>
      </c>
      <c r="H146" s="898">
        <v>0</v>
      </c>
      <c r="I146" s="711">
        <f>+H146+G146+F146+E146+D146+C146</f>
        <v>0</v>
      </c>
      <c r="J146" s="898">
        <v>0</v>
      </c>
      <c r="K146" s="898">
        <v>0</v>
      </c>
      <c r="L146" s="898">
        <v>0</v>
      </c>
      <c r="M146" s="898">
        <v>0</v>
      </c>
      <c r="N146" s="898">
        <v>0</v>
      </c>
      <c r="O146" s="898">
        <v>0</v>
      </c>
      <c r="P146" s="916">
        <f>+J146+K146+L146+M146+I146+N146+O146</f>
        <v>0</v>
      </c>
    </row>
    <row r="147" spans="2:17" ht="30" customHeight="1">
      <c r="B147" s="897" t="s">
        <v>3032</v>
      </c>
      <c r="C147" s="898">
        <v>261.02999999999997</v>
      </c>
      <c r="D147" s="898">
        <v>390.63</v>
      </c>
      <c r="E147" s="898">
        <v>226.89</v>
      </c>
      <c r="F147" s="898">
        <v>444.43</v>
      </c>
      <c r="G147" s="898">
        <v>365.63</v>
      </c>
      <c r="H147" s="898">
        <v>4.3499999999999996</v>
      </c>
      <c r="I147" s="711">
        <f>+H147+G147+F147+E147+D147+C147</f>
        <v>1692.9600000000003</v>
      </c>
      <c r="J147" s="898">
        <v>0</v>
      </c>
      <c r="K147" s="898">
        <v>0</v>
      </c>
      <c r="L147" s="898">
        <v>0</v>
      </c>
      <c r="M147" s="898">
        <v>0</v>
      </c>
      <c r="N147" s="898">
        <v>0</v>
      </c>
      <c r="O147" s="898">
        <v>0</v>
      </c>
      <c r="P147" s="916">
        <f>+J147+K147+L147+M147+I147+N147+O147</f>
        <v>1692.9600000000003</v>
      </c>
    </row>
    <row r="148" spans="2:17" ht="21.75" customHeight="1">
      <c r="B148" s="974" t="s">
        <v>3033</v>
      </c>
      <c r="C148" s="975"/>
      <c r="D148" s="978"/>
      <c r="E148" s="975"/>
      <c r="F148" s="975"/>
      <c r="G148" s="978"/>
      <c r="H148" s="975"/>
      <c r="I148" s="711">
        <f>+H148+G148+F148+E148+D148+C148</f>
        <v>0</v>
      </c>
      <c r="J148" s="975"/>
      <c r="K148" s="975"/>
      <c r="L148" s="975"/>
      <c r="M148" s="975"/>
      <c r="N148" s="975"/>
      <c r="O148" s="975"/>
      <c r="P148" s="916">
        <f>+J148+K148+L148+M148+I148+N148+O148</f>
        <v>0</v>
      </c>
    </row>
    <row r="149" spans="2:17" ht="12" customHeight="1"/>
    <row r="150" spans="2:17" ht="12" customHeight="1"/>
    <row r="151" spans="2:17" ht="39.75" customHeight="1">
      <c r="B151" s="3033" t="s">
        <v>3052</v>
      </c>
      <c r="C151" s="3034"/>
      <c r="D151" s="3034"/>
      <c r="E151" s="3034"/>
      <c r="F151" s="3034"/>
      <c r="G151" s="3034"/>
      <c r="H151" s="3034"/>
      <c r="I151" s="3034"/>
      <c r="J151" s="3034"/>
      <c r="K151" s="3034"/>
      <c r="L151" s="3034"/>
      <c r="M151" s="3034"/>
      <c r="N151" s="3034"/>
      <c r="O151" s="3034"/>
      <c r="P151" s="3034"/>
      <c r="Q151" s="3035"/>
    </row>
    <row r="152" spans="2:17" ht="39.75" customHeight="1"/>
    <row r="153" spans="2:17" ht="39.75" customHeight="1">
      <c r="B153" s="894" t="s">
        <v>721</v>
      </c>
      <c r="C153" s="896" t="s">
        <v>722</v>
      </c>
      <c r="D153" s="896" t="s">
        <v>723</v>
      </c>
      <c r="E153" s="896" t="s">
        <v>724</v>
      </c>
      <c r="F153" s="896" t="s">
        <v>725</v>
      </c>
      <c r="G153" s="896" t="s">
        <v>726</v>
      </c>
      <c r="H153" s="896" t="s">
        <v>727</v>
      </c>
      <c r="I153" s="913" t="s">
        <v>3031</v>
      </c>
      <c r="J153" s="896" t="s">
        <v>729</v>
      </c>
      <c r="K153" s="896" t="s">
        <v>730</v>
      </c>
      <c r="L153" s="896" t="s">
        <v>731</v>
      </c>
      <c r="M153" s="896" t="s">
        <v>732</v>
      </c>
      <c r="N153" s="896" t="s">
        <v>733</v>
      </c>
      <c r="O153" s="896" t="s">
        <v>734</v>
      </c>
      <c r="P153" s="915" t="s">
        <v>321</v>
      </c>
    </row>
    <row r="154" spans="2:17" ht="24" customHeight="1">
      <c r="B154" s="897" t="s">
        <v>405</v>
      </c>
      <c r="C154" s="898">
        <v>14.3</v>
      </c>
      <c r="D154" s="898">
        <v>0</v>
      </c>
      <c r="E154" s="898">
        <v>0</v>
      </c>
      <c r="F154" s="898">
        <v>0</v>
      </c>
      <c r="G154" s="898">
        <v>0</v>
      </c>
      <c r="H154" s="898">
        <v>0</v>
      </c>
      <c r="I154" s="711">
        <f>+H154+G154+F154+E154+D154+C154</f>
        <v>14.3</v>
      </c>
      <c r="J154" s="898">
        <v>0</v>
      </c>
      <c r="K154" s="898">
        <v>0</v>
      </c>
      <c r="L154" s="898">
        <v>0</v>
      </c>
      <c r="M154" s="898">
        <v>0</v>
      </c>
      <c r="N154" s="898">
        <v>0</v>
      </c>
      <c r="O154" s="898">
        <v>0</v>
      </c>
      <c r="P154" s="916">
        <f>+J154+K154+L154+M154+I154+N154+O154</f>
        <v>14.3</v>
      </c>
    </row>
    <row r="155" spans="2:17" ht="21.75" customHeight="1">
      <c r="B155" s="897" t="s">
        <v>3032</v>
      </c>
      <c r="C155" s="898">
        <f>390.52-14.3</f>
        <v>376.21999999999997</v>
      </c>
      <c r="D155" s="898">
        <v>378.13</v>
      </c>
      <c r="E155" s="898">
        <v>382.87</v>
      </c>
      <c r="F155" s="898">
        <v>540.5</v>
      </c>
      <c r="G155" s="898">
        <v>88.98</v>
      </c>
      <c r="H155" s="898">
        <v>0</v>
      </c>
      <c r="I155" s="711">
        <f>+H155+G155+F155+E155+D155+C155</f>
        <v>1766.7</v>
      </c>
      <c r="J155" s="898">
        <v>0</v>
      </c>
      <c r="K155" s="898">
        <v>0</v>
      </c>
      <c r="L155" s="898">
        <v>0</v>
      </c>
      <c r="M155" s="898">
        <v>0</v>
      </c>
      <c r="N155" s="898">
        <v>0</v>
      </c>
      <c r="O155" s="898">
        <v>0</v>
      </c>
      <c r="P155" s="916">
        <f>+J155+K155+L155+M155+I155+N155+O155</f>
        <v>1766.7</v>
      </c>
    </row>
    <row r="156" spans="2:17" ht="31.5" customHeight="1">
      <c r="B156" s="974" t="s">
        <v>3033</v>
      </c>
      <c r="C156" s="898">
        <v>0</v>
      </c>
      <c r="D156" s="898">
        <v>0</v>
      </c>
      <c r="E156" s="898">
        <v>0</v>
      </c>
      <c r="F156" s="898">
        <v>0</v>
      </c>
      <c r="G156" s="898">
        <v>0</v>
      </c>
      <c r="H156" s="898">
        <v>0</v>
      </c>
      <c r="I156" s="711">
        <f>+H156+G156+F156+E156+D156+C156</f>
        <v>0</v>
      </c>
      <c r="J156" s="898">
        <v>0</v>
      </c>
      <c r="K156" s="898">
        <v>0</v>
      </c>
      <c r="L156" s="898">
        <v>0</v>
      </c>
      <c r="M156" s="898">
        <v>0</v>
      </c>
      <c r="N156" s="898">
        <v>0</v>
      </c>
      <c r="O156" s="898">
        <v>0</v>
      </c>
      <c r="P156" s="916">
        <f>+J156+K156+L156+M156+I156+N156+O156</f>
        <v>0</v>
      </c>
    </row>
    <row r="157" spans="2:17" ht="12" customHeight="1"/>
    <row r="158" spans="2:17" ht="12" customHeight="1"/>
    <row r="159" spans="2:17" ht="12" customHeight="1"/>
    <row r="160" spans="2:17" ht="12" customHeight="1"/>
    <row r="161" spans="1:13" ht="12" customHeight="1"/>
    <row r="162" spans="1:13" ht="12" customHeight="1">
      <c r="B162" s="258" t="s">
        <v>2339</v>
      </c>
      <c r="C162" s="258" t="s">
        <v>34</v>
      </c>
      <c r="D162" s="258" t="s">
        <v>40</v>
      </c>
      <c r="E162" s="258" t="s">
        <v>41</v>
      </c>
      <c r="F162" s="258" t="s">
        <v>170</v>
      </c>
      <c r="G162" s="258" t="s">
        <v>171</v>
      </c>
      <c r="H162" s="258" t="s">
        <v>807</v>
      </c>
      <c r="I162" s="258" t="s">
        <v>808</v>
      </c>
      <c r="J162" s="258" t="s">
        <v>809</v>
      </c>
      <c r="K162" s="258" t="s">
        <v>2363</v>
      </c>
      <c r="L162" s="258" t="s">
        <v>2410</v>
      </c>
      <c r="M162" s="2634" t="s">
        <v>274</v>
      </c>
    </row>
    <row r="163" spans="1:13" ht="12" customHeight="1"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131"/>
    </row>
    <row r="164" spans="1:13" ht="12" customHeight="1">
      <c r="B164" s="258" t="s">
        <v>425</v>
      </c>
      <c r="C164" s="258">
        <v>2187.4299999999998</v>
      </c>
      <c r="D164" s="258">
        <v>1758.51</v>
      </c>
      <c r="E164" s="258">
        <v>2027.96</v>
      </c>
      <c r="F164" s="258">
        <v>1828.55</v>
      </c>
      <c r="G164" s="258">
        <v>2014.34</v>
      </c>
      <c r="H164" s="258">
        <v>923.71</v>
      </c>
      <c r="I164" s="258">
        <v>1292.07</v>
      </c>
      <c r="J164" s="258">
        <v>1190.07</v>
      </c>
      <c r="K164" s="258">
        <v>1587.34</v>
      </c>
      <c r="L164" s="258">
        <v>1453.89</v>
      </c>
      <c r="M164" s="2634">
        <v>1450.02</v>
      </c>
    </row>
    <row r="165" spans="1:13" ht="12" customHeight="1">
      <c r="B165" s="258" t="s">
        <v>429</v>
      </c>
      <c r="C165" s="258">
        <v>977.57</v>
      </c>
      <c r="D165" s="258">
        <v>1129.3800000000001</v>
      </c>
      <c r="E165" s="258">
        <v>1568.41</v>
      </c>
      <c r="F165" s="258">
        <v>1844.74</v>
      </c>
      <c r="G165" s="258">
        <v>1269.45</v>
      </c>
      <c r="H165" s="258">
        <v>1014.94</v>
      </c>
      <c r="I165" s="258">
        <v>1028.07</v>
      </c>
      <c r="J165" s="258">
        <v>2681.47</v>
      </c>
      <c r="K165" s="258">
        <v>850.25</v>
      </c>
      <c r="L165" s="258">
        <v>762.59</v>
      </c>
      <c r="M165" s="2634">
        <v>1139.58</v>
      </c>
    </row>
    <row r="166" spans="1:13" ht="12" customHeight="1">
      <c r="A166" t="s">
        <v>427</v>
      </c>
      <c r="B166" s="258" t="s">
        <v>427</v>
      </c>
      <c r="C166" s="258">
        <v>5745.9</v>
      </c>
      <c r="D166" s="258">
        <v>7200.02</v>
      </c>
      <c r="E166" s="258">
        <v>4374.68</v>
      </c>
      <c r="F166" s="258">
        <v>5139.3</v>
      </c>
      <c r="G166" s="258">
        <v>6089.44</v>
      </c>
      <c r="H166" s="258">
        <v>838.74</v>
      </c>
      <c r="I166" s="258">
        <v>1793.47</v>
      </c>
      <c r="J166" s="258">
        <v>847.72</v>
      </c>
      <c r="K166" s="258">
        <v>1060.46</v>
      </c>
      <c r="L166" s="258">
        <v>2693.35</v>
      </c>
      <c r="M166" s="2634">
        <v>1798.15</v>
      </c>
    </row>
    <row r="167" spans="1:13" ht="12" customHeight="1">
      <c r="B167" s="258" t="s">
        <v>431</v>
      </c>
      <c r="C167" s="258">
        <v>95.89</v>
      </c>
      <c r="D167" s="258">
        <v>332.51</v>
      </c>
      <c r="E167" s="258">
        <v>740.08</v>
      </c>
      <c r="F167" s="258">
        <v>463.63</v>
      </c>
      <c r="G167" s="258">
        <v>306.52999999999997</v>
      </c>
      <c r="H167" s="258">
        <v>289.25</v>
      </c>
      <c r="I167" s="258">
        <v>336.57</v>
      </c>
      <c r="J167" s="258">
        <v>417.18</v>
      </c>
      <c r="K167" s="258">
        <v>270.81</v>
      </c>
      <c r="L167" s="258">
        <v>0</v>
      </c>
      <c r="M167" s="2635">
        <v>189.44</v>
      </c>
    </row>
    <row r="168" spans="1:13" ht="12" customHeight="1">
      <c r="B168" s="258" t="s">
        <v>437</v>
      </c>
      <c r="C168" s="258">
        <v>4194.6099999999997</v>
      </c>
      <c r="D168" s="258">
        <v>5220.97</v>
      </c>
      <c r="E168" s="258">
        <v>4618.91</v>
      </c>
      <c r="F168" s="258">
        <v>3023.37</v>
      </c>
      <c r="G168" s="258">
        <v>1962.82</v>
      </c>
      <c r="H168" s="258">
        <v>3666.25</v>
      </c>
      <c r="I168" s="258">
        <v>1728.56</v>
      </c>
      <c r="J168" s="258">
        <v>1881.97</v>
      </c>
      <c r="K168" s="258">
        <v>3804.16</v>
      </c>
      <c r="L168" s="258">
        <v>5318.32</v>
      </c>
      <c r="M168" s="2635">
        <v>7018.86</v>
      </c>
    </row>
    <row r="169" spans="1:13" ht="12" customHeight="1">
      <c r="B169" s="258" t="s">
        <v>434</v>
      </c>
      <c r="C169" s="258">
        <v>0</v>
      </c>
      <c r="D169" s="258"/>
      <c r="E169" s="258">
        <v>90.25</v>
      </c>
      <c r="F169" s="258">
        <v>456.58</v>
      </c>
      <c r="G169" s="258">
        <v>22.28</v>
      </c>
      <c r="H169" s="258">
        <v>1.24</v>
      </c>
      <c r="I169" s="258"/>
      <c r="J169" s="258">
        <v>3.02</v>
      </c>
      <c r="K169" s="258"/>
      <c r="L169" s="258">
        <v>3</v>
      </c>
      <c r="M169" s="2635">
        <v>0</v>
      </c>
    </row>
    <row r="170" spans="1:13" ht="12" customHeight="1">
      <c r="B170" s="258" t="s">
        <v>433</v>
      </c>
      <c r="C170" s="258">
        <v>0</v>
      </c>
      <c r="D170" s="258">
        <v>15.814</v>
      </c>
      <c r="E170" s="258">
        <v>2933.79</v>
      </c>
      <c r="F170" s="258">
        <v>2563.7600000000002</v>
      </c>
      <c r="G170" s="258">
        <v>1849.29</v>
      </c>
      <c r="H170" s="258">
        <v>1636.39</v>
      </c>
      <c r="I170" s="258">
        <v>6175.35</v>
      </c>
      <c r="J170" s="258">
        <v>8587.26</v>
      </c>
      <c r="K170" s="258">
        <v>768.56</v>
      </c>
      <c r="L170" s="258">
        <v>609.52</v>
      </c>
      <c r="M170" s="2635">
        <v>680.61</v>
      </c>
    </row>
    <row r="171" spans="1:13" ht="12" customHeight="1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</row>
    <row r="172" spans="1:13" ht="12" customHeight="1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</row>
    <row r="173" spans="1:13" ht="12" customHeight="1">
      <c r="B173" s="258"/>
      <c r="C173" s="258" t="s">
        <v>34</v>
      </c>
      <c r="D173" s="258" t="s">
        <v>40</v>
      </c>
      <c r="E173" s="258" t="s">
        <v>41</v>
      </c>
      <c r="F173" s="258" t="s">
        <v>170</v>
      </c>
      <c r="G173" s="258" t="s">
        <v>171</v>
      </c>
      <c r="H173" s="258" t="s">
        <v>807</v>
      </c>
      <c r="I173" s="258" t="s">
        <v>808</v>
      </c>
      <c r="J173" s="258" t="s">
        <v>809</v>
      </c>
      <c r="K173" s="258" t="s">
        <v>2363</v>
      </c>
      <c r="L173" s="258" t="s">
        <v>2410</v>
      </c>
      <c r="M173" s="258" t="s">
        <v>274</v>
      </c>
    </row>
    <row r="174" spans="1:13" ht="14.25" customHeight="1">
      <c r="B174" s="258" t="s">
        <v>427</v>
      </c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</row>
    <row r="175" spans="1:13" ht="12" customHeight="1">
      <c r="B175" s="258" t="s">
        <v>351</v>
      </c>
      <c r="C175" s="258">
        <v>5449.15</v>
      </c>
      <c r="D175" s="258">
        <f>6821.52+128.8+5.74</f>
        <v>6956.06</v>
      </c>
      <c r="E175" s="258">
        <f>4182.86+49.12</f>
        <v>4231.9799999999996</v>
      </c>
      <c r="F175" s="258">
        <f>4910+52.24</f>
        <v>4962.24</v>
      </c>
      <c r="G175" s="258">
        <v>5840.03</v>
      </c>
      <c r="H175" s="258">
        <f>626.49+10.57</f>
        <v>637.06000000000006</v>
      </c>
      <c r="I175" s="258">
        <f>1584.19+41.14</f>
        <v>1625.3300000000002</v>
      </c>
      <c r="J175" s="258">
        <f>476.19+40.54</f>
        <v>516.73</v>
      </c>
      <c r="K175" s="258">
        <f>889.04+17.32</f>
        <v>906.36</v>
      </c>
      <c r="L175" s="258">
        <f>2581.49+20.674</f>
        <v>2602.1639999999998</v>
      </c>
      <c r="M175" s="258">
        <f>1734.68+1.1</f>
        <v>1735.78</v>
      </c>
    </row>
    <row r="176" spans="1:13" ht="15" customHeight="1">
      <c r="B176" s="258" t="s">
        <v>437</v>
      </c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</row>
    <row r="177" spans="2:13" ht="12" customHeight="1">
      <c r="B177" s="258" t="s">
        <v>2045</v>
      </c>
      <c r="C177" s="258">
        <v>2871.9989999999998</v>
      </c>
      <c r="D177" s="258">
        <v>2514.71</v>
      </c>
      <c r="E177" s="258">
        <v>2270.7399999999998</v>
      </c>
      <c r="F177" s="258">
        <v>1446.9849999999999</v>
      </c>
      <c r="G177" s="258">
        <v>1101.01</v>
      </c>
      <c r="H177" s="258">
        <v>864.51</v>
      </c>
      <c r="I177" s="258"/>
      <c r="J177" s="258"/>
      <c r="K177" s="258"/>
      <c r="L177" s="258"/>
      <c r="M177" s="258"/>
    </row>
    <row r="178" spans="2:13" ht="12" customHeight="1">
      <c r="B178" s="258" t="s">
        <v>4019</v>
      </c>
      <c r="C178" s="258"/>
      <c r="D178" s="258">
        <v>329.43</v>
      </c>
      <c r="E178" s="258">
        <v>620.38</v>
      </c>
      <c r="F178" s="258">
        <v>267.14999999999998</v>
      </c>
      <c r="G178" s="258"/>
      <c r="H178" s="258"/>
      <c r="I178" s="258"/>
      <c r="J178" s="258"/>
      <c r="K178" s="258"/>
      <c r="L178" s="258"/>
      <c r="M178" s="258"/>
    </row>
    <row r="179" spans="2:13" ht="12" customHeight="1">
      <c r="B179" s="258" t="s">
        <v>325</v>
      </c>
      <c r="C179" s="258"/>
      <c r="D179" s="258"/>
      <c r="E179" s="258"/>
      <c r="F179" s="258"/>
      <c r="G179" s="258"/>
      <c r="H179" s="258">
        <v>1229.6849999999999</v>
      </c>
      <c r="I179" s="258">
        <v>737.34</v>
      </c>
      <c r="J179" s="258">
        <v>626.14200000000005</v>
      </c>
      <c r="K179" s="258">
        <v>2474.712</v>
      </c>
      <c r="L179" s="258">
        <v>4195.7650000000003</v>
      </c>
      <c r="M179" s="258">
        <v>4489.2939999999999</v>
      </c>
    </row>
    <row r="180" spans="2:13" ht="12" customHeight="1">
      <c r="B180" s="258" t="s">
        <v>339</v>
      </c>
      <c r="C180" s="258"/>
      <c r="D180" s="258"/>
      <c r="E180" s="258"/>
      <c r="F180" s="258"/>
      <c r="G180" s="258"/>
      <c r="H180" s="258">
        <v>357.15</v>
      </c>
      <c r="I180" s="258">
        <v>78.22</v>
      </c>
      <c r="J180" s="258">
        <v>159.26</v>
      </c>
      <c r="K180" s="258">
        <v>459.9</v>
      </c>
      <c r="L180" s="258">
        <v>614.80999999999995</v>
      </c>
      <c r="M180" s="258">
        <v>858.68</v>
      </c>
    </row>
    <row r="181" spans="2:13" ht="12" customHeight="1">
      <c r="B181" s="258" t="s">
        <v>123</v>
      </c>
      <c r="C181" s="258">
        <v>185.79900000000001</v>
      </c>
      <c r="D181" s="258">
        <v>1053.3699999999999</v>
      </c>
      <c r="E181" s="258">
        <v>986.86</v>
      </c>
      <c r="F181" s="258">
        <v>427.27</v>
      </c>
      <c r="G181" s="258">
        <v>49.78</v>
      </c>
      <c r="H181" s="258">
        <v>345.03</v>
      </c>
      <c r="I181" s="258">
        <v>474.04</v>
      </c>
      <c r="J181" s="258">
        <v>288.06700000000001</v>
      </c>
      <c r="K181" s="258">
        <v>140.56</v>
      </c>
      <c r="L181" s="258">
        <v>92.73</v>
      </c>
      <c r="M181" s="258">
        <f>943.83+36.08</f>
        <v>979.91000000000008</v>
      </c>
    </row>
    <row r="182" spans="2:13" ht="12" customHeight="1">
      <c r="B182" s="258" t="s">
        <v>2284</v>
      </c>
      <c r="C182" s="258">
        <f>SUM(C177:C181)</f>
        <v>3057.7979999999998</v>
      </c>
      <c r="D182" s="258">
        <f t="shared" ref="D182:M182" si="0">SUM(D177:D181)</f>
        <v>3897.5099999999998</v>
      </c>
      <c r="E182" s="258">
        <f t="shared" si="0"/>
        <v>3877.98</v>
      </c>
      <c r="F182" s="258">
        <f t="shared" si="0"/>
        <v>2141.4049999999997</v>
      </c>
      <c r="G182" s="258">
        <f t="shared" si="0"/>
        <v>1150.79</v>
      </c>
      <c r="H182" s="258">
        <f t="shared" si="0"/>
        <v>2796.375</v>
      </c>
      <c r="I182" s="258">
        <f t="shared" si="0"/>
        <v>1289.6000000000001</v>
      </c>
      <c r="J182" s="258">
        <f t="shared" si="0"/>
        <v>1073.4690000000001</v>
      </c>
      <c r="K182" s="258">
        <f t="shared" si="0"/>
        <v>3075.172</v>
      </c>
      <c r="L182" s="258">
        <f t="shared" si="0"/>
        <v>4903.3050000000003</v>
      </c>
      <c r="M182" s="258">
        <f t="shared" si="0"/>
        <v>6327.884</v>
      </c>
    </row>
    <row r="183" spans="2:13" ht="12" customHeight="1"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</row>
    <row r="184" spans="2:13" ht="21" customHeight="1">
      <c r="B184" s="258" t="s">
        <v>433</v>
      </c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</row>
    <row r="185" spans="2:13" ht="12" customHeight="1">
      <c r="B185" s="258" t="s">
        <v>4016</v>
      </c>
      <c r="C185" s="258"/>
      <c r="D185" s="258"/>
      <c r="E185" s="258">
        <v>1661.86</v>
      </c>
      <c r="F185" s="258">
        <v>1321.58</v>
      </c>
      <c r="G185" s="258">
        <v>13.68</v>
      </c>
      <c r="H185" s="258">
        <v>37.18</v>
      </c>
      <c r="I185" s="258">
        <v>323.45</v>
      </c>
      <c r="J185" s="258">
        <v>69.680000000000007</v>
      </c>
      <c r="K185" s="258">
        <v>35.700000000000003</v>
      </c>
      <c r="L185" s="258">
        <v>33.6</v>
      </c>
      <c r="M185" s="258">
        <v>78.16</v>
      </c>
    </row>
    <row r="186" spans="2:13" ht="12" customHeight="1">
      <c r="B186" s="258" t="s">
        <v>4018</v>
      </c>
      <c r="C186" s="258"/>
      <c r="D186" s="258"/>
      <c r="E186" s="258"/>
      <c r="F186" s="258"/>
      <c r="G186" s="258"/>
      <c r="H186" s="258"/>
      <c r="I186" s="258">
        <f>1055.34+3863.06</f>
        <v>4918.3999999999996</v>
      </c>
      <c r="J186" s="258">
        <f>1422.54+5968.58</f>
        <v>7391.12</v>
      </c>
      <c r="K186" s="258">
        <v>0</v>
      </c>
      <c r="L186" s="258">
        <v>0</v>
      </c>
      <c r="M186" s="258">
        <v>367.07</v>
      </c>
    </row>
    <row r="187" spans="2:13" ht="12" customHeight="1">
      <c r="B187" s="258" t="s">
        <v>2284</v>
      </c>
      <c r="C187" s="258"/>
      <c r="D187" s="258"/>
      <c r="E187" s="258">
        <f>SUM(E185:E186)</f>
        <v>1661.86</v>
      </c>
      <c r="F187" s="258">
        <f t="shared" ref="F187:M187" si="1">SUM(F185:F186)</f>
        <v>1321.58</v>
      </c>
      <c r="G187" s="258">
        <f t="shared" si="1"/>
        <v>13.68</v>
      </c>
      <c r="H187" s="258">
        <f t="shared" si="1"/>
        <v>37.18</v>
      </c>
      <c r="I187" s="258">
        <f t="shared" si="1"/>
        <v>5241.8499999999995</v>
      </c>
      <c r="J187" s="258">
        <f t="shared" si="1"/>
        <v>7460.8</v>
      </c>
      <c r="K187" s="258">
        <f t="shared" si="1"/>
        <v>35.700000000000003</v>
      </c>
      <c r="L187" s="258">
        <f t="shared" si="1"/>
        <v>33.6</v>
      </c>
      <c r="M187" s="258">
        <f t="shared" si="1"/>
        <v>445.23</v>
      </c>
    </row>
    <row r="188" spans="2:13" ht="12" customHeight="1">
      <c r="B188" s="258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</row>
    <row r="189" spans="2:13" ht="12" customHeight="1">
      <c r="B189" s="258" t="s">
        <v>563</v>
      </c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</row>
    <row r="190" spans="2:13" ht="12" customHeight="1">
      <c r="B190" s="258" t="s">
        <v>4017</v>
      </c>
      <c r="C190" s="258">
        <v>4749.4049999999997</v>
      </c>
      <c r="D190" s="258">
        <v>3143.75</v>
      </c>
      <c r="E190" s="258">
        <v>2179.79</v>
      </c>
      <c r="F190" s="258">
        <v>5591.84</v>
      </c>
      <c r="G190" s="258">
        <v>4802.1400000000003</v>
      </c>
      <c r="H190" s="258">
        <v>227.71</v>
      </c>
      <c r="I190" s="258">
        <v>5106.6099999999997</v>
      </c>
      <c r="J190" s="258">
        <v>1964.22</v>
      </c>
      <c r="K190" s="258">
        <v>765.94</v>
      </c>
      <c r="L190" s="258">
        <v>1029.05</v>
      </c>
      <c r="M190" s="258">
        <v>738.7</v>
      </c>
    </row>
    <row r="191" spans="2:13" ht="12" customHeight="1">
      <c r="B191" s="258" t="s">
        <v>356</v>
      </c>
      <c r="C191" s="258">
        <v>23693.85</v>
      </c>
      <c r="D191" s="258">
        <v>23308.15</v>
      </c>
      <c r="E191" s="258">
        <v>19974.05</v>
      </c>
      <c r="F191" s="258">
        <v>24922.86</v>
      </c>
      <c r="G191" s="258">
        <v>38082.887999999999</v>
      </c>
      <c r="H191" s="258">
        <v>17320.349999999999</v>
      </c>
      <c r="I191" s="258">
        <v>28729.09</v>
      </c>
      <c r="J191" s="258">
        <v>35222.620000000003</v>
      </c>
      <c r="K191" s="258">
        <v>43755.45</v>
      </c>
      <c r="L191" s="258">
        <v>48451.88</v>
      </c>
      <c r="M191" s="258">
        <v>37153.864000000001</v>
      </c>
    </row>
    <row r="192" spans="2:13" ht="12" customHeight="1">
      <c r="B192" s="258" t="s">
        <v>344</v>
      </c>
      <c r="C192" s="258"/>
      <c r="D192" s="258"/>
      <c r="E192" s="258"/>
      <c r="F192" s="258"/>
      <c r="G192" s="258"/>
      <c r="H192" s="258"/>
      <c r="I192" s="258">
        <v>33.11</v>
      </c>
      <c r="J192" s="258">
        <v>1596.68</v>
      </c>
      <c r="K192" s="258">
        <v>1798.45</v>
      </c>
      <c r="L192" s="258">
        <v>655.22</v>
      </c>
      <c r="M192" s="258">
        <f>3358.14</f>
        <v>3358.14</v>
      </c>
    </row>
    <row r="193" spans="2:15" ht="12" customHeight="1">
      <c r="B193" s="2636"/>
      <c r="C193" s="258">
        <f>SUM(C190:C192)</f>
        <v>28443.254999999997</v>
      </c>
      <c r="D193" s="258">
        <f t="shared" ref="D193:M193" si="2">SUM(D190:D192)</f>
        <v>26451.9</v>
      </c>
      <c r="E193" s="258">
        <f t="shared" si="2"/>
        <v>22153.84</v>
      </c>
      <c r="F193" s="258">
        <f t="shared" si="2"/>
        <v>30514.7</v>
      </c>
      <c r="G193" s="258">
        <f t="shared" si="2"/>
        <v>42885.027999999998</v>
      </c>
      <c r="H193" s="258">
        <f t="shared" si="2"/>
        <v>17548.059999999998</v>
      </c>
      <c r="I193" s="258">
        <f t="shared" si="2"/>
        <v>33868.81</v>
      </c>
      <c r="J193" s="258">
        <f t="shared" si="2"/>
        <v>38783.520000000004</v>
      </c>
      <c r="K193" s="258">
        <f t="shared" si="2"/>
        <v>46319.839999999997</v>
      </c>
      <c r="L193" s="258">
        <f t="shared" si="2"/>
        <v>50136.15</v>
      </c>
      <c r="M193" s="258">
        <f t="shared" si="2"/>
        <v>41250.703999999998</v>
      </c>
    </row>
    <row r="194" spans="2:15" ht="12" customHeight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2:15" ht="12" customHeight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2:15" ht="12" customHeight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2:15" ht="12" customHeight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2:15" ht="12" customHeight="1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2:15" ht="12" customHeight="1">
      <c r="C199" s="3038" t="s">
        <v>4085</v>
      </c>
      <c r="D199" s="3038"/>
      <c r="E199" s="3038"/>
      <c r="F199" s="3038"/>
      <c r="G199" s="3038"/>
      <c r="H199" s="3038"/>
      <c r="I199" s="3038"/>
      <c r="J199" s="3038"/>
      <c r="K199" s="3038"/>
      <c r="L199" s="3038"/>
      <c r="M199" s="3038"/>
      <c r="N199" s="3038"/>
      <c r="O199" s="3038"/>
    </row>
    <row r="200" spans="2:15" ht="12" customHeight="1">
      <c r="B200" s="258"/>
      <c r="C200" s="51" t="s">
        <v>178</v>
      </c>
      <c r="D200" s="51" t="s">
        <v>131</v>
      </c>
      <c r="E200" s="51" t="s">
        <v>132</v>
      </c>
      <c r="F200" s="51" t="s">
        <v>133</v>
      </c>
      <c r="G200" s="51" t="s">
        <v>179</v>
      </c>
      <c r="H200" s="51" t="s">
        <v>180</v>
      </c>
      <c r="I200" s="2666">
        <v>44105</v>
      </c>
      <c r="J200" s="2666">
        <v>44136</v>
      </c>
      <c r="K200" s="2666">
        <v>44166</v>
      </c>
      <c r="L200" s="2666">
        <v>44197</v>
      </c>
      <c r="M200" s="2666">
        <v>44228</v>
      </c>
      <c r="N200" s="2666">
        <v>44256</v>
      </c>
      <c r="O200" s="51" t="s">
        <v>121</v>
      </c>
    </row>
    <row r="201" spans="2:15" ht="12" customHeight="1">
      <c r="B201" s="258" t="s">
        <v>351</v>
      </c>
      <c r="C201" s="51">
        <v>0</v>
      </c>
      <c r="D201" s="51">
        <v>0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f>SUM(C201:N201)</f>
        <v>0</v>
      </c>
    </row>
    <row r="202" spans="2:15" ht="12" customHeight="1">
      <c r="B202" s="258" t="s">
        <v>468</v>
      </c>
      <c r="C202" s="51"/>
      <c r="D202" s="51">
        <v>0</v>
      </c>
      <c r="E202" s="51">
        <v>0</v>
      </c>
      <c r="F202" s="51"/>
      <c r="G202" s="51"/>
      <c r="H202" s="51">
        <v>0</v>
      </c>
      <c r="I202" s="51"/>
      <c r="J202" s="51"/>
      <c r="K202" s="51">
        <v>0</v>
      </c>
      <c r="L202" s="51">
        <v>0</v>
      </c>
      <c r="M202" s="51">
        <v>0</v>
      </c>
      <c r="N202" s="51">
        <v>0</v>
      </c>
      <c r="O202" s="51">
        <f t="shared" ref="O202:O203" si="3">SUM(C202:N202)</f>
        <v>0</v>
      </c>
    </row>
    <row r="203" spans="2:15" ht="12" customHeight="1">
      <c r="B203" s="258" t="s">
        <v>23</v>
      </c>
      <c r="C203" s="51">
        <f>+C201+C202</f>
        <v>0</v>
      </c>
      <c r="D203" s="51">
        <f t="shared" ref="D203:N203" si="4">+D201+D202</f>
        <v>0</v>
      </c>
      <c r="E203" s="51">
        <f t="shared" si="4"/>
        <v>0</v>
      </c>
      <c r="F203" s="51">
        <f t="shared" si="4"/>
        <v>0</v>
      </c>
      <c r="G203" s="51">
        <f t="shared" si="4"/>
        <v>0</v>
      </c>
      <c r="H203" s="51">
        <f t="shared" si="4"/>
        <v>0</v>
      </c>
      <c r="I203" s="51">
        <f t="shared" si="4"/>
        <v>0</v>
      </c>
      <c r="J203" s="51">
        <f t="shared" si="4"/>
        <v>0</v>
      </c>
      <c r="K203" s="51">
        <f t="shared" si="4"/>
        <v>0</v>
      </c>
      <c r="L203" s="51">
        <f t="shared" si="4"/>
        <v>0</v>
      </c>
      <c r="M203" s="51">
        <f t="shared" si="4"/>
        <v>0</v>
      </c>
      <c r="N203" s="51">
        <f t="shared" si="4"/>
        <v>0</v>
      </c>
      <c r="O203" s="51">
        <f t="shared" si="3"/>
        <v>0</v>
      </c>
    </row>
    <row r="204" spans="2:15" ht="12" customHeight="1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2:15" ht="12" customHeight="1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2:15" ht="12" customHeight="1">
      <c r="C206" s="3038" t="s">
        <v>4083</v>
      </c>
      <c r="D206" s="3038"/>
      <c r="E206" s="3038"/>
      <c r="F206" s="3038"/>
      <c r="G206" s="3038"/>
      <c r="H206" s="3038"/>
      <c r="I206" s="3038"/>
      <c r="J206" s="3038"/>
      <c r="K206" s="3038"/>
      <c r="L206" s="3038"/>
      <c r="M206" s="3038"/>
      <c r="N206" s="3038"/>
      <c r="O206" s="3038"/>
    </row>
    <row r="207" spans="2:15" ht="12" customHeight="1">
      <c r="B207" s="258"/>
      <c r="C207" s="51" t="s">
        <v>191</v>
      </c>
      <c r="D207" s="51" t="s">
        <v>192</v>
      </c>
      <c r="E207" s="51" t="s">
        <v>193</v>
      </c>
      <c r="F207" s="51" t="s">
        <v>194</v>
      </c>
      <c r="G207" s="51" t="s">
        <v>195</v>
      </c>
      <c r="H207" s="51" t="s">
        <v>196</v>
      </c>
      <c r="I207" s="2666">
        <v>44470</v>
      </c>
      <c r="J207" s="2666">
        <v>44501</v>
      </c>
      <c r="K207" s="2666">
        <v>44531</v>
      </c>
      <c r="L207" s="2666">
        <v>44562</v>
      </c>
      <c r="M207" s="2666">
        <v>44593</v>
      </c>
      <c r="N207" s="51" t="s">
        <v>4084</v>
      </c>
      <c r="O207" s="51" t="s">
        <v>2351</v>
      </c>
    </row>
    <row r="208" spans="2:15" ht="12" customHeight="1">
      <c r="B208" s="258" t="s">
        <v>351</v>
      </c>
      <c r="C208" s="51">
        <v>0</v>
      </c>
      <c r="D208" s="51">
        <v>0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284.20999999999998</v>
      </c>
      <c r="N208" s="51">
        <v>362.22</v>
      </c>
      <c r="O208" s="51">
        <f>SUM(C208:N208)</f>
        <v>646.43000000000006</v>
      </c>
    </row>
    <row r="209" spans="2:15" ht="12" customHeight="1">
      <c r="B209" s="258" t="s">
        <v>468</v>
      </c>
      <c r="C209" s="51"/>
      <c r="D209" s="51">
        <v>0</v>
      </c>
      <c r="E209" s="51">
        <v>0</v>
      </c>
      <c r="F209" s="51"/>
      <c r="G209" s="51"/>
      <c r="H209" s="51">
        <v>0</v>
      </c>
      <c r="I209" s="51"/>
      <c r="J209" s="51"/>
      <c r="K209" s="51">
        <v>0</v>
      </c>
      <c r="L209" s="51">
        <v>0</v>
      </c>
      <c r="M209" s="51">
        <v>0</v>
      </c>
      <c r="N209" s="51">
        <v>0</v>
      </c>
      <c r="O209" s="51">
        <f t="shared" ref="O209:O210" si="5">SUM(C209:N209)</f>
        <v>0</v>
      </c>
    </row>
    <row r="210" spans="2:15" ht="12" customHeight="1">
      <c r="B210" s="258" t="s">
        <v>23</v>
      </c>
      <c r="C210" s="51">
        <f>+C208+C209</f>
        <v>0</v>
      </c>
      <c r="D210" s="51">
        <f t="shared" ref="D210:N210" si="6">+D208+D209</f>
        <v>0</v>
      </c>
      <c r="E210" s="51">
        <f t="shared" si="6"/>
        <v>0</v>
      </c>
      <c r="F210" s="51">
        <f t="shared" si="6"/>
        <v>0</v>
      </c>
      <c r="G210" s="51">
        <f t="shared" si="6"/>
        <v>0</v>
      </c>
      <c r="H210" s="51">
        <f t="shared" si="6"/>
        <v>0</v>
      </c>
      <c r="I210" s="51">
        <f t="shared" si="6"/>
        <v>0</v>
      </c>
      <c r="J210" s="51">
        <f t="shared" si="6"/>
        <v>0</v>
      </c>
      <c r="K210" s="51">
        <f t="shared" si="6"/>
        <v>0</v>
      </c>
      <c r="L210" s="51">
        <f t="shared" si="6"/>
        <v>0</v>
      </c>
      <c r="M210" s="51">
        <f t="shared" si="6"/>
        <v>284.20999999999998</v>
      </c>
      <c r="N210" s="51">
        <f t="shared" si="6"/>
        <v>362.22</v>
      </c>
      <c r="O210" s="51">
        <f t="shared" si="5"/>
        <v>646.43000000000006</v>
      </c>
    </row>
    <row r="211" spans="2:15" ht="12" customHeight="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</row>
    <row r="212" spans="2:15" ht="12" customHeight="1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</row>
    <row r="213" spans="2:15" ht="12" customHeight="1">
      <c r="C213" s="3038" t="s">
        <v>4081</v>
      </c>
      <c r="D213" s="3038"/>
      <c r="E213" s="3038"/>
      <c r="F213" s="3038"/>
      <c r="G213" s="3038"/>
      <c r="H213" s="3038"/>
      <c r="I213" s="3038"/>
      <c r="J213" s="3038"/>
      <c r="K213" s="3038"/>
      <c r="L213" s="3038"/>
      <c r="M213" s="3038"/>
      <c r="N213" s="3038"/>
      <c r="O213" s="3038"/>
    </row>
    <row r="214" spans="2:15" ht="12" customHeight="1">
      <c r="B214" s="258"/>
      <c r="C214" s="51" t="s">
        <v>205</v>
      </c>
      <c r="D214" s="51" t="s">
        <v>206</v>
      </c>
      <c r="E214" s="51" t="s">
        <v>207</v>
      </c>
      <c r="F214" s="51" t="s">
        <v>208</v>
      </c>
      <c r="G214" s="51" t="s">
        <v>209</v>
      </c>
      <c r="H214" s="51" t="s">
        <v>210</v>
      </c>
      <c r="I214" s="2666">
        <v>44835</v>
      </c>
      <c r="J214" s="2666">
        <v>44866</v>
      </c>
      <c r="K214" s="2666">
        <v>44896</v>
      </c>
      <c r="L214" s="51" t="s">
        <v>216</v>
      </c>
      <c r="M214" s="2666">
        <v>44958</v>
      </c>
      <c r="N214" s="51" t="s">
        <v>4082</v>
      </c>
      <c r="O214" s="51" t="s">
        <v>2412</v>
      </c>
    </row>
    <row r="215" spans="2:15" ht="12" customHeight="1">
      <c r="B215" s="258" t="s">
        <v>351</v>
      </c>
      <c r="C215" s="51">
        <v>789.75</v>
      </c>
      <c r="D215" s="51">
        <v>622.99</v>
      </c>
      <c r="E215" s="51">
        <v>758.21</v>
      </c>
      <c r="F215" s="51">
        <v>66.94</v>
      </c>
      <c r="G215" s="51">
        <v>150.52000000000001</v>
      </c>
      <c r="H215" s="51">
        <v>0</v>
      </c>
      <c r="I215" s="51">
        <v>0</v>
      </c>
      <c r="J215" s="51">
        <v>190.67</v>
      </c>
      <c r="K215" s="51">
        <v>478.19</v>
      </c>
      <c r="L215" s="51">
        <v>621.41</v>
      </c>
      <c r="M215" s="51">
        <v>309.14999999999998</v>
      </c>
      <c r="N215" s="51">
        <v>238.08</v>
      </c>
      <c r="O215" s="51">
        <f>SUM(C215:N215)</f>
        <v>4225.91</v>
      </c>
    </row>
    <row r="216" spans="2:15" ht="12" customHeight="1">
      <c r="B216" s="258" t="s">
        <v>468</v>
      </c>
      <c r="C216" s="51"/>
      <c r="D216" s="51">
        <v>0</v>
      </c>
      <c r="E216" s="51">
        <v>0</v>
      </c>
      <c r="F216" s="51"/>
      <c r="G216" s="51"/>
      <c r="H216" s="51">
        <v>0</v>
      </c>
      <c r="I216" s="51"/>
      <c r="J216" s="51"/>
      <c r="K216" s="51">
        <v>0</v>
      </c>
      <c r="L216" s="51">
        <v>0</v>
      </c>
      <c r="M216" s="51">
        <v>0</v>
      </c>
      <c r="N216" s="51">
        <v>0</v>
      </c>
      <c r="O216" s="51">
        <f t="shared" ref="O216:O217" si="7">SUM(C216:N216)</f>
        <v>0</v>
      </c>
    </row>
    <row r="217" spans="2:15" ht="12" customHeight="1">
      <c r="B217" s="258" t="s">
        <v>23</v>
      </c>
      <c r="C217" s="51">
        <f>+C215+C216</f>
        <v>789.75</v>
      </c>
      <c r="D217" s="51">
        <f t="shared" ref="D217:N217" si="8">+D215+D216</f>
        <v>622.99</v>
      </c>
      <c r="E217" s="51">
        <f t="shared" si="8"/>
        <v>758.21</v>
      </c>
      <c r="F217" s="51">
        <f t="shared" si="8"/>
        <v>66.94</v>
      </c>
      <c r="G217" s="51">
        <f t="shared" si="8"/>
        <v>150.52000000000001</v>
      </c>
      <c r="H217" s="51">
        <f t="shared" si="8"/>
        <v>0</v>
      </c>
      <c r="I217" s="51">
        <f t="shared" si="8"/>
        <v>0</v>
      </c>
      <c r="J217" s="51">
        <f t="shared" si="8"/>
        <v>190.67</v>
      </c>
      <c r="K217" s="51">
        <f t="shared" si="8"/>
        <v>478.19</v>
      </c>
      <c r="L217" s="51">
        <f t="shared" si="8"/>
        <v>621.41</v>
      </c>
      <c r="M217" s="51">
        <f t="shared" si="8"/>
        <v>309.14999999999998</v>
      </c>
      <c r="N217" s="51">
        <f t="shared" si="8"/>
        <v>238.08</v>
      </c>
      <c r="O217" s="51">
        <f t="shared" si="7"/>
        <v>4225.91</v>
      </c>
    </row>
    <row r="218" spans="2:15" ht="12" customHeight="1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2:15" ht="29.25" customHeight="1">
      <c r="C219" s="3038" t="s">
        <v>4078</v>
      </c>
      <c r="D219" s="3038"/>
      <c r="E219" s="3038"/>
      <c r="F219" s="3038"/>
      <c r="G219" s="3038"/>
      <c r="H219" s="3038"/>
      <c r="I219" s="3038"/>
      <c r="J219" s="3038"/>
      <c r="K219" s="3038"/>
      <c r="L219" s="3038"/>
      <c r="M219" s="3038"/>
      <c r="N219" s="3038"/>
      <c r="O219" s="3038"/>
    </row>
    <row r="220" spans="2:15" ht="15.75" customHeight="1">
      <c r="B220" s="258"/>
      <c r="C220" s="51" t="s">
        <v>219</v>
      </c>
      <c r="D220" s="51" t="s">
        <v>220</v>
      </c>
      <c r="E220" s="51" t="s">
        <v>221</v>
      </c>
      <c r="F220" s="51" t="s">
        <v>222</v>
      </c>
      <c r="G220" s="51" t="s">
        <v>223</v>
      </c>
      <c r="H220" s="51" t="s">
        <v>224</v>
      </c>
      <c r="I220" s="51" t="s">
        <v>225</v>
      </c>
      <c r="J220" s="51" t="s">
        <v>226</v>
      </c>
      <c r="K220" s="51" t="s">
        <v>227</v>
      </c>
      <c r="L220" s="51" t="s">
        <v>239</v>
      </c>
      <c r="M220" s="51" t="s">
        <v>240</v>
      </c>
      <c r="N220" s="51" t="s">
        <v>4080</v>
      </c>
      <c r="O220" s="51" t="s">
        <v>2411</v>
      </c>
    </row>
    <row r="221" spans="2:15" ht="12" customHeight="1">
      <c r="B221" s="258" t="s">
        <v>351</v>
      </c>
      <c r="C221" s="51">
        <v>322.29000000000002</v>
      </c>
      <c r="D221" s="51">
        <v>847.83</v>
      </c>
      <c r="E221" s="51">
        <v>277.91000000000003</v>
      </c>
      <c r="F221" s="51">
        <v>329.61</v>
      </c>
      <c r="G221" s="51">
        <v>252.85</v>
      </c>
      <c r="H221" s="51">
        <v>1041.43</v>
      </c>
      <c r="I221" s="51">
        <v>651.94000000000005</v>
      </c>
      <c r="J221" s="51">
        <v>508.89</v>
      </c>
      <c r="K221" s="51">
        <v>944.81</v>
      </c>
      <c r="L221" s="51">
        <v>1532.04</v>
      </c>
      <c r="M221" s="51">
        <v>1448.08</v>
      </c>
      <c r="N221" s="51">
        <v>237.59</v>
      </c>
      <c r="O221" s="51">
        <f>SUM(C221:N221)</f>
        <v>8395.2699999999986</v>
      </c>
    </row>
    <row r="222" spans="2:15" ht="12" customHeight="1">
      <c r="B222" s="258" t="s">
        <v>468</v>
      </c>
      <c r="C222" s="51"/>
      <c r="D222" s="51">
        <v>0</v>
      </c>
      <c r="E222" s="51">
        <v>0</v>
      </c>
      <c r="F222" s="51"/>
      <c r="G222" s="51"/>
      <c r="H222" s="51">
        <v>0</v>
      </c>
      <c r="I222" s="51"/>
      <c r="J222" s="51"/>
      <c r="K222" s="51">
        <v>0</v>
      </c>
      <c r="L222" s="51">
        <v>0</v>
      </c>
      <c r="M222" s="51">
        <v>119.79</v>
      </c>
      <c r="N222" s="51">
        <v>18.68</v>
      </c>
      <c r="O222" s="51">
        <f t="shared" ref="O222:O223" si="9">SUM(C222:N222)</f>
        <v>138.47</v>
      </c>
    </row>
    <row r="223" spans="2:15" ht="12" customHeight="1">
      <c r="B223" s="258" t="s">
        <v>23</v>
      </c>
      <c r="C223" s="51">
        <f>+C221+C222</f>
        <v>322.29000000000002</v>
      </c>
      <c r="D223" s="51">
        <f t="shared" ref="D223:N223" si="10">+D221+D222</f>
        <v>847.83</v>
      </c>
      <c r="E223" s="51">
        <f t="shared" si="10"/>
        <v>277.91000000000003</v>
      </c>
      <c r="F223" s="51">
        <f t="shared" si="10"/>
        <v>329.61</v>
      </c>
      <c r="G223" s="51">
        <f t="shared" si="10"/>
        <v>252.85</v>
      </c>
      <c r="H223" s="51">
        <f t="shared" si="10"/>
        <v>1041.43</v>
      </c>
      <c r="I223" s="51">
        <f t="shared" si="10"/>
        <v>651.94000000000005</v>
      </c>
      <c r="J223" s="51">
        <f t="shared" si="10"/>
        <v>508.89</v>
      </c>
      <c r="K223" s="51">
        <f t="shared" si="10"/>
        <v>944.81</v>
      </c>
      <c r="L223" s="51">
        <f t="shared" si="10"/>
        <v>1532.04</v>
      </c>
      <c r="M223" s="51">
        <f t="shared" si="10"/>
        <v>1567.87</v>
      </c>
      <c r="N223" s="51">
        <f t="shared" si="10"/>
        <v>256.27</v>
      </c>
      <c r="O223" s="51">
        <f t="shared" si="9"/>
        <v>8533.74</v>
      </c>
    </row>
    <row r="224" spans="2:15" ht="12" customHeight="1">
      <c r="B224" s="27"/>
      <c r="C224" s="3038" t="s">
        <v>4077</v>
      </c>
      <c r="D224" s="3038"/>
      <c r="E224" s="3038"/>
      <c r="F224" s="3038"/>
      <c r="G224" s="3038"/>
      <c r="H224" s="3038"/>
      <c r="I224" s="3038"/>
      <c r="J224" s="3038"/>
      <c r="K224" s="3038"/>
      <c r="L224" s="3038"/>
      <c r="M224" s="3038"/>
      <c r="N224" s="3038"/>
      <c r="O224" s="3038"/>
    </row>
    <row r="225" spans="2:15" ht="12" customHeight="1">
      <c r="B225" s="258"/>
      <c r="C225" s="51" t="s">
        <v>242</v>
      </c>
      <c r="D225" s="51" t="s">
        <v>243</v>
      </c>
      <c r="E225" s="51" t="s">
        <v>244</v>
      </c>
      <c r="F225" s="51" t="s">
        <v>245</v>
      </c>
      <c r="G225" s="51" t="s">
        <v>246</v>
      </c>
      <c r="H225" s="51" t="s">
        <v>247</v>
      </c>
      <c r="I225" s="51" t="s">
        <v>248</v>
      </c>
      <c r="J225" s="51" t="s">
        <v>249</v>
      </c>
      <c r="K225" s="51" t="s">
        <v>250</v>
      </c>
      <c r="L225" s="51" t="s">
        <v>861</v>
      </c>
      <c r="M225" s="51" t="s">
        <v>862</v>
      </c>
      <c r="N225" s="51" t="s">
        <v>4076</v>
      </c>
      <c r="O225" s="51" t="s">
        <v>3226</v>
      </c>
    </row>
    <row r="226" spans="2:15" ht="12" customHeight="1">
      <c r="B226" s="258" t="s">
        <v>351</v>
      </c>
      <c r="C226" s="51">
        <v>724.38</v>
      </c>
      <c r="D226" s="51">
        <v>332.28</v>
      </c>
      <c r="E226" s="51">
        <v>810.37</v>
      </c>
      <c r="F226" s="51">
        <v>810.34</v>
      </c>
      <c r="G226" s="51">
        <v>765.23</v>
      </c>
      <c r="H226" s="51">
        <v>806.36</v>
      </c>
      <c r="I226" s="51">
        <v>1016.92</v>
      </c>
      <c r="J226" s="51">
        <v>1182.1600000000001</v>
      </c>
      <c r="K226" s="51">
        <v>1021.84</v>
      </c>
      <c r="L226" s="51">
        <v>897.55</v>
      </c>
      <c r="M226" s="51">
        <v>992.62</v>
      </c>
      <c r="N226" s="51">
        <v>757.85</v>
      </c>
      <c r="O226" s="51">
        <f>SUM(C226:N226)</f>
        <v>10117.900000000001</v>
      </c>
    </row>
    <row r="227" spans="2:15" ht="12" customHeight="1">
      <c r="B227" s="258" t="s">
        <v>468</v>
      </c>
      <c r="C227" s="51"/>
      <c r="D227" s="51">
        <v>15.81</v>
      </c>
      <c r="E227" s="51">
        <v>187.31</v>
      </c>
      <c r="F227" s="51"/>
      <c r="G227" s="51"/>
      <c r="H227" s="51">
        <v>18.739999999999998</v>
      </c>
      <c r="I227" s="51"/>
      <c r="J227" s="51"/>
      <c r="K227" s="51">
        <v>215.56</v>
      </c>
      <c r="L227" s="51">
        <v>168.69</v>
      </c>
      <c r="M227" s="51"/>
      <c r="N227" s="51">
        <v>249.63</v>
      </c>
      <c r="O227" s="51">
        <f t="shared" ref="O227:O228" si="11">SUM(C227:N227)</f>
        <v>855.74</v>
      </c>
    </row>
    <row r="228" spans="2:15" ht="12" customHeight="1">
      <c r="B228" s="258" t="s">
        <v>23</v>
      </c>
      <c r="C228" s="51">
        <f>+C226+C227</f>
        <v>724.38</v>
      </c>
      <c r="D228" s="51">
        <f t="shared" ref="D228:N228" si="12">+D226+D227</f>
        <v>348.09</v>
      </c>
      <c r="E228" s="51">
        <f t="shared" si="12"/>
        <v>997.68000000000006</v>
      </c>
      <c r="F228" s="51">
        <f t="shared" si="12"/>
        <v>810.34</v>
      </c>
      <c r="G228" s="51">
        <f t="shared" si="12"/>
        <v>765.23</v>
      </c>
      <c r="H228" s="51">
        <f t="shared" si="12"/>
        <v>825.1</v>
      </c>
      <c r="I228" s="51">
        <f t="shared" si="12"/>
        <v>1016.92</v>
      </c>
      <c r="J228" s="51">
        <f t="shared" si="12"/>
        <v>1182.1600000000001</v>
      </c>
      <c r="K228" s="51">
        <f t="shared" si="12"/>
        <v>1237.4000000000001</v>
      </c>
      <c r="L228" s="51">
        <f t="shared" si="12"/>
        <v>1066.24</v>
      </c>
      <c r="M228" s="51">
        <f t="shared" si="12"/>
        <v>992.62</v>
      </c>
      <c r="N228" s="51">
        <f t="shared" si="12"/>
        <v>1007.48</v>
      </c>
      <c r="O228" s="51">
        <f t="shared" si="11"/>
        <v>10973.640000000001</v>
      </c>
    </row>
    <row r="229" spans="2:15" ht="12" customHeight="1">
      <c r="C229" s="3038" t="s">
        <v>4079</v>
      </c>
      <c r="D229" s="3038"/>
      <c r="E229" s="3038"/>
      <c r="F229" s="3038"/>
      <c r="G229" s="3038"/>
      <c r="H229" s="3038"/>
      <c r="I229" s="3038"/>
      <c r="J229" s="3038"/>
      <c r="K229" s="3038"/>
      <c r="L229" s="3038"/>
      <c r="M229" s="3038"/>
      <c r="N229" s="3038"/>
      <c r="O229" s="3038"/>
    </row>
    <row r="230" spans="2:15" ht="12" customHeight="1">
      <c r="C230" s="2665"/>
      <c r="D230" s="2665"/>
      <c r="E230" s="2665"/>
      <c r="F230" s="2665"/>
      <c r="G230" s="2665"/>
      <c r="H230" s="2665"/>
      <c r="I230" s="2665"/>
      <c r="J230" s="2665"/>
      <c r="K230" s="2665"/>
      <c r="L230" s="2665"/>
      <c r="M230" s="2665"/>
      <c r="N230" s="2665"/>
      <c r="O230" s="2665"/>
    </row>
    <row r="231" spans="2:15" ht="12" customHeight="1">
      <c r="C231" s="51" t="s">
        <v>864</v>
      </c>
      <c r="D231" s="51" t="s">
        <v>865</v>
      </c>
      <c r="E231" s="51" t="s">
        <v>866</v>
      </c>
      <c r="F231" s="51" t="s">
        <v>867</v>
      </c>
      <c r="G231" s="51" t="s">
        <v>868</v>
      </c>
      <c r="H231" s="51" t="s">
        <v>315</v>
      </c>
      <c r="I231" s="51" t="s">
        <v>305</v>
      </c>
      <c r="J231" s="51" t="s">
        <v>3886</v>
      </c>
      <c r="K231" s="51" t="s">
        <v>3941</v>
      </c>
      <c r="L231" s="51" t="s">
        <v>861</v>
      </c>
      <c r="M231" s="51" t="s">
        <v>3986</v>
      </c>
      <c r="N231" s="51" t="s">
        <v>3987</v>
      </c>
      <c r="O231" s="51" t="s">
        <v>321</v>
      </c>
    </row>
    <row r="232" spans="2:15" ht="12" customHeight="1">
      <c r="B232" s="258" t="s">
        <v>351</v>
      </c>
      <c r="C232" s="51">
        <v>628.44000000000005</v>
      </c>
      <c r="D232" s="51">
        <v>1021.75</v>
      </c>
      <c r="E232" s="51">
        <v>1106.99</v>
      </c>
      <c r="F232" s="51">
        <v>1088.25</v>
      </c>
      <c r="G232" s="51">
        <v>596.39</v>
      </c>
      <c r="H232" s="51">
        <v>353.93</v>
      </c>
      <c r="I232" s="51">
        <v>593.77</v>
      </c>
      <c r="J232" s="51">
        <v>1086.8900000000001</v>
      </c>
      <c r="K232" s="51">
        <v>282.08</v>
      </c>
      <c r="L232" s="51">
        <v>866.22</v>
      </c>
      <c r="M232" s="51"/>
      <c r="N232" s="51"/>
      <c r="O232" s="51">
        <f>SUM(C232:N232)</f>
        <v>7624.7100000000009</v>
      </c>
    </row>
    <row r="233" spans="2:15" ht="12" customHeight="1">
      <c r="B233" s="258" t="s">
        <v>468</v>
      </c>
      <c r="C233" s="51"/>
      <c r="D233" s="51">
        <v>250.17</v>
      </c>
      <c r="E233" s="51"/>
      <c r="F233" s="51"/>
      <c r="G233" s="51"/>
      <c r="H233" s="51"/>
      <c r="I233" s="51"/>
      <c r="J233" s="51"/>
      <c r="K233" s="51"/>
      <c r="L233" s="51">
        <v>190.66</v>
      </c>
      <c r="M233" s="51"/>
      <c r="N233" s="51"/>
      <c r="O233" s="51">
        <f t="shared" ref="O233:O234" si="13">SUM(C233:N233)</f>
        <v>440.83</v>
      </c>
    </row>
    <row r="234" spans="2:15" ht="18">
      <c r="B234" s="258" t="s">
        <v>23</v>
      </c>
      <c r="C234" s="51">
        <f>+C232+C233</f>
        <v>628.44000000000005</v>
      </c>
      <c r="D234" s="51">
        <f t="shared" ref="D234:N234" si="14">+D232+D233</f>
        <v>1271.92</v>
      </c>
      <c r="E234" s="51">
        <f t="shared" si="14"/>
        <v>1106.99</v>
      </c>
      <c r="F234" s="51">
        <f t="shared" si="14"/>
        <v>1088.25</v>
      </c>
      <c r="G234" s="51">
        <f t="shared" si="14"/>
        <v>596.39</v>
      </c>
      <c r="H234" s="51">
        <f t="shared" si="14"/>
        <v>353.93</v>
      </c>
      <c r="I234" s="51">
        <f t="shared" si="14"/>
        <v>593.77</v>
      </c>
      <c r="J234" s="51">
        <f t="shared" si="14"/>
        <v>1086.8900000000001</v>
      </c>
      <c r="K234" s="51">
        <f t="shared" si="14"/>
        <v>282.08</v>
      </c>
      <c r="L234" s="51">
        <f t="shared" si="14"/>
        <v>1056.8800000000001</v>
      </c>
      <c r="M234" s="51">
        <f t="shared" si="14"/>
        <v>0</v>
      </c>
      <c r="N234" s="51">
        <f t="shared" si="14"/>
        <v>0</v>
      </c>
      <c r="O234" s="51">
        <f t="shared" si="13"/>
        <v>8065.5400000000009</v>
      </c>
    </row>
    <row r="236" spans="2:15" ht="13.5" thickBot="1"/>
    <row r="237" spans="2:15">
      <c r="B237" s="3031" t="s">
        <v>4086</v>
      </c>
      <c r="C237" s="2801"/>
      <c r="D237" s="2801"/>
      <c r="E237" s="2801"/>
      <c r="F237" s="2801"/>
      <c r="G237" s="2801"/>
      <c r="H237" s="2801"/>
      <c r="I237" s="2801"/>
      <c r="J237" s="2801"/>
      <c r="K237" s="2801"/>
      <c r="L237" s="2801"/>
      <c r="M237" s="2801"/>
      <c r="N237" s="2801"/>
      <c r="O237" s="3032"/>
    </row>
    <row r="238" spans="2:15" ht="15">
      <c r="B238" s="31"/>
      <c r="C238" s="51" t="s">
        <v>178</v>
      </c>
      <c r="D238" s="51" t="s">
        <v>131</v>
      </c>
      <c r="E238" s="51" t="s">
        <v>132</v>
      </c>
      <c r="F238" s="51" t="s">
        <v>133</v>
      </c>
      <c r="G238" s="51" t="s">
        <v>179</v>
      </c>
      <c r="H238" s="51" t="s">
        <v>180</v>
      </c>
      <c r="I238" s="2666">
        <v>44105</v>
      </c>
      <c r="J238" s="2666">
        <v>44136</v>
      </c>
      <c r="K238" s="2666">
        <v>44166</v>
      </c>
      <c r="L238" s="2666">
        <v>44197</v>
      </c>
      <c r="M238" s="2666">
        <v>44228</v>
      </c>
      <c r="N238" s="2666">
        <v>44256</v>
      </c>
      <c r="O238" s="53" t="s">
        <v>121</v>
      </c>
    </row>
    <row r="239" spans="2:15" ht="15">
      <c r="B239" s="2667" t="s">
        <v>4087</v>
      </c>
      <c r="O239" s="63"/>
    </row>
    <row r="240" spans="2:15" ht="15">
      <c r="B240" s="2667" t="s">
        <v>356</v>
      </c>
      <c r="C240" s="51">
        <v>158.38999999999999</v>
      </c>
      <c r="D240" s="51">
        <v>1259.6600000000001</v>
      </c>
      <c r="E240" s="51">
        <v>1559.65</v>
      </c>
      <c r="F240" s="51">
        <v>2115.33</v>
      </c>
      <c r="G240" s="51">
        <v>2150.66</v>
      </c>
      <c r="H240" s="51">
        <v>1463.17</v>
      </c>
      <c r="I240" s="51">
        <v>1021.44</v>
      </c>
      <c r="J240" s="51">
        <v>1585.97</v>
      </c>
      <c r="K240" s="51">
        <v>1967.82</v>
      </c>
      <c r="L240" s="51">
        <v>1577.09</v>
      </c>
      <c r="M240" s="51">
        <v>2040.95</v>
      </c>
      <c r="N240" s="51">
        <v>620.65</v>
      </c>
      <c r="O240" s="53">
        <f t="shared" ref="O240:O242" si="15">SUM(C240:N240)</f>
        <v>17520.780000000002</v>
      </c>
    </row>
    <row r="241" spans="2:15" ht="15">
      <c r="B241" s="2667" t="s">
        <v>347</v>
      </c>
      <c r="C241" s="51"/>
      <c r="D241" s="51"/>
      <c r="E241" s="51"/>
      <c r="F241" s="51"/>
      <c r="G241" s="51"/>
      <c r="H241" s="51"/>
      <c r="I241" s="51"/>
      <c r="J241" s="51">
        <v>87.81</v>
      </c>
      <c r="K241" s="51"/>
      <c r="L241" s="51"/>
      <c r="M241" s="51">
        <v>94.82</v>
      </c>
      <c r="N241" s="51">
        <v>45.08</v>
      </c>
      <c r="O241" s="53">
        <f t="shared" si="15"/>
        <v>227.70999999999998</v>
      </c>
    </row>
    <row r="242" spans="2:15" ht="15">
      <c r="B242" s="2667" t="s">
        <v>2284</v>
      </c>
      <c r="C242" s="51">
        <f>+C241+C240</f>
        <v>158.38999999999999</v>
      </c>
      <c r="D242" s="51">
        <f t="shared" ref="D242:N242" si="16">+D241+D240</f>
        <v>1259.6600000000001</v>
      </c>
      <c r="E242" s="51">
        <f t="shared" si="16"/>
        <v>1559.65</v>
      </c>
      <c r="F242" s="51">
        <f t="shared" si="16"/>
        <v>2115.33</v>
      </c>
      <c r="G242" s="51">
        <f t="shared" si="16"/>
        <v>2150.66</v>
      </c>
      <c r="H242" s="51">
        <f t="shared" si="16"/>
        <v>1463.17</v>
      </c>
      <c r="I242" s="51">
        <f t="shared" si="16"/>
        <v>1021.44</v>
      </c>
      <c r="J242" s="51">
        <f t="shared" si="16"/>
        <v>1673.78</v>
      </c>
      <c r="K242" s="51">
        <f t="shared" si="16"/>
        <v>1967.82</v>
      </c>
      <c r="L242" s="51">
        <f t="shared" si="16"/>
        <v>1577.09</v>
      </c>
      <c r="M242" s="51">
        <f t="shared" si="16"/>
        <v>2135.77</v>
      </c>
      <c r="N242" s="51">
        <f t="shared" si="16"/>
        <v>665.73</v>
      </c>
      <c r="O242" s="53">
        <f t="shared" si="15"/>
        <v>17748.490000000002</v>
      </c>
    </row>
    <row r="243" spans="2:15" ht="15">
      <c r="B243" s="2667" t="s">
        <v>3098</v>
      </c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3">
        <f>SUM(C243:N243)</f>
        <v>0</v>
      </c>
    </row>
    <row r="244" spans="2:15" ht="15">
      <c r="B244" s="2667" t="s">
        <v>2273</v>
      </c>
      <c r="C244" s="51"/>
      <c r="D244" s="51"/>
      <c r="E244" s="51">
        <v>214.77</v>
      </c>
      <c r="F244" s="51">
        <v>77.44</v>
      </c>
      <c r="G244" s="51"/>
      <c r="H244" s="51">
        <v>63.01</v>
      </c>
      <c r="I244" s="51">
        <v>9.91</v>
      </c>
      <c r="J244" s="51"/>
      <c r="K244" s="51"/>
      <c r="L244" s="51"/>
      <c r="M244" s="51"/>
      <c r="N244" s="51"/>
      <c r="O244" s="53">
        <f>SUM(C244:N244)</f>
        <v>365.13000000000005</v>
      </c>
    </row>
    <row r="245" spans="2:15" ht="15">
      <c r="B245" s="2667" t="s">
        <v>4088</v>
      </c>
      <c r="C245" s="51"/>
      <c r="D245" s="51"/>
      <c r="E245" s="51">
        <v>44.85</v>
      </c>
      <c r="F245" s="51"/>
      <c r="G245" s="51"/>
      <c r="H245" s="51">
        <v>11.14</v>
      </c>
      <c r="I245" s="51">
        <v>86.93</v>
      </c>
      <c r="J245" s="51"/>
      <c r="K245" s="51"/>
      <c r="L245" s="51">
        <v>21.61</v>
      </c>
      <c r="M245" s="51"/>
      <c r="N245" s="51"/>
      <c r="O245" s="53">
        <f t="shared" ref="O245:O246" si="17">SUM(C245:N245)</f>
        <v>164.53000000000003</v>
      </c>
    </row>
    <row r="246" spans="2:15" ht="15">
      <c r="B246" s="2667" t="s">
        <v>2284</v>
      </c>
      <c r="C246" s="51">
        <f>+C245+C244</f>
        <v>0</v>
      </c>
      <c r="D246" s="51">
        <f t="shared" ref="D246:N246" si="18">+D245+D244</f>
        <v>0</v>
      </c>
      <c r="E246" s="51">
        <f t="shared" si="18"/>
        <v>259.62</v>
      </c>
      <c r="F246" s="51">
        <f t="shared" si="18"/>
        <v>77.44</v>
      </c>
      <c r="G246" s="51">
        <f t="shared" si="18"/>
        <v>0</v>
      </c>
      <c r="H246" s="51">
        <f t="shared" si="18"/>
        <v>74.150000000000006</v>
      </c>
      <c r="I246" s="51">
        <f t="shared" si="18"/>
        <v>96.84</v>
      </c>
      <c r="J246" s="51">
        <f t="shared" si="18"/>
        <v>0</v>
      </c>
      <c r="K246" s="51">
        <f t="shared" si="18"/>
        <v>0</v>
      </c>
      <c r="L246" s="51">
        <f t="shared" si="18"/>
        <v>21.61</v>
      </c>
      <c r="M246" s="51">
        <f t="shared" si="18"/>
        <v>0</v>
      </c>
      <c r="N246" s="51">
        <f t="shared" si="18"/>
        <v>0</v>
      </c>
      <c r="O246" s="53">
        <f t="shared" si="17"/>
        <v>529.66000000000008</v>
      </c>
    </row>
    <row r="247" spans="2:15" ht="15">
      <c r="B247" s="2667" t="s">
        <v>2140</v>
      </c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63"/>
    </row>
    <row r="248" spans="2:15" ht="15">
      <c r="B248" s="2667" t="s">
        <v>349</v>
      </c>
      <c r="C248" s="51"/>
      <c r="D248" s="51"/>
      <c r="E248" s="51"/>
      <c r="F248" s="51">
        <v>122.42</v>
      </c>
      <c r="G248" s="51">
        <v>60.43</v>
      </c>
      <c r="H248" s="51">
        <v>20.5</v>
      </c>
      <c r="I248" s="51">
        <f>116.93+17.35</f>
        <v>134.28</v>
      </c>
      <c r="J248" s="51">
        <f>39.91+28.06</f>
        <v>67.97</v>
      </c>
      <c r="K248" s="51">
        <v>54.48</v>
      </c>
      <c r="L248" s="51"/>
      <c r="M248" s="51"/>
      <c r="N248" s="51">
        <f>199.8+25.83</f>
        <v>225.63</v>
      </c>
      <c r="O248" s="53">
        <f t="shared" ref="O248:O250" si="19">SUM(C248:N248)</f>
        <v>685.71</v>
      </c>
    </row>
    <row r="249" spans="2:15" ht="15">
      <c r="B249" s="2667" t="s">
        <v>3095</v>
      </c>
      <c r="C249" s="51"/>
      <c r="D249" s="51"/>
      <c r="E249" s="51"/>
      <c r="F249" s="51"/>
      <c r="G249" s="51"/>
      <c r="H249" s="51">
        <v>3.54</v>
      </c>
      <c r="I249" s="51">
        <v>35.700000000000003</v>
      </c>
      <c r="J249" s="51"/>
      <c r="K249" s="51"/>
      <c r="L249" s="51"/>
      <c r="M249" s="51"/>
      <c r="N249" s="51"/>
      <c r="O249" s="53">
        <f t="shared" si="19"/>
        <v>39.24</v>
      </c>
    </row>
    <row r="250" spans="2:15" ht="15">
      <c r="B250" s="2667" t="s">
        <v>2272</v>
      </c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>
        <v>253.44</v>
      </c>
      <c r="O250" s="53">
        <f t="shared" si="19"/>
        <v>253.44</v>
      </c>
    </row>
    <row r="251" spans="2:15" ht="15">
      <c r="B251" s="2667" t="s">
        <v>4030</v>
      </c>
      <c r="C251" s="51">
        <f>C250+C249+C248</f>
        <v>0</v>
      </c>
      <c r="D251" s="51">
        <f t="shared" ref="D251:O251" si="20">D250+D249+D248</f>
        <v>0</v>
      </c>
      <c r="E251" s="51">
        <f t="shared" si="20"/>
        <v>0</v>
      </c>
      <c r="F251" s="51">
        <f t="shared" si="20"/>
        <v>122.42</v>
      </c>
      <c r="G251" s="51">
        <f t="shared" si="20"/>
        <v>60.43</v>
      </c>
      <c r="H251" s="51">
        <f t="shared" si="20"/>
        <v>24.04</v>
      </c>
      <c r="I251" s="51">
        <f t="shared" si="20"/>
        <v>169.98000000000002</v>
      </c>
      <c r="J251" s="51">
        <f t="shared" si="20"/>
        <v>67.97</v>
      </c>
      <c r="K251" s="51">
        <f t="shared" si="20"/>
        <v>54.48</v>
      </c>
      <c r="L251" s="51">
        <f t="shared" si="20"/>
        <v>0</v>
      </c>
      <c r="M251" s="51">
        <f t="shared" si="20"/>
        <v>0</v>
      </c>
      <c r="N251" s="51">
        <f t="shared" si="20"/>
        <v>479.07</v>
      </c>
      <c r="O251" s="63">
        <f t="shared" si="20"/>
        <v>978.3900000000001</v>
      </c>
    </row>
    <row r="252" spans="2:15" ht="15">
      <c r="B252" s="2667" t="s">
        <v>4089</v>
      </c>
      <c r="C252" s="51">
        <f t="shared" ref="C252:O252" si="21">+C251+C246</f>
        <v>0</v>
      </c>
      <c r="D252" s="51">
        <f t="shared" si="21"/>
        <v>0</v>
      </c>
      <c r="E252" s="51">
        <f t="shared" si="21"/>
        <v>259.62</v>
      </c>
      <c r="F252" s="51">
        <f t="shared" si="21"/>
        <v>199.86</v>
      </c>
      <c r="G252" s="51">
        <f t="shared" si="21"/>
        <v>60.43</v>
      </c>
      <c r="H252" s="51">
        <f t="shared" si="21"/>
        <v>98.19</v>
      </c>
      <c r="I252" s="51">
        <f t="shared" si="21"/>
        <v>266.82000000000005</v>
      </c>
      <c r="J252" s="51">
        <f t="shared" si="21"/>
        <v>67.97</v>
      </c>
      <c r="K252" s="51">
        <f t="shared" si="21"/>
        <v>54.48</v>
      </c>
      <c r="L252" s="51">
        <f t="shared" si="21"/>
        <v>21.61</v>
      </c>
      <c r="M252" s="51">
        <f t="shared" si="21"/>
        <v>0</v>
      </c>
      <c r="N252" s="51">
        <f t="shared" si="21"/>
        <v>479.07</v>
      </c>
      <c r="O252" s="51">
        <f t="shared" si="21"/>
        <v>1508.0500000000002</v>
      </c>
    </row>
    <row r="253" spans="2:15" ht="15">
      <c r="B253" s="2667" t="s">
        <v>427</v>
      </c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3">
        <f t="shared" ref="O253:O254" si="22">SUM(C253:N253)</f>
        <v>0</v>
      </c>
    </row>
    <row r="254" spans="2:15" ht="15">
      <c r="B254" s="2667" t="s">
        <v>351</v>
      </c>
      <c r="C254" s="51"/>
      <c r="D254" s="51"/>
      <c r="E254" s="51"/>
      <c r="F254" s="51"/>
      <c r="G254" s="51"/>
      <c r="H254" s="51"/>
      <c r="I254" s="51"/>
      <c r="J254" s="51">
        <v>497.07</v>
      </c>
      <c r="K254" s="51"/>
      <c r="L254" s="51"/>
      <c r="M254" s="51"/>
      <c r="N254" s="51"/>
      <c r="O254" s="53">
        <f t="shared" si="22"/>
        <v>497.07</v>
      </c>
    </row>
    <row r="255" spans="2:15" ht="15">
      <c r="B255" s="2667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3"/>
    </row>
    <row r="256" spans="2:15" ht="15">
      <c r="B256" s="2667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</row>
    <row r="257" spans="2:15" ht="15">
      <c r="B257" s="2667" t="s">
        <v>437</v>
      </c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</row>
    <row r="258" spans="2:15" ht="15">
      <c r="B258" s="2667" t="s">
        <v>332</v>
      </c>
      <c r="C258" s="51"/>
      <c r="D258" s="51"/>
      <c r="E258" s="51">
        <v>186.42</v>
      </c>
      <c r="F258" s="51">
        <v>10.689</v>
      </c>
      <c r="G258" s="51"/>
      <c r="H258" s="51"/>
      <c r="I258" s="51"/>
      <c r="J258" s="51"/>
      <c r="K258" s="51"/>
      <c r="L258" s="51"/>
      <c r="M258" s="51"/>
      <c r="N258" s="51"/>
      <c r="O258" s="53">
        <f t="shared" ref="O258:O264" si="23">SUM(C258:N258)</f>
        <v>197.10899999999998</v>
      </c>
    </row>
    <row r="259" spans="2:15" ht="15">
      <c r="B259" s="2667" t="s">
        <v>2045</v>
      </c>
      <c r="C259" s="51"/>
      <c r="D259" s="51"/>
      <c r="E259" s="51"/>
      <c r="F259" s="51">
        <v>348.54</v>
      </c>
      <c r="G259" s="51">
        <v>39.659999999999997</v>
      </c>
      <c r="H259" s="51">
        <v>90.73</v>
      </c>
      <c r="I259" s="51">
        <v>271.79000000000002</v>
      </c>
      <c r="J259" s="51">
        <v>7.94</v>
      </c>
      <c r="K259" s="51"/>
      <c r="L259" s="51"/>
      <c r="M259" s="51">
        <v>55.63</v>
      </c>
      <c r="N259" s="51"/>
      <c r="O259" s="53">
        <f t="shared" si="23"/>
        <v>814.29000000000008</v>
      </c>
    </row>
    <row r="260" spans="2:15" ht="15">
      <c r="B260" s="2667" t="s">
        <v>325</v>
      </c>
      <c r="C260" s="51"/>
      <c r="D260" s="51"/>
      <c r="E260" s="51"/>
      <c r="F260" s="51"/>
      <c r="G260" s="51"/>
      <c r="H260" s="51"/>
      <c r="I260" s="51"/>
      <c r="J260" s="51">
        <v>178.27</v>
      </c>
      <c r="K260" s="51">
        <v>295.15499999999997</v>
      </c>
      <c r="L260" s="51">
        <v>191.28</v>
      </c>
      <c r="M260" s="51">
        <v>242.33</v>
      </c>
      <c r="N260" s="51"/>
      <c r="O260" s="53">
        <f t="shared" si="23"/>
        <v>907.03499999999997</v>
      </c>
    </row>
    <row r="261" spans="2:15" ht="15">
      <c r="B261" s="2667" t="s">
        <v>339</v>
      </c>
      <c r="C261" s="51"/>
      <c r="D261" s="51"/>
      <c r="E261" s="51"/>
      <c r="F261" s="51"/>
      <c r="G261" s="51"/>
      <c r="H261" s="51"/>
      <c r="I261" s="51"/>
      <c r="J261" s="51">
        <v>129.30000000000001</v>
      </c>
      <c r="K261" s="51">
        <v>111.05</v>
      </c>
      <c r="L261" s="51">
        <v>112.95</v>
      </c>
      <c r="M261" s="51">
        <v>3.85</v>
      </c>
      <c r="N261" s="51"/>
      <c r="O261" s="53">
        <f t="shared" si="23"/>
        <v>357.15000000000003</v>
      </c>
    </row>
    <row r="262" spans="2:15" ht="15">
      <c r="B262" s="2667" t="s">
        <v>470</v>
      </c>
      <c r="C262" s="51"/>
      <c r="D262" s="51"/>
      <c r="E262" s="51"/>
      <c r="F262" s="51">
        <v>24.72</v>
      </c>
      <c r="G262" s="51"/>
      <c r="H262" s="51"/>
      <c r="I262" s="51"/>
      <c r="J262" s="51"/>
      <c r="K262" s="51"/>
      <c r="L262" s="51"/>
      <c r="M262" s="51"/>
      <c r="N262" s="51"/>
      <c r="O262" s="53">
        <f t="shared" si="23"/>
        <v>24.72</v>
      </c>
    </row>
    <row r="263" spans="2:15" ht="15">
      <c r="B263" s="2667" t="s">
        <v>123</v>
      </c>
      <c r="C263" s="51"/>
      <c r="D263" s="51"/>
      <c r="E263" s="51"/>
      <c r="F263" s="51">
        <v>107.9</v>
      </c>
      <c r="G263" s="51"/>
      <c r="H263" s="51"/>
      <c r="I263" s="51"/>
      <c r="J263" s="51"/>
      <c r="K263" s="51">
        <v>89.9</v>
      </c>
      <c r="L263" s="51">
        <v>109.32</v>
      </c>
      <c r="M263" s="51">
        <v>37.82</v>
      </c>
      <c r="N263" s="51"/>
      <c r="O263" s="53">
        <f t="shared" si="23"/>
        <v>344.94</v>
      </c>
    </row>
    <row r="264" spans="2:15" ht="15">
      <c r="B264" s="31"/>
      <c r="C264" s="51">
        <f>SUM(C258:C263)</f>
        <v>0</v>
      </c>
      <c r="D264" s="51">
        <f t="shared" ref="D264:N264" si="24">SUM(D258:D263)</f>
        <v>0</v>
      </c>
      <c r="E264" s="51">
        <f t="shared" si="24"/>
        <v>186.42</v>
      </c>
      <c r="F264" s="51">
        <f t="shared" si="24"/>
        <v>491.84900000000005</v>
      </c>
      <c r="G264" s="51">
        <f t="shared" si="24"/>
        <v>39.659999999999997</v>
      </c>
      <c r="H264" s="51">
        <f t="shared" si="24"/>
        <v>90.73</v>
      </c>
      <c r="I264" s="51">
        <f t="shared" si="24"/>
        <v>271.79000000000002</v>
      </c>
      <c r="J264" s="51">
        <f t="shared" si="24"/>
        <v>315.51</v>
      </c>
      <c r="K264" s="51">
        <f t="shared" si="24"/>
        <v>496.10500000000002</v>
      </c>
      <c r="L264" s="51">
        <f t="shared" si="24"/>
        <v>413.55</v>
      </c>
      <c r="M264" s="51">
        <f t="shared" si="24"/>
        <v>339.63000000000005</v>
      </c>
      <c r="N264" s="51">
        <f t="shared" si="24"/>
        <v>0</v>
      </c>
      <c r="O264" s="53">
        <f t="shared" si="23"/>
        <v>2645.2440000000001</v>
      </c>
    </row>
    <row r="265" spans="2:15" ht="15.75" thickBot="1">
      <c r="B265" s="7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9"/>
    </row>
    <row r="268" spans="2:15" ht="13.5" thickBot="1"/>
    <row r="269" spans="2:15">
      <c r="B269" s="3031" t="s">
        <v>4090</v>
      </c>
      <c r="C269" s="2801"/>
      <c r="D269" s="2801"/>
      <c r="E269" s="2801"/>
      <c r="F269" s="2801"/>
      <c r="G269" s="2801"/>
      <c r="H269" s="2801"/>
      <c r="I269" s="2801"/>
      <c r="J269" s="2801"/>
      <c r="K269" s="2801"/>
      <c r="L269" s="2801"/>
      <c r="M269" s="2801"/>
      <c r="N269" s="2801"/>
      <c r="O269" s="3032"/>
    </row>
    <row r="270" spans="2:15" ht="15">
      <c r="B270" s="31"/>
      <c r="C270" s="51" t="s">
        <v>191</v>
      </c>
      <c r="D270" s="51" t="s">
        <v>192</v>
      </c>
      <c r="E270" s="51" t="s">
        <v>193</v>
      </c>
      <c r="F270" s="51" t="s">
        <v>194</v>
      </c>
      <c r="G270" s="51" t="s">
        <v>195</v>
      </c>
      <c r="H270" s="51" t="s">
        <v>196</v>
      </c>
      <c r="I270" s="2666">
        <v>44470</v>
      </c>
      <c r="J270" s="2666">
        <v>44501</v>
      </c>
      <c r="K270" s="2666">
        <v>44531</v>
      </c>
      <c r="L270" s="2666">
        <v>44562</v>
      </c>
      <c r="M270" s="2666">
        <v>44593</v>
      </c>
      <c r="N270" s="51" t="s">
        <v>4084</v>
      </c>
      <c r="O270" s="51" t="s">
        <v>2351</v>
      </c>
    </row>
    <row r="271" spans="2:15" ht="15">
      <c r="B271" s="2667" t="s">
        <v>4087</v>
      </c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O271" s="63"/>
    </row>
    <row r="272" spans="2:15" ht="15">
      <c r="B272" s="2667" t="s">
        <v>356</v>
      </c>
      <c r="C272" s="51">
        <v>2941.81</v>
      </c>
      <c r="D272" s="51">
        <v>3330.74</v>
      </c>
      <c r="E272" s="51">
        <v>1711.95</v>
      </c>
      <c r="F272" s="51">
        <v>2536.9499999999998</v>
      </c>
      <c r="G272" s="51">
        <v>2412.61</v>
      </c>
      <c r="H272" s="51">
        <v>3270.93</v>
      </c>
      <c r="I272" s="51">
        <v>406.99</v>
      </c>
      <c r="J272" s="51">
        <v>2843.04</v>
      </c>
      <c r="K272" s="51">
        <v>2849.14</v>
      </c>
      <c r="L272" s="51">
        <v>2834.94</v>
      </c>
      <c r="M272" s="51">
        <v>3067.96</v>
      </c>
      <c r="N272" s="51">
        <v>522.03</v>
      </c>
      <c r="O272" s="53">
        <f t="shared" ref="O272:O274" si="25">SUM(C272:N272)</f>
        <v>28729.089999999997</v>
      </c>
    </row>
    <row r="273" spans="2:15" ht="15">
      <c r="B273" s="2667" t="s">
        <v>347</v>
      </c>
      <c r="C273" s="51">
        <v>167.98</v>
      </c>
      <c r="D273" s="51"/>
      <c r="E273" s="51">
        <v>599.53</v>
      </c>
      <c r="F273" s="51">
        <v>226.08</v>
      </c>
      <c r="G273" s="51">
        <v>677.18</v>
      </c>
      <c r="H273" s="51"/>
      <c r="I273" s="51">
        <v>346.26</v>
      </c>
      <c r="J273" s="51">
        <v>42.13</v>
      </c>
      <c r="K273" s="51"/>
      <c r="L273" s="51">
        <v>824.04</v>
      </c>
      <c r="M273" s="51">
        <v>10.95</v>
      </c>
      <c r="N273" s="51">
        <v>2212.46</v>
      </c>
      <c r="O273" s="53">
        <f t="shared" si="25"/>
        <v>5106.6099999999997</v>
      </c>
    </row>
    <row r="274" spans="2:15" ht="15">
      <c r="B274" s="2667" t="s">
        <v>344</v>
      </c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>
        <v>33.11</v>
      </c>
      <c r="O274" s="53">
        <f t="shared" si="25"/>
        <v>33.11</v>
      </c>
    </row>
    <row r="275" spans="2:15" ht="15">
      <c r="B275" s="2667" t="s">
        <v>2284</v>
      </c>
      <c r="C275" s="51">
        <f>SUM(C271:C274)</f>
        <v>3109.79</v>
      </c>
      <c r="D275" s="51">
        <f t="shared" ref="D275:N275" si="26">SUM(D271:D274)</f>
        <v>3330.74</v>
      </c>
      <c r="E275" s="51">
        <f t="shared" si="26"/>
        <v>2311.48</v>
      </c>
      <c r="F275" s="51">
        <f t="shared" si="26"/>
        <v>2763.0299999999997</v>
      </c>
      <c r="G275" s="51">
        <f t="shared" si="26"/>
        <v>3089.79</v>
      </c>
      <c r="H275" s="51">
        <f t="shared" si="26"/>
        <v>3270.93</v>
      </c>
      <c r="I275" s="51">
        <f t="shared" si="26"/>
        <v>753.25</v>
      </c>
      <c r="J275" s="51">
        <f t="shared" si="26"/>
        <v>2885.17</v>
      </c>
      <c r="K275" s="51">
        <f t="shared" si="26"/>
        <v>2849.14</v>
      </c>
      <c r="L275" s="51">
        <f t="shared" si="26"/>
        <v>3658.98</v>
      </c>
      <c r="M275" s="51">
        <f t="shared" si="26"/>
        <v>3078.91</v>
      </c>
      <c r="N275" s="51">
        <f t="shared" si="26"/>
        <v>2767.6</v>
      </c>
      <c r="O275" s="51">
        <f>SUM(O271:O274)</f>
        <v>33868.81</v>
      </c>
    </row>
    <row r="276" spans="2:15" ht="15">
      <c r="B276" s="2667" t="s">
        <v>3098</v>
      </c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3">
        <f>SUM(C276:N276)</f>
        <v>0</v>
      </c>
    </row>
    <row r="277" spans="2:15" ht="15">
      <c r="B277" s="2667" t="s">
        <v>2273</v>
      </c>
      <c r="C277" s="51"/>
      <c r="D277" s="51"/>
      <c r="E277" s="51"/>
      <c r="F277" s="51"/>
      <c r="G277" s="51"/>
      <c r="H277" s="51"/>
      <c r="I277" s="51">
        <v>39.15</v>
      </c>
      <c r="J277" s="51"/>
      <c r="K277" s="51"/>
      <c r="L277" s="51"/>
      <c r="M277" s="51"/>
      <c r="N277" s="51"/>
      <c r="O277" s="53">
        <f>SUM(C277:N277)</f>
        <v>39.15</v>
      </c>
    </row>
    <row r="278" spans="2:15" ht="15">
      <c r="B278" s="2667" t="s">
        <v>4088</v>
      </c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3">
        <f t="shared" ref="O278:O279" si="27">SUM(C278:N278)</f>
        <v>0</v>
      </c>
    </row>
    <row r="279" spans="2:15" ht="15">
      <c r="B279" s="2667" t="s">
        <v>2284</v>
      </c>
      <c r="C279" s="51">
        <f>+C278+C277</f>
        <v>0</v>
      </c>
      <c r="D279" s="51">
        <f t="shared" ref="D279" si="28">+D278+D277</f>
        <v>0</v>
      </c>
      <c r="E279" s="51">
        <f t="shared" ref="E279" si="29">+E278+E277</f>
        <v>0</v>
      </c>
      <c r="F279" s="51">
        <f t="shared" ref="F279" si="30">+F278+F277</f>
        <v>0</v>
      </c>
      <c r="G279" s="51">
        <f t="shared" ref="G279" si="31">+G278+G277</f>
        <v>0</v>
      </c>
      <c r="H279" s="51">
        <f t="shared" ref="H279" si="32">+H278+H277</f>
        <v>0</v>
      </c>
      <c r="I279" s="51">
        <f t="shared" ref="I279" si="33">+I278+I277</f>
        <v>39.15</v>
      </c>
      <c r="J279" s="51">
        <f t="shared" ref="J279" si="34">+J278+J277</f>
        <v>0</v>
      </c>
      <c r="K279" s="51">
        <f t="shared" ref="K279" si="35">+K278+K277</f>
        <v>0</v>
      </c>
      <c r="L279" s="51">
        <f t="shared" ref="L279" si="36">+L278+L277</f>
        <v>0</v>
      </c>
      <c r="M279" s="51">
        <f t="shared" ref="M279" si="37">+M278+M277</f>
        <v>0</v>
      </c>
      <c r="N279" s="51">
        <f t="shared" ref="N279" si="38">+N278+N277</f>
        <v>0</v>
      </c>
      <c r="O279" s="53">
        <f t="shared" si="27"/>
        <v>39.15</v>
      </c>
    </row>
    <row r="280" spans="2:15" ht="15">
      <c r="B280" s="2667" t="s">
        <v>2140</v>
      </c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63"/>
    </row>
    <row r="281" spans="2:15" ht="15">
      <c r="B281" s="2667" t="s">
        <v>349</v>
      </c>
      <c r="C281" s="51">
        <v>38.97</v>
      </c>
      <c r="D281" s="51">
        <v>21.76</v>
      </c>
      <c r="E281" s="51">
        <v>226.95</v>
      </c>
      <c r="F281" s="51">
        <v>70.05</v>
      </c>
      <c r="G281" s="51">
        <v>62.55</v>
      </c>
      <c r="H281" s="51"/>
      <c r="I281" s="51"/>
      <c r="J281" s="51"/>
      <c r="K281" s="51">
        <v>60.12</v>
      </c>
      <c r="L281" s="51"/>
      <c r="M281" s="51"/>
      <c r="N281" s="51"/>
      <c r="O281" s="53">
        <f t="shared" ref="O281:O283" si="39">SUM(C281:N281)</f>
        <v>480.40000000000003</v>
      </c>
    </row>
    <row r="282" spans="2:15" ht="15">
      <c r="B282" s="2667" t="s">
        <v>3095</v>
      </c>
      <c r="C282" s="51"/>
      <c r="D282" s="51"/>
      <c r="E282" s="51"/>
      <c r="F282" s="51"/>
      <c r="G282" s="51"/>
      <c r="H282" s="51"/>
      <c r="I282" s="51">
        <v>21.6</v>
      </c>
      <c r="J282" s="51">
        <v>60.64</v>
      </c>
      <c r="K282" s="51">
        <v>3.3</v>
      </c>
      <c r="L282" s="51"/>
      <c r="M282" s="51"/>
      <c r="N282" s="51"/>
      <c r="O282" s="53">
        <f t="shared" si="39"/>
        <v>85.54</v>
      </c>
    </row>
    <row r="283" spans="2:15" ht="15">
      <c r="B283" s="2667" t="s">
        <v>2272</v>
      </c>
      <c r="C283" s="51">
        <v>47.22</v>
      </c>
      <c r="D283" s="51">
        <v>56.74</v>
      </c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3">
        <f t="shared" si="39"/>
        <v>103.96000000000001</v>
      </c>
    </row>
    <row r="284" spans="2:15" ht="15">
      <c r="B284" s="2667" t="s">
        <v>4030</v>
      </c>
      <c r="C284" s="51">
        <f>C283+C282+C281</f>
        <v>86.19</v>
      </c>
      <c r="D284" s="51">
        <f t="shared" ref="D284" si="40">D283+D282+D281</f>
        <v>78.5</v>
      </c>
      <c r="E284" s="51">
        <f t="shared" ref="E284" si="41">E283+E282+E281</f>
        <v>226.95</v>
      </c>
      <c r="F284" s="51">
        <f t="shared" ref="F284" si="42">F283+F282+F281</f>
        <v>70.05</v>
      </c>
      <c r="G284" s="51">
        <f t="shared" ref="G284" si="43">G283+G282+G281</f>
        <v>62.55</v>
      </c>
      <c r="H284" s="51">
        <f t="shared" ref="H284" si="44">H283+H282+H281</f>
        <v>0</v>
      </c>
      <c r="I284" s="51">
        <f t="shared" ref="I284" si="45">I283+I282+I281</f>
        <v>21.6</v>
      </c>
      <c r="J284" s="51">
        <f t="shared" ref="J284" si="46">J283+J282+J281</f>
        <v>60.64</v>
      </c>
      <c r="K284" s="51">
        <f t="shared" ref="K284" si="47">K283+K282+K281</f>
        <v>63.419999999999995</v>
      </c>
      <c r="L284" s="51">
        <f t="shared" ref="L284" si="48">L283+L282+L281</f>
        <v>0</v>
      </c>
      <c r="M284" s="51">
        <f t="shared" ref="M284" si="49">M283+M282+M281</f>
        <v>0</v>
      </c>
      <c r="N284" s="51">
        <f t="shared" ref="N284" si="50">N283+N282+N281</f>
        <v>0</v>
      </c>
      <c r="O284" s="63">
        <f t="shared" ref="O284" si="51">O283+O282+O281</f>
        <v>669.90000000000009</v>
      </c>
    </row>
    <row r="285" spans="2:15" ht="15">
      <c r="B285" s="2667" t="s">
        <v>4089</v>
      </c>
      <c r="C285" s="51">
        <f>+C284+C279</f>
        <v>86.19</v>
      </c>
      <c r="D285" s="51">
        <f t="shared" ref="D285" si="52">+D284+D279</f>
        <v>78.5</v>
      </c>
      <c r="E285" s="51">
        <f t="shared" ref="E285" si="53">+E284+E279</f>
        <v>226.95</v>
      </c>
      <c r="F285" s="51">
        <f t="shared" ref="F285" si="54">+F284+F279</f>
        <v>70.05</v>
      </c>
      <c r="G285" s="51">
        <f t="shared" ref="G285" si="55">+G284+G279</f>
        <v>62.55</v>
      </c>
      <c r="H285" s="51">
        <f t="shared" ref="H285" si="56">+H284+H279</f>
        <v>0</v>
      </c>
      <c r="I285" s="51">
        <f t="shared" ref="I285" si="57">+I284+I279</f>
        <v>60.75</v>
      </c>
      <c r="J285" s="51">
        <f t="shared" ref="J285" si="58">+J284+J279</f>
        <v>60.64</v>
      </c>
      <c r="K285" s="51">
        <f t="shared" ref="K285" si="59">+K284+K279</f>
        <v>63.419999999999995</v>
      </c>
      <c r="L285" s="51">
        <f t="shared" ref="L285" si="60">+L284+L279</f>
        <v>0</v>
      </c>
      <c r="M285" s="51">
        <f t="shared" ref="M285" si="61">+M284+M279</f>
        <v>0</v>
      </c>
      <c r="N285" s="51">
        <f t="shared" ref="N285" si="62">+N284+N279</f>
        <v>0</v>
      </c>
      <c r="O285" s="51">
        <f t="shared" ref="O285" si="63">+O284+O279</f>
        <v>709.05000000000007</v>
      </c>
    </row>
    <row r="286" spans="2:15" ht="15">
      <c r="B286" s="2667" t="s">
        <v>4091</v>
      </c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956"/>
    </row>
    <row r="287" spans="2:15" ht="15">
      <c r="B287" s="2667" t="s">
        <v>351</v>
      </c>
      <c r="C287" s="51"/>
      <c r="D287" s="51"/>
      <c r="E287" s="51">
        <v>386.4</v>
      </c>
      <c r="F287" s="51">
        <v>80.040000000000006</v>
      </c>
      <c r="G287" s="51">
        <v>486.62</v>
      </c>
      <c r="H287" s="51"/>
      <c r="I287" s="51">
        <v>262.75</v>
      </c>
      <c r="J287" s="51">
        <v>150.80000000000001</v>
      </c>
      <c r="K287" s="51">
        <v>136.30000000000001</v>
      </c>
      <c r="L287" s="51">
        <v>0</v>
      </c>
      <c r="M287" s="51">
        <v>0</v>
      </c>
      <c r="N287" s="51">
        <v>81.290000000000006</v>
      </c>
      <c r="O287" s="53">
        <f t="shared" ref="O287" si="64">SUM(C287:N287)</f>
        <v>1584.1999999999998</v>
      </c>
    </row>
    <row r="288" spans="2:15" ht="15">
      <c r="B288" s="2667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956"/>
    </row>
    <row r="289" spans="2:15" ht="15">
      <c r="B289" s="2667" t="s">
        <v>437</v>
      </c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63"/>
    </row>
    <row r="290" spans="2:15" ht="15">
      <c r="B290" s="2667" t="s">
        <v>332</v>
      </c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63"/>
    </row>
    <row r="291" spans="2:15" ht="15">
      <c r="B291" s="2667" t="s">
        <v>2045</v>
      </c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3">
        <f t="shared" ref="O291:O297" si="65">SUM(C291:N291)</f>
        <v>0</v>
      </c>
    </row>
    <row r="292" spans="2:15" ht="15">
      <c r="B292" s="2667" t="s">
        <v>325</v>
      </c>
      <c r="C292" s="51">
        <v>50.69</v>
      </c>
      <c r="D292" s="51">
        <v>223.59</v>
      </c>
      <c r="E292" s="51">
        <v>251.02</v>
      </c>
      <c r="F292" s="51">
        <v>114.84</v>
      </c>
      <c r="G292" s="51">
        <v>97.2</v>
      </c>
      <c r="H292" s="51"/>
      <c r="I292" s="51"/>
      <c r="J292" s="51"/>
      <c r="K292" s="51"/>
      <c r="L292" s="51"/>
      <c r="M292" s="51"/>
      <c r="N292" s="51"/>
      <c r="O292" s="53">
        <f t="shared" si="65"/>
        <v>737.34</v>
      </c>
    </row>
    <row r="293" spans="2:15" ht="15">
      <c r="B293" s="2667" t="s">
        <v>339</v>
      </c>
      <c r="C293" s="51"/>
      <c r="D293" s="51"/>
      <c r="E293" s="51"/>
      <c r="F293" s="51"/>
      <c r="G293" s="51">
        <v>78.22</v>
      </c>
      <c r="H293" s="51"/>
      <c r="I293" s="51"/>
      <c r="J293" s="51"/>
      <c r="K293" s="51"/>
      <c r="L293" s="51"/>
      <c r="M293" s="51"/>
      <c r="N293" s="51"/>
      <c r="O293" s="53">
        <f t="shared" si="65"/>
        <v>78.22</v>
      </c>
    </row>
    <row r="294" spans="2:15" ht="15">
      <c r="B294" s="2667" t="s">
        <v>470</v>
      </c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3">
        <f t="shared" si="65"/>
        <v>0</v>
      </c>
    </row>
    <row r="295" spans="2:15" ht="15">
      <c r="B295" s="2667" t="s">
        <v>3915</v>
      </c>
      <c r="C295" s="51"/>
      <c r="D295" s="51"/>
      <c r="E295" s="51"/>
      <c r="F295" s="51">
        <v>11.45</v>
      </c>
      <c r="G295" s="51">
        <v>34.74</v>
      </c>
      <c r="H295" s="51"/>
      <c r="I295" s="51"/>
      <c r="J295" s="51"/>
      <c r="K295" s="51"/>
      <c r="L295" s="51"/>
      <c r="M295" s="51"/>
      <c r="N295" s="51"/>
      <c r="O295" s="53">
        <f t="shared" si="65"/>
        <v>46.19</v>
      </c>
    </row>
    <row r="296" spans="2:15" ht="15">
      <c r="B296" s="2667" t="s">
        <v>123</v>
      </c>
      <c r="C296" s="51"/>
      <c r="D296" s="51">
        <v>159.87</v>
      </c>
      <c r="E296" s="51">
        <v>8.75</v>
      </c>
      <c r="F296" s="51"/>
      <c r="G296" s="51">
        <v>102.24</v>
      </c>
      <c r="H296" s="51">
        <v>188.44</v>
      </c>
      <c r="I296" s="51">
        <v>14.74</v>
      </c>
      <c r="J296" s="51"/>
      <c r="K296" s="51"/>
      <c r="L296" s="51"/>
      <c r="M296" s="51"/>
      <c r="N296" s="51"/>
      <c r="O296" s="53">
        <f t="shared" si="65"/>
        <v>474.04</v>
      </c>
    </row>
    <row r="297" spans="2:15" ht="15">
      <c r="B297" s="31"/>
      <c r="C297" s="51">
        <f>SUM(C290:C296)</f>
        <v>50.69</v>
      </c>
      <c r="D297" s="51">
        <f t="shared" ref="D297:N297" si="66">SUM(D290:D296)</f>
        <v>383.46000000000004</v>
      </c>
      <c r="E297" s="51">
        <f t="shared" si="66"/>
        <v>259.77</v>
      </c>
      <c r="F297" s="51">
        <f t="shared" si="66"/>
        <v>126.29</v>
      </c>
      <c r="G297" s="51">
        <f t="shared" si="66"/>
        <v>312.40000000000003</v>
      </c>
      <c r="H297" s="51">
        <f t="shared" si="66"/>
        <v>188.44</v>
      </c>
      <c r="I297" s="51">
        <f t="shared" si="66"/>
        <v>14.74</v>
      </c>
      <c r="J297" s="51">
        <f t="shared" si="66"/>
        <v>0</v>
      </c>
      <c r="K297" s="51">
        <f t="shared" si="66"/>
        <v>0</v>
      </c>
      <c r="L297" s="51">
        <f t="shared" si="66"/>
        <v>0</v>
      </c>
      <c r="M297" s="51">
        <f t="shared" si="66"/>
        <v>0</v>
      </c>
      <c r="N297" s="51">
        <f t="shared" si="66"/>
        <v>0</v>
      </c>
      <c r="O297" s="53">
        <f t="shared" si="65"/>
        <v>1335.7900000000002</v>
      </c>
    </row>
    <row r="298" spans="2:15" ht="15.75" thickBot="1">
      <c r="B298" s="7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9"/>
    </row>
    <row r="300" spans="2:15" ht="13.5" thickBot="1"/>
    <row r="301" spans="2:15">
      <c r="B301" s="3031" t="s">
        <v>4092</v>
      </c>
      <c r="C301" s="2801"/>
      <c r="D301" s="2801"/>
      <c r="E301" s="2801"/>
      <c r="F301" s="2801"/>
      <c r="G301" s="2801"/>
      <c r="H301" s="2801"/>
      <c r="I301" s="2801"/>
      <c r="J301" s="2801"/>
      <c r="K301" s="2801"/>
      <c r="L301" s="2801"/>
      <c r="M301" s="2801"/>
      <c r="N301" s="2801"/>
      <c r="O301" s="3032"/>
    </row>
    <row r="302" spans="2:15" ht="15">
      <c r="B302" s="31"/>
      <c r="C302" s="51" t="s">
        <v>205</v>
      </c>
      <c r="D302" s="51" t="s">
        <v>206</v>
      </c>
      <c r="E302" s="51" t="s">
        <v>207</v>
      </c>
      <c r="F302" s="51" t="s">
        <v>208</v>
      </c>
      <c r="G302" s="51" t="s">
        <v>209</v>
      </c>
      <c r="H302" s="51" t="s">
        <v>210</v>
      </c>
      <c r="I302" s="2666">
        <v>44835</v>
      </c>
      <c r="J302" s="2666">
        <v>44866</v>
      </c>
      <c r="K302" s="2666">
        <v>44896</v>
      </c>
      <c r="L302" s="51" t="s">
        <v>216</v>
      </c>
      <c r="M302" s="2666">
        <v>44958</v>
      </c>
      <c r="N302" s="51" t="s">
        <v>4082</v>
      </c>
      <c r="O302" s="51" t="s">
        <v>2412</v>
      </c>
    </row>
    <row r="303" spans="2:15" ht="15">
      <c r="B303" s="2667" t="s">
        <v>4087</v>
      </c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O303" s="63"/>
    </row>
    <row r="304" spans="2:15" ht="15">
      <c r="B304" s="2667" t="s">
        <v>356</v>
      </c>
      <c r="C304" s="51">
        <v>1221.29</v>
      </c>
      <c r="D304" s="51">
        <v>2240.14</v>
      </c>
      <c r="E304" s="51">
        <v>3145.22</v>
      </c>
      <c r="F304" s="51">
        <v>3432.25</v>
      </c>
      <c r="G304" s="51">
        <v>3004.65</v>
      </c>
      <c r="H304" s="51">
        <v>3758.21</v>
      </c>
      <c r="I304" s="51">
        <v>2897.9</v>
      </c>
      <c r="J304" s="51">
        <v>2606.81</v>
      </c>
      <c r="K304" s="51">
        <v>3212.73</v>
      </c>
      <c r="L304" s="51">
        <v>2842</v>
      </c>
      <c r="M304" s="51">
        <v>3284.97</v>
      </c>
      <c r="N304" s="51">
        <v>3005.07</v>
      </c>
      <c r="O304" s="53">
        <f t="shared" ref="O304:O306" si="67">SUM(C304:N304)</f>
        <v>34651.240000000005</v>
      </c>
    </row>
    <row r="305" spans="2:15" ht="15">
      <c r="B305" s="2667" t="s">
        <v>347</v>
      </c>
      <c r="C305" s="51">
        <v>1892.82</v>
      </c>
      <c r="D305" s="51"/>
      <c r="E305" s="51"/>
      <c r="F305" s="51"/>
      <c r="G305" s="51">
        <v>85.96</v>
      </c>
      <c r="H305" s="51">
        <v>450.88</v>
      </c>
      <c r="I305" s="51"/>
      <c r="J305" s="51">
        <v>98.93</v>
      </c>
      <c r="K305" s="51"/>
      <c r="L305" s="51"/>
      <c r="M305" s="51"/>
      <c r="N305" s="51">
        <v>107.16</v>
      </c>
      <c r="O305" s="53">
        <f t="shared" si="67"/>
        <v>2635.7499999999995</v>
      </c>
    </row>
    <row r="306" spans="2:15" ht="15">
      <c r="B306" s="2667" t="s">
        <v>344</v>
      </c>
      <c r="C306" s="51">
        <v>105.79</v>
      </c>
      <c r="D306" s="51"/>
      <c r="E306" s="51"/>
      <c r="F306" s="51">
        <v>81.260000000000005</v>
      </c>
      <c r="G306" s="51"/>
      <c r="H306" s="51">
        <v>281.44</v>
      </c>
      <c r="I306" s="51"/>
      <c r="J306" s="51">
        <v>313.08</v>
      </c>
      <c r="K306" s="51">
        <v>286.77</v>
      </c>
      <c r="L306" s="51">
        <v>528.28</v>
      </c>
      <c r="M306" s="51"/>
      <c r="N306" s="51"/>
      <c r="O306" s="53">
        <f t="shared" si="67"/>
        <v>1596.62</v>
      </c>
    </row>
    <row r="307" spans="2:15" ht="15">
      <c r="B307" s="2667" t="s">
        <v>2284</v>
      </c>
      <c r="C307" s="51">
        <f>SUM(C304:C306)</f>
        <v>3219.8999999999996</v>
      </c>
      <c r="D307" s="51">
        <f t="shared" ref="D307:N307" si="68">SUM(D304:D306)</f>
        <v>2240.14</v>
      </c>
      <c r="E307" s="51">
        <f t="shared" si="68"/>
        <v>3145.22</v>
      </c>
      <c r="F307" s="51">
        <f t="shared" si="68"/>
        <v>3513.51</v>
      </c>
      <c r="G307" s="51">
        <f t="shared" si="68"/>
        <v>3090.61</v>
      </c>
      <c r="H307" s="51">
        <f t="shared" si="68"/>
        <v>4490.53</v>
      </c>
      <c r="I307" s="51">
        <f t="shared" si="68"/>
        <v>2897.9</v>
      </c>
      <c r="J307" s="51">
        <f t="shared" si="68"/>
        <v>3018.8199999999997</v>
      </c>
      <c r="K307" s="51">
        <f t="shared" si="68"/>
        <v>3499.5</v>
      </c>
      <c r="L307" s="51">
        <f t="shared" si="68"/>
        <v>3370.2799999999997</v>
      </c>
      <c r="M307" s="51">
        <f t="shared" si="68"/>
        <v>3284.97</v>
      </c>
      <c r="N307" s="51">
        <f t="shared" si="68"/>
        <v>3112.23</v>
      </c>
      <c r="O307" s="53">
        <f t="shared" ref="O307" si="69">SUM(C307:N307)</f>
        <v>38883.61</v>
      </c>
    </row>
    <row r="308" spans="2:15" ht="15">
      <c r="B308" s="2667" t="s">
        <v>3098</v>
      </c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3">
        <f>SUM(C308:N308)</f>
        <v>0</v>
      </c>
    </row>
    <row r="309" spans="2:15" ht="15">
      <c r="B309" s="2667" t="s">
        <v>2273</v>
      </c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>
        <v>129.22</v>
      </c>
      <c r="N309" s="51"/>
      <c r="O309" s="53">
        <f>SUM(C309:N309)</f>
        <v>129.22</v>
      </c>
    </row>
    <row r="310" spans="2:15" ht="15">
      <c r="B310" s="2667" t="s">
        <v>349</v>
      </c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>
        <v>36.270000000000003</v>
      </c>
      <c r="N310" s="51">
        <v>260.95999999999998</v>
      </c>
      <c r="O310" s="53"/>
    </row>
    <row r="311" spans="2:15" ht="15">
      <c r="B311" s="2667" t="s">
        <v>4088</v>
      </c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3">
        <f t="shared" ref="O311:O312" si="70">SUM(C311:N311)</f>
        <v>0</v>
      </c>
    </row>
    <row r="312" spans="2:15" ht="15">
      <c r="B312" s="2667" t="s">
        <v>2284</v>
      </c>
      <c r="C312" s="51">
        <f>SUM(C309:C311)</f>
        <v>0</v>
      </c>
      <c r="D312" s="51">
        <f t="shared" ref="D312:N312" si="71">SUM(D309:D311)</f>
        <v>0</v>
      </c>
      <c r="E312" s="51">
        <f t="shared" si="71"/>
        <v>0</v>
      </c>
      <c r="F312" s="51">
        <f t="shared" si="71"/>
        <v>0</v>
      </c>
      <c r="G312" s="51">
        <f t="shared" si="71"/>
        <v>0</v>
      </c>
      <c r="H312" s="51">
        <f t="shared" si="71"/>
        <v>0</v>
      </c>
      <c r="I312" s="51">
        <f t="shared" si="71"/>
        <v>0</v>
      </c>
      <c r="J312" s="51">
        <f t="shared" si="71"/>
        <v>0</v>
      </c>
      <c r="K312" s="51">
        <f t="shared" si="71"/>
        <v>0</v>
      </c>
      <c r="L312" s="51">
        <f t="shared" si="71"/>
        <v>0</v>
      </c>
      <c r="M312" s="51">
        <f t="shared" si="71"/>
        <v>165.49</v>
      </c>
      <c r="N312" s="51">
        <f t="shared" si="71"/>
        <v>260.95999999999998</v>
      </c>
      <c r="O312" s="53">
        <f t="shared" si="70"/>
        <v>426.45</v>
      </c>
    </row>
    <row r="313" spans="2:15" ht="15">
      <c r="B313" s="2667" t="s">
        <v>2140</v>
      </c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63"/>
    </row>
    <row r="314" spans="2:15" ht="15">
      <c r="B314" s="2667" t="s">
        <v>349</v>
      </c>
      <c r="C314" s="51"/>
      <c r="D314" s="51"/>
      <c r="E314" s="51"/>
      <c r="F314" s="51">
        <v>52.11</v>
      </c>
      <c r="G314" s="51">
        <v>441.95</v>
      </c>
      <c r="H314" s="51">
        <v>342.86</v>
      </c>
      <c r="I314" s="51">
        <v>447.78</v>
      </c>
      <c r="J314" s="51">
        <v>24.92</v>
      </c>
      <c r="K314" s="51">
        <v>9.9</v>
      </c>
      <c r="L314" s="51"/>
      <c r="M314" s="51">
        <f>41.27</f>
        <v>41.27</v>
      </c>
      <c r="N314" s="51"/>
      <c r="O314" s="53">
        <f t="shared" ref="O314:O317" si="72">SUM(C314:N314)</f>
        <v>1360.7900000000002</v>
      </c>
    </row>
    <row r="315" spans="2:15" ht="15">
      <c r="B315" s="2667" t="s">
        <v>3095</v>
      </c>
      <c r="C315" s="51"/>
      <c r="D315" s="51"/>
      <c r="E315" s="51"/>
      <c r="F315" s="51"/>
      <c r="G315" s="51"/>
      <c r="H315" s="51">
        <v>123.15</v>
      </c>
      <c r="I315" s="51">
        <v>25.64</v>
      </c>
      <c r="J315" s="51">
        <v>155.03</v>
      </c>
      <c r="K315" s="51">
        <v>510.49</v>
      </c>
      <c r="L315" s="51">
        <v>323.45</v>
      </c>
      <c r="M315" s="51">
        <v>631.39</v>
      </c>
      <c r="N315" s="51">
        <v>624.75</v>
      </c>
      <c r="O315" s="53">
        <f t="shared" si="72"/>
        <v>2393.9</v>
      </c>
    </row>
    <row r="316" spans="2:15" ht="15">
      <c r="B316" s="2667" t="s">
        <v>342</v>
      </c>
      <c r="C316" s="51"/>
      <c r="D316" s="51"/>
      <c r="E316" s="51"/>
      <c r="F316" s="51"/>
      <c r="G316" s="51"/>
      <c r="H316" s="51"/>
      <c r="I316" s="51"/>
      <c r="J316" s="51"/>
      <c r="K316" s="51">
        <f>192.62+9.9</f>
        <v>202.52</v>
      </c>
      <c r="L316" s="51">
        <v>249.92</v>
      </c>
      <c r="M316" s="51">
        <v>43.25</v>
      </c>
      <c r="N316" s="51"/>
      <c r="O316" s="53">
        <f t="shared" si="72"/>
        <v>495.69</v>
      </c>
    </row>
    <row r="317" spans="2:15" ht="15">
      <c r="B317" s="2667" t="s">
        <v>2272</v>
      </c>
      <c r="C317" s="51">
        <v>110.9</v>
      </c>
      <c r="D317" s="51">
        <v>56.33</v>
      </c>
      <c r="E317" s="51"/>
      <c r="F317" s="51"/>
      <c r="G317" s="51">
        <v>23.94</v>
      </c>
      <c r="H317" s="51"/>
      <c r="I317" s="51"/>
      <c r="J317" s="51">
        <v>158.35</v>
      </c>
      <c r="K317" s="51"/>
      <c r="L317" s="51">
        <v>21.32</v>
      </c>
      <c r="M317" s="51"/>
      <c r="N317" s="51">
        <v>86.1</v>
      </c>
      <c r="O317" s="53">
        <f t="shared" si="72"/>
        <v>456.93999999999994</v>
      </c>
    </row>
    <row r="318" spans="2:15" ht="15">
      <c r="B318" s="2667" t="s">
        <v>4030</v>
      </c>
      <c r="C318" s="51">
        <f>SUM(C314:C317)</f>
        <v>110.9</v>
      </c>
      <c r="D318" s="51">
        <f t="shared" ref="D318:N318" si="73">SUM(D314:D317)</f>
        <v>56.33</v>
      </c>
      <c r="E318" s="51">
        <f t="shared" si="73"/>
        <v>0</v>
      </c>
      <c r="F318" s="51">
        <f t="shared" si="73"/>
        <v>52.11</v>
      </c>
      <c r="G318" s="51">
        <f t="shared" si="73"/>
        <v>465.89</v>
      </c>
      <c r="H318" s="51">
        <f t="shared" si="73"/>
        <v>466.01</v>
      </c>
      <c r="I318" s="51">
        <f t="shared" si="73"/>
        <v>473.41999999999996</v>
      </c>
      <c r="J318" s="51">
        <f t="shared" si="73"/>
        <v>338.29999999999995</v>
      </c>
      <c r="K318" s="51">
        <f t="shared" si="73"/>
        <v>722.91</v>
      </c>
      <c r="L318" s="51">
        <f t="shared" si="73"/>
        <v>594.69000000000005</v>
      </c>
      <c r="M318" s="51">
        <f t="shared" si="73"/>
        <v>715.91</v>
      </c>
      <c r="N318" s="51">
        <f t="shared" si="73"/>
        <v>710.85</v>
      </c>
      <c r="O318" s="51">
        <f>SUM(O314:O317)</f>
        <v>4707.32</v>
      </c>
    </row>
    <row r="319" spans="2:15" ht="15">
      <c r="B319" s="2667" t="s">
        <v>4089</v>
      </c>
      <c r="C319" s="51">
        <f>+C318+C312</f>
        <v>110.9</v>
      </c>
      <c r="D319" s="51">
        <f t="shared" ref="D319" si="74">+D318+D312</f>
        <v>56.33</v>
      </c>
      <c r="E319" s="51">
        <f t="shared" ref="E319" si="75">+E318+E312</f>
        <v>0</v>
      </c>
      <c r="F319" s="51">
        <f t="shared" ref="F319" si="76">+F318+F312</f>
        <v>52.11</v>
      </c>
      <c r="G319" s="51">
        <f t="shared" ref="G319" si="77">+G318+G312</f>
        <v>465.89</v>
      </c>
      <c r="H319" s="51">
        <f t="shared" ref="H319" si="78">+H318+H312</f>
        <v>466.01</v>
      </c>
      <c r="I319" s="51">
        <f t="shared" ref="I319" si="79">+I318+I312</f>
        <v>473.41999999999996</v>
      </c>
      <c r="J319" s="51">
        <f t="shared" ref="J319" si="80">+J318+J312</f>
        <v>338.29999999999995</v>
      </c>
      <c r="K319" s="51">
        <f t="shared" ref="K319" si="81">+K318+K312</f>
        <v>722.91</v>
      </c>
      <c r="L319" s="51">
        <f t="shared" ref="L319" si="82">+L318+L312</f>
        <v>594.69000000000005</v>
      </c>
      <c r="M319" s="51">
        <f t="shared" ref="M319" si="83">+M318+M312</f>
        <v>881.4</v>
      </c>
      <c r="N319" s="51">
        <f t="shared" ref="N319" si="84">+N318+N312</f>
        <v>971.81</v>
      </c>
      <c r="O319" s="51">
        <f t="shared" ref="O319" si="85">+O318+O312</f>
        <v>5133.7699999999995</v>
      </c>
    </row>
    <row r="320" spans="2:15" ht="15">
      <c r="B320" s="2667" t="s">
        <v>4091</v>
      </c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956"/>
    </row>
    <row r="321" spans="2:15" ht="15">
      <c r="B321" s="2667" t="s">
        <v>351</v>
      </c>
      <c r="C321" s="51"/>
      <c r="D321" s="51"/>
      <c r="E321" s="51"/>
      <c r="F321" s="51">
        <v>387.44</v>
      </c>
      <c r="G321" s="51">
        <v>88.75</v>
      </c>
      <c r="H321" s="51"/>
      <c r="I321" s="51"/>
      <c r="J321" s="51"/>
      <c r="K321" s="51"/>
      <c r="L321" s="51">
        <v>28.61</v>
      </c>
      <c r="M321" s="51">
        <v>11.93</v>
      </c>
      <c r="N321" s="51"/>
      <c r="O321" s="53">
        <f t="shared" ref="O321" si="86">SUM(C321:N321)</f>
        <v>516.73</v>
      </c>
    </row>
    <row r="322" spans="2:15" ht="15">
      <c r="B322" s="2667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956"/>
    </row>
    <row r="323" spans="2:15" ht="15">
      <c r="B323" s="2667" t="s">
        <v>437</v>
      </c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63"/>
    </row>
    <row r="324" spans="2:15" ht="15">
      <c r="B324" s="2667" t="s">
        <v>332</v>
      </c>
      <c r="C324" s="51"/>
      <c r="D324" s="51">
        <v>10.99</v>
      </c>
      <c r="E324" s="51">
        <v>37</v>
      </c>
      <c r="F324" s="51"/>
      <c r="G324" s="51"/>
      <c r="H324" s="51"/>
      <c r="I324" s="51"/>
      <c r="J324" s="51"/>
      <c r="K324" s="51"/>
      <c r="L324" s="51"/>
      <c r="M324" s="51"/>
      <c r="N324" s="51"/>
      <c r="O324" s="53">
        <f t="shared" ref="O324:O331" si="87">SUM(C324:N324)</f>
        <v>47.99</v>
      </c>
    </row>
    <row r="325" spans="2:15" ht="15">
      <c r="B325" s="2667" t="s">
        <v>2045</v>
      </c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>
        <v>26.12</v>
      </c>
      <c r="O325" s="53">
        <f t="shared" si="87"/>
        <v>26.12</v>
      </c>
    </row>
    <row r="326" spans="2:15" ht="15">
      <c r="B326" s="2667" t="s">
        <v>325</v>
      </c>
      <c r="C326" s="51">
        <v>36.42</v>
      </c>
      <c r="D326" s="51">
        <v>9.15</v>
      </c>
      <c r="E326" s="51">
        <v>50.15</v>
      </c>
      <c r="F326" s="51"/>
      <c r="G326" s="51">
        <v>88.31</v>
      </c>
      <c r="H326" s="51">
        <v>11.85</v>
      </c>
      <c r="I326" s="51"/>
      <c r="J326" s="51">
        <v>188.51</v>
      </c>
      <c r="K326" s="51"/>
      <c r="L326" s="51">
        <v>0</v>
      </c>
      <c r="M326" s="51">
        <v>241.88</v>
      </c>
      <c r="N326" s="51"/>
      <c r="O326" s="53">
        <f t="shared" si="87"/>
        <v>626.27</v>
      </c>
    </row>
    <row r="327" spans="2:15" ht="15">
      <c r="B327" s="2667" t="s">
        <v>339</v>
      </c>
      <c r="C327" s="51"/>
      <c r="D327" s="51"/>
      <c r="E327" s="51">
        <v>32.44</v>
      </c>
      <c r="F327" s="51">
        <v>47.53</v>
      </c>
      <c r="G327" s="51">
        <v>16.309999999999999</v>
      </c>
      <c r="H327" s="51">
        <v>23.25</v>
      </c>
      <c r="I327" s="51"/>
      <c r="J327" s="51">
        <v>39.729999999999997</v>
      </c>
      <c r="K327" s="51"/>
      <c r="L327" s="51"/>
      <c r="M327" s="51"/>
      <c r="N327" s="51"/>
      <c r="O327" s="53">
        <f t="shared" si="87"/>
        <v>159.26</v>
      </c>
    </row>
    <row r="328" spans="2:15" ht="15">
      <c r="B328" s="2667" t="s">
        <v>470</v>
      </c>
      <c r="C328" s="51"/>
      <c r="D328" s="51">
        <v>30.76</v>
      </c>
      <c r="E328" s="51">
        <v>28.25</v>
      </c>
      <c r="F328" s="51">
        <v>3.86</v>
      </c>
      <c r="G328" s="51">
        <v>6.2430000000000003</v>
      </c>
      <c r="H328" s="51"/>
      <c r="I328" s="51"/>
      <c r="J328" s="51"/>
      <c r="K328" s="51">
        <v>28.65</v>
      </c>
      <c r="L328" s="51">
        <v>65.254999999999995</v>
      </c>
      <c r="M328" s="51"/>
      <c r="N328" s="51"/>
      <c r="O328" s="53">
        <f t="shared" si="87"/>
        <v>163.018</v>
      </c>
    </row>
    <row r="329" spans="2:15" ht="15">
      <c r="B329" s="2667" t="s">
        <v>3915</v>
      </c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3">
        <f t="shared" si="87"/>
        <v>0</v>
      </c>
    </row>
    <row r="330" spans="2:15" ht="15">
      <c r="B330" s="2667" t="s">
        <v>123</v>
      </c>
      <c r="C330" s="51"/>
      <c r="D330" s="51"/>
      <c r="E330" s="51"/>
      <c r="F330" s="51">
        <v>122.45</v>
      </c>
      <c r="G330" s="51">
        <v>21.736999999999998</v>
      </c>
      <c r="H330" s="51">
        <v>49.39</v>
      </c>
      <c r="I330" s="51"/>
      <c r="J330" s="51"/>
      <c r="K330" s="51"/>
      <c r="L330" s="51"/>
      <c r="M330" s="51">
        <v>94.49</v>
      </c>
      <c r="N330" s="51"/>
      <c r="O330" s="53">
        <f t="shared" si="87"/>
        <v>288.06700000000001</v>
      </c>
    </row>
    <row r="331" spans="2:15" ht="15">
      <c r="B331" s="31"/>
      <c r="C331" s="51">
        <f>SUM(C324:C330)</f>
        <v>36.42</v>
      </c>
      <c r="D331" s="51">
        <f t="shared" ref="D331:N331" si="88">SUM(D324:D330)</f>
        <v>50.900000000000006</v>
      </c>
      <c r="E331" s="51">
        <f t="shared" si="88"/>
        <v>147.84</v>
      </c>
      <c r="F331" s="51">
        <f t="shared" si="88"/>
        <v>173.84</v>
      </c>
      <c r="G331" s="51">
        <f t="shared" si="88"/>
        <v>132.6</v>
      </c>
      <c r="H331" s="51">
        <f t="shared" si="88"/>
        <v>84.490000000000009</v>
      </c>
      <c r="I331" s="51">
        <f t="shared" si="88"/>
        <v>0</v>
      </c>
      <c r="J331" s="51">
        <f t="shared" si="88"/>
        <v>228.23999999999998</v>
      </c>
      <c r="K331" s="51">
        <f t="shared" si="88"/>
        <v>28.65</v>
      </c>
      <c r="L331" s="51">
        <f t="shared" si="88"/>
        <v>65.254999999999995</v>
      </c>
      <c r="M331" s="2668">
        <f t="shared" si="88"/>
        <v>336.37</v>
      </c>
      <c r="N331" s="51">
        <f t="shared" si="88"/>
        <v>26.12</v>
      </c>
      <c r="O331" s="53">
        <f t="shared" si="87"/>
        <v>1310.7249999999999</v>
      </c>
    </row>
    <row r="332" spans="2:15" ht="15.75" thickBot="1">
      <c r="B332" s="7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9"/>
    </row>
    <row r="334" spans="2:15" ht="13.5" thickBot="1"/>
    <row r="335" spans="2:15">
      <c r="B335" s="3031" t="s">
        <v>4093</v>
      </c>
      <c r="C335" s="2801"/>
      <c r="D335" s="2801"/>
      <c r="E335" s="2801"/>
      <c r="F335" s="2801"/>
      <c r="G335" s="2801"/>
      <c r="H335" s="2801"/>
      <c r="I335" s="2801"/>
      <c r="J335" s="2801"/>
      <c r="K335" s="2801"/>
      <c r="L335" s="2801"/>
      <c r="M335" s="2801"/>
      <c r="N335" s="2801"/>
      <c r="O335" s="3032"/>
    </row>
    <row r="336" spans="2:15" ht="15">
      <c r="B336" s="31"/>
      <c r="C336" s="51" t="s">
        <v>219</v>
      </c>
      <c r="D336" s="51" t="s">
        <v>220</v>
      </c>
      <c r="E336" s="51" t="s">
        <v>221</v>
      </c>
      <c r="F336" s="51" t="s">
        <v>222</v>
      </c>
      <c r="G336" s="51" t="s">
        <v>223</v>
      </c>
      <c r="H336" s="51" t="s">
        <v>224</v>
      </c>
      <c r="I336" s="51" t="s">
        <v>225</v>
      </c>
      <c r="J336" s="51" t="s">
        <v>226</v>
      </c>
      <c r="K336" s="51" t="s">
        <v>227</v>
      </c>
      <c r="L336" s="51" t="s">
        <v>239</v>
      </c>
      <c r="M336" s="51" t="s">
        <v>240</v>
      </c>
      <c r="N336" s="51" t="s">
        <v>4080</v>
      </c>
      <c r="O336" s="51" t="s">
        <v>2411</v>
      </c>
    </row>
    <row r="337" spans="2:15" ht="15">
      <c r="B337" s="2667" t="s">
        <v>4087</v>
      </c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O337" s="63"/>
    </row>
    <row r="338" spans="2:15" ht="15">
      <c r="B338" s="2667" t="s">
        <v>356</v>
      </c>
      <c r="C338" s="51">
        <v>3099.37</v>
      </c>
      <c r="D338" s="51">
        <v>3517.33</v>
      </c>
      <c r="E338" s="51">
        <v>3812.43</v>
      </c>
      <c r="F338" s="51">
        <v>3740.35</v>
      </c>
      <c r="G338" s="51">
        <v>5086.6499999999996</v>
      </c>
      <c r="H338" s="51">
        <v>3394.26</v>
      </c>
      <c r="I338" s="51">
        <v>4009.96</v>
      </c>
      <c r="J338" s="51">
        <v>3537.27</v>
      </c>
      <c r="K338" s="51">
        <v>3599.89</v>
      </c>
      <c r="L338" s="51">
        <v>3278.78</v>
      </c>
      <c r="M338" s="51">
        <v>758.14</v>
      </c>
      <c r="N338" s="51">
        <v>5921.03</v>
      </c>
      <c r="O338" s="53">
        <f t="shared" ref="O338:O360" si="89">SUM(C338:N338)</f>
        <v>43755.46</v>
      </c>
    </row>
    <row r="339" spans="2:15" ht="15">
      <c r="B339" s="2667" t="s">
        <v>347</v>
      </c>
      <c r="C339" s="51">
        <v>289.83</v>
      </c>
      <c r="D339" s="51">
        <v>0</v>
      </c>
      <c r="E339" s="51">
        <v>0</v>
      </c>
      <c r="F339" s="51">
        <v>420.26</v>
      </c>
      <c r="G339" s="51">
        <v>55.85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3">
        <f t="shared" si="89"/>
        <v>765.93999999999994</v>
      </c>
    </row>
    <row r="340" spans="2:15" ht="15">
      <c r="B340" s="2667" t="s">
        <v>344</v>
      </c>
      <c r="C340" s="51">
        <v>172.36</v>
      </c>
      <c r="D340" s="51">
        <v>0</v>
      </c>
      <c r="E340" s="51">
        <v>834.12</v>
      </c>
      <c r="F340" s="51">
        <v>0</v>
      </c>
      <c r="G340" s="51">
        <v>0</v>
      </c>
      <c r="H340" s="51">
        <v>0</v>
      </c>
      <c r="I340" s="51">
        <v>0</v>
      </c>
      <c r="J340" s="51">
        <v>389.27</v>
      </c>
      <c r="K340" s="51">
        <v>402.64</v>
      </c>
      <c r="L340" s="51">
        <v>0</v>
      </c>
      <c r="M340" s="51">
        <v>0</v>
      </c>
      <c r="N340" s="51">
        <v>0</v>
      </c>
      <c r="O340" s="53">
        <f t="shared" si="89"/>
        <v>1798.3899999999999</v>
      </c>
    </row>
    <row r="341" spans="2:15" ht="15">
      <c r="B341" s="2667" t="s">
        <v>2284</v>
      </c>
      <c r="C341" s="51">
        <f>SUM(C338:C340)</f>
        <v>3561.56</v>
      </c>
      <c r="D341" s="51">
        <f t="shared" ref="D341:N341" si="90">SUM(D338:D340)</f>
        <v>3517.33</v>
      </c>
      <c r="E341" s="51">
        <f t="shared" si="90"/>
        <v>4646.55</v>
      </c>
      <c r="F341" s="51">
        <f t="shared" si="90"/>
        <v>4160.6099999999997</v>
      </c>
      <c r="G341" s="51">
        <f t="shared" si="90"/>
        <v>5142.5</v>
      </c>
      <c r="H341" s="51">
        <f t="shared" si="90"/>
        <v>3394.26</v>
      </c>
      <c r="I341" s="51">
        <f t="shared" si="90"/>
        <v>4009.96</v>
      </c>
      <c r="J341" s="51">
        <f t="shared" si="90"/>
        <v>3926.54</v>
      </c>
      <c r="K341" s="51">
        <f t="shared" si="90"/>
        <v>4002.5299999999997</v>
      </c>
      <c r="L341" s="51">
        <f t="shared" si="90"/>
        <v>3278.78</v>
      </c>
      <c r="M341" s="51">
        <f t="shared" si="90"/>
        <v>758.14</v>
      </c>
      <c r="N341" s="51">
        <f t="shared" si="90"/>
        <v>5921.03</v>
      </c>
      <c r="O341" s="53">
        <f t="shared" si="89"/>
        <v>46319.789999999994</v>
      </c>
    </row>
    <row r="342" spans="2:15" ht="18">
      <c r="B342" s="263" t="s">
        <v>4094</v>
      </c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3"/>
    </row>
    <row r="343" spans="2:15" ht="15">
      <c r="B343" s="2667" t="s">
        <v>342</v>
      </c>
      <c r="C343" s="51">
        <v>119.3</v>
      </c>
      <c r="D343" s="51">
        <v>130.35</v>
      </c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3">
        <f t="shared" si="89"/>
        <v>249.64999999999998</v>
      </c>
    </row>
    <row r="344" spans="2:15" ht="15">
      <c r="B344" s="2667" t="s">
        <v>2273</v>
      </c>
      <c r="C344" s="51"/>
      <c r="D344" s="51">
        <v>326.74</v>
      </c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3">
        <f t="shared" si="89"/>
        <v>326.74</v>
      </c>
    </row>
    <row r="345" spans="2:15" ht="15">
      <c r="B345" s="2667" t="s">
        <v>4095</v>
      </c>
      <c r="C345" s="51"/>
      <c r="D345" s="51"/>
      <c r="E345" s="51"/>
      <c r="F345" s="51"/>
      <c r="G345" s="51"/>
      <c r="H345" s="51">
        <v>60.11</v>
      </c>
      <c r="I345" s="51">
        <v>52.59</v>
      </c>
      <c r="J345" s="51">
        <v>117.89</v>
      </c>
      <c r="K345" s="51"/>
      <c r="L345" s="51"/>
      <c r="M345" s="51"/>
      <c r="N345" s="51"/>
      <c r="O345" s="53">
        <f t="shared" si="89"/>
        <v>230.59</v>
      </c>
    </row>
    <row r="346" spans="2:15" ht="15">
      <c r="B346" s="2667" t="s">
        <v>3104</v>
      </c>
      <c r="C346" s="51"/>
      <c r="D346" s="51"/>
      <c r="E346" s="51">
        <v>80.44</v>
      </c>
      <c r="F346" s="51"/>
      <c r="G346" s="51"/>
      <c r="H346" s="51"/>
      <c r="I346" s="51"/>
      <c r="J346" s="51"/>
      <c r="K346" s="51"/>
      <c r="L346" s="51"/>
      <c r="M346" s="51"/>
      <c r="N346" s="51"/>
      <c r="O346" s="53">
        <f t="shared" si="89"/>
        <v>80.44</v>
      </c>
    </row>
    <row r="347" spans="2:15" ht="15">
      <c r="B347" s="2667" t="s">
        <v>3100</v>
      </c>
      <c r="C347" s="51"/>
      <c r="D347" s="51"/>
      <c r="E347" s="51"/>
      <c r="F347" s="51"/>
      <c r="G347" s="51">
        <v>125.06</v>
      </c>
      <c r="H347" s="51">
        <v>13.73</v>
      </c>
      <c r="I347" s="51"/>
      <c r="J347" s="51"/>
      <c r="K347" s="51"/>
      <c r="L347" s="51"/>
      <c r="M347" s="51"/>
      <c r="N347" s="51"/>
      <c r="O347" s="53"/>
    </row>
    <row r="348" spans="2:15" ht="15">
      <c r="B348" s="2667" t="s">
        <v>2284</v>
      </c>
      <c r="C348" s="51">
        <f>SUM(C343:C347)</f>
        <v>119.3</v>
      </c>
      <c r="D348" s="51">
        <f t="shared" ref="D348:O348" si="91">SUM(D343:D347)</f>
        <v>457.09000000000003</v>
      </c>
      <c r="E348" s="51">
        <f t="shared" si="91"/>
        <v>80.44</v>
      </c>
      <c r="F348" s="51">
        <f t="shared" si="91"/>
        <v>0</v>
      </c>
      <c r="G348" s="51">
        <f t="shared" si="91"/>
        <v>125.06</v>
      </c>
      <c r="H348" s="51">
        <f t="shared" si="91"/>
        <v>73.84</v>
      </c>
      <c r="I348" s="51">
        <f t="shared" si="91"/>
        <v>52.59</v>
      </c>
      <c r="J348" s="51">
        <f t="shared" si="91"/>
        <v>117.89</v>
      </c>
      <c r="K348" s="51">
        <f t="shared" si="91"/>
        <v>0</v>
      </c>
      <c r="L348" s="51">
        <f t="shared" si="91"/>
        <v>0</v>
      </c>
      <c r="M348" s="51">
        <f t="shared" si="91"/>
        <v>0</v>
      </c>
      <c r="N348" s="51">
        <f t="shared" si="91"/>
        <v>0</v>
      </c>
      <c r="O348" s="51">
        <f t="shared" si="91"/>
        <v>887.42000000000007</v>
      </c>
    </row>
    <row r="349" spans="2:15" ht="15">
      <c r="B349" s="2667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3"/>
    </row>
    <row r="350" spans="2:15" ht="18">
      <c r="B350" s="263" t="s">
        <v>3098</v>
      </c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3">
        <f t="shared" si="89"/>
        <v>0</v>
      </c>
    </row>
    <row r="351" spans="2:15" ht="15">
      <c r="B351" s="2667" t="s">
        <v>2273</v>
      </c>
      <c r="C351" s="51"/>
      <c r="D351" s="51"/>
      <c r="E351" s="51"/>
      <c r="F351" s="51"/>
      <c r="G351" s="51"/>
      <c r="H351" s="51"/>
      <c r="I351" s="51"/>
      <c r="J351" s="51"/>
      <c r="K351" s="51"/>
      <c r="L351" s="51">
        <v>222.51</v>
      </c>
      <c r="M351" s="51">
        <v>0</v>
      </c>
      <c r="N351" s="51"/>
      <c r="O351" s="53">
        <f t="shared" si="89"/>
        <v>222.51</v>
      </c>
    </row>
    <row r="352" spans="2:15" ht="15">
      <c r="B352" s="2667" t="s">
        <v>349</v>
      </c>
      <c r="C352" s="51">
        <v>229.43</v>
      </c>
      <c r="D352" s="51"/>
      <c r="E352" s="51"/>
      <c r="F352" s="51">
        <v>114.29</v>
      </c>
      <c r="G352" s="51"/>
      <c r="H352" s="51">
        <v>0</v>
      </c>
      <c r="I352" s="51"/>
      <c r="J352" s="51"/>
      <c r="K352" s="51"/>
      <c r="L352" s="51">
        <v>278.41000000000003</v>
      </c>
      <c r="M352" s="51">
        <v>0</v>
      </c>
      <c r="N352" s="51">
        <v>0</v>
      </c>
      <c r="O352" s="53">
        <f t="shared" si="89"/>
        <v>622.13000000000011</v>
      </c>
    </row>
    <row r="353" spans="2:15" ht="15">
      <c r="B353" s="2667" t="s">
        <v>2270</v>
      </c>
      <c r="C353" s="51"/>
      <c r="D353" s="51"/>
      <c r="E353" s="51"/>
      <c r="F353" s="51"/>
      <c r="G353" s="51">
        <v>193.12</v>
      </c>
      <c r="H353" s="51"/>
      <c r="I353" s="51"/>
      <c r="J353" s="51"/>
      <c r="K353" s="51"/>
      <c r="L353" s="51"/>
      <c r="M353" s="51"/>
      <c r="N353" s="51"/>
      <c r="O353" s="53">
        <f t="shared" si="89"/>
        <v>193.12</v>
      </c>
    </row>
    <row r="354" spans="2:15" ht="15">
      <c r="B354" s="2667" t="s">
        <v>342</v>
      </c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>
        <v>316.52</v>
      </c>
      <c r="O354" s="53">
        <f t="shared" si="89"/>
        <v>316.52</v>
      </c>
    </row>
    <row r="355" spans="2:15" ht="15">
      <c r="B355" s="2667" t="s">
        <v>2272</v>
      </c>
      <c r="C355" s="51"/>
      <c r="D355" s="51"/>
      <c r="E355" s="51"/>
      <c r="F355" s="51"/>
      <c r="G355" s="51"/>
      <c r="H355" s="51">
        <v>42.93</v>
      </c>
      <c r="I355" s="51">
        <v>440.75</v>
      </c>
      <c r="J355" s="51">
        <v>169.05</v>
      </c>
      <c r="K355" s="51">
        <v>257.44</v>
      </c>
      <c r="L355" s="51">
        <v>22.89</v>
      </c>
      <c r="M355" s="51"/>
      <c r="N355" s="51"/>
      <c r="O355" s="53">
        <f t="shared" si="89"/>
        <v>933.06000000000006</v>
      </c>
    </row>
    <row r="356" spans="2:15" ht="15">
      <c r="B356" s="2667" t="s">
        <v>3100</v>
      </c>
      <c r="C356" s="51"/>
      <c r="D356" s="51"/>
      <c r="E356" s="51"/>
      <c r="F356" s="51"/>
      <c r="G356" s="51"/>
      <c r="H356" s="51"/>
      <c r="I356" s="51"/>
      <c r="J356" s="51"/>
      <c r="K356" s="51">
        <v>66.14</v>
      </c>
      <c r="L356" s="51"/>
      <c r="M356" s="51"/>
      <c r="N356" s="51"/>
      <c r="O356" s="53">
        <f t="shared" si="89"/>
        <v>66.14</v>
      </c>
    </row>
    <row r="357" spans="2:15" ht="15">
      <c r="B357" s="2667" t="s">
        <v>3101</v>
      </c>
      <c r="C357" s="51"/>
      <c r="D357" s="51"/>
      <c r="E357" s="51"/>
      <c r="F357" s="51"/>
      <c r="G357" s="51"/>
      <c r="H357" s="51"/>
      <c r="I357" s="51"/>
      <c r="J357" s="51"/>
      <c r="K357" s="51">
        <v>124.17</v>
      </c>
      <c r="L357" s="51"/>
      <c r="M357" s="51">
        <v>42.38</v>
      </c>
      <c r="N357" s="51"/>
      <c r="O357" s="53">
        <f t="shared" si="89"/>
        <v>166.55</v>
      </c>
    </row>
    <row r="358" spans="2:15" ht="15">
      <c r="B358" s="2667" t="s">
        <v>4088</v>
      </c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3">
        <f t="shared" si="89"/>
        <v>0</v>
      </c>
    </row>
    <row r="359" spans="2:15" ht="15">
      <c r="B359" s="2667" t="s">
        <v>2270</v>
      </c>
      <c r="C359" s="51"/>
      <c r="D359" s="51"/>
      <c r="E359" s="51"/>
      <c r="F359" s="51">
        <v>37.479999999999997</v>
      </c>
      <c r="G359" s="51"/>
      <c r="H359" s="51"/>
      <c r="I359" s="51"/>
      <c r="J359" s="51"/>
      <c r="K359" s="51"/>
      <c r="L359" s="51"/>
      <c r="M359" s="51"/>
      <c r="N359" s="51"/>
      <c r="O359" s="53">
        <f t="shared" si="89"/>
        <v>37.479999999999997</v>
      </c>
    </row>
    <row r="360" spans="2:15" ht="15">
      <c r="B360" s="2667" t="s">
        <v>2284</v>
      </c>
      <c r="C360" s="51">
        <f>SUM(C351:C359)</f>
        <v>229.43</v>
      </c>
      <c r="D360" s="51">
        <f t="shared" ref="D360:N360" si="92">SUM(D351:D359)</f>
        <v>0</v>
      </c>
      <c r="E360" s="51">
        <f t="shared" si="92"/>
        <v>0</v>
      </c>
      <c r="F360" s="51">
        <f t="shared" si="92"/>
        <v>151.77000000000001</v>
      </c>
      <c r="G360" s="51">
        <f t="shared" si="92"/>
        <v>193.12</v>
      </c>
      <c r="H360" s="51">
        <f t="shared" si="92"/>
        <v>42.93</v>
      </c>
      <c r="I360" s="51">
        <f t="shared" si="92"/>
        <v>440.75</v>
      </c>
      <c r="J360" s="51">
        <f t="shared" si="92"/>
        <v>169.05</v>
      </c>
      <c r="K360" s="51">
        <f t="shared" si="92"/>
        <v>447.75</v>
      </c>
      <c r="L360" s="51">
        <f t="shared" si="92"/>
        <v>523.81000000000006</v>
      </c>
      <c r="M360" s="51">
        <f t="shared" si="92"/>
        <v>42.38</v>
      </c>
      <c r="N360" s="51">
        <f t="shared" si="92"/>
        <v>316.52</v>
      </c>
      <c r="O360" s="53">
        <f t="shared" si="89"/>
        <v>2557.5100000000002</v>
      </c>
    </row>
    <row r="361" spans="2:15" ht="18">
      <c r="B361" s="263" t="s">
        <v>2140</v>
      </c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63"/>
    </row>
    <row r="362" spans="2:15" ht="15">
      <c r="B362" s="2667" t="s">
        <v>349</v>
      </c>
      <c r="C362" s="51"/>
      <c r="D362" s="51"/>
      <c r="E362" s="51"/>
      <c r="F362" s="51">
        <v>38.869999999999997</v>
      </c>
      <c r="G362" s="51">
        <v>40.28</v>
      </c>
      <c r="H362" s="51">
        <v>459.83</v>
      </c>
      <c r="I362" s="51">
        <v>258.20999999999998</v>
      </c>
      <c r="J362" s="51">
        <v>121.27</v>
      </c>
      <c r="K362" s="51"/>
      <c r="L362" s="51"/>
      <c r="M362" s="51">
        <v>81.19</v>
      </c>
      <c r="N362" s="51">
        <v>204.49</v>
      </c>
      <c r="O362" s="53">
        <f t="shared" ref="O362:O366" si="93">SUM(C362:N362)</f>
        <v>1204.1400000000001</v>
      </c>
    </row>
    <row r="363" spans="2:15" ht="15">
      <c r="B363" s="2667" t="s">
        <v>3095</v>
      </c>
      <c r="C363" s="51">
        <v>190.57</v>
      </c>
      <c r="D363" s="51"/>
      <c r="E363" s="51"/>
      <c r="F363" s="51"/>
      <c r="G363" s="51">
        <v>334.48</v>
      </c>
      <c r="H363" s="51">
        <v>46.23</v>
      </c>
      <c r="I363" s="51"/>
      <c r="J363" s="51"/>
      <c r="K363" s="51"/>
      <c r="L363" s="51"/>
      <c r="M363" s="51">
        <v>280.27</v>
      </c>
      <c r="N363" s="51">
        <v>220.53</v>
      </c>
      <c r="O363" s="53">
        <f t="shared" si="93"/>
        <v>1072.08</v>
      </c>
    </row>
    <row r="364" spans="2:15" ht="15">
      <c r="B364" s="2667" t="s">
        <v>353</v>
      </c>
      <c r="C364" s="51">
        <v>38.69</v>
      </c>
      <c r="D364" s="51">
        <v>146.77000000000001</v>
      </c>
      <c r="E364" s="51">
        <v>155.18</v>
      </c>
      <c r="F364" s="51">
        <f>252.02+32.67</f>
        <v>284.69</v>
      </c>
      <c r="G364" s="51">
        <v>311.61</v>
      </c>
      <c r="H364" s="51">
        <v>225.01</v>
      </c>
      <c r="I364" s="51"/>
      <c r="J364" s="51">
        <v>310.64999999999998</v>
      </c>
      <c r="K364" s="51">
        <v>272.16000000000003</v>
      </c>
      <c r="L364" s="51">
        <v>340.68</v>
      </c>
      <c r="M364" s="51">
        <v>38.770000000000003</v>
      </c>
      <c r="N364" s="51"/>
      <c r="O364" s="53">
        <f t="shared" si="93"/>
        <v>2124.21</v>
      </c>
    </row>
    <row r="365" spans="2:15" ht="15">
      <c r="B365" s="2667" t="s">
        <v>342</v>
      </c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3">
        <f t="shared" si="93"/>
        <v>0</v>
      </c>
    </row>
    <row r="366" spans="2:15" ht="15">
      <c r="B366" s="2667" t="s">
        <v>2272</v>
      </c>
      <c r="C366" s="51">
        <v>0</v>
      </c>
      <c r="D366" s="51">
        <v>0</v>
      </c>
      <c r="E366" s="51"/>
      <c r="F366" s="51">
        <v>120.13200000000001</v>
      </c>
      <c r="G366" s="51">
        <v>0</v>
      </c>
      <c r="H366" s="51"/>
      <c r="I366" s="51">
        <v>114.53</v>
      </c>
      <c r="J366" s="51">
        <v>354.87</v>
      </c>
      <c r="K366" s="51">
        <v>196.3</v>
      </c>
      <c r="L366" s="51">
        <v>72.55</v>
      </c>
      <c r="M366" s="51">
        <v>120.33</v>
      </c>
      <c r="N366" s="51">
        <v>0</v>
      </c>
      <c r="O366" s="53">
        <f t="shared" si="93"/>
        <v>978.7120000000001</v>
      </c>
    </row>
    <row r="367" spans="2:15" ht="15">
      <c r="B367" s="2667" t="s">
        <v>4030</v>
      </c>
      <c r="C367" s="51">
        <f>SUM(C362:C366)</f>
        <v>229.26</v>
      </c>
      <c r="D367" s="51">
        <f t="shared" ref="D367:N367" si="94">SUM(D362:D366)</f>
        <v>146.77000000000001</v>
      </c>
      <c r="E367" s="51">
        <f t="shared" si="94"/>
        <v>155.18</v>
      </c>
      <c r="F367" s="51">
        <f t="shared" si="94"/>
        <v>443.69200000000001</v>
      </c>
      <c r="G367" s="51">
        <f t="shared" si="94"/>
        <v>686.37</v>
      </c>
      <c r="H367" s="51">
        <f t="shared" si="94"/>
        <v>731.06999999999994</v>
      </c>
      <c r="I367" s="51">
        <f t="shared" si="94"/>
        <v>372.74</v>
      </c>
      <c r="J367" s="51">
        <f t="shared" si="94"/>
        <v>786.79</v>
      </c>
      <c r="K367" s="51">
        <f t="shared" si="94"/>
        <v>468.46000000000004</v>
      </c>
      <c r="L367" s="51">
        <f t="shared" si="94"/>
        <v>413.23</v>
      </c>
      <c r="M367" s="51">
        <f t="shared" si="94"/>
        <v>520.55999999999995</v>
      </c>
      <c r="N367" s="51">
        <f t="shared" si="94"/>
        <v>425.02</v>
      </c>
      <c r="O367" s="51">
        <f>SUM(O362:O366)</f>
        <v>5379.1420000000007</v>
      </c>
    </row>
    <row r="368" spans="2:15" ht="15">
      <c r="B368" s="2667" t="s">
        <v>4089</v>
      </c>
      <c r="C368" s="51">
        <f>+C367+C360+C348</f>
        <v>577.99</v>
      </c>
      <c r="D368" s="51">
        <f t="shared" ref="D368:N368" si="95">+D367+D360+D348</f>
        <v>603.86</v>
      </c>
      <c r="E368" s="51">
        <f t="shared" si="95"/>
        <v>235.62</v>
      </c>
      <c r="F368" s="51">
        <f t="shared" si="95"/>
        <v>595.46199999999999</v>
      </c>
      <c r="G368" s="51">
        <f t="shared" si="95"/>
        <v>1004.55</v>
      </c>
      <c r="H368" s="51">
        <f t="shared" si="95"/>
        <v>847.83999999999992</v>
      </c>
      <c r="I368" s="51">
        <f t="shared" si="95"/>
        <v>866.08</v>
      </c>
      <c r="J368" s="51">
        <f t="shared" si="95"/>
        <v>1073.73</v>
      </c>
      <c r="K368" s="51">
        <f t="shared" si="95"/>
        <v>916.21</v>
      </c>
      <c r="L368" s="51">
        <f t="shared" si="95"/>
        <v>937.04000000000008</v>
      </c>
      <c r="M368" s="51">
        <f t="shared" si="95"/>
        <v>562.93999999999994</v>
      </c>
      <c r="N368" s="51">
        <f t="shared" si="95"/>
        <v>741.54</v>
      </c>
      <c r="O368" s="51">
        <f t="shared" ref="O368" si="96">+O367+O360</f>
        <v>7936.652000000001</v>
      </c>
    </row>
    <row r="369" spans="2:15" ht="15">
      <c r="B369" s="2667" t="s">
        <v>4091</v>
      </c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956"/>
    </row>
    <row r="370" spans="2:15" ht="15">
      <c r="B370" s="2667" t="s">
        <v>351</v>
      </c>
      <c r="C370" s="51"/>
      <c r="D370" s="51"/>
      <c r="E370" s="51"/>
      <c r="F370" s="51"/>
      <c r="G370" s="51">
        <v>514.9</v>
      </c>
      <c r="H370" s="51">
        <v>374.14</v>
      </c>
      <c r="I370" s="51"/>
      <c r="J370" s="51"/>
      <c r="K370" s="51"/>
      <c r="L370" s="51"/>
      <c r="M370" s="51"/>
      <c r="N370" s="51">
        <v>17.32</v>
      </c>
      <c r="O370" s="53">
        <f t="shared" ref="O370" si="97">SUM(C370:N370)</f>
        <v>906.36</v>
      </c>
    </row>
    <row r="371" spans="2:15" ht="15">
      <c r="B371" s="2667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956"/>
    </row>
    <row r="372" spans="2:15" ht="15">
      <c r="B372" s="2667" t="s">
        <v>437</v>
      </c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63"/>
    </row>
    <row r="373" spans="2:15" ht="15">
      <c r="B373" s="2667" t="s">
        <v>332</v>
      </c>
      <c r="C373" s="51"/>
      <c r="D373" s="51">
        <v>51.448999999999998</v>
      </c>
      <c r="E373" s="51">
        <v>24.72</v>
      </c>
      <c r="F373" s="51"/>
      <c r="G373" s="51"/>
      <c r="H373" s="51"/>
      <c r="I373" s="51"/>
      <c r="J373" s="51"/>
      <c r="K373" s="51"/>
      <c r="L373" s="51"/>
      <c r="M373" s="51"/>
      <c r="N373" s="51"/>
      <c r="O373" s="53">
        <f t="shared" ref="O373:O380" si="98">SUM(C373:N373)</f>
        <v>76.168999999999997</v>
      </c>
    </row>
    <row r="374" spans="2:15" ht="15">
      <c r="B374" s="2667" t="s">
        <v>2045</v>
      </c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3">
        <f t="shared" si="98"/>
        <v>0</v>
      </c>
    </row>
    <row r="375" spans="2:15" ht="15">
      <c r="B375" s="2667" t="s">
        <v>325</v>
      </c>
      <c r="C375" s="51"/>
      <c r="D375" s="51">
        <v>254.87</v>
      </c>
      <c r="E375" s="51">
        <v>316.27</v>
      </c>
      <c r="F375" s="51">
        <v>350.35</v>
      </c>
      <c r="G375" s="51">
        <v>199.97</v>
      </c>
      <c r="H375" s="51">
        <v>38.21</v>
      </c>
      <c r="I375" s="51">
        <v>61.32</v>
      </c>
      <c r="J375" s="51">
        <v>270.27</v>
      </c>
      <c r="K375" s="51">
        <v>308.71499999999997</v>
      </c>
      <c r="L375" s="51">
        <v>192.61</v>
      </c>
      <c r="M375" s="51">
        <v>309.11700000000002</v>
      </c>
      <c r="N375" s="51">
        <v>163.15</v>
      </c>
      <c r="O375" s="53">
        <f t="shared" si="98"/>
        <v>2464.8520000000003</v>
      </c>
    </row>
    <row r="376" spans="2:15" ht="15">
      <c r="B376" s="2667" t="s">
        <v>339</v>
      </c>
      <c r="C376" s="51"/>
      <c r="D376" s="51"/>
      <c r="E376" s="51"/>
      <c r="F376" s="51"/>
      <c r="G376" s="51"/>
      <c r="H376" s="51"/>
      <c r="I376" s="51">
        <v>188.28</v>
      </c>
      <c r="J376" s="51">
        <v>3.67</v>
      </c>
      <c r="K376" s="51"/>
      <c r="L376" s="51">
        <v>44.41</v>
      </c>
      <c r="M376" s="51">
        <v>65.959999999999994</v>
      </c>
      <c r="N376" s="51">
        <v>157.58000000000001</v>
      </c>
      <c r="O376" s="53">
        <f t="shared" si="98"/>
        <v>459.9</v>
      </c>
    </row>
    <row r="377" spans="2:15" ht="15">
      <c r="B377" s="2667" t="s">
        <v>470</v>
      </c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3">
        <f t="shared" si="98"/>
        <v>0</v>
      </c>
    </row>
    <row r="378" spans="2:15" ht="15">
      <c r="B378" s="2667" t="s">
        <v>3915</v>
      </c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3">
        <f t="shared" si="98"/>
        <v>0</v>
      </c>
    </row>
    <row r="379" spans="2:15" ht="15">
      <c r="B379" s="2667" t="s">
        <v>123</v>
      </c>
      <c r="C379" s="51"/>
      <c r="D379" s="51"/>
      <c r="E379" s="51"/>
      <c r="F379" s="51"/>
      <c r="G379" s="51"/>
      <c r="H379" s="51">
        <v>134.76</v>
      </c>
      <c r="I379" s="51">
        <v>5.8</v>
      </c>
      <c r="J379" s="51"/>
      <c r="K379" s="51"/>
      <c r="L379" s="51"/>
      <c r="M379" s="51"/>
      <c r="N379" s="51"/>
      <c r="O379" s="53">
        <f t="shared" si="98"/>
        <v>140.56</v>
      </c>
    </row>
    <row r="380" spans="2:15" ht="15">
      <c r="B380" s="31"/>
      <c r="C380" s="51">
        <f>SUM(C373:C379)</f>
        <v>0</v>
      </c>
      <c r="D380" s="51">
        <f t="shared" ref="D380:N380" si="99">SUM(D373:D379)</f>
        <v>306.31900000000002</v>
      </c>
      <c r="E380" s="51">
        <f t="shared" si="99"/>
        <v>340.99</v>
      </c>
      <c r="F380" s="51">
        <f t="shared" si="99"/>
        <v>350.35</v>
      </c>
      <c r="G380" s="51">
        <f t="shared" si="99"/>
        <v>199.97</v>
      </c>
      <c r="H380" s="51">
        <f t="shared" si="99"/>
        <v>172.97</v>
      </c>
      <c r="I380" s="51">
        <f t="shared" si="99"/>
        <v>255.4</v>
      </c>
      <c r="J380" s="51">
        <f t="shared" si="99"/>
        <v>273.94</v>
      </c>
      <c r="K380" s="51">
        <f t="shared" si="99"/>
        <v>308.71499999999997</v>
      </c>
      <c r="L380" s="51">
        <f t="shared" si="99"/>
        <v>237.02</v>
      </c>
      <c r="M380" s="51">
        <f t="shared" si="99"/>
        <v>375.077</v>
      </c>
      <c r="N380" s="51">
        <f t="shared" si="99"/>
        <v>320.73</v>
      </c>
      <c r="O380" s="53">
        <f t="shared" si="98"/>
        <v>3141.4810000000002</v>
      </c>
    </row>
    <row r="381" spans="2:15" ht="15.75" thickBot="1">
      <c r="B381" s="7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9"/>
    </row>
    <row r="384" spans="2:15" ht="13.5" thickBot="1"/>
    <row r="385" spans="2:15">
      <c r="B385" s="3031" t="s">
        <v>4097</v>
      </c>
      <c r="C385" s="2801"/>
      <c r="D385" s="2801"/>
      <c r="E385" s="2801"/>
      <c r="F385" s="2801"/>
      <c r="G385" s="2801"/>
      <c r="H385" s="2801"/>
      <c r="I385" s="2801"/>
      <c r="J385" s="2801"/>
      <c r="K385" s="2801"/>
      <c r="L385" s="2801"/>
      <c r="M385" s="2801"/>
      <c r="N385" s="2801"/>
      <c r="O385" s="3032"/>
    </row>
    <row r="386" spans="2:15" ht="15">
      <c r="B386" s="31"/>
      <c r="C386" s="51" t="s">
        <v>242</v>
      </c>
      <c r="D386" s="51" t="s">
        <v>243</v>
      </c>
      <c r="E386" s="51" t="s">
        <v>244</v>
      </c>
      <c r="F386" s="51" t="s">
        <v>245</v>
      </c>
      <c r="G386" s="51" t="s">
        <v>246</v>
      </c>
      <c r="H386" s="51" t="s">
        <v>247</v>
      </c>
      <c r="I386" s="51" t="s">
        <v>248</v>
      </c>
      <c r="J386" s="51" t="s">
        <v>249</v>
      </c>
      <c r="K386" s="51" t="s">
        <v>250</v>
      </c>
      <c r="L386" s="51" t="s">
        <v>861</v>
      </c>
      <c r="M386" s="51" t="s">
        <v>862</v>
      </c>
      <c r="N386" s="51" t="s">
        <v>4076</v>
      </c>
      <c r="O386" s="51" t="s">
        <v>3226</v>
      </c>
    </row>
    <row r="387" spans="2:15" ht="15">
      <c r="B387" s="2667" t="s">
        <v>4087</v>
      </c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O387" s="63"/>
    </row>
    <row r="388" spans="2:15" ht="15">
      <c r="B388" s="2667" t="s">
        <v>356</v>
      </c>
      <c r="C388" s="51">
        <v>3741.79</v>
      </c>
      <c r="D388" s="51">
        <v>3348.69</v>
      </c>
      <c r="E388" s="51">
        <v>4127.3</v>
      </c>
      <c r="F388" s="51">
        <v>4262.3100000000004</v>
      </c>
      <c r="G388" s="51">
        <v>3381.26</v>
      </c>
      <c r="H388" s="51">
        <v>3552.93</v>
      </c>
      <c r="I388" s="51">
        <v>3633.58</v>
      </c>
      <c r="J388" s="51">
        <v>2400.6</v>
      </c>
      <c r="K388" s="51">
        <v>4264.2299999999996</v>
      </c>
      <c r="L388" s="51">
        <v>4409.1099999999997</v>
      </c>
      <c r="M388" s="51">
        <v>5664.83</v>
      </c>
      <c r="N388" s="51">
        <v>5664.89</v>
      </c>
      <c r="O388" s="53">
        <f t="shared" ref="O388:O391" si="100">SUM(C388:N388)</f>
        <v>48451.519999999997</v>
      </c>
    </row>
    <row r="389" spans="2:15" ht="15">
      <c r="B389" s="2667" t="s">
        <v>347</v>
      </c>
      <c r="C389" s="51"/>
      <c r="D389" s="51"/>
      <c r="E389" s="51"/>
      <c r="F389" s="51"/>
      <c r="G389" s="51">
        <v>773.61</v>
      </c>
      <c r="H389" s="51">
        <v>146.12</v>
      </c>
      <c r="I389" s="51"/>
      <c r="J389" s="51">
        <v>109.32</v>
      </c>
      <c r="K389" s="51"/>
      <c r="L389" s="51"/>
      <c r="M389" s="51"/>
      <c r="N389" s="51"/>
      <c r="O389" s="53">
        <f t="shared" si="100"/>
        <v>1029.05</v>
      </c>
    </row>
    <row r="390" spans="2:15" ht="15">
      <c r="B390" s="2667" t="s">
        <v>344</v>
      </c>
      <c r="C390" s="51"/>
      <c r="D390" s="51"/>
      <c r="E390" s="51"/>
      <c r="F390" s="51"/>
      <c r="G390" s="51"/>
      <c r="H390" s="51"/>
      <c r="I390" s="51"/>
      <c r="J390" s="51">
        <v>655.32000000000005</v>
      </c>
      <c r="K390" s="51"/>
      <c r="L390" s="51"/>
      <c r="M390" s="51"/>
      <c r="N390" s="51"/>
      <c r="O390" s="53">
        <f t="shared" si="100"/>
        <v>655.32000000000005</v>
      </c>
    </row>
    <row r="391" spans="2:15" ht="15">
      <c r="B391" s="2667" t="s">
        <v>2284</v>
      </c>
      <c r="C391" s="51">
        <f>SUM(C388:C390)</f>
        <v>3741.79</v>
      </c>
      <c r="D391" s="51">
        <f t="shared" ref="D391:N391" si="101">SUM(D388:D390)</f>
        <v>3348.69</v>
      </c>
      <c r="E391" s="51">
        <f t="shared" si="101"/>
        <v>4127.3</v>
      </c>
      <c r="F391" s="51">
        <f t="shared" si="101"/>
        <v>4262.3100000000004</v>
      </c>
      <c r="G391" s="51">
        <f t="shared" si="101"/>
        <v>4154.87</v>
      </c>
      <c r="H391" s="51">
        <f t="shared" si="101"/>
        <v>3699.0499999999997</v>
      </c>
      <c r="I391" s="51">
        <f t="shared" si="101"/>
        <v>3633.58</v>
      </c>
      <c r="J391" s="51">
        <f t="shared" si="101"/>
        <v>3165.2400000000002</v>
      </c>
      <c r="K391" s="51">
        <f t="shared" si="101"/>
        <v>4264.2299999999996</v>
      </c>
      <c r="L391" s="51">
        <f t="shared" si="101"/>
        <v>4409.1099999999997</v>
      </c>
      <c r="M391" s="51">
        <f t="shared" si="101"/>
        <v>5664.83</v>
      </c>
      <c r="N391" s="51">
        <f t="shared" si="101"/>
        <v>5664.89</v>
      </c>
      <c r="O391" s="53">
        <f t="shared" si="100"/>
        <v>50135.89</v>
      </c>
    </row>
    <row r="392" spans="2:15" ht="18">
      <c r="B392" s="263" t="s">
        <v>4094</v>
      </c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3"/>
    </row>
    <row r="393" spans="2:15" ht="15">
      <c r="B393" s="2667" t="s">
        <v>342</v>
      </c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3">
        <f t="shared" ref="O393:O398" si="102">SUM(C393:N393)</f>
        <v>0</v>
      </c>
    </row>
    <row r="394" spans="2:15" ht="15">
      <c r="B394" s="2667" t="s">
        <v>2273</v>
      </c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3">
        <f t="shared" si="102"/>
        <v>0</v>
      </c>
    </row>
    <row r="395" spans="2:15" ht="15">
      <c r="B395" s="2667" t="s">
        <v>4095</v>
      </c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3">
        <f t="shared" si="102"/>
        <v>0</v>
      </c>
    </row>
    <row r="396" spans="2:15" ht="15">
      <c r="B396" s="2667" t="s">
        <v>3104</v>
      </c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3">
        <f t="shared" si="102"/>
        <v>0</v>
      </c>
    </row>
    <row r="397" spans="2:15" ht="15">
      <c r="B397" s="2667" t="s">
        <v>3100</v>
      </c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>
        <v>71.27</v>
      </c>
      <c r="O397" s="53">
        <f t="shared" si="102"/>
        <v>71.27</v>
      </c>
    </row>
    <row r="398" spans="2:15" ht="15">
      <c r="B398" s="2667" t="s">
        <v>2284</v>
      </c>
      <c r="C398" s="51">
        <f>SUM(C393:C397)</f>
        <v>0</v>
      </c>
      <c r="D398" s="51">
        <f t="shared" ref="D398:N398" si="103">SUM(D393:D397)</f>
        <v>0</v>
      </c>
      <c r="E398" s="51">
        <f t="shared" si="103"/>
        <v>0</v>
      </c>
      <c r="F398" s="51">
        <f t="shared" si="103"/>
        <v>0</v>
      </c>
      <c r="G398" s="51">
        <f t="shared" si="103"/>
        <v>0</v>
      </c>
      <c r="H398" s="51">
        <f t="shared" si="103"/>
        <v>0</v>
      </c>
      <c r="I398" s="51">
        <f t="shared" si="103"/>
        <v>0</v>
      </c>
      <c r="J398" s="51">
        <f t="shared" si="103"/>
        <v>0</v>
      </c>
      <c r="K398" s="51">
        <f t="shared" si="103"/>
        <v>0</v>
      </c>
      <c r="L398" s="51">
        <f t="shared" si="103"/>
        <v>0</v>
      </c>
      <c r="M398" s="51">
        <f t="shared" si="103"/>
        <v>0</v>
      </c>
      <c r="N398" s="51">
        <f t="shared" si="103"/>
        <v>71.27</v>
      </c>
      <c r="O398" s="53">
        <f t="shared" si="102"/>
        <v>71.27</v>
      </c>
    </row>
    <row r="399" spans="2:15" ht="15">
      <c r="B399" s="2667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3"/>
    </row>
    <row r="400" spans="2:15" ht="18">
      <c r="B400" s="263" t="s">
        <v>3098</v>
      </c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3">
        <f t="shared" ref="O400:O411" si="104">SUM(C400:N400)</f>
        <v>0</v>
      </c>
    </row>
    <row r="401" spans="2:15" ht="15">
      <c r="B401" s="2667" t="s">
        <v>2273</v>
      </c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3">
        <f t="shared" si="104"/>
        <v>0</v>
      </c>
    </row>
    <row r="402" spans="2:15" ht="15">
      <c r="B402" s="2667" t="s">
        <v>349</v>
      </c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3">
        <f t="shared" si="104"/>
        <v>0</v>
      </c>
    </row>
    <row r="403" spans="2:15" ht="15">
      <c r="B403" s="2667" t="s">
        <v>2270</v>
      </c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3">
        <f t="shared" si="104"/>
        <v>0</v>
      </c>
    </row>
    <row r="404" spans="2:15" ht="15">
      <c r="B404" s="2667" t="s">
        <v>342</v>
      </c>
      <c r="C404" s="51">
        <v>1.2</v>
      </c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3">
        <f t="shared" si="104"/>
        <v>1.2</v>
      </c>
    </row>
    <row r="405" spans="2:15" ht="15">
      <c r="B405" s="2667" t="s">
        <v>2272</v>
      </c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3">
        <f t="shared" si="104"/>
        <v>0</v>
      </c>
    </row>
    <row r="406" spans="2:15" ht="15">
      <c r="B406" s="2667">
        <v>9260</v>
      </c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>
        <v>117.49</v>
      </c>
      <c r="N406" s="51"/>
      <c r="O406" s="53"/>
    </row>
    <row r="407" spans="2:15" ht="15">
      <c r="B407" s="2667" t="s">
        <v>3100</v>
      </c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3">
        <f t="shared" si="104"/>
        <v>0</v>
      </c>
    </row>
    <row r="408" spans="2:15" ht="15">
      <c r="B408" s="2667" t="s">
        <v>3101</v>
      </c>
      <c r="C408" s="51"/>
      <c r="D408" s="51"/>
      <c r="E408" s="51"/>
      <c r="F408" s="51"/>
      <c r="G408" s="51">
        <v>344.51</v>
      </c>
      <c r="H408" s="51">
        <v>304.04000000000002</v>
      </c>
      <c r="I408" s="51">
        <v>177.99</v>
      </c>
      <c r="J408" s="51">
        <v>240.19</v>
      </c>
      <c r="K408" s="51"/>
      <c r="L408" s="51">
        <v>28.07</v>
      </c>
      <c r="M408" s="51"/>
      <c r="N408" s="51"/>
      <c r="O408" s="53">
        <f t="shared" si="104"/>
        <v>1094.8</v>
      </c>
    </row>
    <row r="409" spans="2:15" ht="15">
      <c r="B409" s="2667" t="s">
        <v>4088</v>
      </c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3">
        <f t="shared" si="104"/>
        <v>0</v>
      </c>
    </row>
    <row r="410" spans="2:15" ht="15">
      <c r="B410" s="2667" t="s">
        <v>2270</v>
      </c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3">
        <f t="shared" si="104"/>
        <v>0</v>
      </c>
    </row>
    <row r="411" spans="2:15" ht="15">
      <c r="B411" s="2667" t="s">
        <v>2284</v>
      </c>
      <c r="C411" s="51">
        <f>SUM(C401:C410)</f>
        <v>1.2</v>
      </c>
      <c r="D411" s="51">
        <f t="shared" ref="D411:N411" si="105">SUM(D401:D410)</f>
        <v>0</v>
      </c>
      <c r="E411" s="51">
        <f t="shared" si="105"/>
        <v>0</v>
      </c>
      <c r="F411" s="51">
        <f t="shared" si="105"/>
        <v>0</v>
      </c>
      <c r="G411" s="51">
        <f t="shared" si="105"/>
        <v>344.51</v>
      </c>
      <c r="H411" s="51">
        <f t="shared" si="105"/>
        <v>304.04000000000002</v>
      </c>
      <c r="I411" s="51">
        <f t="shared" si="105"/>
        <v>177.99</v>
      </c>
      <c r="J411" s="51">
        <f t="shared" si="105"/>
        <v>240.19</v>
      </c>
      <c r="K411" s="51">
        <f t="shared" si="105"/>
        <v>0</v>
      </c>
      <c r="L411" s="51">
        <f t="shared" si="105"/>
        <v>28.07</v>
      </c>
      <c r="M411" s="51">
        <f t="shared" si="105"/>
        <v>117.49</v>
      </c>
      <c r="N411" s="51">
        <f t="shared" si="105"/>
        <v>0</v>
      </c>
      <c r="O411" s="53">
        <f t="shared" si="104"/>
        <v>1213.49</v>
      </c>
    </row>
    <row r="412" spans="2:15" ht="18">
      <c r="B412" s="263" t="s">
        <v>2140</v>
      </c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63"/>
    </row>
    <row r="413" spans="2:15" ht="15">
      <c r="B413" s="2667" t="s">
        <v>349</v>
      </c>
      <c r="C413" s="51">
        <v>321.83999999999997</v>
      </c>
      <c r="D413" s="51">
        <v>242.29</v>
      </c>
      <c r="E413" s="51">
        <v>537.26</v>
      </c>
      <c r="F413" s="51">
        <v>117.31</v>
      </c>
      <c r="G413" s="51">
        <v>0</v>
      </c>
      <c r="H413" s="51">
        <v>110.32</v>
      </c>
      <c r="I413" s="51">
        <v>38.369999999999997</v>
      </c>
      <c r="J413" s="51">
        <v>0</v>
      </c>
      <c r="K413" s="51"/>
      <c r="L413" s="51"/>
      <c r="M413" s="51">
        <v>330.99</v>
      </c>
      <c r="N413" s="51">
        <v>274.33</v>
      </c>
      <c r="O413" s="53">
        <f t="shared" ref="O413:O417" si="106">SUM(C413:N413)</f>
        <v>1972.7099999999996</v>
      </c>
    </row>
    <row r="414" spans="2:15" ht="15">
      <c r="B414" s="2667" t="s">
        <v>3095</v>
      </c>
      <c r="C414" s="51">
        <v>117.29</v>
      </c>
      <c r="D414" s="51">
        <v>39.79</v>
      </c>
      <c r="E414" s="51"/>
      <c r="F414" s="51">
        <v>370.48</v>
      </c>
      <c r="G414" s="51"/>
      <c r="H414" s="51">
        <v>228.09</v>
      </c>
      <c r="I414" s="51">
        <v>618.37</v>
      </c>
      <c r="J414" s="51">
        <v>330.12</v>
      </c>
      <c r="K414" s="51">
        <v>722.45</v>
      </c>
      <c r="L414" s="51">
        <v>718.48</v>
      </c>
      <c r="M414" s="51">
        <v>180.44</v>
      </c>
      <c r="N414" s="51"/>
      <c r="O414" s="53">
        <f t="shared" si="106"/>
        <v>3325.51</v>
      </c>
    </row>
    <row r="415" spans="2:15" ht="15">
      <c r="B415" s="2667" t="s">
        <v>353</v>
      </c>
      <c r="C415" s="51">
        <v>272.69</v>
      </c>
      <c r="D415" s="51"/>
      <c r="E415" s="51"/>
      <c r="F415" s="51"/>
      <c r="G415" s="51">
        <v>366</v>
      </c>
      <c r="H415" s="51">
        <v>85.83</v>
      </c>
      <c r="I415" s="51"/>
      <c r="J415" s="51">
        <v>223.48</v>
      </c>
      <c r="K415" s="51"/>
      <c r="L415" s="51"/>
      <c r="M415" s="51"/>
      <c r="N415" s="51">
        <v>382.44</v>
      </c>
      <c r="O415" s="53">
        <f t="shared" si="106"/>
        <v>1330.44</v>
      </c>
    </row>
    <row r="416" spans="2:15" ht="15">
      <c r="B416" s="2667" t="s">
        <v>342</v>
      </c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3">
        <f t="shared" si="106"/>
        <v>0</v>
      </c>
    </row>
    <row r="417" spans="2:15" ht="15">
      <c r="B417" s="2667" t="s">
        <v>2272</v>
      </c>
      <c r="C417" s="51"/>
      <c r="D417" s="51"/>
      <c r="E417" s="51">
        <v>230.88</v>
      </c>
      <c r="F417" s="51">
        <v>9.25</v>
      </c>
      <c r="G417" s="51"/>
      <c r="H417" s="51"/>
      <c r="I417" s="51"/>
      <c r="J417" s="51">
        <v>196.64</v>
      </c>
      <c r="K417" s="51"/>
      <c r="L417" s="51">
        <v>164.88</v>
      </c>
      <c r="M417" s="51"/>
      <c r="N417" s="51"/>
      <c r="O417" s="53">
        <f t="shared" si="106"/>
        <v>601.65</v>
      </c>
    </row>
    <row r="418" spans="2:15" ht="15">
      <c r="B418" s="2667" t="s">
        <v>4030</v>
      </c>
      <c r="C418" s="51">
        <f>SUM(C413:C417)</f>
        <v>711.81999999999994</v>
      </c>
      <c r="D418" s="51">
        <f t="shared" ref="D418:N418" si="107">SUM(D413:D417)</f>
        <v>282.08</v>
      </c>
      <c r="E418" s="51">
        <f t="shared" si="107"/>
        <v>768.14</v>
      </c>
      <c r="F418" s="51">
        <f t="shared" si="107"/>
        <v>497.04</v>
      </c>
      <c r="G418" s="51">
        <f t="shared" si="107"/>
        <v>366</v>
      </c>
      <c r="H418" s="51">
        <f t="shared" si="107"/>
        <v>424.23999999999995</v>
      </c>
      <c r="I418" s="51">
        <f t="shared" si="107"/>
        <v>656.74</v>
      </c>
      <c r="J418" s="51">
        <f t="shared" si="107"/>
        <v>750.24</v>
      </c>
      <c r="K418" s="51">
        <f t="shared" si="107"/>
        <v>722.45</v>
      </c>
      <c r="L418" s="51">
        <f t="shared" si="107"/>
        <v>883.36</v>
      </c>
      <c r="M418" s="51">
        <f t="shared" si="107"/>
        <v>511.43</v>
      </c>
      <c r="N418" s="51">
        <f t="shared" si="107"/>
        <v>656.77</v>
      </c>
      <c r="O418" s="51">
        <f>SUM(O413:O417)</f>
        <v>7230.3099999999995</v>
      </c>
    </row>
    <row r="419" spans="2:15" ht="15">
      <c r="B419" s="2667" t="s">
        <v>4089</v>
      </c>
      <c r="C419" s="51">
        <f>+C418+C411+C398</f>
        <v>713.02</v>
      </c>
      <c r="D419" s="51">
        <f t="shared" ref="D419:N419" si="108">+D418+D411+D398</f>
        <v>282.08</v>
      </c>
      <c r="E419" s="51">
        <f t="shared" si="108"/>
        <v>768.14</v>
      </c>
      <c r="F419" s="51">
        <f t="shared" si="108"/>
        <v>497.04</v>
      </c>
      <c r="G419" s="51">
        <f t="shared" si="108"/>
        <v>710.51</v>
      </c>
      <c r="H419" s="51">
        <f t="shared" si="108"/>
        <v>728.28</v>
      </c>
      <c r="I419" s="51">
        <f t="shared" si="108"/>
        <v>834.73</v>
      </c>
      <c r="J419" s="51">
        <f t="shared" si="108"/>
        <v>990.43000000000006</v>
      </c>
      <c r="K419" s="51">
        <f t="shared" si="108"/>
        <v>722.45</v>
      </c>
      <c r="L419" s="51">
        <f t="shared" si="108"/>
        <v>911.43000000000006</v>
      </c>
      <c r="M419" s="51">
        <f t="shared" si="108"/>
        <v>628.91999999999996</v>
      </c>
      <c r="N419" s="51">
        <f t="shared" si="108"/>
        <v>728.04</v>
      </c>
      <c r="O419" s="51">
        <f t="shared" ref="O419" si="109">+O418+O411</f>
        <v>8443.7999999999993</v>
      </c>
    </row>
    <row r="420" spans="2:15" ht="15">
      <c r="B420" s="2667" t="s">
        <v>4091</v>
      </c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956"/>
    </row>
    <row r="421" spans="2:15" ht="15">
      <c r="B421" s="2667" t="s">
        <v>351</v>
      </c>
      <c r="C421" s="51"/>
      <c r="D421" s="51"/>
      <c r="E421" s="51"/>
      <c r="F421" s="51"/>
      <c r="G421" s="51">
        <v>0</v>
      </c>
      <c r="H421" s="51">
        <v>0</v>
      </c>
      <c r="I421" s="51"/>
      <c r="J421" s="51"/>
      <c r="K421" s="51"/>
      <c r="L421" s="51"/>
      <c r="M421" s="51"/>
      <c r="N421" s="51">
        <v>0</v>
      </c>
      <c r="O421" s="53">
        <f t="shared" ref="O421:O422" si="110">SUM(C421:N421)</f>
        <v>0</v>
      </c>
    </row>
    <row r="422" spans="2:15" ht="15">
      <c r="B422" s="2667"/>
      <c r="C422" s="51"/>
      <c r="D422" s="51"/>
      <c r="E422" s="51">
        <v>380.69</v>
      </c>
      <c r="F422" s="51"/>
      <c r="G422" s="51">
        <v>128.76</v>
      </c>
      <c r="H422" s="51">
        <v>130.5</v>
      </c>
      <c r="I422" s="51">
        <v>207.64</v>
      </c>
      <c r="J422" s="51">
        <v>243.02</v>
      </c>
      <c r="K422" s="51">
        <v>384.54</v>
      </c>
      <c r="L422" s="51">
        <v>453.44</v>
      </c>
      <c r="M422" s="51">
        <v>263.32</v>
      </c>
      <c r="N422" s="51">
        <v>389.18</v>
      </c>
      <c r="O422" s="53">
        <f t="shared" si="110"/>
        <v>2581.09</v>
      </c>
    </row>
    <row r="423" spans="2:15" ht="15">
      <c r="B423" s="2667" t="s">
        <v>437</v>
      </c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63"/>
    </row>
    <row r="424" spans="2:15" ht="15">
      <c r="B424" s="2667" t="s">
        <v>332</v>
      </c>
      <c r="C424" s="51"/>
      <c r="D424" s="51">
        <v>0</v>
      </c>
      <c r="E424" s="51">
        <v>0</v>
      </c>
      <c r="F424" s="51"/>
      <c r="G424" s="51"/>
      <c r="H424" s="51"/>
      <c r="I424" s="51"/>
      <c r="J424" s="51"/>
      <c r="K424" s="51"/>
      <c r="L424" s="51"/>
      <c r="M424" s="51"/>
      <c r="N424" s="51"/>
      <c r="O424" s="53">
        <f t="shared" ref="O424:O431" si="111">SUM(C424:N424)</f>
        <v>0</v>
      </c>
    </row>
    <row r="425" spans="2:15" ht="15">
      <c r="B425" s="2667" t="s">
        <v>2045</v>
      </c>
      <c r="C425" s="51"/>
      <c r="D425" s="51">
        <v>0</v>
      </c>
      <c r="E425" s="51">
        <v>0</v>
      </c>
      <c r="F425" s="51"/>
      <c r="G425" s="51"/>
      <c r="H425" s="51"/>
      <c r="I425" s="51"/>
      <c r="J425" s="51"/>
      <c r="K425" s="51"/>
      <c r="L425" s="51"/>
      <c r="M425" s="51"/>
      <c r="N425" s="51"/>
      <c r="O425" s="53">
        <f t="shared" si="111"/>
        <v>0</v>
      </c>
    </row>
    <row r="426" spans="2:15" ht="15">
      <c r="B426" s="2667" t="s">
        <v>325</v>
      </c>
      <c r="C426" s="51">
        <v>477.69</v>
      </c>
      <c r="D426" s="51">
        <v>324.41000000000003</v>
      </c>
      <c r="E426" s="51">
        <v>378.99</v>
      </c>
      <c r="F426" s="51">
        <v>318.45499999999998</v>
      </c>
      <c r="G426" s="51">
        <v>404.81</v>
      </c>
      <c r="H426" s="51">
        <v>354.33</v>
      </c>
      <c r="I426" s="51">
        <v>305.94</v>
      </c>
      <c r="J426" s="51">
        <v>513.72</v>
      </c>
      <c r="K426" s="51">
        <v>339.11</v>
      </c>
      <c r="L426" s="51">
        <v>96.67</v>
      </c>
      <c r="M426" s="51">
        <v>353</v>
      </c>
      <c r="N426" s="51">
        <v>328.41</v>
      </c>
      <c r="O426" s="53">
        <f t="shared" si="111"/>
        <v>4195.5350000000008</v>
      </c>
    </row>
    <row r="427" spans="2:15" ht="15">
      <c r="B427" s="2667" t="s">
        <v>339</v>
      </c>
      <c r="C427" s="51">
        <v>123.69</v>
      </c>
      <c r="D427" s="51">
        <v>81.069999999999993</v>
      </c>
      <c r="E427" s="51">
        <v>140.35</v>
      </c>
      <c r="F427" s="51">
        <v>45.5</v>
      </c>
      <c r="G427" s="51">
        <v>57.26</v>
      </c>
      <c r="H427" s="51">
        <v>119.61</v>
      </c>
      <c r="I427" s="51">
        <v>39.04</v>
      </c>
      <c r="J427" s="51">
        <v>8.3000000000000007</v>
      </c>
      <c r="K427" s="51">
        <v>0</v>
      </c>
      <c r="L427" s="51">
        <v>0</v>
      </c>
      <c r="M427" s="51">
        <v>0</v>
      </c>
      <c r="N427" s="51">
        <v>0</v>
      </c>
      <c r="O427" s="53">
        <f t="shared" si="111"/>
        <v>614.81999999999994</v>
      </c>
    </row>
    <row r="428" spans="2:15" ht="15">
      <c r="B428" s="2667" t="s">
        <v>470</v>
      </c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3">
        <f t="shared" si="111"/>
        <v>0</v>
      </c>
    </row>
    <row r="429" spans="2:15" ht="15">
      <c r="B429" s="2667" t="s">
        <v>3915</v>
      </c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3">
        <f t="shared" si="111"/>
        <v>0</v>
      </c>
    </row>
    <row r="430" spans="2:15" ht="15">
      <c r="B430" s="2667" t="s">
        <v>123</v>
      </c>
      <c r="C430" s="51"/>
      <c r="D430" s="51"/>
      <c r="E430" s="51"/>
      <c r="F430" s="51"/>
      <c r="G430" s="51"/>
      <c r="H430" s="51">
        <v>0</v>
      </c>
      <c r="I430" s="51">
        <v>0</v>
      </c>
      <c r="J430" s="51"/>
      <c r="K430" s="51">
        <v>92.73</v>
      </c>
      <c r="L430" s="51"/>
      <c r="M430" s="51"/>
      <c r="N430" s="51"/>
      <c r="O430" s="53">
        <f t="shared" si="111"/>
        <v>92.73</v>
      </c>
    </row>
    <row r="431" spans="2:15" ht="15">
      <c r="B431" s="31"/>
      <c r="C431" s="51">
        <f>SUM(C424:C430)</f>
        <v>601.38</v>
      </c>
      <c r="D431" s="51">
        <f t="shared" ref="D431:N431" si="112">SUM(D424:D430)</f>
        <v>405.48</v>
      </c>
      <c r="E431" s="51">
        <f t="shared" si="112"/>
        <v>519.34</v>
      </c>
      <c r="F431" s="51">
        <f t="shared" si="112"/>
        <v>363.95499999999998</v>
      </c>
      <c r="G431" s="51">
        <f t="shared" si="112"/>
        <v>462.07</v>
      </c>
      <c r="H431" s="51">
        <f t="shared" si="112"/>
        <v>473.94</v>
      </c>
      <c r="I431" s="51">
        <f t="shared" si="112"/>
        <v>344.98</v>
      </c>
      <c r="J431" s="51">
        <f t="shared" si="112"/>
        <v>522.02</v>
      </c>
      <c r="K431" s="51">
        <f t="shared" si="112"/>
        <v>431.84000000000003</v>
      </c>
      <c r="L431" s="51">
        <f t="shared" si="112"/>
        <v>96.67</v>
      </c>
      <c r="M431" s="51">
        <f t="shared" si="112"/>
        <v>353</v>
      </c>
      <c r="N431" s="51">
        <f t="shared" si="112"/>
        <v>328.41</v>
      </c>
      <c r="O431" s="53">
        <f t="shared" si="111"/>
        <v>4903.085</v>
      </c>
    </row>
    <row r="432" spans="2:15" ht="15.75" thickBot="1">
      <c r="B432" s="7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9"/>
    </row>
    <row r="434" spans="2:15" ht="13.5" thickBot="1"/>
    <row r="435" spans="2:15">
      <c r="B435" s="3031" t="s">
        <v>4098</v>
      </c>
      <c r="C435" s="2801"/>
      <c r="D435" s="2801"/>
      <c r="E435" s="2801"/>
      <c r="F435" s="2801"/>
      <c r="G435" s="2801"/>
      <c r="H435" s="2801"/>
      <c r="I435" s="2801"/>
      <c r="J435" s="2801"/>
      <c r="K435" s="2801"/>
      <c r="L435" s="2801"/>
      <c r="M435" s="2801"/>
      <c r="N435" s="2801"/>
      <c r="O435" s="3032"/>
    </row>
    <row r="436" spans="2:15" ht="15">
      <c r="B436" s="31"/>
      <c r="C436" s="51" t="s">
        <v>864</v>
      </c>
      <c r="D436" s="51" t="s">
        <v>865</v>
      </c>
      <c r="E436" s="51" t="s">
        <v>866</v>
      </c>
      <c r="F436" s="51" t="s">
        <v>867</v>
      </c>
      <c r="G436" s="51" t="s">
        <v>868</v>
      </c>
      <c r="H436" s="51" t="s">
        <v>315</v>
      </c>
      <c r="I436" s="51" t="s">
        <v>305</v>
      </c>
      <c r="J436" s="51" t="s">
        <v>3886</v>
      </c>
      <c r="K436" s="51" t="s">
        <v>3941</v>
      </c>
      <c r="L436" s="51" t="s">
        <v>3949</v>
      </c>
      <c r="M436" s="51" t="s">
        <v>3986</v>
      </c>
      <c r="N436" s="51" t="s">
        <v>3987</v>
      </c>
      <c r="O436" s="51" t="s">
        <v>321</v>
      </c>
    </row>
    <row r="437" spans="2:15" ht="15">
      <c r="B437" s="2667" t="s">
        <v>4087</v>
      </c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O437" s="63"/>
    </row>
    <row r="438" spans="2:15" ht="15">
      <c r="B438" s="2667" t="s">
        <v>356</v>
      </c>
      <c r="C438" s="51">
        <v>3735.9</v>
      </c>
      <c r="D438" s="51">
        <v>4767.76</v>
      </c>
      <c r="E438" s="51">
        <v>3277.54</v>
      </c>
      <c r="F438" s="51">
        <v>3120</v>
      </c>
      <c r="G438" s="51">
        <v>5030.8969999999999</v>
      </c>
      <c r="H438" s="51">
        <v>5071.91</v>
      </c>
      <c r="I438" s="51">
        <v>1197.52</v>
      </c>
      <c r="J438" s="51"/>
      <c r="K438" s="51"/>
      <c r="L438" s="51">
        <v>1119.8150000000001</v>
      </c>
      <c r="M438" s="51">
        <v>4621.0519999999997</v>
      </c>
      <c r="N438" s="51">
        <v>5211.47</v>
      </c>
      <c r="O438" s="53">
        <f t="shared" ref="O438:O441" si="113">SUM(C438:N438)</f>
        <v>37153.864000000001</v>
      </c>
    </row>
    <row r="439" spans="2:15" ht="15">
      <c r="B439" s="2667" t="s">
        <v>347</v>
      </c>
      <c r="C439" s="51"/>
      <c r="D439" s="51">
        <v>355.45</v>
      </c>
      <c r="E439" s="51">
        <v>19</v>
      </c>
      <c r="F439" s="51">
        <v>187.42</v>
      </c>
      <c r="G439" s="51">
        <v>61.44</v>
      </c>
      <c r="H439" s="51"/>
      <c r="I439" s="51"/>
      <c r="J439" s="51"/>
      <c r="K439" s="51">
        <v>36</v>
      </c>
      <c r="L439" s="51"/>
      <c r="M439" s="51">
        <v>79.39</v>
      </c>
      <c r="N439" s="51"/>
      <c r="O439" s="53">
        <f t="shared" si="113"/>
        <v>738.69999999999993</v>
      </c>
    </row>
    <row r="440" spans="2:15" ht="15">
      <c r="B440" s="2667" t="s">
        <v>344</v>
      </c>
      <c r="C440" s="51"/>
      <c r="D440" s="51"/>
      <c r="E440" s="51"/>
      <c r="F440" s="51">
        <v>440.22</v>
      </c>
      <c r="G440" s="51">
        <v>72.11</v>
      </c>
      <c r="H440" s="51"/>
      <c r="I440" s="51">
        <v>1171.96</v>
      </c>
      <c r="J440" s="51">
        <v>413.73</v>
      </c>
      <c r="K440" s="51">
        <v>792.44</v>
      </c>
      <c r="L440" s="51">
        <v>243.82</v>
      </c>
      <c r="M440" s="51">
        <v>183.45</v>
      </c>
      <c r="N440" s="51">
        <v>41.18</v>
      </c>
      <c r="O440" s="53">
        <f t="shared" si="113"/>
        <v>3358.91</v>
      </c>
    </row>
    <row r="441" spans="2:15" ht="15">
      <c r="B441" s="2667" t="s">
        <v>2284</v>
      </c>
      <c r="C441" s="51">
        <f>SUM(C438:C440)</f>
        <v>3735.9</v>
      </c>
      <c r="D441" s="51">
        <f t="shared" ref="D441:N441" si="114">SUM(D438:D440)</f>
        <v>5123.21</v>
      </c>
      <c r="E441" s="51">
        <f t="shared" si="114"/>
        <v>3296.54</v>
      </c>
      <c r="F441" s="51">
        <f t="shared" si="114"/>
        <v>3747.6400000000003</v>
      </c>
      <c r="G441" s="51">
        <f t="shared" si="114"/>
        <v>5164.4469999999992</v>
      </c>
      <c r="H441" s="51">
        <f t="shared" si="114"/>
        <v>5071.91</v>
      </c>
      <c r="I441" s="51">
        <f t="shared" si="114"/>
        <v>2369.48</v>
      </c>
      <c r="J441" s="51">
        <f t="shared" si="114"/>
        <v>413.73</v>
      </c>
      <c r="K441" s="51">
        <f t="shared" si="114"/>
        <v>828.44</v>
      </c>
      <c r="L441" s="51">
        <f t="shared" si="114"/>
        <v>1363.635</v>
      </c>
      <c r="M441" s="51">
        <f t="shared" si="114"/>
        <v>4883.8919999999998</v>
      </c>
      <c r="N441" s="51">
        <f t="shared" si="114"/>
        <v>5252.6500000000005</v>
      </c>
      <c r="O441" s="53">
        <f t="shared" si="113"/>
        <v>41251.473999999995</v>
      </c>
    </row>
    <row r="442" spans="2:15" ht="18">
      <c r="B442" s="263" t="s">
        <v>4094</v>
      </c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3"/>
    </row>
    <row r="443" spans="2:15" ht="15">
      <c r="B443" s="2667" t="s">
        <v>342</v>
      </c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3">
        <f t="shared" ref="O443:O448" si="115">SUM(C443:N443)</f>
        <v>0</v>
      </c>
    </row>
    <row r="444" spans="2:15" ht="15">
      <c r="B444" s="2667" t="s">
        <v>2273</v>
      </c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3">
        <f t="shared" si="115"/>
        <v>0</v>
      </c>
    </row>
    <row r="445" spans="2:15" ht="15">
      <c r="B445" s="2667" t="s">
        <v>3095</v>
      </c>
      <c r="C445" s="51"/>
      <c r="D445" s="51"/>
      <c r="E445" s="51"/>
      <c r="F445" s="51"/>
      <c r="G445" s="51"/>
      <c r="H445" s="51">
        <v>90.26</v>
      </c>
      <c r="I445" s="51">
        <v>225.73</v>
      </c>
      <c r="J445" s="51"/>
      <c r="K445" s="51"/>
      <c r="L445" s="51"/>
      <c r="M445" s="51">
        <v>347.35</v>
      </c>
      <c r="N445" s="51">
        <v>160.75</v>
      </c>
      <c r="O445" s="53">
        <f t="shared" si="115"/>
        <v>824.09</v>
      </c>
    </row>
    <row r="446" spans="2:15" ht="15">
      <c r="B446" s="2667" t="s">
        <v>4095</v>
      </c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3">
        <f t="shared" si="115"/>
        <v>0</v>
      </c>
    </row>
    <row r="447" spans="2:15" ht="15">
      <c r="B447" s="2667" t="s">
        <v>3104</v>
      </c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3">
        <f t="shared" si="115"/>
        <v>0</v>
      </c>
    </row>
    <row r="448" spans="2:15" ht="15">
      <c r="B448" s="2667" t="s">
        <v>3100</v>
      </c>
      <c r="C448" s="51"/>
      <c r="D448" s="51"/>
      <c r="E448" s="51"/>
      <c r="F448" s="51"/>
      <c r="G448" s="51"/>
      <c r="H448" s="51"/>
      <c r="I448" s="51"/>
      <c r="J448" s="51">
        <v>104.88</v>
      </c>
      <c r="K448" s="51">
        <v>161.46</v>
      </c>
      <c r="L448" s="51">
        <v>30.62</v>
      </c>
      <c r="M448" s="51">
        <v>36.090000000000003</v>
      </c>
      <c r="N448" s="51">
        <v>0</v>
      </c>
      <c r="O448" s="53">
        <f t="shared" si="115"/>
        <v>333.05000000000007</v>
      </c>
    </row>
    <row r="449" spans="2:15" ht="15">
      <c r="B449" s="2667" t="s">
        <v>2284</v>
      </c>
      <c r="C449" s="51">
        <f>SUM(C443:C448)</f>
        <v>0</v>
      </c>
      <c r="D449" s="51">
        <f t="shared" ref="D449:O449" si="116">SUM(D443:D448)</f>
        <v>0</v>
      </c>
      <c r="E449" s="51">
        <f t="shared" si="116"/>
        <v>0</v>
      </c>
      <c r="F449" s="51">
        <f t="shared" si="116"/>
        <v>0</v>
      </c>
      <c r="G449" s="51">
        <f t="shared" si="116"/>
        <v>0</v>
      </c>
      <c r="H449" s="51">
        <f t="shared" si="116"/>
        <v>90.26</v>
      </c>
      <c r="I449" s="51">
        <f t="shared" si="116"/>
        <v>225.73</v>
      </c>
      <c r="J449" s="51">
        <f t="shared" si="116"/>
        <v>104.88</v>
      </c>
      <c r="K449" s="51">
        <f t="shared" si="116"/>
        <v>161.46</v>
      </c>
      <c r="L449" s="51">
        <f t="shared" si="116"/>
        <v>30.62</v>
      </c>
      <c r="M449" s="51">
        <f t="shared" si="116"/>
        <v>383.44000000000005</v>
      </c>
      <c r="N449" s="51">
        <f t="shared" si="116"/>
        <v>160.75</v>
      </c>
      <c r="O449" s="51">
        <f t="shared" si="116"/>
        <v>1157.1400000000001</v>
      </c>
    </row>
    <row r="450" spans="2:15" ht="15">
      <c r="B450" s="2667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3"/>
    </row>
    <row r="451" spans="2:15" ht="18">
      <c r="B451" s="263" t="s">
        <v>3098</v>
      </c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3">
        <f t="shared" ref="O451:O456" si="117">SUM(C451:N451)</f>
        <v>0</v>
      </c>
    </row>
    <row r="452" spans="2:15" ht="15">
      <c r="B452" s="2667" t="s">
        <v>2273</v>
      </c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3">
        <f t="shared" si="117"/>
        <v>0</v>
      </c>
    </row>
    <row r="453" spans="2:15" ht="15">
      <c r="B453" s="2667" t="s">
        <v>349</v>
      </c>
      <c r="C453" s="51"/>
      <c r="D453" s="51"/>
      <c r="E453" s="51">
        <v>227.38</v>
      </c>
      <c r="F453" s="51">
        <v>213.16</v>
      </c>
      <c r="G453" s="51">
        <v>447.2</v>
      </c>
      <c r="H453" s="51"/>
      <c r="I453" s="51">
        <v>26.51</v>
      </c>
      <c r="J453" s="51"/>
      <c r="K453" s="51">
        <v>442.42</v>
      </c>
      <c r="L453" s="51">
        <v>254.75</v>
      </c>
      <c r="M453" s="51">
        <v>361.32</v>
      </c>
      <c r="N453" s="51"/>
      <c r="O453" s="53">
        <f t="shared" si="117"/>
        <v>1972.74</v>
      </c>
    </row>
    <row r="454" spans="2:15" ht="15">
      <c r="B454" s="2667" t="s">
        <v>2270</v>
      </c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>
        <v>460.5</v>
      </c>
      <c r="O454" s="53">
        <f t="shared" si="117"/>
        <v>460.5</v>
      </c>
    </row>
    <row r="455" spans="2:15" ht="15">
      <c r="B455" s="2667" t="s">
        <v>342</v>
      </c>
      <c r="C455" s="51">
        <v>0</v>
      </c>
      <c r="D455" s="51"/>
      <c r="E455" s="51"/>
      <c r="F455" s="51">
        <v>426.91</v>
      </c>
      <c r="G455" s="51">
        <v>530.79</v>
      </c>
      <c r="H455" s="51">
        <v>487.23</v>
      </c>
      <c r="I455" s="51">
        <v>71.08</v>
      </c>
      <c r="J455" s="51">
        <v>233.14</v>
      </c>
      <c r="K455" s="51">
        <v>163.31</v>
      </c>
      <c r="L455" s="51"/>
      <c r="M455" s="51"/>
      <c r="N455" s="51"/>
      <c r="O455" s="53">
        <f t="shared" si="117"/>
        <v>1912.46</v>
      </c>
    </row>
    <row r="456" spans="2:15" ht="15">
      <c r="B456" s="2667" t="s">
        <v>2272</v>
      </c>
      <c r="C456" s="51"/>
      <c r="D456" s="51"/>
      <c r="E456" s="51"/>
      <c r="F456" s="51"/>
      <c r="G456" s="51">
        <v>0</v>
      </c>
      <c r="H456" s="51">
        <v>0</v>
      </c>
      <c r="I456" s="51">
        <v>0</v>
      </c>
      <c r="J456" s="51">
        <v>0</v>
      </c>
      <c r="K456" s="51">
        <v>0</v>
      </c>
      <c r="L456" s="51">
        <v>0</v>
      </c>
      <c r="M456" s="51">
        <v>0</v>
      </c>
      <c r="N456" s="51">
        <v>0</v>
      </c>
      <c r="O456" s="53">
        <f t="shared" si="117"/>
        <v>0</v>
      </c>
    </row>
    <row r="457" spans="2:15" ht="15">
      <c r="B457" s="2667">
        <v>9260</v>
      </c>
      <c r="C457" s="51"/>
      <c r="D457" s="51"/>
      <c r="E457" s="51"/>
      <c r="F457" s="51"/>
      <c r="G457" s="51">
        <v>0</v>
      </c>
      <c r="H457" s="51">
        <v>107.3</v>
      </c>
      <c r="I457" s="51">
        <v>53.98</v>
      </c>
      <c r="J457" s="51">
        <v>164.99</v>
      </c>
      <c r="K457" s="51">
        <v>0</v>
      </c>
      <c r="L457" s="51">
        <v>0</v>
      </c>
      <c r="M457" s="51">
        <v>0</v>
      </c>
      <c r="N457" s="51">
        <v>0</v>
      </c>
      <c r="O457" s="53"/>
    </row>
    <row r="458" spans="2:15" ht="15">
      <c r="B458" s="2667" t="s">
        <v>3100</v>
      </c>
      <c r="C458" s="51"/>
      <c r="D458" s="51"/>
      <c r="E458" s="51"/>
      <c r="F458" s="51"/>
      <c r="G458" s="51">
        <v>0</v>
      </c>
      <c r="H458" s="51">
        <v>0</v>
      </c>
      <c r="I458" s="51">
        <v>0</v>
      </c>
      <c r="J458" s="51">
        <v>0</v>
      </c>
      <c r="K458" s="51">
        <v>13.48</v>
      </c>
      <c r="L458" s="51">
        <v>0</v>
      </c>
      <c r="M458" s="51">
        <v>0</v>
      </c>
      <c r="N458" s="51">
        <v>0</v>
      </c>
      <c r="O458" s="53">
        <f t="shared" ref="O458:O463" si="118">SUM(C458:N458)</f>
        <v>13.48</v>
      </c>
    </row>
    <row r="459" spans="2:15" ht="15">
      <c r="B459" s="2667" t="s">
        <v>4099</v>
      </c>
      <c r="C459" s="51"/>
      <c r="D459" s="51">
        <v>130.78</v>
      </c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3"/>
    </row>
    <row r="460" spans="2:15" ht="15">
      <c r="B460" s="2667" t="s">
        <v>3101</v>
      </c>
      <c r="C460" s="51"/>
      <c r="D460" s="51"/>
      <c r="E460" s="51"/>
      <c r="F460" s="51"/>
      <c r="G460" s="51">
        <v>0</v>
      </c>
      <c r="H460" s="51">
        <v>0</v>
      </c>
      <c r="I460" s="51">
        <v>0</v>
      </c>
      <c r="J460" s="51">
        <v>0</v>
      </c>
      <c r="K460" s="51">
        <v>0</v>
      </c>
      <c r="L460" s="51">
        <v>0</v>
      </c>
      <c r="M460" s="51">
        <v>0</v>
      </c>
      <c r="N460" s="51">
        <v>0</v>
      </c>
      <c r="O460" s="53">
        <f t="shared" si="118"/>
        <v>0</v>
      </c>
    </row>
    <row r="461" spans="2:15" ht="15">
      <c r="B461" s="2667" t="s">
        <v>4088</v>
      </c>
      <c r="C461" s="51"/>
      <c r="D461" s="51"/>
      <c r="E461" s="51"/>
      <c r="F461" s="51"/>
      <c r="G461" s="51">
        <v>0</v>
      </c>
      <c r="H461" s="51">
        <v>0</v>
      </c>
      <c r="I461" s="51">
        <v>0</v>
      </c>
      <c r="J461" s="51">
        <v>0</v>
      </c>
      <c r="K461" s="51">
        <v>0</v>
      </c>
      <c r="L461" s="51">
        <v>0</v>
      </c>
      <c r="M461" s="51">
        <v>0</v>
      </c>
      <c r="N461" s="51">
        <v>0</v>
      </c>
      <c r="O461" s="53">
        <f t="shared" si="118"/>
        <v>0</v>
      </c>
    </row>
    <row r="462" spans="2:15" ht="15">
      <c r="B462" s="2667" t="s">
        <v>2270</v>
      </c>
      <c r="C462" s="51"/>
      <c r="D462" s="51"/>
      <c r="E462" s="51"/>
      <c r="F462" s="51"/>
      <c r="G462" s="51">
        <v>0</v>
      </c>
      <c r="H462" s="51">
        <v>0</v>
      </c>
      <c r="I462" s="51">
        <v>0</v>
      </c>
      <c r="J462" s="51">
        <v>0</v>
      </c>
      <c r="K462" s="51">
        <v>0</v>
      </c>
      <c r="L462" s="51">
        <v>0</v>
      </c>
      <c r="M462" s="51">
        <v>0</v>
      </c>
      <c r="N462" s="51">
        <v>0</v>
      </c>
      <c r="O462" s="53">
        <f t="shared" si="118"/>
        <v>0</v>
      </c>
    </row>
    <row r="463" spans="2:15" ht="15">
      <c r="B463" s="2667" t="s">
        <v>2284</v>
      </c>
      <c r="C463" s="51">
        <f>SUM(C452:C462)</f>
        <v>0</v>
      </c>
      <c r="D463" s="51">
        <f t="shared" ref="D463:N463" si="119">SUM(D452:D462)</f>
        <v>130.78</v>
      </c>
      <c r="E463" s="51">
        <f t="shared" si="119"/>
        <v>227.38</v>
      </c>
      <c r="F463" s="51">
        <f t="shared" si="119"/>
        <v>640.07000000000005</v>
      </c>
      <c r="G463" s="51">
        <f t="shared" si="119"/>
        <v>977.99</v>
      </c>
      <c r="H463" s="51">
        <f t="shared" si="119"/>
        <v>594.53</v>
      </c>
      <c r="I463" s="51">
        <f t="shared" si="119"/>
        <v>151.57</v>
      </c>
      <c r="J463" s="51">
        <f t="shared" si="119"/>
        <v>398.13</v>
      </c>
      <c r="K463" s="51">
        <f t="shared" si="119"/>
        <v>619.21</v>
      </c>
      <c r="L463" s="51">
        <f t="shared" si="119"/>
        <v>254.75</v>
      </c>
      <c r="M463" s="51">
        <f t="shared" si="119"/>
        <v>361.32</v>
      </c>
      <c r="N463" s="51">
        <f t="shared" si="119"/>
        <v>460.5</v>
      </c>
      <c r="O463" s="53">
        <f t="shared" si="118"/>
        <v>4816.2300000000005</v>
      </c>
    </row>
    <row r="464" spans="2:15" ht="18">
      <c r="B464" s="263" t="s">
        <v>2140</v>
      </c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63"/>
    </row>
    <row r="465" spans="2:15" ht="15">
      <c r="B465" s="2667" t="s">
        <v>349</v>
      </c>
      <c r="C465" s="51"/>
      <c r="D465" s="51"/>
      <c r="E465" s="51"/>
      <c r="F465" s="51"/>
      <c r="G465" s="51"/>
      <c r="H465" s="51"/>
      <c r="I465" s="51">
        <v>0</v>
      </c>
      <c r="J465" s="51"/>
      <c r="K465" s="51"/>
      <c r="L465" s="51"/>
      <c r="M465" s="51"/>
      <c r="N465" s="51"/>
      <c r="O465" s="53">
        <f t="shared" ref="O465:O469" si="120">SUM(C465:N465)</f>
        <v>0</v>
      </c>
    </row>
    <row r="466" spans="2:15" ht="15">
      <c r="B466" s="2667" t="s">
        <v>3095</v>
      </c>
      <c r="C466" s="51"/>
      <c r="D466" s="51">
        <v>64.3</v>
      </c>
      <c r="E466" s="51">
        <v>696.16</v>
      </c>
      <c r="F466" s="51">
        <v>566.45000000000005</v>
      </c>
      <c r="G466" s="51">
        <v>228.73</v>
      </c>
      <c r="H466" s="51">
        <v>145.06</v>
      </c>
      <c r="I466" s="51">
        <v>604.73</v>
      </c>
      <c r="J466" s="51">
        <v>191.34</v>
      </c>
      <c r="K466" s="51"/>
      <c r="L466" s="51">
        <v>295.62</v>
      </c>
      <c r="M466" s="51">
        <v>630.1</v>
      </c>
      <c r="N466" s="51"/>
      <c r="O466" s="53">
        <f t="shared" si="120"/>
        <v>3422.49</v>
      </c>
    </row>
    <row r="467" spans="2:15" ht="15">
      <c r="B467" s="2667" t="s">
        <v>353</v>
      </c>
      <c r="C467" s="51">
        <v>162</v>
      </c>
      <c r="D467" s="51">
        <v>70.25</v>
      </c>
      <c r="E467" s="51"/>
      <c r="F467" s="51"/>
      <c r="G467" s="51"/>
      <c r="H467" s="51"/>
      <c r="I467" s="51"/>
      <c r="J467" s="51">
        <v>181.31</v>
      </c>
      <c r="K467" s="51">
        <v>449.42</v>
      </c>
      <c r="L467" s="51">
        <v>360.65</v>
      </c>
      <c r="M467" s="51"/>
      <c r="N467" s="51"/>
      <c r="O467" s="53">
        <f t="shared" si="120"/>
        <v>1223.6300000000001</v>
      </c>
    </row>
    <row r="468" spans="2:15" ht="15">
      <c r="B468" s="2667" t="s">
        <v>342</v>
      </c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3">
        <f t="shared" si="120"/>
        <v>0</v>
      </c>
    </row>
    <row r="469" spans="2:15" ht="15">
      <c r="B469" s="2667" t="s">
        <v>2272</v>
      </c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>
        <v>176.87</v>
      </c>
      <c r="O469" s="53">
        <f t="shared" si="120"/>
        <v>176.87</v>
      </c>
    </row>
    <row r="470" spans="2:15" ht="15">
      <c r="B470" s="2667" t="s">
        <v>4030</v>
      </c>
      <c r="C470" s="51">
        <f>SUM(C465:C469)</f>
        <v>162</v>
      </c>
      <c r="D470" s="51">
        <f t="shared" ref="D470:N470" si="121">SUM(D465:D469)</f>
        <v>134.55000000000001</v>
      </c>
      <c r="E470" s="51">
        <f t="shared" si="121"/>
        <v>696.16</v>
      </c>
      <c r="F470" s="51">
        <f t="shared" si="121"/>
        <v>566.45000000000005</v>
      </c>
      <c r="G470" s="51">
        <f t="shared" si="121"/>
        <v>228.73</v>
      </c>
      <c r="H470" s="51">
        <f t="shared" si="121"/>
        <v>145.06</v>
      </c>
      <c r="I470" s="51">
        <f t="shared" si="121"/>
        <v>604.73</v>
      </c>
      <c r="J470" s="51">
        <f t="shared" si="121"/>
        <v>372.65</v>
      </c>
      <c r="K470" s="51">
        <f t="shared" si="121"/>
        <v>449.42</v>
      </c>
      <c r="L470" s="51">
        <f t="shared" si="121"/>
        <v>656.27</v>
      </c>
      <c r="M470" s="51">
        <f t="shared" si="121"/>
        <v>630.1</v>
      </c>
      <c r="N470" s="51">
        <f t="shared" si="121"/>
        <v>176.87</v>
      </c>
      <c r="O470" s="51">
        <f>SUM(O465:O469)</f>
        <v>4822.99</v>
      </c>
    </row>
    <row r="471" spans="2:15" ht="15">
      <c r="B471" s="2667" t="s">
        <v>4089</v>
      </c>
      <c r="C471" s="51">
        <f>+C470+C463+C449</f>
        <v>162</v>
      </c>
      <c r="D471" s="51">
        <f t="shared" ref="D471:N471" si="122">+D470+D463+D449</f>
        <v>265.33000000000004</v>
      </c>
      <c r="E471" s="51">
        <f t="shared" si="122"/>
        <v>923.54</v>
      </c>
      <c r="F471" s="51">
        <f t="shared" si="122"/>
        <v>1206.52</v>
      </c>
      <c r="G471" s="51">
        <f t="shared" si="122"/>
        <v>1206.72</v>
      </c>
      <c r="H471" s="51">
        <f t="shared" si="122"/>
        <v>829.84999999999991</v>
      </c>
      <c r="I471" s="51">
        <f t="shared" si="122"/>
        <v>982.03</v>
      </c>
      <c r="J471" s="51">
        <f t="shared" si="122"/>
        <v>875.66</v>
      </c>
      <c r="K471" s="51">
        <f t="shared" si="122"/>
        <v>1230.0900000000001</v>
      </c>
      <c r="L471" s="51">
        <f t="shared" si="122"/>
        <v>941.64</v>
      </c>
      <c r="M471" s="51">
        <f t="shared" si="122"/>
        <v>1374.8600000000001</v>
      </c>
      <c r="N471" s="51">
        <f t="shared" si="122"/>
        <v>798.12</v>
      </c>
      <c r="O471" s="51">
        <f t="shared" ref="O471" si="123">+O470+O463</f>
        <v>9639.2200000000012</v>
      </c>
    </row>
    <row r="472" spans="2:15" ht="18">
      <c r="B472" s="263" t="s">
        <v>4091</v>
      </c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956"/>
    </row>
    <row r="473" spans="2:15" ht="15">
      <c r="B473" s="2667" t="s">
        <v>351</v>
      </c>
      <c r="C473" s="51">
        <v>264.48</v>
      </c>
      <c r="D473" s="51">
        <v>22.62</v>
      </c>
      <c r="E473" s="51"/>
      <c r="F473" s="51"/>
      <c r="G473" s="51">
        <v>303.87</v>
      </c>
      <c r="H473" s="51">
        <v>84.68</v>
      </c>
      <c r="I473" s="51">
        <v>348</v>
      </c>
      <c r="J473" s="51">
        <v>261</v>
      </c>
      <c r="K473" s="51">
        <v>101.45</v>
      </c>
      <c r="L473" s="51">
        <v>348.58</v>
      </c>
      <c r="M473" s="51"/>
      <c r="N473" s="51">
        <v>0</v>
      </c>
      <c r="O473" s="53">
        <f t="shared" ref="O473:O474" si="124">SUM(C473:N473)</f>
        <v>1734.68</v>
      </c>
    </row>
    <row r="474" spans="2:15" ht="15">
      <c r="B474" s="2667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3">
        <f t="shared" si="124"/>
        <v>0</v>
      </c>
    </row>
    <row r="475" spans="2:15" ht="15">
      <c r="B475" s="2667" t="s">
        <v>437</v>
      </c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63"/>
    </row>
    <row r="476" spans="2:15" ht="15">
      <c r="B476" s="2667" t="s">
        <v>332</v>
      </c>
      <c r="C476" s="51"/>
      <c r="D476" s="51">
        <v>0</v>
      </c>
      <c r="E476" s="51">
        <v>0</v>
      </c>
      <c r="F476" s="51"/>
      <c r="G476" s="51"/>
      <c r="H476" s="51"/>
      <c r="I476" s="51"/>
      <c r="J476" s="51"/>
      <c r="K476" s="51"/>
      <c r="L476" s="51"/>
      <c r="M476" s="51"/>
      <c r="N476" s="51"/>
      <c r="O476" s="53">
        <f t="shared" ref="O476:O483" si="125">SUM(C476:N476)</f>
        <v>0</v>
      </c>
    </row>
    <row r="477" spans="2:15" ht="15">
      <c r="B477" s="2667" t="s">
        <v>2045</v>
      </c>
      <c r="C477" s="51"/>
      <c r="D477" s="51">
        <v>0</v>
      </c>
      <c r="E477" s="51">
        <v>0</v>
      </c>
      <c r="F477" s="51"/>
      <c r="G477" s="51"/>
      <c r="H477" s="51"/>
      <c r="I477" s="51"/>
      <c r="J477" s="51"/>
      <c r="K477" s="51"/>
      <c r="L477" s="51"/>
      <c r="M477" s="51"/>
      <c r="N477" s="51"/>
      <c r="O477" s="53">
        <f t="shared" si="125"/>
        <v>0</v>
      </c>
    </row>
    <row r="478" spans="2:15" ht="15">
      <c r="B478" s="2667" t="s">
        <v>325</v>
      </c>
      <c r="C478" s="51">
        <v>340.17</v>
      </c>
      <c r="D478" s="51">
        <v>450.66</v>
      </c>
      <c r="E478" s="51">
        <v>467.99</v>
      </c>
      <c r="F478" s="51">
        <v>390.41</v>
      </c>
      <c r="G478" s="51">
        <v>454.37</v>
      </c>
      <c r="H478" s="51">
        <v>412.67</v>
      </c>
      <c r="I478" s="51">
        <f>4489.28-4051.364</f>
        <v>437.91599999999971</v>
      </c>
      <c r="J478" s="51">
        <v>461.82</v>
      </c>
      <c r="K478" s="51"/>
      <c r="L478" s="51">
        <v>202.83</v>
      </c>
      <c r="M478" s="51">
        <v>388.29399999999998</v>
      </c>
      <c r="N478" s="51">
        <v>482.15</v>
      </c>
      <c r="O478" s="53">
        <f t="shared" si="125"/>
        <v>4489.28</v>
      </c>
    </row>
    <row r="479" spans="2:15" ht="15">
      <c r="B479" s="2667" t="s">
        <v>339</v>
      </c>
      <c r="C479" s="51"/>
      <c r="D479" s="51">
        <v>47.52</v>
      </c>
      <c r="E479" s="51">
        <v>106.13</v>
      </c>
      <c r="F479" s="51">
        <v>144.13</v>
      </c>
      <c r="G479" s="51">
        <v>78.92</v>
      </c>
      <c r="H479" s="51">
        <v>68.05</v>
      </c>
      <c r="I479" s="51">
        <v>88.95</v>
      </c>
      <c r="J479" s="51">
        <v>78.37</v>
      </c>
      <c r="K479" s="51">
        <v>37.9</v>
      </c>
      <c r="L479" s="51">
        <v>113.51</v>
      </c>
      <c r="M479" s="51">
        <v>63.75</v>
      </c>
      <c r="N479" s="51">
        <v>31.44</v>
      </c>
      <c r="O479" s="53">
        <f t="shared" si="125"/>
        <v>858.67000000000007</v>
      </c>
    </row>
    <row r="480" spans="2:15" ht="15">
      <c r="B480" s="2667" t="s">
        <v>470</v>
      </c>
      <c r="C480" s="51"/>
      <c r="D480" s="51">
        <v>49.69</v>
      </c>
      <c r="E480" s="51"/>
      <c r="F480" s="51"/>
      <c r="G480" s="51"/>
      <c r="H480" s="51">
        <v>49.27</v>
      </c>
      <c r="I480" s="51"/>
      <c r="J480" s="51"/>
      <c r="K480" s="51"/>
      <c r="L480" s="51"/>
      <c r="M480" s="51"/>
      <c r="N480" s="51"/>
      <c r="O480" s="53">
        <f t="shared" si="125"/>
        <v>98.960000000000008</v>
      </c>
    </row>
    <row r="481" spans="2:15" ht="15">
      <c r="B481" s="2667" t="s">
        <v>3915</v>
      </c>
      <c r="C481" s="51"/>
      <c r="D481" s="51"/>
      <c r="E481" s="51"/>
      <c r="F481" s="51"/>
      <c r="G481" s="51"/>
      <c r="H481" s="51"/>
      <c r="I481" s="51"/>
      <c r="J481" s="51">
        <v>31.78</v>
      </c>
      <c r="K481" s="51">
        <v>4.3</v>
      </c>
      <c r="L481" s="51"/>
      <c r="M481" s="51"/>
      <c r="N481" s="51"/>
      <c r="O481" s="53">
        <f t="shared" si="125"/>
        <v>36.08</v>
      </c>
    </row>
    <row r="482" spans="2:15" ht="15">
      <c r="B482" s="2667" t="s">
        <v>123</v>
      </c>
      <c r="C482" s="51">
        <v>127.36</v>
      </c>
      <c r="D482" s="51">
        <v>47.38</v>
      </c>
      <c r="E482" s="51">
        <v>76.92</v>
      </c>
      <c r="F482" s="51"/>
      <c r="G482" s="51">
        <v>99.43</v>
      </c>
      <c r="H482" s="51">
        <v>44.65</v>
      </c>
      <c r="I482" s="51">
        <v>32.770000000000003</v>
      </c>
      <c r="J482" s="51">
        <v>29.7</v>
      </c>
      <c r="K482" s="51">
        <v>294.44</v>
      </c>
      <c r="L482" s="51">
        <v>85.14</v>
      </c>
      <c r="M482" s="51">
        <v>106.02</v>
      </c>
      <c r="N482" s="51"/>
      <c r="O482" s="53">
        <f t="shared" si="125"/>
        <v>943.81</v>
      </c>
    </row>
    <row r="483" spans="2:15" ht="15">
      <c r="B483" s="31"/>
      <c r="C483" s="51">
        <f>SUM(C476:C482)</f>
        <v>467.53000000000003</v>
      </c>
      <c r="D483" s="51">
        <f t="shared" ref="D483:N483" si="126">SUM(D476:D482)</f>
        <v>595.25</v>
      </c>
      <c r="E483" s="51">
        <f t="shared" si="126"/>
        <v>651.04</v>
      </c>
      <c r="F483" s="51">
        <f t="shared" si="126"/>
        <v>534.54</v>
      </c>
      <c r="G483" s="51">
        <f t="shared" si="126"/>
        <v>632.72</v>
      </c>
      <c r="H483" s="51">
        <f t="shared" si="126"/>
        <v>574.64</v>
      </c>
      <c r="I483" s="51">
        <f t="shared" si="126"/>
        <v>559.63599999999974</v>
      </c>
      <c r="J483" s="51">
        <f t="shared" si="126"/>
        <v>601.67000000000007</v>
      </c>
      <c r="K483" s="51">
        <f t="shared" si="126"/>
        <v>336.64</v>
      </c>
      <c r="L483" s="51">
        <f t="shared" si="126"/>
        <v>401.48</v>
      </c>
      <c r="M483" s="51">
        <f t="shared" si="126"/>
        <v>558.06399999999996</v>
      </c>
      <c r="N483" s="51">
        <f t="shared" si="126"/>
        <v>513.59</v>
      </c>
      <c r="O483" s="53">
        <f t="shared" si="125"/>
        <v>6426.8000000000011</v>
      </c>
    </row>
    <row r="484" spans="2:15" ht="15.75" thickBot="1">
      <c r="B484" s="7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9"/>
    </row>
    <row r="488" spans="2:15" ht="13.5" thickBot="1"/>
    <row r="489" spans="2:15">
      <c r="B489" s="3031" t="s">
        <v>4184</v>
      </c>
      <c r="C489" s="2801"/>
      <c r="D489" s="2801"/>
      <c r="E489" s="2801"/>
      <c r="F489" s="2801"/>
      <c r="G489" s="2801"/>
      <c r="H489" s="2801"/>
      <c r="I489" s="2801"/>
      <c r="J489" s="2801"/>
      <c r="K489" s="2801"/>
      <c r="L489" s="2801"/>
      <c r="M489" s="2801"/>
      <c r="N489" s="2801"/>
      <c r="O489" s="3032"/>
    </row>
    <row r="490" spans="2:15" ht="15">
      <c r="B490" s="31"/>
      <c r="C490" s="51" t="s">
        <v>4137</v>
      </c>
      <c r="D490" s="51" t="s">
        <v>865</v>
      </c>
      <c r="E490" s="51" t="s">
        <v>866</v>
      </c>
      <c r="F490" s="51" t="s">
        <v>867</v>
      </c>
      <c r="G490" s="51" t="s">
        <v>868</v>
      </c>
      <c r="H490" s="51" t="s">
        <v>315</v>
      </c>
      <c r="I490" s="51" t="s">
        <v>305</v>
      </c>
      <c r="J490" s="51" t="s">
        <v>3886</v>
      </c>
      <c r="K490" s="51" t="s">
        <v>3941</v>
      </c>
      <c r="L490" s="51" t="s">
        <v>3949</v>
      </c>
      <c r="M490" s="51" t="s">
        <v>3986</v>
      </c>
      <c r="N490" s="51" t="s">
        <v>3987</v>
      </c>
      <c r="O490" s="51" t="s">
        <v>321</v>
      </c>
    </row>
    <row r="491" spans="2:15" ht="15">
      <c r="B491" s="2667" t="s">
        <v>4087</v>
      </c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O491" s="63"/>
    </row>
    <row r="492" spans="2:15" ht="15">
      <c r="B492" s="2667" t="s">
        <v>356</v>
      </c>
      <c r="C492" s="51">
        <v>6155.27</v>
      </c>
      <c r="D492" s="51">
        <v>0</v>
      </c>
      <c r="E492" s="51">
        <v>0</v>
      </c>
      <c r="F492" s="51">
        <v>0</v>
      </c>
      <c r="G492" s="51">
        <v>0</v>
      </c>
      <c r="H492" s="51">
        <v>0</v>
      </c>
      <c r="I492" s="51">
        <v>0</v>
      </c>
      <c r="J492" s="51">
        <v>0</v>
      </c>
      <c r="K492" s="51">
        <v>0</v>
      </c>
      <c r="L492" s="51">
        <v>0</v>
      </c>
      <c r="M492" s="51">
        <v>0</v>
      </c>
      <c r="N492" s="51">
        <v>0</v>
      </c>
      <c r="O492" s="53">
        <f t="shared" ref="O492:O495" si="127">SUM(C492:N492)</f>
        <v>6155.27</v>
      </c>
    </row>
    <row r="493" spans="2:15" ht="15">
      <c r="B493" s="2667" t="s">
        <v>347</v>
      </c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3">
        <f t="shared" si="127"/>
        <v>0</v>
      </c>
    </row>
    <row r="494" spans="2:15" ht="15">
      <c r="B494" s="2667" t="s">
        <v>344</v>
      </c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3">
        <f t="shared" si="127"/>
        <v>0</v>
      </c>
    </row>
    <row r="495" spans="2:15" ht="15">
      <c r="B495" s="2667" t="s">
        <v>2284</v>
      </c>
      <c r="C495" s="51">
        <f>SUM(C492:C494)</f>
        <v>6155.27</v>
      </c>
      <c r="D495" s="51">
        <f t="shared" ref="D495:N495" si="128">SUM(D492:D494)</f>
        <v>0</v>
      </c>
      <c r="E495" s="51">
        <f t="shared" si="128"/>
        <v>0</v>
      </c>
      <c r="F495" s="51">
        <f t="shared" si="128"/>
        <v>0</v>
      </c>
      <c r="G495" s="51">
        <f t="shared" si="128"/>
        <v>0</v>
      </c>
      <c r="H495" s="51">
        <f t="shared" si="128"/>
        <v>0</v>
      </c>
      <c r="I495" s="51">
        <f t="shared" si="128"/>
        <v>0</v>
      </c>
      <c r="J495" s="51">
        <f t="shared" si="128"/>
        <v>0</v>
      </c>
      <c r="K495" s="51">
        <f t="shared" si="128"/>
        <v>0</v>
      </c>
      <c r="L495" s="51">
        <f t="shared" si="128"/>
        <v>0</v>
      </c>
      <c r="M495" s="51">
        <f t="shared" si="128"/>
        <v>0</v>
      </c>
      <c r="N495" s="51">
        <f t="shared" si="128"/>
        <v>0</v>
      </c>
      <c r="O495" s="53">
        <f t="shared" si="127"/>
        <v>6155.27</v>
      </c>
    </row>
    <row r="496" spans="2:15" ht="18">
      <c r="B496" s="263" t="s">
        <v>4094</v>
      </c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3"/>
    </row>
    <row r="497" spans="2:15" ht="15">
      <c r="B497" s="2667" t="s">
        <v>342</v>
      </c>
      <c r="C497" s="51">
        <v>0</v>
      </c>
      <c r="D497" s="51">
        <v>0</v>
      </c>
      <c r="E497" s="51">
        <v>0</v>
      </c>
      <c r="F497" s="51">
        <v>0</v>
      </c>
      <c r="G497" s="51">
        <v>0</v>
      </c>
      <c r="H497" s="51">
        <v>0</v>
      </c>
      <c r="I497" s="51">
        <v>0</v>
      </c>
      <c r="J497" s="51">
        <v>0</v>
      </c>
      <c r="K497" s="51">
        <v>0</v>
      </c>
      <c r="L497" s="51">
        <v>0</v>
      </c>
      <c r="M497" s="51">
        <v>0</v>
      </c>
      <c r="N497" s="51">
        <v>0</v>
      </c>
      <c r="O497" s="53">
        <f t="shared" ref="O497:O502" si="129">SUM(C497:N497)</f>
        <v>0</v>
      </c>
    </row>
    <row r="498" spans="2:15" ht="15">
      <c r="B498" s="2667" t="s">
        <v>2273</v>
      </c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3">
        <f t="shared" si="129"/>
        <v>0</v>
      </c>
    </row>
    <row r="499" spans="2:15" ht="15">
      <c r="B499" s="2667" t="s">
        <v>3095</v>
      </c>
      <c r="C499" s="51">
        <v>42.39</v>
      </c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3">
        <f t="shared" si="129"/>
        <v>42.39</v>
      </c>
    </row>
    <row r="500" spans="2:15" ht="15">
      <c r="B500" s="2667" t="s">
        <v>4095</v>
      </c>
      <c r="C500" s="51">
        <v>0</v>
      </c>
      <c r="D500" s="51">
        <v>0</v>
      </c>
      <c r="E500" s="51">
        <v>0</v>
      </c>
      <c r="F500" s="51">
        <v>0</v>
      </c>
      <c r="G500" s="51">
        <v>0</v>
      </c>
      <c r="H500" s="51">
        <v>0</v>
      </c>
      <c r="I500" s="51">
        <v>0</v>
      </c>
      <c r="J500" s="51">
        <v>0</v>
      </c>
      <c r="K500" s="51">
        <v>0</v>
      </c>
      <c r="L500" s="51">
        <v>0</v>
      </c>
      <c r="M500" s="51">
        <v>0</v>
      </c>
      <c r="N500" s="51">
        <v>0</v>
      </c>
      <c r="O500" s="53">
        <f t="shared" si="129"/>
        <v>0</v>
      </c>
    </row>
    <row r="501" spans="2:15" ht="15">
      <c r="B501" s="2667" t="s">
        <v>3104</v>
      </c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3">
        <f t="shared" si="129"/>
        <v>0</v>
      </c>
    </row>
    <row r="502" spans="2:15" ht="15">
      <c r="B502" s="2667" t="s">
        <v>3100</v>
      </c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3">
        <f t="shared" si="129"/>
        <v>0</v>
      </c>
    </row>
    <row r="503" spans="2:15" ht="15">
      <c r="B503" s="2667" t="s">
        <v>2284</v>
      </c>
      <c r="C503" s="51">
        <f>SUM(C497:C502)</f>
        <v>42.39</v>
      </c>
      <c r="D503" s="51">
        <f t="shared" ref="D503:O503" si="130">SUM(D497:D502)</f>
        <v>0</v>
      </c>
      <c r="E503" s="51">
        <f t="shared" si="130"/>
        <v>0</v>
      </c>
      <c r="F503" s="51">
        <f t="shared" si="130"/>
        <v>0</v>
      </c>
      <c r="G503" s="51">
        <f t="shared" si="130"/>
        <v>0</v>
      </c>
      <c r="H503" s="51">
        <f t="shared" si="130"/>
        <v>0</v>
      </c>
      <c r="I503" s="51">
        <f t="shared" si="130"/>
        <v>0</v>
      </c>
      <c r="J503" s="51">
        <f t="shared" si="130"/>
        <v>0</v>
      </c>
      <c r="K503" s="51">
        <f t="shared" si="130"/>
        <v>0</v>
      </c>
      <c r="L503" s="51">
        <f t="shared" si="130"/>
        <v>0</v>
      </c>
      <c r="M503" s="51">
        <f t="shared" si="130"/>
        <v>0</v>
      </c>
      <c r="N503" s="51">
        <f t="shared" si="130"/>
        <v>0</v>
      </c>
      <c r="O503" s="51">
        <f t="shared" si="130"/>
        <v>42.39</v>
      </c>
    </row>
    <row r="504" spans="2:15" ht="15">
      <c r="B504" s="2667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3"/>
    </row>
    <row r="505" spans="2:15" ht="18">
      <c r="B505" s="263" t="s">
        <v>3098</v>
      </c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3">
        <f t="shared" ref="O505:O510" si="131">SUM(C505:N505)</f>
        <v>0</v>
      </c>
    </row>
    <row r="506" spans="2:15" ht="15">
      <c r="B506" s="2667" t="s">
        <v>2273</v>
      </c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3">
        <f t="shared" si="131"/>
        <v>0</v>
      </c>
    </row>
    <row r="507" spans="2:15" ht="15">
      <c r="B507" s="2667" t="s">
        <v>349</v>
      </c>
      <c r="C507" s="51">
        <v>1.9</v>
      </c>
      <c r="D507" s="51">
        <v>0</v>
      </c>
      <c r="E507" s="51">
        <v>0</v>
      </c>
      <c r="F507" s="51">
        <v>0</v>
      </c>
      <c r="G507" s="51">
        <v>0</v>
      </c>
      <c r="H507" s="51">
        <v>0</v>
      </c>
      <c r="I507" s="51">
        <v>0</v>
      </c>
      <c r="J507" s="51">
        <v>0</v>
      </c>
      <c r="K507" s="51">
        <v>0</v>
      </c>
      <c r="L507" s="51">
        <v>0</v>
      </c>
      <c r="M507" s="51">
        <v>0</v>
      </c>
      <c r="N507" s="51">
        <v>0</v>
      </c>
      <c r="O507" s="53">
        <f t="shared" si="131"/>
        <v>1.9</v>
      </c>
    </row>
    <row r="508" spans="2:15" ht="15">
      <c r="B508" s="2667" t="s">
        <v>2270</v>
      </c>
      <c r="C508" s="51"/>
      <c r="D508" s="51">
        <v>0</v>
      </c>
      <c r="E508" s="51">
        <v>0</v>
      </c>
      <c r="F508" s="51">
        <v>0</v>
      </c>
      <c r="G508" s="51">
        <v>0</v>
      </c>
      <c r="H508" s="51">
        <v>0</v>
      </c>
      <c r="I508" s="51">
        <v>0</v>
      </c>
      <c r="J508" s="51">
        <v>0</v>
      </c>
      <c r="K508" s="51">
        <v>0</v>
      </c>
      <c r="L508" s="51">
        <v>0</v>
      </c>
      <c r="M508" s="51">
        <v>0</v>
      </c>
      <c r="N508" s="51">
        <v>0</v>
      </c>
      <c r="O508" s="53">
        <f t="shared" si="131"/>
        <v>0</v>
      </c>
    </row>
    <row r="509" spans="2:15" ht="15">
      <c r="B509" s="2667" t="s">
        <v>342</v>
      </c>
      <c r="C509" s="51"/>
      <c r="D509" s="51">
        <v>0</v>
      </c>
      <c r="E509" s="51">
        <v>0</v>
      </c>
      <c r="F509" s="51">
        <v>0</v>
      </c>
      <c r="G509" s="51">
        <v>0</v>
      </c>
      <c r="H509" s="51">
        <v>0</v>
      </c>
      <c r="I509" s="51">
        <v>0</v>
      </c>
      <c r="J509" s="51">
        <v>0</v>
      </c>
      <c r="K509" s="51">
        <v>0</v>
      </c>
      <c r="L509" s="51">
        <v>0</v>
      </c>
      <c r="M509" s="51">
        <v>0</v>
      </c>
      <c r="N509" s="51">
        <v>0</v>
      </c>
      <c r="O509" s="53">
        <f t="shared" si="131"/>
        <v>0</v>
      </c>
    </row>
    <row r="510" spans="2:15" ht="15">
      <c r="B510" s="2667" t="s">
        <v>2272</v>
      </c>
      <c r="C510" s="51"/>
      <c r="D510" s="51">
        <v>0</v>
      </c>
      <c r="E510" s="51">
        <v>0</v>
      </c>
      <c r="F510" s="51">
        <v>0</v>
      </c>
      <c r="G510" s="51">
        <v>0</v>
      </c>
      <c r="H510" s="51">
        <v>0</v>
      </c>
      <c r="I510" s="51">
        <v>0</v>
      </c>
      <c r="J510" s="51">
        <v>0</v>
      </c>
      <c r="K510" s="51">
        <v>0</v>
      </c>
      <c r="L510" s="51">
        <v>0</v>
      </c>
      <c r="M510" s="51">
        <v>0</v>
      </c>
      <c r="N510" s="51">
        <v>0</v>
      </c>
      <c r="O510" s="53">
        <f t="shared" si="131"/>
        <v>0</v>
      </c>
    </row>
    <row r="511" spans="2:15" ht="15">
      <c r="B511" s="2667">
        <v>9260</v>
      </c>
      <c r="C511" s="51"/>
      <c r="D511" s="51">
        <v>0</v>
      </c>
      <c r="E511" s="51">
        <v>0</v>
      </c>
      <c r="F511" s="51">
        <v>0</v>
      </c>
      <c r="G511" s="51">
        <v>0</v>
      </c>
      <c r="H511" s="51">
        <v>0</v>
      </c>
      <c r="I511" s="51">
        <v>0</v>
      </c>
      <c r="J511" s="51">
        <v>0</v>
      </c>
      <c r="K511" s="51">
        <v>0</v>
      </c>
      <c r="L511" s="51">
        <v>0</v>
      </c>
      <c r="M511" s="51">
        <v>0</v>
      </c>
      <c r="N511" s="51">
        <v>0</v>
      </c>
      <c r="O511" s="53"/>
    </row>
    <row r="512" spans="2:15" ht="15">
      <c r="B512" s="2667" t="s">
        <v>3100</v>
      </c>
      <c r="C512" s="51">
        <v>298.29000000000002</v>
      </c>
      <c r="D512" s="51">
        <v>0</v>
      </c>
      <c r="E512" s="51">
        <v>0</v>
      </c>
      <c r="F512" s="51">
        <v>0</v>
      </c>
      <c r="G512" s="51">
        <v>0</v>
      </c>
      <c r="H512" s="51">
        <v>0</v>
      </c>
      <c r="I512" s="51">
        <v>0</v>
      </c>
      <c r="J512" s="51">
        <v>0</v>
      </c>
      <c r="K512" s="51">
        <v>0</v>
      </c>
      <c r="L512" s="51">
        <v>0</v>
      </c>
      <c r="M512" s="51">
        <v>0</v>
      </c>
      <c r="N512" s="51">
        <v>0</v>
      </c>
      <c r="O512" s="53">
        <f t="shared" ref="O512" si="132">SUM(C512:N512)</f>
        <v>298.29000000000002</v>
      </c>
    </row>
    <row r="513" spans="2:15" ht="15">
      <c r="B513" s="2667" t="s">
        <v>4099</v>
      </c>
      <c r="C513" s="51"/>
      <c r="D513" s="51">
        <v>0</v>
      </c>
      <c r="E513" s="51">
        <v>0</v>
      </c>
      <c r="F513" s="51">
        <v>0</v>
      </c>
      <c r="G513" s="51">
        <v>0</v>
      </c>
      <c r="H513" s="51">
        <v>0</v>
      </c>
      <c r="I513" s="51">
        <v>0</v>
      </c>
      <c r="J513" s="51">
        <v>0</v>
      </c>
      <c r="K513" s="51">
        <v>0</v>
      </c>
      <c r="L513" s="51">
        <v>0</v>
      </c>
      <c r="M513" s="51">
        <v>0</v>
      </c>
      <c r="N513" s="51">
        <v>0</v>
      </c>
      <c r="O513" s="53"/>
    </row>
    <row r="514" spans="2:15" ht="15">
      <c r="B514" s="2667" t="s">
        <v>3101</v>
      </c>
      <c r="C514" s="51"/>
      <c r="D514" s="51">
        <v>0</v>
      </c>
      <c r="E514" s="51">
        <v>0</v>
      </c>
      <c r="F514" s="51">
        <v>0</v>
      </c>
      <c r="G514" s="51">
        <v>0</v>
      </c>
      <c r="H514" s="51">
        <v>0</v>
      </c>
      <c r="I514" s="51">
        <v>0</v>
      </c>
      <c r="J514" s="51">
        <v>0</v>
      </c>
      <c r="K514" s="51">
        <v>0</v>
      </c>
      <c r="L514" s="51">
        <v>0</v>
      </c>
      <c r="M514" s="51">
        <v>0</v>
      </c>
      <c r="N514" s="51">
        <v>0</v>
      </c>
      <c r="O514" s="53">
        <f t="shared" ref="O514:O517" si="133">SUM(C514:N514)</f>
        <v>0</v>
      </c>
    </row>
    <row r="515" spans="2:15" ht="15">
      <c r="B515" s="2667" t="s">
        <v>4088</v>
      </c>
      <c r="C515" s="51"/>
      <c r="D515" s="51">
        <v>0</v>
      </c>
      <c r="E515" s="51">
        <v>0</v>
      </c>
      <c r="F515" s="51">
        <v>0</v>
      </c>
      <c r="G515" s="51">
        <v>0</v>
      </c>
      <c r="H515" s="51">
        <v>0</v>
      </c>
      <c r="I515" s="51">
        <v>0</v>
      </c>
      <c r="J515" s="51">
        <v>0</v>
      </c>
      <c r="K515" s="51">
        <v>0</v>
      </c>
      <c r="L515" s="51">
        <v>0</v>
      </c>
      <c r="M515" s="51">
        <v>0</v>
      </c>
      <c r="N515" s="51">
        <v>0</v>
      </c>
      <c r="O515" s="53">
        <f t="shared" si="133"/>
        <v>0</v>
      </c>
    </row>
    <row r="516" spans="2:15" ht="15">
      <c r="B516" s="2667" t="s">
        <v>2270</v>
      </c>
      <c r="C516" s="51"/>
      <c r="D516" s="51">
        <v>0</v>
      </c>
      <c r="E516" s="51">
        <v>0</v>
      </c>
      <c r="F516" s="51">
        <v>0</v>
      </c>
      <c r="G516" s="51">
        <v>0</v>
      </c>
      <c r="H516" s="51">
        <v>0</v>
      </c>
      <c r="I516" s="51">
        <v>0</v>
      </c>
      <c r="J516" s="51">
        <v>0</v>
      </c>
      <c r="K516" s="51">
        <v>0</v>
      </c>
      <c r="L516" s="51">
        <v>0</v>
      </c>
      <c r="M516" s="51">
        <v>0</v>
      </c>
      <c r="N516" s="51">
        <v>0</v>
      </c>
      <c r="O516" s="53">
        <f t="shared" si="133"/>
        <v>0</v>
      </c>
    </row>
    <row r="517" spans="2:15" ht="15">
      <c r="B517" s="2667" t="s">
        <v>2284</v>
      </c>
      <c r="C517" s="51">
        <f>SUM(C506:C516)</f>
        <v>300.19</v>
      </c>
      <c r="D517" s="51">
        <f t="shared" ref="D517:N517" si="134">SUM(D506:D516)</f>
        <v>0</v>
      </c>
      <c r="E517" s="51">
        <f t="shared" si="134"/>
        <v>0</v>
      </c>
      <c r="F517" s="51">
        <f t="shared" si="134"/>
        <v>0</v>
      </c>
      <c r="G517" s="51">
        <f t="shared" si="134"/>
        <v>0</v>
      </c>
      <c r="H517" s="51">
        <f t="shared" si="134"/>
        <v>0</v>
      </c>
      <c r="I517" s="51">
        <f t="shared" si="134"/>
        <v>0</v>
      </c>
      <c r="J517" s="51">
        <f t="shared" si="134"/>
        <v>0</v>
      </c>
      <c r="K517" s="51">
        <f t="shared" si="134"/>
        <v>0</v>
      </c>
      <c r="L517" s="51">
        <f t="shared" si="134"/>
        <v>0</v>
      </c>
      <c r="M517" s="51">
        <f t="shared" si="134"/>
        <v>0</v>
      </c>
      <c r="N517" s="51">
        <f t="shared" si="134"/>
        <v>0</v>
      </c>
      <c r="O517" s="53">
        <f t="shared" si="133"/>
        <v>300.19</v>
      </c>
    </row>
    <row r="518" spans="2:15" ht="18">
      <c r="B518" s="263" t="s">
        <v>2140</v>
      </c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63"/>
    </row>
    <row r="519" spans="2:15" ht="15">
      <c r="B519" s="2667" t="s">
        <v>349</v>
      </c>
      <c r="C519" s="51">
        <v>225.84</v>
      </c>
      <c r="D519" s="51"/>
      <c r="E519" s="51"/>
      <c r="F519" s="51"/>
      <c r="G519" s="51"/>
      <c r="H519" s="51"/>
      <c r="I519" s="51">
        <v>0</v>
      </c>
      <c r="J519" s="51"/>
      <c r="K519" s="51"/>
      <c r="L519" s="51"/>
      <c r="M519" s="51"/>
      <c r="N519" s="51"/>
      <c r="O519" s="53">
        <f t="shared" ref="O519:O523" si="135">SUM(C519:N519)</f>
        <v>225.84</v>
      </c>
    </row>
    <row r="520" spans="2:15" ht="15">
      <c r="B520" s="2667" t="s">
        <v>3095</v>
      </c>
      <c r="C520" s="51">
        <v>257.26</v>
      </c>
      <c r="D520" s="51">
        <v>0</v>
      </c>
      <c r="E520" s="51">
        <v>0</v>
      </c>
      <c r="F520" s="51">
        <v>0</v>
      </c>
      <c r="G520" s="51">
        <v>0</v>
      </c>
      <c r="H520" s="51">
        <v>0</v>
      </c>
      <c r="I520" s="51">
        <v>0</v>
      </c>
      <c r="J520" s="51">
        <v>0</v>
      </c>
      <c r="K520" s="51">
        <v>0</v>
      </c>
      <c r="L520" s="51">
        <v>0</v>
      </c>
      <c r="M520" s="51">
        <v>0</v>
      </c>
      <c r="N520" s="51">
        <v>0</v>
      </c>
      <c r="O520" s="53">
        <f t="shared" si="135"/>
        <v>257.26</v>
      </c>
    </row>
    <row r="521" spans="2:15" ht="15">
      <c r="B521" s="2667" t="s">
        <v>353</v>
      </c>
      <c r="C521" s="51">
        <v>0</v>
      </c>
      <c r="D521" s="51">
        <v>0</v>
      </c>
      <c r="E521" s="51">
        <v>0</v>
      </c>
      <c r="F521" s="51">
        <v>0</v>
      </c>
      <c r="G521" s="51">
        <v>0</v>
      </c>
      <c r="H521" s="51">
        <v>0</v>
      </c>
      <c r="I521" s="51">
        <v>0</v>
      </c>
      <c r="J521" s="51">
        <v>0</v>
      </c>
      <c r="K521" s="51">
        <v>0</v>
      </c>
      <c r="L521" s="51">
        <v>0</v>
      </c>
      <c r="M521" s="51">
        <v>0</v>
      </c>
      <c r="N521" s="51">
        <v>0</v>
      </c>
      <c r="O521" s="53">
        <f t="shared" si="135"/>
        <v>0</v>
      </c>
    </row>
    <row r="522" spans="2:15" ht="15">
      <c r="B522" s="2667" t="s">
        <v>342</v>
      </c>
      <c r="C522" s="51">
        <v>0</v>
      </c>
      <c r="D522" s="51">
        <v>0</v>
      </c>
      <c r="E522" s="51">
        <v>0</v>
      </c>
      <c r="F522" s="51">
        <v>0</v>
      </c>
      <c r="G522" s="51">
        <v>0</v>
      </c>
      <c r="H522" s="51">
        <v>0</v>
      </c>
      <c r="I522" s="51">
        <v>0</v>
      </c>
      <c r="J522" s="51">
        <v>0</v>
      </c>
      <c r="K522" s="51">
        <v>0</v>
      </c>
      <c r="L522" s="51">
        <v>0</v>
      </c>
      <c r="M522" s="51">
        <v>0</v>
      </c>
      <c r="N522" s="51">
        <v>0</v>
      </c>
      <c r="O522" s="53">
        <f t="shared" si="135"/>
        <v>0</v>
      </c>
    </row>
    <row r="523" spans="2:15" ht="15">
      <c r="B523" s="2667" t="s">
        <v>2272</v>
      </c>
      <c r="C523" s="51">
        <v>35.54</v>
      </c>
      <c r="D523" s="51">
        <v>0</v>
      </c>
      <c r="E523" s="51">
        <v>0</v>
      </c>
      <c r="F523" s="51">
        <v>0</v>
      </c>
      <c r="G523" s="51">
        <v>0</v>
      </c>
      <c r="H523" s="51">
        <v>0</v>
      </c>
      <c r="I523" s="51">
        <v>0</v>
      </c>
      <c r="J523" s="51">
        <v>0</v>
      </c>
      <c r="K523" s="51">
        <v>0</v>
      </c>
      <c r="L523" s="51">
        <v>0</v>
      </c>
      <c r="M523" s="51">
        <v>0</v>
      </c>
      <c r="N523" s="51">
        <v>0</v>
      </c>
      <c r="O523" s="53">
        <f t="shared" si="135"/>
        <v>35.54</v>
      </c>
    </row>
    <row r="524" spans="2:15" ht="15">
      <c r="B524" s="2667" t="s">
        <v>4030</v>
      </c>
      <c r="C524" s="51">
        <f>SUM(C519:C523)</f>
        <v>518.64</v>
      </c>
      <c r="D524" s="51">
        <f t="shared" ref="D524:N524" si="136">SUM(D519:D523)</f>
        <v>0</v>
      </c>
      <c r="E524" s="51">
        <f t="shared" si="136"/>
        <v>0</v>
      </c>
      <c r="F524" s="51">
        <f t="shared" si="136"/>
        <v>0</v>
      </c>
      <c r="G524" s="51">
        <f t="shared" si="136"/>
        <v>0</v>
      </c>
      <c r="H524" s="51">
        <f t="shared" si="136"/>
        <v>0</v>
      </c>
      <c r="I524" s="51">
        <f t="shared" si="136"/>
        <v>0</v>
      </c>
      <c r="J524" s="51">
        <f t="shared" si="136"/>
        <v>0</v>
      </c>
      <c r="K524" s="51">
        <f t="shared" si="136"/>
        <v>0</v>
      </c>
      <c r="L524" s="51">
        <f t="shared" si="136"/>
        <v>0</v>
      </c>
      <c r="M524" s="51">
        <f t="shared" si="136"/>
        <v>0</v>
      </c>
      <c r="N524" s="51">
        <f t="shared" si="136"/>
        <v>0</v>
      </c>
      <c r="O524" s="51">
        <f>SUM(O519:O523)</f>
        <v>518.64</v>
      </c>
    </row>
    <row r="525" spans="2:15" ht="15">
      <c r="B525" s="2667" t="s">
        <v>4089</v>
      </c>
      <c r="C525" s="51">
        <f>+C524+C517+C503</f>
        <v>861.21999999999991</v>
      </c>
      <c r="D525" s="51">
        <f t="shared" ref="D525:N525" si="137">+D524+D517+D503</f>
        <v>0</v>
      </c>
      <c r="E525" s="51">
        <f t="shared" si="137"/>
        <v>0</v>
      </c>
      <c r="F525" s="51">
        <f t="shared" si="137"/>
        <v>0</v>
      </c>
      <c r="G525" s="51">
        <f t="shared" si="137"/>
        <v>0</v>
      </c>
      <c r="H525" s="51">
        <f t="shared" si="137"/>
        <v>0</v>
      </c>
      <c r="I525" s="51">
        <f t="shared" si="137"/>
        <v>0</v>
      </c>
      <c r="J525" s="51">
        <f t="shared" si="137"/>
        <v>0</v>
      </c>
      <c r="K525" s="51">
        <f t="shared" si="137"/>
        <v>0</v>
      </c>
      <c r="L525" s="51">
        <f t="shared" si="137"/>
        <v>0</v>
      </c>
      <c r="M525" s="51">
        <f t="shared" si="137"/>
        <v>0</v>
      </c>
      <c r="N525" s="51">
        <f t="shared" si="137"/>
        <v>0</v>
      </c>
      <c r="O525" s="51">
        <f t="shared" ref="O525" si="138">+O524+O517</f>
        <v>818.82999999999993</v>
      </c>
    </row>
    <row r="526" spans="2:15" ht="18">
      <c r="B526" s="263" t="s">
        <v>4091</v>
      </c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956"/>
    </row>
    <row r="527" spans="2:15" ht="15">
      <c r="B527" s="2667" t="s">
        <v>351</v>
      </c>
      <c r="C527" s="51">
        <v>510</v>
      </c>
      <c r="D527" s="51">
        <v>0</v>
      </c>
      <c r="E527" s="51">
        <v>0</v>
      </c>
      <c r="F527" s="51">
        <v>0</v>
      </c>
      <c r="G527" s="51">
        <v>0</v>
      </c>
      <c r="H527" s="51">
        <v>0</v>
      </c>
      <c r="I527" s="51">
        <v>0</v>
      </c>
      <c r="J527" s="51">
        <v>0</v>
      </c>
      <c r="K527" s="51">
        <v>0</v>
      </c>
      <c r="L527" s="51">
        <v>0</v>
      </c>
      <c r="M527" s="51">
        <v>0</v>
      </c>
      <c r="N527" s="51">
        <v>0</v>
      </c>
      <c r="O527" s="53">
        <f t="shared" ref="O527:O528" si="139">SUM(C527:N527)</f>
        <v>510</v>
      </c>
    </row>
    <row r="528" spans="2:15" ht="15">
      <c r="B528" s="2667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3">
        <f t="shared" si="139"/>
        <v>0</v>
      </c>
    </row>
    <row r="529" spans="2:15" ht="15">
      <c r="B529" s="2667" t="s">
        <v>437</v>
      </c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63"/>
    </row>
    <row r="530" spans="2:15" ht="15">
      <c r="B530" s="2667" t="s">
        <v>332</v>
      </c>
      <c r="C530" s="51">
        <v>0</v>
      </c>
      <c r="D530" s="51">
        <v>0</v>
      </c>
      <c r="E530" s="51">
        <v>0</v>
      </c>
      <c r="F530" s="51">
        <v>0</v>
      </c>
      <c r="G530" s="51">
        <v>0</v>
      </c>
      <c r="H530" s="51">
        <v>0</v>
      </c>
      <c r="I530" s="51">
        <v>0</v>
      </c>
      <c r="J530" s="51">
        <v>0</v>
      </c>
      <c r="K530" s="51">
        <v>0</v>
      </c>
      <c r="L530" s="51">
        <v>0</v>
      </c>
      <c r="M530" s="51">
        <v>0</v>
      </c>
      <c r="N530" s="51">
        <v>0</v>
      </c>
      <c r="O530" s="53">
        <f t="shared" ref="O530:O537" si="140">SUM(C530:N530)</f>
        <v>0</v>
      </c>
    </row>
    <row r="531" spans="2:15" ht="15">
      <c r="B531" s="2667" t="s">
        <v>2045</v>
      </c>
      <c r="C531" s="51">
        <v>0</v>
      </c>
      <c r="D531" s="51">
        <v>0</v>
      </c>
      <c r="E531" s="51">
        <v>0</v>
      </c>
      <c r="F531" s="51">
        <v>0</v>
      </c>
      <c r="G531" s="51">
        <v>0</v>
      </c>
      <c r="H531" s="51">
        <v>0</v>
      </c>
      <c r="I531" s="51">
        <v>0</v>
      </c>
      <c r="J531" s="51">
        <v>0</v>
      </c>
      <c r="K531" s="51">
        <v>0</v>
      </c>
      <c r="L531" s="51">
        <v>0</v>
      </c>
      <c r="M531" s="51">
        <v>0</v>
      </c>
      <c r="N531" s="51">
        <v>0</v>
      </c>
      <c r="O531" s="53">
        <f t="shared" si="140"/>
        <v>0</v>
      </c>
    </row>
    <row r="532" spans="2:15" ht="15">
      <c r="B532" s="2667" t="s">
        <v>325</v>
      </c>
      <c r="C532" s="51">
        <v>666.31299999999999</v>
      </c>
      <c r="D532" s="51">
        <v>0</v>
      </c>
      <c r="E532" s="51">
        <v>0</v>
      </c>
      <c r="F532" s="51">
        <v>0</v>
      </c>
      <c r="G532" s="51">
        <v>0</v>
      </c>
      <c r="H532" s="51">
        <v>0</v>
      </c>
      <c r="I532" s="51">
        <v>0</v>
      </c>
      <c r="J532" s="51">
        <v>0</v>
      </c>
      <c r="K532" s="51">
        <v>0</v>
      </c>
      <c r="L532" s="51">
        <v>0</v>
      </c>
      <c r="M532" s="51">
        <v>0</v>
      </c>
      <c r="N532" s="51">
        <v>0</v>
      </c>
      <c r="O532" s="53">
        <f t="shared" si="140"/>
        <v>666.31299999999999</v>
      </c>
    </row>
    <row r="533" spans="2:15" ht="15">
      <c r="B533" s="2667" t="s">
        <v>339</v>
      </c>
      <c r="C533" s="51">
        <v>3.67</v>
      </c>
      <c r="D533" s="51">
        <v>0</v>
      </c>
      <c r="E533" s="51">
        <v>0</v>
      </c>
      <c r="F533" s="51">
        <v>0</v>
      </c>
      <c r="G533" s="51">
        <v>0</v>
      </c>
      <c r="H533" s="51">
        <v>0</v>
      </c>
      <c r="I533" s="51">
        <v>0</v>
      </c>
      <c r="J533" s="51">
        <v>0</v>
      </c>
      <c r="K533" s="51">
        <v>0</v>
      </c>
      <c r="L533" s="51">
        <v>0</v>
      </c>
      <c r="M533" s="51">
        <v>0</v>
      </c>
      <c r="N533" s="51">
        <v>0</v>
      </c>
      <c r="O533" s="53">
        <f t="shared" si="140"/>
        <v>3.67</v>
      </c>
    </row>
    <row r="534" spans="2:15" ht="15">
      <c r="B534" s="2667" t="s">
        <v>470</v>
      </c>
      <c r="C534" s="51">
        <v>0</v>
      </c>
      <c r="D534" s="51">
        <v>0</v>
      </c>
      <c r="E534" s="51">
        <v>0</v>
      </c>
      <c r="F534" s="51">
        <v>0</v>
      </c>
      <c r="G534" s="51">
        <v>0</v>
      </c>
      <c r="H534" s="51">
        <v>0</v>
      </c>
      <c r="I534" s="51">
        <v>0</v>
      </c>
      <c r="J534" s="51">
        <v>0</v>
      </c>
      <c r="K534" s="51">
        <v>0</v>
      </c>
      <c r="L534" s="51">
        <v>0</v>
      </c>
      <c r="M534" s="51">
        <v>0</v>
      </c>
      <c r="N534" s="51">
        <v>0</v>
      </c>
      <c r="O534" s="53">
        <f t="shared" si="140"/>
        <v>0</v>
      </c>
    </row>
    <row r="535" spans="2:15" ht="15">
      <c r="B535" s="2667" t="s">
        <v>3915</v>
      </c>
      <c r="C535" s="51">
        <v>0</v>
      </c>
      <c r="D535" s="51">
        <v>0</v>
      </c>
      <c r="E535" s="51">
        <v>0</v>
      </c>
      <c r="F535" s="51">
        <v>0</v>
      </c>
      <c r="G535" s="51">
        <v>0</v>
      </c>
      <c r="H535" s="51">
        <v>0</v>
      </c>
      <c r="I535" s="51">
        <v>0</v>
      </c>
      <c r="J535" s="51">
        <v>0</v>
      </c>
      <c r="K535" s="51">
        <v>0</v>
      </c>
      <c r="L535" s="51">
        <v>0</v>
      </c>
      <c r="M535" s="51">
        <v>0</v>
      </c>
      <c r="N535" s="51">
        <v>0</v>
      </c>
      <c r="O535" s="53">
        <f t="shared" si="140"/>
        <v>0</v>
      </c>
    </row>
    <row r="536" spans="2:15" ht="15">
      <c r="B536" s="2667" t="s">
        <v>123</v>
      </c>
      <c r="C536" s="51">
        <v>0</v>
      </c>
      <c r="D536" s="51">
        <v>0</v>
      </c>
      <c r="E536" s="51">
        <v>0</v>
      </c>
      <c r="F536" s="51">
        <v>0</v>
      </c>
      <c r="G536" s="51">
        <v>0</v>
      </c>
      <c r="H536" s="51">
        <v>0</v>
      </c>
      <c r="I536" s="51">
        <v>0</v>
      </c>
      <c r="J536" s="51">
        <v>0</v>
      </c>
      <c r="K536" s="51">
        <v>0</v>
      </c>
      <c r="L536" s="51">
        <v>0</v>
      </c>
      <c r="M536" s="51">
        <v>0</v>
      </c>
      <c r="N536" s="51">
        <v>0</v>
      </c>
      <c r="O536" s="53">
        <f t="shared" si="140"/>
        <v>0</v>
      </c>
    </row>
    <row r="537" spans="2:15" ht="15">
      <c r="B537" s="31"/>
      <c r="C537" s="51">
        <f>SUM(C530:C536)</f>
        <v>669.98299999999995</v>
      </c>
      <c r="D537" s="51">
        <f t="shared" ref="D537:N537" si="141">SUM(D530:D536)</f>
        <v>0</v>
      </c>
      <c r="E537" s="51">
        <f t="shared" si="141"/>
        <v>0</v>
      </c>
      <c r="F537" s="51">
        <f t="shared" si="141"/>
        <v>0</v>
      </c>
      <c r="G537" s="51">
        <f t="shared" si="141"/>
        <v>0</v>
      </c>
      <c r="H537" s="51">
        <f t="shared" si="141"/>
        <v>0</v>
      </c>
      <c r="I537" s="51">
        <f t="shared" si="141"/>
        <v>0</v>
      </c>
      <c r="J537" s="51">
        <f t="shared" si="141"/>
        <v>0</v>
      </c>
      <c r="K537" s="51">
        <f t="shared" si="141"/>
        <v>0</v>
      </c>
      <c r="L537" s="51">
        <f t="shared" si="141"/>
        <v>0</v>
      </c>
      <c r="M537" s="51">
        <f t="shared" si="141"/>
        <v>0</v>
      </c>
      <c r="N537" s="51">
        <f t="shared" si="141"/>
        <v>0</v>
      </c>
      <c r="O537" s="53">
        <f t="shared" si="140"/>
        <v>669.98299999999995</v>
      </c>
    </row>
    <row r="538" spans="2:15" ht="15.75" thickBot="1">
      <c r="B538" s="2729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2730"/>
    </row>
    <row r="539" spans="2:15" ht="13.5" thickBot="1"/>
    <row r="540" spans="2:15">
      <c r="B540" s="111"/>
      <c r="C540" s="121"/>
      <c r="D540" s="3040" t="s">
        <v>3056</v>
      </c>
      <c r="E540" s="3040"/>
      <c r="F540" s="3040"/>
      <c r="G540" s="3040"/>
      <c r="H540" s="3040"/>
      <c r="I540" s="3040"/>
      <c r="J540" s="3041"/>
    </row>
    <row r="541" spans="2:15">
      <c r="B541" s="309"/>
      <c r="C541" s="13"/>
      <c r="D541" s="3042" t="s">
        <v>3053</v>
      </c>
      <c r="E541" s="3042"/>
      <c r="F541" s="3042" t="s">
        <v>3054</v>
      </c>
      <c r="G541" s="3042"/>
      <c r="H541" s="3042" t="s">
        <v>2131</v>
      </c>
      <c r="I541" s="3042"/>
      <c r="J541" s="43"/>
    </row>
    <row r="542" spans="2:15">
      <c r="B542" s="309" t="s">
        <v>39</v>
      </c>
      <c r="C542" s="13"/>
      <c r="D542" s="13" t="s">
        <v>3055</v>
      </c>
      <c r="E542" s="13" t="s">
        <v>2295</v>
      </c>
      <c r="F542" s="13" t="s">
        <v>3055</v>
      </c>
      <c r="G542" s="13" t="s">
        <v>2295</v>
      </c>
      <c r="H542" s="13" t="s">
        <v>3055</v>
      </c>
      <c r="I542" s="13" t="s">
        <v>2295</v>
      </c>
      <c r="J542" s="43"/>
    </row>
    <row r="543" spans="2:15">
      <c r="B543" s="309" t="s">
        <v>39</v>
      </c>
      <c r="C543" s="13"/>
      <c r="D543" s="13"/>
      <c r="E543" s="13"/>
      <c r="F543" s="13"/>
      <c r="G543" s="13"/>
      <c r="H543" s="13"/>
      <c r="I543" s="13"/>
      <c r="J543" s="43"/>
    </row>
    <row r="544" spans="2:15">
      <c r="B544" s="309"/>
      <c r="C544" s="13"/>
      <c r="D544" s="13"/>
      <c r="E544" s="13"/>
      <c r="F544" s="13"/>
      <c r="G544" s="13"/>
      <c r="H544" s="13"/>
      <c r="I544" s="13"/>
      <c r="J544" s="43"/>
    </row>
    <row r="545" spans="2:10">
      <c r="B545" s="309" t="s">
        <v>808</v>
      </c>
      <c r="C545" s="13"/>
      <c r="D545" s="13">
        <v>8166</v>
      </c>
      <c r="E545" s="13">
        <v>6252</v>
      </c>
      <c r="F545" s="13">
        <v>8164</v>
      </c>
      <c r="G545" s="13">
        <v>6170</v>
      </c>
      <c r="H545" s="13">
        <v>8120</v>
      </c>
      <c r="I545" s="13">
        <v>6129</v>
      </c>
      <c r="J545" s="43"/>
    </row>
    <row r="546" spans="2:10">
      <c r="B546" s="309"/>
      <c r="C546" s="13"/>
      <c r="D546" s="13"/>
      <c r="E546" s="13"/>
      <c r="F546" s="13"/>
      <c r="G546" s="13"/>
      <c r="H546" s="13"/>
      <c r="I546" s="13"/>
      <c r="J546" s="43"/>
    </row>
    <row r="547" spans="2:10">
      <c r="B547" s="309" t="s">
        <v>809</v>
      </c>
      <c r="C547" s="13"/>
      <c r="D547" s="13">
        <v>14097</v>
      </c>
      <c r="E547" s="13">
        <v>10220</v>
      </c>
      <c r="F547" s="13">
        <v>14040</v>
      </c>
      <c r="G547" s="13">
        <v>10059</v>
      </c>
      <c r="H547" s="13">
        <v>13272</v>
      </c>
      <c r="I547" s="13">
        <v>9596</v>
      </c>
      <c r="J547" s="43"/>
    </row>
    <row r="548" spans="2:10">
      <c r="B548" s="309"/>
      <c r="C548" s="13"/>
      <c r="D548" s="13"/>
      <c r="E548" s="13"/>
      <c r="F548" s="13"/>
      <c r="G548" s="13"/>
      <c r="H548" s="13"/>
      <c r="I548" s="13"/>
      <c r="J548" s="43"/>
    </row>
    <row r="549" spans="2:10">
      <c r="B549" s="107" t="s">
        <v>2363</v>
      </c>
      <c r="C549" s="109"/>
      <c r="D549" s="109">
        <v>6274</v>
      </c>
      <c r="E549" s="109">
        <v>4434</v>
      </c>
      <c r="F549" s="109">
        <v>6186</v>
      </c>
      <c r="G549" s="109">
        <v>4327</v>
      </c>
      <c r="H549" s="109">
        <v>5561</v>
      </c>
      <c r="I549" s="109">
        <v>3951</v>
      </c>
      <c r="J549" s="318"/>
    </row>
    <row r="551" spans="2:10">
      <c r="C551" s="84" t="s">
        <v>3057</v>
      </c>
    </row>
    <row r="552" spans="2:10">
      <c r="C552" s="41"/>
      <c r="D552" s="41"/>
      <c r="E552" s="41"/>
      <c r="F552" s="41"/>
      <c r="G552" s="41"/>
      <c r="H552" s="41"/>
      <c r="I552" s="41"/>
    </row>
    <row r="553" spans="2:10">
      <c r="C553" s="41"/>
      <c r="D553" s="2913" t="s">
        <v>3058</v>
      </c>
      <c r="E553" s="2913"/>
      <c r="F553" s="2913"/>
      <c r="G553" s="2913" t="s">
        <v>3059</v>
      </c>
      <c r="H553" s="2913"/>
      <c r="I553" s="2913"/>
    </row>
    <row r="554" spans="2:10">
      <c r="C554" s="41"/>
      <c r="D554" s="41" t="s">
        <v>3060</v>
      </c>
      <c r="E554" s="41" t="s">
        <v>3061</v>
      </c>
      <c r="F554" s="41" t="s">
        <v>3062</v>
      </c>
      <c r="G554" s="41" t="s">
        <v>3060</v>
      </c>
      <c r="H554" s="41" t="s">
        <v>3061</v>
      </c>
      <c r="I554" s="41" t="s">
        <v>3062</v>
      </c>
    </row>
    <row r="555" spans="2:10">
      <c r="C555" s="41" t="s">
        <v>39</v>
      </c>
      <c r="D555" s="41"/>
      <c r="E555" s="41"/>
      <c r="F555" s="41"/>
      <c r="G555" s="41"/>
      <c r="H555" s="41"/>
      <c r="I555" s="41"/>
    </row>
    <row r="556" spans="2:10">
      <c r="C556" s="41" t="s">
        <v>2351</v>
      </c>
      <c r="D556" s="41">
        <v>11897</v>
      </c>
      <c r="E556" s="41">
        <v>9772</v>
      </c>
      <c r="F556" s="41">
        <v>0</v>
      </c>
      <c r="G556" s="41">
        <v>11951</v>
      </c>
      <c r="H556" s="89">
        <v>9186.0499999999993</v>
      </c>
      <c r="I556" s="89">
        <v>145.77000000000001</v>
      </c>
    </row>
    <row r="557" spans="2:10">
      <c r="C557" s="41" t="s">
        <v>2412</v>
      </c>
      <c r="D557" s="41">
        <v>9960</v>
      </c>
      <c r="E557" s="41">
        <v>8184</v>
      </c>
      <c r="F557" s="41"/>
      <c r="G557" s="41">
        <v>7961</v>
      </c>
      <c r="H557" s="41">
        <v>8152</v>
      </c>
      <c r="I557" s="41"/>
    </row>
    <row r="558" spans="2:10">
      <c r="C558" s="41" t="s">
        <v>2411</v>
      </c>
      <c r="D558" s="41">
        <v>16591</v>
      </c>
      <c r="E558" s="41">
        <v>11341</v>
      </c>
      <c r="F558" s="41">
        <v>341</v>
      </c>
      <c r="G558" s="89">
        <v>13868</v>
      </c>
      <c r="H558" s="89">
        <v>7477</v>
      </c>
      <c r="I558" s="89">
        <v>126.26</v>
      </c>
    </row>
    <row r="560" spans="2:10">
      <c r="C560" s="18" t="s">
        <v>3063</v>
      </c>
    </row>
    <row r="561" spans="3:9">
      <c r="C561" s="105"/>
      <c r="D561" s="106"/>
      <c r="E561" s="106"/>
      <c r="F561" s="119"/>
      <c r="G561" s="18"/>
      <c r="H561" s="18"/>
      <c r="I561" s="18"/>
    </row>
    <row r="562" spans="3:9">
      <c r="C562" s="40"/>
      <c r="D562" s="140" t="s">
        <v>3064</v>
      </c>
      <c r="E562" s="140" t="s">
        <v>37</v>
      </c>
      <c r="F562" s="169" t="s">
        <v>142</v>
      </c>
      <c r="G562" s="2793"/>
      <c r="H562" s="2793"/>
      <c r="I562" s="2793"/>
    </row>
    <row r="563" spans="3:9">
      <c r="C563" s="40"/>
      <c r="D563" s="41"/>
      <c r="E563" s="41"/>
      <c r="F563" s="64"/>
      <c r="G563" s="18"/>
      <c r="H563" s="18"/>
      <c r="I563" s="18"/>
    </row>
    <row r="564" spans="3:9">
      <c r="C564" s="40" t="s">
        <v>39</v>
      </c>
      <c r="D564" s="41"/>
      <c r="E564" s="41"/>
      <c r="F564" s="64"/>
      <c r="G564" s="18"/>
      <c r="H564" s="18"/>
      <c r="I564" s="18"/>
    </row>
    <row r="565" spans="3:9">
      <c r="C565" s="40" t="s">
        <v>2351</v>
      </c>
      <c r="D565" s="41">
        <f>+D556+E556+F556</f>
        <v>21669</v>
      </c>
      <c r="E565" s="41">
        <f>12385+10290</f>
        <v>22675</v>
      </c>
      <c r="F565" s="982">
        <f>G556+H556+I556</f>
        <v>21282.82</v>
      </c>
      <c r="G565" s="18"/>
      <c r="H565" s="18"/>
      <c r="I565" s="18"/>
    </row>
    <row r="566" spans="3:9">
      <c r="C566" s="40" t="s">
        <v>2412</v>
      </c>
      <c r="D566" s="41">
        <f>+D557+E557+F557</f>
        <v>18144</v>
      </c>
      <c r="E566" s="41">
        <f>7316+7686</f>
        <v>15002</v>
      </c>
      <c r="F566" s="64">
        <f>G557+H557+I557</f>
        <v>16113</v>
      </c>
      <c r="G566" s="18"/>
      <c r="H566" s="18"/>
      <c r="I566" s="18"/>
    </row>
    <row r="567" spans="3:9">
      <c r="C567" s="473" t="s">
        <v>2411</v>
      </c>
      <c r="D567" s="886">
        <f>+D558+E558+F558</f>
        <v>28273</v>
      </c>
      <c r="E567" s="886">
        <f>13984+7625+201</f>
        <v>21810</v>
      </c>
      <c r="F567" s="983">
        <f>G558+H558+I558</f>
        <v>21471.26</v>
      </c>
      <c r="G567" s="18"/>
      <c r="H567" s="18"/>
      <c r="I567" s="18"/>
    </row>
    <row r="573" spans="3:9">
      <c r="C573" s="84" t="s">
        <v>3065</v>
      </c>
    </row>
    <row r="574" spans="3:9" ht="13.5" customHeight="1">
      <c r="C574" s="105" t="s">
        <v>3066</v>
      </c>
      <c r="D574" s="106"/>
      <c r="E574" s="106"/>
      <c r="F574" s="106"/>
      <c r="G574" s="106"/>
      <c r="H574" s="122"/>
    </row>
    <row r="575" spans="3:9" ht="13.5" customHeight="1">
      <c r="C575" s="40" t="s">
        <v>39</v>
      </c>
      <c r="D575" s="567" t="s">
        <v>3067</v>
      </c>
      <c r="E575" s="41" t="s">
        <v>3068</v>
      </c>
      <c r="F575" s="41" t="s">
        <v>3069</v>
      </c>
      <c r="G575" s="41" t="s">
        <v>42</v>
      </c>
      <c r="H575" s="64" t="s">
        <v>3070</v>
      </c>
    </row>
    <row r="576" spans="3:9" ht="13.5" customHeight="1">
      <c r="C576" s="40" t="s">
        <v>2351</v>
      </c>
      <c r="D576" s="41">
        <v>119</v>
      </c>
      <c r="E576" s="41">
        <v>10935</v>
      </c>
      <c r="F576" s="41">
        <v>7977</v>
      </c>
      <c r="G576" s="41">
        <v>7930</v>
      </c>
      <c r="H576" s="43"/>
    </row>
    <row r="577" spans="2:14" ht="13.5" customHeight="1">
      <c r="C577" s="40" t="s">
        <v>2412</v>
      </c>
      <c r="D577" s="41">
        <v>137</v>
      </c>
      <c r="E577" s="41">
        <v>12698</v>
      </c>
      <c r="F577" s="41">
        <v>9150</v>
      </c>
      <c r="G577" s="41">
        <v>9724</v>
      </c>
      <c r="H577" s="43"/>
    </row>
    <row r="578" spans="2:14" ht="13.5" customHeight="1">
      <c r="C578" s="473" t="s">
        <v>2411</v>
      </c>
      <c r="D578" s="886">
        <v>155</v>
      </c>
      <c r="E578" s="886">
        <v>14543</v>
      </c>
      <c r="F578" s="886">
        <v>10039</v>
      </c>
      <c r="G578" s="984">
        <v>8972.42</v>
      </c>
      <c r="H578" s="318"/>
    </row>
    <row r="579" spans="2:14" ht="13.5" customHeight="1"/>
    <row r="580" spans="2:14" ht="13.5" customHeight="1"/>
    <row r="581" spans="2:14" ht="13.5" customHeight="1"/>
    <row r="582" spans="2:14" ht="21">
      <c r="C582" s="3039" t="s">
        <v>4185</v>
      </c>
      <c r="D582" s="3039"/>
      <c r="E582" s="3039"/>
      <c r="F582" s="3039"/>
      <c r="G582" s="3039"/>
      <c r="H582" s="3039"/>
      <c r="I582" s="3039"/>
      <c r="J582" s="3039"/>
    </row>
    <row r="583" spans="2:14" ht="13.5" thickBot="1"/>
    <row r="584" spans="2:14" ht="36">
      <c r="B584" s="2731" t="s">
        <v>2339</v>
      </c>
      <c r="C584" s="2732" t="s">
        <v>34</v>
      </c>
      <c r="D584" s="2732" t="s">
        <v>40</v>
      </c>
      <c r="E584" s="2732" t="s">
        <v>41</v>
      </c>
      <c r="F584" s="2732" t="s">
        <v>170</v>
      </c>
      <c r="G584" s="2732" t="s">
        <v>171</v>
      </c>
      <c r="H584" s="2732" t="s">
        <v>807</v>
      </c>
      <c r="I584" s="2732" t="s">
        <v>808</v>
      </c>
      <c r="J584" s="2732" t="s">
        <v>809</v>
      </c>
      <c r="K584" s="2732" t="s">
        <v>2363</v>
      </c>
      <c r="L584" s="2732" t="s">
        <v>2410</v>
      </c>
      <c r="M584" s="2732" t="s">
        <v>274</v>
      </c>
      <c r="N584" s="2736" t="s">
        <v>4186</v>
      </c>
    </row>
    <row r="585" spans="2:14" ht="18">
      <c r="B585" s="614"/>
      <c r="C585" s="2733"/>
      <c r="D585" s="2733"/>
      <c r="E585" s="2733"/>
      <c r="F585" s="2733"/>
      <c r="G585" s="2733"/>
      <c r="H585" s="2733"/>
      <c r="I585" s="2733"/>
      <c r="J585" s="2733"/>
      <c r="K585" s="2733"/>
      <c r="L585" s="2733"/>
      <c r="M585" s="2734"/>
      <c r="N585" s="43"/>
    </row>
    <row r="586" spans="2:14" ht="18">
      <c r="B586" s="614" t="s">
        <v>563</v>
      </c>
      <c r="C586" s="2733"/>
      <c r="D586" s="2733"/>
      <c r="E586" s="2733"/>
      <c r="F586" s="2733"/>
      <c r="G586" s="2733"/>
      <c r="H586" s="2733"/>
      <c r="I586" s="2733"/>
      <c r="J586" s="2733"/>
      <c r="K586" s="2733"/>
      <c r="L586" s="2733"/>
      <c r="M586" s="2733"/>
      <c r="N586" s="43"/>
    </row>
    <row r="587" spans="2:14" ht="18">
      <c r="B587" s="614" t="s">
        <v>4017</v>
      </c>
      <c r="C587" s="2733">
        <v>4749.4049999999997</v>
      </c>
      <c r="D587" s="2733">
        <v>3143.75</v>
      </c>
      <c r="E587" s="2733">
        <v>2179.79</v>
      </c>
      <c r="F587" s="2733">
        <v>5591.84</v>
      </c>
      <c r="G587" s="2733">
        <v>4802.1400000000003</v>
      </c>
      <c r="H587" s="2733">
        <v>227.71</v>
      </c>
      <c r="I587" s="2733">
        <v>5106.6099999999997</v>
      </c>
      <c r="J587" s="2733">
        <v>1964.22</v>
      </c>
      <c r="K587" s="2733">
        <v>765.94</v>
      </c>
      <c r="L587" s="2733">
        <v>1029.05</v>
      </c>
      <c r="M587" s="2733">
        <v>738.7</v>
      </c>
      <c r="N587" s="43"/>
    </row>
    <row r="588" spans="2:14" ht="18">
      <c r="B588" s="614" t="s">
        <v>356</v>
      </c>
      <c r="C588" s="2733">
        <v>23693.85</v>
      </c>
      <c r="D588" s="2733">
        <v>23308.15</v>
      </c>
      <c r="E588" s="2733">
        <v>19974.05</v>
      </c>
      <c r="F588" s="2733">
        <v>24922.86</v>
      </c>
      <c r="G588" s="2733">
        <v>38082.887999999999</v>
      </c>
      <c r="H588" s="2733">
        <v>17520.349999999999</v>
      </c>
      <c r="I588" s="2733">
        <v>28729.09</v>
      </c>
      <c r="J588" s="2733">
        <v>35222.620000000003</v>
      </c>
      <c r="K588" s="2733">
        <v>43755.45</v>
      </c>
      <c r="L588" s="2733">
        <v>48451.88</v>
      </c>
      <c r="M588" s="2733">
        <v>37153.864000000001</v>
      </c>
      <c r="N588" s="2737">
        <v>8352.32</v>
      </c>
    </row>
    <row r="589" spans="2:14" ht="18">
      <c r="B589" s="614" t="s">
        <v>344</v>
      </c>
      <c r="C589" s="2733"/>
      <c r="D589" s="2733"/>
      <c r="E589" s="2733"/>
      <c r="F589" s="2733"/>
      <c r="G589" s="2733"/>
      <c r="H589" s="2733"/>
      <c r="I589" s="2733">
        <v>33.11</v>
      </c>
      <c r="J589" s="2733">
        <v>1596.68</v>
      </c>
      <c r="K589" s="2733">
        <v>1798.45</v>
      </c>
      <c r="L589" s="2733">
        <v>655.22</v>
      </c>
      <c r="M589" s="2733">
        <v>3358.14</v>
      </c>
      <c r="N589" s="43"/>
    </row>
    <row r="590" spans="2:14" ht="18">
      <c r="B590" s="2738"/>
      <c r="C590" s="2733">
        <f>SUM(C587:C589)</f>
        <v>28443.254999999997</v>
      </c>
      <c r="D590" s="2733">
        <f t="shared" ref="D590:N590" si="142">SUM(D587:D589)</f>
        <v>26451.9</v>
      </c>
      <c r="E590" s="2733">
        <f t="shared" si="142"/>
        <v>22153.84</v>
      </c>
      <c r="F590" s="2733">
        <f t="shared" si="142"/>
        <v>30514.7</v>
      </c>
      <c r="G590" s="2733">
        <f t="shared" si="142"/>
        <v>42885.027999999998</v>
      </c>
      <c r="H590" s="2733">
        <f t="shared" si="142"/>
        <v>17748.059999999998</v>
      </c>
      <c r="I590" s="2733">
        <f t="shared" si="142"/>
        <v>33868.81</v>
      </c>
      <c r="J590" s="2733">
        <f t="shared" si="142"/>
        <v>38783.520000000004</v>
      </c>
      <c r="K590" s="2733">
        <f t="shared" si="142"/>
        <v>46319.839999999997</v>
      </c>
      <c r="L590" s="2733">
        <f t="shared" si="142"/>
        <v>50136.15</v>
      </c>
      <c r="M590" s="2733">
        <f t="shared" si="142"/>
        <v>41250.703999999998</v>
      </c>
      <c r="N590" s="615">
        <f t="shared" si="142"/>
        <v>8352.32</v>
      </c>
    </row>
    <row r="591" spans="2:14">
      <c r="B591" s="309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43"/>
    </row>
    <row r="592" spans="2:14" ht="18">
      <c r="B592" s="2739" t="s">
        <v>4187</v>
      </c>
      <c r="C592" s="2740">
        <v>11251.8</v>
      </c>
      <c r="D592" s="2740">
        <v>16884.72</v>
      </c>
      <c r="E592" s="2740">
        <v>11254.48</v>
      </c>
      <c r="F592" s="2740">
        <v>22245.759999999998</v>
      </c>
      <c r="G592" s="2740">
        <v>34251.08</v>
      </c>
      <c r="H592" s="2740">
        <v>0</v>
      </c>
      <c r="I592" s="2740">
        <v>22722.63</v>
      </c>
      <c r="J592" s="2740">
        <v>29037.11</v>
      </c>
      <c r="K592" s="2740">
        <v>35029.86</v>
      </c>
      <c r="L592" s="2740">
        <v>23107.1</v>
      </c>
      <c r="M592" s="2740">
        <v>0</v>
      </c>
      <c r="N592" s="2737">
        <v>0</v>
      </c>
    </row>
    <row r="593" spans="2:15" ht="18.75" thickBot="1">
      <c r="B593" s="2741" t="s">
        <v>4188</v>
      </c>
      <c r="C593" s="2742">
        <f>+C590-C592</f>
        <v>17191.454999999998</v>
      </c>
      <c r="D593" s="2742">
        <f t="shared" ref="D593:N593" si="143">+D590-D592</f>
        <v>9567.18</v>
      </c>
      <c r="E593" s="2742">
        <f t="shared" si="143"/>
        <v>10899.36</v>
      </c>
      <c r="F593" s="2742">
        <f t="shared" si="143"/>
        <v>8268.9400000000023</v>
      </c>
      <c r="G593" s="2742">
        <f t="shared" si="143"/>
        <v>8633.9479999999967</v>
      </c>
      <c r="H593" s="2742">
        <f t="shared" si="143"/>
        <v>17748.059999999998</v>
      </c>
      <c r="I593" s="2742">
        <f t="shared" si="143"/>
        <v>11146.179999999997</v>
      </c>
      <c r="J593" s="2742">
        <f t="shared" si="143"/>
        <v>9746.4100000000035</v>
      </c>
      <c r="K593" s="2742">
        <f t="shared" si="143"/>
        <v>11289.979999999996</v>
      </c>
      <c r="L593" s="2742">
        <f t="shared" si="143"/>
        <v>27029.050000000003</v>
      </c>
      <c r="M593" s="2742">
        <f t="shared" si="143"/>
        <v>41250.703999999998</v>
      </c>
      <c r="N593" s="2743">
        <f t="shared" si="143"/>
        <v>8352.32</v>
      </c>
    </row>
    <row r="600" spans="2:15" ht="18">
      <c r="C600" s="258" t="s">
        <v>4143</v>
      </c>
      <c r="D600" s="258" t="s">
        <v>2628</v>
      </c>
      <c r="E600" s="258" t="s">
        <v>4144</v>
      </c>
      <c r="F600" s="258" t="s">
        <v>4122</v>
      </c>
      <c r="G600" s="258" t="s">
        <v>2632</v>
      </c>
      <c r="H600" s="258" t="s">
        <v>2633</v>
      </c>
      <c r="I600" s="258" t="s">
        <v>4118</v>
      </c>
      <c r="J600" s="258" t="s">
        <v>3942</v>
      </c>
      <c r="K600" s="258" t="s">
        <v>3943</v>
      </c>
      <c r="L600" s="258" t="s">
        <v>3944</v>
      </c>
      <c r="M600" s="258" t="s">
        <v>3945</v>
      </c>
      <c r="N600" s="258" t="s">
        <v>4102</v>
      </c>
      <c r="O600" s="258" t="s">
        <v>572</v>
      </c>
    </row>
    <row r="601" spans="2:15" ht="18">
      <c r="B601" s="258" t="s">
        <v>2339</v>
      </c>
      <c r="C601" s="258"/>
      <c r="D601" s="25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</row>
    <row r="602" spans="2:15" ht="18">
      <c r="B602" s="258"/>
      <c r="C602" s="258"/>
      <c r="D602" s="25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</row>
    <row r="603" spans="2:15" ht="18">
      <c r="B603" s="258" t="s">
        <v>425</v>
      </c>
      <c r="C603" s="258">
        <v>29.53</v>
      </c>
      <c r="D603" s="258">
        <v>30.35</v>
      </c>
      <c r="E603" s="258">
        <v>146.21</v>
      </c>
      <c r="F603" s="258">
        <v>33.75</v>
      </c>
      <c r="G603" s="258">
        <v>125.48</v>
      </c>
      <c r="H603" s="258">
        <v>266.86</v>
      </c>
      <c r="I603" s="258">
        <v>64.97</v>
      </c>
      <c r="J603" s="258">
        <v>169.32</v>
      </c>
      <c r="K603" s="258">
        <v>95.55</v>
      </c>
      <c r="L603" s="258"/>
      <c r="M603" s="258">
        <v>59.65</v>
      </c>
      <c r="N603" s="258">
        <v>428.3</v>
      </c>
      <c r="O603" s="258">
        <f>SUM(C603:N603)</f>
        <v>1449.97</v>
      </c>
    </row>
    <row r="604" spans="2:15" ht="18">
      <c r="B604" s="258" t="s">
        <v>429</v>
      </c>
      <c r="C604" s="258">
        <v>304.16000000000003</v>
      </c>
      <c r="D604" s="258">
        <v>0</v>
      </c>
      <c r="E604" s="258"/>
      <c r="F604" s="258">
        <v>266.58</v>
      </c>
      <c r="G604" s="258">
        <v>67.599999999999994</v>
      </c>
      <c r="H604" s="258">
        <v>67.12</v>
      </c>
      <c r="I604" s="258">
        <v>40.75</v>
      </c>
      <c r="J604" s="258">
        <v>66.81</v>
      </c>
      <c r="K604" s="258">
        <v>99.51</v>
      </c>
      <c r="L604" s="258"/>
      <c r="M604" s="258">
        <v>17.52</v>
      </c>
      <c r="N604" s="258">
        <v>73.680000000000007</v>
      </c>
      <c r="O604" s="2683">
        <f t="shared" ref="O604:O611" si="144">SUM(C604:N604)</f>
        <v>1003.73</v>
      </c>
    </row>
    <row r="605" spans="2:15" ht="18">
      <c r="B605" s="258" t="s">
        <v>427</v>
      </c>
      <c r="C605" s="258">
        <v>264.49</v>
      </c>
      <c r="D605" s="258">
        <v>27.56</v>
      </c>
      <c r="E605" s="258"/>
      <c r="F605" s="258">
        <v>3.26</v>
      </c>
      <c r="G605" s="258">
        <v>327.71</v>
      </c>
      <c r="H605" s="258">
        <v>84.68</v>
      </c>
      <c r="I605" s="258">
        <v>348</v>
      </c>
      <c r="J605" s="258">
        <v>261</v>
      </c>
      <c r="K605" s="258">
        <v>132.94</v>
      </c>
      <c r="L605" s="258">
        <v>348.84</v>
      </c>
      <c r="M605" s="258"/>
      <c r="N605" s="258"/>
      <c r="O605" s="2683">
        <f t="shared" si="144"/>
        <v>1798.48</v>
      </c>
    </row>
    <row r="606" spans="2:15" ht="18">
      <c r="B606" s="258" t="s">
        <v>431</v>
      </c>
      <c r="C606" s="258"/>
      <c r="D606" s="258">
        <v>58.7</v>
      </c>
      <c r="E606" s="258">
        <v>59.95</v>
      </c>
      <c r="F606" s="258"/>
      <c r="G606" s="258">
        <v>2</v>
      </c>
      <c r="H606" s="258"/>
      <c r="I606" s="258">
        <v>39.46</v>
      </c>
      <c r="J606" s="258">
        <v>19.28</v>
      </c>
      <c r="K606" s="258"/>
      <c r="L606" s="258"/>
      <c r="M606" s="258"/>
      <c r="N606" s="258">
        <v>5.15</v>
      </c>
      <c r="O606" s="2683">
        <f t="shared" si="144"/>
        <v>184.54000000000002</v>
      </c>
    </row>
    <row r="607" spans="2:15" ht="18">
      <c r="B607" s="258" t="s">
        <v>437</v>
      </c>
      <c r="C607" s="258">
        <v>506.54</v>
      </c>
      <c r="D607" s="258">
        <v>687.89</v>
      </c>
      <c r="E607" s="258">
        <v>731.39</v>
      </c>
      <c r="F607" s="258">
        <v>572.59</v>
      </c>
      <c r="G607" s="258">
        <v>702.05</v>
      </c>
      <c r="H607" s="258">
        <v>676.51</v>
      </c>
      <c r="I607" s="258">
        <v>590.51</v>
      </c>
      <c r="J607" s="258">
        <v>601.66999999999996</v>
      </c>
      <c r="K607" s="258">
        <v>367.07</v>
      </c>
      <c r="L607" s="258">
        <v>436.56</v>
      </c>
      <c r="M607" s="258">
        <v>567.92999999999995</v>
      </c>
      <c r="N607" s="258">
        <v>577.52</v>
      </c>
      <c r="O607" s="2683">
        <f t="shared" si="144"/>
        <v>7018.2300000000014</v>
      </c>
    </row>
    <row r="608" spans="2:15" ht="18">
      <c r="B608" s="258" t="s">
        <v>434</v>
      </c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683">
        <f t="shared" si="144"/>
        <v>0</v>
      </c>
    </row>
    <row r="609" spans="2:15" ht="18">
      <c r="B609" s="258" t="s">
        <v>433</v>
      </c>
      <c r="C609" s="258"/>
      <c r="D609" s="258"/>
      <c r="E609" s="258">
        <v>84.46</v>
      </c>
      <c r="F609" s="258"/>
      <c r="G609" s="258">
        <v>120.8</v>
      </c>
      <c r="H609" s="258"/>
      <c r="I609" s="258">
        <v>21.733000000000001</v>
      </c>
      <c r="J609" s="258">
        <v>60.48</v>
      </c>
      <c r="K609" s="258"/>
      <c r="L609" s="258"/>
      <c r="M609" s="258">
        <v>323.13</v>
      </c>
      <c r="N609" s="258">
        <v>70.010000000000005</v>
      </c>
      <c r="O609" s="2683">
        <f t="shared" si="144"/>
        <v>680.61300000000006</v>
      </c>
    </row>
    <row r="610" spans="2:15" ht="18">
      <c r="C610" s="258">
        <f>SUM(C603:C609)</f>
        <v>1104.72</v>
      </c>
      <c r="D610" s="2683">
        <f t="shared" ref="D610:M610" si="145">SUM(D603:D609)</f>
        <v>804.5</v>
      </c>
      <c r="E610" s="2683">
        <f t="shared" si="145"/>
        <v>1022.01</v>
      </c>
      <c r="F610" s="2683">
        <f t="shared" si="145"/>
        <v>876.18000000000006</v>
      </c>
      <c r="G610" s="2683">
        <f t="shared" si="145"/>
        <v>1345.6399999999999</v>
      </c>
      <c r="H610" s="2683">
        <f t="shared" si="145"/>
        <v>1095.17</v>
      </c>
      <c r="I610" s="2683">
        <f t="shared" si="145"/>
        <v>1105.423</v>
      </c>
      <c r="J610" s="2683">
        <f t="shared" si="145"/>
        <v>1178.56</v>
      </c>
      <c r="K610" s="2683">
        <f t="shared" si="145"/>
        <v>695.06999999999994</v>
      </c>
      <c r="L610" s="2683">
        <f t="shared" si="145"/>
        <v>785.4</v>
      </c>
      <c r="M610" s="2683">
        <f t="shared" si="145"/>
        <v>968.2299999999999</v>
      </c>
      <c r="N610" s="2683">
        <f>SUM(N603:N609)</f>
        <v>1154.6600000000001</v>
      </c>
      <c r="O610" s="2683">
        <f>SUM(O603:O609)</f>
        <v>12135.563</v>
      </c>
    </row>
    <row r="611" spans="2:15" ht="26.25">
      <c r="B611" s="2684" t="s">
        <v>413</v>
      </c>
      <c r="C611">
        <v>8119</v>
      </c>
      <c r="D611">
        <v>10708</v>
      </c>
      <c r="E611">
        <v>8808</v>
      </c>
      <c r="F611">
        <v>10757.424000000001</v>
      </c>
      <c r="G611">
        <v>11385</v>
      </c>
      <c r="H611">
        <v>10288</v>
      </c>
      <c r="I611" s="574">
        <v>7542.32</v>
      </c>
      <c r="J611" s="574">
        <v>6773.36</v>
      </c>
      <c r="K611" s="574">
        <v>6450</v>
      </c>
      <c r="L611" s="574">
        <v>7278.1150000000007</v>
      </c>
      <c r="M611" s="574">
        <v>11791</v>
      </c>
      <c r="N611" s="574">
        <v>12533.47</v>
      </c>
      <c r="O611" s="2683">
        <f t="shared" si="144"/>
        <v>112433.68900000001</v>
      </c>
    </row>
  </sheetData>
  <mergeCells count="53">
    <mergeCell ref="C582:J582"/>
    <mergeCell ref="B435:O435"/>
    <mergeCell ref="G562:I562"/>
    <mergeCell ref="D540:J540"/>
    <mergeCell ref="D541:E541"/>
    <mergeCell ref="F541:G541"/>
    <mergeCell ref="H541:I541"/>
    <mergeCell ref="D553:F553"/>
    <mergeCell ref="G553:I553"/>
    <mergeCell ref="B489:O489"/>
    <mergeCell ref="B237:O237"/>
    <mergeCell ref="B269:O269"/>
    <mergeCell ref="B301:O301"/>
    <mergeCell ref="B335:O335"/>
    <mergeCell ref="GK85:GZ85"/>
    <mergeCell ref="B142:Q142"/>
    <mergeCell ref="B151:Q151"/>
    <mergeCell ref="C224:O224"/>
    <mergeCell ref="C229:O229"/>
    <mergeCell ref="C219:O219"/>
    <mergeCell ref="C213:O213"/>
    <mergeCell ref="C206:O206"/>
    <mergeCell ref="C199:O199"/>
    <mergeCell ref="HA85:HP85"/>
    <mergeCell ref="HQ85:IF85"/>
    <mergeCell ref="IG85:IV85"/>
    <mergeCell ref="A94:P94"/>
    <mergeCell ref="DI85:DX85"/>
    <mergeCell ref="DY85:EN85"/>
    <mergeCell ref="EO85:FD85"/>
    <mergeCell ref="FE85:FT85"/>
    <mergeCell ref="FU85:GJ85"/>
    <mergeCell ref="AG85:AV85"/>
    <mergeCell ref="AW85:BL85"/>
    <mergeCell ref="BM85:CB85"/>
    <mergeCell ref="CC85:CR85"/>
    <mergeCell ref="CS85:DH85"/>
    <mergeCell ref="B385:O385"/>
    <mergeCell ref="B7:P7"/>
    <mergeCell ref="B15:P15"/>
    <mergeCell ref="B27:P27"/>
    <mergeCell ref="B38:P38"/>
    <mergeCell ref="B46:P46"/>
    <mergeCell ref="B59:P59"/>
    <mergeCell ref="B68:P68"/>
    <mergeCell ref="B77:Q77"/>
    <mergeCell ref="A85:P85"/>
    <mergeCell ref="Q85:AF85"/>
    <mergeCell ref="B105:Q105"/>
    <mergeCell ref="A113:P113"/>
    <mergeCell ref="Q113:AF113"/>
    <mergeCell ref="A122:P122"/>
    <mergeCell ref="A133:P133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55"/>
  <sheetViews>
    <sheetView topLeftCell="A10" zoomScaleSheetLayoutView="100" workbookViewId="0">
      <selection activeCell="P13" sqref="P13"/>
    </sheetView>
  </sheetViews>
  <sheetFormatPr defaultColWidth="9" defaultRowHeight="12.75"/>
  <cols>
    <col min="1" max="1" width="23" customWidth="1"/>
    <col min="2" max="2" width="13.140625" hidden="1" customWidth="1"/>
    <col min="3" max="3" width="12.140625" hidden="1" customWidth="1"/>
    <col min="4" max="4" width="15.28515625" hidden="1" customWidth="1"/>
    <col min="5" max="5" width="13.5703125" hidden="1" customWidth="1"/>
    <col min="6" max="6" width="12" customWidth="1"/>
    <col min="7" max="8" width="13" customWidth="1"/>
    <col min="9" max="10" width="9" customWidth="1"/>
    <col min="11" max="11" width="12" customWidth="1"/>
    <col min="12" max="17" width="9" customWidth="1"/>
    <col min="23" max="23" width="12.7109375" customWidth="1"/>
    <col min="24" max="24" width="15.28515625" customWidth="1"/>
    <col min="25" max="25" width="13.85546875" customWidth="1"/>
    <col min="26" max="26" width="22.42578125" customWidth="1"/>
    <col min="27" max="27" width="12.42578125" customWidth="1"/>
    <col min="28" max="28" width="15.140625" customWidth="1"/>
    <col min="29" max="29" width="14" customWidth="1"/>
    <col min="30" max="30" width="12.7109375" customWidth="1"/>
  </cols>
  <sheetData>
    <row r="1" spans="1:24"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354"/>
    </row>
    <row r="2" spans="1:24">
      <c r="A2" s="31"/>
      <c r="V2" s="63"/>
    </row>
    <row r="3" spans="1:24" ht="23.25">
      <c r="A3" s="3044" t="s">
        <v>3071</v>
      </c>
      <c r="B3" s="2806"/>
      <c r="C3" s="2806"/>
      <c r="D3" s="2806"/>
      <c r="E3" s="2806"/>
      <c r="F3" s="2806"/>
      <c r="G3" s="2806"/>
      <c r="H3" s="2806"/>
      <c r="I3" s="2806"/>
      <c r="J3" s="2806"/>
      <c r="K3" s="2806"/>
      <c r="L3" s="2806"/>
      <c r="M3" s="2806"/>
      <c r="N3" s="2806"/>
      <c r="O3" s="2806"/>
      <c r="P3" s="2806"/>
      <c r="Q3" s="2806"/>
      <c r="R3" s="3045"/>
      <c r="S3" s="127"/>
      <c r="T3" s="354"/>
      <c r="V3" s="63"/>
    </row>
    <row r="4" spans="1:24" ht="15">
      <c r="A4" s="40"/>
      <c r="B4" s="55" t="s">
        <v>519</v>
      </c>
      <c r="C4" s="42" t="s">
        <v>3076</v>
      </c>
      <c r="D4" s="42" t="s">
        <v>3077</v>
      </c>
      <c r="E4" s="41" t="s">
        <v>2597</v>
      </c>
      <c r="F4" s="41" t="s">
        <v>2598</v>
      </c>
      <c r="G4" s="41" t="s">
        <v>2599</v>
      </c>
      <c r="H4" s="41" t="s">
        <v>791</v>
      </c>
      <c r="I4" s="41" t="s">
        <v>29</v>
      </c>
      <c r="J4" s="41" t="s">
        <v>30</v>
      </c>
      <c r="K4" s="41" t="s">
        <v>31</v>
      </c>
      <c r="L4" s="41" t="s">
        <v>32</v>
      </c>
      <c r="M4" s="41" t="s">
        <v>33</v>
      </c>
      <c r="N4" s="41" t="s">
        <v>34</v>
      </c>
      <c r="O4" s="41" t="s">
        <v>40</v>
      </c>
      <c r="P4" s="41" t="s">
        <v>41</v>
      </c>
      <c r="Q4" s="41" t="s">
        <v>170</v>
      </c>
      <c r="R4" s="41" t="s">
        <v>171</v>
      </c>
      <c r="S4" s="41" t="s">
        <v>807</v>
      </c>
      <c r="T4" s="64" t="s">
        <v>808</v>
      </c>
      <c r="U4" s="64" t="s">
        <v>809</v>
      </c>
      <c r="V4" s="64" t="s">
        <v>2363</v>
      </c>
      <c r="W4" s="64" t="s">
        <v>2410</v>
      </c>
      <c r="X4" s="64" t="s">
        <v>274</v>
      </c>
    </row>
    <row r="5" spans="1:24" ht="15">
      <c r="A5" s="40"/>
      <c r="B5" s="55"/>
      <c r="C5" s="42"/>
      <c r="D5" s="42"/>
      <c r="E5" s="41" t="s">
        <v>312</v>
      </c>
      <c r="F5" s="41" t="s">
        <v>312</v>
      </c>
      <c r="G5" s="41" t="s">
        <v>312</v>
      </c>
      <c r="H5" s="41" t="s">
        <v>312</v>
      </c>
      <c r="I5" s="41" t="s">
        <v>312</v>
      </c>
      <c r="J5" s="41" t="s">
        <v>312</v>
      </c>
      <c r="K5" s="41" t="s">
        <v>312</v>
      </c>
      <c r="L5" s="41" t="s">
        <v>312</v>
      </c>
      <c r="M5" s="41" t="s">
        <v>312</v>
      </c>
      <c r="N5" s="41" t="s">
        <v>312</v>
      </c>
      <c r="O5" s="41" t="s">
        <v>312</v>
      </c>
      <c r="P5" s="41" t="s">
        <v>312</v>
      </c>
      <c r="Q5" s="41" t="s">
        <v>312</v>
      </c>
      <c r="R5" s="41" t="s">
        <v>312</v>
      </c>
      <c r="S5" s="41" t="s">
        <v>312</v>
      </c>
      <c r="T5" s="64" t="s">
        <v>312</v>
      </c>
      <c r="U5" s="64" t="s">
        <v>312</v>
      </c>
      <c r="V5" s="64" t="s">
        <v>312</v>
      </c>
      <c r="W5" s="64" t="s">
        <v>312</v>
      </c>
      <c r="X5" s="64" t="s">
        <v>312</v>
      </c>
    </row>
    <row r="6" spans="1:24" ht="18">
      <c r="A6" s="65" t="s">
        <v>687</v>
      </c>
      <c r="B6" s="55"/>
      <c r="C6" s="42"/>
      <c r="D6" s="42"/>
      <c r="E6" s="41"/>
      <c r="F6" s="41"/>
      <c r="G6" s="41"/>
      <c r="H6" s="41"/>
      <c r="I6" s="41"/>
      <c r="J6" s="41"/>
      <c r="K6" s="41"/>
      <c r="L6" s="41"/>
      <c r="M6" s="539"/>
      <c r="N6" s="41"/>
      <c r="O6" s="41"/>
      <c r="P6" s="13"/>
      <c r="Q6" s="13"/>
      <c r="R6" s="13"/>
      <c r="S6" s="13"/>
      <c r="T6" s="43"/>
      <c r="U6" s="43"/>
      <c r="V6" s="43"/>
      <c r="W6" s="43"/>
      <c r="X6" s="43"/>
    </row>
    <row r="7" spans="1:24" ht="15">
      <c r="A7" s="66" t="s">
        <v>692</v>
      </c>
      <c r="B7" s="55" t="s">
        <v>634</v>
      </c>
      <c r="C7" s="42">
        <v>52</v>
      </c>
      <c r="D7" s="42">
        <v>52.64</v>
      </c>
      <c r="E7" s="69">
        <v>51.9</v>
      </c>
      <c r="F7" s="69">
        <v>52.52</v>
      </c>
      <c r="G7" s="69">
        <v>50.89</v>
      </c>
      <c r="H7" s="69">
        <v>51.67</v>
      </c>
      <c r="I7" s="69">
        <v>50.56</v>
      </c>
      <c r="J7" s="69">
        <v>50.9</v>
      </c>
      <c r="K7" s="69">
        <v>51.57</v>
      </c>
      <c r="L7" s="69">
        <v>53.29</v>
      </c>
      <c r="M7" s="69">
        <v>52.4</v>
      </c>
      <c r="N7" s="69">
        <v>53.64</v>
      </c>
      <c r="O7" s="41">
        <v>53.12</v>
      </c>
      <c r="P7" s="69">
        <v>52.38</v>
      </c>
      <c r="Q7" s="69">
        <v>52.57</v>
      </c>
      <c r="R7" s="69">
        <v>53.32</v>
      </c>
      <c r="S7" s="69">
        <v>52.11</v>
      </c>
      <c r="T7" s="71">
        <v>52.12</v>
      </c>
      <c r="U7" s="71">
        <v>51.91</v>
      </c>
      <c r="V7" s="71">
        <v>51.32</v>
      </c>
      <c r="W7" s="71">
        <v>51.46</v>
      </c>
      <c r="X7" s="71">
        <v>51.72</v>
      </c>
    </row>
    <row r="8" spans="1:24" ht="15">
      <c r="A8" s="66" t="s">
        <v>3072</v>
      </c>
      <c r="B8" s="55" t="s">
        <v>520</v>
      </c>
      <c r="C8" s="42">
        <v>713.16</v>
      </c>
      <c r="D8" s="42">
        <v>725.23</v>
      </c>
      <c r="E8" s="41">
        <v>745.67</v>
      </c>
      <c r="F8" s="41">
        <v>739.77</v>
      </c>
      <c r="G8" s="41">
        <v>777.56</v>
      </c>
      <c r="H8" s="41">
        <v>733.83</v>
      </c>
      <c r="I8" s="41">
        <v>766.83</v>
      </c>
      <c r="J8" s="41">
        <v>771.7</v>
      </c>
      <c r="K8" s="41">
        <v>730.56</v>
      </c>
      <c r="L8" s="41">
        <v>719.14</v>
      </c>
      <c r="M8" s="67">
        <v>668.2</v>
      </c>
      <c r="N8" s="67">
        <v>707.14</v>
      </c>
      <c r="O8" s="67">
        <v>696.77</v>
      </c>
      <c r="P8" s="67">
        <v>704.65</v>
      </c>
      <c r="Q8" s="67">
        <v>657.78</v>
      </c>
      <c r="R8" s="67">
        <v>660.47</v>
      </c>
      <c r="S8" s="67">
        <v>644.9</v>
      </c>
      <c r="T8" s="68">
        <v>735.16</v>
      </c>
      <c r="U8" s="68">
        <v>740.78</v>
      </c>
      <c r="V8" s="68">
        <v>739.57</v>
      </c>
      <c r="W8" s="68">
        <v>671.4</v>
      </c>
      <c r="X8" s="68">
        <v>760.8</v>
      </c>
    </row>
    <row r="9" spans="1:24" ht="15">
      <c r="A9" s="66" t="s">
        <v>3073</v>
      </c>
      <c r="B9" s="55" t="s">
        <v>698</v>
      </c>
      <c r="C9" s="42">
        <v>6.61</v>
      </c>
      <c r="D9" s="42">
        <v>6.9</v>
      </c>
      <c r="E9" s="41">
        <v>6.97</v>
      </c>
      <c r="F9" s="41">
        <v>6.98</v>
      </c>
      <c r="G9" s="41">
        <v>6.85</v>
      </c>
      <c r="H9" s="41">
        <v>6.08</v>
      </c>
      <c r="I9" s="41">
        <v>6.02</v>
      </c>
      <c r="J9" s="41">
        <v>6.24</v>
      </c>
      <c r="K9" s="41">
        <v>5.98</v>
      </c>
      <c r="L9" s="41">
        <v>5.95</v>
      </c>
      <c r="M9" s="67">
        <v>5.92</v>
      </c>
      <c r="N9" s="67">
        <v>5.67</v>
      </c>
      <c r="O9" s="67">
        <v>5.59</v>
      </c>
      <c r="P9" s="67">
        <v>5.55</v>
      </c>
      <c r="Q9" s="67">
        <v>5.49</v>
      </c>
      <c r="R9" s="67">
        <v>5.52</v>
      </c>
      <c r="S9" s="67">
        <v>5.03</v>
      </c>
      <c r="T9" s="68">
        <v>5.52</v>
      </c>
      <c r="U9" s="68">
        <v>5.72</v>
      </c>
      <c r="V9" s="68">
        <v>5.69</v>
      </c>
      <c r="W9" s="68">
        <v>5.26</v>
      </c>
      <c r="X9" s="68">
        <v>5.79</v>
      </c>
    </row>
    <row r="10" spans="1:24" ht="15">
      <c r="A10" s="66" t="s">
        <v>3074</v>
      </c>
      <c r="B10" s="55" t="s">
        <v>320</v>
      </c>
      <c r="C10" s="42">
        <v>94.04</v>
      </c>
      <c r="D10" s="42">
        <v>94.97</v>
      </c>
      <c r="E10" s="41">
        <v>94.05</v>
      </c>
      <c r="F10" s="41">
        <v>94.43</v>
      </c>
      <c r="G10" s="41">
        <v>93.51</v>
      </c>
      <c r="H10" s="41">
        <v>94.49</v>
      </c>
      <c r="I10" s="41">
        <v>94.83</v>
      </c>
      <c r="J10" s="41">
        <v>94.88</v>
      </c>
      <c r="K10" s="41">
        <v>95.04</v>
      </c>
      <c r="L10" s="41">
        <v>95.89</v>
      </c>
      <c r="M10" s="41">
        <v>96.09</v>
      </c>
      <c r="N10" s="41">
        <v>96.34</v>
      </c>
      <c r="O10" s="41">
        <v>96.64</v>
      </c>
      <c r="P10" s="41">
        <v>96.42</v>
      </c>
      <c r="Q10" s="41">
        <v>96.59</v>
      </c>
      <c r="R10" s="41">
        <v>96.56</v>
      </c>
      <c r="S10" s="69">
        <v>96.5</v>
      </c>
      <c r="T10" s="64">
        <v>96.61</v>
      </c>
      <c r="U10" s="64">
        <v>96.62</v>
      </c>
      <c r="V10" s="64">
        <v>96.45</v>
      </c>
      <c r="W10" s="64">
        <v>96.26</v>
      </c>
      <c r="X10" s="64">
        <v>96.33</v>
      </c>
    </row>
    <row r="11" spans="1:24" ht="20.25">
      <c r="A11" s="70" t="s">
        <v>988</v>
      </c>
      <c r="B11" s="55" t="s">
        <v>320</v>
      </c>
      <c r="C11" s="42">
        <v>96.47</v>
      </c>
      <c r="D11" s="42">
        <v>95.94</v>
      </c>
      <c r="E11" s="69">
        <v>96.43</v>
      </c>
      <c r="F11" s="69">
        <v>96.46</v>
      </c>
      <c r="G11" s="69">
        <v>96.97</v>
      </c>
      <c r="H11" s="69">
        <v>97.2</v>
      </c>
      <c r="I11" s="69">
        <v>97.73</v>
      </c>
      <c r="J11" s="69">
        <v>97.69</v>
      </c>
      <c r="K11" s="69">
        <v>97.7</v>
      </c>
      <c r="L11" s="69">
        <v>97.43</v>
      </c>
      <c r="M11" s="69">
        <v>96.7</v>
      </c>
      <c r="N11" s="69">
        <v>97.01</v>
      </c>
      <c r="O11" s="69">
        <v>96.77</v>
      </c>
      <c r="P11" s="69">
        <v>96.84</v>
      </c>
      <c r="Q11" s="69">
        <v>96.65</v>
      </c>
      <c r="R11" s="69">
        <v>96.58</v>
      </c>
      <c r="S11" s="69">
        <v>97.15</v>
      </c>
      <c r="T11" s="71">
        <v>97.19</v>
      </c>
      <c r="U11" s="71">
        <v>96.99</v>
      </c>
      <c r="V11" s="71">
        <v>97.06</v>
      </c>
      <c r="W11" s="71">
        <v>97.07</v>
      </c>
      <c r="X11" s="71">
        <v>97.13</v>
      </c>
    </row>
    <row r="12" spans="1:24" ht="20.25">
      <c r="A12" s="70" t="s">
        <v>711</v>
      </c>
      <c r="B12" s="55"/>
      <c r="C12" s="42"/>
      <c r="D12" s="42"/>
      <c r="E12" s="41"/>
      <c r="F12" s="41"/>
      <c r="G12" s="41"/>
      <c r="H12" s="41"/>
      <c r="I12" s="41"/>
      <c r="J12" s="41"/>
      <c r="K12" s="41"/>
      <c r="L12" s="41"/>
      <c r="M12" s="41"/>
      <c r="N12" s="89"/>
      <c r="O12" s="41"/>
      <c r="P12" s="13"/>
      <c r="Q12" s="13"/>
      <c r="R12" s="13"/>
      <c r="S12" s="13"/>
      <c r="T12" s="43"/>
      <c r="U12" s="43"/>
      <c r="V12" s="43"/>
      <c r="W12" s="43"/>
      <c r="X12" s="43"/>
    </row>
    <row r="13" spans="1:24" ht="15">
      <c r="A13" s="66" t="s">
        <v>3075</v>
      </c>
      <c r="B13" s="55" t="s">
        <v>520</v>
      </c>
      <c r="C13" s="42">
        <v>116.63</v>
      </c>
      <c r="D13" s="42">
        <v>120.71</v>
      </c>
      <c r="E13" s="69">
        <v>110.37</v>
      </c>
      <c r="F13" s="69">
        <v>112.85</v>
      </c>
      <c r="G13" s="69">
        <v>109.49</v>
      </c>
      <c r="H13" s="69">
        <v>92.8</v>
      </c>
      <c r="I13" s="69">
        <v>104.24</v>
      </c>
      <c r="J13" s="69">
        <v>95.79</v>
      </c>
      <c r="K13" s="69">
        <v>93.12</v>
      </c>
      <c r="L13" s="69">
        <v>97.49</v>
      </c>
      <c r="M13" s="69">
        <v>104.95</v>
      </c>
      <c r="N13" s="69">
        <v>102.62</v>
      </c>
      <c r="O13" s="69">
        <v>108.6</v>
      </c>
      <c r="P13" s="69">
        <v>116.54</v>
      </c>
      <c r="Q13" s="69">
        <v>104.34</v>
      </c>
      <c r="R13" s="69">
        <v>104.15</v>
      </c>
      <c r="S13" s="69">
        <v>131.16999999999999</v>
      </c>
      <c r="T13" s="71">
        <v>106.01</v>
      </c>
      <c r="U13" s="71">
        <v>102.92</v>
      </c>
      <c r="V13" s="71">
        <v>96.94</v>
      </c>
      <c r="W13" s="71">
        <v>93.92</v>
      </c>
      <c r="X13" s="71">
        <v>95.91</v>
      </c>
    </row>
    <row r="14" spans="1:24" ht="15.75" thickBot="1">
      <c r="A14" s="74" t="s">
        <v>702</v>
      </c>
      <c r="B14" s="75" t="s">
        <v>320</v>
      </c>
      <c r="C14" s="42">
        <v>87.24</v>
      </c>
      <c r="D14" s="42">
        <v>87.8</v>
      </c>
      <c r="E14" s="76">
        <v>88.3</v>
      </c>
      <c r="F14" s="76">
        <v>87.81</v>
      </c>
      <c r="G14" s="76">
        <v>87.76</v>
      </c>
      <c r="H14" s="76">
        <v>88.04</v>
      </c>
      <c r="I14" s="76">
        <v>87.9</v>
      </c>
      <c r="J14" s="76">
        <v>88.26</v>
      </c>
      <c r="K14" s="76">
        <v>87.94</v>
      </c>
      <c r="L14" s="76">
        <v>87.79</v>
      </c>
      <c r="M14" s="76">
        <v>87.63</v>
      </c>
      <c r="N14" s="76">
        <v>87.51</v>
      </c>
      <c r="O14" s="76">
        <v>87.75</v>
      </c>
      <c r="P14" s="76">
        <v>88.57</v>
      </c>
      <c r="Q14" s="76">
        <v>89.64</v>
      </c>
      <c r="R14" s="76">
        <v>89.03</v>
      </c>
      <c r="S14" s="76">
        <v>89.76</v>
      </c>
      <c r="T14" s="77">
        <v>89.4</v>
      </c>
      <c r="U14" s="77">
        <v>88.59</v>
      </c>
      <c r="V14" s="77">
        <v>88.76</v>
      </c>
      <c r="W14" s="77">
        <v>88.71</v>
      </c>
      <c r="X14" s="77">
        <v>87.98</v>
      </c>
    </row>
    <row r="15" spans="1:24" ht="13.5" thickBot="1">
      <c r="A15" s="7"/>
      <c r="B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</row>
    <row r="16" spans="1:24" ht="15.75" thickBot="1">
      <c r="A16" s="31"/>
      <c r="C16" s="382" t="s">
        <v>3076</v>
      </c>
      <c r="D16" s="382" t="s">
        <v>3077</v>
      </c>
      <c r="E16" s="382" t="s">
        <v>2597</v>
      </c>
      <c r="F16" s="382" t="s">
        <v>2598</v>
      </c>
      <c r="G16" s="382" t="s">
        <v>2599</v>
      </c>
      <c r="H16" s="382" t="s">
        <v>791</v>
      </c>
      <c r="I16" s="382" t="s">
        <v>29</v>
      </c>
      <c r="J16" s="404" t="s">
        <v>30</v>
      </c>
      <c r="K16" s="382" t="s">
        <v>31</v>
      </c>
      <c r="L16" s="382" t="s">
        <v>32</v>
      </c>
      <c r="M16" s="382" t="s">
        <v>33</v>
      </c>
      <c r="N16" s="382" t="s">
        <v>34</v>
      </c>
      <c r="O16" s="405" t="s">
        <v>40</v>
      </c>
      <c r="P16" s="405" t="s">
        <v>41</v>
      </c>
      <c r="Q16" s="420" t="s">
        <v>170</v>
      </c>
      <c r="R16" s="42" t="s">
        <v>2246</v>
      </c>
      <c r="S16" s="408" t="s">
        <v>121</v>
      </c>
      <c r="T16" s="42" t="s">
        <v>2351</v>
      </c>
      <c r="U16" s="42" t="s">
        <v>2412</v>
      </c>
      <c r="V16" s="54" t="s">
        <v>2363</v>
      </c>
      <c r="W16" s="421" t="s">
        <v>2410</v>
      </c>
      <c r="X16" s="420" t="s">
        <v>321</v>
      </c>
    </row>
    <row r="17" spans="1:25" ht="15">
      <c r="A17" s="2552" t="s">
        <v>3935</v>
      </c>
      <c r="B17" s="420" t="s">
        <v>520</v>
      </c>
      <c r="C17" s="42">
        <v>1236</v>
      </c>
      <c r="D17" s="42">
        <v>1291</v>
      </c>
      <c r="E17" s="42">
        <v>1281</v>
      </c>
      <c r="F17" s="42">
        <v>1274</v>
      </c>
      <c r="G17" s="42">
        <v>1280</v>
      </c>
      <c r="H17" s="42">
        <v>1123</v>
      </c>
      <c r="I17" s="42">
        <v>1197</v>
      </c>
      <c r="J17" s="42">
        <v>1227</v>
      </c>
      <c r="K17" s="42">
        <v>1885</v>
      </c>
      <c r="L17" s="42">
        <v>1421</v>
      </c>
      <c r="M17" s="42">
        <v>1299</v>
      </c>
      <c r="N17" s="42">
        <v>1446</v>
      </c>
      <c r="O17" s="42">
        <v>1422</v>
      </c>
      <c r="P17" s="42">
        <v>1384</v>
      </c>
      <c r="Q17" s="42">
        <v>1374</v>
      </c>
      <c r="R17" s="42">
        <v>1356</v>
      </c>
      <c r="S17" s="42">
        <v>1605</v>
      </c>
      <c r="T17" s="42">
        <v>1335</v>
      </c>
      <c r="U17" s="42">
        <v>1406</v>
      </c>
      <c r="V17" s="42">
        <v>1387</v>
      </c>
      <c r="W17" s="42">
        <v>1244</v>
      </c>
      <c r="X17" s="42">
        <v>1291</v>
      </c>
    </row>
    <row r="18" spans="1:25" ht="15">
      <c r="A18" s="2552" t="s">
        <v>3933</v>
      </c>
      <c r="B18" s="420" t="s">
        <v>520</v>
      </c>
      <c r="C18" s="42">
        <v>1521</v>
      </c>
      <c r="D18" s="42">
        <v>1528</v>
      </c>
      <c r="E18" s="42">
        <v>1449</v>
      </c>
      <c r="F18" s="42">
        <v>1419</v>
      </c>
      <c r="G18" s="42">
        <v>1316</v>
      </c>
      <c r="H18" s="42">
        <v>1343</v>
      </c>
      <c r="I18" s="42">
        <v>1232</v>
      </c>
      <c r="J18" s="42">
        <v>1399</v>
      </c>
      <c r="K18" s="42">
        <v>2102</v>
      </c>
      <c r="L18" s="42">
        <v>1603</v>
      </c>
      <c r="M18" s="42">
        <v>1605</v>
      </c>
      <c r="N18" s="42">
        <v>1651</v>
      </c>
      <c r="O18" s="42">
        <v>1561</v>
      </c>
      <c r="P18" s="42">
        <v>1534</v>
      </c>
      <c r="Q18" s="42">
        <v>1244</v>
      </c>
      <c r="R18" s="42">
        <v>1420</v>
      </c>
      <c r="S18" s="42">
        <v>1401</v>
      </c>
      <c r="T18" s="42">
        <v>1276</v>
      </c>
      <c r="U18" s="42">
        <v>1376</v>
      </c>
      <c r="V18" s="42">
        <v>1311</v>
      </c>
      <c r="W18" s="42">
        <v>1234</v>
      </c>
      <c r="X18" s="42">
        <v>1418</v>
      </c>
    </row>
    <row r="19" spans="1:25" ht="15">
      <c r="A19" s="2552" t="s">
        <v>3934</v>
      </c>
      <c r="B19" s="2557" t="s">
        <v>3873</v>
      </c>
      <c r="C19" s="42">
        <v>1.89</v>
      </c>
      <c r="D19" s="42">
        <v>2.12</v>
      </c>
      <c r="E19" s="42">
        <v>2.0299999999999998</v>
      </c>
      <c r="F19" s="42">
        <v>1.93</v>
      </c>
      <c r="G19" s="42">
        <v>1.71</v>
      </c>
      <c r="H19" s="42">
        <v>1.29</v>
      </c>
      <c r="I19" s="42">
        <v>1.1200000000000001</v>
      </c>
      <c r="J19" s="42">
        <v>1.3</v>
      </c>
      <c r="K19" s="42">
        <v>2.68</v>
      </c>
      <c r="L19" s="42">
        <v>2</v>
      </c>
      <c r="M19" s="42">
        <v>2.1800000000000002</v>
      </c>
      <c r="N19" s="42">
        <v>1.97</v>
      </c>
      <c r="O19" s="42">
        <v>1.86</v>
      </c>
      <c r="P19" s="42">
        <v>1.59</v>
      </c>
      <c r="Q19" s="42">
        <v>1.45</v>
      </c>
      <c r="R19" s="42">
        <v>1.57</v>
      </c>
      <c r="S19" s="42">
        <v>2.04</v>
      </c>
      <c r="T19" s="42">
        <v>1.7</v>
      </c>
      <c r="U19" s="42">
        <v>1.69</v>
      </c>
      <c r="V19" s="42">
        <v>1.51</v>
      </c>
      <c r="W19" s="42">
        <v>1.67</v>
      </c>
      <c r="X19" s="42">
        <v>1.75</v>
      </c>
    </row>
    <row r="20" spans="1:25" ht="18.75" thickBo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 spans="1:25" ht="15.75" thickBot="1">
      <c r="A21" s="380" t="s">
        <v>622</v>
      </c>
      <c r="B21" s="381" t="s">
        <v>519</v>
      </c>
      <c r="C21" s="382" t="s">
        <v>3076</v>
      </c>
      <c r="D21" s="382" t="s">
        <v>3077</v>
      </c>
      <c r="E21" s="382" t="s">
        <v>2597</v>
      </c>
      <c r="F21" s="382" t="s">
        <v>2598</v>
      </c>
      <c r="G21" s="382" t="s">
        <v>2599</v>
      </c>
      <c r="H21" s="382" t="s">
        <v>791</v>
      </c>
      <c r="I21" s="382" t="s">
        <v>29</v>
      </c>
      <c r="J21" s="404" t="s">
        <v>30</v>
      </c>
      <c r="K21" s="382" t="s">
        <v>31</v>
      </c>
      <c r="L21" s="382" t="s">
        <v>32</v>
      </c>
      <c r="M21" s="382" t="s">
        <v>33</v>
      </c>
      <c r="N21" s="382" t="s">
        <v>34</v>
      </c>
      <c r="O21" s="405" t="s">
        <v>40</v>
      </c>
      <c r="P21" s="405" t="s">
        <v>41</v>
      </c>
      <c r="Q21" s="420" t="s">
        <v>170</v>
      </c>
      <c r="R21" s="42" t="s">
        <v>2246</v>
      </c>
      <c r="S21" s="408" t="s">
        <v>121</v>
      </c>
      <c r="T21" s="42" t="s">
        <v>2351</v>
      </c>
      <c r="U21" s="42" t="s">
        <v>2412</v>
      </c>
      <c r="V21" s="54" t="s">
        <v>2363</v>
      </c>
      <c r="W21" s="421" t="s">
        <v>2410</v>
      </c>
      <c r="X21" s="420" t="s">
        <v>321</v>
      </c>
    </row>
    <row r="22" spans="1:25" ht="15">
      <c r="A22" s="17"/>
      <c r="B22" s="322"/>
      <c r="C22" s="383" t="s">
        <v>312</v>
      </c>
      <c r="D22" s="383" t="s">
        <v>312</v>
      </c>
      <c r="E22" s="383" t="s">
        <v>312</v>
      </c>
      <c r="F22" s="383" t="s">
        <v>312</v>
      </c>
      <c r="G22" s="383" t="s">
        <v>312</v>
      </c>
      <c r="H22" s="383" t="s">
        <v>312</v>
      </c>
      <c r="I22" s="383" t="s">
        <v>312</v>
      </c>
      <c r="J22" s="406" t="s">
        <v>312</v>
      </c>
      <c r="K22" s="383" t="s">
        <v>312</v>
      </c>
      <c r="L22" s="383" t="s">
        <v>312</v>
      </c>
      <c r="M22" s="383" t="s">
        <v>312</v>
      </c>
      <c r="N22" s="383" t="s">
        <v>312</v>
      </c>
      <c r="O22" s="383" t="s">
        <v>312</v>
      </c>
      <c r="P22" s="383" t="s">
        <v>312</v>
      </c>
      <c r="Q22" s="384" t="s">
        <v>312</v>
      </c>
      <c r="R22" s="42" t="s">
        <v>312</v>
      </c>
      <c r="S22" s="408" t="s">
        <v>312</v>
      </c>
      <c r="T22" s="42" t="s">
        <v>312</v>
      </c>
      <c r="U22" s="42" t="s">
        <v>312</v>
      </c>
      <c r="V22" s="54" t="s">
        <v>312</v>
      </c>
      <c r="W22" s="54" t="s">
        <v>312</v>
      </c>
      <c r="X22" s="54" t="s">
        <v>312</v>
      </c>
    </row>
    <row r="23" spans="1:25" ht="15">
      <c r="A23" s="384" t="s">
        <v>524</v>
      </c>
      <c r="B23" s="322"/>
      <c r="C23" s="42">
        <v>158024</v>
      </c>
      <c r="D23" s="42">
        <v>148110</v>
      </c>
      <c r="E23" s="42">
        <v>158237</v>
      </c>
      <c r="F23" s="42">
        <v>167974</v>
      </c>
      <c r="G23" s="42">
        <v>178460</v>
      </c>
      <c r="H23" s="42">
        <v>215840</v>
      </c>
      <c r="I23" s="42">
        <v>208615</v>
      </c>
      <c r="J23" s="407">
        <v>210355</v>
      </c>
      <c r="K23" s="42">
        <v>145486</v>
      </c>
      <c r="L23" s="42">
        <v>126817</v>
      </c>
      <c r="M23" s="42">
        <v>108474</v>
      </c>
      <c r="N23" s="42">
        <v>94143</v>
      </c>
      <c r="O23" s="408">
        <v>91148</v>
      </c>
      <c r="P23" s="408">
        <v>98789</v>
      </c>
      <c r="Q23" s="408">
        <v>104762</v>
      </c>
      <c r="R23" s="42">
        <v>107384</v>
      </c>
      <c r="S23" s="42">
        <v>60189</v>
      </c>
      <c r="T23" s="51">
        <v>95378</v>
      </c>
      <c r="U23" s="42">
        <v>99517</v>
      </c>
      <c r="V23" s="54">
        <v>112441</v>
      </c>
      <c r="W23" s="54">
        <v>117736</v>
      </c>
      <c r="X23" s="54">
        <v>130790</v>
      </c>
      <c r="Y23" s="384" t="s">
        <v>524</v>
      </c>
    </row>
    <row r="24" spans="1:25" ht="15">
      <c r="A24" s="385" t="s">
        <v>633</v>
      </c>
      <c r="B24" s="41" t="s">
        <v>634</v>
      </c>
      <c r="C24" s="42">
        <f>+C25+C26</f>
        <v>149692</v>
      </c>
      <c r="D24" s="42">
        <f>+D25+D26</f>
        <v>140594</v>
      </c>
      <c r="E24" s="42">
        <f>+E25+E26</f>
        <v>149873</v>
      </c>
      <c r="F24" s="42">
        <f t="shared" ref="F24:N24" si="0">+F25+F26</f>
        <v>156388</v>
      </c>
      <c r="G24" s="42">
        <f t="shared" si="0"/>
        <v>167765</v>
      </c>
      <c r="H24" s="42">
        <f t="shared" si="0"/>
        <v>204892</v>
      </c>
      <c r="I24" s="42">
        <f t="shared" si="0"/>
        <v>200450</v>
      </c>
      <c r="J24" s="407">
        <f t="shared" si="0"/>
        <v>200395</v>
      </c>
      <c r="K24" s="42">
        <f t="shared" si="0"/>
        <v>135303</v>
      </c>
      <c r="L24" s="42">
        <f t="shared" si="0"/>
        <v>121485</v>
      </c>
      <c r="M24" s="45">
        <f t="shared" si="0"/>
        <v>104029.74800000001</v>
      </c>
      <c r="N24" s="45">
        <f t="shared" si="0"/>
        <v>90720</v>
      </c>
      <c r="O24" s="409">
        <v>88107</v>
      </c>
      <c r="P24" s="409">
        <v>95281</v>
      </c>
      <c r="Q24" s="408">
        <v>101156</v>
      </c>
      <c r="R24" s="45">
        <v>103648</v>
      </c>
      <c r="S24" s="45">
        <v>58152</v>
      </c>
      <c r="T24" s="46">
        <v>92183</v>
      </c>
      <c r="U24" s="45">
        <v>96037</v>
      </c>
      <c r="V24" s="47">
        <v>108356</v>
      </c>
      <c r="W24" s="54">
        <v>113208</v>
      </c>
      <c r="X24" s="54">
        <v>125918</v>
      </c>
      <c r="Y24" s="385" t="s">
        <v>633</v>
      </c>
    </row>
    <row r="25" spans="1:25" ht="15">
      <c r="A25" s="385" t="s">
        <v>156</v>
      </c>
      <c r="B25" s="41" t="s">
        <v>634</v>
      </c>
      <c r="C25" s="42">
        <v>105236</v>
      </c>
      <c r="D25" s="42">
        <v>94876</v>
      </c>
      <c r="E25" s="42">
        <v>109511</v>
      </c>
      <c r="F25" s="42">
        <v>116785</v>
      </c>
      <c r="G25" s="42">
        <v>93446</v>
      </c>
      <c r="H25" s="42">
        <v>111582</v>
      </c>
      <c r="I25" s="42">
        <v>88162</v>
      </c>
      <c r="J25" s="407">
        <v>107812</v>
      </c>
      <c r="K25" s="42">
        <v>102922</v>
      </c>
      <c r="L25" s="42">
        <v>110320</v>
      </c>
      <c r="M25" s="48">
        <v>100464.5</v>
      </c>
      <c r="N25" s="48">
        <v>86963</v>
      </c>
      <c r="O25" s="410">
        <v>81774</v>
      </c>
      <c r="P25" s="408">
        <v>80905</v>
      </c>
      <c r="Q25" s="410">
        <v>93629</v>
      </c>
      <c r="R25" s="48">
        <v>101789</v>
      </c>
      <c r="S25" s="410">
        <v>47527</v>
      </c>
      <c r="T25" s="49">
        <v>84797</v>
      </c>
      <c r="U25" s="48">
        <v>94643</v>
      </c>
      <c r="V25" s="50">
        <v>105352</v>
      </c>
      <c r="W25" s="54">
        <f>113208-4440</f>
        <v>108768</v>
      </c>
      <c r="X25" s="54">
        <v>119334</v>
      </c>
      <c r="Y25" s="385" t="s">
        <v>156</v>
      </c>
    </row>
    <row r="26" spans="1:25" ht="15">
      <c r="A26" s="385" t="s">
        <v>2059</v>
      </c>
      <c r="B26" s="41" t="s">
        <v>634</v>
      </c>
      <c r="C26" s="42">
        <v>44456</v>
      </c>
      <c r="D26" s="42">
        <v>45718</v>
      </c>
      <c r="E26" s="42">
        <v>40362</v>
      </c>
      <c r="F26" s="42">
        <v>39603</v>
      </c>
      <c r="G26" s="42">
        <v>74319</v>
      </c>
      <c r="H26" s="42">
        <v>93310</v>
      </c>
      <c r="I26" s="42">
        <v>112288</v>
      </c>
      <c r="J26" s="407">
        <v>92583</v>
      </c>
      <c r="K26" s="42">
        <v>32381</v>
      </c>
      <c r="L26" s="42">
        <v>11165</v>
      </c>
      <c r="M26" s="45">
        <v>3565.248</v>
      </c>
      <c r="N26" s="48">
        <v>3757</v>
      </c>
      <c r="O26" s="410">
        <v>6333</v>
      </c>
      <c r="P26" s="408">
        <v>14376</v>
      </c>
      <c r="Q26" s="408">
        <v>7529</v>
      </c>
      <c r="R26" s="51">
        <v>1859</v>
      </c>
      <c r="S26" s="422">
        <v>9058</v>
      </c>
      <c r="T26" s="51">
        <v>7386</v>
      </c>
      <c r="U26" s="42">
        <v>1394</v>
      </c>
      <c r="V26" s="54">
        <v>3004</v>
      </c>
      <c r="W26" s="54">
        <v>4440</v>
      </c>
      <c r="X26" s="54">
        <f>+X24-X25</f>
        <v>6584</v>
      </c>
      <c r="Y26" s="385" t="s">
        <v>2059</v>
      </c>
    </row>
    <row r="27" spans="1:25" ht="15">
      <c r="A27" s="385" t="s">
        <v>738</v>
      </c>
      <c r="B27" s="41" t="s">
        <v>634</v>
      </c>
      <c r="C27" s="42">
        <v>3039</v>
      </c>
      <c r="D27" s="42">
        <v>2814</v>
      </c>
      <c r="E27" s="42">
        <v>3046</v>
      </c>
      <c r="F27" s="42">
        <v>3376</v>
      </c>
      <c r="G27" s="42">
        <v>3507</v>
      </c>
      <c r="H27" s="42">
        <v>4170</v>
      </c>
      <c r="I27" s="42">
        <v>4132</v>
      </c>
      <c r="J27" s="407">
        <v>4057</v>
      </c>
      <c r="K27" s="42">
        <v>2822</v>
      </c>
      <c r="L27" s="42">
        <v>2371</v>
      </c>
      <c r="M27" s="45">
        <v>2070</v>
      </c>
      <c r="N27" s="48">
        <v>1755</v>
      </c>
      <c r="O27" s="410">
        <v>1716</v>
      </c>
      <c r="P27" s="408">
        <v>1886</v>
      </c>
      <c r="Q27" s="408">
        <v>1993</v>
      </c>
      <c r="R27" s="51">
        <v>2012</v>
      </c>
      <c r="S27" s="422">
        <v>1155</v>
      </c>
      <c r="T27" s="51">
        <v>1831</v>
      </c>
      <c r="U27" s="42">
        <v>1913</v>
      </c>
      <c r="V27" s="54">
        <v>2191</v>
      </c>
      <c r="W27" s="54">
        <v>2288</v>
      </c>
      <c r="X27" s="54">
        <v>2526</v>
      </c>
      <c r="Y27" s="385" t="s">
        <v>738</v>
      </c>
    </row>
    <row r="28" spans="1:25" ht="15">
      <c r="A28" s="385" t="s">
        <v>3078</v>
      </c>
      <c r="B28" s="42" t="s">
        <v>3079</v>
      </c>
      <c r="C28" s="42"/>
      <c r="D28" s="42"/>
      <c r="E28" s="42"/>
      <c r="F28" s="42"/>
      <c r="G28" s="42"/>
      <c r="H28" s="42"/>
      <c r="I28" s="42"/>
      <c r="J28" s="407"/>
      <c r="K28" s="42">
        <v>283</v>
      </c>
      <c r="L28" s="42">
        <v>94</v>
      </c>
      <c r="M28" s="45">
        <v>402</v>
      </c>
      <c r="N28" s="48">
        <v>94</v>
      </c>
      <c r="O28" s="410">
        <v>245</v>
      </c>
      <c r="P28" s="408">
        <v>287</v>
      </c>
      <c r="Q28" s="408">
        <v>476</v>
      </c>
      <c r="R28" s="51">
        <f>371-22</f>
        <v>349</v>
      </c>
      <c r="S28" s="422">
        <v>364</v>
      </c>
      <c r="T28" s="51">
        <v>405</v>
      </c>
      <c r="U28" s="42">
        <v>496</v>
      </c>
      <c r="V28" s="54">
        <v>696</v>
      </c>
      <c r="W28" s="54">
        <v>846</v>
      </c>
      <c r="X28" s="54">
        <v>507</v>
      </c>
      <c r="Y28" s="385" t="s">
        <v>3078</v>
      </c>
    </row>
    <row r="29" spans="1:25" ht="15">
      <c r="A29" s="385" t="s">
        <v>3080</v>
      </c>
      <c r="B29" s="42" t="s">
        <v>3079</v>
      </c>
      <c r="C29" s="42"/>
      <c r="D29" s="42"/>
      <c r="E29" s="42"/>
      <c r="F29" s="42">
        <f>464+73</f>
        <v>537</v>
      </c>
      <c r="G29" s="42">
        <f>123+1059</f>
        <v>1182</v>
      </c>
      <c r="H29" s="42">
        <v>1543</v>
      </c>
      <c r="I29" s="42">
        <f>93+1252+75+43</f>
        <v>1463</v>
      </c>
      <c r="J29" s="407">
        <v>656</v>
      </c>
      <c r="K29" s="42">
        <f>72+204+143+5</f>
        <v>424</v>
      </c>
      <c r="L29" s="42">
        <f>10+20+189</f>
        <v>219</v>
      </c>
      <c r="M29" s="45">
        <v>424</v>
      </c>
      <c r="N29" s="48">
        <v>120</v>
      </c>
      <c r="O29" s="410">
        <v>264</v>
      </c>
      <c r="P29" s="408">
        <v>312</v>
      </c>
      <c r="Q29" s="408">
        <v>491</v>
      </c>
      <c r="R29" s="51">
        <v>371</v>
      </c>
      <c r="S29" s="422">
        <v>376</v>
      </c>
      <c r="T29" s="51">
        <v>420</v>
      </c>
      <c r="U29" s="42">
        <v>496</v>
      </c>
      <c r="V29" s="54">
        <v>706</v>
      </c>
      <c r="W29" s="54">
        <v>859</v>
      </c>
      <c r="X29" s="54">
        <v>521</v>
      </c>
      <c r="Y29" s="385" t="s">
        <v>3080</v>
      </c>
    </row>
    <row r="30" spans="1:25" ht="15">
      <c r="A30" s="385" t="s">
        <v>3081</v>
      </c>
      <c r="B30" s="42" t="s">
        <v>3079</v>
      </c>
      <c r="C30" s="42">
        <v>47</v>
      </c>
      <c r="D30" s="42">
        <v>86</v>
      </c>
      <c r="E30" s="42">
        <v>858</v>
      </c>
      <c r="F30" s="42">
        <v>600</v>
      </c>
      <c r="G30" s="42">
        <v>1186</v>
      </c>
      <c r="H30" s="42">
        <v>1543</v>
      </c>
      <c r="I30" s="42">
        <v>1402</v>
      </c>
      <c r="J30" s="407">
        <v>655</v>
      </c>
      <c r="K30" s="42">
        <v>11</v>
      </c>
      <c r="L30" s="42">
        <v>18</v>
      </c>
      <c r="M30" s="45">
        <v>10</v>
      </c>
      <c r="N30" s="48">
        <v>22</v>
      </c>
      <c r="O30" s="410">
        <v>6</v>
      </c>
      <c r="P30" s="408">
        <v>8</v>
      </c>
      <c r="Q30" s="408">
        <v>15</v>
      </c>
      <c r="R30" s="51">
        <v>22</v>
      </c>
      <c r="S30" s="422">
        <v>5</v>
      </c>
      <c r="T30" s="51">
        <v>15</v>
      </c>
      <c r="U30" s="42">
        <v>16</v>
      </c>
      <c r="V30" s="54">
        <v>10</v>
      </c>
      <c r="W30" s="54">
        <v>13</v>
      </c>
      <c r="X30" s="54">
        <v>14</v>
      </c>
      <c r="Y30" s="385" t="s">
        <v>3081</v>
      </c>
    </row>
    <row r="31" spans="1:25" ht="15">
      <c r="A31" s="385" t="s">
        <v>3082</v>
      </c>
      <c r="B31" s="42" t="s">
        <v>3079</v>
      </c>
      <c r="C31" s="42">
        <f>+C27-C30</f>
        <v>2992</v>
      </c>
      <c r="D31" s="42">
        <f>+D27-D30</f>
        <v>2728</v>
      </c>
      <c r="E31" s="42">
        <f>+E27-E30</f>
        <v>2188</v>
      </c>
      <c r="F31" s="42">
        <f t="shared" ref="F31:N31" si="1">+F27-F30</f>
        <v>2776</v>
      </c>
      <c r="G31" s="42">
        <f t="shared" si="1"/>
        <v>2321</v>
      </c>
      <c r="H31" s="42">
        <f t="shared" si="1"/>
        <v>2627</v>
      </c>
      <c r="I31" s="42">
        <f t="shared" si="1"/>
        <v>2730</v>
      </c>
      <c r="J31" s="407">
        <f t="shared" si="1"/>
        <v>3402</v>
      </c>
      <c r="K31" s="42">
        <f t="shared" si="1"/>
        <v>2811</v>
      </c>
      <c r="L31" s="42">
        <f t="shared" si="1"/>
        <v>2353</v>
      </c>
      <c r="M31" s="42">
        <f t="shared" si="1"/>
        <v>2060</v>
      </c>
      <c r="N31" s="42">
        <f t="shared" si="1"/>
        <v>1733</v>
      </c>
      <c r="O31" s="408">
        <v>1710</v>
      </c>
      <c r="P31" s="408">
        <f>+P27-P30</f>
        <v>1878</v>
      </c>
      <c r="Q31" s="51">
        <f>+Q27-Q30</f>
        <v>1978</v>
      </c>
      <c r="R31" s="51">
        <f>+R27-R30</f>
        <v>1990</v>
      </c>
      <c r="S31" s="422">
        <f>+S27-S30</f>
        <v>1150</v>
      </c>
      <c r="T31" s="51">
        <f>1831-15</f>
        <v>1816</v>
      </c>
      <c r="U31" s="51">
        <f>1913-16</f>
        <v>1897</v>
      </c>
      <c r="V31" s="54">
        <f>2191-10</f>
        <v>2181</v>
      </c>
      <c r="W31" s="54">
        <f>+W27-W30</f>
        <v>2275</v>
      </c>
      <c r="X31" s="54">
        <f>+X27-X30</f>
        <v>2512</v>
      </c>
      <c r="Y31" s="385" t="s">
        <v>3082</v>
      </c>
    </row>
    <row r="32" spans="1:25" ht="15">
      <c r="A32" s="385" t="s">
        <v>3083</v>
      </c>
      <c r="B32" s="42" t="s">
        <v>634</v>
      </c>
      <c r="C32" s="42">
        <v>135297</v>
      </c>
      <c r="D32" s="42">
        <v>122616</v>
      </c>
      <c r="E32" s="42">
        <v>126129</v>
      </c>
      <c r="F32" s="42">
        <v>147248</v>
      </c>
      <c r="G32" s="42">
        <v>123167</v>
      </c>
      <c r="H32" s="42">
        <v>131816</v>
      </c>
      <c r="I32" s="42">
        <v>120580</v>
      </c>
      <c r="J32" s="407">
        <v>132070</v>
      </c>
      <c r="K32" s="42">
        <v>123634</v>
      </c>
      <c r="L32" s="42">
        <v>136147</v>
      </c>
      <c r="M32" s="42">
        <v>120402</v>
      </c>
      <c r="N32" s="42">
        <v>103510</v>
      </c>
      <c r="O32" s="408">
        <v>94919</v>
      </c>
      <c r="P32" s="408">
        <v>93550</v>
      </c>
      <c r="Q32" s="408">
        <v>125950</v>
      </c>
      <c r="R32" s="42">
        <v>120486</v>
      </c>
      <c r="S32" s="408">
        <v>70417</v>
      </c>
      <c r="T32" s="51">
        <v>112826</v>
      </c>
      <c r="U32" s="42">
        <v>111499</v>
      </c>
      <c r="V32" s="54">
        <v>1037755</v>
      </c>
      <c r="W32" s="54">
        <v>140596</v>
      </c>
      <c r="X32" s="54">
        <v>143752</v>
      </c>
      <c r="Y32" s="385" t="s">
        <v>3083</v>
      </c>
    </row>
    <row r="33" spans="1:25" ht="15">
      <c r="A33" s="385" t="s">
        <v>3084</v>
      </c>
      <c r="B33" s="42" t="s">
        <v>634</v>
      </c>
      <c r="C33" s="42">
        <v>8556</v>
      </c>
      <c r="D33" s="42">
        <v>10524</v>
      </c>
      <c r="E33" s="42">
        <v>7480</v>
      </c>
      <c r="F33" s="42">
        <v>8968</v>
      </c>
      <c r="G33" s="42">
        <v>7301</v>
      </c>
      <c r="H33" s="42">
        <v>4310</v>
      </c>
      <c r="I33" s="42">
        <v>4580</v>
      </c>
      <c r="J33" s="407">
        <v>5882</v>
      </c>
      <c r="K33" s="42">
        <v>5513</v>
      </c>
      <c r="L33" s="42">
        <v>6852</v>
      </c>
      <c r="M33" s="42">
        <v>5031</v>
      </c>
      <c r="N33" s="42">
        <v>5153</v>
      </c>
      <c r="O33" s="408">
        <v>4264</v>
      </c>
      <c r="P33" s="408">
        <v>5724</v>
      </c>
      <c r="Q33" s="408">
        <v>5770</v>
      </c>
      <c r="R33" s="42">
        <v>5972</v>
      </c>
      <c r="S33" s="408">
        <v>7946</v>
      </c>
      <c r="T33" s="51">
        <v>6632</v>
      </c>
      <c r="U33" s="42">
        <v>6714</v>
      </c>
      <c r="V33" s="54">
        <v>5145</v>
      </c>
      <c r="W33" s="54">
        <v>4257</v>
      </c>
      <c r="X33" s="54">
        <v>4144</v>
      </c>
      <c r="Y33" s="385" t="s">
        <v>3084</v>
      </c>
    </row>
    <row r="34" spans="1:25" ht="15">
      <c r="A34" s="385" t="s">
        <v>2060</v>
      </c>
      <c r="B34" s="42" t="s">
        <v>634</v>
      </c>
      <c r="C34" s="42">
        <v>106669</v>
      </c>
      <c r="D34" s="42">
        <v>103331</v>
      </c>
      <c r="E34" s="42">
        <v>109814</v>
      </c>
      <c r="F34" s="42">
        <v>111450</v>
      </c>
      <c r="G34" s="42">
        <v>100798</v>
      </c>
      <c r="H34" s="42">
        <v>86156</v>
      </c>
      <c r="I34" s="42">
        <v>91338</v>
      </c>
      <c r="J34" s="407">
        <v>101451</v>
      </c>
      <c r="K34" s="42">
        <v>95868</v>
      </c>
      <c r="L34" s="42">
        <v>102680</v>
      </c>
      <c r="M34" s="48">
        <v>92382.688999999998</v>
      </c>
      <c r="N34" s="48">
        <f>82480-3233</f>
        <v>79247</v>
      </c>
      <c r="O34" s="410">
        <v>78396</v>
      </c>
      <c r="P34" s="408">
        <v>77516</v>
      </c>
      <c r="Q34" s="410">
        <v>108901</v>
      </c>
      <c r="R34" s="48">
        <f>102586-1237</f>
        <v>101349</v>
      </c>
      <c r="S34" s="410">
        <v>58971</v>
      </c>
      <c r="T34" s="55">
        <f>108897-9381</f>
        <v>99516</v>
      </c>
      <c r="U34" s="41">
        <f>101809-958</f>
        <v>100851</v>
      </c>
      <c r="V34" s="54">
        <f>119015-2738</f>
        <v>116277</v>
      </c>
      <c r="W34" s="54">
        <v>114416</v>
      </c>
      <c r="X34" s="54">
        <f>119127-6050</f>
        <v>113077</v>
      </c>
      <c r="Y34" s="385" t="s">
        <v>2060</v>
      </c>
    </row>
    <row r="35" spans="1:25" ht="15">
      <c r="A35" s="385" t="s">
        <v>2061</v>
      </c>
      <c r="B35" s="42" t="s">
        <v>634</v>
      </c>
      <c r="C35" s="42">
        <f>128452-106669</f>
        <v>21783</v>
      </c>
      <c r="D35" s="42">
        <f>125150-103331</f>
        <v>21819</v>
      </c>
      <c r="E35" s="42">
        <f>141261-109814</f>
        <v>31447</v>
      </c>
      <c r="F35" s="42">
        <f>150080-111450</f>
        <v>38630</v>
      </c>
      <c r="G35" s="42">
        <f>173094-100798</f>
        <v>72296</v>
      </c>
      <c r="H35" s="42">
        <v>93889</v>
      </c>
      <c r="I35" s="42">
        <v>111575</v>
      </c>
      <c r="J35" s="407">
        <v>83033</v>
      </c>
      <c r="K35" s="42">
        <v>30526</v>
      </c>
      <c r="L35" s="42">
        <v>11666</v>
      </c>
      <c r="M35" s="42">
        <v>3581.6</v>
      </c>
      <c r="N35" s="48">
        <v>3233</v>
      </c>
      <c r="O35" s="410">
        <v>4690</v>
      </c>
      <c r="P35" s="408">
        <f>89108-77516</f>
        <v>11592</v>
      </c>
      <c r="Q35" s="410">
        <f>115695-108912</f>
        <v>6783</v>
      </c>
      <c r="R35" s="48">
        <v>1237</v>
      </c>
      <c r="S35" s="410">
        <v>10003</v>
      </c>
      <c r="T35" s="51">
        <v>9381</v>
      </c>
      <c r="U35" s="42">
        <v>958</v>
      </c>
      <c r="V35" s="54">
        <v>2738</v>
      </c>
      <c r="W35" s="54">
        <f>+W36-W34</f>
        <v>4239</v>
      </c>
      <c r="X35" s="54">
        <v>6050</v>
      </c>
      <c r="Y35" s="385" t="s">
        <v>2061</v>
      </c>
    </row>
    <row r="36" spans="1:25" ht="15">
      <c r="A36" s="385" t="s">
        <v>521</v>
      </c>
      <c r="B36" s="42" t="s">
        <v>634</v>
      </c>
      <c r="C36" s="42">
        <f>+C34+C35</f>
        <v>128452</v>
      </c>
      <c r="D36" s="42">
        <f>+D34+D35</f>
        <v>125150</v>
      </c>
      <c r="E36" s="42">
        <f>+E34+E35</f>
        <v>141261</v>
      </c>
      <c r="F36" s="42">
        <f t="shared" ref="F36:L36" si="2">+F34+F35</f>
        <v>150080</v>
      </c>
      <c r="G36" s="42">
        <f t="shared" si="2"/>
        <v>173094</v>
      </c>
      <c r="H36" s="42">
        <f t="shared" si="2"/>
        <v>180045</v>
      </c>
      <c r="I36" s="42">
        <f t="shared" si="2"/>
        <v>202913</v>
      </c>
      <c r="J36" s="407">
        <f t="shared" si="2"/>
        <v>184484</v>
      </c>
      <c r="K36" s="42">
        <f t="shared" si="2"/>
        <v>126394</v>
      </c>
      <c r="L36" s="42">
        <f t="shared" si="2"/>
        <v>114346</v>
      </c>
      <c r="M36" s="48">
        <f>+M35+M34</f>
        <v>95964.289000000004</v>
      </c>
      <c r="N36" s="48">
        <f>+N34+N35</f>
        <v>82480</v>
      </c>
      <c r="O36" s="48">
        <v>83086</v>
      </c>
      <c r="P36" s="410">
        <f>+P34+P35</f>
        <v>89108</v>
      </c>
      <c r="Q36" s="410">
        <f>+Q34+Q35</f>
        <v>115684</v>
      </c>
      <c r="R36" s="49">
        <f>+R35+R34</f>
        <v>102586</v>
      </c>
      <c r="S36" s="423">
        <f>+S35+S34</f>
        <v>68974</v>
      </c>
      <c r="T36" s="55">
        <f>+T35+T34</f>
        <v>108897</v>
      </c>
      <c r="U36" s="42">
        <v>101809</v>
      </c>
      <c r="V36" s="54">
        <v>119015</v>
      </c>
      <c r="W36" s="54">
        <v>118655</v>
      </c>
      <c r="X36" s="54">
        <v>119127</v>
      </c>
      <c r="Y36" s="385" t="s">
        <v>521</v>
      </c>
    </row>
    <row r="37" spans="1:25" ht="15">
      <c r="A37" s="385" t="s">
        <v>142</v>
      </c>
      <c r="B37" s="42" t="s">
        <v>634</v>
      </c>
      <c r="C37" s="42">
        <v>125445</v>
      </c>
      <c r="D37" s="42">
        <v>100742</v>
      </c>
      <c r="E37" s="42">
        <v>139740</v>
      </c>
      <c r="F37" s="42">
        <v>152640</v>
      </c>
      <c r="G37" s="42">
        <v>172911</v>
      </c>
      <c r="H37" s="42">
        <v>180062</v>
      </c>
      <c r="I37" s="42">
        <v>200533</v>
      </c>
      <c r="J37" s="407">
        <v>188046</v>
      </c>
      <c r="K37" s="42">
        <v>118679</v>
      </c>
      <c r="L37" s="42">
        <v>111192</v>
      </c>
      <c r="M37" s="42">
        <v>98687</v>
      </c>
      <c r="N37" s="42">
        <v>77439</v>
      </c>
      <c r="O37" s="408">
        <v>80416</v>
      </c>
      <c r="P37" s="408">
        <v>95919</v>
      </c>
      <c r="Q37" s="408">
        <v>116118</v>
      </c>
      <c r="R37" s="42">
        <v>97975</v>
      </c>
      <c r="S37" s="408">
        <v>74336</v>
      </c>
      <c r="T37" s="51">
        <v>108595</v>
      </c>
      <c r="U37" s="42">
        <v>102847</v>
      </c>
      <c r="V37" s="54">
        <v>118427</v>
      </c>
      <c r="W37" s="54">
        <v>121894</v>
      </c>
      <c r="X37" s="54">
        <v>112369</v>
      </c>
      <c r="Y37" s="385" t="s">
        <v>142</v>
      </c>
    </row>
    <row r="38" spans="1:25" ht="15">
      <c r="A38" s="385" t="s">
        <v>3085</v>
      </c>
      <c r="B38" s="42" t="s">
        <v>634</v>
      </c>
      <c r="C38" s="42">
        <v>17618</v>
      </c>
      <c r="D38" s="42">
        <v>21487</v>
      </c>
      <c r="E38" s="42">
        <v>22696</v>
      </c>
      <c r="F38" s="42">
        <v>48895</v>
      </c>
      <c r="G38" s="42">
        <v>42335</v>
      </c>
      <c r="H38" s="42">
        <v>30154</v>
      </c>
      <c r="I38" s="42">
        <v>38781</v>
      </c>
      <c r="J38" s="407">
        <v>41653</v>
      </c>
      <c r="K38" s="42">
        <v>35787</v>
      </c>
      <c r="L38" s="42">
        <v>28969</v>
      </c>
      <c r="M38" s="42">
        <v>25011</v>
      </c>
      <c r="N38" s="42">
        <v>22442</v>
      </c>
      <c r="O38" s="408">
        <v>16552</v>
      </c>
      <c r="P38" s="408">
        <v>10685</v>
      </c>
      <c r="Q38" s="408">
        <v>13646</v>
      </c>
      <c r="R38" s="42">
        <v>9645</v>
      </c>
      <c r="S38" s="408">
        <v>9696</v>
      </c>
      <c r="T38" s="51">
        <v>10936</v>
      </c>
      <c r="U38" s="42">
        <v>12589</v>
      </c>
      <c r="V38" s="54">
        <v>14464</v>
      </c>
      <c r="W38" s="54">
        <v>8078</v>
      </c>
      <c r="X38" s="54">
        <f>112369-5532</f>
        <v>106837</v>
      </c>
      <c r="Y38" s="385" t="s">
        <v>3085</v>
      </c>
    </row>
    <row r="39" spans="1:25" ht="15.75" thickBot="1">
      <c r="A39" s="386" t="s">
        <v>2341</v>
      </c>
      <c r="B39" s="60" t="s">
        <v>634</v>
      </c>
      <c r="C39" s="60"/>
      <c r="D39" s="60"/>
      <c r="E39" s="60"/>
      <c r="F39" s="60"/>
      <c r="G39" s="60"/>
      <c r="H39" s="60"/>
      <c r="I39" s="60"/>
      <c r="J39" s="60"/>
      <c r="K39" s="60">
        <v>12710</v>
      </c>
      <c r="L39" s="60">
        <v>15105</v>
      </c>
      <c r="M39" s="60">
        <v>25525</v>
      </c>
      <c r="N39" s="60">
        <v>6378</v>
      </c>
      <c r="O39" s="411">
        <v>15105</v>
      </c>
      <c r="P39" s="411">
        <v>18539</v>
      </c>
      <c r="Q39" s="411">
        <v>33292</v>
      </c>
      <c r="R39" s="60">
        <v>22636</v>
      </c>
      <c r="S39" s="411">
        <v>24942</v>
      </c>
      <c r="T39" s="51">
        <v>27849</v>
      </c>
      <c r="U39" s="42">
        <v>33924</v>
      </c>
      <c r="V39" s="54">
        <v>47576</v>
      </c>
      <c r="W39" s="54">
        <v>56301</v>
      </c>
      <c r="X39" s="54">
        <v>34143</v>
      </c>
      <c r="Y39" s="386" t="s">
        <v>2341</v>
      </c>
    </row>
    <row r="40" spans="1:25" ht="42.75" customHeight="1" thickBo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412"/>
      <c r="N40" s="8"/>
      <c r="O40" s="8"/>
      <c r="P40" s="8"/>
      <c r="Q40" s="8"/>
      <c r="R40" s="8"/>
      <c r="S40" s="424"/>
      <c r="T40" s="8"/>
      <c r="U40" s="8"/>
      <c r="V40" s="9"/>
    </row>
    <row r="41" spans="1:25" ht="15.75" thickBot="1">
      <c r="A41" s="386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411"/>
      <c r="P41" s="411"/>
      <c r="Q41" s="411"/>
      <c r="R41" s="60"/>
      <c r="S41" s="411"/>
      <c r="T41" s="61"/>
      <c r="U41" s="60"/>
      <c r="V41" s="62"/>
    </row>
    <row r="42" spans="1:25">
      <c r="A42" s="31"/>
      <c r="V42" s="63"/>
    </row>
    <row r="43" spans="1:25" ht="15">
      <c r="A43" s="954" t="s">
        <v>3086</v>
      </c>
      <c r="R43" s="420">
        <v>111199</v>
      </c>
      <c r="S43" s="420">
        <v>80043</v>
      </c>
      <c r="T43" s="956">
        <v>73728</v>
      </c>
      <c r="U43" s="420">
        <v>90977</v>
      </c>
      <c r="V43" s="957">
        <v>98668</v>
      </c>
    </row>
    <row r="44" spans="1:25" ht="15">
      <c r="A44" s="954" t="s">
        <v>3087</v>
      </c>
      <c r="R44" s="420">
        <v>141023</v>
      </c>
      <c r="S44" s="420">
        <v>96453</v>
      </c>
      <c r="T44" s="956">
        <v>113846</v>
      </c>
      <c r="U44" s="420">
        <v>125997</v>
      </c>
      <c r="V44" s="957">
        <v>135651</v>
      </c>
    </row>
    <row r="45" spans="1:25" ht="15">
      <c r="A45" s="954" t="s">
        <v>3088</v>
      </c>
      <c r="R45" s="420">
        <v>134796</v>
      </c>
      <c r="S45" s="420">
        <v>94266</v>
      </c>
      <c r="T45" s="956">
        <v>108876</v>
      </c>
      <c r="U45" s="420">
        <v>117544</v>
      </c>
      <c r="V45" s="957">
        <v>118900</v>
      </c>
    </row>
    <row r="46" spans="1:25" ht="15">
      <c r="A46" s="955" t="s">
        <v>3089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58">
        <v>136796</v>
      </c>
      <c r="S46" s="958">
        <v>96266</v>
      </c>
      <c r="T46" s="959">
        <v>110876</v>
      </c>
      <c r="U46" s="958">
        <v>119544</v>
      </c>
      <c r="V46" s="405">
        <v>120900</v>
      </c>
    </row>
    <row r="47" spans="1:25" ht="15">
      <c r="A47" s="954" t="s">
        <v>3090</v>
      </c>
      <c r="V47" s="63"/>
    </row>
    <row r="48" spans="1:25" ht="15">
      <c r="A48" s="955" t="s">
        <v>3091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</row>
    <row r="51" spans="1:7" ht="20.25">
      <c r="A51" s="3046" t="s">
        <v>3092</v>
      </c>
      <c r="B51" s="3047"/>
      <c r="C51" s="3047"/>
      <c r="D51" s="3047"/>
      <c r="E51" s="3047"/>
      <c r="F51" s="3047"/>
      <c r="G51" s="3048"/>
    </row>
    <row r="52" spans="1:7" ht="18">
      <c r="A52" s="3"/>
      <c r="B52" s="4" t="s">
        <v>807</v>
      </c>
      <c r="C52" s="4" t="s">
        <v>808</v>
      </c>
      <c r="D52" s="4" t="s">
        <v>809</v>
      </c>
      <c r="E52" s="4" t="s">
        <v>2363</v>
      </c>
      <c r="F52" s="4" t="s">
        <v>2410</v>
      </c>
      <c r="G52" s="5" t="s">
        <v>3093</v>
      </c>
    </row>
    <row r="53" spans="1:7" ht="18">
      <c r="A53" s="3"/>
      <c r="B53" s="4"/>
      <c r="C53" s="4"/>
      <c r="D53" s="4"/>
      <c r="E53" s="4"/>
      <c r="F53" s="4"/>
      <c r="G53" s="5"/>
    </row>
    <row r="54" spans="1:7" ht="18">
      <c r="A54" s="3" t="s">
        <v>3094</v>
      </c>
      <c r="B54" s="4"/>
      <c r="C54" s="4"/>
      <c r="D54" s="4"/>
      <c r="E54" s="4"/>
      <c r="F54" s="4"/>
      <c r="G54" s="5"/>
    </row>
    <row r="55" spans="1:7" ht="18">
      <c r="A55" s="3" t="s">
        <v>349</v>
      </c>
      <c r="B55" s="4">
        <v>206.65</v>
      </c>
      <c r="C55" s="4">
        <f>318.76+101.52</f>
        <v>420.28</v>
      </c>
      <c r="D55" s="4">
        <f>1325.91+297.47+34.91</f>
        <v>1658.2900000000002</v>
      </c>
      <c r="E55" s="4">
        <v>1204.1400000000001</v>
      </c>
      <c r="F55" s="4">
        <v>1972.65</v>
      </c>
      <c r="G55" s="5"/>
    </row>
    <row r="56" spans="1:7" ht="18">
      <c r="A56" s="3" t="s">
        <v>3095</v>
      </c>
      <c r="B56" s="4">
        <v>39.24</v>
      </c>
      <c r="C56" s="4"/>
      <c r="D56" s="4">
        <v>2393.6</v>
      </c>
      <c r="E56" s="4">
        <v>1072.51</v>
      </c>
      <c r="F56" s="4">
        <v>2915.24</v>
      </c>
      <c r="G56" s="5">
        <v>1550.66</v>
      </c>
    </row>
    <row r="57" spans="1:7" ht="18">
      <c r="A57" s="3" t="s">
        <v>2272</v>
      </c>
      <c r="B57" s="4"/>
      <c r="C57" s="4">
        <v>103.96</v>
      </c>
      <c r="D57" s="4">
        <v>634.54999999999995</v>
      </c>
      <c r="E57" s="4">
        <f>786.03+364.76</f>
        <v>1150.79</v>
      </c>
      <c r="F57" s="4">
        <v>601.65</v>
      </c>
      <c r="G57" s="5"/>
    </row>
    <row r="58" spans="1:7" ht="18">
      <c r="A58" s="3" t="s">
        <v>353</v>
      </c>
      <c r="B58" s="4"/>
      <c r="C58" s="4"/>
      <c r="D58" s="4"/>
      <c r="E58" s="4">
        <v>2090.8000000000002</v>
      </c>
      <c r="F58" s="4">
        <v>1740.89</v>
      </c>
      <c r="G58" s="5">
        <v>232.25</v>
      </c>
    </row>
    <row r="59" spans="1:7" ht="18">
      <c r="A59" s="3" t="s">
        <v>3096</v>
      </c>
      <c r="B59" s="4"/>
      <c r="C59" s="4"/>
      <c r="D59" s="4"/>
      <c r="E59" s="4">
        <v>72.5</v>
      </c>
      <c r="F59" s="4"/>
      <c r="G59" s="5"/>
    </row>
    <row r="60" spans="1:7" ht="23.25">
      <c r="A60" s="3" t="s">
        <v>3097</v>
      </c>
      <c r="B60" s="6">
        <f t="shared" ref="B60:G60" si="3">SUM(B55:B59)</f>
        <v>245.89000000000001</v>
      </c>
      <c r="C60" s="6">
        <f t="shared" si="3"/>
        <v>524.24</v>
      </c>
      <c r="D60" s="6">
        <f t="shared" si="3"/>
        <v>4686.4400000000005</v>
      </c>
      <c r="E60" s="6">
        <f t="shared" si="3"/>
        <v>5590.74</v>
      </c>
      <c r="F60" s="6">
        <f t="shared" si="3"/>
        <v>7230.4299999999994</v>
      </c>
      <c r="G60" s="6">
        <f t="shared" si="3"/>
        <v>1782.91</v>
      </c>
    </row>
    <row r="61" spans="1:7" ht="18">
      <c r="A61" s="3" t="s">
        <v>3098</v>
      </c>
      <c r="B61" s="4"/>
      <c r="C61" s="4"/>
      <c r="D61" s="4"/>
      <c r="E61" s="4"/>
      <c r="F61" s="4"/>
      <c r="G61" s="5"/>
    </row>
    <row r="62" spans="1:7" ht="18">
      <c r="A62" s="3" t="s">
        <v>349</v>
      </c>
      <c r="B62" s="4"/>
      <c r="C62" s="4"/>
      <c r="D62" s="4"/>
      <c r="E62" s="4"/>
      <c r="F62" s="4"/>
      <c r="G62" s="5">
        <v>887.87</v>
      </c>
    </row>
    <row r="63" spans="1:7" ht="18">
      <c r="A63" s="3" t="s">
        <v>3099</v>
      </c>
      <c r="B63" s="4"/>
      <c r="C63" s="4"/>
      <c r="D63" s="4"/>
      <c r="E63" s="4">
        <f>249.65+652.13</f>
        <v>901.78</v>
      </c>
      <c r="F63" s="4">
        <v>1.2</v>
      </c>
      <c r="G63" s="5">
        <v>957.75</v>
      </c>
    </row>
    <row r="64" spans="1:7" ht="18">
      <c r="A64" s="3" t="s">
        <v>3100</v>
      </c>
      <c r="B64" s="4"/>
      <c r="C64" s="4"/>
      <c r="D64" s="4"/>
      <c r="E64" s="4">
        <f>138.79+288.66</f>
        <v>427.45000000000005</v>
      </c>
      <c r="F64" s="4">
        <v>71.27</v>
      </c>
      <c r="G64" s="5"/>
    </row>
    <row r="65" spans="1:7" ht="18">
      <c r="A65" s="3" t="s">
        <v>2163</v>
      </c>
      <c r="B65" s="4"/>
      <c r="C65" s="4"/>
      <c r="D65" s="4"/>
      <c r="E65" s="4"/>
      <c r="F65" s="4">
        <v>117.46</v>
      </c>
      <c r="G65" s="5"/>
    </row>
    <row r="66" spans="1:7" ht="18">
      <c r="A66" s="3" t="s">
        <v>3101</v>
      </c>
      <c r="B66" s="4"/>
      <c r="C66" s="4"/>
      <c r="D66" s="4"/>
      <c r="E66" s="4">
        <v>80.599999999999994</v>
      </c>
      <c r="F66" s="4">
        <v>1094.8</v>
      </c>
      <c r="G66" s="5"/>
    </row>
    <row r="67" spans="1:7" ht="18">
      <c r="A67" s="3" t="s">
        <v>2270</v>
      </c>
      <c r="B67" s="4"/>
      <c r="C67" s="4"/>
      <c r="D67" s="4"/>
      <c r="E67" s="4">
        <f>230.6+166.55</f>
        <v>397.15</v>
      </c>
      <c r="F67" s="4"/>
      <c r="G67" s="5"/>
    </row>
    <row r="68" spans="1:7" ht="18">
      <c r="A68" s="3" t="s">
        <v>3102</v>
      </c>
      <c r="B68" s="4"/>
      <c r="C68" s="4"/>
      <c r="D68" s="4"/>
      <c r="E68" s="4"/>
      <c r="F68" s="4"/>
      <c r="G68" s="5">
        <v>130.30000000000001</v>
      </c>
    </row>
    <row r="69" spans="1:7" ht="18">
      <c r="A69" s="3" t="s">
        <v>3103</v>
      </c>
      <c r="B69" s="4">
        <v>365.13</v>
      </c>
      <c r="C69" s="4"/>
      <c r="D69" s="4"/>
      <c r="E69" s="4">
        <f>326.74+316.52</f>
        <v>643.26</v>
      </c>
      <c r="F69" s="4"/>
      <c r="G69" s="5"/>
    </row>
    <row r="70" spans="1:7" ht="18">
      <c r="A70" s="3" t="s">
        <v>3104</v>
      </c>
      <c r="B70" s="4">
        <f>55.99+108.54</f>
        <v>164.53</v>
      </c>
      <c r="C70" s="4"/>
      <c r="D70" s="4"/>
      <c r="E70" s="4">
        <v>80.900000000000006</v>
      </c>
      <c r="F70" s="4"/>
      <c r="G70" s="5"/>
    </row>
    <row r="71" spans="1:7" ht="18">
      <c r="A71" s="3" t="s">
        <v>2272</v>
      </c>
      <c r="B71" s="4"/>
      <c r="C71" s="4"/>
      <c r="D71" s="4"/>
      <c r="E71" s="4">
        <v>933.06600000000003</v>
      </c>
      <c r="F71" s="4"/>
      <c r="G71" s="5"/>
    </row>
    <row r="72" spans="1:7" ht="23.25">
      <c r="A72" s="3" t="s">
        <v>2284</v>
      </c>
      <c r="B72" s="6">
        <f t="shared" ref="B72:G72" si="4">SUM(B62:B71)</f>
        <v>529.66</v>
      </c>
      <c r="C72" s="6">
        <f t="shared" si="4"/>
        <v>0</v>
      </c>
      <c r="D72" s="6">
        <f t="shared" si="4"/>
        <v>0</v>
      </c>
      <c r="E72" s="6">
        <f t="shared" si="4"/>
        <v>3464.2060000000001</v>
      </c>
      <c r="F72" s="6">
        <f t="shared" si="4"/>
        <v>1284.73</v>
      </c>
      <c r="G72" s="6">
        <f t="shared" si="4"/>
        <v>1975.9199999999998</v>
      </c>
    </row>
    <row r="73" spans="1:7" ht="18">
      <c r="A73" s="3"/>
      <c r="B73" s="4"/>
      <c r="C73" s="4"/>
      <c r="D73" s="4"/>
      <c r="E73" s="4"/>
      <c r="F73" s="4"/>
      <c r="G73" s="5"/>
    </row>
    <row r="74" spans="1:7" ht="18">
      <c r="A74" s="3" t="s">
        <v>3105</v>
      </c>
      <c r="B74" s="4"/>
      <c r="C74" s="4"/>
      <c r="D74" s="4"/>
      <c r="E74" s="4"/>
      <c r="F74" s="4"/>
      <c r="G74" s="5"/>
    </row>
    <row r="75" spans="1:7" ht="18">
      <c r="A75" s="3" t="s">
        <v>351</v>
      </c>
      <c r="B75" s="4"/>
      <c r="C75" s="4"/>
      <c r="D75" s="4">
        <v>4225.91</v>
      </c>
      <c r="E75" s="4">
        <v>8395.27</v>
      </c>
      <c r="F75" s="4">
        <v>10108.9</v>
      </c>
      <c r="G75" s="5">
        <v>4441.88</v>
      </c>
    </row>
    <row r="76" spans="1:7" ht="18">
      <c r="A76" s="3" t="s">
        <v>468</v>
      </c>
      <c r="B76" s="4"/>
      <c r="C76" s="4"/>
      <c r="D76" s="4"/>
      <c r="E76" s="4">
        <v>138.65</v>
      </c>
      <c r="F76" s="4">
        <v>855.66</v>
      </c>
      <c r="G76" s="5">
        <v>250.12</v>
      </c>
    </row>
    <row r="77" spans="1:7" ht="23.25">
      <c r="A77" s="3" t="s">
        <v>2284</v>
      </c>
      <c r="B77" s="6">
        <f t="shared" ref="B77:G77" si="5">SUM(B75:B76)</f>
        <v>0</v>
      </c>
      <c r="C77" s="6">
        <f t="shared" si="5"/>
        <v>0</v>
      </c>
      <c r="D77" s="6">
        <f t="shared" si="5"/>
        <v>4225.91</v>
      </c>
      <c r="E77" s="6">
        <f t="shared" si="5"/>
        <v>8533.92</v>
      </c>
      <c r="F77" s="6">
        <f t="shared" si="5"/>
        <v>10964.56</v>
      </c>
      <c r="G77" s="6">
        <f t="shared" si="5"/>
        <v>4692</v>
      </c>
    </row>
    <row r="78" spans="1:7" ht="23.25">
      <c r="A78" s="3"/>
      <c r="B78" s="6"/>
      <c r="C78" s="6"/>
      <c r="D78" s="6"/>
      <c r="E78" s="6"/>
      <c r="F78" s="6"/>
      <c r="G78" s="5"/>
    </row>
    <row r="79" spans="1:7" ht="23.25">
      <c r="A79" s="3" t="s">
        <v>3106</v>
      </c>
      <c r="B79" s="6">
        <f t="shared" ref="B79:G79" si="6">+B77+B72+B60</f>
        <v>775.55</v>
      </c>
      <c r="C79" s="6">
        <f t="shared" si="6"/>
        <v>524.24</v>
      </c>
      <c r="D79" s="6">
        <f t="shared" si="6"/>
        <v>8912.35</v>
      </c>
      <c r="E79" s="6">
        <f t="shared" si="6"/>
        <v>17588.866000000002</v>
      </c>
      <c r="F79" s="6">
        <f t="shared" si="6"/>
        <v>19479.719999999998</v>
      </c>
      <c r="G79" s="6">
        <f t="shared" si="6"/>
        <v>8450.83</v>
      </c>
    </row>
    <row r="80" spans="1:7">
      <c r="A80" s="7"/>
      <c r="B80" s="8"/>
      <c r="C80" s="8"/>
      <c r="D80" s="8"/>
      <c r="E80" s="8"/>
      <c r="F80" s="8"/>
      <c r="G80" s="9"/>
    </row>
    <row r="83" spans="1:5" ht="20.25">
      <c r="A83" s="3049" t="s">
        <v>3107</v>
      </c>
      <c r="B83" s="3050"/>
      <c r="C83" s="3050"/>
      <c r="D83" s="3050"/>
      <c r="E83" s="3051"/>
    </row>
    <row r="84" spans="1:5" ht="23.25">
      <c r="A84" s="6" t="s">
        <v>704</v>
      </c>
      <c r="B84" s="547" t="s">
        <v>809</v>
      </c>
      <c r="C84" s="547" t="s">
        <v>2363</v>
      </c>
      <c r="D84" s="547" t="s">
        <v>2410</v>
      </c>
      <c r="E84" s="547" t="s">
        <v>3108</v>
      </c>
    </row>
    <row r="85" spans="1:5" ht="23.25">
      <c r="A85" s="6"/>
      <c r="B85" s="6"/>
      <c r="C85" s="6"/>
      <c r="D85" s="6"/>
      <c r="E85" s="6"/>
    </row>
    <row r="86" spans="1:5" ht="23.25">
      <c r="A86" s="6" t="s">
        <v>325</v>
      </c>
      <c r="B86" s="6">
        <v>626.14200000000005</v>
      </c>
      <c r="C86" s="6">
        <v>2474.712</v>
      </c>
      <c r="D86" s="6">
        <v>4195</v>
      </c>
      <c r="E86" s="6">
        <v>2103.6</v>
      </c>
    </row>
    <row r="87" spans="1:5" ht="23.25">
      <c r="A87" s="6" t="s">
        <v>339</v>
      </c>
      <c r="B87" s="6">
        <v>159.26</v>
      </c>
      <c r="C87" s="6">
        <v>459.9</v>
      </c>
      <c r="D87" s="6">
        <v>614.80999999999995</v>
      </c>
      <c r="E87" s="6">
        <v>376.7</v>
      </c>
    </row>
    <row r="88" spans="1:5" ht="23.25">
      <c r="A88" s="6" t="s">
        <v>123</v>
      </c>
      <c r="B88" s="6">
        <v>288.06700000000001</v>
      </c>
      <c r="C88" s="6">
        <v>140.56</v>
      </c>
      <c r="D88" s="6">
        <v>92.73</v>
      </c>
      <c r="E88" s="6">
        <v>351.9</v>
      </c>
    </row>
    <row r="89" spans="1:5" ht="23.25">
      <c r="A89" s="6" t="s">
        <v>470</v>
      </c>
      <c r="B89" s="6">
        <v>163.048</v>
      </c>
      <c r="C89" s="6"/>
      <c r="D89" s="6"/>
      <c r="E89" s="6">
        <v>49.69</v>
      </c>
    </row>
    <row r="90" spans="1:5" ht="23.25">
      <c r="A90" s="6" t="s">
        <v>332</v>
      </c>
      <c r="B90" s="6">
        <v>37</v>
      </c>
      <c r="C90" s="6">
        <f>99.49+76.169</f>
        <v>175.65899999999999</v>
      </c>
      <c r="D90" s="6"/>
      <c r="E90" s="6"/>
    </row>
    <row r="91" spans="1:5" ht="23.25">
      <c r="A91" s="6" t="s">
        <v>23</v>
      </c>
      <c r="B91" s="6">
        <f>SUM(B86:B90)</f>
        <v>1273.5170000000001</v>
      </c>
      <c r="C91" s="6">
        <f>SUM(C86:C90)</f>
        <v>3250.8310000000001</v>
      </c>
      <c r="D91" s="6">
        <f>SUM(D86:D90)</f>
        <v>4902.5399999999991</v>
      </c>
      <c r="E91" s="6">
        <f>SUM(E86:E90)</f>
        <v>2881.89</v>
      </c>
    </row>
    <row r="92" spans="1:5">
      <c r="A92" s="7"/>
      <c r="B92" s="8"/>
      <c r="C92" s="8"/>
      <c r="D92" s="8"/>
      <c r="E92" s="9"/>
    </row>
    <row r="103" spans="1:19">
      <c r="A103" s="375"/>
      <c r="B103" s="376"/>
      <c r="C103" s="376"/>
      <c r="D103" s="376"/>
      <c r="E103" s="376"/>
      <c r="F103" s="376"/>
      <c r="G103" s="376"/>
      <c r="H103" s="376"/>
      <c r="I103" s="376"/>
      <c r="J103" s="376"/>
      <c r="K103" s="376"/>
      <c r="L103" s="416"/>
      <c r="M103" s="376"/>
      <c r="N103" s="376"/>
      <c r="O103" s="376"/>
      <c r="P103" s="376"/>
      <c r="Q103" s="376"/>
      <c r="R103" s="417"/>
    </row>
    <row r="104" spans="1:19" ht="18">
      <c r="A104" s="960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3"/>
    </row>
    <row r="105" spans="1:19" ht="18">
      <c r="A105" s="7"/>
      <c r="E105" s="379"/>
      <c r="F105" s="379"/>
      <c r="G105" s="379"/>
      <c r="H105" s="379"/>
      <c r="I105" s="379"/>
      <c r="J105" s="379"/>
      <c r="K105" s="379"/>
      <c r="L105" s="419"/>
      <c r="M105" s="379"/>
      <c r="N105" s="379"/>
      <c r="O105" s="379"/>
      <c r="P105" s="137"/>
      <c r="Q105" s="379"/>
      <c r="R105" s="379"/>
      <c r="S105" s="167"/>
    </row>
    <row r="106" spans="1:19" ht="15">
      <c r="A106" s="380"/>
      <c r="B106" s="381"/>
      <c r="C106" s="382"/>
      <c r="D106" s="382"/>
      <c r="E106" s="382"/>
      <c r="F106" s="382"/>
      <c r="G106" s="382"/>
      <c r="H106" s="404"/>
      <c r="I106" s="382"/>
      <c r="J106" s="382"/>
      <c r="K106" s="382"/>
      <c r="L106" s="382"/>
      <c r="M106" s="405"/>
      <c r="N106" s="405"/>
      <c r="O106" s="420"/>
      <c r="P106" s="42"/>
      <c r="Q106" s="42"/>
      <c r="R106" s="54"/>
    </row>
    <row r="107" spans="1:19" ht="15">
      <c r="A107" s="17"/>
      <c r="B107" s="322"/>
      <c r="C107" s="383"/>
      <c r="D107" s="383"/>
      <c r="E107" s="383"/>
      <c r="F107" s="383"/>
      <c r="G107" s="383"/>
      <c r="H107" s="406"/>
      <c r="I107" s="383"/>
      <c r="J107" s="383"/>
      <c r="K107" s="383"/>
      <c r="L107" s="383"/>
      <c r="M107" s="383"/>
      <c r="N107" s="383"/>
      <c r="O107" s="384"/>
      <c r="P107" s="42"/>
      <c r="Q107" s="42"/>
      <c r="R107" s="54"/>
    </row>
    <row r="108" spans="1:19" ht="15">
      <c r="A108" s="384"/>
      <c r="B108" s="322"/>
      <c r="C108" s="42"/>
      <c r="D108" s="42"/>
      <c r="E108" s="42"/>
      <c r="F108" s="42"/>
      <c r="G108" s="42"/>
      <c r="H108" s="407"/>
      <c r="I108" s="42"/>
      <c r="J108" s="42"/>
      <c r="K108" s="42"/>
      <c r="L108" s="42"/>
      <c r="M108" s="408"/>
      <c r="N108" s="408"/>
      <c r="O108" s="408"/>
      <c r="P108" s="42"/>
      <c r="Q108" s="42"/>
      <c r="R108" s="53"/>
    </row>
    <row r="109" spans="1:19" ht="15">
      <c r="A109" s="385"/>
      <c r="B109" s="41"/>
      <c r="C109" s="42"/>
      <c r="D109" s="42"/>
      <c r="E109" s="42"/>
      <c r="F109" s="42"/>
      <c r="G109" s="42"/>
      <c r="H109" s="407"/>
      <c r="I109" s="42"/>
      <c r="J109" s="42"/>
      <c r="K109" s="45"/>
      <c r="L109" s="45"/>
      <c r="M109" s="409"/>
      <c r="N109" s="409"/>
      <c r="O109" s="408"/>
      <c r="P109" s="45"/>
      <c r="Q109" s="45"/>
      <c r="R109" s="962"/>
    </row>
    <row r="110" spans="1:19" ht="15">
      <c r="A110" s="385"/>
      <c r="B110" s="41"/>
      <c r="C110" s="42"/>
      <c r="D110" s="42"/>
      <c r="E110" s="42"/>
      <c r="F110" s="42"/>
      <c r="G110" s="42"/>
      <c r="H110" s="407"/>
      <c r="I110" s="42"/>
      <c r="J110" s="42"/>
      <c r="K110" s="48"/>
      <c r="L110" s="48"/>
      <c r="M110" s="410"/>
      <c r="N110" s="408"/>
      <c r="O110" s="410"/>
      <c r="P110" s="48"/>
      <c r="Q110" s="48"/>
      <c r="R110" s="56"/>
    </row>
    <row r="111" spans="1:19" ht="15">
      <c r="A111" s="385"/>
      <c r="B111" s="41"/>
      <c r="C111" s="42"/>
      <c r="D111" s="42"/>
      <c r="E111" s="42"/>
      <c r="F111" s="42"/>
      <c r="G111" s="42"/>
      <c r="H111" s="407"/>
      <c r="I111" s="42"/>
      <c r="J111" s="42"/>
      <c r="K111" s="45"/>
      <c r="L111" s="48"/>
      <c r="M111" s="410"/>
      <c r="N111" s="408"/>
      <c r="O111" s="408"/>
      <c r="P111" s="51"/>
      <c r="Q111" s="51"/>
      <c r="R111" s="53"/>
    </row>
    <row r="112" spans="1:19" ht="15">
      <c r="A112" s="385"/>
      <c r="B112" s="41"/>
      <c r="C112" s="42"/>
      <c r="D112" s="42"/>
      <c r="E112" s="42"/>
      <c r="F112" s="42"/>
      <c r="G112" s="42"/>
      <c r="H112" s="407"/>
      <c r="I112" s="42"/>
      <c r="J112" s="42"/>
      <c r="K112" s="45"/>
      <c r="L112" s="48"/>
      <c r="M112" s="410"/>
      <c r="N112" s="408"/>
      <c r="O112" s="408"/>
      <c r="P112" s="51"/>
      <c r="Q112" s="51"/>
      <c r="R112" s="53"/>
    </row>
    <row r="113" spans="1:30" ht="15">
      <c r="A113" s="385"/>
      <c r="B113" s="42"/>
      <c r="C113" s="42"/>
      <c r="D113" s="42"/>
      <c r="E113" s="42"/>
      <c r="F113" s="42"/>
      <c r="G113" s="42"/>
      <c r="H113" s="407"/>
      <c r="I113" s="42"/>
      <c r="J113" s="42"/>
      <c r="K113" s="45"/>
      <c r="L113" s="48"/>
      <c r="M113" s="410"/>
      <c r="N113" s="408"/>
      <c r="O113" s="408"/>
      <c r="P113" s="51"/>
      <c r="Q113" s="51"/>
      <c r="R113" s="53"/>
    </row>
    <row r="114" spans="1:30" ht="15">
      <c r="A114" s="385"/>
      <c r="B114" s="42"/>
      <c r="C114" s="42"/>
      <c r="D114" s="42"/>
      <c r="E114" s="42"/>
      <c r="F114" s="42"/>
      <c r="G114" s="42"/>
      <c r="H114" s="407"/>
      <c r="I114" s="42"/>
      <c r="J114" s="42"/>
      <c r="K114" s="45"/>
      <c r="L114" s="48"/>
      <c r="M114" s="410"/>
      <c r="N114" s="408"/>
      <c r="O114" s="408"/>
      <c r="P114" s="51"/>
      <c r="Q114" s="51"/>
      <c r="R114" s="53"/>
    </row>
    <row r="115" spans="1:30" ht="15">
      <c r="A115" s="385"/>
      <c r="B115" s="42"/>
      <c r="C115" s="42"/>
      <c r="D115" s="42"/>
      <c r="E115" s="42"/>
      <c r="F115" s="42"/>
      <c r="G115" s="42"/>
      <c r="H115" s="407"/>
      <c r="I115" s="42"/>
      <c r="J115" s="42"/>
      <c r="K115" s="45"/>
      <c r="L115" s="48"/>
      <c r="M115" s="410"/>
      <c r="N115" s="408"/>
      <c r="O115" s="408"/>
      <c r="P115" s="51"/>
      <c r="Q115" s="51"/>
      <c r="R115" s="53"/>
    </row>
    <row r="116" spans="1:30" ht="15">
      <c r="A116" s="385"/>
      <c r="B116" s="42"/>
      <c r="C116" s="42"/>
      <c r="D116" s="42"/>
      <c r="E116" s="42"/>
      <c r="F116" s="42"/>
      <c r="G116" s="42"/>
      <c r="H116" s="407"/>
      <c r="I116" s="42"/>
      <c r="J116" s="42"/>
      <c r="K116" s="42"/>
      <c r="L116" s="42"/>
      <c r="M116" s="408"/>
      <c r="N116" s="408"/>
      <c r="O116" s="51"/>
      <c r="P116" s="51"/>
      <c r="Q116" s="51"/>
      <c r="R116" s="53"/>
    </row>
    <row r="117" spans="1:30" ht="15">
      <c r="A117" s="385"/>
      <c r="B117" s="42"/>
      <c r="C117" s="42"/>
      <c r="D117" s="42"/>
      <c r="E117" s="42"/>
      <c r="F117" s="42"/>
      <c r="G117" s="42"/>
      <c r="H117" s="407"/>
      <c r="I117" s="42"/>
      <c r="J117" s="42"/>
      <c r="K117" s="42"/>
      <c r="L117" s="42"/>
      <c r="M117" s="408"/>
      <c r="N117" s="408"/>
      <c r="O117" s="408"/>
      <c r="P117" s="42"/>
      <c r="Q117" s="42"/>
      <c r="R117" s="53"/>
    </row>
    <row r="118" spans="1:30" ht="15">
      <c r="A118" s="385"/>
      <c r="B118" s="42"/>
      <c r="C118" s="42"/>
      <c r="D118" s="42"/>
      <c r="E118" s="42"/>
      <c r="F118" s="42"/>
      <c r="G118" s="42"/>
      <c r="H118" s="407"/>
      <c r="I118" s="42"/>
      <c r="J118" s="42"/>
      <c r="K118" s="42"/>
      <c r="L118" s="42"/>
      <c r="M118" s="408"/>
      <c r="N118" s="408"/>
      <c r="O118" s="408"/>
      <c r="P118" s="42"/>
      <c r="Q118" s="42"/>
      <c r="R118" s="53"/>
    </row>
    <row r="119" spans="1:30" ht="15">
      <c r="A119" s="385"/>
      <c r="B119" s="42"/>
      <c r="C119" s="42"/>
      <c r="D119" s="42"/>
      <c r="E119" s="42"/>
      <c r="F119" s="42"/>
      <c r="G119" s="42"/>
      <c r="H119" s="407"/>
      <c r="I119" s="42"/>
      <c r="J119" s="42"/>
      <c r="K119" s="48"/>
      <c r="L119" s="48"/>
      <c r="M119" s="410"/>
      <c r="N119" s="408"/>
      <c r="O119" s="410"/>
      <c r="P119" s="48"/>
      <c r="Q119" s="48"/>
      <c r="R119" s="57"/>
    </row>
    <row r="120" spans="1:30" ht="15">
      <c r="A120" s="385"/>
      <c r="B120" s="42"/>
      <c r="C120" s="42"/>
      <c r="D120" s="42"/>
      <c r="E120" s="42"/>
      <c r="F120" s="42"/>
      <c r="G120" s="42"/>
      <c r="H120" s="407"/>
      <c r="I120" s="42"/>
      <c r="J120" s="42"/>
      <c r="K120" s="42"/>
      <c r="L120" s="48"/>
      <c r="M120" s="410"/>
      <c r="N120" s="408"/>
      <c r="O120" s="410"/>
      <c r="P120" s="48"/>
      <c r="Q120" s="48"/>
      <c r="R120" s="53"/>
    </row>
    <row r="121" spans="1:30" ht="15">
      <c r="A121" s="385"/>
      <c r="B121" s="42"/>
      <c r="C121" s="42"/>
      <c r="D121" s="42"/>
      <c r="E121" s="42"/>
      <c r="F121" s="42"/>
      <c r="G121" s="42"/>
      <c r="H121" s="407"/>
      <c r="I121" s="42"/>
      <c r="J121" s="42"/>
      <c r="K121" s="48"/>
      <c r="L121" s="48"/>
      <c r="M121" s="48"/>
      <c r="N121" s="410"/>
      <c r="O121" s="410"/>
      <c r="P121" s="49"/>
      <c r="Q121" s="49"/>
      <c r="R121" s="57"/>
    </row>
    <row r="122" spans="1:30" ht="15">
      <c r="A122" s="385"/>
      <c r="B122" s="42"/>
      <c r="C122" s="42"/>
      <c r="D122" s="42"/>
      <c r="E122" s="42"/>
      <c r="F122" s="42"/>
      <c r="G122" s="42"/>
      <c r="H122" s="407"/>
      <c r="I122" s="42"/>
      <c r="J122" s="42"/>
      <c r="K122" s="42"/>
      <c r="L122" s="42"/>
      <c r="M122" s="408"/>
      <c r="N122" s="408"/>
      <c r="O122" s="408"/>
      <c r="P122" s="42"/>
      <c r="Q122" s="42"/>
      <c r="R122" s="53"/>
    </row>
    <row r="123" spans="1:30" ht="15">
      <c r="A123" s="385"/>
      <c r="B123" s="42"/>
      <c r="C123" s="42"/>
      <c r="D123" s="42"/>
      <c r="E123" s="42"/>
      <c r="F123" s="42"/>
      <c r="G123" s="42"/>
      <c r="H123" s="407"/>
      <c r="I123" s="42"/>
      <c r="J123" s="42"/>
      <c r="K123" s="42"/>
      <c r="L123" s="42"/>
      <c r="M123" s="408"/>
      <c r="N123" s="408"/>
      <c r="O123" s="408"/>
      <c r="P123" s="42"/>
      <c r="Q123" s="42"/>
      <c r="R123" s="53"/>
    </row>
    <row r="124" spans="1:30" ht="15">
      <c r="A124" s="386"/>
      <c r="B124" s="60"/>
      <c r="C124" s="60"/>
      <c r="D124" s="60"/>
      <c r="E124" s="60"/>
      <c r="F124" s="60"/>
      <c r="G124" s="60"/>
      <c r="H124" s="961"/>
      <c r="I124" s="60"/>
      <c r="J124" s="60"/>
      <c r="K124" s="60"/>
      <c r="L124" s="60"/>
      <c r="M124" s="411"/>
      <c r="N124" s="411"/>
      <c r="O124" s="408"/>
      <c r="P124" s="42"/>
      <c r="Q124" s="42"/>
      <c r="R124" s="963"/>
    </row>
    <row r="125" spans="1:30" ht="23.25">
      <c r="W125" s="3044" t="s">
        <v>3109</v>
      </c>
      <c r="X125" s="2806"/>
      <c r="Y125" s="2806"/>
      <c r="Z125" s="2806"/>
      <c r="AA125" s="2806"/>
      <c r="AB125" s="2806"/>
      <c r="AC125" s="2806"/>
      <c r="AD125" s="3045"/>
    </row>
    <row r="126" spans="1:30" ht="20.25">
      <c r="W126" s="964"/>
      <c r="X126" s="10"/>
      <c r="Y126" s="10"/>
      <c r="Z126" s="10"/>
      <c r="AA126" s="10"/>
      <c r="AB126" s="10"/>
      <c r="AC126" s="10"/>
      <c r="AD126" s="966"/>
    </row>
    <row r="127" spans="1:30" ht="20.25">
      <c r="W127" s="3"/>
      <c r="X127" s="4"/>
      <c r="Y127" s="4" t="s">
        <v>257</v>
      </c>
      <c r="Z127" s="4" t="s">
        <v>811</v>
      </c>
      <c r="AA127" s="4" t="s">
        <v>256</v>
      </c>
      <c r="AB127" s="4" t="s">
        <v>3110</v>
      </c>
      <c r="AC127" s="4" t="s">
        <v>813</v>
      </c>
      <c r="AD127" s="967" t="s">
        <v>814</v>
      </c>
    </row>
    <row r="128" spans="1:30" ht="20.25">
      <c r="W128" s="3043" t="s">
        <v>41</v>
      </c>
      <c r="X128" s="4" t="s">
        <v>816</v>
      </c>
      <c r="Y128" s="4">
        <v>1900</v>
      </c>
      <c r="Z128" s="4">
        <v>70520</v>
      </c>
      <c r="AA128" s="4">
        <v>501</v>
      </c>
      <c r="AB128" s="4">
        <v>5315</v>
      </c>
      <c r="AC128" s="4">
        <v>6064</v>
      </c>
      <c r="AD128" s="967">
        <v>2210</v>
      </c>
    </row>
    <row r="129" spans="23:30" ht="20.25">
      <c r="W129" s="3043"/>
      <c r="X129" s="4" t="s">
        <v>312</v>
      </c>
      <c r="Y129" s="4">
        <v>1733</v>
      </c>
      <c r="Z129" s="4">
        <v>68426</v>
      </c>
      <c r="AA129" s="4">
        <v>700</v>
      </c>
      <c r="AB129" s="4">
        <f>3480+8048</f>
        <v>11528</v>
      </c>
      <c r="AC129" s="4">
        <v>4772</v>
      </c>
      <c r="AD129" s="967">
        <v>1949</v>
      </c>
    </row>
    <row r="130" spans="23:30" ht="20.25">
      <c r="W130" s="965"/>
      <c r="X130" s="4" t="s">
        <v>2051</v>
      </c>
      <c r="Y130" s="4">
        <v>37</v>
      </c>
      <c r="Z130" s="4">
        <v>312</v>
      </c>
      <c r="AA130" s="4">
        <v>0</v>
      </c>
      <c r="AB130" s="4">
        <v>53</v>
      </c>
      <c r="AC130" s="4">
        <v>54</v>
      </c>
      <c r="AD130" s="967">
        <v>0</v>
      </c>
    </row>
    <row r="131" spans="23:30" ht="20.25">
      <c r="W131" s="965"/>
      <c r="X131" s="4" t="s">
        <v>3111</v>
      </c>
      <c r="Y131" s="4">
        <f t="shared" ref="Y131:AD131" si="7">+Y129-Y130</f>
        <v>1696</v>
      </c>
      <c r="Z131" s="4">
        <f t="shared" si="7"/>
        <v>68114</v>
      </c>
      <c r="AA131" s="4">
        <f t="shared" si="7"/>
        <v>700</v>
      </c>
      <c r="AB131" s="4">
        <f t="shared" si="7"/>
        <v>11475</v>
      </c>
      <c r="AC131" s="4">
        <f t="shared" si="7"/>
        <v>4718</v>
      </c>
      <c r="AD131" s="967">
        <f t="shared" si="7"/>
        <v>1949</v>
      </c>
    </row>
    <row r="132" spans="23:30" ht="20.25">
      <c r="W132" s="965" t="s">
        <v>292</v>
      </c>
      <c r="X132" s="4" t="s">
        <v>2051</v>
      </c>
      <c r="Y132" s="4">
        <v>15</v>
      </c>
      <c r="Z132" s="4">
        <v>531</v>
      </c>
      <c r="AA132" s="4">
        <v>0</v>
      </c>
      <c r="AB132" s="4">
        <v>87</v>
      </c>
      <c r="AC132" s="4">
        <v>43</v>
      </c>
      <c r="AD132" s="967">
        <v>0</v>
      </c>
    </row>
    <row r="133" spans="23:30" ht="20.25">
      <c r="W133" s="965"/>
      <c r="X133" s="4" t="s">
        <v>3111</v>
      </c>
      <c r="Y133" s="4">
        <f t="shared" ref="Y133:AD133" si="8">+Y134-Y132</f>
        <v>1609</v>
      </c>
      <c r="Z133" s="4">
        <f t="shared" si="8"/>
        <v>73924</v>
      </c>
      <c r="AA133" s="4">
        <f t="shared" si="8"/>
        <v>749</v>
      </c>
      <c r="AB133" s="4">
        <f t="shared" si="8"/>
        <v>11560</v>
      </c>
      <c r="AC133" s="4">
        <f t="shared" si="8"/>
        <v>4580</v>
      </c>
      <c r="AD133" s="967">
        <f t="shared" si="8"/>
        <v>2016</v>
      </c>
    </row>
    <row r="134" spans="23:30" ht="20.25">
      <c r="W134" s="965"/>
      <c r="X134" s="4" t="s">
        <v>23</v>
      </c>
      <c r="Y134" s="4">
        <v>1624</v>
      </c>
      <c r="Z134" s="4">
        <v>74455</v>
      </c>
      <c r="AA134" s="4">
        <v>749</v>
      </c>
      <c r="AB134" s="4">
        <v>11647</v>
      </c>
      <c r="AC134" s="4">
        <f>3951+672</f>
        <v>4623</v>
      </c>
      <c r="AD134" s="967">
        <v>2016</v>
      </c>
    </row>
    <row r="135" spans="23:30" ht="20.25">
      <c r="W135" s="3043" t="s">
        <v>170</v>
      </c>
      <c r="X135" s="4" t="s">
        <v>816</v>
      </c>
      <c r="Y135" s="4">
        <v>1635</v>
      </c>
      <c r="Z135" s="4">
        <f>73795+33282</f>
        <v>107077</v>
      </c>
      <c r="AA135" s="4">
        <v>749</v>
      </c>
      <c r="AB135" s="4">
        <f>5862+4000</f>
        <v>9862</v>
      </c>
      <c r="AC135" s="4">
        <v>4965</v>
      </c>
      <c r="AD135" s="967">
        <v>1500</v>
      </c>
    </row>
    <row r="136" spans="23:30" ht="20.25">
      <c r="W136" s="3043"/>
      <c r="X136" s="4" t="s">
        <v>312</v>
      </c>
      <c r="Y136" s="4">
        <v>1031</v>
      </c>
      <c r="Z136" s="4">
        <v>100246</v>
      </c>
      <c r="AA136" s="4">
        <v>319</v>
      </c>
      <c r="AB136" s="4">
        <f>2164+4618</f>
        <v>6782</v>
      </c>
      <c r="AC136" s="4">
        <v>4638</v>
      </c>
      <c r="AD136" s="967">
        <v>2669</v>
      </c>
    </row>
    <row r="137" spans="23:30" ht="20.25">
      <c r="W137" s="965"/>
      <c r="X137" s="4" t="s">
        <v>2051</v>
      </c>
      <c r="Y137" s="4">
        <v>44</v>
      </c>
      <c r="Z137" s="4">
        <v>483</v>
      </c>
      <c r="AA137" s="4">
        <v>0</v>
      </c>
      <c r="AB137" s="4">
        <v>0</v>
      </c>
      <c r="AC137" s="4">
        <v>107</v>
      </c>
      <c r="AD137" s="967">
        <v>332</v>
      </c>
    </row>
    <row r="138" spans="23:30" ht="20.25">
      <c r="W138" s="965"/>
      <c r="X138" s="4" t="s">
        <v>3111</v>
      </c>
      <c r="Y138" s="4">
        <f t="shared" ref="Y138:AD138" si="9">+Y136-Y137</f>
        <v>987</v>
      </c>
      <c r="Z138" s="4">
        <f t="shared" si="9"/>
        <v>99763</v>
      </c>
      <c r="AA138" s="4">
        <f t="shared" si="9"/>
        <v>319</v>
      </c>
      <c r="AB138" s="4">
        <f t="shared" si="9"/>
        <v>6782</v>
      </c>
      <c r="AC138" s="4">
        <f t="shared" si="9"/>
        <v>4531</v>
      </c>
      <c r="AD138" s="967">
        <f t="shared" si="9"/>
        <v>2337</v>
      </c>
    </row>
    <row r="139" spans="23:30" ht="20.25">
      <c r="W139" s="965" t="s">
        <v>292</v>
      </c>
      <c r="X139" s="4" t="s">
        <v>2051</v>
      </c>
      <c r="Y139" s="4">
        <v>40</v>
      </c>
      <c r="Z139" s="4">
        <v>546</v>
      </c>
      <c r="AA139" s="4">
        <v>0</v>
      </c>
      <c r="AB139" s="4">
        <v>0</v>
      </c>
      <c r="AC139" s="4">
        <v>79</v>
      </c>
      <c r="AD139" s="967">
        <v>0</v>
      </c>
    </row>
    <row r="140" spans="23:30" ht="20.25">
      <c r="W140" s="965"/>
      <c r="X140" s="4" t="s">
        <v>3111</v>
      </c>
      <c r="Y140" s="4">
        <f t="shared" ref="Y140:AD140" si="10">+Y141-Y139</f>
        <v>1054</v>
      </c>
      <c r="Z140" s="4">
        <f t="shared" si="10"/>
        <v>99308</v>
      </c>
      <c r="AA140" s="4">
        <f t="shared" si="10"/>
        <v>268</v>
      </c>
      <c r="AB140" s="4">
        <f t="shared" si="10"/>
        <v>7520</v>
      </c>
      <c r="AC140" s="4">
        <f t="shared" si="10"/>
        <v>4683</v>
      </c>
      <c r="AD140" s="967">
        <f t="shared" si="10"/>
        <v>2620</v>
      </c>
    </row>
    <row r="141" spans="23:30" ht="20.25">
      <c r="W141" s="965"/>
      <c r="X141" s="4" t="s">
        <v>23</v>
      </c>
      <c r="Y141" s="4">
        <v>1094</v>
      </c>
      <c r="Z141" s="4">
        <v>99854</v>
      </c>
      <c r="AA141" s="4">
        <v>268</v>
      </c>
      <c r="AB141" s="4">
        <v>7520</v>
      </c>
      <c r="AC141" s="4">
        <f>4494+268</f>
        <v>4762</v>
      </c>
      <c r="AD141" s="967">
        <v>2620</v>
      </c>
    </row>
    <row r="142" spans="23:30" ht="20.25">
      <c r="W142" s="3043" t="s">
        <v>171</v>
      </c>
      <c r="X142" s="4" t="s">
        <v>816</v>
      </c>
      <c r="Y142" s="4">
        <v>970</v>
      </c>
      <c r="Z142" s="4">
        <f>85830+28020</f>
        <v>113850</v>
      </c>
      <c r="AA142" s="4">
        <v>850</v>
      </c>
      <c r="AB142" s="4">
        <v>7862</v>
      </c>
      <c r="AC142" s="4">
        <v>6170</v>
      </c>
      <c r="AD142" s="967">
        <v>3970</v>
      </c>
    </row>
    <row r="143" spans="23:30" ht="20.25">
      <c r="W143" s="3043"/>
      <c r="X143" s="4" t="s">
        <v>312</v>
      </c>
      <c r="Y143" s="4">
        <v>1124</v>
      </c>
      <c r="Z143" s="4">
        <v>92794</v>
      </c>
      <c r="AA143" s="4">
        <v>216</v>
      </c>
      <c r="AB143" s="4">
        <v>1337</v>
      </c>
      <c r="AC143" s="4">
        <v>5177</v>
      </c>
      <c r="AD143" s="967">
        <v>2038</v>
      </c>
    </row>
    <row r="144" spans="23:30" ht="20.25">
      <c r="W144" s="965"/>
      <c r="X144" s="4" t="s">
        <v>2051</v>
      </c>
      <c r="Y144" s="4">
        <v>7</v>
      </c>
      <c r="Z144" s="4">
        <v>593</v>
      </c>
      <c r="AA144" s="4">
        <v>0</v>
      </c>
      <c r="AB144" s="4">
        <v>0</v>
      </c>
      <c r="AC144" s="4">
        <v>93</v>
      </c>
      <c r="AD144" s="967">
        <v>0</v>
      </c>
    </row>
    <row r="145" spans="23:30" ht="20.25">
      <c r="W145" s="965"/>
      <c r="X145" s="4" t="s">
        <v>3111</v>
      </c>
      <c r="Y145" s="4">
        <f t="shared" ref="Y145:AD145" si="11">+Y143-Y144</f>
        <v>1117</v>
      </c>
      <c r="Z145" s="4">
        <f t="shared" si="11"/>
        <v>92201</v>
      </c>
      <c r="AA145" s="4">
        <f t="shared" si="11"/>
        <v>216</v>
      </c>
      <c r="AB145" s="4">
        <f t="shared" si="11"/>
        <v>1337</v>
      </c>
      <c r="AC145" s="4">
        <f t="shared" si="11"/>
        <v>5084</v>
      </c>
      <c r="AD145" s="967">
        <f t="shared" si="11"/>
        <v>2038</v>
      </c>
    </row>
    <row r="146" spans="23:30" ht="20.25">
      <c r="W146" s="965" t="s">
        <v>292</v>
      </c>
      <c r="X146" s="4" t="s">
        <v>2051</v>
      </c>
      <c r="Y146" s="4">
        <v>13</v>
      </c>
      <c r="Z146" s="4">
        <v>344</v>
      </c>
      <c r="AA146" s="4">
        <v>0</v>
      </c>
      <c r="AB146" s="4">
        <v>0</v>
      </c>
      <c r="AC146" s="4">
        <v>97</v>
      </c>
      <c r="AD146" s="967">
        <v>0</v>
      </c>
    </row>
    <row r="147" spans="23:30" ht="20.25">
      <c r="W147" s="965"/>
      <c r="X147" s="4" t="s">
        <v>3111</v>
      </c>
      <c r="Y147" s="4">
        <f t="shared" ref="Y147:AD147" si="12">+Y148-Y146</f>
        <v>1172</v>
      </c>
      <c r="Z147" s="4">
        <f t="shared" si="12"/>
        <v>88115</v>
      </c>
      <c r="AA147" s="4">
        <f t="shared" si="12"/>
        <v>237</v>
      </c>
      <c r="AB147" s="4">
        <f t="shared" si="12"/>
        <v>1236</v>
      </c>
      <c r="AC147" s="4">
        <f t="shared" si="12"/>
        <v>4533</v>
      </c>
      <c r="AD147" s="967">
        <f t="shared" si="12"/>
        <v>2227</v>
      </c>
    </row>
    <row r="148" spans="23:30" ht="20.25">
      <c r="W148" s="965"/>
      <c r="X148" s="4" t="s">
        <v>23</v>
      </c>
      <c r="Y148" s="4">
        <v>1185</v>
      </c>
      <c r="Z148" s="4">
        <v>88459</v>
      </c>
      <c r="AA148" s="4">
        <v>237</v>
      </c>
      <c r="AB148" s="4">
        <v>1236</v>
      </c>
      <c r="AC148" s="4">
        <v>4630</v>
      </c>
      <c r="AD148" s="967">
        <v>2227</v>
      </c>
    </row>
    <row r="149" spans="23:30" ht="20.25">
      <c r="W149" s="3043" t="s">
        <v>807</v>
      </c>
      <c r="X149" s="4" t="s">
        <v>816</v>
      </c>
      <c r="Y149" s="4">
        <v>1080</v>
      </c>
      <c r="Z149" s="4">
        <f>60699+14100</f>
        <v>74799</v>
      </c>
      <c r="AA149" s="4">
        <v>300</v>
      </c>
      <c r="AB149" s="4">
        <v>6833</v>
      </c>
      <c r="AC149" s="4">
        <v>6450</v>
      </c>
      <c r="AD149" s="967">
        <v>4440</v>
      </c>
    </row>
    <row r="150" spans="23:30" ht="20.25">
      <c r="W150" s="3043"/>
      <c r="X150" s="4" t="s">
        <v>312</v>
      </c>
      <c r="Y150" s="4">
        <v>1414</v>
      </c>
      <c r="Z150" s="4">
        <v>52403</v>
      </c>
      <c r="AA150" s="4">
        <v>119</v>
      </c>
      <c r="AB150" s="4">
        <f>2731+7272</f>
        <v>10003</v>
      </c>
      <c r="AC150" s="4">
        <v>2986</v>
      </c>
      <c r="AD150" s="967">
        <v>2048</v>
      </c>
    </row>
    <row r="151" spans="23:30" ht="20.25">
      <c r="W151" s="968"/>
      <c r="X151" s="258" t="s">
        <v>99</v>
      </c>
      <c r="Y151" s="258">
        <v>29</v>
      </c>
      <c r="Z151" s="258">
        <v>209</v>
      </c>
      <c r="AA151" s="258">
        <v>0</v>
      </c>
      <c r="AB151" s="258">
        <v>0</v>
      </c>
      <c r="AC151" s="258">
        <v>54</v>
      </c>
      <c r="AD151" s="430">
        <v>0</v>
      </c>
    </row>
    <row r="152" spans="23:30" ht="20.25">
      <c r="W152" s="968"/>
      <c r="X152" s="258" t="s">
        <v>3111</v>
      </c>
      <c r="Y152" s="258">
        <f t="shared" ref="Y152:AD152" si="13">+Y150-Y151</f>
        <v>1385</v>
      </c>
      <c r="Z152" s="258">
        <f t="shared" si="13"/>
        <v>52194</v>
      </c>
      <c r="AA152" s="258">
        <f t="shared" si="13"/>
        <v>119</v>
      </c>
      <c r="AB152" s="258">
        <f t="shared" si="13"/>
        <v>10003</v>
      </c>
      <c r="AC152" s="258">
        <f t="shared" si="13"/>
        <v>2932</v>
      </c>
      <c r="AD152" s="430">
        <f t="shared" si="13"/>
        <v>2048</v>
      </c>
    </row>
    <row r="153" spans="23:30" ht="20.25">
      <c r="W153" s="965" t="s">
        <v>292</v>
      </c>
      <c r="X153" s="4" t="s">
        <v>2051</v>
      </c>
      <c r="Y153" s="4">
        <v>60</v>
      </c>
      <c r="Z153" s="4">
        <v>445</v>
      </c>
      <c r="AA153" s="970">
        <v>0</v>
      </c>
      <c r="AB153" s="970">
        <v>0</v>
      </c>
      <c r="AC153" s="970">
        <v>74</v>
      </c>
      <c r="AD153" s="971">
        <v>0</v>
      </c>
    </row>
    <row r="154" spans="23:30" ht="20.25">
      <c r="W154" s="965"/>
      <c r="X154" s="4" t="s">
        <v>3111</v>
      </c>
      <c r="Y154" s="4">
        <f t="shared" ref="Y154:AD154" si="14">+Y155-Y153</f>
        <v>1246</v>
      </c>
      <c r="Z154" s="258">
        <f t="shared" si="14"/>
        <v>57637</v>
      </c>
      <c r="AA154" s="258">
        <f t="shared" si="14"/>
        <v>90</v>
      </c>
      <c r="AB154" s="258">
        <f t="shared" si="14"/>
        <v>9835</v>
      </c>
      <c r="AC154" s="258">
        <f t="shared" si="14"/>
        <v>3007</v>
      </c>
      <c r="AD154" s="430">
        <f t="shared" si="14"/>
        <v>1942</v>
      </c>
    </row>
    <row r="155" spans="23:30" ht="20.25">
      <c r="W155" s="969"/>
      <c r="X155" s="952" t="s">
        <v>23</v>
      </c>
      <c r="Y155" s="366">
        <v>1306</v>
      </c>
      <c r="Z155" s="952">
        <v>58082</v>
      </c>
      <c r="AA155" s="952">
        <v>90</v>
      </c>
      <c r="AB155" s="952">
        <v>9835</v>
      </c>
      <c r="AC155" s="952">
        <f>2724+357</f>
        <v>3081</v>
      </c>
      <c r="AD155" s="972">
        <v>1942</v>
      </c>
    </row>
  </sheetData>
  <mergeCells count="8">
    <mergeCell ref="W135:W136"/>
    <mergeCell ref="W142:W143"/>
    <mergeCell ref="W149:W150"/>
    <mergeCell ref="A3:R3"/>
    <mergeCell ref="A51:G51"/>
    <mergeCell ref="A83:E83"/>
    <mergeCell ref="W125:AD125"/>
    <mergeCell ref="W128:W129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topLeftCell="A22" zoomScaleSheetLayoutView="100" workbookViewId="0">
      <selection activeCell="G32" sqref="G32:J41"/>
    </sheetView>
  </sheetViews>
  <sheetFormatPr defaultColWidth="9" defaultRowHeight="12.75"/>
  <cols>
    <col min="2" max="2" width="48.140625" customWidth="1"/>
    <col min="5" max="5" width="12.28515625" customWidth="1"/>
    <col min="6" max="6" width="2.140625" customWidth="1"/>
    <col min="7" max="7" width="21.7109375" customWidth="1"/>
    <col min="10" max="10" width="34" customWidth="1"/>
  </cols>
  <sheetData>
    <row r="2" spans="2:7" ht="18.75">
      <c r="B2" s="204" t="s">
        <v>3358</v>
      </c>
      <c r="C2" s="202"/>
      <c r="D2" s="202"/>
      <c r="E2" s="86"/>
      <c r="F2" s="86"/>
    </row>
    <row r="3" spans="2:7">
      <c r="B3" s="205"/>
      <c r="C3" s="86"/>
      <c r="D3" s="86"/>
      <c r="E3" s="86"/>
      <c r="F3" s="86"/>
    </row>
    <row r="4" spans="2:7" ht="236.25">
      <c r="B4" s="2962" t="s">
        <v>783</v>
      </c>
      <c r="C4" s="206" t="s">
        <v>514</v>
      </c>
      <c r="D4" s="207" t="s">
        <v>487</v>
      </c>
      <c r="E4" s="208" t="s">
        <v>3341</v>
      </c>
      <c r="F4" s="207" t="s">
        <v>3342</v>
      </c>
      <c r="G4" s="209" t="s">
        <v>3343</v>
      </c>
    </row>
    <row r="5" spans="2:7" ht="15.75">
      <c r="B5" s="2963"/>
      <c r="C5" s="210" t="s">
        <v>149</v>
      </c>
      <c r="D5" s="211" t="s">
        <v>149</v>
      </c>
      <c r="E5" s="212" t="s">
        <v>149</v>
      </c>
      <c r="F5" s="211" t="s">
        <v>149</v>
      </c>
      <c r="G5" s="213" t="s">
        <v>149</v>
      </c>
    </row>
    <row r="6" spans="2:7" ht="15.75">
      <c r="B6" s="2964"/>
      <c r="C6" s="214" t="s">
        <v>634</v>
      </c>
      <c r="D6" s="215" t="s">
        <v>634</v>
      </c>
      <c r="E6" s="216" t="s">
        <v>634</v>
      </c>
      <c r="F6" s="215" t="s">
        <v>634</v>
      </c>
      <c r="G6" s="217" t="s">
        <v>634</v>
      </c>
    </row>
    <row r="7" spans="2:7" ht="45" customHeight="1">
      <c r="B7" s="218" t="s">
        <v>3347</v>
      </c>
      <c r="C7" s="219">
        <v>0</v>
      </c>
      <c r="D7" s="220">
        <v>702.10000000000036</v>
      </c>
      <c r="E7" s="202">
        <v>6766.7999999999993</v>
      </c>
      <c r="F7" s="220">
        <v>2039.75</v>
      </c>
      <c r="G7" s="221">
        <v>0</v>
      </c>
    </row>
    <row r="8" spans="2:7" ht="27" customHeight="1">
      <c r="B8" s="222" t="s">
        <v>3359</v>
      </c>
      <c r="C8" s="223">
        <v>18512.48</v>
      </c>
      <c r="D8" s="224">
        <v>5571.8</v>
      </c>
      <c r="E8" s="225">
        <v>526.1</v>
      </c>
      <c r="F8" s="224">
        <v>4507.8500000000004</v>
      </c>
      <c r="G8" s="226">
        <v>4409.3</v>
      </c>
    </row>
    <row r="9" spans="2:7" ht="22.5" customHeight="1">
      <c r="B9" s="222" t="s">
        <v>23</v>
      </c>
      <c r="C9" s="223">
        <f>+C8+C7</f>
        <v>18512.48</v>
      </c>
      <c r="D9" s="224">
        <f>+D8+D7</f>
        <v>6273.9000000000005</v>
      </c>
      <c r="E9" s="225">
        <f>+E8+E7</f>
        <v>7292.9</v>
      </c>
      <c r="F9" s="224">
        <f>+F8+F7</f>
        <v>6547.6</v>
      </c>
      <c r="G9" s="226">
        <f>+G8+G7</f>
        <v>4409.3</v>
      </c>
    </row>
    <row r="10" spans="2:7" ht="36" customHeight="1">
      <c r="B10" s="222" t="s">
        <v>3350</v>
      </c>
      <c r="C10" s="223">
        <v>18512.48</v>
      </c>
      <c r="D10" s="224">
        <f>979+777+538+2860</f>
        <v>5154</v>
      </c>
      <c r="E10" s="225">
        <f>587.996+300+50+242.989+241.5+493.41</f>
        <v>1915.895</v>
      </c>
      <c r="F10" s="224">
        <f>1643+1063.756+1340.776+1277.228-242.989-241.5-493.41</f>
        <v>4346.8610000000008</v>
      </c>
      <c r="G10" s="226">
        <f>321.141+651.446+518.728+1519.7</f>
        <v>3011.0150000000003</v>
      </c>
    </row>
    <row r="11" spans="2:7" ht="19.5" customHeight="1">
      <c r="B11" s="227" t="s">
        <v>3360</v>
      </c>
      <c r="C11" s="228">
        <f>+C9-C10</f>
        <v>0</v>
      </c>
      <c r="D11" s="229">
        <f>+D9-D10</f>
        <v>1119.9000000000005</v>
      </c>
      <c r="E11" s="230">
        <f>+E9-E10</f>
        <v>5377.0049999999992</v>
      </c>
      <c r="F11" s="229">
        <f>+F9-F10</f>
        <v>2200.7389999999996</v>
      </c>
      <c r="G11" s="231">
        <f>+G9-G10</f>
        <v>1398.2849999999999</v>
      </c>
    </row>
    <row r="12" spans="2:7" ht="18">
      <c r="B12" s="360"/>
      <c r="C12" s="361"/>
      <c r="D12" s="359"/>
      <c r="E12" s="362"/>
      <c r="F12" s="357"/>
      <c r="G12" s="357"/>
    </row>
    <row r="13" spans="2:7" ht="23.25">
      <c r="B13" s="370" t="s">
        <v>3361</v>
      </c>
      <c r="C13" s="371"/>
      <c r="D13" s="370"/>
      <c r="E13" s="371">
        <f>2158+98</f>
        <v>2256</v>
      </c>
      <c r="F13" s="372">
        <f>3152+201</f>
        <v>3353</v>
      </c>
      <c r="G13" s="373">
        <f>1065+43</f>
        <v>1108</v>
      </c>
    </row>
    <row r="32" spans="7:12" ht="23.25">
      <c r="G32" s="3052" t="s">
        <v>4141</v>
      </c>
      <c r="H32" s="3052"/>
      <c r="I32" s="3052"/>
      <c r="J32" s="3052"/>
      <c r="L32" t="s">
        <v>1096</v>
      </c>
    </row>
    <row r="33" spans="7:10" ht="23.25">
      <c r="G33" s="1331"/>
      <c r="H33" s="1331"/>
      <c r="I33" s="1331"/>
      <c r="J33" s="720" t="s">
        <v>3672</v>
      </c>
    </row>
    <row r="34" spans="7:10" ht="23.25">
      <c r="G34" s="1331" t="s">
        <v>291</v>
      </c>
      <c r="H34" s="1331"/>
      <c r="I34" s="1331"/>
      <c r="J34" s="720">
        <v>156000</v>
      </c>
    </row>
    <row r="35" spans="7:10" ht="23.25">
      <c r="G35" s="1331" t="s">
        <v>633</v>
      </c>
      <c r="H35" s="1331"/>
      <c r="I35" s="1331"/>
      <c r="J35" s="720">
        <v>150797</v>
      </c>
    </row>
    <row r="36" spans="7:10" ht="23.25">
      <c r="G36" s="1331" t="s">
        <v>4142</v>
      </c>
      <c r="H36" s="1331"/>
      <c r="I36" s="1331"/>
      <c r="J36" s="720">
        <v>6679</v>
      </c>
    </row>
    <row r="37" spans="7:10" ht="23.25">
      <c r="G37" s="1331" t="s">
        <v>672</v>
      </c>
      <c r="H37" s="1331"/>
      <c r="I37" s="1331"/>
      <c r="J37" s="720">
        <v>0</v>
      </c>
    </row>
    <row r="38" spans="7:10" ht="23.25">
      <c r="G38" s="1331" t="s">
        <v>636</v>
      </c>
      <c r="H38" s="1331"/>
      <c r="I38" s="1331"/>
      <c r="J38" s="720">
        <v>144118</v>
      </c>
    </row>
    <row r="39" spans="7:10" ht="23.25">
      <c r="G39" s="1331" t="s">
        <v>290</v>
      </c>
      <c r="H39" s="1331"/>
      <c r="I39" s="1331"/>
      <c r="J39" s="720">
        <v>160480</v>
      </c>
    </row>
    <row r="40" spans="7:10" ht="23.25">
      <c r="G40" s="1331" t="s">
        <v>37</v>
      </c>
      <c r="H40" s="1331"/>
      <c r="I40" s="1331"/>
      <c r="J40" s="720">
        <v>146285</v>
      </c>
    </row>
    <row r="41" spans="7:10" ht="23.25">
      <c r="G41" s="1331" t="s">
        <v>142</v>
      </c>
      <c r="H41" s="1331"/>
      <c r="I41" s="1331"/>
      <c r="J41" s="720">
        <v>148285</v>
      </c>
    </row>
  </sheetData>
  <mergeCells count="2">
    <mergeCell ref="B4:B6"/>
    <mergeCell ref="G32:J32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U1194"/>
  <sheetViews>
    <sheetView topLeftCell="L1" zoomScale="84" zoomScaleNormal="84" zoomScaleSheetLayoutView="100" workbookViewId="0">
      <selection activeCell="X11" sqref="X11"/>
    </sheetView>
  </sheetViews>
  <sheetFormatPr defaultColWidth="9" defaultRowHeight="12.75"/>
  <cols>
    <col min="1" max="1" width="35.7109375" customWidth="1"/>
    <col min="2" max="2" width="21.5703125" customWidth="1"/>
    <col min="3" max="3" width="18.28515625" customWidth="1"/>
    <col min="4" max="4" width="27.42578125" customWidth="1"/>
    <col min="5" max="5" width="14" customWidth="1"/>
    <col min="6" max="6" width="20.28515625" customWidth="1"/>
    <col min="7" max="7" width="14.5703125" customWidth="1"/>
    <col min="8" max="8" width="15.5703125" customWidth="1"/>
    <col min="9" max="9" width="13.7109375" customWidth="1"/>
    <col min="10" max="10" width="14.42578125" customWidth="1"/>
    <col min="11" max="11" width="17.85546875" customWidth="1"/>
    <col min="12" max="12" width="13.85546875" customWidth="1"/>
    <col min="13" max="13" width="19.140625" customWidth="1"/>
    <col min="14" max="14" width="16" customWidth="1"/>
    <col min="15" max="15" width="20" customWidth="1"/>
    <col min="16" max="16" width="16.140625" customWidth="1"/>
    <col min="17" max="17" width="19.85546875" customWidth="1"/>
    <col min="18" max="18" width="12.140625" customWidth="1"/>
    <col min="19" max="19" width="12.85546875" customWidth="1"/>
    <col min="20" max="20" width="18.7109375" customWidth="1"/>
    <col min="21" max="21" width="14.140625" customWidth="1"/>
    <col min="22" max="22" width="16" customWidth="1"/>
    <col min="23" max="24" width="12.42578125" customWidth="1"/>
    <col min="25" max="25" width="13.42578125" customWidth="1"/>
    <col min="26" max="26" width="14.7109375" customWidth="1"/>
    <col min="27" max="27" width="17.85546875" customWidth="1"/>
    <col min="28" max="28" width="44.42578125" customWidth="1"/>
    <col min="29" max="30" width="24" customWidth="1"/>
    <col min="31" max="31" width="22.42578125" customWidth="1"/>
    <col min="32" max="32" width="17.5703125" customWidth="1"/>
    <col min="33" max="33" width="19" customWidth="1"/>
    <col min="34" max="34" width="23.42578125" customWidth="1"/>
    <col min="35" max="35" width="15.5703125" customWidth="1"/>
    <col min="36" max="36" width="17" customWidth="1"/>
    <col min="37" max="37" width="15.7109375" customWidth="1"/>
    <col min="38" max="38" width="18.140625" customWidth="1"/>
    <col min="39" max="39" width="13.140625" customWidth="1"/>
    <col min="40" max="40" width="34.42578125" customWidth="1"/>
    <col min="41" max="41" width="14.42578125" customWidth="1"/>
    <col min="42" max="42" width="12.42578125" customWidth="1"/>
    <col min="44" max="44" width="14.140625" customWidth="1"/>
    <col min="46" max="46" width="18.42578125" customWidth="1"/>
    <col min="47" max="47" width="16.5703125" customWidth="1"/>
    <col min="48" max="48" width="17.5703125" customWidth="1"/>
    <col min="49" max="49" width="25.85546875" customWidth="1"/>
    <col min="50" max="50" width="21.42578125" customWidth="1"/>
    <col min="51" max="51" width="14" customWidth="1"/>
    <col min="52" max="52" width="15.140625" customWidth="1"/>
    <col min="53" max="53" width="18.42578125" customWidth="1"/>
    <col min="54" max="54" width="17.42578125" customWidth="1"/>
    <col min="55" max="55" width="12.140625" customWidth="1"/>
    <col min="56" max="56" width="17.5703125" customWidth="1"/>
    <col min="59" max="59" width="10.28515625" customWidth="1"/>
    <col min="60" max="60" width="18.140625" customWidth="1"/>
    <col min="61" max="61" width="15.28515625" customWidth="1"/>
    <col min="62" max="62" width="10.42578125" customWidth="1"/>
    <col min="63" max="63" width="16.85546875" customWidth="1"/>
    <col min="64" max="64" width="11.5703125" customWidth="1"/>
    <col min="66" max="66" width="14.140625" customWidth="1"/>
    <col min="68" max="68" width="12" customWidth="1"/>
    <col min="76" max="76" width="12.85546875" customWidth="1"/>
    <col min="81" max="81" width="26.85546875" customWidth="1"/>
    <col min="82" max="82" width="16.85546875" customWidth="1"/>
    <col min="83" max="83" width="17.28515625" customWidth="1"/>
    <col min="84" max="84" width="18.140625" customWidth="1"/>
    <col min="85" max="85" width="30.28515625" customWidth="1"/>
    <col min="91" max="91" width="16.28515625" customWidth="1"/>
    <col min="101" max="101" width="17" customWidth="1"/>
    <col min="111" max="111" width="13.7109375" customWidth="1"/>
    <col min="121" max="121" width="16.28515625" customWidth="1"/>
    <col min="133" max="133" width="13.85546875" customWidth="1"/>
    <col min="143" max="143" width="16.7109375" customWidth="1"/>
    <col min="144" max="144" width="10.7109375" customWidth="1"/>
    <col min="148" max="148" width="10.7109375" customWidth="1"/>
  </cols>
  <sheetData>
    <row r="1" spans="1:66" ht="26.25">
      <c r="AC1" s="232"/>
      <c r="AD1" s="233"/>
      <c r="AE1" s="3054" t="s">
        <v>3112</v>
      </c>
      <c r="AF1" s="3054"/>
      <c r="AG1" s="3054"/>
      <c r="AH1" s="3054"/>
      <c r="AI1" s="3054"/>
      <c r="AJ1" s="233"/>
      <c r="AK1" s="233"/>
      <c r="AL1" s="233"/>
      <c r="AM1" s="233"/>
      <c r="AN1" s="233"/>
      <c r="AO1" s="233"/>
      <c r="AP1" s="247"/>
      <c r="AT1" s="3055" t="s">
        <v>3113</v>
      </c>
      <c r="AU1" s="3055"/>
      <c r="AV1" s="3055"/>
      <c r="AW1" s="3055"/>
      <c r="AX1" s="3055"/>
      <c r="AY1" s="3055"/>
      <c r="AZ1" s="3055"/>
      <c r="BA1" s="3055"/>
    </row>
    <row r="2" spans="1:66" ht="20.25">
      <c r="AC2" s="235" t="s">
        <v>3114</v>
      </c>
      <c r="AD2" s="11" t="s">
        <v>205</v>
      </c>
      <c r="AE2" s="11" t="s">
        <v>206</v>
      </c>
      <c r="AF2" s="11" t="s">
        <v>207</v>
      </c>
      <c r="AG2" s="11" t="s">
        <v>208</v>
      </c>
      <c r="AH2" s="11" t="s">
        <v>209</v>
      </c>
      <c r="AI2" s="11" t="s">
        <v>210</v>
      </c>
      <c r="AJ2" s="11" t="s">
        <v>211</v>
      </c>
      <c r="AK2" s="11" t="s">
        <v>212</v>
      </c>
      <c r="AL2" s="11" t="s">
        <v>213</v>
      </c>
      <c r="AM2" s="11" t="s">
        <v>216</v>
      </c>
      <c r="AN2" s="240" t="s">
        <v>217</v>
      </c>
      <c r="AO2" s="240" t="s">
        <v>218</v>
      </c>
      <c r="AP2" s="248" t="s">
        <v>23</v>
      </c>
      <c r="AT2" s="450"/>
      <c r="AU2" s="343" t="s">
        <v>40</v>
      </c>
      <c r="AV2" s="451" t="s">
        <v>41</v>
      </c>
      <c r="AW2" s="343" t="s">
        <v>170</v>
      </c>
      <c r="AX2" s="451" t="s">
        <v>3115</v>
      </c>
      <c r="AY2" s="343" t="s">
        <v>807</v>
      </c>
      <c r="AZ2" s="343" t="s">
        <v>809</v>
      </c>
      <c r="BA2" s="343" t="s">
        <v>2363</v>
      </c>
      <c r="BB2" s="343" t="s">
        <v>2410</v>
      </c>
    </row>
    <row r="3" spans="1:66" ht="20.25">
      <c r="AC3" s="235" t="s">
        <v>3116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240"/>
      <c r="AO3" s="240"/>
      <c r="AP3" s="248">
        <v>0</v>
      </c>
      <c r="AT3" s="343" t="s">
        <v>3117</v>
      </c>
      <c r="AU3" s="343">
        <v>53707</v>
      </c>
      <c r="AV3" s="343">
        <v>62094</v>
      </c>
      <c r="AW3" s="343">
        <v>63418</v>
      </c>
      <c r="AX3" s="343">
        <v>72676</v>
      </c>
      <c r="AY3" s="343">
        <v>35398</v>
      </c>
      <c r="AZ3" s="343">
        <v>71638</v>
      </c>
      <c r="BA3" s="343">
        <v>75638</v>
      </c>
      <c r="BB3" s="343">
        <v>85044</v>
      </c>
    </row>
    <row r="4" spans="1:66" ht="20.25">
      <c r="AC4" s="235" t="s">
        <v>3118</v>
      </c>
      <c r="AD4" s="11"/>
      <c r="AE4" s="11"/>
      <c r="AF4" s="11"/>
      <c r="AG4" s="11"/>
      <c r="AH4" s="11"/>
      <c r="AI4" s="11">
        <v>51.56</v>
      </c>
      <c r="AJ4" s="11">
        <v>11.6</v>
      </c>
      <c r="AK4" s="11">
        <v>3.3</v>
      </c>
      <c r="AL4" s="11">
        <v>73.77</v>
      </c>
      <c r="AM4" s="11"/>
      <c r="AN4" s="240">
        <v>64.680000000000007</v>
      </c>
      <c r="AO4" s="240">
        <v>43.59</v>
      </c>
      <c r="AP4" s="248">
        <f t="shared" ref="AP4:AP22" si="0">SUM(AD4:AO4)</f>
        <v>248.50000000000003</v>
      </c>
      <c r="AT4" s="343" t="s">
        <v>3119</v>
      </c>
      <c r="AU4" s="343">
        <v>17273</v>
      </c>
      <c r="AV4" s="343">
        <v>16263</v>
      </c>
      <c r="AW4" s="343">
        <v>17351</v>
      </c>
      <c r="AX4" s="343">
        <v>10745</v>
      </c>
      <c r="AY4" s="343">
        <v>10391</v>
      </c>
      <c r="AZ4" s="343">
        <v>13519</v>
      </c>
      <c r="BA4" s="343">
        <v>19334</v>
      </c>
      <c r="BB4" s="343">
        <v>13245</v>
      </c>
    </row>
    <row r="5" spans="1:66" ht="20.25">
      <c r="AC5" s="235" t="s">
        <v>3120</v>
      </c>
      <c r="AD5" s="11"/>
      <c r="AE5" s="11">
        <v>185.58</v>
      </c>
      <c r="AF5" s="11"/>
      <c r="AG5" s="11"/>
      <c r="AH5" s="11">
        <v>353.17</v>
      </c>
      <c r="AI5" s="11">
        <v>33.450000000000003</v>
      </c>
      <c r="AJ5" s="11">
        <v>312.77999999999997</v>
      </c>
      <c r="AK5" s="11">
        <v>16.25</v>
      </c>
      <c r="AL5" s="11"/>
      <c r="AM5" s="11">
        <v>217.17</v>
      </c>
      <c r="AN5" s="240">
        <v>7.94</v>
      </c>
      <c r="AO5" s="240"/>
      <c r="AP5" s="248">
        <f t="shared" si="0"/>
        <v>1126.3400000000001</v>
      </c>
      <c r="AT5" s="343" t="s">
        <v>2016</v>
      </c>
      <c r="AU5" s="343">
        <v>6659</v>
      </c>
      <c r="AV5" s="343">
        <v>7647</v>
      </c>
      <c r="AW5" s="343">
        <v>10117</v>
      </c>
      <c r="AX5" s="343">
        <v>5132</v>
      </c>
      <c r="AY5" s="343">
        <v>7332</v>
      </c>
      <c r="AZ5" s="343">
        <v>2467</v>
      </c>
      <c r="BA5" s="343">
        <v>3546</v>
      </c>
      <c r="BB5" s="343">
        <v>2812</v>
      </c>
    </row>
    <row r="6" spans="1:66" ht="20.25">
      <c r="A6" s="375"/>
      <c r="B6" s="376"/>
      <c r="C6" s="376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  <c r="O6" s="376"/>
      <c r="P6" s="376"/>
      <c r="Q6" s="416"/>
      <c r="R6" s="376"/>
      <c r="S6" s="376"/>
      <c r="T6" s="417"/>
      <c r="U6" s="376"/>
      <c r="V6" s="376"/>
      <c r="W6" s="376"/>
      <c r="X6" s="376"/>
      <c r="Y6" s="376"/>
      <c r="Z6" s="417"/>
      <c r="AA6" s="354"/>
      <c r="AC6" s="235" t="s">
        <v>3121</v>
      </c>
      <c r="AD6" s="11">
        <v>187.4</v>
      </c>
      <c r="AE6" s="11">
        <v>275.26</v>
      </c>
      <c r="AF6" s="11">
        <v>190.65</v>
      </c>
      <c r="AG6" s="11">
        <v>315.57</v>
      </c>
      <c r="AH6" s="11"/>
      <c r="AI6" s="11">
        <v>259.55</v>
      </c>
      <c r="AJ6" s="11">
        <v>190.6</v>
      </c>
      <c r="AK6" s="11"/>
      <c r="AL6" s="11">
        <v>143</v>
      </c>
      <c r="AM6" s="11">
        <v>84.2</v>
      </c>
      <c r="AN6" s="240">
        <v>163.66999999999999</v>
      </c>
      <c r="AO6" s="240">
        <v>265.2</v>
      </c>
      <c r="AP6" s="248">
        <f t="shared" si="0"/>
        <v>2075.1</v>
      </c>
      <c r="AT6" s="343" t="s">
        <v>3122</v>
      </c>
      <c r="AU6" s="343">
        <v>5810</v>
      </c>
      <c r="AV6" s="343">
        <v>4258</v>
      </c>
      <c r="AW6" s="343">
        <v>5135</v>
      </c>
      <c r="AX6" s="343">
        <v>10328</v>
      </c>
      <c r="AY6" s="343">
        <v>858</v>
      </c>
      <c r="AZ6" s="343">
        <v>5125</v>
      </c>
      <c r="BA6" s="343">
        <v>5687</v>
      </c>
      <c r="BB6" s="343">
        <v>8773</v>
      </c>
    </row>
    <row r="7" spans="1:66" ht="20.25">
      <c r="A7" s="308"/>
      <c r="B7" s="127"/>
      <c r="C7" s="377"/>
      <c r="D7" s="377"/>
      <c r="E7" s="378" t="s">
        <v>2054</v>
      </c>
      <c r="F7" s="377"/>
      <c r="G7" s="377"/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418"/>
      <c r="U7" s="377"/>
      <c r="V7" s="418"/>
      <c r="W7" s="32"/>
      <c r="X7" s="32"/>
      <c r="Y7" s="32"/>
      <c r="Z7" s="32"/>
      <c r="AA7" s="33"/>
      <c r="AC7" s="235" t="s">
        <v>3123</v>
      </c>
      <c r="AD7" s="11">
        <v>69.7</v>
      </c>
      <c r="AE7" s="11"/>
      <c r="AF7" s="11"/>
      <c r="AG7" s="11"/>
      <c r="AH7" s="11">
        <v>415.32</v>
      </c>
      <c r="AI7" s="11"/>
      <c r="AJ7" s="11">
        <v>283.72000000000003</v>
      </c>
      <c r="AK7" s="11">
        <v>71.2</v>
      </c>
      <c r="AL7" s="11">
        <v>41</v>
      </c>
      <c r="AM7" s="11">
        <v>343.22</v>
      </c>
      <c r="AN7" s="240">
        <v>38.06</v>
      </c>
      <c r="AO7" s="240">
        <v>113.81</v>
      </c>
      <c r="AP7" s="248">
        <f t="shared" si="0"/>
        <v>1376.03</v>
      </c>
      <c r="AT7" s="343" t="s">
        <v>3124</v>
      </c>
      <c r="AU7" s="343">
        <v>577</v>
      </c>
      <c r="AV7" s="343">
        <v>925</v>
      </c>
      <c r="AW7" s="343">
        <v>1273</v>
      </c>
      <c r="AX7" s="343">
        <v>796</v>
      </c>
      <c r="AY7" s="343">
        <v>464</v>
      </c>
      <c r="AZ7" s="343">
        <v>395</v>
      </c>
      <c r="BA7" s="343">
        <v>826</v>
      </c>
      <c r="BB7" s="343">
        <v>46</v>
      </c>
    </row>
    <row r="8" spans="1:66" ht="20.25">
      <c r="A8" s="7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419"/>
      <c r="R8" s="379"/>
      <c r="S8" s="379"/>
      <c r="T8" s="33"/>
      <c r="U8" s="32"/>
      <c r="V8" s="33"/>
      <c r="W8" s="137"/>
      <c r="X8" s="137"/>
      <c r="Y8" s="379"/>
      <c r="Z8" s="379"/>
      <c r="AA8" s="167"/>
      <c r="AC8" s="235" t="s">
        <v>3125</v>
      </c>
      <c r="AD8" s="11">
        <v>188.56</v>
      </c>
      <c r="AE8" s="11"/>
      <c r="AF8" s="11"/>
      <c r="AG8" s="11">
        <v>247.1</v>
      </c>
      <c r="AH8" s="11">
        <v>74.25</v>
      </c>
      <c r="AI8" s="11"/>
      <c r="AJ8" s="11">
        <v>186.3</v>
      </c>
      <c r="AK8" s="11"/>
      <c r="AL8" s="11"/>
      <c r="AM8" s="11">
        <v>190.41</v>
      </c>
      <c r="AN8" s="240">
        <v>0</v>
      </c>
      <c r="AO8" s="240"/>
      <c r="AP8" s="248">
        <f t="shared" si="0"/>
        <v>886.62</v>
      </c>
      <c r="AT8" s="343" t="s">
        <v>3126</v>
      </c>
      <c r="AU8" s="343">
        <v>103</v>
      </c>
      <c r="AV8" s="343">
        <v>0</v>
      </c>
      <c r="AW8" s="343"/>
      <c r="AX8" s="343">
        <v>50</v>
      </c>
      <c r="AY8" s="343"/>
      <c r="AZ8" s="343"/>
      <c r="BA8" s="343"/>
      <c r="BB8" s="343">
        <v>503.5</v>
      </c>
      <c r="BH8" s="460" t="s">
        <v>39</v>
      </c>
      <c r="BJ8" s="38" t="s">
        <v>807</v>
      </c>
      <c r="BK8" s="38" t="s">
        <v>808</v>
      </c>
      <c r="BL8" s="38" t="s">
        <v>809</v>
      </c>
      <c r="BM8" s="39" t="s">
        <v>2363</v>
      </c>
      <c r="BN8" s="460" t="s">
        <v>2410</v>
      </c>
    </row>
    <row r="9" spans="1:66" ht="20.25">
      <c r="A9" s="380" t="s">
        <v>622</v>
      </c>
      <c r="B9" s="381" t="s">
        <v>519</v>
      </c>
      <c r="C9" s="382" t="s">
        <v>3076</v>
      </c>
      <c r="D9" s="382" t="s">
        <v>3077</v>
      </c>
      <c r="E9" s="382" t="s">
        <v>2597</v>
      </c>
      <c r="F9" s="382" t="s">
        <v>2598</v>
      </c>
      <c r="G9" s="382" t="s">
        <v>2599</v>
      </c>
      <c r="H9" s="382" t="s">
        <v>791</v>
      </c>
      <c r="I9" s="382" t="s">
        <v>29</v>
      </c>
      <c r="J9" s="404" t="s">
        <v>30</v>
      </c>
      <c r="K9" s="382" t="s">
        <v>31</v>
      </c>
      <c r="L9" s="382" t="s">
        <v>32</v>
      </c>
      <c r="M9" s="382" t="s">
        <v>33</v>
      </c>
      <c r="N9" s="382" t="s">
        <v>34</v>
      </c>
      <c r="O9" s="405" t="s">
        <v>40</v>
      </c>
      <c r="P9" s="405" t="s">
        <v>41</v>
      </c>
      <c r="Q9" s="420" t="s">
        <v>170</v>
      </c>
      <c r="R9" s="42" t="s">
        <v>2246</v>
      </c>
      <c r="S9" s="408" t="s">
        <v>121</v>
      </c>
      <c r="T9" s="42" t="s">
        <v>2351</v>
      </c>
      <c r="U9" s="42" t="s">
        <v>2412</v>
      </c>
      <c r="V9" s="54" t="s">
        <v>2363</v>
      </c>
      <c r="W9" s="421" t="s">
        <v>2410</v>
      </c>
      <c r="X9" s="420" t="s">
        <v>321</v>
      </c>
      <c r="AC9" s="235" t="s">
        <v>3127</v>
      </c>
      <c r="AD9" s="11">
        <v>189.49</v>
      </c>
      <c r="AE9" s="11"/>
      <c r="AF9" s="11">
        <v>160.52000000000001</v>
      </c>
      <c r="AG9" s="11"/>
      <c r="AH9" s="11">
        <v>417.16</v>
      </c>
      <c r="AI9" s="11"/>
      <c r="AJ9" s="11">
        <v>197.46</v>
      </c>
      <c r="AK9" s="11"/>
      <c r="AL9" s="11"/>
      <c r="AM9" s="11">
        <v>220.15</v>
      </c>
      <c r="AN9" s="240">
        <v>1</v>
      </c>
      <c r="AO9" s="240"/>
      <c r="AP9" s="248">
        <f t="shared" si="0"/>
        <v>1185.7800000000002</v>
      </c>
      <c r="AT9" s="343" t="s">
        <v>3128</v>
      </c>
      <c r="AU9" s="343">
        <v>209</v>
      </c>
      <c r="AV9" s="343">
        <v>357</v>
      </c>
      <c r="AW9" s="343">
        <v>293</v>
      </c>
      <c r="AX9" s="343">
        <v>616</v>
      </c>
      <c r="AY9" s="343">
        <v>765</v>
      </c>
      <c r="AZ9" s="343">
        <v>287</v>
      </c>
      <c r="BA9" s="343">
        <v>442</v>
      </c>
      <c r="BB9" s="343">
        <v>0</v>
      </c>
      <c r="BH9" s="460" t="s">
        <v>633</v>
      </c>
      <c r="BJ9" s="461">
        <v>5.8000000000000003E-2</v>
      </c>
      <c r="BK9" s="461">
        <v>9.1999999999999998E-2</v>
      </c>
      <c r="BL9" s="461">
        <v>9.6000000000000002E-2</v>
      </c>
      <c r="BM9" s="461">
        <v>0.108</v>
      </c>
      <c r="BN9" s="466">
        <v>0.113</v>
      </c>
    </row>
    <row r="10" spans="1:66" ht="20.25">
      <c r="A10" s="17"/>
      <c r="B10" s="322"/>
      <c r="C10" s="383" t="s">
        <v>312</v>
      </c>
      <c r="D10" s="383" t="s">
        <v>312</v>
      </c>
      <c r="E10" s="383" t="s">
        <v>312</v>
      </c>
      <c r="F10" s="383" t="s">
        <v>312</v>
      </c>
      <c r="G10" s="383" t="s">
        <v>312</v>
      </c>
      <c r="H10" s="383" t="s">
        <v>312</v>
      </c>
      <c r="I10" s="383" t="s">
        <v>312</v>
      </c>
      <c r="J10" s="406" t="s">
        <v>312</v>
      </c>
      <c r="K10" s="383" t="s">
        <v>312</v>
      </c>
      <c r="L10" s="383" t="s">
        <v>312</v>
      </c>
      <c r="M10" s="383" t="s">
        <v>312</v>
      </c>
      <c r="N10" s="383" t="s">
        <v>312</v>
      </c>
      <c r="O10" s="383" t="s">
        <v>312</v>
      </c>
      <c r="P10" s="383" t="s">
        <v>312</v>
      </c>
      <c r="Q10" s="384" t="s">
        <v>312</v>
      </c>
      <c r="R10" s="42" t="s">
        <v>312</v>
      </c>
      <c r="S10" s="408" t="s">
        <v>312</v>
      </c>
      <c r="T10" s="42" t="s">
        <v>312</v>
      </c>
      <c r="U10" s="42" t="s">
        <v>312</v>
      </c>
      <c r="V10" s="54" t="s">
        <v>312</v>
      </c>
      <c r="W10" s="54" t="s">
        <v>312</v>
      </c>
      <c r="X10" s="54" t="s">
        <v>312</v>
      </c>
      <c r="AC10" s="235" t="s">
        <v>3129</v>
      </c>
      <c r="AD10" s="11">
        <v>148.84</v>
      </c>
      <c r="AE10" s="11"/>
      <c r="AF10" s="11">
        <v>156.25</v>
      </c>
      <c r="AG10" s="11"/>
      <c r="AH10" s="11"/>
      <c r="AI10" s="11">
        <v>263.56</v>
      </c>
      <c r="AJ10" s="11"/>
      <c r="AK10" s="11"/>
      <c r="AL10" s="11">
        <v>249.61</v>
      </c>
      <c r="AM10" s="11"/>
      <c r="AN10" s="240">
        <v>179.95</v>
      </c>
      <c r="AO10" s="240">
        <v>324.24</v>
      </c>
      <c r="AP10" s="248">
        <f t="shared" si="0"/>
        <v>1322.45</v>
      </c>
      <c r="AT10" s="343" t="s">
        <v>99</v>
      </c>
      <c r="AU10" s="343">
        <v>296</v>
      </c>
      <c r="AV10" s="343">
        <v>416</v>
      </c>
      <c r="AW10" s="343">
        <v>721</v>
      </c>
      <c r="AX10" s="343">
        <v>1134</v>
      </c>
      <c r="AY10" s="343">
        <v>255</v>
      </c>
      <c r="AZ10" s="343">
        <v>870</v>
      </c>
      <c r="BA10" s="343">
        <v>476</v>
      </c>
      <c r="BB10" s="343">
        <v>647.5</v>
      </c>
      <c r="BH10" s="460" t="s">
        <v>740</v>
      </c>
      <c r="BJ10" s="462">
        <v>6.9000000000000006E-2</v>
      </c>
      <c r="BK10" s="461">
        <v>0.109</v>
      </c>
      <c r="BL10" s="461">
        <v>0.10199999999999999</v>
      </c>
      <c r="BM10" s="461">
        <v>0.11899999999999999</v>
      </c>
      <c r="BN10" s="466">
        <v>0.11899999999999999</v>
      </c>
    </row>
    <row r="11" spans="1:66" ht="20.25">
      <c r="A11" s="384" t="s">
        <v>524</v>
      </c>
      <c r="B11" s="322"/>
      <c r="C11" s="42">
        <v>158024</v>
      </c>
      <c r="D11" s="42">
        <v>148110</v>
      </c>
      <c r="E11" s="42">
        <v>158237</v>
      </c>
      <c r="F11" s="42">
        <v>167974</v>
      </c>
      <c r="G11" s="42">
        <v>178460</v>
      </c>
      <c r="H11" s="42">
        <v>215840</v>
      </c>
      <c r="I11" s="42">
        <v>208615</v>
      </c>
      <c r="J11" s="407">
        <v>210355</v>
      </c>
      <c r="K11" s="42">
        <v>145486</v>
      </c>
      <c r="L11" s="42">
        <v>126817</v>
      </c>
      <c r="M11" s="42">
        <v>108474</v>
      </c>
      <c r="N11" s="42">
        <v>94143</v>
      </c>
      <c r="O11" s="408">
        <v>91148</v>
      </c>
      <c r="P11" s="408">
        <v>98789</v>
      </c>
      <c r="Q11" s="408">
        <v>104762</v>
      </c>
      <c r="R11" s="42">
        <v>107384</v>
      </c>
      <c r="S11" s="42">
        <v>60189</v>
      </c>
      <c r="T11" s="51">
        <v>95378</v>
      </c>
      <c r="U11" s="42">
        <v>99517</v>
      </c>
      <c r="V11" s="54">
        <v>112441</v>
      </c>
      <c r="W11" s="54">
        <v>117736</v>
      </c>
      <c r="X11" s="54">
        <v>130790</v>
      </c>
      <c r="Y11" s="384" t="s">
        <v>524</v>
      </c>
      <c r="AC11" s="235" t="s">
        <v>3130</v>
      </c>
      <c r="AD11" s="11">
        <v>255.36</v>
      </c>
      <c r="AE11" s="11"/>
      <c r="AF11" s="11">
        <v>196.35</v>
      </c>
      <c r="AG11" s="11">
        <v>243.5</v>
      </c>
      <c r="AH11" s="11">
        <v>68.150000000000006</v>
      </c>
      <c r="AI11" s="11">
        <v>218.1</v>
      </c>
      <c r="AJ11" s="11"/>
      <c r="AK11" s="11"/>
      <c r="AL11" s="11">
        <v>111.65</v>
      </c>
      <c r="AM11" s="11">
        <v>70.459999999999994</v>
      </c>
      <c r="AN11" s="240"/>
      <c r="AO11" s="240">
        <v>221.51</v>
      </c>
      <c r="AP11" s="248">
        <f t="shared" si="0"/>
        <v>1385.0800000000002</v>
      </c>
      <c r="AT11" s="343" t="s">
        <v>2042</v>
      </c>
      <c r="AU11" s="343">
        <v>1074</v>
      </c>
      <c r="AV11" s="343">
        <v>99</v>
      </c>
      <c r="AW11" s="343"/>
      <c r="AX11" s="343"/>
      <c r="AY11" s="343"/>
      <c r="AZ11" s="343"/>
      <c r="BA11" s="343">
        <v>103</v>
      </c>
      <c r="BB11" s="343">
        <v>0</v>
      </c>
      <c r="BH11" s="463" t="s">
        <v>142</v>
      </c>
      <c r="BJ11" s="464">
        <v>7.3999999999999996E-2</v>
      </c>
      <c r="BK11" s="60">
        <v>0.109</v>
      </c>
      <c r="BL11" s="465">
        <v>0.10299999999999999</v>
      </c>
      <c r="BM11" s="465">
        <v>0.11799999999999999</v>
      </c>
      <c r="BN11" s="467">
        <v>0.122</v>
      </c>
    </row>
    <row r="12" spans="1:66" ht="20.25">
      <c r="A12" s="385" t="s">
        <v>633</v>
      </c>
      <c r="B12" s="41" t="s">
        <v>634</v>
      </c>
      <c r="C12" s="42">
        <f>+C13+C14</f>
        <v>149692</v>
      </c>
      <c r="D12" s="42">
        <f>+D13+D14</f>
        <v>140594</v>
      </c>
      <c r="E12" s="42">
        <f>+E13+E14</f>
        <v>149873</v>
      </c>
      <c r="F12" s="42">
        <f t="shared" ref="F12:N12" si="1">+F13+F14</f>
        <v>156388</v>
      </c>
      <c r="G12" s="42">
        <f t="shared" si="1"/>
        <v>167765</v>
      </c>
      <c r="H12" s="42">
        <f t="shared" si="1"/>
        <v>204892</v>
      </c>
      <c r="I12" s="42">
        <f t="shared" si="1"/>
        <v>200450</v>
      </c>
      <c r="J12" s="407">
        <f t="shared" si="1"/>
        <v>200395</v>
      </c>
      <c r="K12" s="42">
        <f t="shared" si="1"/>
        <v>135303</v>
      </c>
      <c r="L12" s="42">
        <f t="shared" si="1"/>
        <v>121485</v>
      </c>
      <c r="M12" s="45">
        <f t="shared" si="1"/>
        <v>104029.74800000001</v>
      </c>
      <c r="N12" s="45">
        <f t="shared" si="1"/>
        <v>90720</v>
      </c>
      <c r="O12" s="409">
        <v>88107</v>
      </c>
      <c r="P12" s="409">
        <v>95281</v>
      </c>
      <c r="Q12" s="408">
        <v>101156</v>
      </c>
      <c r="R12" s="45">
        <v>103648</v>
      </c>
      <c r="S12" s="45">
        <v>58152</v>
      </c>
      <c r="T12" s="46">
        <v>92183</v>
      </c>
      <c r="U12" s="45">
        <v>96037</v>
      </c>
      <c r="V12" s="47">
        <v>108356</v>
      </c>
      <c r="W12" s="54">
        <v>113208</v>
      </c>
      <c r="X12" s="54">
        <v>125918</v>
      </c>
      <c r="Y12" s="385" t="s">
        <v>633</v>
      </c>
      <c r="AB12" s="385"/>
      <c r="AC12" s="235" t="s">
        <v>3131</v>
      </c>
      <c r="AD12" s="11"/>
      <c r="AE12" s="11"/>
      <c r="AF12" s="11">
        <v>305.52999999999997</v>
      </c>
      <c r="AG12" s="11"/>
      <c r="AH12" s="11">
        <v>333.5</v>
      </c>
      <c r="AI12" s="11">
        <v>37</v>
      </c>
      <c r="AJ12" s="11"/>
      <c r="AK12" s="11"/>
      <c r="AL12" s="11">
        <v>268.13</v>
      </c>
      <c r="AM12" s="11"/>
      <c r="AN12" s="240"/>
      <c r="AO12" s="240">
        <v>280.91000000000003</v>
      </c>
      <c r="AP12" s="248">
        <f t="shared" si="0"/>
        <v>1225.07</v>
      </c>
      <c r="AT12" s="343" t="s">
        <v>3132</v>
      </c>
      <c r="AU12" s="343">
        <v>0</v>
      </c>
      <c r="AV12" s="343">
        <v>1031</v>
      </c>
      <c r="AW12" s="343">
        <v>430</v>
      </c>
      <c r="AX12" s="343">
        <v>74</v>
      </c>
      <c r="AY12" s="343">
        <v>378</v>
      </c>
      <c r="AZ12" s="343">
        <v>356</v>
      </c>
      <c r="BA12" s="343">
        <v>140</v>
      </c>
      <c r="BB12" s="343">
        <v>140</v>
      </c>
    </row>
    <row r="13" spans="1:66" ht="20.25">
      <c r="A13" s="385" t="s">
        <v>156</v>
      </c>
      <c r="B13" s="41" t="s">
        <v>634</v>
      </c>
      <c r="C13" s="42">
        <v>105236</v>
      </c>
      <c r="D13" s="42">
        <v>94876</v>
      </c>
      <c r="E13" s="42">
        <v>109511</v>
      </c>
      <c r="F13" s="42">
        <v>116785</v>
      </c>
      <c r="G13" s="42">
        <v>93446</v>
      </c>
      <c r="H13" s="42">
        <v>111582</v>
      </c>
      <c r="I13" s="42">
        <v>88162</v>
      </c>
      <c r="J13" s="407">
        <v>107812</v>
      </c>
      <c r="K13" s="42">
        <v>102922</v>
      </c>
      <c r="L13" s="42">
        <v>110320</v>
      </c>
      <c r="M13" s="48">
        <v>100464.5</v>
      </c>
      <c r="N13" s="48">
        <v>86963</v>
      </c>
      <c r="O13" s="410">
        <v>81774</v>
      </c>
      <c r="P13" s="408">
        <v>80905</v>
      </c>
      <c r="Q13" s="410">
        <v>93629</v>
      </c>
      <c r="R13" s="48">
        <v>101789</v>
      </c>
      <c r="S13" s="410">
        <v>47527</v>
      </c>
      <c r="T13" s="49">
        <v>84797</v>
      </c>
      <c r="U13" s="48">
        <v>94643</v>
      </c>
      <c r="V13" s="50">
        <v>105352</v>
      </c>
      <c r="W13" s="54">
        <f>113208-4440</f>
        <v>108768</v>
      </c>
      <c r="X13" s="54">
        <v>119334</v>
      </c>
      <c r="Y13" s="385" t="s">
        <v>156</v>
      </c>
      <c r="AB13" s="385"/>
      <c r="AC13" s="235" t="s">
        <v>3133</v>
      </c>
      <c r="AD13" s="11">
        <v>186.55</v>
      </c>
      <c r="AE13" s="11"/>
      <c r="AF13" s="11">
        <v>332.32</v>
      </c>
      <c r="AG13" s="11"/>
      <c r="AH13" s="11">
        <v>400.09</v>
      </c>
      <c r="AI13" s="11"/>
      <c r="AJ13" s="11"/>
      <c r="AK13" s="11"/>
      <c r="AL13" s="11">
        <v>235.78</v>
      </c>
      <c r="AM13" s="11">
        <v>213.53</v>
      </c>
      <c r="AN13" s="240"/>
      <c r="AO13" s="240">
        <v>296.98</v>
      </c>
      <c r="AP13" s="248">
        <f t="shared" si="0"/>
        <v>1665.25</v>
      </c>
      <c r="AT13" s="343" t="s">
        <v>3134</v>
      </c>
      <c r="AU13" s="343">
        <v>1464</v>
      </c>
      <c r="AV13" s="343">
        <v>1412</v>
      </c>
      <c r="AW13" s="343">
        <v>1119</v>
      </c>
      <c r="AX13" s="343">
        <v>1281</v>
      </c>
      <c r="AY13" s="343">
        <v>1426</v>
      </c>
      <c r="AZ13" s="343">
        <v>848</v>
      </c>
      <c r="BA13" s="343">
        <v>1405</v>
      </c>
      <c r="BB13" s="343">
        <v>1293</v>
      </c>
    </row>
    <row r="14" spans="1:66" ht="20.25">
      <c r="A14" s="385" t="s">
        <v>2059</v>
      </c>
      <c r="B14" s="41" t="s">
        <v>634</v>
      </c>
      <c r="C14" s="42">
        <v>44456</v>
      </c>
      <c r="D14" s="42">
        <v>45718</v>
      </c>
      <c r="E14" s="42">
        <v>40362</v>
      </c>
      <c r="F14" s="42">
        <v>39603</v>
      </c>
      <c r="G14" s="42">
        <v>74319</v>
      </c>
      <c r="H14" s="42">
        <v>93310</v>
      </c>
      <c r="I14" s="42">
        <v>112288</v>
      </c>
      <c r="J14" s="407">
        <v>92583</v>
      </c>
      <c r="K14" s="42">
        <v>32381</v>
      </c>
      <c r="L14" s="42">
        <v>11165</v>
      </c>
      <c r="M14" s="45">
        <v>3565.248</v>
      </c>
      <c r="N14" s="48">
        <v>3757</v>
      </c>
      <c r="O14" s="410">
        <v>6333</v>
      </c>
      <c r="P14" s="408">
        <v>14376</v>
      </c>
      <c r="Q14" s="408">
        <v>7529</v>
      </c>
      <c r="R14" s="51">
        <v>1859</v>
      </c>
      <c r="S14" s="422">
        <v>9058</v>
      </c>
      <c r="T14" s="51">
        <v>7386</v>
      </c>
      <c r="U14" s="42">
        <v>1394</v>
      </c>
      <c r="V14" s="54">
        <v>3004</v>
      </c>
      <c r="W14" s="54">
        <v>4440</v>
      </c>
      <c r="X14" s="54">
        <f>+X12-X13</f>
        <v>6584</v>
      </c>
      <c r="Y14" s="385" t="s">
        <v>2059</v>
      </c>
      <c r="AB14" s="385"/>
      <c r="AC14" s="235" t="s">
        <v>3135</v>
      </c>
      <c r="AD14" s="11"/>
      <c r="AE14" s="11"/>
      <c r="AF14" s="11"/>
      <c r="AG14" s="11">
        <v>39.409999999999997</v>
      </c>
      <c r="AH14" s="11"/>
      <c r="AI14" s="11"/>
      <c r="AJ14" s="11"/>
      <c r="AK14" s="11"/>
      <c r="AL14" s="11"/>
      <c r="AM14" s="11"/>
      <c r="AN14" s="240"/>
      <c r="AO14" s="240"/>
      <c r="AP14" s="248">
        <f t="shared" si="0"/>
        <v>39.409999999999997</v>
      </c>
      <c r="AT14" s="343" t="s">
        <v>3136</v>
      </c>
      <c r="AU14" s="343">
        <v>935</v>
      </c>
      <c r="AV14" s="343">
        <v>779</v>
      </c>
      <c r="AW14" s="343">
        <v>1353</v>
      </c>
      <c r="AX14" s="343">
        <v>816</v>
      </c>
      <c r="AY14" s="343">
        <v>885</v>
      </c>
      <c r="AZ14" s="343">
        <v>584</v>
      </c>
      <c r="BA14" s="343">
        <v>854</v>
      </c>
      <c r="BB14" s="343">
        <v>705</v>
      </c>
    </row>
    <row r="15" spans="1:66" ht="20.25">
      <c r="A15" s="385" t="s">
        <v>738</v>
      </c>
      <c r="B15" s="41" t="s">
        <v>634</v>
      </c>
      <c r="C15" s="42">
        <v>3039</v>
      </c>
      <c r="D15" s="42">
        <v>2814</v>
      </c>
      <c r="E15" s="42">
        <v>3046</v>
      </c>
      <c r="F15" s="42">
        <v>3376</v>
      </c>
      <c r="G15" s="42">
        <v>3507</v>
      </c>
      <c r="H15" s="42">
        <v>4170</v>
      </c>
      <c r="I15" s="42">
        <v>4132</v>
      </c>
      <c r="J15" s="407">
        <v>4057</v>
      </c>
      <c r="K15" s="42">
        <v>2822</v>
      </c>
      <c r="L15" s="42">
        <v>2371</v>
      </c>
      <c r="M15" s="45">
        <v>2070</v>
      </c>
      <c r="N15" s="48">
        <v>1755</v>
      </c>
      <c r="O15" s="410">
        <v>1716</v>
      </c>
      <c r="P15" s="408">
        <v>1886</v>
      </c>
      <c r="Q15" s="408">
        <v>1993</v>
      </c>
      <c r="R15" s="51">
        <v>2012</v>
      </c>
      <c r="S15" s="422">
        <v>1155</v>
      </c>
      <c r="T15" s="51">
        <v>1831</v>
      </c>
      <c r="U15" s="42">
        <v>1913</v>
      </c>
      <c r="V15" s="54">
        <v>2191</v>
      </c>
      <c r="W15" s="54">
        <v>2288</v>
      </c>
      <c r="X15" s="54">
        <v>2526</v>
      </c>
      <c r="Y15" s="385" t="s">
        <v>738</v>
      </c>
      <c r="AB15" s="385"/>
      <c r="AC15" s="235" t="s">
        <v>3137</v>
      </c>
      <c r="AD15" s="11">
        <v>6.9</v>
      </c>
      <c r="AE15" s="11"/>
      <c r="AF15" s="11"/>
      <c r="AG15" s="11"/>
      <c r="AH15" s="11"/>
      <c r="AI15" s="11"/>
      <c r="AJ15" s="11"/>
      <c r="AK15" s="11">
        <v>196.41</v>
      </c>
      <c r="AL15" s="11"/>
      <c r="AM15" s="11"/>
      <c r="AN15" s="240"/>
      <c r="AO15" s="240"/>
      <c r="AP15" s="248">
        <f t="shared" si="0"/>
        <v>203.31</v>
      </c>
      <c r="AT15" s="343" t="s">
        <v>23</v>
      </c>
      <c r="AU15" s="343">
        <f t="shared" ref="AU15:BB15" si="2">SUM(AU3:AU14)</f>
        <v>88107</v>
      </c>
      <c r="AV15" s="343">
        <f t="shared" si="2"/>
        <v>95281</v>
      </c>
      <c r="AW15" s="343">
        <f t="shared" si="2"/>
        <v>101210</v>
      </c>
      <c r="AX15" s="343">
        <f t="shared" si="2"/>
        <v>103648</v>
      </c>
      <c r="AY15" s="343">
        <f t="shared" si="2"/>
        <v>58152</v>
      </c>
      <c r="AZ15" s="343">
        <f t="shared" si="2"/>
        <v>96089</v>
      </c>
      <c r="BA15" s="343">
        <f t="shared" si="2"/>
        <v>108451</v>
      </c>
      <c r="BB15" s="343">
        <f t="shared" si="2"/>
        <v>113209</v>
      </c>
    </row>
    <row r="16" spans="1:66" ht="18">
      <c r="A16" s="385" t="s">
        <v>3078</v>
      </c>
      <c r="B16" s="42" t="s">
        <v>3079</v>
      </c>
      <c r="C16" s="42"/>
      <c r="D16" s="42"/>
      <c r="E16" s="42"/>
      <c r="F16" s="42"/>
      <c r="G16" s="42"/>
      <c r="H16" s="42"/>
      <c r="I16" s="42"/>
      <c r="J16" s="407"/>
      <c r="K16" s="42">
        <v>283</v>
      </c>
      <c r="L16" s="42">
        <v>94</v>
      </c>
      <c r="M16" s="45">
        <v>402</v>
      </c>
      <c r="N16" s="48">
        <v>94</v>
      </c>
      <c r="O16" s="410">
        <v>245</v>
      </c>
      <c r="P16" s="408">
        <v>287</v>
      </c>
      <c r="Q16" s="408">
        <v>476</v>
      </c>
      <c r="R16" s="51">
        <f>371-22</f>
        <v>349</v>
      </c>
      <c r="S16" s="422">
        <v>364</v>
      </c>
      <c r="T16" s="51">
        <v>405</v>
      </c>
      <c r="U16" s="42">
        <v>496</v>
      </c>
      <c r="V16" s="54">
        <v>696</v>
      </c>
      <c r="W16" s="54">
        <v>846</v>
      </c>
      <c r="X16" s="54">
        <v>507</v>
      </c>
      <c r="Y16" s="385" t="s">
        <v>3078</v>
      </c>
      <c r="AB16" s="385"/>
      <c r="AC16" s="235" t="s">
        <v>3138</v>
      </c>
      <c r="AD16" s="11">
        <v>284.64</v>
      </c>
      <c r="AE16" s="11"/>
      <c r="AF16" s="11"/>
      <c r="AG16" s="11">
        <v>310.67</v>
      </c>
      <c r="AH16" s="11"/>
      <c r="AI16" s="11">
        <v>259.04000000000002</v>
      </c>
      <c r="AJ16" s="11"/>
      <c r="AK16" s="11"/>
      <c r="AL16" s="11"/>
      <c r="AM16" s="11"/>
      <c r="AN16" s="240"/>
      <c r="AO16" s="240">
        <v>370.99</v>
      </c>
      <c r="AP16" s="248">
        <f t="shared" si="0"/>
        <v>1225.3399999999999</v>
      </c>
    </row>
    <row r="17" spans="1:56" ht="18">
      <c r="A17" s="385" t="s">
        <v>3080</v>
      </c>
      <c r="B17" s="42" t="s">
        <v>3079</v>
      </c>
      <c r="C17" s="42"/>
      <c r="D17" s="42"/>
      <c r="E17" s="42"/>
      <c r="F17" s="42">
        <f>464+73</f>
        <v>537</v>
      </c>
      <c r="G17" s="42">
        <f>123+1059</f>
        <v>1182</v>
      </c>
      <c r="H17" s="42">
        <v>1543</v>
      </c>
      <c r="I17" s="42">
        <f>93+1252+75+43</f>
        <v>1463</v>
      </c>
      <c r="J17" s="407">
        <v>656</v>
      </c>
      <c r="K17" s="42">
        <f>72+204+143+5</f>
        <v>424</v>
      </c>
      <c r="L17" s="42">
        <f>10+20+189</f>
        <v>219</v>
      </c>
      <c r="M17" s="45">
        <v>424</v>
      </c>
      <c r="N17" s="48">
        <v>120</v>
      </c>
      <c r="O17" s="410">
        <v>264</v>
      </c>
      <c r="P17" s="408">
        <v>312</v>
      </c>
      <c r="Q17" s="408">
        <v>491</v>
      </c>
      <c r="R17" s="51">
        <v>371</v>
      </c>
      <c r="S17" s="422">
        <v>376</v>
      </c>
      <c r="T17" s="51">
        <v>420</v>
      </c>
      <c r="U17" s="42">
        <v>496</v>
      </c>
      <c r="V17" s="54">
        <v>706</v>
      </c>
      <c r="W17" s="54">
        <v>859</v>
      </c>
      <c r="X17" s="54">
        <v>521</v>
      </c>
      <c r="Y17" s="385" t="s">
        <v>3080</v>
      </c>
      <c r="AB17" s="385"/>
      <c r="AC17" s="235" t="s">
        <v>3139</v>
      </c>
      <c r="AD17" s="11">
        <v>156.06</v>
      </c>
      <c r="AE17" s="11">
        <v>130.68</v>
      </c>
      <c r="AF17" s="11"/>
      <c r="AG17" s="11"/>
      <c r="AH17" s="11"/>
      <c r="AI17" s="11">
        <v>198.11</v>
      </c>
      <c r="AJ17" s="11">
        <v>62.71</v>
      </c>
      <c r="AK17" s="11"/>
      <c r="AL17" s="11"/>
      <c r="AM17" s="11"/>
      <c r="AN17" s="240"/>
      <c r="AO17" s="240"/>
      <c r="AP17" s="248">
        <f t="shared" si="0"/>
        <v>547.56000000000006</v>
      </c>
      <c r="AX17" s="452" t="s">
        <v>39</v>
      </c>
      <c r="AY17" s="453" t="s">
        <v>519</v>
      </c>
      <c r="AZ17" s="453" t="s">
        <v>807</v>
      </c>
      <c r="BA17" s="453" t="s">
        <v>808</v>
      </c>
      <c r="BB17" s="453" t="s">
        <v>809</v>
      </c>
      <c r="BC17" s="453" t="s">
        <v>2363</v>
      </c>
      <c r="BD17" s="454" t="s">
        <v>2410</v>
      </c>
    </row>
    <row r="18" spans="1:56" ht="18">
      <c r="A18" s="385" t="s">
        <v>3081</v>
      </c>
      <c r="B18" s="42" t="s">
        <v>3079</v>
      </c>
      <c r="C18" s="42">
        <v>47</v>
      </c>
      <c r="D18" s="42">
        <v>86</v>
      </c>
      <c r="E18" s="42">
        <v>858</v>
      </c>
      <c r="F18" s="42">
        <v>600</v>
      </c>
      <c r="G18" s="42">
        <v>1186</v>
      </c>
      <c r="H18" s="42">
        <v>1543</v>
      </c>
      <c r="I18" s="42">
        <v>1402</v>
      </c>
      <c r="J18" s="407">
        <v>655</v>
      </c>
      <c r="K18" s="42">
        <v>11</v>
      </c>
      <c r="L18" s="42">
        <v>18</v>
      </c>
      <c r="M18" s="45">
        <v>10</v>
      </c>
      <c r="N18" s="48">
        <v>22</v>
      </c>
      <c r="O18" s="410">
        <v>6</v>
      </c>
      <c r="P18" s="408">
        <v>8</v>
      </c>
      <c r="Q18" s="408">
        <v>15</v>
      </c>
      <c r="R18" s="51">
        <v>22</v>
      </c>
      <c r="S18" s="422">
        <v>5</v>
      </c>
      <c r="T18" s="51">
        <v>15</v>
      </c>
      <c r="U18" s="42">
        <v>16</v>
      </c>
      <c r="V18" s="54">
        <v>10</v>
      </c>
      <c r="W18" s="54">
        <v>13</v>
      </c>
      <c r="X18" s="54">
        <v>14</v>
      </c>
      <c r="Y18" s="385" t="s">
        <v>3081</v>
      </c>
      <c r="AB18" s="385"/>
      <c r="AC18" s="235" t="s">
        <v>3140</v>
      </c>
      <c r="AD18" s="11"/>
      <c r="AE18" s="11">
        <v>261.13</v>
      </c>
      <c r="AF18" s="11"/>
      <c r="AG18" s="11">
        <v>321.56</v>
      </c>
      <c r="AH18" s="11"/>
      <c r="AI18" s="11"/>
      <c r="AJ18" s="11">
        <v>240.42</v>
      </c>
      <c r="AK18" s="11"/>
      <c r="AL18" s="11"/>
      <c r="AM18" s="11">
        <v>265.60000000000002</v>
      </c>
      <c r="AN18" s="240"/>
      <c r="AO18" s="240"/>
      <c r="AP18" s="248">
        <f t="shared" si="0"/>
        <v>1088.71</v>
      </c>
      <c r="AX18" s="452" t="s">
        <v>633</v>
      </c>
      <c r="AY18" s="455" t="s">
        <v>3141</v>
      </c>
      <c r="AZ18" s="456">
        <v>5.8000000000000003E-2</v>
      </c>
      <c r="BA18" s="456">
        <v>9.1999999999999998E-2</v>
      </c>
      <c r="BB18" s="456">
        <v>9.6000000000000002E-2</v>
      </c>
      <c r="BC18" s="456">
        <v>0.108</v>
      </c>
      <c r="BD18" s="456">
        <v>0.113</v>
      </c>
    </row>
    <row r="19" spans="1:56" ht="18">
      <c r="A19" s="385" t="s">
        <v>3082</v>
      </c>
      <c r="B19" s="42" t="s">
        <v>3079</v>
      </c>
      <c r="C19" s="42">
        <f>+C15-C18</f>
        <v>2992</v>
      </c>
      <c r="D19" s="42">
        <f>+D15-D18</f>
        <v>2728</v>
      </c>
      <c r="E19" s="42">
        <f>+E15-E18</f>
        <v>2188</v>
      </c>
      <c r="F19" s="42">
        <f t="shared" ref="F19:N19" si="3">+F15-F18</f>
        <v>2776</v>
      </c>
      <c r="G19" s="42">
        <f t="shared" si="3"/>
        <v>2321</v>
      </c>
      <c r="H19" s="42">
        <f t="shared" si="3"/>
        <v>2627</v>
      </c>
      <c r="I19" s="42">
        <f t="shared" si="3"/>
        <v>2730</v>
      </c>
      <c r="J19" s="407">
        <f t="shared" si="3"/>
        <v>3402</v>
      </c>
      <c r="K19" s="42">
        <f t="shared" si="3"/>
        <v>2811</v>
      </c>
      <c r="L19" s="42">
        <f t="shared" si="3"/>
        <v>2353</v>
      </c>
      <c r="M19" s="42">
        <f t="shared" si="3"/>
        <v>2060</v>
      </c>
      <c r="N19" s="42">
        <f t="shared" si="3"/>
        <v>1733</v>
      </c>
      <c r="O19" s="408">
        <v>1710</v>
      </c>
      <c r="P19" s="408">
        <f>+P15-P18</f>
        <v>1878</v>
      </c>
      <c r="Q19" s="51">
        <f>+Q15-Q18</f>
        <v>1978</v>
      </c>
      <c r="R19" s="51">
        <f>+R15-R18</f>
        <v>1990</v>
      </c>
      <c r="S19" s="422">
        <f>+S15-S18</f>
        <v>1150</v>
      </c>
      <c r="T19" s="51">
        <f>1831-15</f>
        <v>1816</v>
      </c>
      <c r="U19" s="51">
        <f>1913-16</f>
        <v>1897</v>
      </c>
      <c r="V19" s="54">
        <f>2191-10</f>
        <v>2181</v>
      </c>
      <c r="W19" s="54">
        <f>+W15-W18</f>
        <v>2275</v>
      </c>
      <c r="X19" s="54">
        <f>+X15-X18</f>
        <v>2512</v>
      </c>
      <c r="Y19" s="385" t="s">
        <v>3082</v>
      </c>
      <c r="AB19" s="385"/>
      <c r="AC19" s="235" t="s">
        <v>3142</v>
      </c>
      <c r="AD19" s="11">
        <v>53.13</v>
      </c>
      <c r="AE19" s="11"/>
      <c r="AF19" s="11">
        <v>167.29</v>
      </c>
      <c r="AG19" s="11"/>
      <c r="AH19" s="11"/>
      <c r="AI19" s="11">
        <v>268.7</v>
      </c>
      <c r="AJ19" s="11"/>
      <c r="AK19" s="11"/>
      <c r="AL19" s="11">
        <v>260.89999999999998</v>
      </c>
      <c r="AM19" s="11"/>
      <c r="AN19" s="240"/>
      <c r="AO19" s="240"/>
      <c r="AP19" s="248">
        <f t="shared" si="0"/>
        <v>750.02</v>
      </c>
      <c r="AX19" s="452" t="s">
        <v>740</v>
      </c>
      <c r="AY19" s="457" t="s">
        <v>3141</v>
      </c>
      <c r="AZ19" s="456">
        <v>6.9000000000000006E-2</v>
      </c>
      <c r="BA19" s="456">
        <v>0.109</v>
      </c>
      <c r="BB19" s="456">
        <v>0.10199999999999999</v>
      </c>
      <c r="BC19" s="456">
        <v>0.11899999999999999</v>
      </c>
      <c r="BD19" s="456">
        <v>0.11899999999999999</v>
      </c>
    </row>
    <row r="20" spans="1:56" ht="18">
      <c r="A20" s="385" t="s">
        <v>3083</v>
      </c>
      <c r="B20" s="42" t="s">
        <v>634</v>
      </c>
      <c r="C20" s="42">
        <v>135297</v>
      </c>
      <c r="D20" s="42">
        <v>122616</v>
      </c>
      <c r="E20" s="42">
        <v>126129</v>
      </c>
      <c r="F20" s="42">
        <v>147248</v>
      </c>
      <c r="G20" s="42">
        <v>123167</v>
      </c>
      <c r="H20" s="42">
        <v>131816</v>
      </c>
      <c r="I20" s="42">
        <v>120580</v>
      </c>
      <c r="J20" s="407">
        <v>132070</v>
      </c>
      <c r="K20" s="42">
        <v>123634</v>
      </c>
      <c r="L20" s="42">
        <v>136147</v>
      </c>
      <c r="M20" s="42">
        <v>120402</v>
      </c>
      <c r="N20" s="42">
        <v>103510</v>
      </c>
      <c r="O20" s="408">
        <v>94919</v>
      </c>
      <c r="P20" s="408">
        <v>93550</v>
      </c>
      <c r="Q20" s="408">
        <v>125950</v>
      </c>
      <c r="R20" s="42">
        <v>120486</v>
      </c>
      <c r="S20" s="408">
        <v>70417</v>
      </c>
      <c r="T20" s="51">
        <v>112826</v>
      </c>
      <c r="U20" s="42">
        <v>111499</v>
      </c>
      <c r="V20" s="54">
        <v>137755</v>
      </c>
      <c r="W20" s="54">
        <v>140596</v>
      </c>
      <c r="X20" s="54">
        <v>143752</v>
      </c>
      <c r="Y20" s="385" t="s">
        <v>3083</v>
      </c>
      <c r="AB20" s="385"/>
      <c r="AC20" s="235" t="s">
        <v>3143</v>
      </c>
      <c r="AD20" s="11"/>
      <c r="AE20" s="11"/>
      <c r="AF20" s="11">
        <v>84.23</v>
      </c>
      <c r="AG20" s="11"/>
      <c r="AH20" s="11"/>
      <c r="AI20" s="11">
        <v>154.86000000000001</v>
      </c>
      <c r="AJ20" s="11">
        <v>210.44</v>
      </c>
      <c r="AK20" s="11"/>
      <c r="AL20" s="11"/>
      <c r="AM20" s="11"/>
      <c r="AN20" s="240"/>
      <c r="AO20" s="240"/>
      <c r="AP20" s="248">
        <f t="shared" si="0"/>
        <v>449.53000000000003</v>
      </c>
      <c r="AX20" s="458" t="s">
        <v>142</v>
      </c>
      <c r="AY20" s="459" t="s">
        <v>3141</v>
      </c>
      <c r="AZ20" s="459">
        <v>7.3999999999999996E-2</v>
      </c>
      <c r="BA20" s="459">
        <v>0.109</v>
      </c>
      <c r="BB20" s="459">
        <v>0.10299999999999999</v>
      </c>
      <c r="BC20" s="459">
        <v>0.11799999999999999</v>
      </c>
      <c r="BD20" s="459">
        <v>0.122</v>
      </c>
    </row>
    <row r="21" spans="1:56" ht="18">
      <c r="A21" s="385" t="s">
        <v>3084</v>
      </c>
      <c r="B21" s="42" t="s">
        <v>634</v>
      </c>
      <c r="C21" s="42">
        <v>8556</v>
      </c>
      <c r="D21" s="42">
        <v>10524</v>
      </c>
      <c r="E21" s="42">
        <v>7480</v>
      </c>
      <c r="F21" s="42">
        <v>8968</v>
      </c>
      <c r="G21" s="42">
        <v>7301</v>
      </c>
      <c r="H21" s="42">
        <v>4310</v>
      </c>
      <c r="I21" s="42">
        <v>4580</v>
      </c>
      <c r="J21" s="407">
        <v>5882</v>
      </c>
      <c r="K21" s="42">
        <v>5513</v>
      </c>
      <c r="L21" s="42">
        <v>6852</v>
      </c>
      <c r="M21" s="42">
        <v>5031</v>
      </c>
      <c r="N21" s="42">
        <v>5153</v>
      </c>
      <c r="O21" s="408">
        <v>4264</v>
      </c>
      <c r="P21" s="408">
        <v>5724</v>
      </c>
      <c r="Q21" s="408">
        <v>5770</v>
      </c>
      <c r="R21" s="42">
        <v>5972</v>
      </c>
      <c r="S21" s="408">
        <v>7946</v>
      </c>
      <c r="T21" s="51">
        <v>6632</v>
      </c>
      <c r="U21" s="42">
        <v>6714</v>
      </c>
      <c r="V21" s="54">
        <v>5145</v>
      </c>
      <c r="W21" s="54">
        <v>4257</v>
      </c>
      <c r="X21" s="54">
        <v>4144</v>
      </c>
      <c r="Y21" s="385" t="s">
        <v>3084</v>
      </c>
      <c r="AB21" s="385"/>
      <c r="AC21" s="235" t="s">
        <v>3144</v>
      </c>
      <c r="AD21" s="11"/>
      <c r="AE21" s="11">
        <v>354.11</v>
      </c>
      <c r="AF21" s="11"/>
      <c r="AG21" s="11"/>
      <c r="AH21" s="11"/>
      <c r="AI21" s="11"/>
      <c r="AJ21" s="11"/>
      <c r="AK21" s="11"/>
      <c r="AL21" s="11">
        <v>255.21</v>
      </c>
      <c r="AM21" s="11"/>
      <c r="AN21" s="240">
        <v>117.75</v>
      </c>
      <c r="AO21" s="240"/>
      <c r="AP21" s="248">
        <f t="shared" si="0"/>
        <v>727.07</v>
      </c>
    </row>
    <row r="22" spans="1:56" ht="18">
      <c r="A22" s="385" t="s">
        <v>2060</v>
      </c>
      <c r="B22" s="42" t="s">
        <v>634</v>
      </c>
      <c r="C22" s="42">
        <v>106669</v>
      </c>
      <c r="D22" s="42">
        <v>103331</v>
      </c>
      <c r="E22" s="42">
        <v>109814</v>
      </c>
      <c r="F22" s="42">
        <v>111450</v>
      </c>
      <c r="G22" s="42">
        <v>100798</v>
      </c>
      <c r="H22" s="42">
        <v>86156</v>
      </c>
      <c r="I22" s="42">
        <v>91338</v>
      </c>
      <c r="J22" s="407">
        <v>101451</v>
      </c>
      <c r="K22" s="42">
        <v>95868</v>
      </c>
      <c r="L22" s="42">
        <v>102680</v>
      </c>
      <c r="M22" s="48">
        <v>92382.688999999998</v>
      </c>
      <c r="N22" s="48">
        <f>82480-3233</f>
        <v>79247</v>
      </c>
      <c r="O22" s="410">
        <v>78396</v>
      </c>
      <c r="P22" s="408">
        <v>77516</v>
      </c>
      <c r="Q22" s="410">
        <v>108901</v>
      </c>
      <c r="R22" s="48">
        <f>102586-1237</f>
        <v>101349</v>
      </c>
      <c r="S22" s="410">
        <v>58971</v>
      </c>
      <c r="T22" s="55">
        <f>108897-9381</f>
        <v>99516</v>
      </c>
      <c r="U22" s="41">
        <f>101809-958</f>
        <v>100851</v>
      </c>
      <c r="V22" s="54">
        <f>119015-2738</f>
        <v>116277</v>
      </c>
      <c r="W22" s="54">
        <v>114416</v>
      </c>
      <c r="X22" s="54">
        <f>119127-6050</f>
        <v>113077</v>
      </c>
      <c r="Y22" s="385" t="s">
        <v>2060</v>
      </c>
      <c r="AB22" s="385"/>
      <c r="AC22" s="235" t="s">
        <v>3145</v>
      </c>
      <c r="AD22" s="11">
        <v>294.86</v>
      </c>
      <c r="AE22" s="11"/>
      <c r="AF22" s="11">
        <v>298.29000000000002</v>
      </c>
      <c r="AG22" s="11">
        <v>281.74</v>
      </c>
      <c r="AH22" s="11"/>
      <c r="AI22" s="11">
        <v>341.76</v>
      </c>
      <c r="AJ22" s="11">
        <v>120.62</v>
      </c>
      <c r="AK22" s="11">
        <v>252.93</v>
      </c>
      <c r="AL22" s="11"/>
      <c r="AM22" s="11"/>
      <c r="AN22" s="240">
        <v>414.02</v>
      </c>
      <c r="AO22" s="240">
        <v>470.68900000000002</v>
      </c>
      <c r="AP22" s="248">
        <f t="shared" si="0"/>
        <v>2474.9090000000001</v>
      </c>
    </row>
    <row r="23" spans="1:56" ht="18">
      <c r="A23" s="385" t="s">
        <v>2061</v>
      </c>
      <c r="B23" s="42" t="s">
        <v>634</v>
      </c>
      <c r="C23" s="42">
        <f>128452-106669</f>
        <v>21783</v>
      </c>
      <c r="D23" s="42">
        <f>125150-103331</f>
        <v>21819</v>
      </c>
      <c r="E23" s="42">
        <f>141261-109814</f>
        <v>31447</v>
      </c>
      <c r="F23" s="42">
        <f>150080-111450</f>
        <v>38630</v>
      </c>
      <c r="G23" s="42">
        <f>173094-100798</f>
        <v>72296</v>
      </c>
      <c r="H23" s="42">
        <v>93889</v>
      </c>
      <c r="I23" s="42">
        <v>111575</v>
      </c>
      <c r="J23" s="407">
        <v>83033</v>
      </c>
      <c r="K23" s="42">
        <v>30526</v>
      </c>
      <c r="L23" s="42">
        <v>11666</v>
      </c>
      <c r="M23" s="42">
        <v>3581.6</v>
      </c>
      <c r="N23" s="48">
        <v>3233</v>
      </c>
      <c r="O23" s="410">
        <v>4690</v>
      </c>
      <c r="P23" s="408">
        <f>89108-77516</f>
        <v>11592</v>
      </c>
      <c r="Q23" s="410">
        <f>115695-108912</f>
        <v>6783</v>
      </c>
      <c r="R23" s="48">
        <v>1237</v>
      </c>
      <c r="S23" s="410">
        <v>10003</v>
      </c>
      <c r="T23" s="51">
        <v>9381</v>
      </c>
      <c r="U23" s="42">
        <v>958</v>
      </c>
      <c r="V23" s="54">
        <v>2738</v>
      </c>
      <c r="W23" s="54">
        <f>+W24-W22</f>
        <v>4239</v>
      </c>
      <c r="X23" s="54">
        <v>6050</v>
      </c>
      <c r="Y23" s="385" t="s">
        <v>2061</v>
      </c>
      <c r="AB23" s="385"/>
      <c r="AC23" s="236" t="s">
        <v>23</v>
      </c>
      <c r="AD23" s="237">
        <f>SUM(AD3:AD22)</f>
        <v>2021.4900000000002</v>
      </c>
      <c r="AE23" s="237">
        <f t="shared" ref="AE23:AO23" si="4">SUM(AE3:AE22)</f>
        <v>1206.76</v>
      </c>
      <c r="AF23" s="237">
        <f t="shared" si="4"/>
        <v>1891.4299999999998</v>
      </c>
      <c r="AG23" s="237">
        <f t="shared" si="4"/>
        <v>1759.55</v>
      </c>
      <c r="AH23" s="237">
        <f t="shared" si="4"/>
        <v>2061.6400000000003</v>
      </c>
      <c r="AI23" s="237">
        <f t="shared" si="4"/>
        <v>2085.6899999999996</v>
      </c>
      <c r="AJ23" s="237">
        <f t="shared" si="4"/>
        <v>1816.65</v>
      </c>
      <c r="AK23" s="237">
        <f t="shared" si="4"/>
        <v>540.08999999999992</v>
      </c>
      <c r="AL23" s="237">
        <f t="shared" si="4"/>
        <v>1639.0500000000002</v>
      </c>
      <c r="AM23" s="237">
        <f t="shared" si="4"/>
        <v>1604.7400000000002</v>
      </c>
      <c r="AN23" s="237">
        <f t="shared" si="4"/>
        <v>987.06999999999994</v>
      </c>
      <c r="AO23" s="237">
        <f t="shared" si="4"/>
        <v>2387.9189999999999</v>
      </c>
      <c r="AP23" s="248">
        <f>SUM(AD23:AN23)</f>
        <v>17614.160000000003</v>
      </c>
    </row>
    <row r="24" spans="1:56" ht="15" customHeight="1">
      <c r="A24" s="385" t="s">
        <v>521</v>
      </c>
      <c r="B24" s="42" t="s">
        <v>634</v>
      </c>
      <c r="C24" s="42">
        <f>+C22+C23</f>
        <v>128452</v>
      </c>
      <c r="D24" s="42">
        <f>+D22+D23</f>
        <v>125150</v>
      </c>
      <c r="E24" s="42">
        <f>+E22+E23</f>
        <v>141261</v>
      </c>
      <c r="F24" s="42">
        <f t="shared" ref="F24:L24" si="5">+F22+F23</f>
        <v>150080</v>
      </c>
      <c r="G24" s="42">
        <f t="shared" si="5"/>
        <v>173094</v>
      </c>
      <c r="H24" s="42">
        <f t="shared" si="5"/>
        <v>180045</v>
      </c>
      <c r="I24" s="42">
        <f t="shared" si="5"/>
        <v>202913</v>
      </c>
      <c r="J24" s="407">
        <f t="shared" si="5"/>
        <v>184484</v>
      </c>
      <c r="K24" s="42">
        <f t="shared" si="5"/>
        <v>126394</v>
      </c>
      <c r="L24" s="42">
        <f t="shared" si="5"/>
        <v>114346</v>
      </c>
      <c r="M24" s="48">
        <f>+M23+M22</f>
        <v>95964.289000000004</v>
      </c>
      <c r="N24" s="48">
        <f>+N22+N23</f>
        <v>82480</v>
      </c>
      <c r="O24" s="48">
        <v>83086</v>
      </c>
      <c r="P24" s="410">
        <f>+P22+P23</f>
        <v>89108</v>
      </c>
      <c r="Q24" s="410">
        <f>+Q22+Q23</f>
        <v>115684</v>
      </c>
      <c r="R24" s="49">
        <f>+R23+R22</f>
        <v>102586</v>
      </c>
      <c r="S24" s="423">
        <f>+S23+S22</f>
        <v>68974</v>
      </c>
      <c r="T24" s="55">
        <f>+T23+T22</f>
        <v>108897</v>
      </c>
      <c r="U24" s="42">
        <v>101809</v>
      </c>
      <c r="V24" s="54">
        <v>119026</v>
      </c>
      <c r="W24" s="54">
        <v>118655</v>
      </c>
      <c r="X24" s="54">
        <v>119127</v>
      </c>
      <c r="Y24" s="385" t="s">
        <v>521</v>
      </c>
      <c r="Z24" s="420">
        <v>118675</v>
      </c>
      <c r="AB24" s="385"/>
    </row>
    <row r="25" spans="1:56" ht="15">
      <c r="A25" s="385" t="s">
        <v>142</v>
      </c>
      <c r="B25" s="42" t="s">
        <v>634</v>
      </c>
      <c r="C25" s="42">
        <v>125445</v>
      </c>
      <c r="D25" s="42">
        <v>100742</v>
      </c>
      <c r="E25" s="42">
        <v>139740</v>
      </c>
      <c r="F25" s="42">
        <v>152640</v>
      </c>
      <c r="G25" s="42">
        <v>172911</v>
      </c>
      <c r="H25" s="42">
        <v>180062</v>
      </c>
      <c r="I25" s="42">
        <v>200533</v>
      </c>
      <c r="J25" s="407">
        <v>188046</v>
      </c>
      <c r="K25" s="42">
        <v>118679</v>
      </c>
      <c r="L25" s="42">
        <v>111192</v>
      </c>
      <c r="M25" s="42">
        <v>98687</v>
      </c>
      <c r="N25" s="42">
        <v>77439</v>
      </c>
      <c r="O25" s="408">
        <v>80416</v>
      </c>
      <c r="P25" s="408">
        <v>95919</v>
      </c>
      <c r="Q25" s="408">
        <v>116118</v>
      </c>
      <c r="R25" s="42">
        <v>97975</v>
      </c>
      <c r="S25" s="408">
        <v>74336</v>
      </c>
      <c r="T25" s="51">
        <v>108595</v>
      </c>
      <c r="U25" s="42">
        <v>102847</v>
      </c>
      <c r="V25" s="54">
        <v>118427</v>
      </c>
      <c r="W25" s="54">
        <v>121894</v>
      </c>
      <c r="X25" s="54">
        <v>112369</v>
      </c>
      <c r="Y25" s="385" t="s">
        <v>142</v>
      </c>
      <c r="Z25" s="420">
        <v>113839</v>
      </c>
      <c r="AB25" s="385"/>
    </row>
    <row r="26" spans="1:56" ht="15">
      <c r="A26" s="385" t="s">
        <v>3085</v>
      </c>
      <c r="B26" s="42" t="s">
        <v>634</v>
      </c>
      <c r="C26" s="42">
        <v>17618</v>
      </c>
      <c r="D26" s="42">
        <v>21487</v>
      </c>
      <c r="E26" s="42">
        <v>22696</v>
      </c>
      <c r="F26" s="42">
        <v>48895</v>
      </c>
      <c r="G26" s="42">
        <v>42335</v>
      </c>
      <c r="H26" s="42">
        <v>30154</v>
      </c>
      <c r="I26" s="42">
        <v>38781</v>
      </c>
      <c r="J26" s="407">
        <v>41653</v>
      </c>
      <c r="K26" s="42">
        <v>35787</v>
      </c>
      <c r="L26" s="42">
        <v>28969</v>
      </c>
      <c r="M26" s="42">
        <v>25011</v>
      </c>
      <c r="N26" s="42">
        <v>22442</v>
      </c>
      <c r="O26" s="408">
        <v>16552</v>
      </c>
      <c r="P26" s="408">
        <v>10685</v>
      </c>
      <c r="Q26" s="408">
        <v>13646</v>
      </c>
      <c r="R26" s="42">
        <v>9645</v>
      </c>
      <c r="S26" s="408">
        <v>9696</v>
      </c>
      <c r="T26" s="51">
        <v>10936</v>
      </c>
      <c r="U26" s="42">
        <v>12589</v>
      </c>
      <c r="V26" s="54">
        <v>14464</v>
      </c>
      <c r="W26" s="54">
        <v>8078</v>
      </c>
      <c r="X26" s="54">
        <f>112369-5532</f>
        <v>106837</v>
      </c>
      <c r="Y26" s="385" t="s">
        <v>3085</v>
      </c>
      <c r="AB26" s="385"/>
    </row>
    <row r="27" spans="1:56" ht="15">
      <c r="A27" s="386" t="s">
        <v>2341</v>
      </c>
      <c r="B27" s="60" t="s">
        <v>634</v>
      </c>
      <c r="C27" s="60"/>
      <c r="D27" s="60"/>
      <c r="E27" s="60"/>
      <c r="F27" s="60"/>
      <c r="G27" s="60"/>
      <c r="H27" s="60"/>
      <c r="I27" s="60"/>
      <c r="J27" s="60"/>
      <c r="K27" s="60">
        <v>12710</v>
      </c>
      <c r="L27" s="60">
        <v>15105</v>
      </c>
      <c r="M27" s="60">
        <v>25525</v>
      </c>
      <c r="N27" s="60">
        <v>6378</v>
      </c>
      <c r="O27" s="411">
        <v>15105</v>
      </c>
      <c r="P27" s="411">
        <v>18539</v>
      </c>
      <c r="Q27" s="411">
        <v>33292</v>
      </c>
      <c r="R27" s="60">
        <v>22636</v>
      </c>
      <c r="S27" s="411">
        <v>24942</v>
      </c>
      <c r="T27" s="51">
        <v>27849</v>
      </c>
      <c r="U27" s="42">
        <v>33924</v>
      </c>
      <c r="V27" s="54">
        <v>47576</v>
      </c>
      <c r="W27" s="54">
        <v>56301</v>
      </c>
      <c r="X27" s="54">
        <v>34143</v>
      </c>
      <c r="Y27" s="386" t="s">
        <v>2341</v>
      </c>
      <c r="AB27" s="386"/>
    </row>
    <row r="28" spans="1:56" ht="26.25" customHeight="1" thickBo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412"/>
      <c r="N28" s="8"/>
      <c r="O28" s="8"/>
      <c r="P28" s="8"/>
      <c r="Q28" s="8"/>
      <c r="R28" s="8"/>
      <c r="S28" s="424"/>
      <c r="T28" s="8"/>
      <c r="U28" s="8"/>
      <c r="V28" s="9"/>
      <c r="AA28" s="63"/>
      <c r="AB28" s="308"/>
      <c r="AC28" s="238"/>
      <c r="AD28" s="239"/>
      <c r="AE28" s="3056" t="s">
        <v>3146</v>
      </c>
      <c r="AF28" s="3056"/>
      <c r="AG28" s="3057"/>
      <c r="AH28" s="3056"/>
      <c r="AI28" s="3056"/>
      <c r="AJ28" s="239"/>
      <c r="AK28" s="239"/>
      <c r="AL28" s="239"/>
      <c r="AM28" s="239"/>
      <c r="AN28" s="239"/>
      <c r="AO28" s="239"/>
      <c r="AP28" s="249"/>
      <c r="AX28" s="1331"/>
      <c r="AY28" s="3052" t="s">
        <v>3895</v>
      </c>
      <c r="AZ28" s="3052"/>
      <c r="BA28" s="3052" t="s">
        <v>3896</v>
      </c>
      <c r="BB28" s="3052"/>
    </row>
    <row r="29" spans="1:56" ht="24" thickBot="1">
      <c r="A29" s="31"/>
      <c r="C29" s="382" t="s">
        <v>3076</v>
      </c>
      <c r="D29" s="382" t="s">
        <v>3077</v>
      </c>
      <c r="E29" s="382" t="s">
        <v>2597</v>
      </c>
      <c r="F29" s="382" t="s">
        <v>2598</v>
      </c>
      <c r="G29" s="382" t="s">
        <v>2599</v>
      </c>
      <c r="H29" s="382" t="s">
        <v>791</v>
      </c>
      <c r="I29" s="382" t="s">
        <v>29</v>
      </c>
      <c r="J29" s="404" t="s">
        <v>30</v>
      </c>
      <c r="K29" s="382" t="s">
        <v>31</v>
      </c>
      <c r="L29" s="382" t="s">
        <v>32</v>
      </c>
      <c r="M29" s="382" t="s">
        <v>33</v>
      </c>
      <c r="N29" s="382" t="s">
        <v>34</v>
      </c>
      <c r="O29" s="405" t="s">
        <v>40</v>
      </c>
      <c r="P29" s="405" t="s">
        <v>41</v>
      </c>
      <c r="Q29" s="420" t="s">
        <v>170</v>
      </c>
      <c r="R29" s="42" t="s">
        <v>2246</v>
      </c>
      <c r="S29" s="408" t="s">
        <v>121</v>
      </c>
      <c r="T29" s="42" t="s">
        <v>2351</v>
      </c>
      <c r="U29" s="42" t="s">
        <v>2412</v>
      </c>
      <c r="V29" s="54" t="s">
        <v>2363</v>
      </c>
      <c r="W29" s="421" t="s">
        <v>2410</v>
      </c>
      <c r="X29" s="420" t="s">
        <v>321</v>
      </c>
      <c r="AA29" s="63"/>
      <c r="AB29" s="31"/>
      <c r="AC29" s="235" t="s">
        <v>3114</v>
      </c>
      <c r="AD29" s="11" t="s">
        <v>219</v>
      </c>
      <c r="AE29" s="11" t="s">
        <v>220</v>
      </c>
      <c r="AF29" s="240" t="s">
        <v>221</v>
      </c>
      <c r="AG29" s="241" t="s">
        <v>222</v>
      </c>
      <c r="AH29" s="242" t="s">
        <v>223</v>
      </c>
      <c r="AI29" s="11" t="s">
        <v>224</v>
      </c>
      <c r="AJ29" s="11" t="s">
        <v>225</v>
      </c>
      <c r="AK29" s="11" t="s">
        <v>226</v>
      </c>
      <c r="AL29" s="11" t="s">
        <v>227</v>
      </c>
      <c r="AM29" s="11" t="s">
        <v>239</v>
      </c>
      <c r="AN29" s="250">
        <v>45323</v>
      </c>
      <c r="AO29" s="11" t="s">
        <v>241</v>
      </c>
      <c r="AP29" s="248" t="s">
        <v>23</v>
      </c>
      <c r="AX29" s="1331"/>
      <c r="AY29" s="1331" t="s">
        <v>275</v>
      </c>
      <c r="AZ29" s="1331" t="s">
        <v>312</v>
      </c>
      <c r="BA29" s="1331" t="s">
        <v>639</v>
      </c>
      <c r="BB29" s="1331" t="s">
        <v>312</v>
      </c>
    </row>
    <row r="30" spans="1:56" ht="23.25">
      <c r="A30" s="2552" t="s">
        <v>3935</v>
      </c>
      <c r="B30" s="420" t="s">
        <v>520</v>
      </c>
      <c r="C30" s="42">
        <v>1236</v>
      </c>
      <c r="D30" s="42">
        <v>1291</v>
      </c>
      <c r="E30" s="42">
        <v>1281</v>
      </c>
      <c r="F30" s="42">
        <v>1274</v>
      </c>
      <c r="G30" s="42">
        <v>1280</v>
      </c>
      <c r="H30" s="42">
        <v>1123</v>
      </c>
      <c r="I30" s="42">
        <v>1197</v>
      </c>
      <c r="J30" s="42">
        <v>1227</v>
      </c>
      <c r="K30" s="42">
        <v>1885</v>
      </c>
      <c r="L30" s="42">
        <v>1421</v>
      </c>
      <c r="M30" s="42">
        <v>1299</v>
      </c>
      <c r="N30" s="42">
        <v>1446</v>
      </c>
      <c r="O30" s="42">
        <v>1422</v>
      </c>
      <c r="P30" s="42">
        <v>1384</v>
      </c>
      <c r="Q30" s="42">
        <v>1374</v>
      </c>
      <c r="R30" s="42">
        <v>1356</v>
      </c>
      <c r="S30" s="42">
        <v>1605</v>
      </c>
      <c r="T30" s="42">
        <v>1335</v>
      </c>
      <c r="U30" s="42">
        <v>1406</v>
      </c>
      <c r="V30" s="42">
        <v>1387</v>
      </c>
      <c r="W30" s="42">
        <v>1244</v>
      </c>
      <c r="X30" s="42">
        <v>1291</v>
      </c>
      <c r="Y30" s="42"/>
      <c r="Z30" s="42"/>
      <c r="AA30" s="42"/>
      <c r="AB30" s="42"/>
      <c r="AC30" s="235" t="s">
        <v>3116</v>
      </c>
      <c r="AD30" s="11"/>
      <c r="AE30" s="11"/>
      <c r="AF30" s="240"/>
      <c r="AG30" s="243"/>
      <c r="AH30" s="242"/>
      <c r="AI30" s="11"/>
      <c r="AJ30" s="11"/>
      <c r="AK30" s="11"/>
      <c r="AL30" s="11"/>
      <c r="AM30" s="11"/>
      <c r="AN30" s="11"/>
      <c r="AO30" s="11"/>
      <c r="AP30" s="248">
        <v>0</v>
      </c>
      <c r="AX30" s="1331" t="s">
        <v>633</v>
      </c>
      <c r="AY30" s="1331">
        <v>98668</v>
      </c>
      <c r="AZ30" s="1331">
        <v>108356</v>
      </c>
      <c r="BA30" s="6">
        <v>119338</v>
      </c>
      <c r="BB30" s="6">
        <v>113208</v>
      </c>
    </row>
    <row r="31" spans="1:56" ht="23.25">
      <c r="A31" s="2552" t="s">
        <v>3933</v>
      </c>
      <c r="B31" s="420" t="s">
        <v>520</v>
      </c>
      <c r="C31" s="42">
        <v>1521</v>
      </c>
      <c r="D31" s="42">
        <v>1528</v>
      </c>
      <c r="E31" s="42">
        <v>1449</v>
      </c>
      <c r="F31" s="42">
        <v>1419</v>
      </c>
      <c r="G31" s="42">
        <v>1316</v>
      </c>
      <c r="H31" s="42">
        <v>1343</v>
      </c>
      <c r="I31" s="42">
        <v>1232</v>
      </c>
      <c r="J31" s="42">
        <v>1399</v>
      </c>
      <c r="K31" s="42">
        <v>2102</v>
      </c>
      <c r="L31" s="42">
        <v>1603</v>
      </c>
      <c r="M31" s="42">
        <v>1605</v>
      </c>
      <c r="N31" s="42">
        <v>1651</v>
      </c>
      <c r="O31" s="42">
        <v>1561</v>
      </c>
      <c r="P31" s="42">
        <v>1534</v>
      </c>
      <c r="Q31" s="42">
        <v>1244</v>
      </c>
      <c r="R31" s="42">
        <v>1420</v>
      </c>
      <c r="S31" s="42">
        <v>1401</v>
      </c>
      <c r="T31" s="42">
        <v>1276</v>
      </c>
      <c r="U31" s="42">
        <v>1376</v>
      </c>
      <c r="V31" s="42">
        <v>1311</v>
      </c>
      <c r="W31" s="42">
        <v>1234</v>
      </c>
      <c r="X31" s="42">
        <v>1418</v>
      </c>
      <c r="Y31" s="42"/>
      <c r="Z31" s="42"/>
      <c r="AA31" s="42"/>
      <c r="AB31" s="42"/>
      <c r="AC31" s="235"/>
      <c r="AD31" s="11"/>
      <c r="AE31" s="11"/>
      <c r="AF31" s="240"/>
      <c r="AG31" s="243"/>
      <c r="AH31" s="242"/>
      <c r="AI31" s="11"/>
      <c r="AJ31" s="11"/>
      <c r="AK31" s="11"/>
      <c r="AL31" s="11"/>
      <c r="AM31" s="11"/>
      <c r="AN31" s="11"/>
      <c r="AO31" s="11"/>
      <c r="AP31" s="248"/>
      <c r="AX31" s="1331"/>
      <c r="AY31" s="1331"/>
      <c r="AZ31" s="1331"/>
      <c r="BA31" s="6"/>
      <c r="BB31" s="6"/>
    </row>
    <row r="32" spans="1:56" ht="23.25">
      <c r="A32" s="2552" t="s">
        <v>3934</v>
      </c>
      <c r="B32" s="2548" t="s">
        <v>3873</v>
      </c>
      <c r="C32" s="42">
        <v>1.89</v>
      </c>
      <c r="D32" s="42">
        <v>2.12</v>
      </c>
      <c r="E32" s="42">
        <v>2.0299999999999998</v>
      </c>
      <c r="F32" s="42">
        <v>1.93</v>
      </c>
      <c r="G32" s="42">
        <v>1.71</v>
      </c>
      <c r="H32" s="42">
        <v>1.29</v>
      </c>
      <c r="I32" s="42">
        <v>1.1200000000000001</v>
      </c>
      <c r="J32" s="42">
        <v>1.3</v>
      </c>
      <c r="K32" s="42">
        <v>2.68</v>
      </c>
      <c r="L32" s="42">
        <v>2</v>
      </c>
      <c r="M32" s="42">
        <v>2.1800000000000002</v>
      </c>
      <c r="N32" s="42">
        <v>1.97</v>
      </c>
      <c r="O32" s="42">
        <v>1.86</v>
      </c>
      <c r="P32" s="42">
        <v>1.59</v>
      </c>
      <c r="Q32" s="42">
        <v>1.45</v>
      </c>
      <c r="R32" s="42">
        <v>1.57</v>
      </c>
      <c r="S32" s="42">
        <v>2.04</v>
      </c>
      <c r="T32" s="42">
        <v>1.7</v>
      </c>
      <c r="U32" s="42">
        <v>1.69</v>
      </c>
      <c r="V32" s="42">
        <v>1.51</v>
      </c>
      <c r="W32" s="42">
        <v>1.67</v>
      </c>
      <c r="X32" s="42">
        <v>1.75</v>
      </c>
      <c r="Y32" s="42"/>
      <c r="Z32" s="42"/>
      <c r="AA32" s="42"/>
      <c r="AB32" s="42"/>
      <c r="AC32" s="235"/>
      <c r="AD32" s="11"/>
      <c r="AE32" s="11"/>
      <c r="AF32" s="240"/>
      <c r="AG32" s="243"/>
      <c r="AH32" s="242"/>
      <c r="AI32" s="11"/>
      <c r="AJ32" s="11"/>
      <c r="AK32" s="11"/>
      <c r="AL32" s="11"/>
      <c r="AM32" s="11"/>
      <c r="AN32" s="11"/>
      <c r="AO32" s="11"/>
      <c r="AP32" s="248"/>
      <c r="AX32" s="1331"/>
      <c r="AY32" s="1331"/>
      <c r="AZ32" s="1331"/>
      <c r="BA32" s="6"/>
      <c r="BB32" s="6"/>
    </row>
    <row r="33" spans="1:54" ht="23.25">
      <c r="A33" s="2547"/>
      <c r="B33" s="2548"/>
      <c r="C33" s="2548"/>
      <c r="D33" s="2548"/>
      <c r="E33" s="2548"/>
      <c r="F33" s="2548"/>
      <c r="G33" s="2548"/>
      <c r="H33" s="2548"/>
      <c r="I33" s="2548"/>
      <c r="J33" s="2548"/>
      <c r="K33" s="2548"/>
      <c r="L33" s="2548"/>
      <c r="M33" s="2548"/>
      <c r="N33" s="2548"/>
      <c r="O33" s="2548"/>
      <c r="P33" s="2548"/>
      <c r="Q33" s="2548"/>
      <c r="R33" s="2548"/>
      <c r="S33" s="2548"/>
      <c r="T33" s="2548"/>
      <c r="U33" s="2549"/>
      <c r="V33" s="2187"/>
      <c r="W33" s="27"/>
      <c r="X33" s="27"/>
      <c r="AA33" s="63"/>
      <c r="AB33" s="31"/>
      <c r="AC33" s="235"/>
      <c r="AD33" s="11"/>
      <c r="AE33" s="11"/>
      <c r="AF33" s="240"/>
      <c r="AG33" s="243"/>
      <c r="AH33" s="242"/>
      <c r="AI33" s="11"/>
      <c r="AJ33" s="11"/>
      <c r="AK33" s="11"/>
      <c r="AL33" s="11"/>
      <c r="AM33" s="11"/>
      <c r="AN33" s="11"/>
      <c r="AO33" s="11"/>
      <c r="AP33" s="248"/>
      <c r="AX33" s="1331"/>
      <c r="AY33" s="1331"/>
      <c r="AZ33" s="1331"/>
      <c r="BA33" s="6"/>
      <c r="BB33" s="6"/>
    </row>
    <row r="34" spans="1:54" ht="24" thickBot="1">
      <c r="A34" s="2547"/>
      <c r="B34" s="2548"/>
      <c r="C34" s="2548"/>
      <c r="D34" s="2548"/>
      <c r="E34" s="2548"/>
      <c r="F34" s="2548"/>
      <c r="G34" s="2548"/>
      <c r="H34" s="2548"/>
      <c r="I34" s="2548"/>
      <c r="J34" s="2548"/>
      <c r="K34" s="2548"/>
      <c r="L34" s="2548"/>
      <c r="M34" s="2548"/>
      <c r="N34" s="2548"/>
      <c r="O34" s="2548"/>
      <c r="P34" s="2548"/>
      <c r="Q34" s="2548"/>
      <c r="R34" s="2548"/>
      <c r="S34" s="2548"/>
      <c r="T34" s="2548"/>
      <c r="U34" s="2549"/>
      <c r="V34" s="2187"/>
      <c r="W34" s="27"/>
      <c r="X34" s="27"/>
      <c r="AA34" s="63"/>
      <c r="AB34" s="31"/>
      <c r="AC34" s="235"/>
      <c r="AD34" s="11"/>
      <c r="AE34" s="11"/>
      <c r="AF34" s="240"/>
      <c r="AG34" s="243"/>
      <c r="AH34" s="242"/>
      <c r="AI34" s="11"/>
      <c r="AJ34" s="11"/>
      <c r="AK34" s="11"/>
      <c r="AL34" s="11"/>
      <c r="AM34" s="11"/>
      <c r="AN34" s="11"/>
      <c r="AO34" s="11"/>
      <c r="AP34" s="248"/>
      <c r="AX34" s="1331"/>
      <c r="AY34" s="1331"/>
      <c r="AZ34" s="1331"/>
      <c r="BA34" s="6"/>
      <c r="BB34" s="6"/>
    </row>
    <row r="35" spans="1:54" ht="23.25">
      <c r="A35" s="2547"/>
      <c r="B35" s="2548"/>
      <c r="C35" s="2548"/>
      <c r="D35" s="2548"/>
      <c r="E35" s="2548"/>
      <c r="F35" s="2548"/>
      <c r="G35" s="2550" t="s">
        <v>3147</v>
      </c>
      <c r="H35" s="2551"/>
      <c r="I35" s="2551"/>
      <c r="J35" s="2551"/>
      <c r="K35" s="2551"/>
      <c r="L35" s="2551"/>
      <c r="M35" s="2551"/>
      <c r="N35" s="2551"/>
      <c r="O35" s="2551"/>
      <c r="P35" s="2551"/>
      <c r="Q35" s="2551"/>
      <c r="R35" s="2551"/>
      <c r="S35" s="2551"/>
      <c r="T35" s="2551"/>
      <c r="U35" s="2551"/>
      <c r="V35" s="2551"/>
      <c r="W35" s="2551"/>
      <c r="X35" s="2551"/>
      <c r="Y35" s="2551"/>
      <c r="Z35" s="2551"/>
      <c r="AA35" s="2551"/>
      <c r="AB35" s="432"/>
      <c r="AC35" s="235"/>
      <c r="AD35" s="11"/>
      <c r="AE35" s="11"/>
      <c r="AF35" s="240"/>
      <c r="AG35" s="243"/>
      <c r="AH35" s="242"/>
      <c r="AI35" s="11"/>
      <c r="AJ35" s="11"/>
      <c r="AK35" s="11"/>
      <c r="AL35" s="11"/>
      <c r="AM35" s="11"/>
      <c r="AN35" s="11"/>
      <c r="AO35" s="11"/>
      <c r="AP35" s="248"/>
      <c r="AX35" s="1331"/>
      <c r="AY35" s="1331"/>
      <c r="AZ35" s="1331"/>
      <c r="BA35" s="6"/>
      <c r="BB35" s="6"/>
    </row>
    <row r="36" spans="1:54" ht="23.25">
      <c r="A36" s="2547"/>
      <c r="B36" s="2548"/>
      <c r="C36" s="2548"/>
      <c r="D36" s="2548"/>
      <c r="E36" s="2548"/>
      <c r="F36" s="2548"/>
      <c r="G36" s="2548"/>
      <c r="H36" s="2548"/>
      <c r="I36" s="2548"/>
      <c r="J36" s="2548"/>
      <c r="K36" s="2548"/>
      <c r="L36" s="2548"/>
      <c r="M36" s="2548"/>
      <c r="N36" s="2548"/>
      <c r="O36" s="2548"/>
      <c r="P36" s="2548"/>
      <c r="Q36" s="2548"/>
      <c r="R36" s="2548"/>
      <c r="S36" s="2548"/>
      <c r="T36" s="2548"/>
      <c r="U36" s="2549"/>
      <c r="V36" s="2187"/>
      <c r="W36" s="27"/>
      <c r="X36" s="27"/>
      <c r="AA36" s="63"/>
      <c r="AB36" s="31"/>
      <c r="AC36" s="235"/>
      <c r="AD36" s="11"/>
      <c r="AE36" s="11"/>
      <c r="AF36" s="240"/>
      <c r="AG36" s="243"/>
      <c r="AH36" s="242"/>
      <c r="AI36" s="11"/>
      <c r="AJ36" s="11"/>
      <c r="AK36" s="11"/>
      <c r="AL36" s="11"/>
      <c r="AM36" s="11"/>
      <c r="AN36" s="11"/>
      <c r="AO36" s="11"/>
      <c r="AP36" s="248"/>
      <c r="AX36" s="1331"/>
      <c r="AY36" s="1331"/>
      <c r="AZ36" s="1331"/>
      <c r="BA36" s="6"/>
      <c r="BB36" s="6"/>
    </row>
    <row r="37" spans="1:54" ht="24">
      <c r="A37" s="387"/>
      <c r="B37" s="388" t="s">
        <v>519</v>
      </c>
      <c r="C37" s="389" t="s">
        <v>722</v>
      </c>
      <c r="D37" s="389" t="s">
        <v>723</v>
      </c>
      <c r="E37" s="389" t="s">
        <v>2147</v>
      </c>
      <c r="F37" s="389" t="s">
        <v>2609</v>
      </c>
      <c r="G37" s="389" t="s">
        <v>725</v>
      </c>
      <c r="H37" s="389" t="s">
        <v>726</v>
      </c>
      <c r="I37" s="389" t="s">
        <v>727</v>
      </c>
      <c r="J37" s="389" t="s">
        <v>2610</v>
      </c>
      <c r="K37" s="389" t="s">
        <v>3148</v>
      </c>
      <c r="L37" s="389" t="s">
        <v>729</v>
      </c>
      <c r="M37" s="389" t="s">
        <v>730</v>
      </c>
      <c r="N37" s="389" t="s">
        <v>731</v>
      </c>
      <c r="O37" s="389" t="s">
        <v>2611</v>
      </c>
      <c r="P37" s="389" t="s">
        <v>732</v>
      </c>
      <c r="Q37" s="389" t="s">
        <v>733</v>
      </c>
      <c r="R37" s="389" t="s">
        <v>734</v>
      </c>
      <c r="S37" s="426" t="s">
        <v>2612</v>
      </c>
      <c r="T37" s="426" t="s">
        <v>3149</v>
      </c>
      <c r="U37" s="427" t="s">
        <v>23</v>
      </c>
      <c r="W37" s="27"/>
      <c r="X37" s="27"/>
      <c r="AA37" s="63"/>
      <c r="AB37" s="31"/>
      <c r="AC37" s="235" t="s">
        <v>3118</v>
      </c>
      <c r="AD37" s="11">
        <v>4</v>
      </c>
      <c r="AE37" s="11">
        <v>19.350000000000001</v>
      </c>
      <c r="AF37" s="240">
        <v>103.92</v>
      </c>
      <c r="AG37" s="243">
        <v>41.55</v>
      </c>
      <c r="AH37" s="242">
        <v>21.88</v>
      </c>
      <c r="AI37" s="11">
        <v>11.1</v>
      </c>
      <c r="AJ37" s="11"/>
      <c r="AK37" s="11"/>
      <c r="AL37" s="11">
        <v>73.8</v>
      </c>
      <c r="AM37" s="11">
        <v>80.12</v>
      </c>
      <c r="AN37" s="11">
        <v>28.87</v>
      </c>
      <c r="AO37" s="11"/>
      <c r="AP37" s="248">
        <f t="shared" ref="AP37:AP55" si="6">SUM(AD37:AO37)</f>
        <v>384.59</v>
      </c>
      <c r="AX37" s="1331" t="s">
        <v>290</v>
      </c>
      <c r="AY37" s="1331">
        <v>135651</v>
      </c>
      <c r="AZ37" s="1331">
        <v>137755</v>
      </c>
      <c r="BA37" s="6">
        <v>146614</v>
      </c>
      <c r="BB37" s="6">
        <v>140596</v>
      </c>
    </row>
    <row r="38" spans="1:54" ht="23.25">
      <c r="A38" s="390" t="s">
        <v>3085</v>
      </c>
      <c r="B38" s="342" t="s">
        <v>634</v>
      </c>
      <c r="C38" s="342">
        <v>441</v>
      </c>
      <c r="D38" s="342">
        <v>963</v>
      </c>
      <c r="E38" s="342">
        <v>749</v>
      </c>
      <c r="F38" s="342">
        <f>SUM(C38:E38)</f>
        <v>2153</v>
      </c>
      <c r="G38" s="342">
        <v>1299</v>
      </c>
      <c r="H38" s="342">
        <v>729</v>
      </c>
      <c r="I38" s="342">
        <v>480</v>
      </c>
      <c r="J38" s="342">
        <f>SUM(G38:I38)</f>
        <v>2508</v>
      </c>
      <c r="K38" s="342">
        <f>+J38+F38</f>
        <v>4661</v>
      </c>
      <c r="L38" s="342">
        <v>203</v>
      </c>
      <c r="M38" s="342">
        <v>893</v>
      </c>
      <c r="N38" s="342">
        <v>1342</v>
      </c>
      <c r="O38" s="342">
        <f>SUM(L38:N38)</f>
        <v>2438</v>
      </c>
      <c r="P38" s="342">
        <v>1030</v>
      </c>
      <c r="Q38" s="342">
        <v>1216</v>
      </c>
      <c r="R38" s="342">
        <v>827</v>
      </c>
      <c r="S38" s="342">
        <f>SUM(P38:R38)</f>
        <v>3073</v>
      </c>
      <c r="T38" s="428">
        <f>+O38</f>
        <v>2438</v>
      </c>
      <c r="U38" s="429">
        <f>S38+O38+J38+F38</f>
        <v>10172</v>
      </c>
      <c r="W38" s="27"/>
      <c r="X38" s="27"/>
      <c r="AA38" s="63"/>
      <c r="AB38" s="31"/>
      <c r="AC38" s="235" t="s">
        <v>3120</v>
      </c>
      <c r="AD38" s="11">
        <v>289.48</v>
      </c>
      <c r="AE38" s="11"/>
      <c r="AF38" s="240"/>
      <c r="AG38" s="243">
        <v>253</v>
      </c>
      <c r="AH38" s="242"/>
      <c r="AI38" s="11"/>
      <c r="AJ38" s="11">
        <v>255.1</v>
      </c>
      <c r="AK38" s="11"/>
      <c r="AL38" s="11">
        <v>299.89999999999998</v>
      </c>
      <c r="AM38" s="11">
        <v>5.41</v>
      </c>
      <c r="AN38" s="11">
        <v>63.39</v>
      </c>
      <c r="AO38" s="11">
        <v>9.6999999999999993</v>
      </c>
      <c r="AP38" s="248">
        <f t="shared" si="6"/>
        <v>1175.9800000000002</v>
      </c>
      <c r="AX38" s="1331" t="s">
        <v>37</v>
      </c>
      <c r="AY38" s="1331">
        <v>118900</v>
      </c>
      <c r="AZ38" s="1331">
        <v>119011</v>
      </c>
      <c r="BA38" s="6">
        <v>130650</v>
      </c>
      <c r="BB38" s="6">
        <v>118614</v>
      </c>
    </row>
    <row r="39" spans="1:54" ht="23.25">
      <c r="A39" s="390" t="s">
        <v>2341</v>
      </c>
      <c r="B39" s="342" t="s">
        <v>634</v>
      </c>
      <c r="C39" s="391">
        <v>831</v>
      </c>
      <c r="D39" s="391">
        <v>1833</v>
      </c>
      <c r="E39" s="391">
        <v>2336</v>
      </c>
      <c r="F39" s="342">
        <f>SUM(C39:E39)</f>
        <v>5000</v>
      </c>
      <c r="G39" s="342">
        <v>3116</v>
      </c>
      <c r="H39" s="342">
        <v>3409</v>
      </c>
      <c r="I39" s="342">
        <v>2833</v>
      </c>
      <c r="J39" s="342">
        <f>SUM(G39:I39)</f>
        <v>9358</v>
      </c>
      <c r="K39" s="342">
        <f>+J39+F39</f>
        <v>14358</v>
      </c>
      <c r="L39" s="342">
        <v>1867</v>
      </c>
      <c r="M39" s="342">
        <v>333</v>
      </c>
      <c r="N39" s="342">
        <v>2742</v>
      </c>
      <c r="O39" s="342">
        <f>SUM(L39:N39)</f>
        <v>4942</v>
      </c>
      <c r="P39" s="342">
        <v>68</v>
      </c>
      <c r="Q39" s="342">
        <v>271</v>
      </c>
      <c r="R39" s="342">
        <v>0</v>
      </c>
      <c r="S39" s="342">
        <f>SUM(P39:R39)</f>
        <v>339</v>
      </c>
      <c r="T39" s="428">
        <f>+O39</f>
        <v>4942</v>
      </c>
      <c r="U39" s="429">
        <f>S39+O39+J39+F39</f>
        <v>19639</v>
      </c>
      <c r="W39" s="27"/>
      <c r="X39" s="27"/>
      <c r="AA39" s="63"/>
      <c r="AB39" s="31"/>
      <c r="AC39" s="235" t="s">
        <v>3121</v>
      </c>
      <c r="AD39" s="11">
        <v>23.7</v>
      </c>
      <c r="AE39" s="11">
        <v>392.9</v>
      </c>
      <c r="AF39" s="240">
        <v>255.2</v>
      </c>
      <c r="AG39" s="243"/>
      <c r="AH39" s="242">
        <v>263.45</v>
      </c>
      <c r="AI39" s="11">
        <v>630.37</v>
      </c>
      <c r="AJ39" s="11">
        <v>0</v>
      </c>
      <c r="AK39" s="11">
        <v>160.65</v>
      </c>
      <c r="AL39" s="11">
        <v>163.1</v>
      </c>
      <c r="AM39" s="11">
        <v>211.02</v>
      </c>
      <c r="AN39" s="11">
        <v>158.1</v>
      </c>
      <c r="AO39" s="11"/>
      <c r="AP39" s="248">
        <f t="shared" si="6"/>
        <v>2258.4899999999998</v>
      </c>
      <c r="AX39" s="1331" t="s">
        <v>142</v>
      </c>
      <c r="AY39" s="1331">
        <v>120900</v>
      </c>
      <c r="AZ39" s="1331">
        <v>118427</v>
      </c>
      <c r="BA39" s="6">
        <v>132650</v>
      </c>
      <c r="BB39" s="6">
        <v>121894</v>
      </c>
    </row>
    <row r="40" spans="1:54" ht="23.25">
      <c r="A40" s="390" t="s">
        <v>3150</v>
      </c>
      <c r="B40" s="342" t="s">
        <v>634</v>
      </c>
      <c r="C40" s="342">
        <v>1116</v>
      </c>
      <c r="D40" s="342">
        <v>2172</v>
      </c>
      <c r="E40" s="342">
        <v>660</v>
      </c>
      <c r="F40" s="342">
        <f>SUM(C40:E40)</f>
        <v>3948</v>
      </c>
      <c r="G40" s="391">
        <v>1008</v>
      </c>
      <c r="H40" s="391">
        <v>1048</v>
      </c>
      <c r="I40" s="342">
        <v>768</v>
      </c>
      <c r="J40" s="342">
        <f>SUM(G40:I40)</f>
        <v>2824</v>
      </c>
      <c r="K40" s="342">
        <f>+J40+F40</f>
        <v>6772</v>
      </c>
      <c r="L40" s="342">
        <v>1278</v>
      </c>
      <c r="M40" s="342">
        <v>3078</v>
      </c>
      <c r="N40" s="342">
        <v>0</v>
      </c>
      <c r="O40" s="342">
        <f>SUM(L40:N40)</f>
        <v>4356</v>
      </c>
      <c r="P40" s="342">
        <v>0</v>
      </c>
      <c r="Q40" s="342">
        <v>2399</v>
      </c>
      <c r="R40" s="342">
        <v>222</v>
      </c>
      <c r="S40" s="342">
        <f>SUM(P40:R40)</f>
        <v>2621</v>
      </c>
      <c r="T40" s="428">
        <f>+O40</f>
        <v>4356</v>
      </c>
      <c r="U40" s="429">
        <f>S40+O40+J40+F40</f>
        <v>13749</v>
      </c>
      <c r="W40" s="27"/>
      <c r="X40" s="27"/>
      <c r="AA40" s="63"/>
      <c r="AB40" s="31"/>
      <c r="AC40" s="235" t="s">
        <v>3123</v>
      </c>
      <c r="AD40" s="11">
        <v>17.260000000000002</v>
      </c>
      <c r="AE40" s="11">
        <v>560.72</v>
      </c>
      <c r="AF40" s="240"/>
      <c r="AG40" s="243">
        <v>424.83</v>
      </c>
      <c r="AH40" s="242">
        <v>264.49</v>
      </c>
      <c r="AI40" s="11">
        <v>125.756</v>
      </c>
      <c r="AJ40" s="11">
        <v>277.2</v>
      </c>
      <c r="AK40" s="11">
        <v>79.260000000000005</v>
      </c>
      <c r="AL40" s="11"/>
      <c r="AM40" s="11">
        <v>144.5</v>
      </c>
      <c r="AN40" s="11"/>
      <c r="AO40" s="11"/>
      <c r="AP40" s="248">
        <f t="shared" si="6"/>
        <v>1894.0160000000001</v>
      </c>
    </row>
    <row r="41" spans="1:54" ht="20.25">
      <c r="A41" s="341" t="s">
        <v>3151</v>
      </c>
      <c r="B41" s="342" t="s">
        <v>634</v>
      </c>
      <c r="C41" s="392">
        <v>3270.09</v>
      </c>
      <c r="D41" s="392">
        <v>1490</v>
      </c>
      <c r="E41" s="392">
        <v>756.96</v>
      </c>
      <c r="F41" s="342">
        <f>SUM(C41:E41)</f>
        <v>5517.05</v>
      </c>
      <c r="G41" s="392">
        <v>1012</v>
      </c>
      <c r="H41" s="392">
        <v>1327.47</v>
      </c>
      <c r="I41" s="392">
        <v>1305</v>
      </c>
      <c r="J41" s="342">
        <f>SUM(G41:I41)</f>
        <v>3644.4700000000003</v>
      </c>
      <c r="K41" s="342">
        <f>+J41+F41</f>
        <v>9161.52</v>
      </c>
      <c r="L41" s="392">
        <v>1357.01</v>
      </c>
      <c r="M41" s="392">
        <v>1337</v>
      </c>
      <c r="N41" s="392">
        <v>772</v>
      </c>
      <c r="O41" s="342">
        <f>SUM(L41:N41)</f>
        <v>3466.01</v>
      </c>
      <c r="P41" s="392">
        <v>1027</v>
      </c>
      <c r="Q41" s="392">
        <v>866.5</v>
      </c>
      <c r="R41" s="392">
        <v>479</v>
      </c>
      <c r="S41" s="342">
        <f>SUM(P41:R41)</f>
        <v>2372.5</v>
      </c>
      <c r="T41" s="428">
        <f>+O41</f>
        <v>3466.01</v>
      </c>
      <c r="U41" s="429">
        <f>S41+O41+J41+F41</f>
        <v>15000.029999999999</v>
      </c>
      <c r="W41" s="27"/>
      <c r="X41" s="27"/>
      <c r="AA41" s="63"/>
      <c r="AB41" s="31"/>
      <c r="AC41" s="235" t="s">
        <v>3125</v>
      </c>
      <c r="AD41" s="11">
        <v>342.39</v>
      </c>
      <c r="AE41" s="11"/>
      <c r="AF41" s="240"/>
      <c r="AG41" s="243">
        <v>259.36</v>
      </c>
      <c r="AH41" s="242"/>
      <c r="AI41" s="11">
        <v>412.39</v>
      </c>
      <c r="AJ41" s="11">
        <v>5.0999999999999996</v>
      </c>
      <c r="AK41" s="11"/>
      <c r="AL41" s="11"/>
      <c r="AM41" s="11">
        <v>216.82</v>
      </c>
      <c r="AN41" s="11">
        <v>166.34</v>
      </c>
      <c r="AO41" s="11"/>
      <c r="AP41" s="248">
        <f t="shared" si="6"/>
        <v>1402.3999999999999</v>
      </c>
    </row>
    <row r="42" spans="1:54" ht="20.25">
      <c r="A42" s="341" t="s">
        <v>3152</v>
      </c>
      <c r="B42" s="342" t="s">
        <v>3153</v>
      </c>
      <c r="C42" s="342">
        <v>1468</v>
      </c>
      <c r="D42" s="342">
        <v>2101</v>
      </c>
      <c r="E42" s="342">
        <v>1978</v>
      </c>
      <c r="F42" s="342"/>
      <c r="G42" s="342">
        <v>1848</v>
      </c>
      <c r="H42" s="342">
        <v>1926</v>
      </c>
      <c r="I42" s="342">
        <v>1680</v>
      </c>
      <c r="J42" s="342"/>
      <c r="K42" s="342"/>
      <c r="L42" s="342">
        <v>1405</v>
      </c>
      <c r="M42" s="342">
        <v>1260</v>
      </c>
      <c r="N42" s="342">
        <v>920</v>
      </c>
      <c r="O42" s="342"/>
      <c r="P42" s="413">
        <v>931</v>
      </c>
      <c r="Q42" s="342">
        <v>888</v>
      </c>
      <c r="R42" s="342">
        <v>559</v>
      </c>
      <c r="S42" s="342"/>
      <c r="T42" s="342"/>
      <c r="U42" s="430">
        <v>1389</v>
      </c>
      <c r="W42" s="27"/>
      <c r="X42" s="27"/>
      <c r="AA42" s="63"/>
      <c r="AB42" s="31"/>
      <c r="AC42" s="235" t="s">
        <v>3127</v>
      </c>
      <c r="AD42" s="11">
        <v>409.06</v>
      </c>
      <c r="AE42" s="11"/>
      <c r="AF42" s="240"/>
      <c r="AG42" s="243">
        <v>280.24</v>
      </c>
      <c r="AH42" s="242"/>
      <c r="AI42" s="11"/>
      <c r="AJ42" s="11">
        <v>259.52</v>
      </c>
      <c r="AK42" s="11"/>
      <c r="AL42" s="11">
        <v>254.13</v>
      </c>
      <c r="AM42" s="11">
        <v>233.04</v>
      </c>
      <c r="AN42" s="11">
        <v>34.6</v>
      </c>
      <c r="AO42" s="11"/>
      <c r="AP42" s="248">
        <f t="shared" si="6"/>
        <v>1470.5899999999997</v>
      </c>
    </row>
    <row r="43" spans="1:54" ht="18">
      <c r="A43" s="31"/>
      <c r="Q43" s="425"/>
      <c r="U43" s="63"/>
      <c r="W43" s="27"/>
      <c r="X43" s="27"/>
      <c r="AA43" s="63"/>
      <c r="AB43" s="31"/>
      <c r="AC43" s="235" t="s">
        <v>3129</v>
      </c>
      <c r="AD43" s="11"/>
      <c r="AE43" s="11">
        <v>35.700000000000003</v>
      </c>
      <c r="AF43" s="240">
        <v>230</v>
      </c>
      <c r="AG43" s="243">
        <v>83.5</v>
      </c>
      <c r="AH43" s="242">
        <v>374.49</v>
      </c>
      <c r="AI43" s="11"/>
      <c r="AJ43" s="11"/>
      <c r="AK43" s="11">
        <v>305.39999999999998</v>
      </c>
      <c r="AL43" s="11"/>
      <c r="AM43" s="11">
        <v>0</v>
      </c>
      <c r="AN43" s="11">
        <v>152.80000000000001</v>
      </c>
      <c r="AO43" s="11">
        <v>100</v>
      </c>
      <c r="AP43" s="248">
        <f t="shared" si="6"/>
        <v>1281.8900000000001</v>
      </c>
    </row>
    <row r="44" spans="1:54" ht="18">
      <c r="A44" s="31"/>
      <c r="Q44" s="425"/>
      <c r="U44" s="63"/>
      <c r="W44" s="27"/>
      <c r="X44" s="27"/>
      <c r="AA44" s="63"/>
      <c r="AB44" s="31"/>
      <c r="AC44" s="235" t="s">
        <v>3130</v>
      </c>
      <c r="AD44" s="11"/>
      <c r="AE44" s="11"/>
      <c r="AF44" s="240">
        <v>498</v>
      </c>
      <c r="AG44" s="243"/>
      <c r="AH44" s="242">
        <v>283.33999999999997</v>
      </c>
      <c r="AI44" s="11"/>
      <c r="AJ44" s="11">
        <v>277.67</v>
      </c>
      <c r="AK44" s="11"/>
      <c r="AL44" s="11">
        <v>6.45</v>
      </c>
      <c r="AM44" s="11">
        <v>78.790000000000006</v>
      </c>
      <c r="AN44" s="11">
        <v>292.92</v>
      </c>
      <c r="AO44" s="11">
        <v>207.529</v>
      </c>
      <c r="AP44" s="248">
        <f t="shared" si="6"/>
        <v>1644.6990000000001</v>
      </c>
    </row>
    <row r="45" spans="1:54" ht="18">
      <c r="A45" s="31"/>
      <c r="Q45" s="425"/>
      <c r="U45" s="63"/>
      <c r="W45" s="27"/>
      <c r="X45" s="27"/>
      <c r="AA45" s="63"/>
      <c r="AB45" s="31"/>
      <c r="AC45" s="235" t="s">
        <v>3131</v>
      </c>
      <c r="AD45" s="11"/>
      <c r="AE45" s="11">
        <v>470.4</v>
      </c>
      <c r="AF45" s="240"/>
      <c r="AG45" s="243">
        <v>261.82</v>
      </c>
      <c r="AH45" s="242"/>
      <c r="AI45" s="11"/>
      <c r="AJ45" s="11">
        <v>365.92</v>
      </c>
      <c r="AK45" s="11"/>
      <c r="AL45" s="11"/>
      <c r="AM45" s="11">
        <v>369.14</v>
      </c>
      <c r="AN45" s="11"/>
      <c r="AO45" s="11">
        <v>160.84</v>
      </c>
      <c r="AP45" s="248">
        <f t="shared" si="6"/>
        <v>1628.1200000000001</v>
      </c>
    </row>
    <row r="46" spans="1:54" ht="18">
      <c r="A46" s="31"/>
      <c r="Q46" s="425"/>
      <c r="U46" s="63"/>
      <c r="W46" s="27"/>
      <c r="X46" s="27"/>
      <c r="AA46" s="63"/>
      <c r="AB46" s="31"/>
      <c r="AC46" s="235" t="s">
        <v>3133</v>
      </c>
      <c r="AD46" s="11"/>
      <c r="AE46" s="11"/>
      <c r="AF46" s="240">
        <v>362</v>
      </c>
      <c r="AG46" s="243"/>
      <c r="AH46" s="242">
        <v>262.07</v>
      </c>
      <c r="AI46" s="11">
        <v>281.38</v>
      </c>
      <c r="AJ46" s="11"/>
      <c r="AK46" s="11">
        <v>330.85</v>
      </c>
      <c r="AL46" s="11">
        <v>16</v>
      </c>
      <c r="AM46" s="11"/>
      <c r="AN46" s="11"/>
      <c r="AO46" s="11">
        <v>297.60000000000002</v>
      </c>
      <c r="AP46" s="248">
        <f t="shared" si="6"/>
        <v>1549.9</v>
      </c>
    </row>
    <row r="47" spans="1:54" ht="18">
      <c r="A47" s="308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431"/>
      <c r="R47" s="127"/>
      <c r="S47" s="127"/>
      <c r="T47" s="127"/>
      <c r="U47" s="354"/>
      <c r="V47" s="354"/>
      <c r="W47" s="27"/>
      <c r="X47" s="27"/>
      <c r="AA47" s="63"/>
      <c r="AB47" s="31"/>
      <c r="AC47" s="235" t="s">
        <v>3135</v>
      </c>
      <c r="AD47" s="11"/>
      <c r="AE47" s="11"/>
      <c r="AF47" s="240"/>
      <c r="AG47" s="243"/>
      <c r="AH47" s="242"/>
      <c r="AI47" s="11"/>
      <c r="AJ47" s="11"/>
      <c r="AK47" s="11"/>
      <c r="AL47" s="11"/>
      <c r="AM47" s="11"/>
      <c r="AN47" s="11"/>
      <c r="AO47" s="11"/>
      <c r="AP47" s="248">
        <f t="shared" si="6"/>
        <v>0</v>
      </c>
    </row>
    <row r="48" spans="1:54" ht="18">
      <c r="A48" s="31"/>
      <c r="Q48" s="425"/>
      <c r="U48" s="63"/>
      <c r="V48" s="63"/>
      <c r="W48" s="27"/>
      <c r="X48" s="27"/>
      <c r="AA48" s="63"/>
      <c r="AB48" s="31"/>
      <c r="AC48" s="235" t="s">
        <v>3137</v>
      </c>
      <c r="AD48" s="11"/>
      <c r="AE48" s="11">
        <v>544.80999999999995</v>
      </c>
      <c r="AF48" s="240"/>
      <c r="AG48" s="243"/>
      <c r="AH48" s="242"/>
      <c r="AI48" s="11">
        <v>308.89999999999998</v>
      </c>
      <c r="AJ48" s="11"/>
      <c r="AK48" s="11"/>
      <c r="AL48" s="11"/>
      <c r="AM48" s="11">
        <v>208.54</v>
      </c>
      <c r="AN48" s="11">
        <v>143.63999999999999</v>
      </c>
      <c r="AO48" s="11">
        <v>148.88999999999999</v>
      </c>
      <c r="AP48" s="248">
        <f t="shared" si="6"/>
        <v>1354.7799999999997</v>
      </c>
    </row>
    <row r="49" spans="1:42" ht="20.25">
      <c r="A49" s="3058" t="s">
        <v>3154</v>
      </c>
      <c r="B49" s="3059"/>
      <c r="C49" s="3059"/>
      <c r="D49" s="3059"/>
      <c r="E49" s="3059"/>
      <c r="F49" s="3059"/>
      <c r="G49" s="3059"/>
      <c r="H49" s="3059"/>
      <c r="I49" s="3059"/>
      <c r="J49" s="3059"/>
      <c r="K49" s="3059"/>
      <c r="L49" s="3059"/>
      <c r="M49" s="3059"/>
      <c r="N49" s="3059"/>
      <c r="O49" s="3059"/>
      <c r="P49" s="3059"/>
      <c r="Q49" s="3059"/>
      <c r="R49" s="3059"/>
      <c r="S49" s="3059"/>
      <c r="T49" s="3059"/>
      <c r="U49" s="3060"/>
      <c r="V49" s="432"/>
      <c r="W49" s="433"/>
      <c r="X49" s="27"/>
      <c r="AA49" s="63"/>
      <c r="AB49" s="31"/>
      <c r="AC49" s="235" t="s">
        <v>3138</v>
      </c>
      <c r="AD49" s="11"/>
      <c r="AE49" s="11"/>
      <c r="AF49" s="240"/>
      <c r="AG49" s="243">
        <v>425.91</v>
      </c>
      <c r="AH49" s="242">
        <v>310.86</v>
      </c>
      <c r="AI49" s="11"/>
      <c r="AJ49" s="11"/>
      <c r="AK49" s="11">
        <v>494.36</v>
      </c>
      <c r="AL49" s="11">
        <v>247.63</v>
      </c>
      <c r="AM49" s="11"/>
      <c r="AN49" s="11"/>
      <c r="AO49" s="11">
        <v>151.34</v>
      </c>
      <c r="AP49" s="248">
        <f t="shared" si="6"/>
        <v>1630.1000000000001</v>
      </c>
    </row>
    <row r="50" spans="1:42" ht="24">
      <c r="A50" s="393"/>
      <c r="B50" s="342" t="s">
        <v>519</v>
      </c>
      <c r="C50" s="394" t="s">
        <v>275</v>
      </c>
      <c r="D50" s="389" t="s">
        <v>722</v>
      </c>
      <c r="E50" s="389" t="s">
        <v>723</v>
      </c>
      <c r="F50" s="389" t="s">
        <v>2147</v>
      </c>
      <c r="G50" s="389" t="s">
        <v>2609</v>
      </c>
      <c r="H50" s="389" t="s">
        <v>725</v>
      </c>
      <c r="I50" s="389" t="s">
        <v>726</v>
      </c>
      <c r="J50" s="389" t="s">
        <v>727</v>
      </c>
      <c r="K50" s="389" t="s">
        <v>2610</v>
      </c>
      <c r="L50" s="389" t="s">
        <v>3148</v>
      </c>
      <c r="M50" s="389" t="s">
        <v>729</v>
      </c>
      <c r="N50" s="389" t="s">
        <v>730</v>
      </c>
      <c r="O50" s="389" t="s">
        <v>731</v>
      </c>
      <c r="P50" s="389" t="s">
        <v>2611</v>
      </c>
      <c r="Q50" s="389" t="s">
        <v>732</v>
      </c>
      <c r="R50" s="389" t="s">
        <v>733</v>
      </c>
      <c r="S50" s="389" t="s">
        <v>734</v>
      </c>
      <c r="T50" s="426" t="s">
        <v>2612</v>
      </c>
      <c r="U50" s="426" t="s">
        <v>3149</v>
      </c>
      <c r="V50" s="427" t="s">
        <v>23</v>
      </c>
      <c r="W50" s="434"/>
      <c r="X50" s="27"/>
      <c r="AA50" s="63"/>
      <c r="AB50" s="31"/>
      <c r="AC50" s="235" t="s">
        <v>3139</v>
      </c>
      <c r="AD50" s="11"/>
      <c r="AE50" s="11"/>
      <c r="AF50" s="240">
        <v>249.51</v>
      </c>
      <c r="AG50" s="243"/>
      <c r="AH50" s="242">
        <v>306.06</v>
      </c>
      <c r="AI50" s="11"/>
      <c r="AJ50" s="11">
        <v>192.18</v>
      </c>
      <c r="AK50" s="11">
        <v>118.79</v>
      </c>
      <c r="AL50" s="11"/>
      <c r="AM50" s="11">
        <v>126.22</v>
      </c>
      <c r="AN50" s="11">
        <v>155.62</v>
      </c>
      <c r="AO50" s="11"/>
      <c r="AP50" s="248">
        <f t="shared" si="6"/>
        <v>1148.3800000000001</v>
      </c>
    </row>
    <row r="51" spans="1:42" ht="23.25">
      <c r="A51" s="390" t="s">
        <v>3085</v>
      </c>
      <c r="B51" s="342" t="s">
        <v>634</v>
      </c>
      <c r="C51" s="342">
        <v>15000</v>
      </c>
      <c r="D51" s="342">
        <v>343</v>
      </c>
      <c r="E51" s="342">
        <v>651</v>
      </c>
      <c r="F51" s="342">
        <v>355</v>
      </c>
      <c r="G51" s="342">
        <f>SUM(D51:F51)</f>
        <v>1349</v>
      </c>
      <c r="H51" s="342">
        <v>733</v>
      </c>
      <c r="I51" s="342">
        <v>1256</v>
      </c>
      <c r="J51" s="342">
        <v>257</v>
      </c>
      <c r="K51" s="342">
        <f>SUM(H51:J51)</f>
        <v>2246</v>
      </c>
      <c r="L51" s="342">
        <f>+K51+G51</f>
        <v>3595</v>
      </c>
      <c r="M51" s="342">
        <v>987</v>
      </c>
      <c r="N51" s="391">
        <v>920</v>
      </c>
      <c r="O51" s="391">
        <v>917</v>
      </c>
      <c r="P51" s="342">
        <f>SUM(M51:O51)</f>
        <v>2824</v>
      </c>
      <c r="Q51" s="342">
        <v>1221</v>
      </c>
      <c r="R51" s="435">
        <v>987</v>
      </c>
      <c r="S51" s="435">
        <v>1069</v>
      </c>
      <c r="T51" s="342">
        <f>SUM(Q51:S51)</f>
        <v>3277</v>
      </c>
      <c r="U51" s="428">
        <f>+P51</f>
        <v>2824</v>
      </c>
      <c r="V51" s="429">
        <f>T51+P51+K51+G51</f>
        <v>9696</v>
      </c>
      <c r="W51" s="434"/>
      <c r="X51" s="27"/>
      <c r="AA51" s="63"/>
      <c r="AB51" s="31"/>
      <c r="AC51" s="235" t="s">
        <v>3140</v>
      </c>
      <c r="AD51" s="11"/>
      <c r="AE51" s="11"/>
      <c r="AF51" s="240">
        <v>515.77</v>
      </c>
      <c r="AG51" s="243"/>
      <c r="AH51" s="242">
        <v>280.70999999999998</v>
      </c>
      <c r="AI51" s="11"/>
      <c r="AJ51" s="11"/>
      <c r="AK51" s="11"/>
      <c r="AL51" s="11">
        <v>244.21</v>
      </c>
      <c r="AM51" s="11"/>
      <c r="AN51" s="11">
        <v>6</v>
      </c>
      <c r="AO51" s="11"/>
      <c r="AP51" s="248">
        <f t="shared" si="6"/>
        <v>1046.69</v>
      </c>
    </row>
    <row r="52" spans="1:42" ht="23.25">
      <c r="A52" s="390" t="s">
        <v>2341</v>
      </c>
      <c r="B52" s="342" t="s">
        <v>634</v>
      </c>
      <c r="C52" s="391">
        <v>30000</v>
      </c>
      <c r="D52" s="391">
        <v>0</v>
      </c>
      <c r="E52" s="391">
        <v>2354.0009999999997</v>
      </c>
      <c r="F52" s="391">
        <v>2591</v>
      </c>
      <c r="G52" s="342">
        <f>SUM(D52:F52)</f>
        <v>4945.0010000000002</v>
      </c>
      <c r="H52" s="391">
        <v>2560</v>
      </c>
      <c r="I52" s="391">
        <v>3956.95</v>
      </c>
      <c r="J52" s="391">
        <v>1925.1</v>
      </c>
      <c r="K52" s="342">
        <f>SUM(H52:J52)</f>
        <v>8442.0499999999993</v>
      </c>
      <c r="L52" s="342">
        <f>+K52+G52</f>
        <v>13387.050999999999</v>
      </c>
      <c r="M52" s="391">
        <v>1065</v>
      </c>
      <c r="N52" s="391">
        <v>1185.9000000000003</v>
      </c>
      <c r="O52" s="391">
        <v>1229.5999999999999</v>
      </c>
      <c r="P52" s="391">
        <f>SUM(M52:O52)</f>
        <v>3480.5000000000005</v>
      </c>
      <c r="Q52" s="391">
        <v>2786.9</v>
      </c>
      <c r="R52" s="342">
        <v>2490</v>
      </c>
      <c r="S52" s="435">
        <v>2798</v>
      </c>
      <c r="T52" s="391">
        <f>SUM(Q52:S52)</f>
        <v>8074.9</v>
      </c>
      <c r="U52" s="428">
        <f>+P52</f>
        <v>3480.5000000000005</v>
      </c>
      <c r="V52" s="429">
        <f>T52+P52+K52+G52</f>
        <v>24942.450999999997</v>
      </c>
      <c r="W52" s="434"/>
      <c r="X52" s="27"/>
      <c r="AA52" s="63"/>
      <c r="AB52" s="31"/>
      <c r="AC52" s="235" t="s">
        <v>3142</v>
      </c>
      <c r="AD52" s="11"/>
      <c r="AE52" s="11"/>
      <c r="AF52" s="240">
        <v>417.21</v>
      </c>
      <c r="AG52" s="243"/>
      <c r="AH52" s="242"/>
      <c r="AI52" s="11">
        <v>253.19</v>
      </c>
      <c r="AJ52" s="11"/>
      <c r="AK52" s="11"/>
      <c r="AL52" s="11">
        <v>295.20999999999998</v>
      </c>
      <c r="AM52" s="11"/>
      <c r="AN52" s="11"/>
      <c r="AO52" s="11">
        <v>212.15</v>
      </c>
      <c r="AP52" s="248">
        <f t="shared" si="6"/>
        <v>1177.76</v>
      </c>
    </row>
    <row r="53" spans="1:42" ht="23.25">
      <c r="A53" s="395" t="s">
        <v>3155</v>
      </c>
      <c r="B53" s="396" t="s">
        <v>634</v>
      </c>
      <c r="C53" s="391">
        <v>0</v>
      </c>
      <c r="D53" s="397">
        <v>0</v>
      </c>
      <c r="E53" s="397">
        <v>0</v>
      </c>
      <c r="F53" s="397">
        <v>0</v>
      </c>
      <c r="G53" s="342">
        <f>SUM(D53:F53)</f>
        <v>0</v>
      </c>
      <c r="H53" s="397">
        <v>0</v>
      </c>
      <c r="I53" s="397">
        <v>0</v>
      </c>
      <c r="J53" s="397">
        <v>0</v>
      </c>
      <c r="K53" s="342">
        <f>SUM(H53:J53)</f>
        <v>0</v>
      </c>
      <c r="L53" s="342">
        <f>+K53+G53</f>
        <v>0</v>
      </c>
      <c r="M53" s="397">
        <v>1232.94</v>
      </c>
      <c r="N53" s="397">
        <v>0</v>
      </c>
      <c r="O53" s="397">
        <v>2235.59</v>
      </c>
      <c r="P53" s="391">
        <f>SUM(M53:O53)</f>
        <v>3468.53</v>
      </c>
      <c r="Q53" s="397">
        <v>0</v>
      </c>
      <c r="R53" s="396">
        <v>2236.5</v>
      </c>
      <c r="S53" s="436">
        <v>2236.5</v>
      </c>
      <c r="T53" s="391">
        <f>SUM(Q53:S53)</f>
        <v>4473</v>
      </c>
      <c r="U53" s="428">
        <f>+P53</f>
        <v>3468.53</v>
      </c>
      <c r="V53" s="429">
        <f>T53+P53+K53+G53</f>
        <v>7941.5300000000007</v>
      </c>
      <c r="W53" s="437"/>
      <c r="X53" s="27"/>
      <c r="AA53" s="63"/>
      <c r="AB53" s="31"/>
      <c r="AC53" s="235" t="s">
        <v>3143</v>
      </c>
      <c r="AD53" s="11">
        <v>384.35</v>
      </c>
      <c r="AE53" s="11">
        <v>0</v>
      </c>
      <c r="AF53" s="240"/>
      <c r="AG53" s="243"/>
      <c r="AH53" s="242">
        <v>382.39</v>
      </c>
      <c r="AI53" s="11"/>
      <c r="AJ53" s="11"/>
      <c r="AK53" s="11">
        <v>252.48</v>
      </c>
      <c r="AL53" s="11"/>
      <c r="AM53" s="11"/>
      <c r="AN53" s="11">
        <v>167.44</v>
      </c>
      <c r="AO53" s="11"/>
      <c r="AP53" s="248">
        <f t="shared" si="6"/>
        <v>1186.6600000000001</v>
      </c>
    </row>
    <row r="54" spans="1:42" ht="23.25">
      <c r="A54" s="395" t="s">
        <v>3150</v>
      </c>
      <c r="B54" s="396" t="s">
        <v>634</v>
      </c>
      <c r="C54" s="342">
        <v>14100</v>
      </c>
      <c r="D54" s="396">
        <v>810</v>
      </c>
      <c r="E54" s="396">
        <v>0</v>
      </c>
      <c r="F54" s="396">
        <v>0</v>
      </c>
      <c r="G54" s="342">
        <f>SUM(D54:F54)</f>
        <v>810</v>
      </c>
      <c r="H54" s="396">
        <v>196</v>
      </c>
      <c r="I54" s="396">
        <v>528</v>
      </c>
      <c r="J54" s="396">
        <v>2444</v>
      </c>
      <c r="K54" s="342">
        <f>SUM(H54:J54)</f>
        <v>3168</v>
      </c>
      <c r="L54" s="342">
        <f>+K54+G54</f>
        <v>3978</v>
      </c>
      <c r="M54" s="396">
        <v>0</v>
      </c>
      <c r="N54" s="396">
        <v>2262</v>
      </c>
      <c r="O54" s="396">
        <v>2304</v>
      </c>
      <c r="P54" s="391">
        <f>SUM(M54:O54)</f>
        <v>4566</v>
      </c>
      <c r="Q54" s="438">
        <v>1578</v>
      </c>
      <c r="R54" s="396">
        <v>1734</v>
      </c>
      <c r="S54" s="396">
        <v>2148</v>
      </c>
      <c r="T54" s="391">
        <f>SUM(Q54:S54)</f>
        <v>5460</v>
      </c>
      <c r="U54" s="428">
        <f>+P54</f>
        <v>4566</v>
      </c>
      <c r="V54" s="429">
        <f>T54+P54+K54+G54</f>
        <v>14004</v>
      </c>
      <c r="W54" s="439"/>
      <c r="X54" s="27"/>
      <c r="AA54" s="63"/>
      <c r="AB54" s="31"/>
      <c r="AC54" s="235" t="s">
        <v>3144</v>
      </c>
      <c r="AD54" s="11"/>
      <c r="AE54" s="11"/>
      <c r="AF54" s="240"/>
      <c r="AG54" s="243">
        <v>255.66</v>
      </c>
      <c r="AH54" s="242">
        <v>51.16</v>
      </c>
      <c r="AI54" s="11"/>
      <c r="AJ54" s="11">
        <v>365.17</v>
      </c>
      <c r="AK54" s="11"/>
      <c r="AL54" s="11"/>
      <c r="AM54" s="11">
        <v>280.58999999999997</v>
      </c>
      <c r="AN54" s="11">
        <v>218.27</v>
      </c>
      <c r="AO54" s="11"/>
      <c r="AP54" s="248">
        <f t="shared" si="6"/>
        <v>1170.8499999999999</v>
      </c>
    </row>
    <row r="55" spans="1:42" ht="20.25">
      <c r="A55" s="341" t="s">
        <v>3151</v>
      </c>
      <c r="B55" s="342" t="s">
        <v>634</v>
      </c>
      <c r="C55" s="398">
        <v>12000</v>
      </c>
      <c r="D55" s="399">
        <v>107.71</v>
      </c>
      <c r="E55" s="399">
        <v>1051.45</v>
      </c>
      <c r="F55" s="399">
        <v>1137.72</v>
      </c>
      <c r="G55" s="342">
        <f>SUM(D55:F55)</f>
        <v>2296.88</v>
      </c>
      <c r="H55" s="399">
        <v>953.66000000000008</v>
      </c>
      <c r="I55" s="399">
        <v>1065</v>
      </c>
      <c r="J55" s="399">
        <v>1245</v>
      </c>
      <c r="K55" s="342">
        <f>SUM(H55:J55)</f>
        <v>3263.66</v>
      </c>
      <c r="L55" s="342">
        <f>+K55+G55</f>
        <v>5560.54</v>
      </c>
      <c r="M55" s="414">
        <v>1012.76</v>
      </c>
      <c r="N55" s="414">
        <v>835.5</v>
      </c>
      <c r="O55" s="414">
        <v>1007.83</v>
      </c>
      <c r="P55" s="391">
        <f>SUM(M55:O55)</f>
        <v>2856.09</v>
      </c>
      <c r="Q55" s="414">
        <v>764.24</v>
      </c>
      <c r="R55" s="414">
        <v>917.88</v>
      </c>
      <c r="S55" s="414">
        <v>840.18</v>
      </c>
      <c r="T55" s="391">
        <f>SUM(Q55:S55)</f>
        <v>2522.2999999999997</v>
      </c>
      <c r="U55" s="428">
        <f>+P55</f>
        <v>2856.09</v>
      </c>
      <c r="V55" s="429">
        <f>T55+P55+K55+G55</f>
        <v>10938.93</v>
      </c>
      <c r="W55" s="27"/>
      <c r="X55" s="27"/>
      <c r="AA55" s="63"/>
      <c r="AB55" s="31"/>
      <c r="AC55" s="235" t="s">
        <v>3145</v>
      </c>
      <c r="AD55" s="11">
        <v>537.91999999999996</v>
      </c>
      <c r="AE55" s="11">
        <v>59.35</v>
      </c>
      <c r="AF55" s="240"/>
      <c r="AG55" s="243">
        <v>256.58</v>
      </c>
      <c r="AH55" s="242"/>
      <c r="AI55" s="11">
        <v>150.80000000000001</v>
      </c>
      <c r="AJ55" s="11">
        <v>95.5</v>
      </c>
      <c r="AK55" s="11"/>
      <c r="AL55" s="11"/>
      <c r="AM55" s="11"/>
      <c r="AN55" s="11"/>
      <c r="AO55" s="11">
        <v>22.75</v>
      </c>
      <c r="AP55" s="248">
        <f t="shared" si="6"/>
        <v>1122.8999999999999</v>
      </c>
    </row>
    <row r="56" spans="1:42" ht="20.25">
      <c r="A56" s="341" t="s">
        <v>3152</v>
      </c>
      <c r="B56" s="342" t="s">
        <v>3153</v>
      </c>
      <c r="C56" s="258">
        <v>3000</v>
      </c>
      <c r="D56" s="399">
        <v>0</v>
      </c>
      <c r="E56" s="399">
        <v>0</v>
      </c>
      <c r="F56" s="399">
        <v>0</v>
      </c>
      <c r="G56" s="399"/>
      <c r="H56" s="399">
        <v>373</v>
      </c>
      <c r="I56" s="399">
        <v>1712</v>
      </c>
      <c r="J56" s="399">
        <v>1525</v>
      </c>
      <c r="K56" s="399"/>
      <c r="L56" s="399"/>
      <c r="M56" s="414">
        <v>1622</v>
      </c>
      <c r="N56" s="414">
        <v>1590</v>
      </c>
      <c r="O56" s="414">
        <v>2157</v>
      </c>
      <c r="P56" s="414"/>
      <c r="Q56" s="414">
        <v>2090</v>
      </c>
      <c r="R56" s="414">
        <v>2082</v>
      </c>
      <c r="S56" s="414">
        <v>2095</v>
      </c>
      <c r="T56" s="440"/>
      <c r="U56" s="440"/>
      <c r="V56" s="430">
        <v>1271</v>
      </c>
      <c r="W56" s="441">
        <f>(373*24*31+1712*24*31+1525*24*30+1622*24*31+1590*24*30+2157*24*31+2090*24*31+2082*24*29+2095*24*31)</f>
        <v>11168328</v>
      </c>
      <c r="X56" s="441"/>
      <c r="Y56">
        <f>30+31+30+31+31+30+31+30+31+31+29+31</f>
        <v>366</v>
      </c>
      <c r="AA56" s="63"/>
      <c r="AB56" s="7"/>
      <c r="AC56" s="236" t="s">
        <v>23</v>
      </c>
      <c r="AD56" s="237">
        <f>SUM(AD30:AD55)</f>
        <v>2008.1599999999999</v>
      </c>
      <c r="AE56" s="237">
        <f t="shared" ref="AE56:AO56" si="7">SUM(AE30:AE55)</f>
        <v>2083.23</v>
      </c>
      <c r="AF56" s="244">
        <f t="shared" si="7"/>
        <v>2631.6099999999997</v>
      </c>
      <c r="AG56" s="245">
        <f t="shared" si="7"/>
        <v>2542.4499999999998</v>
      </c>
      <c r="AH56" s="246">
        <f t="shared" si="7"/>
        <v>2800.8999999999996</v>
      </c>
      <c r="AI56" s="237">
        <f t="shared" si="7"/>
        <v>2173.8860000000004</v>
      </c>
      <c r="AJ56" s="246">
        <f t="shared" si="7"/>
        <v>2093.36</v>
      </c>
      <c r="AK56" s="237">
        <f t="shared" si="7"/>
        <v>1741.79</v>
      </c>
      <c r="AL56" s="237">
        <f t="shared" si="7"/>
        <v>1600.43</v>
      </c>
      <c r="AM56" s="237">
        <f t="shared" si="7"/>
        <v>1954.1899999999998</v>
      </c>
      <c r="AN56" s="237">
        <f t="shared" si="7"/>
        <v>1587.9900000000002</v>
      </c>
      <c r="AO56" s="237">
        <f t="shared" si="7"/>
        <v>1310.799</v>
      </c>
      <c r="AP56" s="251">
        <f>SUM(AD56:AN56)</f>
        <v>23217.996000000003</v>
      </c>
    </row>
    <row r="57" spans="1:42" ht="23.25" customHeight="1">
      <c r="A57" s="400"/>
      <c r="B57" s="337"/>
      <c r="C57" s="401"/>
      <c r="D57" s="401"/>
      <c r="E57" s="401"/>
      <c r="F57" s="401"/>
      <c r="G57" s="401"/>
      <c r="H57" s="401"/>
      <c r="I57" s="401"/>
      <c r="J57" s="401"/>
      <c r="K57" s="401"/>
      <c r="L57" s="415"/>
      <c r="M57" s="415"/>
      <c r="N57" s="401"/>
      <c r="O57" s="401"/>
      <c r="P57" s="401"/>
      <c r="Q57" s="442"/>
      <c r="R57" s="443"/>
      <c r="S57" s="443"/>
      <c r="T57" s="443"/>
      <c r="U57" s="444"/>
      <c r="V57" s="445"/>
      <c r="W57" s="27"/>
      <c r="X57" s="27"/>
      <c r="Y57">
        <f>+W56/Y56</f>
        <v>30514.557377049179</v>
      </c>
      <c r="AA57" s="63"/>
      <c r="AJ57">
        <f>2093.26-2122.96</f>
        <v>-29.699999999999818</v>
      </c>
    </row>
    <row r="58" spans="1:42" ht="23.25">
      <c r="A58" s="400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446"/>
      <c r="R58" s="337"/>
      <c r="S58" s="337"/>
      <c r="T58" s="337"/>
      <c r="U58" s="445"/>
      <c r="V58" s="445"/>
      <c r="W58" s="27"/>
      <c r="X58" s="27"/>
      <c r="Y58">
        <f>+Y57/24</f>
        <v>1271.4398907103825</v>
      </c>
      <c r="AA58" s="63"/>
      <c r="AB58" s="308"/>
      <c r="AC58" s="238"/>
      <c r="AD58" s="239"/>
      <c r="AE58" s="3056" t="s">
        <v>3156</v>
      </c>
      <c r="AF58" s="3056"/>
      <c r="AG58" s="3057"/>
      <c r="AH58" s="3056"/>
      <c r="AI58" s="3056"/>
      <c r="AJ58" s="239"/>
      <c r="AK58" s="239"/>
      <c r="AL58" s="239"/>
      <c r="AM58" s="239"/>
      <c r="AN58" s="239"/>
      <c r="AO58" s="239"/>
      <c r="AP58" s="249"/>
    </row>
    <row r="59" spans="1:42" ht="20.25">
      <c r="A59" s="3058" t="s">
        <v>3157</v>
      </c>
      <c r="B59" s="3059"/>
      <c r="C59" s="3059"/>
      <c r="D59" s="3059"/>
      <c r="E59" s="3059"/>
      <c r="F59" s="3059"/>
      <c r="G59" s="3059"/>
      <c r="H59" s="3059"/>
      <c r="I59" s="3059"/>
      <c r="J59" s="3059"/>
      <c r="K59" s="3059"/>
      <c r="L59" s="3059"/>
      <c r="M59" s="3059"/>
      <c r="N59" s="3059"/>
      <c r="O59" s="3059"/>
      <c r="P59" s="3059"/>
      <c r="Q59" s="3059"/>
      <c r="R59" s="3059"/>
      <c r="S59" s="3059"/>
      <c r="T59" s="3059"/>
      <c r="U59" s="3060"/>
      <c r="V59" s="432"/>
      <c r="W59" s="433"/>
      <c r="X59" s="27"/>
      <c r="AA59" s="63"/>
      <c r="AB59" s="31"/>
      <c r="AC59" s="235" t="s">
        <v>3114</v>
      </c>
      <c r="AD59" s="11" t="s">
        <v>242</v>
      </c>
      <c r="AE59" s="11" t="s">
        <v>243</v>
      </c>
      <c r="AF59" s="240" t="s">
        <v>244</v>
      </c>
      <c r="AG59" s="241" t="s">
        <v>245</v>
      </c>
      <c r="AH59" s="242" t="s">
        <v>246</v>
      </c>
      <c r="AI59" s="11" t="s">
        <v>247</v>
      </c>
      <c r="AJ59" s="11" t="s">
        <v>248</v>
      </c>
      <c r="AK59" s="11" t="s">
        <v>249</v>
      </c>
      <c r="AL59" s="11" t="s">
        <v>250</v>
      </c>
      <c r="AM59" s="11" t="s">
        <v>861</v>
      </c>
      <c r="AN59" s="250">
        <v>45689</v>
      </c>
      <c r="AO59" s="11" t="s">
        <v>863</v>
      </c>
      <c r="AP59" s="248" t="s">
        <v>23</v>
      </c>
    </row>
    <row r="60" spans="1:42" ht="24">
      <c r="A60" s="390"/>
      <c r="B60" s="342" t="s">
        <v>519</v>
      </c>
      <c r="C60" s="394" t="s">
        <v>275</v>
      </c>
      <c r="D60" s="389" t="s">
        <v>722</v>
      </c>
      <c r="E60" s="389" t="s">
        <v>723</v>
      </c>
      <c r="F60" s="389" t="s">
        <v>2147</v>
      </c>
      <c r="G60" s="389" t="s">
        <v>2609</v>
      </c>
      <c r="H60" s="389" t="s">
        <v>725</v>
      </c>
      <c r="I60" s="389" t="s">
        <v>726</v>
      </c>
      <c r="J60" s="389" t="s">
        <v>727</v>
      </c>
      <c r="K60" s="389" t="s">
        <v>2610</v>
      </c>
      <c r="L60" s="389" t="s">
        <v>3148</v>
      </c>
      <c r="M60" s="389" t="s">
        <v>729</v>
      </c>
      <c r="N60" s="389" t="s">
        <v>730</v>
      </c>
      <c r="O60" s="389" t="s">
        <v>731</v>
      </c>
      <c r="P60" s="389" t="s">
        <v>2611</v>
      </c>
      <c r="Q60" s="389" t="s">
        <v>732</v>
      </c>
      <c r="R60" s="389" t="s">
        <v>733</v>
      </c>
      <c r="S60" s="389" t="s">
        <v>734</v>
      </c>
      <c r="T60" s="426" t="s">
        <v>2612</v>
      </c>
      <c r="U60" s="426" t="s">
        <v>3149</v>
      </c>
      <c r="V60" s="427" t="s">
        <v>23</v>
      </c>
      <c r="W60" s="434"/>
      <c r="X60" s="27"/>
      <c r="AB60" s="31"/>
      <c r="AC60" s="235" t="s">
        <v>3116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248">
        <v>0</v>
      </c>
    </row>
    <row r="61" spans="1:42" ht="23.25">
      <c r="A61" s="390" t="s">
        <v>3085</v>
      </c>
      <c r="B61" s="342" t="s">
        <v>634</v>
      </c>
      <c r="C61" s="342">
        <v>24000</v>
      </c>
      <c r="D61" s="342">
        <v>901</v>
      </c>
      <c r="E61" s="342">
        <v>1143</v>
      </c>
      <c r="F61" s="342">
        <v>476</v>
      </c>
      <c r="G61" s="342">
        <f>SUM(D61:F61)</f>
        <v>2520</v>
      </c>
      <c r="H61" s="342">
        <v>390</v>
      </c>
      <c r="I61" s="342">
        <v>527</v>
      </c>
      <c r="J61" s="342">
        <v>862</v>
      </c>
      <c r="K61" s="342">
        <f>SUM(H61:J61)</f>
        <v>1779</v>
      </c>
      <c r="L61" s="342">
        <f>+K61+G61</f>
        <v>4299</v>
      </c>
      <c r="M61" s="342">
        <v>963</v>
      </c>
      <c r="N61" s="342">
        <v>702</v>
      </c>
      <c r="O61" s="342">
        <v>1112</v>
      </c>
      <c r="P61" s="342">
        <f>SUM(M61:O61)</f>
        <v>2777</v>
      </c>
      <c r="Q61" s="342">
        <v>1544</v>
      </c>
      <c r="R61" s="342">
        <v>1069</v>
      </c>
      <c r="S61" s="342">
        <v>1248</v>
      </c>
      <c r="T61" s="342">
        <f>SUM(Q61:S61)</f>
        <v>3861</v>
      </c>
      <c r="U61" s="428">
        <f>+P61</f>
        <v>2777</v>
      </c>
      <c r="V61" s="429">
        <f>T61+P61+K61+G61</f>
        <v>10937</v>
      </c>
      <c r="W61" s="434"/>
      <c r="X61" s="27"/>
      <c r="AB61" s="31"/>
      <c r="AC61" s="235" t="s">
        <v>3118</v>
      </c>
      <c r="AD61" s="11"/>
      <c r="AE61" s="11"/>
      <c r="AF61" s="11"/>
      <c r="AG61" s="11">
        <v>92.16</v>
      </c>
      <c r="AH61" s="11">
        <v>55.83</v>
      </c>
      <c r="AI61" s="11"/>
      <c r="AJ61" s="11"/>
      <c r="AK61" s="11">
        <v>62.95</v>
      </c>
      <c r="AL61" s="11">
        <v>7</v>
      </c>
      <c r="AM61" s="11"/>
      <c r="AN61" s="11">
        <v>37.65</v>
      </c>
      <c r="AO61" s="11">
        <v>69.400000000000006</v>
      </c>
      <c r="AP61" s="248">
        <f t="shared" ref="AP61:AP79" si="8">SUM(AD61:AO61)</f>
        <v>324.99</v>
      </c>
    </row>
    <row r="62" spans="1:42" ht="23.25">
      <c r="A62" s="390" t="s">
        <v>2341</v>
      </c>
      <c r="B62" s="342" t="s">
        <v>634</v>
      </c>
      <c r="C62" s="391">
        <v>30000</v>
      </c>
      <c r="D62" s="391">
        <v>2551</v>
      </c>
      <c r="E62" s="391">
        <v>3219</v>
      </c>
      <c r="F62" s="391">
        <v>1529</v>
      </c>
      <c r="G62" s="342">
        <f>SUM(D62:F62)</f>
        <v>7299</v>
      </c>
      <c r="H62" s="342">
        <v>2360.4899999999998</v>
      </c>
      <c r="I62" s="342">
        <v>2228</v>
      </c>
      <c r="J62" s="342">
        <v>2229</v>
      </c>
      <c r="K62" s="342">
        <f>SUM(H62:J62)</f>
        <v>6817.49</v>
      </c>
      <c r="L62" s="342">
        <f>+K62+G62</f>
        <v>14116.49</v>
      </c>
      <c r="M62" s="342">
        <v>2076</v>
      </c>
      <c r="N62" s="342">
        <v>2581</v>
      </c>
      <c r="O62" s="342">
        <v>2276</v>
      </c>
      <c r="P62" s="342">
        <f>SUM(M62:O62)</f>
        <v>6933</v>
      </c>
      <c r="Q62" s="342">
        <v>2652</v>
      </c>
      <c r="R62" s="342">
        <v>1239</v>
      </c>
      <c r="S62" s="342">
        <v>1986</v>
      </c>
      <c r="T62" s="342">
        <f>SUM(Q62:S62)</f>
        <v>5877</v>
      </c>
      <c r="U62" s="428">
        <f>+P62</f>
        <v>6933</v>
      </c>
      <c r="V62" s="429">
        <f>T62+P62+K62+G62</f>
        <v>26926.489999999998</v>
      </c>
      <c r="W62" s="434"/>
      <c r="X62" s="27"/>
      <c r="AB62" s="31"/>
      <c r="AC62" s="235" t="s">
        <v>3120</v>
      </c>
      <c r="AD62" s="11"/>
      <c r="AE62" s="11">
        <v>156.30000000000001</v>
      </c>
      <c r="AF62" s="11">
        <v>97.8</v>
      </c>
      <c r="AG62" s="11">
        <v>83.27</v>
      </c>
      <c r="AH62" s="11">
        <v>261.18</v>
      </c>
      <c r="AI62" s="11"/>
      <c r="AJ62" s="11">
        <v>161.19999999999999</v>
      </c>
      <c r="AK62" s="11">
        <v>92.6</v>
      </c>
      <c r="AL62" s="11">
        <v>252.39</v>
      </c>
      <c r="AM62" s="11">
        <v>21.55</v>
      </c>
      <c r="AN62" s="11">
        <v>46.6</v>
      </c>
      <c r="AO62" s="11"/>
      <c r="AP62" s="248">
        <f t="shared" si="8"/>
        <v>1172.8899999999999</v>
      </c>
    </row>
    <row r="63" spans="1:42" ht="23.25">
      <c r="A63" s="395" t="s">
        <v>3155</v>
      </c>
      <c r="B63" s="396"/>
      <c r="C63" s="391">
        <v>0</v>
      </c>
      <c r="D63" s="391">
        <v>2101.6</v>
      </c>
      <c r="E63" s="391">
        <v>0</v>
      </c>
      <c r="F63" s="342">
        <v>0</v>
      </c>
      <c r="G63" s="342">
        <f>SUM(D63:F63)</f>
        <v>2101.6</v>
      </c>
      <c r="H63" s="391">
        <v>1121.8</v>
      </c>
      <c r="I63" s="342">
        <v>89.7</v>
      </c>
      <c r="J63" s="391">
        <v>972.7</v>
      </c>
      <c r="K63" s="342">
        <f>SUM(H63:J63)</f>
        <v>2184.1999999999998</v>
      </c>
      <c r="L63" s="342">
        <f>+K63+G63</f>
        <v>4285.7999999999993</v>
      </c>
      <c r="M63" s="342">
        <f>639</f>
        <v>639</v>
      </c>
      <c r="N63" s="342">
        <f>639</f>
        <v>639</v>
      </c>
      <c r="O63" s="342">
        <v>639</v>
      </c>
      <c r="P63" s="342">
        <f>SUM(M63:O63)</f>
        <v>1917</v>
      </c>
      <c r="Q63" s="391">
        <f>4923</f>
        <v>4923</v>
      </c>
      <c r="R63" s="391">
        <v>767</v>
      </c>
      <c r="S63" s="391">
        <v>0</v>
      </c>
      <c r="T63" s="342">
        <f>SUM(Q63:S63)</f>
        <v>5690</v>
      </c>
      <c r="U63" s="428">
        <f>+P63</f>
        <v>1917</v>
      </c>
      <c r="V63" s="429">
        <f>T63+P63+K63+G63</f>
        <v>11892.800000000001</v>
      </c>
      <c r="W63" s="437"/>
      <c r="X63" s="27"/>
      <c r="AB63" s="31"/>
      <c r="AC63" s="235" t="s">
        <v>3121</v>
      </c>
      <c r="AD63" s="11">
        <v>254.5</v>
      </c>
      <c r="AE63" s="11"/>
      <c r="AF63" s="11"/>
      <c r="AG63" s="11">
        <v>102.44</v>
      </c>
      <c r="AH63" s="11">
        <v>296.17</v>
      </c>
      <c r="AI63" s="11">
        <v>25.2</v>
      </c>
      <c r="AJ63" s="11">
        <v>227.87</v>
      </c>
      <c r="AK63" s="11"/>
      <c r="AL63" s="11">
        <v>131.9</v>
      </c>
      <c r="AM63" s="11">
        <v>156.94999999999999</v>
      </c>
      <c r="AN63" s="11"/>
      <c r="AO63" s="11">
        <v>186.16</v>
      </c>
      <c r="AP63" s="248">
        <f t="shared" si="8"/>
        <v>1381.1900000000003</v>
      </c>
    </row>
    <row r="64" spans="1:42" ht="23.25">
      <c r="A64" s="395" t="s">
        <v>3150</v>
      </c>
      <c r="B64" s="346" t="s">
        <v>634</v>
      </c>
      <c r="C64" s="342">
        <v>12000</v>
      </c>
      <c r="D64" s="346">
        <v>370</v>
      </c>
      <c r="E64" s="346">
        <v>732</v>
      </c>
      <c r="F64" s="346">
        <v>0</v>
      </c>
      <c r="G64" s="342">
        <f>SUM(D64:F64)</f>
        <v>1102</v>
      </c>
      <c r="H64" s="402">
        <v>0</v>
      </c>
      <c r="I64" s="391">
        <v>1038</v>
      </c>
      <c r="J64" s="342">
        <v>576</v>
      </c>
      <c r="K64" s="342">
        <f>SUM(H64:J64)</f>
        <v>1614</v>
      </c>
      <c r="L64" s="342">
        <f>+K64+G64</f>
        <v>2716</v>
      </c>
      <c r="M64" s="342">
        <v>1770</v>
      </c>
      <c r="N64" s="342">
        <v>834</v>
      </c>
      <c r="O64" s="342">
        <v>1956</v>
      </c>
      <c r="P64" s="342">
        <f>SUM(M64:O64)</f>
        <v>4560</v>
      </c>
      <c r="Q64" s="342">
        <v>1374</v>
      </c>
      <c r="R64" s="342">
        <v>0</v>
      </c>
      <c r="S64" s="342">
        <v>1122</v>
      </c>
      <c r="T64" s="342">
        <f>SUM(Q64:S64)</f>
        <v>2496</v>
      </c>
      <c r="U64" s="428">
        <f>+P64</f>
        <v>4560</v>
      </c>
      <c r="V64" s="429">
        <f>T64+P64+K64+G64</f>
        <v>9772</v>
      </c>
      <c r="W64" s="439"/>
      <c r="X64" s="27"/>
      <c r="AB64" s="31"/>
      <c r="AC64" s="235" t="s">
        <v>3123</v>
      </c>
      <c r="AD64" s="11">
        <v>329.35</v>
      </c>
      <c r="AE64" s="11"/>
      <c r="AF64" s="11">
        <v>227.17</v>
      </c>
      <c r="AG64" s="11">
        <v>104.9</v>
      </c>
      <c r="AH64" s="11"/>
      <c r="AI64" s="11">
        <v>165.15</v>
      </c>
      <c r="AJ64" s="11"/>
      <c r="AK64" s="11">
        <v>280.22000000000003</v>
      </c>
      <c r="AL64" s="11"/>
      <c r="AM64" s="11">
        <v>288.45999999999998</v>
      </c>
      <c r="AN64" s="11">
        <v>34</v>
      </c>
      <c r="AO64" s="11">
        <v>242.6</v>
      </c>
      <c r="AP64" s="248">
        <f t="shared" si="8"/>
        <v>1671.85</v>
      </c>
    </row>
    <row r="65" spans="1:42" ht="20.25">
      <c r="A65" s="341" t="s">
        <v>3151</v>
      </c>
      <c r="B65" s="342" t="s">
        <v>634</v>
      </c>
      <c r="C65" s="398">
        <v>12000</v>
      </c>
      <c r="D65" s="398">
        <v>753.95</v>
      </c>
      <c r="E65" s="398">
        <v>1231</v>
      </c>
      <c r="F65" s="398">
        <v>2116</v>
      </c>
      <c r="G65" s="342">
        <f>SUM(D65:F65)</f>
        <v>4100.95</v>
      </c>
      <c r="H65" s="398">
        <v>1135.6400000000001</v>
      </c>
      <c r="I65" s="398">
        <v>1143.47</v>
      </c>
      <c r="J65" s="398">
        <v>1555.02</v>
      </c>
      <c r="K65" s="342">
        <f>SUM(H65:J65)</f>
        <v>3834.13</v>
      </c>
      <c r="L65" s="342">
        <f>+K65+G65</f>
        <v>7935.08</v>
      </c>
      <c r="M65" s="398">
        <v>1214.51</v>
      </c>
      <c r="N65" s="398">
        <v>1208.56</v>
      </c>
      <c r="O65" s="398">
        <v>1105.67</v>
      </c>
      <c r="P65" s="391">
        <f>SUM(M65:O65)</f>
        <v>3528.74</v>
      </c>
      <c r="Q65" s="398">
        <v>1060.22</v>
      </c>
      <c r="R65" s="398">
        <v>853</v>
      </c>
      <c r="S65" s="398">
        <v>1122.4000000000001</v>
      </c>
      <c r="T65" s="391">
        <f>SUM(Q65:S65)</f>
        <v>3035.62</v>
      </c>
      <c r="U65" s="428">
        <f>+P65</f>
        <v>3528.74</v>
      </c>
      <c r="V65" s="429">
        <f>T65+P65+K65+G65</f>
        <v>14499.439999999999</v>
      </c>
      <c r="W65" s="27"/>
      <c r="X65" s="27"/>
      <c r="AB65" s="31"/>
      <c r="AC65" s="235" t="s">
        <v>3125</v>
      </c>
      <c r="AD65" s="11">
        <v>157.25</v>
      </c>
      <c r="AE65" s="11">
        <v>108.8</v>
      </c>
      <c r="AF65" s="11"/>
      <c r="AG65" s="11">
        <v>44.3</v>
      </c>
      <c r="AH65" s="11"/>
      <c r="AI65" s="11">
        <v>261.45999999999998</v>
      </c>
      <c r="AJ65" s="11"/>
      <c r="AK65" s="11"/>
      <c r="AL65" s="11">
        <v>177.73</v>
      </c>
      <c r="AM65" s="11">
        <v>98</v>
      </c>
      <c r="AN65" s="11">
        <v>273.8</v>
      </c>
      <c r="AO65" s="11"/>
      <c r="AP65" s="248">
        <f t="shared" si="8"/>
        <v>1121.3399999999999</v>
      </c>
    </row>
    <row r="66" spans="1:42" ht="20.25">
      <c r="A66" s="403" t="s">
        <v>3152</v>
      </c>
      <c r="B66" s="346" t="s">
        <v>3153</v>
      </c>
      <c r="C66" s="258">
        <v>3000</v>
      </c>
      <c r="D66" s="346">
        <v>1744</v>
      </c>
      <c r="E66" s="346">
        <v>1730</v>
      </c>
      <c r="F66" s="346">
        <v>1330</v>
      </c>
      <c r="G66" s="346"/>
      <c r="H66" s="346">
        <v>999</v>
      </c>
      <c r="I66" s="346">
        <v>1102</v>
      </c>
      <c r="J66" s="346">
        <v>1317</v>
      </c>
      <c r="K66" s="346"/>
      <c r="L66" s="346"/>
      <c r="M66" s="346">
        <v>1185</v>
      </c>
      <c r="N66" s="346">
        <v>1706</v>
      </c>
      <c r="O66" s="346">
        <v>1762</v>
      </c>
      <c r="P66" s="346"/>
      <c r="Q66" s="447">
        <v>2051</v>
      </c>
      <c r="R66" s="346">
        <v>1908</v>
      </c>
      <c r="S66" s="346">
        <v>1038</v>
      </c>
      <c r="T66" s="448"/>
      <c r="U66" s="448"/>
      <c r="V66" s="351">
        <v>1339</v>
      </c>
      <c r="W66" s="27"/>
      <c r="X66" s="27"/>
      <c r="AA66" s="63"/>
      <c r="AB66" s="31"/>
      <c r="AC66" s="235" t="s">
        <v>3127</v>
      </c>
      <c r="AD66" s="11">
        <v>145.62</v>
      </c>
      <c r="AE66" s="11"/>
      <c r="AF66" s="11">
        <v>294.91000000000003</v>
      </c>
      <c r="AG66" s="11">
        <v>80</v>
      </c>
      <c r="AH66" s="11"/>
      <c r="AI66" s="11">
        <v>244.28</v>
      </c>
      <c r="AJ66" s="11"/>
      <c r="AK66" s="11">
        <v>271.64999999999998</v>
      </c>
      <c r="AL66" s="11"/>
      <c r="AM66" s="11">
        <v>300.77</v>
      </c>
      <c r="AN66" s="11">
        <v>113.2</v>
      </c>
      <c r="AO66" s="11"/>
      <c r="AP66" s="248">
        <f t="shared" si="8"/>
        <v>1450.43</v>
      </c>
    </row>
    <row r="67" spans="1:42" ht="20.25">
      <c r="A67" s="3058" t="s">
        <v>3158</v>
      </c>
      <c r="B67" s="3059"/>
      <c r="C67" s="3059"/>
      <c r="D67" s="3059"/>
      <c r="E67" s="3059"/>
      <c r="F67" s="3059"/>
      <c r="G67" s="3059"/>
      <c r="H67" s="3059"/>
      <c r="I67" s="3059"/>
      <c r="J67" s="3059"/>
      <c r="K67" s="3059"/>
      <c r="L67" s="3059"/>
      <c r="M67" s="3059"/>
      <c r="N67" s="3059"/>
      <c r="O67" s="3059"/>
      <c r="P67" s="3059"/>
      <c r="Q67" s="3059"/>
      <c r="R67" s="3059"/>
      <c r="S67" s="3059"/>
      <c r="T67" s="3059"/>
      <c r="U67" s="3060"/>
      <c r="W67" s="27"/>
      <c r="X67" s="27"/>
      <c r="AB67" s="31"/>
      <c r="AC67" s="235" t="s">
        <v>3129</v>
      </c>
      <c r="AD67" s="11">
        <v>313.41000000000003</v>
      </c>
      <c r="AE67" s="11"/>
      <c r="AF67" s="11"/>
      <c r="AG67" s="11">
        <v>63.03</v>
      </c>
      <c r="AH67" s="11"/>
      <c r="AI67" s="11">
        <v>215.83</v>
      </c>
      <c r="AJ67" s="11">
        <v>105.8</v>
      </c>
      <c r="AK67" s="11">
        <v>258.99</v>
      </c>
      <c r="AL67" s="11"/>
      <c r="AM67" s="11"/>
      <c r="AN67" s="11">
        <v>389</v>
      </c>
      <c r="AO67" s="11"/>
      <c r="AP67" s="248">
        <f t="shared" si="8"/>
        <v>1346.06</v>
      </c>
    </row>
    <row r="68" spans="1:42" ht="24">
      <c r="A68" s="390"/>
      <c r="B68" s="342" t="s">
        <v>519</v>
      </c>
      <c r="C68" s="394" t="s">
        <v>275</v>
      </c>
      <c r="D68" s="389" t="s">
        <v>722</v>
      </c>
      <c r="E68" s="389" t="s">
        <v>723</v>
      </c>
      <c r="F68" s="389" t="s">
        <v>2147</v>
      </c>
      <c r="G68" s="389" t="s">
        <v>2609</v>
      </c>
      <c r="H68" s="389" t="s">
        <v>725</v>
      </c>
      <c r="I68" s="389" t="s">
        <v>726</v>
      </c>
      <c r="J68" s="389" t="s">
        <v>727</v>
      </c>
      <c r="K68" s="389" t="s">
        <v>2610</v>
      </c>
      <c r="L68" s="389" t="s">
        <v>3148</v>
      </c>
      <c r="M68" s="389" t="s">
        <v>729</v>
      </c>
      <c r="N68" s="389" t="s">
        <v>730</v>
      </c>
      <c r="O68" s="389" t="s">
        <v>731</v>
      </c>
      <c r="P68" s="389" t="s">
        <v>2611</v>
      </c>
      <c r="Q68" s="389" t="s">
        <v>732</v>
      </c>
      <c r="R68" s="389" t="s">
        <v>733</v>
      </c>
      <c r="S68" s="389" t="s">
        <v>734</v>
      </c>
      <c r="T68" s="426" t="s">
        <v>2612</v>
      </c>
      <c r="U68" s="426" t="s">
        <v>3149</v>
      </c>
      <c r="W68" s="27"/>
      <c r="X68" s="27"/>
      <c r="AB68" s="31"/>
      <c r="AC68" s="235" t="s">
        <v>3130</v>
      </c>
      <c r="AD68" s="11">
        <v>216.24</v>
      </c>
      <c r="AE68" s="11">
        <v>257.24</v>
      </c>
      <c r="AF68" s="11">
        <v>182.72</v>
      </c>
      <c r="AG68" s="11">
        <v>118.47</v>
      </c>
      <c r="AH68" s="11">
        <v>332.76</v>
      </c>
      <c r="AI68" s="11"/>
      <c r="AJ68" s="11">
        <v>249.53</v>
      </c>
      <c r="AK68" s="11">
        <v>149.44</v>
      </c>
      <c r="AL68" s="11">
        <v>223.17</v>
      </c>
      <c r="AM68" s="11">
        <v>229.53</v>
      </c>
      <c r="AN68" s="11">
        <v>210.52</v>
      </c>
      <c r="AO68" s="11">
        <v>347.12</v>
      </c>
      <c r="AP68" s="248">
        <f t="shared" si="8"/>
        <v>2516.7400000000002</v>
      </c>
    </row>
    <row r="69" spans="1:42" ht="23.25">
      <c r="A69" s="390" t="s">
        <v>3085</v>
      </c>
      <c r="B69" s="342" t="s">
        <v>634</v>
      </c>
      <c r="C69" s="342">
        <v>18000</v>
      </c>
      <c r="D69" s="342">
        <v>846</v>
      </c>
      <c r="E69" s="342">
        <v>2102</v>
      </c>
      <c r="F69" s="342">
        <v>1100</v>
      </c>
      <c r="G69" s="342">
        <f>SUM(D69:F69)</f>
        <v>4048</v>
      </c>
      <c r="H69" s="342">
        <v>956</v>
      </c>
      <c r="I69" s="342">
        <v>870</v>
      </c>
      <c r="J69" s="342">
        <v>718</v>
      </c>
      <c r="K69" s="342">
        <f>SUM(H69:J69)</f>
        <v>2544</v>
      </c>
      <c r="L69" s="342">
        <f>+K69+G69</f>
        <v>6592</v>
      </c>
      <c r="M69" s="342">
        <v>0</v>
      </c>
      <c r="N69" s="342">
        <v>0</v>
      </c>
      <c r="O69" s="342">
        <v>0</v>
      </c>
      <c r="P69" s="342">
        <f>SUM(M69:O69)</f>
        <v>0</v>
      </c>
      <c r="Q69" s="342">
        <v>0</v>
      </c>
      <c r="R69" s="342">
        <v>0</v>
      </c>
      <c r="S69" s="342">
        <v>0</v>
      </c>
      <c r="T69" s="342">
        <f>SUM(Q69:S69)</f>
        <v>0</v>
      </c>
      <c r="U69" s="428">
        <f>+P69</f>
        <v>0</v>
      </c>
      <c r="W69" s="27"/>
      <c r="X69" s="27"/>
      <c r="AB69" s="31"/>
      <c r="AC69" s="139" t="s">
        <v>3159</v>
      </c>
      <c r="AD69" s="11">
        <v>229.76</v>
      </c>
      <c r="AE69" s="11">
        <v>41.45</v>
      </c>
      <c r="AF69" s="11">
        <v>263.36</v>
      </c>
      <c r="AG69" s="11">
        <v>54.51</v>
      </c>
      <c r="AH69" s="11"/>
      <c r="AI69" s="11"/>
      <c r="AJ69" s="11">
        <v>0</v>
      </c>
      <c r="AK69" s="11">
        <v>385.45</v>
      </c>
      <c r="AL69" s="11"/>
      <c r="AM69" s="11">
        <v>290.52999999999997</v>
      </c>
      <c r="AN69" s="11">
        <v>24.2</v>
      </c>
      <c r="AO69" s="11">
        <v>201.1</v>
      </c>
      <c r="AP69" s="248">
        <f t="shared" si="8"/>
        <v>1490.36</v>
      </c>
    </row>
    <row r="70" spans="1:42" ht="23.25">
      <c r="A70" s="390" t="s">
        <v>2341</v>
      </c>
      <c r="B70" s="342" t="s">
        <v>634</v>
      </c>
      <c r="C70" s="391">
        <v>30000</v>
      </c>
      <c r="D70" s="391">
        <v>1312</v>
      </c>
      <c r="E70" s="391">
        <v>1356</v>
      </c>
      <c r="F70" s="391">
        <v>1429</v>
      </c>
      <c r="G70" s="342">
        <f>SUM(D70:F70)</f>
        <v>4097</v>
      </c>
      <c r="H70" s="391">
        <v>1654</v>
      </c>
      <c r="I70" s="391">
        <v>2953</v>
      </c>
      <c r="J70" s="391">
        <v>1762</v>
      </c>
      <c r="K70" s="342">
        <f>SUM(H70:J70)</f>
        <v>6369</v>
      </c>
      <c r="L70" s="342">
        <f>+K70+G70</f>
        <v>10466</v>
      </c>
      <c r="M70" s="391">
        <v>0</v>
      </c>
      <c r="N70" s="391">
        <v>0</v>
      </c>
      <c r="O70" s="391">
        <v>0</v>
      </c>
      <c r="P70" s="342">
        <f>SUM(M70:O70)</f>
        <v>0</v>
      </c>
      <c r="Q70" s="391">
        <v>0</v>
      </c>
      <c r="R70" s="391">
        <v>0</v>
      </c>
      <c r="S70" s="391">
        <v>0</v>
      </c>
      <c r="T70" s="342">
        <f>SUM(Q70:S70)</f>
        <v>0</v>
      </c>
      <c r="U70" s="428">
        <f>+P70</f>
        <v>0</v>
      </c>
      <c r="W70" s="27"/>
      <c r="X70" s="27"/>
      <c r="AB70" s="31"/>
      <c r="AC70" s="235" t="s">
        <v>3133</v>
      </c>
      <c r="AD70" s="11">
        <v>246.4</v>
      </c>
      <c r="AE70" s="11"/>
      <c r="AF70" s="11">
        <v>263.56</v>
      </c>
      <c r="AG70" s="11">
        <v>93</v>
      </c>
      <c r="AH70" s="11">
        <v>317.27999999999997</v>
      </c>
      <c r="AI70" s="11"/>
      <c r="AJ70" s="11">
        <v>135</v>
      </c>
      <c r="AK70" s="11">
        <v>4.8</v>
      </c>
      <c r="AL70" s="11">
        <v>238.49</v>
      </c>
      <c r="AM70" s="11">
        <v>53.98</v>
      </c>
      <c r="AN70" s="11">
        <v>122.1</v>
      </c>
      <c r="AO70" s="11">
        <v>255.09</v>
      </c>
      <c r="AP70" s="248">
        <f t="shared" si="8"/>
        <v>1729.6999999999998</v>
      </c>
    </row>
    <row r="71" spans="1:42" ht="23.25">
      <c r="A71" s="395" t="s">
        <v>3150</v>
      </c>
      <c r="B71" s="346" t="s">
        <v>634</v>
      </c>
      <c r="C71" s="342">
        <v>10000</v>
      </c>
      <c r="D71" s="346">
        <v>684</v>
      </c>
      <c r="E71" s="346">
        <v>2748</v>
      </c>
      <c r="F71" s="346">
        <v>450</v>
      </c>
      <c r="G71" s="342">
        <f>SUM(D71:F71)</f>
        <v>3882</v>
      </c>
      <c r="H71" s="346">
        <v>120</v>
      </c>
      <c r="I71" s="346">
        <v>102</v>
      </c>
      <c r="J71" s="346">
        <v>1380</v>
      </c>
      <c r="K71" s="342">
        <f>SUM(H71:J71)</f>
        <v>1602</v>
      </c>
      <c r="L71" s="342">
        <f>+K71+G71</f>
        <v>5484</v>
      </c>
      <c r="M71" s="346">
        <v>0</v>
      </c>
      <c r="N71" s="346">
        <v>0</v>
      </c>
      <c r="O71" s="346">
        <v>0</v>
      </c>
      <c r="P71" s="342">
        <f>SUM(M71:O71)</f>
        <v>0</v>
      </c>
      <c r="Q71" s="346">
        <v>0</v>
      </c>
      <c r="R71" s="346">
        <v>0</v>
      </c>
      <c r="S71" s="346">
        <v>0</v>
      </c>
      <c r="T71" s="342">
        <f>SUM(Q71:S71)</f>
        <v>0</v>
      </c>
      <c r="U71" s="428">
        <f>+P71</f>
        <v>0</v>
      </c>
      <c r="W71" s="27"/>
      <c r="X71" s="27"/>
      <c r="AB71" s="31"/>
      <c r="AC71" s="235" t="s">
        <v>3135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248">
        <f t="shared" si="8"/>
        <v>0</v>
      </c>
    </row>
    <row r="72" spans="1:42" ht="20.25">
      <c r="A72" s="341" t="s">
        <v>3151</v>
      </c>
      <c r="B72" s="342" t="s">
        <v>634</v>
      </c>
      <c r="C72" s="398">
        <v>8000</v>
      </c>
      <c r="D72" s="398">
        <v>1061</v>
      </c>
      <c r="E72" s="398">
        <v>888</v>
      </c>
      <c r="F72" s="398">
        <f>600+2200+110</f>
        <v>2910</v>
      </c>
      <c r="G72" s="342">
        <f>SUM(D72:F72)</f>
        <v>4859</v>
      </c>
      <c r="H72" s="398">
        <v>2230</v>
      </c>
      <c r="I72" s="398">
        <v>1784</v>
      </c>
      <c r="J72" s="398">
        <v>1369</v>
      </c>
      <c r="K72" s="342">
        <f>SUM(H72:J72)</f>
        <v>5383</v>
      </c>
      <c r="L72" s="342">
        <f>+K72+G72</f>
        <v>10242</v>
      </c>
      <c r="M72" s="398">
        <v>0</v>
      </c>
      <c r="N72" s="398">
        <v>0</v>
      </c>
      <c r="O72" s="398">
        <v>0</v>
      </c>
      <c r="P72" s="391">
        <f>SUM(M72:O72)</f>
        <v>0</v>
      </c>
      <c r="Q72" s="398">
        <v>0</v>
      </c>
      <c r="R72" s="398">
        <v>0</v>
      </c>
      <c r="S72" s="398">
        <v>0</v>
      </c>
      <c r="T72" s="391">
        <f>SUM(Q72:S72)</f>
        <v>0</v>
      </c>
      <c r="U72" s="428">
        <f>+P72</f>
        <v>0</v>
      </c>
      <c r="W72" s="27"/>
      <c r="X72" s="27"/>
      <c r="AB72" s="31"/>
      <c r="AC72" s="235" t="s">
        <v>3137</v>
      </c>
      <c r="AD72" s="11"/>
      <c r="AE72" s="11">
        <v>95.84</v>
      </c>
      <c r="AF72" s="11">
        <v>193.03</v>
      </c>
      <c r="AG72" s="11">
        <v>74.13</v>
      </c>
      <c r="AH72" s="11"/>
      <c r="AI72" s="11"/>
      <c r="AJ72" s="11">
        <v>294.98</v>
      </c>
      <c r="AK72" s="11"/>
      <c r="AL72" s="11">
        <v>421.01</v>
      </c>
      <c r="AM72" s="11"/>
      <c r="AN72" s="11">
        <v>343.57</v>
      </c>
      <c r="AO72" s="11">
        <v>36.99</v>
      </c>
      <c r="AP72" s="248">
        <f t="shared" si="8"/>
        <v>1459.55</v>
      </c>
    </row>
    <row r="73" spans="1:42" ht="20.25">
      <c r="A73" s="403" t="s">
        <v>3152</v>
      </c>
      <c r="B73" s="346" t="s">
        <v>3153</v>
      </c>
      <c r="C73" s="258">
        <v>2000</v>
      </c>
      <c r="D73" s="346">
        <v>1234</v>
      </c>
      <c r="E73" s="346">
        <v>1217</v>
      </c>
      <c r="F73" s="346">
        <v>1346</v>
      </c>
      <c r="G73" s="346">
        <v>1265</v>
      </c>
      <c r="H73" s="346">
        <v>1241</v>
      </c>
      <c r="I73" s="346">
        <v>1166</v>
      </c>
      <c r="J73" s="346">
        <v>788</v>
      </c>
      <c r="K73" s="346"/>
      <c r="L73" s="346">
        <v>1259</v>
      </c>
      <c r="M73" s="346">
        <v>0</v>
      </c>
      <c r="N73" s="346">
        <v>0</v>
      </c>
      <c r="O73" s="346">
        <v>0</v>
      </c>
      <c r="P73" s="346"/>
      <c r="Q73" s="346">
        <v>0</v>
      </c>
      <c r="R73" s="346">
        <v>0</v>
      </c>
      <c r="S73" s="346">
        <v>0</v>
      </c>
      <c r="T73" s="448"/>
      <c r="U73" s="448"/>
      <c r="W73" s="27"/>
      <c r="X73" s="27"/>
      <c r="AB73" s="31"/>
      <c r="AC73" s="235" t="s">
        <v>3138</v>
      </c>
      <c r="AD73" s="11"/>
      <c r="AE73" s="11"/>
      <c r="AF73" s="11">
        <v>271.41000000000003</v>
      </c>
      <c r="AG73" s="11">
        <v>103.03</v>
      </c>
      <c r="AH73" s="11">
        <v>156.33000000000001</v>
      </c>
      <c r="AI73" s="11">
        <v>41.66</v>
      </c>
      <c r="AJ73" s="11">
        <v>187.87</v>
      </c>
      <c r="AK73" s="11"/>
      <c r="AL73" s="11">
        <v>360.83</v>
      </c>
      <c r="AM73" s="11">
        <v>124.45</v>
      </c>
      <c r="AN73" s="11">
        <v>129.76</v>
      </c>
      <c r="AO73" s="11">
        <v>300.39999999999998</v>
      </c>
      <c r="AP73" s="248">
        <f t="shared" si="8"/>
        <v>1675.7400000000002</v>
      </c>
    </row>
    <row r="74" spans="1:42" ht="20.25">
      <c r="A74" s="468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7"/>
      <c r="P74" s="446"/>
      <c r="Q74" s="337"/>
      <c r="R74" s="337"/>
      <c r="S74" s="475"/>
      <c r="T74" s="475"/>
      <c r="U74" s="337"/>
      <c r="W74" s="27"/>
      <c r="X74" s="27"/>
      <c r="AB74" s="31"/>
      <c r="AC74" s="235" t="s">
        <v>3139</v>
      </c>
      <c r="AD74" s="11"/>
      <c r="AE74" s="11"/>
      <c r="AF74" s="11"/>
      <c r="AG74" s="11">
        <v>37.619999999999997</v>
      </c>
      <c r="AH74" s="11"/>
      <c r="AI74" s="11">
        <v>178.46</v>
      </c>
      <c r="AJ74" s="11"/>
      <c r="AK74" s="11"/>
      <c r="AL74" s="11"/>
      <c r="AM74" s="11"/>
      <c r="AN74" s="11"/>
      <c r="AO74" s="11">
        <v>256.22000000000003</v>
      </c>
      <c r="AP74" s="248">
        <f t="shared" si="8"/>
        <v>472.30000000000007</v>
      </c>
    </row>
    <row r="75" spans="1:42" ht="20.25">
      <c r="A75" s="3058" t="s">
        <v>3158</v>
      </c>
      <c r="B75" s="3059"/>
      <c r="C75" s="3059"/>
      <c r="D75" s="3059"/>
      <c r="E75" s="3059"/>
      <c r="F75" s="3059"/>
      <c r="G75" s="3059"/>
      <c r="H75" s="3059"/>
      <c r="I75" s="3059"/>
      <c r="J75" s="3059"/>
      <c r="K75" s="3059"/>
      <c r="L75" s="3059"/>
      <c r="M75" s="3059"/>
      <c r="N75" s="3059"/>
      <c r="O75" s="3059"/>
      <c r="P75" s="3059"/>
      <c r="Q75" s="3059"/>
      <c r="R75" s="3059"/>
      <c r="S75" s="3059"/>
      <c r="T75" s="3059"/>
      <c r="U75" s="3060"/>
      <c r="W75" s="27"/>
      <c r="X75" s="27"/>
      <c r="AB75" s="31"/>
      <c r="AC75" s="235" t="s">
        <v>3140</v>
      </c>
      <c r="AD75" s="11">
        <v>159.22</v>
      </c>
      <c r="AE75" s="11"/>
      <c r="AF75" s="11"/>
      <c r="AG75" s="11">
        <v>69.66</v>
      </c>
      <c r="AH75" s="11">
        <v>177.85</v>
      </c>
      <c r="AI75" s="11"/>
      <c r="AJ75" s="11">
        <v>133.56</v>
      </c>
      <c r="AK75" s="11">
        <v>14.85</v>
      </c>
      <c r="AL75" s="11"/>
      <c r="AM75" s="11"/>
      <c r="AN75" s="11">
        <v>289.83999999999997</v>
      </c>
      <c r="AO75" s="11"/>
      <c r="AP75" s="248">
        <f t="shared" si="8"/>
        <v>844.98</v>
      </c>
    </row>
    <row r="76" spans="1:42" ht="24">
      <c r="A76" s="390"/>
      <c r="B76" s="342" t="s">
        <v>519</v>
      </c>
      <c r="C76" s="394" t="s">
        <v>275</v>
      </c>
      <c r="D76" s="389" t="s">
        <v>722</v>
      </c>
      <c r="E76" s="389" t="s">
        <v>723</v>
      </c>
      <c r="F76" s="389" t="s">
        <v>2147</v>
      </c>
      <c r="G76" s="389" t="s">
        <v>2609</v>
      </c>
      <c r="H76" s="389" t="s">
        <v>725</v>
      </c>
      <c r="I76" s="389" t="s">
        <v>726</v>
      </c>
      <c r="J76" s="389" t="s">
        <v>727</v>
      </c>
      <c r="K76" s="389" t="s">
        <v>2610</v>
      </c>
      <c r="L76" s="389" t="s">
        <v>3148</v>
      </c>
      <c r="M76" s="389" t="s">
        <v>729</v>
      </c>
      <c r="N76" s="389" t="s">
        <v>730</v>
      </c>
      <c r="O76" s="389" t="s">
        <v>731</v>
      </c>
      <c r="P76" s="389" t="s">
        <v>2611</v>
      </c>
      <c r="Q76" s="389" t="s">
        <v>732</v>
      </c>
      <c r="R76" s="389" t="s">
        <v>733</v>
      </c>
      <c r="S76" s="389" t="s">
        <v>734</v>
      </c>
      <c r="T76" s="426" t="s">
        <v>2612</v>
      </c>
      <c r="U76" s="426" t="s">
        <v>3149</v>
      </c>
      <c r="V76" s="427" t="s">
        <v>23</v>
      </c>
      <c r="W76" s="27"/>
      <c r="X76" s="27"/>
      <c r="AA76" s="63"/>
      <c r="AB76" s="31"/>
      <c r="AC76" s="235" t="s">
        <v>3142</v>
      </c>
      <c r="AD76" s="11"/>
      <c r="AE76" s="11"/>
      <c r="AF76" s="11">
        <v>191.4</v>
      </c>
      <c r="AG76" s="11">
        <v>89.97</v>
      </c>
      <c r="AH76" s="11"/>
      <c r="AI76" s="11"/>
      <c r="AJ76" s="11"/>
      <c r="AK76" s="11">
        <v>250.14</v>
      </c>
      <c r="AL76" s="11"/>
      <c r="AM76" s="11"/>
      <c r="AN76" s="11">
        <v>33.6</v>
      </c>
      <c r="AO76" s="11">
        <v>5.15</v>
      </c>
      <c r="AP76" s="248">
        <f t="shared" si="8"/>
        <v>570.26</v>
      </c>
    </row>
    <row r="77" spans="1:42" ht="23.25">
      <c r="A77" s="390" t="s">
        <v>3085</v>
      </c>
      <c r="B77" s="342" t="s">
        <v>634</v>
      </c>
      <c r="C77" s="342">
        <v>18000</v>
      </c>
      <c r="D77" s="342">
        <v>846</v>
      </c>
      <c r="E77" s="342">
        <v>2102</v>
      </c>
      <c r="F77" s="342">
        <v>1100</v>
      </c>
      <c r="G77" s="342">
        <f>SUM(D77:F77)</f>
        <v>4048</v>
      </c>
      <c r="H77" s="342">
        <v>956</v>
      </c>
      <c r="I77" s="342">
        <v>870</v>
      </c>
      <c r="J77" s="342">
        <v>718</v>
      </c>
      <c r="K77" s="342">
        <f>SUM(H77:J77)</f>
        <v>2544</v>
      </c>
      <c r="L77" s="342">
        <f>+K77+G77</f>
        <v>6592</v>
      </c>
      <c r="M77" s="342">
        <v>0</v>
      </c>
      <c r="N77" s="342">
        <v>0</v>
      </c>
      <c r="O77" s="342">
        <v>0</v>
      </c>
      <c r="P77" s="342">
        <f>SUM(M77:O77)</f>
        <v>0</v>
      </c>
      <c r="Q77" s="342">
        <v>0</v>
      </c>
      <c r="R77" s="342">
        <v>0</v>
      </c>
      <c r="S77" s="342">
        <v>0</v>
      </c>
      <c r="T77" s="342">
        <f>SUM(Q77:S77)</f>
        <v>0</v>
      </c>
      <c r="U77" s="428">
        <f>+P77</f>
        <v>0</v>
      </c>
      <c r="V77" s="429">
        <f>T77+P77+K77+G77</f>
        <v>6592</v>
      </c>
      <c r="W77" s="27"/>
      <c r="X77" s="27"/>
      <c r="AA77" s="63"/>
      <c r="AB77" s="31"/>
      <c r="AC77" s="235" t="s">
        <v>3143</v>
      </c>
      <c r="AD77" s="11"/>
      <c r="AE77" s="11"/>
      <c r="AF77" s="11"/>
      <c r="AG77" s="11">
        <v>22.57</v>
      </c>
      <c r="AH77" s="11"/>
      <c r="AI77" s="11">
        <v>159.25</v>
      </c>
      <c r="AJ77" s="11"/>
      <c r="AK77" s="11"/>
      <c r="AL77" s="11"/>
      <c r="AM77" s="11">
        <v>158.47</v>
      </c>
      <c r="AN77" s="11"/>
      <c r="AO77" s="11"/>
      <c r="AP77" s="248">
        <f t="shared" si="8"/>
        <v>340.28999999999996</v>
      </c>
    </row>
    <row r="78" spans="1:42" ht="23.25">
      <c r="A78" s="390" t="s">
        <v>2341</v>
      </c>
      <c r="B78" s="342" t="s">
        <v>634</v>
      </c>
      <c r="C78" s="391">
        <v>30000</v>
      </c>
      <c r="D78" s="391">
        <v>1312</v>
      </c>
      <c r="E78" s="391">
        <v>1356</v>
      </c>
      <c r="F78" s="391">
        <v>1429</v>
      </c>
      <c r="G78" s="342">
        <f>SUM(D78:F78)</f>
        <v>4097</v>
      </c>
      <c r="H78" s="391">
        <v>1654</v>
      </c>
      <c r="I78" s="391">
        <v>2953</v>
      </c>
      <c r="J78" s="391">
        <v>1762</v>
      </c>
      <c r="K78" s="342">
        <f>SUM(H78:J78)</f>
        <v>6369</v>
      </c>
      <c r="L78" s="342">
        <f>+K78+G78</f>
        <v>10466</v>
      </c>
      <c r="M78" s="391">
        <v>0</v>
      </c>
      <c r="N78" s="391">
        <v>0</v>
      </c>
      <c r="O78" s="391">
        <v>0</v>
      </c>
      <c r="P78" s="342">
        <f>SUM(M78:O78)</f>
        <v>0</v>
      </c>
      <c r="Q78" s="391">
        <v>0</v>
      </c>
      <c r="R78" s="391">
        <v>0</v>
      </c>
      <c r="S78" s="391">
        <v>0</v>
      </c>
      <c r="T78" s="342">
        <f>SUM(Q78:S78)</f>
        <v>0</v>
      </c>
      <c r="U78" s="428">
        <f>+P78</f>
        <v>0</v>
      </c>
      <c r="V78" s="429">
        <f>T78+P78+K78+G78</f>
        <v>10466</v>
      </c>
      <c r="W78" s="27"/>
      <c r="X78" s="27"/>
      <c r="AA78" s="63"/>
      <c r="AB78" s="31"/>
      <c r="AC78" s="235" t="s">
        <v>3144</v>
      </c>
      <c r="AD78" s="11">
        <v>71.510000000000005</v>
      </c>
      <c r="AE78" s="11"/>
      <c r="AF78" s="11">
        <v>235.79</v>
      </c>
      <c r="AG78" s="11">
        <v>88.5</v>
      </c>
      <c r="AH78" s="11"/>
      <c r="AI78" s="11"/>
      <c r="AJ78" s="11"/>
      <c r="AK78" s="11"/>
      <c r="AL78" s="11">
        <v>309.25</v>
      </c>
      <c r="AM78" s="11"/>
      <c r="AN78" s="11"/>
      <c r="AO78" s="11">
        <v>292.73</v>
      </c>
      <c r="AP78" s="248">
        <f t="shared" si="8"/>
        <v>997.78</v>
      </c>
    </row>
    <row r="79" spans="1:42" ht="23.25">
      <c r="A79" s="395" t="s">
        <v>3155</v>
      </c>
      <c r="B79" s="396" t="s">
        <v>634</v>
      </c>
      <c r="C79" s="391">
        <v>0</v>
      </c>
      <c r="D79" s="391">
        <v>0</v>
      </c>
      <c r="E79" s="391">
        <f>135*7.1</f>
        <v>958.5</v>
      </c>
      <c r="F79" s="391">
        <v>1661</v>
      </c>
      <c r="G79" s="391">
        <f>SUM(D79:F79)</f>
        <v>2619.5</v>
      </c>
      <c r="H79" s="397"/>
      <c r="I79" s="397">
        <v>1017</v>
      </c>
      <c r="J79" s="397">
        <v>0</v>
      </c>
      <c r="K79" s="342">
        <f>SUM(H79:J79)</f>
        <v>1017</v>
      </c>
      <c r="L79" s="342">
        <f>+K79+G79</f>
        <v>3636.5</v>
      </c>
      <c r="M79" s="397"/>
      <c r="N79" s="397"/>
      <c r="O79" s="397"/>
      <c r="P79" s="342">
        <f>SUM(M79:O79)</f>
        <v>0</v>
      </c>
      <c r="Q79" s="397"/>
      <c r="R79" s="397"/>
      <c r="S79" s="397"/>
      <c r="T79" s="342">
        <f>SUM(Q79:S79)</f>
        <v>0</v>
      </c>
      <c r="U79" s="428">
        <f>+P79</f>
        <v>0</v>
      </c>
      <c r="V79" s="429">
        <f>T79+P79+K79+G79</f>
        <v>3636.5</v>
      </c>
      <c r="W79" s="27"/>
      <c r="X79" s="27"/>
      <c r="AA79" s="63"/>
      <c r="AB79" s="31"/>
      <c r="AC79" s="235" t="s">
        <v>3145</v>
      </c>
      <c r="AD79" s="11">
        <v>196.55</v>
      </c>
      <c r="AE79" s="11">
        <v>203.18</v>
      </c>
      <c r="AF79" s="11"/>
      <c r="AG79" s="11">
        <v>220.14</v>
      </c>
      <c r="AH79" s="11">
        <v>204.1</v>
      </c>
      <c r="AI79" s="11"/>
      <c r="AJ79" s="11"/>
      <c r="AK79" s="11"/>
      <c r="AL79" s="11"/>
      <c r="AM79" s="11">
        <v>223.3</v>
      </c>
      <c r="AN79" s="11"/>
      <c r="AO79" s="11"/>
      <c r="AP79" s="248">
        <f t="shared" si="8"/>
        <v>1047.27</v>
      </c>
    </row>
    <row r="80" spans="1:42" ht="23.25">
      <c r="A80" s="395" t="s">
        <v>3150</v>
      </c>
      <c r="B80" s="346" t="s">
        <v>634</v>
      </c>
      <c r="C80" s="342">
        <v>10000</v>
      </c>
      <c r="D80" s="346">
        <v>684</v>
      </c>
      <c r="E80" s="346">
        <v>2748</v>
      </c>
      <c r="F80" s="346">
        <v>450</v>
      </c>
      <c r="G80" s="342">
        <f>SUM(D80:F80)</f>
        <v>3882</v>
      </c>
      <c r="H80" s="346">
        <v>120</v>
      </c>
      <c r="I80" s="346">
        <v>102</v>
      </c>
      <c r="J80" s="346">
        <v>1380</v>
      </c>
      <c r="K80" s="342">
        <f>SUM(H80:J80)</f>
        <v>1602</v>
      </c>
      <c r="L80" s="342">
        <f>+K80+G80</f>
        <v>5484</v>
      </c>
      <c r="M80" s="346">
        <v>0</v>
      </c>
      <c r="N80" s="346">
        <v>0</v>
      </c>
      <c r="O80" s="346">
        <v>0</v>
      </c>
      <c r="P80" s="342">
        <f>SUM(M80:O80)</f>
        <v>0</v>
      </c>
      <c r="Q80" s="346">
        <v>0</v>
      </c>
      <c r="R80" s="346">
        <v>0</v>
      </c>
      <c r="S80" s="346">
        <v>0</v>
      </c>
      <c r="T80" s="342">
        <f>SUM(Q80:S80)</f>
        <v>0</v>
      </c>
      <c r="U80" s="428">
        <f>+P80</f>
        <v>0</v>
      </c>
      <c r="V80" s="429">
        <f>T80+P80+K80+G80</f>
        <v>5484</v>
      </c>
      <c r="W80" s="27"/>
      <c r="X80" s="27"/>
      <c r="AA80" s="63"/>
      <c r="AB80" s="31"/>
      <c r="AC80" s="252" t="s">
        <v>23</v>
      </c>
      <c r="AD80" s="253">
        <f>SUM(AD60:AD79)</f>
        <v>2319.8100000000004</v>
      </c>
      <c r="AE80" s="253">
        <f t="shared" ref="AE80:AO80" si="9">SUM(AE60:AE79)</f>
        <v>862.81000000000017</v>
      </c>
      <c r="AF80" s="254">
        <f t="shared" si="9"/>
        <v>2221.15</v>
      </c>
      <c r="AG80" s="255">
        <f t="shared" si="9"/>
        <v>1541.6999999999998</v>
      </c>
      <c r="AH80" s="256">
        <f t="shared" si="9"/>
        <v>1801.4999999999998</v>
      </c>
      <c r="AI80" s="253">
        <f t="shared" si="9"/>
        <v>1291.29</v>
      </c>
      <c r="AJ80" s="246">
        <f t="shared" si="9"/>
        <v>1495.81</v>
      </c>
      <c r="AK80" s="237">
        <f t="shared" si="9"/>
        <v>1771.0900000000001</v>
      </c>
      <c r="AL80" s="237">
        <f t="shared" si="9"/>
        <v>2121.7699999999995</v>
      </c>
      <c r="AM80" s="237">
        <f t="shared" si="9"/>
        <v>1945.99</v>
      </c>
      <c r="AN80" s="237">
        <f t="shared" si="9"/>
        <v>2047.8399999999997</v>
      </c>
      <c r="AO80" s="237">
        <f t="shared" si="9"/>
        <v>2192.96</v>
      </c>
      <c r="AP80" s="251">
        <f>SUM(AD80:AN80)</f>
        <v>19420.759999999998</v>
      </c>
    </row>
    <row r="81" spans="1:42" ht="20.25">
      <c r="A81" s="341" t="s">
        <v>3151</v>
      </c>
      <c r="B81" s="342" t="s">
        <v>634</v>
      </c>
      <c r="C81" s="398">
        <v>8000</v>
      </c>
      <c r="D81" s="398">
        <v>1061</v>
      </c>
      <c r="E81" s="398">
        <v>888</v>
      </c>
      <c r="F81" s="398">
        <f>600+2200+110</f>
        <v>2910</v>
      </c>
      <c r="G81" s="342">
        <f>SUM(D81:F81)</f>
        <v>4859</v>
      </c>
      <c r="H81" s="398">
        <v>2230</v>
      </c>
      <c r="I81" s="398">
        <v>1784</v>
      </c>
      <c r="J81" s="398">
        <v>1369</v>
      </c>
      <c r="K81" s="342">
        <f>SUM(H81:J81)</f>
        <v>5383</v>
      </c>
      <c r="L81" s="342">
        <f>+K81+G81</f>
        <v>10242</v>
      </c>
      <c r="M81" s="398">
        <v>0</v>
      </c>
      <c r="N81" s="398">
        <v>0</v>
      </c>
      <c r="O81" s="398">
        <v>0</v>
      </c>
      <c r="P81" s="391">
        <f>SUM(M81:O81)</f>
        <v>0</v>
      </c>
      <c r="Q81" s="398">
        <v>0</v>
      </c>
      <c r="R81" s="398">
        <v>0</v>
      </c>
      <c r="S81" s="398">
        <v>0</v>
      </c>
      <c r="T81" s="391">
        <f>SUM(Q81:S81)</f>
        <v>0</v>
      </c>
      <c r="U81" s="428">
        <f>+P81</f>
        <v>0</v>
      </c>
      <c r="V81" s="429">
        <f>T81+P81+K81+G81</f>
        <v>10242</v>
      </c>
      <c r="W81" s="27"/>
      <c r="X81" s="27"/>
    </row>
    <row r="82" spans="1:42" ht="20.25">
      <c r="A82" s="403" t="s">
        <v>3152</v>
      </c>
      <c r="B82" s="346" t="s">
        <v>3153</v>
      </c>
      <c r="C82" s="258">
        <v>2000</v>
      </c>
      <c r="D82" s="346">
        <v>1234</v>
      </c>
      <c r="E82" s="346">
        <v>1217</v>
      </c>
      <c r="F82" s="346">
        <v>1346</v>
      </c>
      <c r="G82" s="346">
        <v>1265</v>
      </c>
      <c r="H82" s="346">
        <v>1241</v>
      </c>
      <c r="I82" s="346">
        <v>1166</v>
      </c>
      <c r="J82" s="346">
        <v>788</v>
      </c>
      <c r="K82" s="346"/>
      <c r="L82" s="346">
        <v>1259</v>
      </c>
      <c r="M82" s="346">
        <v>0</v>
      </c>
      <c r="N82" s="346">
        <v>0</v>
      </c>
      <c r="O82" s="346">
        <v>0</v>
      </c>
      <c r="P82" s="346"/>
      <c r="Q82" s="346">
        <v>0</v>
      </c>
      <c r="R82" s="346">
        <v>0</v>
      </c>
      <c r="S82" s="346">
        <v>0</v>
      </c>
      <c r="T82" s="448"/>
      <c r="U82" s="448"/>
      <c r="V82" s="351">
        <v>1166</v>
      </c>
      <c r="W82" s="27"/>
      <c r="X82" s="27"/>
      <c r="AC82" s="238"/>
      <c r="AD82" s="239"/>
      <c r="AE82" s="3056" t="s">
        <v>3160</v>
      </c>
      <c r="AF82" s="3056"/>
      <c r="AG82" s="3057"/>
      <c r="AH82" s="3056"/>
      <c r="AI82" s="3056"/>
      <c r="AJ82" s="239"/>
      <c r="AK82" s="239"/>
      <c r="AL82" s="239"/>
      <c r="AM82" s="239"/>
      <c r="AN82" s="239"/>
      <c r="AO82" s="239"/>
      <c r="AP82" s="249"/>
    </row>
    <row r="83" spans="1:42" ht="20.25">
      <c r="A83" s="468"/>
      <c r="B83" s="337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446"/>
      <c r="Q83" s="337"/>
      <c r="R83" s="337"/>
      <c r="S83" s="475"/>
      <c r="T83" s="475"/>
      <c r="U83" s="337"/>
      <c r="W83" s="27"/>
      <c r="X83" s="27"/>
      <c r="AC83" s="235" t="s">
        <v>3114</v>
      </c>
      <c r="AD83" s="11" t="s">
        <v>864</v>
      </c>
      <c r="AE83" s="250">
        <v>45778</v>
      </c>
      <c r="AF83" s="240" t="s">
        <v>866</v>
      </c>
      <c r="AG83" s="241" t="s">
        <v>867</v>
      </c>
      <c r="AH83" s="242" t="s">
        <v>246</v>
      </c>
      <c r="AI83" s="11" t="s">
        <v>247</v>
      </c>
      <c r="AJ83" s="11" t="s">
        <v>248</v>
      </c>
      <c r="AK83" s="11" t="s">
        <v>249</v>
      </c>
      <c r="AL83" s="11" t="s">
        <v>250</v>
      </c>
      <c r="AM83" s="11" t="s">
        <v>861</v>
      </c>
      <c r="AN83" s="250">
        <v>45689</v>
      </c>
      <c r="AO83" s="11" t="s">
        <v>863</v>
      </c>
      <c r="AP83" s="248" t="s">
        <v>23</v>
      </c>
    </row>
    <row r="84" spans="1:42" ht="20.25">
      <c r="A84" s="468"/>
      <c r="B84" s="337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446"/>
      <c r="Q84" s="337"/>
      <c r="R84" s="337"/>
      <c r="S84" s="475"/>
      <c r="T84" s="475"/>
      <c r="U84" s="337"/>
      <c r="W84" s="27"/>
      <c r="X84" s="27"/>
      <c r="AC84" s="235" t="s">
        <v>3116</v>
      </c>
      <c r="AD84" s="4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248">
        <v>0</v>
      </c>
    </row>
    <row r="85" spans="1:42" ht="20.25">
      <c r="A85" s="468"/>
      <c r="B85" s="337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446"/>
      <c r="Q85" s="337"/>
      <c r="R85" s="337"/>
      <c r="S85" s="475"/>
      <c r="T85" s="475"/>
      <c r="U85" s="337"/>
      <c r="W85" s="27"/>
      <c r="X85" s="27"/>
      <c r="AC85" s="235" t="s">
        <v>3118</v>
      </c>
      <c r="AD85" s="4">
        <v>3.02</v>
      </c>
      <c r="AE85" s="4"/>
      <c r="AF85" s="4">
        <v>88.94</v>
      </c>
      <c r="AG85" s="4"/>
      <c r="AH85" s="4">
        <v>70.569999999999993</v>
      </c>
      <c r="AI85" s="4"/>
      <c r="AJ85" s="4"/>
      <c r="AK85" s="4"/>
      <c r="AL85" s="4"/>
      <c r="AM85" s="4"/>
      <c r="AN85" s="4"/>
      <c r="AO85" s="4"/>
      <c r="AP85" s="248">
        <f>SUM(AD85:AO85)</f>
        <v>162.52999999999997</v>
      </c>
    </row>
    <row r="86" spans="1:42" ht="20.25">
      <c r="A86" s="3061" t="s">
        <v>3161</v>
      </c>
      <c r="B86" s="3062"/>
      <c r="C86" s="469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446"/>
      <c r="Q86" s="337"/>
      <c r="R86" s="337"/>
      <c r="S86" s="475"/>
      <c r="T86" s="475"/>
      <c r="U86" s="337"/>
      <c r="W86" s="27"/>
      <c r="X86" s="27"/>
      <c r="AC86" s="235" t="s">
        <v>3120</v>
      </c>
      <c r="AD86" s="4"/>
      <c r="AE86" s="4">
        <v>132.75</v>
      </c>
      <c r="AF86" s="4">
        <v>120.3</v>
      </c>
      <c r="AG86" s="4"/>
      <c r="AH86" s="4"/>
      <c r="AI86" s="4"/>
      <c r="AJ86" s="4"/>
      <c r="AK86" s="4"/>
      <c r="AL86" s="4"/>
      <c r="AM86" s="4"/>
      <c r="AN86" s="4"/>
      <c r="AO86" s="4"/>
      <c r="AP86" s="248">
        <f>SUM(AD86:AO86)</f>
        <v>253.05</v>
      </c>
    </row>
    <row r="87" spans="1:42" ht="20.25">
      <c r="A87" s="468"/>
      <c r="B87" s="337"/>
      <c r="C87" s="445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446"/>
      <c r="Q87" s="337"/>
      <c r="R87" s="337"/>
      <c r="S87" s="475"/>
      <c r="T87" s="475"/>
      <c r="U87" s="337"/>
      <c r="W87" s="27"/>
      <c r="X87" s="27"/>
      <c r="AC87" s="235" t="s">
        <v>3121</v>
      </c>
      <c r="AD87" s="4"/>
      <c r="AE87" s="4"/>
      <c r="AF87" s="4">
        <v>90.04</v>
      </c>
      <c r="AG87" s="4">
        <v>243.2</v>
      </c>
      <c r="AH87" s="4"/>
      <c r="AI87" s="4"/>
      <c r="AJ87" s="4"/>
      <c r="AK87" s="4"/>
      <c r="AL87" s="4"/>
      <c r="AM87" s="4"/>
      <c r="AN87" s="4"/>
      <c r="AO87" s="4"/>
      <c r="AP87" s="248">
        <f t="shared" ref="AP87:AP103" si="10">SUM(AD87:AO87)</f>
        <v>333.24</v>
      </c>
    </row>
    <row r="88" spans="1:42" ht="20.25">
      <c r="A88" s="468"/>
      <c r="B88" s="337"/>
      <c r="C88" s="445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446"/>
      <c r="Q88" s="337"/>
      <c r="R88" s="337"/>
      <c r="S88" s="475"/>
      <c r="T88" s="475"/>
      <c r="U88" s="337"/>
      <c r="W88" s="27"/>
      <c r="X88" s="27"/>
      <c r="AC88" s="235" t="s">
        <v>3123</v>
      </c>
      <c r="AD88" s="4"/>
      <c r="AE88" s="4"/>
      <c r="AF88" s="4">
        <v>324.48</v>
      </c>
      <c r="AG88" s="4">
        <v>22.7</v>
      </c>
      <c r="AH88" s="4">
        <v>279.5</v>
      </c>
      <c r="AI88" s="4"/>
      <c r="AJ88" s="4"/>
      <c r="AK88" s="4"/>
      <c r="AL88" s="4"/>
      <c r="AM88" s="4"/>
      <c r="AN88" s="4"/>
      <c r="AO88" s="4"/>
      <c r="AP88" s="248">
        <f t="shared" si="10"/>
        <v>626.68000000000006</v>
      </c>
    </row>
    <row r="89" spans="1:42" ht="20.25">
      <c r="A89" s="341" t="s">
        <v>79</v>
      </c>
      <c r="B89" s="342" t="s">
        <v>519</v>
      </c>
      <c r="C89" s="430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446"/>
      <c r="Q89" s="337"/>
      <c r="R89" s="337"/>
      <c r="S89" s="475"/>
      <c r="T89" s="475"/>
      <c r="U89" s="337"/>
      <c r="W89" s="27"/>
      <c r="X89" s="27"/>
      <c r="AC89" s="235" t="s">
        <v>3125</v>
      </c>
      <c r="AD89" s="4"/>
      <c r="AE89" s="4"/>
      <c r="AF89" s="4"/>
      <c r="AG89" s="4">
        <v>274</v>
      </c>
      <c r="AH89" s="4"/>
      <c r="AI89" s="4"/>
      <c r="AJ89" s="4"/>
      <c r="AK89" s="4"/>
      <c r="AL89" s="4"/>
      <c r="AM89" s="4"/>
      <c r="AN89" s="4"/>
      <c r="AO89" s="4"/>
      <c r="AP89" s="248">
        <f t="shared" si="10"/>
        <v>274</v>
      </c>
    </row>
    <row r="90" spans="1:42" ht="23.25">
      <c r="A90" s="390" t="s">
        <v>3085</v>
      </c>
      <c r="B90" s="342" t="s">
        <v>634</v>
      </c>
      <c r="C90" s="430">
        <v>10937</v>
      </c>
      <c r="D90" s="337"/>
      <c r="E90" s="337"/>
      <c r="F90" s="337"/>
      <c r="G90" s="337"/>
      <c r="H90" s="337"/>
      <c r="I90" s="337"/>
      <c r="J90" s="337"/>
      <c r="K90" s="337">
        <f>9374+8765+9087</f>
        <v>27226</v>
      </c>
      <c r="L90" s="337"/>
      <c r="M90" s="337"/>
      <c r="N90" s="337"/>
      <c r="O90" s="337"/>
      <c r="P90" s="446"/>
      <c r="Q90" s="337"/>
      <c r="R90" s="337"/>
      <c r="S90" s="475"/>
      <c r="T90" s="475"/>
      <c r="U90" s="337"/>
      <c r="W90" s="27"/>
      <c r="X90" s="27"/>
      <c r="AC90" s="235" t="s">
        <v>3127</v>
      </c>
      <c r="AD90" s="4">
        <v>109.35</v>
      </c>
      <c r="AE90" s="4">
        <v>136.25</v>
      </c>
      <c r="AF90" s="4"/>
      <c r="AG90" s="4">
        <v>149.79</v>
      </c>
      <c r="AH90" s="4"/>
      <c r="AI90" s="4"/>
      <c r="AJ90" s="4"/>
      <c r="AK90" s="4"/>
      <c r="AL90" s="4"/>
      <c r="AM90" s="4"/>
      <c r="AN90" s="4"/>
      <c r="AO90" s="4"/>
      <c r="AP90" s="248">
        <f t="shared" si="10"/>
        <v>395.39</v>
      </c>
    </row>
    <row r="91" spans="1:42" ht="23.25">
      <c r="A91" s="390"/>
      <c r="B91" s="342"/>
      <c r="C91" s="430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446"/>
      <c r="Q91" s="337"/>
      <c r="R91" s="337"/>
      <c r="S91" s="475"/>
      <c r="T91" s="475"/>
      <c r="U91" s="337"/>
      <c r="W91" s="27"/>
      <c r="X91" s="27"/>
      <c r="AC91" s="235" t="s">
        <v>3129</v>
      </c>
      <c r="AD91" s="4">
        <v>0</v>
      </c>
      <c r="AE91" s="4">
        <v>217.78</v>
      </c>
      <c r="AF91" s="4"/>
      <c r="AG91" s="4"/>
      <c r="AH91" s="4">
        <v>233.97</v>
      </c>
      <c r="AI91" s="4"/>
      <c r="AJ91" s="4"/>
      <c r="AK91" s="4"/>
      <c r="AL91" s="4"/>
      <c r="AM91" s="4"/>
      <c r="AN91" s="4"/>
      <c r="AO91" s="4"/>
      <c r="AP91" s="248">
        <f t="shared" si="10"/>
        <v>451.75</v>
      </c>
    </row>
    <row r="92" spans="1:42" ht="23.25">
      <c r="A92" s="390" t="s">
        <v>2341</v>
      </c>
      <c r="B92" s="342" t="s">
        <v>634</v>
      </c>
      <c r="C92" s="430">
        <v>24942</v>
      </c>
      <c r="D92" s="337"/>
      <c r="E92" s="337"/>
      <c r="F92" s="337"/>
      <c r="G92" s="337"/>
      <c r="H92" s="337"/>
      <c r="I92" s="337"/>
      <c r="J92" s="337"/>
      <c r="K92" s="337">
        <f>9356+8799+8335</f>
        <v>26490</v>
      </c>
      <c r="L92" s="337"/>
      <c r="M92" s="337"/>
      <c r="N92" s="337"/>
      <c r="O92" s="337"/>
      <c r="P92" s="446"/>
      <c r="Q92" s="337"/>
      <c r="R92" s="337"/>
      <c r="S92" s="475"/>
      <c r="T92" s="475"/>
      <c r="U92" s="337"/>
      <c r="W92" s="27"/>
      <c r="X92" s="27"/>
      <c r="AC92" s="235" t="s">
        <v>3130</v>
      </c>
      <c r="AD92" s="4">
        <v>163.1</v>
      </c>
      <c r="AE92" s="4">
        <v>484.12</v>
      </c>
      <c r="AF92" s="4">
        <v>100.02</v>
      </c>
      <c r="AG92" s="4">
        <v>171.77</v>
      </c>
      <c r="AH92" s="4">
        <v>211.47</v>
      </c>
      <c r="AI92" s="4"/>
      <c r="AJ92" s="4"/>
      <c r="AK92" s="4"/>
      <c r="AL92" s="4"/>
      <c r="AM92" s="4"/>
      <c r="AN92" s="4"/>
      <c r="AO92" s="4"/>
      <c r="AP92" s="248">
        <f t="shared" si="10"/>
        <v>1130.48</v>
      </c>
    </row>
    <row r="93" spans="1:42" ht="23.25">
      <c r="A93" s="390" t="s">
        <v>3150</v>
      </c>
      <c r="B93" s="342" t="s">
        <v>634</v>
      </c>
      <c r="C93" s="430">
        <v>9772</v>
      </c>
      <c r="D93" s="337"/>
      <c r="E93" s="337"/>
      <c r="F93" s="337"/>
      <c r="G93" s="337"/>
      <c r="H93" s="337"/>
      <c r="I93" s="337"/>
      <c r="J93" s="337"/>
      <c r="K93" s="337">
        <f>8980+9150+9867</f>
        <v>27997</v>
      </c>
      <c r="L93" s="337">
        <f>81713+9845+9583</f>
        <v>101141</v>
      </c>
      <c r="M93" s="337"/>
      <c r="N93" s="337"/>
      <c r="O93" s="337"/>
      <c r="P93" s="446"/>
      <c r="Q93" s="337"/>
      <c r="R93" s="337"/>
      <c r="S93" s="475"/>
      <c r="T93" s="475"/>
      <c r="U93" s="337"/>
      <c r="W93" s="27"/>
      <c r="X93" s="27"/>
      <c r="AC93" s="139" t="s">
        <v>3159</v>
      </c>
      <c r="AD93" s="4">
        <v>86.84</v>
      </c>
      <c r="AE93" s="4"/>
      <c r="AF93" s="4">
        <v>200.86</v>
      </c>
      <c r="AG93" s="4"/>
      <c r="AH93" s="4">
        <v>196.62</v>
      </c>
      <c r="AI93" s="4"/>
      <c r="AJ93" s="4"/>
      <c r="AK93" s="4"/>
      <c r="AL93" s="4"/>
      <c r="AM93" s="4"/>
      <c r="AN93" s="4"/>
      <c r="AO93" s="4"/>
      <c r="AP93" s="248">
        <f t="shared" si="10"/>
        <v>484.32000000000005</v>
      </c>
    </row>
    <row r="94" spans="1:42" ht="20.25">
      <c r="A94" s="341" t="s">
        <v>3151</v>
      </c>
      <c r="B94" s="342" t="s">
        <v>634</v>
      </c>
      <c r="C94" s="430">
        <v>14499</v>
      </c>
      <c r="D94" s="337"/>
      <c r="E94" s="337"/>
      <c r="F94" s="337"/>
      <c r="G94" s="337"/>
      <c r="H94" s="337"/>
      <c r="I94" s="337"/>
      <c r="J94" s="337"/>
      <c r="K94" s="337">
        <f>SUM(K90:K93)</f>
        <v>81713</v>
      </c>
      <c r="L94" s="337">
        <f>9845+9583</f>
        <v>19428</v>
      </c>
      <c r="M94" s="337"/>
      <c r="N94" s="337"/>
      <c r="O94" s="337"/>
      <c r="P94" s="446"/>
      <c r="Q94" s="337"/>
      <c r="R94" s="337"/>
      <c r="S94" s="475"/>
      <c r="T94" s="475"/>
      <c r="U94" s="337"/>
      <c r="W94" s="27"/>
      <c r="X94" s="27"/>
      <c r="AC94" s="235" t="s">
        <v>3133</v>
      </c>
      <c r="AD94" s="4">
        <v>91.46</v>
      </c>
      <c r="AE94" s="4"/>
      <c r="AF94" s="4">
        <v>103.39</v>
      </c>
      <c r="AG94" s="4"/>
      <c r="AH94" s="4">
        <v>340.08</v>
      </c>
      <c r="AI94" s="4"/>
      <c r="AJ94" s="4"/>
      <c r="AK94" s="4"/>
      <c r="AL94" s="4"/>
      <c r="AM94" s="4"/>
      <c r="AN94" s="4"/>
      <c r="AO94" s="4"/>
      <c r="AP94" s="248">
        <f t="shared" si="10"/>
        <v>534.92999999999995</v>
      </c>
    </row>
    <row r="95" spans="1:42" ht="20.25">
      <c r="A95" s="403" t="s">
        <v>3162</v>
      </c>
      <c r="B95" s="346" t="s">
        <v>3163</v>
      </c>
      <c r="C95" s="351">
        <v>1339</v>
      </c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446"/>
      <c r="Q95" s="337"/>
      <c r="R95" s="337"/>
      <c r="S95" s="475"/>
      <c r="T95" s="475"/>
      <c r="U95" s="337"/>
      <c r="W95" s="27"/>
      <c r="X95" s="27"/>
      <c r="AC95" s="235" t="s">
        <v>3135</v>
      </c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248">
        <f t="shared" si="10"/>
        <v>0</v>
      </c>
    </row>
    <row r="96" spans="1:42" ht="20.25">
      <c r="A96" s="468"/>
      <c r="B96" s="3063" t="s">
        <v>3164</v>
      </c>
      <c r="C96" s="3063"/>
      <c r="D96" s="3063"/>
      <c r="E96" s="3063"/>
      <c r="F96" s="3063"/>
      <c r="G96" s="337"/>
      <c r="H96" s="337"/>
      <c r="I96" s="337"/>
      <c r="J96" s="337"/>
      <c r="K96" s="337"/>
      <c r="L96" s="337"/>
      <c r="M96" s="337"/>
      <c r="N96" s="337"/>
      <c r="O96" s="337"/>
      <c r="P96" s="446"/>
      <c r="Q96" s="337"/>
      <c r="R96" s="337"/>
      <c r="S96" s="475"/>
      <c r="T96" s="475"/>
      <c r="U96" s="337"/>
      <c r="W96" s="27"/>
      <c r="X96" s="27"/>
      <c r="AA96" s="63"/>
      <c r="AC96" s="235" t="s">
        <v>3137</v>
      </c>
      <c r="AD96" s="4">
        <v>170.37</v>
      </c>
      <c r="AE96" s="4">
        <v>110.25</v>
      </c>
      <c r="AF96" s="4"/>
      <c r="AG96" s="4"/>
      <c r="AH96" s="4">
        <v>338.83</v>
      </c>
      <c r="AI96" s="4"/>
      <c r="AJ96" s="4"/>
      <c r="AK96" s="4"/>
      <c r="AL96" s="4"/>
      <c r="AM96" s="4"/>
      <c r="AN96" s="4"/>
      <c r="AO96" s="4"/>
      <c r="AP96" s="248">
        <f t="shared" si="10"/>
        <v>619.45000000000005</v>
      </c>
    </row>
    <row r="97" spans="1:42" ht="20.25">
      <c r="A97" s="468"/>
      <c r="B97" s="337"/>
      <c r="C97" s="339" t="s">
        <v>308</v>
      </c>
      <c r="D97" s="340"/>
      <c r="E97" s="340" t="s">
        <v>3054</v>
      </c>
      <c r="F97" s="348" t="s">
        <v>3165</v>
      </c>
      <c r="G97" s="337"/>
      <c r="H97" s="337"/>
      <c r="I97" s="337"/>
      <c r="J97" s="337"/>
      <c r="K97" s="337"/>
      <c r="L97" s="337"/>
      <c r="M97" s="337"/>
      <c r="N97" s="337"/>
      <c r="O97" s="337"/>
      <c r="P97" s="446"/>
      <c r="Q97" s="337"/>
      <c r="R97" s="337"/>
      <c r="S97" s="475"/>
      <c r="T97" s="475"/>
      <c r="U97" s="337"/>
      <c r="W97" s="27"/>
      <c r="X97" s="27"/>
      <c r="AA97" s="63"/>
      <c r="AC97" s="235" t="s">
        <v>3138</v>
      </c>
      <c r="AD97" s="4">
        <v>173.02</v>
      </c>
      <c r="AE97" s="4"/>
      <c r="AF97" s="4">
        <v>333.58</v>
      </c>
      <c r="AG97" s="4"/>
      <c r="AH97" s="4"/>
      <c r="AI97" s="4"/>
      <c r="AJ97" s="4"/>
      <c r="AK97" s="4"/>
      <c r="AL97" s="4"/>
      <c r="AM97" s="4"/>
      <c r="AN97" s="4"/>
      <c r="AO97" s="4"/>
      <c r="AP97" s="248">
        <f t="shared" si="10"/>
        <v>506.6</v>
      </c>
    </row>
    <row r="98" spans="1:42" ht="20.25">
      <c r="A98" s="468"/>
      <c r="B98" s="337"/>
      <c r="C98" s="341" t="s">
        <v>205</v>
      </c>
      <c r="D98" s="342"/>
      <c r="E98" s="342">
        <v>2021.46</v>
      </c>
      <c r="F98" s="430">
        <v>961.79</v>
      </c>
      <c r="G98" s="337"/>
      <c r="H98" s="337"/>
      <c r="I98" s="337"/>
      <c r="J98" s="337"/>
      <c r="K98" s="337"/>
      <c r="L98" s="337"/>
      <c r="M98" s="337"/>
      <c r="N98" s="337"/>
      <c r="O98" s="337"/>
      <c r="P98" s="446"/>
      <c r="Q98" s="337"/>
      <c r="R98" s="337"/>
      <c r="S98" s="475"/>
      <c r="T98" s="475"/>
      <c r="U98" s="337"/>
      <c r="W98" s="27"/>
      <c r="X98" s="27"/>
      <c r="AA98" s="63"/>
      <c r="AC98" s="235" t="s">
        <v>3139</v>
      </c>
      <c r="AD98" s="4"/>
      <c r="AE98" s="4"/>
      <c r="AF98" s="4">
        <v>208.3</v>
      </c>
      <c r="AG98" s="4"/>
      <c r="AH98" s="4"/>
      <c r="AI98" s="4"/>
      <c r="AJ98" s="4"/>
      <c r="AK98" s="4"/>
      <c r="AL98" s="4"/>
      <c r="AM98" s="4"/>
      <c r="AN98" s="4"/>
      <c r="AO98" s="4"/>
      <c r="AP98" s="248">
        <f t="shared" si="10"/>
        <v>208.3</v>
      </c>
    </row>
    <row r="99" spans="1:42" ht="20.25">
      <c r="A99" s="468"/>
      <c r="B99" s="337"/>
      <c r="C99" s="341" t="s">
        <v>206</v>
      </c>
      <c r="D99" s="342"/>
      <c r="E99" s="342">
        <v>1206.76</v>
      </c>
      <c r="F99" s="430">
        <v>1046.6199999999999</v>
      </c>
      <c r="G99" s="337"/>
      <c r="H99" s="337"/>
      <c r="I99" s="337"/>
      <c r="J99" s="337"/>
      <c r="K99" s="337"/>
      <c r="L99" s="337"/>
      <c r="M99" s="337"/>
      <c r="N99" s="337"/>
      <c r="O99" s="337"/>
      <c r="P99" s="446"/>
      <c r="Q99" s="337"/>
      <c r="R99" s="337"/>
      <c r="S99" s="475"/>
      <c r="T99" s="475"/>
      <c r="U99" s="337"/>
      <c r="W99" s="27"/>
      <c r="X99" s="27"/>
      <c r="AA99" s="63"/>
      <c r="AC99" s="235" t="s">
        <v>3140</v>
      </c>
      <c r="AD99" s="4">
        <v>23.33</v>
      </c>
      <c r="AE99" s="4">
        <v>179.82</v>
      </c>
      <c r="AF99" s="4"/>
      <c r="AG99" s="4">
        <v>194.72</v>
      </c>
      <c r="AH99" s="4"/>
      <c r="AI99" s="4"/>
      <c r="AJ99" s="4"/>
      <c r="AK99" s="4"/>
      <c r="AL99" s="4"/>
      <c r="AM99" s="4"/>
      <c r="AN99" s="4"/>
      <c r="AO99" s="4"/>
      <c r="AP99" s="248">
        <f t="shared" si="10"/>
        <v>397.87</v>
      </c>
    </row>
    <row r="100" spans="1:42" ht="20.25">
      <c r="A100" s="468"/>
      <c r="B100" s="337"/>
      <c r="C100" s="341" t="s">
        <v>207</v>
      </c>
      <c r="D100" s="342"/>
      <c r="E100" s="342">
        <v>1891.55</v>
      </c>
      <c r="F100" s="430">
        <v>1117.9000000000001</v>
      </c>
      <c r="G100" s="337"/>
      <c r="H100" s="337"/>
      <c r="I100" s="337"/>
      <c r="J100" s="337"/>
      <c r="K100" s="337"/>
      <c r="L100" s="337"/>
      <c r="M100" s="337"/>
      <c r="N100" s="337"/>
      <c r="O100" s="337"/>
      <c r="P100" s="446"/>
      <c r="Q100" s="337"/>
      <c r="R100" s="337"/>
      <c r="S100" s="475"/>
      <c r="T100" s="475"/>
      <c r="U100" s="337"/>
      <c r="W100" s="27"/>
      <c r="X100" s="27"/>
      <c r="AA100" s="63"/>
      <c r="AC100" s="235" t="s">
        <v>3142</v>
      </c>
      <c r="AD100" s="4">
        <v>147.09</v>
      </c>
      <c r="AE100" s="4"/>
      <c r="AF100" s="4"/>
      <c r="AG100" s="4">
        <v>193.41</v>
      </c>
      <c r="AH100" s="4"/>
      <c r="AI100" s="4"/>
      <c r="AJ100" s="4"/>
      <c r="AK100" s="4"/>
      <c r="AL100" s="4"/>
      <c r="AM100" s="4"/>
      <c r="AN100" s="4"/>
      <c r="AO100" s="4"/>
      <c r="AP100" s="248">
        <f t="shared" si="10"/>
        <v>340.5</v>
      </c>
    </row>
    <row r="101" spans="1:42" ht="20.25">
      <c r="A101" s="468"/>
      <c r="B101" s="337"/>
      <c r="C101" s="470" t="s">
        <v>208</v>
      </c>
      <c r="D101" s="342"/>
      <c r="E101" s="342">
        <v>1759.55</v>
      </c>
      <c r="F101" s="430">
        <v>999.3</v>
      </c>
      <c r="G101" s="337"/>
      <c r="H101" s="337"/>
      <c r="I101" s="337"/>
      <c r="J101" s="337"/>
      <c r="K101" s="337"/>
      <c r="L101" s="337"/>
      <c r="M101" s="337"/>
      <c r="N101" s="337"/>
      <c r="O101" s="337"/>
      <c r="P101" s="446"/>
      <c r="Q101" s="337"/>
      <c r="R101" s="337"/>
      <c r="S101" s="475"/>
      <c r="T101" s="475"/>
      <c r="U101" s="337"/>
      <c r="W101" s="27"/>
      <c r="X101" s="27"/>
      <c r="AA101" s="63"/>
      <c r="AC101" s="235" t="s">
        <v>3143</v>
      </c>
      <c r="AD101" s="4"/>
      <c r="AE101" s="4"/>
      <c r="AF101" s="4">
        <v>153.19</v>
      </c>
      <c r="AG101" s="4"/>
      <c r="AH101" s="4">
        <v>193.631</v>
      </c>
      <c r="AI101" s="4"/>
      <c r="AJ101" s="4"/>
      <c r="AK101" s="4"/>
      <c r="AL101" s="4"/>
      <c r="AM101" s="4"/>
      <c r="AN101" s="4"/>
      <c r="AO101" s="4"/>
      <c r="AP101" s="248">
        <f t="shared" si="10"/>
        <v>346.82100000000003</v>
      </c>
    </row>
    <row r="102" spans="1:42" ht="20.25">
      <c r="A102" s="468"/>
      <c r="B102" s="337"/>
      <c r="C102" s="470" t="s">
        <v>209</v>
      </c>
      <c r="D102" s="342"/>
      <c r="E102" s="342">
        <v>2061.64</v>
      </c>
      <c r="F102" s="430">
        <v>1714.0129999999999</v>
      </c>
      <c r="G102" s="337"/>
      <c r="H102" s="337"/>
      <c r="I102" s="337"/>
      <c r="J102" s="337"/>
      <c r="K102" s="337"/>
      <c r="L102" s="337"/>
      <c r="M102" s="337"/>
      <c r="N102" s="337"/>
      <c r="O102" s="337"/>
      <c r="P102" s="446"/>
      <c r="Q102" s="337"/>
      <c r="R102" s="337"/>
      <c r="S102" s="475"/>
      <c r="T102" s="475"/>
      <c r="U102" s="337"/>
      <c r="W102" s="27"/>
      <c r="X102" s="27"/>
      <c r="AA102" s="63"/>
      <c r="AC102" s="235" t="s">
        <v>3144</v>
      </c>
      <c r="AD102" s="4"/>
      <c r="AE102" s="4">
        <v>242.34</v>
      </c>
      <c r="AF102" s="4"/>
      <c r="AG102" s="4"/>
      <c r="AH102" s="4">
        <v>225.76</v>
      </c>
      <c r="AI102" s="4"/>
      <c r="AJ102" s="4"/>
      <c r="AK102" s="4"/>
      <c r="AL102" s="4"/>
      <c r="AM102" s="4"/>
      <c r="AN102" s="4"/>
      <c r="AO102" s="4"/>
      <c r="AP102" s="248">
        <f t="shared" si="10"/>
        <v>468.1</v>
      </c>
    </row>
    <row r="103" spans="1:42" ht="20.25">
      <c r="A103" s="468"/>
      <c r="B103" s="337"/>
      <c r="C103" s="470" t="s">
        <v>210</v>
      </c>
      <c r="D103" s="342"/>
      <c r="E103" s="342">
        <v>2085.69</v>
      </c>
      <c r="F103" s="430">
        <v>1297.768</v>
      </c>
      <c r="G103" s="337"/>
      <c r="H103" s="337"/>
      <c r="I103" s="337"/>
      <c r="J103" s="337"/>
      <c r="K103" s="337"/>
      <c r="L103" s="337"/>
      <c r="M103" s="337"/>
      <c r="N103" s="337"/>
      <c r="O103" s="337"/>
      <c r="P103" s="446"/>
      <c r="Q103" s="337"/>
      <c r="R103" s="337"/>
      <c r="S103" s="475"/>
      <c r="T103" s="475"/>
      <c r="U103" s="337"/>
      <c r="W103" s="27"/>
      <c r="X103" s="27"/>
      <c r="AA103" s="63"/>
      <c r="AC103" s="235" t="s">
        <v>3145</v>
      </c>
      <c r="AD103" s="4">
        <v>211.29</v>
      </c>
      <c r="AE103" s="4">
        <v>225.2</v>
      </c>
      <c r="AF103" s="4"/>
      <c r="AG103" s="4">
        <v>212.57</v>
      </c>
      <c r="AH103" s="4"/>
      <c r="AI103" s="4"/>
      <c r="AJ103" s="4"/>
      <c r="AK103" s="4"/>
      <c r="AL103" s="4"/>
      <c r="AM103" s="4"/>
      <c r="AN103" s="4"/>
      <c r="AO103" s="4"/>
      <c r="AP103" s="248">
        <f t="shared" si="10"/>
        <v>649.05999999999995</v>
      </c>
    </row>
    <row r="104" spans="1:42" ht="20.25">
      <c r="A104" s="468"/>
      <c r="B104" s="337"/>
      <c r="C104" s="470" t="s">
        <v>211</v>
      </c>
      <c r="D104" s="342"/>
      <c r="E104" s="342"/>
      <c r="F104" s="350">
        <f>'DAILY FLASH'!AU105</f>
        <v>1168.7899999999997</v>
      </c>
      <c r="G104" s="337"/>
      <c r="H104" s="337"/>
      <c r="I104" s="337"/>
      <c r="J104" s="337"/>
      <c r="K104" s="337"/>
      <c r="L104" s="337"/>
      <c r="M104" s="337"/>
      <c r="N104" s="337"/>
      <c r="O104" s="337"/>
      <c r="P104" s="446"/>
      <c r="Q104" s="337"/>
      <c r="R104" s="337"/>
      <c r="S104" s="475"/>
      <c r="T104" s="475"/>
      <c r="U104" s="337"/>
      <c r="W104" s="27"/>
      <c r="X104" s="27"/>
      <c r="AA104" s="63"/>
      <c r="AC104" s="252" t="s">
        <v>23</v>
      </c>
      <c r="AD104" s="253">
        <f>SUM(AD85:AD103)</f>
        <v>1178.8699999999999</v>
      </c>
      <c r="AE104" s="253">
        <f t="shared" ref="AE104:AO104" si="11">SUM(AE84:AE103)</f>
        <v>1728.51</v>
      </c>
      <c r="AF104" s="254">
        <f t="shared" si="11"/>
        <v>1723.1</v>
      </c>
      <c r="AG104" s="255">
        <f t="shared" si="11"/>
        <v>1462.1599999999999</v>
      </c>
      <c r="AH104" s="256">
        <f t="shared" si="11"/>
        <v>2090.431</v>
      </c>
      <c r="AI104" s="253">
        <f t="shared" si="11"/>
        <v>0</v>
      </c>
      <c r="AJ104" s="246">
        <f t="shared" si="11"/>
        <v>0</v>
      </c>
      <c r="AK104" s="237">
        <f t="shared" si="11"/>
        <v>0</v>
      </c>
      <c r="AL104" s="237">
        <f t="shared" si="11"/>
        <v>0</v>
      </c>
      <c r="AM104" s="237">
        <f t="shared" si="11"/>
        <v>0</v>
      </c>
      <c r="AN104" s="237">
        <f t="shared" si="11"/>
        <v>0</v>
      </c>
      <c r="AO104" s="237">
        <f t="shared" si="11"/>
        <v>0</v>
      </c>
      <c r="AP104" s="251">
        <f>SUM(AD104:AN104)</f>
        <v>8183.0709999999999</v>
      </c>
    </row>
    <row r="105" spans="1:42" ht="20.25">
      <c r="A105" s="468"/>
      <c r="B105" s="337"/>
      <c r="C105" s="470"/>
      <c r="D105" s="342"/>
      <c r="E105" s="342"/>
      <c r="F105" s="430"/>
      <c r="G105" s="337"/>
      <c r="H105" s="337"/>
      <c r="I105" s="337"/>
      <c r="J105" s="337"/>
      <c r="K105" s="337"/>
      <c r="L105" s="337"/>
      <c r="M105" s="337"/>
      <c r="N105" s="337"/>
      <c r="O105" s="337"/>
      <c r="P105" s="446"/>
      <c r="Q105" s="337"/>
      <c r="R105" s="337"/>
      <c r="S105" s="475"/>
      <c r="T105" s="475"/>
      <c r="U105" s="337"/>
      <c r="W105" s="27"/>
      <c r="X105" s="27"/>
      <c r="AA105" s="63"/>
    </row>
    <row r="106" spans="1:42" ht="20.25">
      <c r="A106" s="468"/>
      <c r="B106" s="337"/>
      <c r="C106" s="403" t="s">
        <v>23</v>
      </c>
      <c r="D106" s="346"/>
      <c r="E106" s="346">
        <f>SUM(E98:E103)</f>
        <v>11026.650000000001</v>
      </c>
      <c r="F106" s="351">
        <f>SUM(F98:F103)</f>
        <v>7137.3909999999996</v>
      </c>
      <c r="G106" s="337"/>
      <c r="H106" s="337"/>
      <c r="I106" s="337"/>
      <c r="J106" s="337"/>
      <c r="K106" s="337"/>
      <c r="L106" s="337"/>
      <c r="M106" s="337"/>
      <c r="N106" s="337"/>
      <c r="O106" s="337"/>
      <c r="P106" s="446"/>
      <c r="Q106" s="337"/>
      <c r="R106" s="337"/>
      <c r="S106" s="475"/>
      <c r="T106" s="475"/>
      <c r="U106" s="337"/>
      <c r="W106" s="27"/>
      <c r="X106" s="27"/>
      <c r="AA106" s="63"/>
      <c r="AB106" s="111"/>
      <c r="AC106" s="3064" t="s">
        <v>3166</v>
      </c>
      <c r="AD106" s="3064"/>
      <c r="AE106" s="3064"/>
      <c r="AF106" s="3064"/>
      <c r="AG106" s="3065"/>
    </row>
    <row r="107" spans="1:42" ht="20.25">
      <c r="A107" s="468"/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446"/>
      <c r="Q107" s="337"/>
      <c r="R107" s="337"/>
      <c r="S107" s="475"/>
      <c r="T107" s="475"/>
      <c r="U107" s="337"/>
      <c r="W107" s="27"/>
      <c r="X107" s="27"/>
      <c r="AA107" s="63"/>
      <c r="AB107" s="309"/>
      <c r="AC107" s="3066" t="s">
        <v>2047</v>
      </c>
      <c r="AD107" s="3066"/>
      <c r="AE107" s="3066"/>
      <c r="AF107" s="3066"/>
      <c r="AG107" s="3067"/>
    </row>
    <row r="108" spans="1:42" ht="20.25">
      <c r="A108" s="468"/>
      <c r="B108" s="337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446"/>
      <c r="Q108" s="337"/>
      <c r="R108" s="337"/>
      <c r="S108" s="475"/>
      <c r="T108" s="475"/>
      <c r="U108" s="337"/>
      <c r="W108" s="27"/>
      <c r="X108" s="27"/>
      <c r="AA108" s="63"/>
      <c r="AB108" s="393" t="s">
        <v>721</v>
      </c>
      <c r="AC108" s="55" t="s">
        <v>170</v>
      </c>
      <c r="AD108" s="55" t="s">
        <v>171</v>
      </c>
      <c r="AE108" s="55" t="s">
        <v>807</v>
      </c>
      <c r="AF108" s="55" t="s">
        <v>808</v>
      </c>
      <c r="AG108" s="57" t="s">
        <v>809</v>
      </c>
    </row>
    <row r="109" spans="1:42" ht="23.25">
      <c r="A109" s="400"/>
      <c r="B109" s="337"/>
      <c r="C109" s="337" t="s">
        <v>3167</v>
      </c>
      <c r="D109" s="337"/>
      <c r="E109" s="337"/>
      <c r="F109" s="337"/>
      <c r="G109" s="338"/>
      <c r="H109" s="338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27"/>
      <c r="X109" s="27"/>
      <c r="AA109" s="63"/>
      <c r="AB109" s="356" t="s">
        <v>3168</v>
      </c>
      <c r="AC109" s="259">
        <v>33292</v>
      </c>
      <c r="AD109" s="259">
        <v>22936</v>
      </c>
      <c r="AE109" s="259">
        <v>24942</v>
      </c>
      <c r="AF109" s="259">
        <v>27849</v>
      </c>
      <c r="AG109" s="52">
        <v>33924</v>
      </c>
    </row>
    <row r="110" spans="1:42" ht="23.25">
      <c r="A110" s="400"/>
      <c r="B110" s="337"/>
      <c r="C110" s="435" t="s">
        <v>722</v>
      </c>
      <c r="D110" s="435" t="s">
        <v>723</v>
      </c>
      <c r="E110" s="435" t="s">
        <v>2147</v>
      </c>
      <c r="F110" s="435"/>
      <c r="G110" s="435" t="s">
        <v>725</v>
      </c>
      <c r="H110" s="435" t="s">
        <v>726</v>
      </c>
      <c r="I110" s="435" t="s">
        <v>727</v>
      </c>
      <c r="J110" s="435"/>
      <c r="K110" s="435"/>
      <c r="L110" s="435" t="s">
        <v>729</v>
      </c>
      <c r="M110" s="435" t="s">
        <v>730</v>
      </c>
      <c r="N110" s="435" t="s">
        <v>731</v>
      </c>
      <c r="O110" s="435"/>
      <c r="P110" s="435" t="s">
        <v>732</v>
      </c>
      <c r="Q110" s="435" t="s">
        <v>733</v>
      </c>
      <c r="R110" s="435" t="s">
        <v>734</v>
      </c>
      <c r="S110" s="428"/>
      <c r="T110" s="428"/>
      <c r="U110" s="476" t="s">
        <v>23</v>
      </c>
      <c r="V110" s="337"/>
      <c r="W110" s="27"/>
      <c r="X110" s="27"/>
      <c r="AA110" s="63"/>
      <c r="AB110" s="356" t="s">
        <v>487</v>
      </c>
      <c r="AC110" s="259">
        <v>13646</v>
      </c>
      <c r="AD110" s="259">
        <v>10172</v>
      </c>
      <c r="AE110" s="259">
        <v>9696</v>
      </c>
      <c r="AF110" s="259">
        <v>10936</v>
      </c>
      <c r="AG110" s="52">
        <v>12589</v>
      </c>
    </row>
    <row r="111" spans="1:42" ht="20.25">
      <c r="A111" s="471" t="s">
        <v>3169</v>
      </c>
      <c r="B111" s="342" t="s">
        <v>634</v>
      </c>
      <c r="C111" s="472">
        <v>62.22</v>
      </c>
      <c r="D111" s="472">
        <v>515.29999999999995</v>
      </c>
      <c r="E111" s="472">
        <v>1864.71</v>
      </c>
      <c r="F111" s="472"/>
      <c r="G111" s="472">
        <v>388.74</v>
      </c>
      <c r="H111" s="472">
        <v>535.79999999999995</v>
      </c>
      <c r="I111" s="472">
        <v>426.71</v>
      </c>
      <c r="J111" s="472"/>
      <c r="K111" s="472"/>
      <c r="L111" s="472">
        <v>746.37</v>
      </c>
      <c r="M111" s="472"/>
      <c r="N111" s="472"/>
      <c r="O111" s="472"/>
      <c r="P111" s="472"/>
      <c r="Q111" s="477"/>
      <c r="R111" s="472"/>
      <c r="S111" s="472"/>
      <c r="T111" s="472"/>
      <c r="U111" s="430">
        <f>SUM(C111:R111)</f>
        <v>4539.8500000000004</v>
      </c>
      <c r="V111" s="472"/>
      <c r="W111" s="27"/>
      <c r="X111" s="27"/>
      <c r="AA111" s="63"/>
      <c r="AB111" s="358" t="s">
        <v>3170</v>
      </c>
      <c r="AC111" s="478">
        <v>21157</v>
      </c>
      <c r="AD111" s="478">
        <v>11350</v>
      </c>
      <c r="AE111" s="478">
        <v>12168</v>
      </c>
      <c r="AF111" s="478">
        <v>9588</v>
      </c>
      <c r="AG111" s="359">
        <v>7230</v>
      </c>
    </row>
    <row r="112" spans="1:42" ht="20.25">
      <c r="A112" s="471" t="s">
        <v>3171</v>
      </c>
      <c r="B112" s="342" t="s">
        <v>634</v>
      </c>
      <c r="C112" s="472">
        <v>0</v>
      </c>
      <c r="D112" s="472">
        <v>0</v>
      </c>
      <c r="E112" s="472"/>
      <c r="F112" s="472"/>
      <c r="G112" s="472">
        <v>561.1</v>
      </c>
      <c r="H112" s="472">
        <v>46.1</v>
      </c>
      <c r="I112" s="472">
        <v>385.39</v>
      </c>
      <c r="J112" s="472"/>
      <c r="K112" s="472"/>
      <c r="L112" s="472">
        <v>286.32</v>
      </c>
      <c r="M112" s="472"/>
      <c r="N112" s="472"/>
      <c r="O112" s="472"/>
      <c r="P112" s="472"/>
      <c r="Q112" s="477"/>
      <c r="R112" s="472"/>
      <c r="S112" s="472"/>
      <c r="T112" s="472"/>
      <c r="U112" s="350">
        <f>SUM(C112:R112)</f>
        <v>1278.9100000000001</v>
      </c>
      <c r="V112" s="472"/>
      <c r="W112" s="27"/>
      <c r="X112" s="27"/>
      <c r="AA112" s="63"/>
    </row>
    <row r="113" spans="1:33" ht="15.75">
      <c r="A113" s="471"/>
      <c r="B113" s="472"/>
      <c r="C113" s="472"/>
      <c r="D113" s="472"/>
      <c r="E113" s="472"/>
      <c r="F113" s="472"/>
      <c r="G113" s="472"/>
      <c r="H113" s="472"/>
      <c r="I113" s="472"/>
      <c r="J113" s="472"/>
      <c r="K113" s="472"/>
      <c r="L113" s="472"/>
      <c r="M113" s="472"/>
      <c r="N113" s="472"/>
      <c r="O113" s="472"/>
      <c r="P113" s="472"/>
      <c r="Q113" s="477"/>
      <c r="R113" s="472"/>
      <c r="S113" s="472"/>
      <c r="T113" s="472"/>
      <c r="U113" s="472"/>
      <c r="V113" s="472"/>
      <c r="W113" s="27"/>
      <c r="X113" s="27"/>
      <c r="AA113" s="63"/>
      <c r="AB113" s="111"/>
      <c r="AC113" s="3064" t="s">
        <v>3172</v>
      </c>
      <c r="AD113" s="3064"/>
      <c r="AE113" s="3064"/>
      <c r="AF113" s="3064"/>
      <c r="AG113" s="3065"/>
    </row>
    <row r="114" spans="1:33">
      <c r="A114" s="471"/>
      <c r="B114" s="472"/>
      <c r="C114" s="472"/>
      <c r="D114" s="472"/>
      <c r="E114" s="472"/>
      <c r="F114" s="472"/>
      <c r="G114" s="472"/>
      <c r="H114" s="472"/>
      <c r="I114" s="472"/>
      <c r="J114" s="472"/>
      <c r="K114" s="472"/>
      <c r="L114" s="472"/>
      <c r="M114" s="472"/>
      <c r="N114" s="472"/>
      <c r="O114" s="472"/>
      <c r="P114" s="472"/>
      <c r="Q114" s="477"/>
      <c r="R114" s="472"/>
      <c r="S114" s="472"/>
      <c r="T114" s="472"/>
      <c r="U114" s="472"/>
      <c r="V114" s="472"/>
      <c r="W114" s="27"/>
      <c r="X114" s="27"/>
      <c r="AA114" s="63"/>
      <c r="AB114" s="309"/>
      <c r="AC114" s="3068" t="s">
        <v>2047</v>
      </c>
      <c r="AD114" s="3068"/>
      <c r="AE114" s="3068"/>
      <c r="AF114" s="3068"/>
      <c r="AG114" s="3069"/>
    </row>
    <row r="115" spans="1:33">
      <c r="B115" s="105" t="s">
        <v>3173</v>
      </c>
      <c r="C115" s="119" t="s">
        <v>2425</v>
      </c>
      <c r="W115" s="27"/>
      <c r="X115" s="27"/>
      <c r="AA115" s="63"/>
      <c r="AB115" s="393" t="s">
        <v>721</v>
      </c>
      <c r="AC115" s="55" t="s">
        <v>170</v>
      </c>
      <c r="AD115" s="55" t="s">
        <v>171</v>
      </c>
      <c r="AE115" s="55" t="s">
        <v>807</v>
      </c>
      <c r="AF115" s="55" t="s">
        <v>808</v>
      </c>
      <c r="AG115" s="57" t="s">
        <v>809</v>
      </c>
    </row>
    <row r="116" spans="1:33" ht="15.75">
      <c r="B116" s="40" t="s">
        <v>3174</v>
      </c>
      <c r="C116" s="64" t="s">
        <v>3175</v>
      </c>
      <c r="W116" s="27"/>
      <c r="X116" s="27"/>
      <c r="AA116" s="63"/>
      <c r="AB116" s="356" t="s">
        <v>3176</v>
      </c>
      <c r="AC116" s="259">
        <v>100185</v>
      </c>
      <c r="AD116" s="259">
        <v>92792</v>
      </c>
      <c r="AE116" s="259">
        <v>52403</v>
      </c>
      <c r="AF116" s="259">
        <v>88036</v>
      </c>
      <c r="AG116" s="52">
        <v>84408</v>
      </c>
    </row>
    <row r="117" spans="1:33" ht="15.75">
      <c r="B117" s="40" t="s">
        <v>220</v>
      </c>
      <c r="C117" s="64" t="s">
        <v>43</v>
      </c>
      <c r="W117" s="27"/>
      <c r="X117" s="27"/>
      <c r="AA117" s="63"/>
      <c r="AB117" s="356" t="s">
        <v>256</v>
      </c>
      <c r="AC117" s="259">
        <v>319</v>
      </c>
      <c r="AD117" s="259">
        <v>216</v>
      </c>
      <c r="AE117" s="259">
        <v>119</v>
      </c>
      <c r="AF117" s="259">
        <v>495</v>
      </c>
      <c r="AG117" s="52">
        <v>465</v>
      </c>
    </row>
    <row r="118" spans="1:33" ht="15.75">
      <c r="B118" s="40" t="s">
        <v>221</v>
      </c>
      <c r="C118" s="64" t="s">
        <v>3177</v>
      </c>
      <c r="W118" s="27"/>
      <c r="X118" s="27"/>
      <c r="AA118" s="63"/>
      <c r="AB118" s="356" t="s">
        <v>3178</v>
      </c>
      <c r="AC118" s="259">
        <v>4638</v>
      </c>
      <c r="AD118" s="259">
        <v>5180</v>
      </c>
      <c r="AE118" s="259">
        <v>2643</v>
      </c>
      <c r="AF118" s="259">
        <v>5488</v>
      </c>
      <c r="AG118" s="52">
        <v>5686</v>
      </c>
    </row>
    <row r="119" spans="1:33" ht="15.75">
      <c r="B119" s="40" t="s">
        <v>222</v>
      </c>
      <c r="C119" s="64" t="s">
        <v>3179</v>
      </c>
      <c r="W119" s="27"/>
      <c r="X119" s="27"/>
      <c r="AA119" s="63"/>
      <c r="AB119" s="356" t="s">
        <v>153</v>
      </c>
      <c r="AC119" s="259">
        <v>6782</v>
      </c>
      <c r="AD119" s="259">
        <v>1151</v>
      </c>
      <c r="AE119" s="259">
        <v>10003</v>
      </c>
      <c r="AF119" s="259">
        <v>6381</v>
      </c>
      <c r="AG119" s="52">
        <v>931</v>
      </c>
    </row>
    <row r="120" spans="1:33" ht="15.75">
      <c r="B120" s="40" t="s">
        <v>223</v>
      </c>
      <c r="C120" s="64">
        <v>25</v>
      </c>
      <c r="W120" s="27"/>
      <c r="X120" s="27"/>
      <c r="AA120" s="63"/>
      <c r="AB120" s="356" t="s">
        <v>3180</v>
      </c>
      <c r="AC120" s="259">
        <v>1031</v>
      </c>
      <c r="AD120" s="259">
        <v>1124</v>
      </c>
      <c r="AE120" s="259">
        <v>1414</v>
      </c>
      <c r="AF120" s="259">
        <v>1417</v>
      </c>
      <c r="AG120" s="52">
        <v>1020</v>
      </c>
    </row>
    <row r="121" spans="1:33" ht="15.75">
      <c r="B121" s="473" t="s">
        <v>224</v>
      </c>
      <c r="C121" s="2465" t="s">
        <v>3181</v>
      </c>
      <c r="W121" s="27"/>
      <c r="X121" s="27"/>
      <c r="AA121" s="63"/>
      <c r="AB121" s="2466" t="s">
        <v>63</v>
      </c>
      <c r="AC121" s="478"/>
      <c r="AD121" s="478"/>
      <c r="AE121" s="478"/>
      <c r="AF121" s="478"/>
      <c r="AG121" s="359"/>
    </row>
    <row r="122" spans="1:33">
      <c r="A122" s="471"/>
      <c r="B122" s="472"/>
      <c r="C122" s="472"/>
      <c r="D122" s="472"/>
      <c r="E122" s="472"/>
      <c r="F122" s="472"/>
      <c r="G122" s="472"/>
      <c r="H122" s="472"/>
      <c r="I122" s="472"/>
      <c r="J122" s="472"/>
      <c r="K122" s="472"/>
      <c r="L122" s="472"/>
      <c r="M122" s="472"/>
      <c r="N122" s="472"/>
      <c r="O122" s="472"/>
      <c r="P122" s="472"/>
      <c r="Q122" s="477"/>
      <c r="R122" s="472"/>
      <c r="S122" s="472"/>
      <c r="T122" s="472"/>
      <c r="U122" s="472"/>
      <c r="V122" s="472"/>
      <c r="W122" s="27"/>
      <c r="X122" s="27"/>
      <c r="AA122" s="63"/>
    </row>
    <row r="123" spans="1:33">
      <c r="A123" s="471"/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2"/>
      <c r="N123" s="472"/>
      <c r="O123" s="472"/>
      <c r="P123" s="472"/>
      <c r="Q123" s="477"/>
      <c r="R123" s="472"/>
      <c r="S123" s="472"/>
      <c r="T123" s="472"/>
      <c r="U123" s="472"/>
      <c r="V123" s="472"/>
      <c r="W123" s="27"/>
      <c r="X123" s="27"/>
      <c r="AA123" s="63"/>
    </row>
    <row r="124" spans="1:33">
      <c r="A124" s="471"/>
      <c r="B124" s="472"/>
      <c r="C124" s="472"/>
      <c r="D124" s="472"/>
      <c r="E124" s="472"/>
      <c r="F124" s="472"/>
      <c r="G124" s="472"/>
      <c r="H124" s="472"/>
      <c r="I124" s="472"/>
      <c r="J124" s="472"/>
      <c r="K124" s="472"/>
      <c r="L124" s="472"/>
      <c r="M124" s="472"/>
      <c r="N124" s="472"/>
      <c r="O124" s="472"/>
      <c r="P124" s="472"/>
      <c r="Q124" s="477"/>
      <c r="R124" s="472"/>
      <c r="S124" s="472"/>
      <c r="T124" s="472"/>
      <c r="U124" s="472"/>
      <c r="V124" s="472"/>
      <c r="W124" s="27"/>
      <c r="X124" s="27"/>
      <c r="AA124" s="63"/>
      <c r="AB124" s="308"/>
      <c r="AC124" s="127"/>
      <c r="AD124" s="127"/>
      <c r="AE124" s="127"/>
      <c r="AF124" s="354"/>
    </row>
    <row r="125" spans="1:33" ht="20.25">
      <c r="A125" s="471"/>
      <c r="B125" s="472"/>
      <c r="C125" s="472"/>
      <c r="D125" s="472"/>
      <c r="E125" s="472"/>
      <c r="F125" s="472"/>
      <c r="G125" s="472"/>
      <c r="H125" s="472"/>
      <c r="I125" s="472"/>
      <c r="J125" s="472"/>
      <c r="K125" s="472"/>
      <c r="L125" s="472"/>
      <c r="M125" s="472"/>
      <c r="N125" s="472"/>
      <c r="O125" s="472"/>
      <c r="P125" s="472"/>
      <c r="Q125" s="477"/>
      <c r="R125" s="472"/>
      <c r="S125" s="472"/>
      <c r="T125" s="472"/>
      <c r="U125" s="472"/>
      <c r="V125" s="472"/>
      <c r="W125" s="27"/>
      <c r="X125" s="27"/>
      <c r="AA125" s="63"/>
      <c r="AB125" s="308"/>
      <c r="AC125" s="2952" t="s">
        <v>3182</v>
      </c>
      <c r="AD125" s="2952"/>
      <c r="AE125" s="2952"/>
      <c r="AF125" s="2953"/>
    </row>
    <row r="126" spans="1:33">
      <c r="A126" s="471"/>
      <c r="B126" s="472"/>
      <c r="C126" s="472"/>
      <c r="D126" s="472"/>
      <c r="E126" s="472"/>
      <c r="F126" s="472"/>
      <c r="G126" s="472"/>
      <c r="H126" s="472"/>
      <c r="I126" s="472"/>
      <c r="J126" s="472"/>
      <c r="K126" s="472"/>
      <c r="L126" s="472"/>
      <c r="M126" s="472"/>
      <c r="N126" s="472"/>
      <c r="O126" s="472"/>
      <c r="P126" s="472"/>
      <c r="Q126" s="477"/>
      <c r="R126" s="472"/>
      <c r="S126" s="472"/>
      <c r="T126" s="472"/>
      <c r="U126" s="472"/>
      <c r="V126" s="472"/>
      <c r="W126" s="27"/>
      <c r="X126" s="27"/>
      <c r="AA126" s="63"/>
      <c r="AB126" s="31"/>
      <c r="AC126" t="s">
        <v>3183</v>
      </c>
      <c r="AD126" t="s">
        <v>3184</v>
      </c>
      <c r="AE126" t="s">
        <v>3185</v>
      </c>
      <c r="AF126" s="63" t="s">
        <v>3186</v>
      </c>
    </row>
    <row r="127" spans="1:33">
      <c r="A127" s="471"/>
      <c r="B127" s="472"/>
      <c r="C127" s="472"/>
      <c r="D127" s="472"/>
      <c r="E127" s="472"/>
      <c r="F127" s="472"/>
      <c r="G127" s="472"/>
      <c r="H127" s="472"/>
      <c r="I127" s="472"/>
      <c r="J127" s="472"/>
      <c r="K127" s="472"/>
      <c r="L127" s="472"/>
      <c r="M127" s="472"/>
      <c r="N127" s="472"/>
      <c r="O127" s="472"/>
      <c r="P127" s="472"/>
      <c r="Q127" s="477"/>
      <c r="R127" s="472"/>
      <c r="S127" s="472"/>
      <c r="T127" s="472"/>
      <c r="U127" s="472"/>
      <c r="V127" s="472"/>
      <c r="W127" s="27"/>
      <c r="X127" s="27"/>
      <c r="AA127" s="63"/>
      <c r="AB127" s="31" t="s">
        <v>3187</v>
      </c>
      <c r="AF127" s="63"/>
    </row>
    <row r="128" spans="1:33">
      <c r="A128" s="471"/>
      <c r="B128" s="472"/>
      <c r="C128" s="472"/>
      <c r="D128" s="472"/>
      <c r="E128" s="472"/>
      <c r="F128" s="472"/>
      <c r="G128" s="472"/>
      <c r="H128" s="472"/>
      <c r="I128" s="472"/>
      <c r="J128" s="472"/>
      <c r="K128" s="472"/>
      <c r="L128" s="472"/>
      <c r="M128" s="472"/>
      <c r="N128" s="472"/>
      <c r="O128" s="472"/>
      <c r="P128" s="472"/>
      <c r="Q128" s="477"/>
      <c r="R128" s="472"/>
      <c r="S128" s="472"/>
      <c r="T128" s="472"/>
      <c r="U128" s="472"/>
      <c r="V128" s="472"/>
      <c r="W128" s="27"/>
      <c r="X128" s="27"/>
      <c r="AA128" s="63"/>
      <c r="AB128" s="31" t="s">
        <v>2341</v>
      </c>
      <c r="AC128">
        <v>0</v>
      </c>
      <c r="AD128">
        <v>3927</v>
      </c>
      <c r="AE128">
        <v>3927</v>
      </c>
      <c r="AF128" s="63">
        <v>0</v>
      </c>
    </row>
    <row r="129" spans="1:35">
      <c r="A129" s="471"/>
      <c r="B129" s="472"/>
      <c r="C129" s="472"/>
      <c r="D129" s="472"/>
      <c r="E129" s="472"/>
      <c r="F129" s="472"/>
      <c r="G129" s="472"/>
      <c r="H129" s="472"/>
      <c r="I129" s="472"/>
      <c r="J129" s="472"/>
      <c r="K129" s="472"/>
      <c r="L129" s="472"/>
      <c r="M129" s="472"/>
      <c r="N129" s="472"/>
      <c r="O129" s="472"/>
      <c r="P129" s="472"/>
      <c r="Q129" s="477"/>
      <c r="R129" s="472"/>
      <c r="S129" s="472"/>
      <c r="T129" s="472"/>
      <c r="U129" s="472"/>
      <c r="V129" s="472"/>
      <c r="W129" s="27"/>
      <c r="X129" s="27"/>
      <c r="AA129" s="63"/>
      <c r="AB129" s="31" t="s">
        <v>3188</v>
      </c>
      <c r="AC129">
        <v>293</v>
      </c>
      <c r="AD129">
        <v>628</v>
      </c>
      <c r="AE129">
        <f>888-130-98</f>
        <v>660</v>
      </c>
      <c r="AF129" s="63">
        <f>+AC129+AD129-AE129</f>
        <v>261</v>
      </c>
      <c r="AH129">
        <f>67*3.9</f>
        <v>261.3</v>
      </c>
    </row>
    <row r="130" spans="1:35">
      <c r="A130" s="471"/>
      <c r="B130" s="472"/>
      <c r="C130" s="472"/>
      <c r="D130" s="472"/>
      <c r="E130" s="472"/>
      <c r="F130" s="472"/>
      <c r="G130" s="472"/>
      <c r="H130" s="472"/>
      <c r="I130" s="472"/>
      <c r="J130" s="472"/>
      <c r="K130" s="472"/>
      <c r="L130" s="472"/>
      <c r="M130" s="472"/>
      <c r="N130" s="472"/>
      <c r="O130" s="472"/>
      <c r="P130" s="472"/>
      <c r="Q130" s="477"/>
      <c r="R130" s="472"/>
      <c r="S130" s="472"/>
      <c r="T130" s="472"/>
      <c r="U130" s="472"/>
      <c r="V130" s="472"/>
      <c r="W130" s="27"/>
      <c r="X130" s="27"/>
      <c r="AA130" s="63"/>
      <c r="AB130" s="31" t="s">
        <v>3170</v>
      </c>
      <c r="AC130">
        <v>238</v>
      </c>
      <c r="AD130">
        <v>918</v>
      </c>
      <c r="AE130">
        <f>576-81+45</f>
        <v>540</v>
      </c>
      <c r="AF130" s="63">
        <f>+AC130+AD130-AE130</f>
        <v>616</v>
      </c>
    </row>
    <row r="131" spans="1:35">
      <c r="A131" s="471"/>
      <c r="B131" s="472"/>
      <c r="C131" s="472"/>
      <c r="D131" s="472"/>
      <c r="E131" s="472"/>
      <c r="F131" s="472"/>
      <c r="G131" s="472"/>
      <c r="H131" s="472"/>
      <c r="I131" s="472"/>
      <c r="J131" s="472"/>
      <c r="K131" s="472"/>
      <c r="L131" s="472"/>
      <c r="M131" s="472"/>
      <c r="N131" s="472"/>
      <c r="O131" s="472"/>
      <c r="P131" s="472"/>
      <c r="Q131" s="477"/>
      <c r="R131" s="472"/>
      <c r="S131" s="472"/>
      <c r="T131" s="472"/>
      <c r="U131" s="472"/>
      <c r="V131" s="472"/>
      <c r="W131" s="27"/>
      <c r="X131" s="27"/>
      <c r="AA131" s="63"/>
      <c r="AB131" s="31" t="s">
        <v>3189</v>
      </c>
      <c r="AC131">
        <f>802+490+153</f>
        <v>1445</v>
      </c>
      <c r="AD131">
        <v>433</v>
      </c>
      <c r="AE131">
        <f>1222.533-239.533</f>
        <v>982.99999999999989</v>
      </c>
      <c r="AF131" s="63">
        <f>+AC131+AD131-AE131</f>
        <v>895.00000000000011</v>
      </c>
      <c r="AH131">
        <f>895-655.467</f>
        <v>239.53300000000002</v>
      </c>
    </row>
    <row r="132" spans="1:35">
      <c r="A132" s="31"/>
      <c r="Q132" s="425"/>
      <c r="W132" s="27"/>
      <c r="X132" s="27"/>
      <c r="AA132" s="63"/>
      <c r="AB132" s="31" t="s">
        <v>3190</v>
      </c>
      <c r="AC132">
        <f>92+148</f>
        <v>240</v>
      </c>
      <c r="AD132">
        <v>0</v>
      </c>
      <c r="AE132">
        <v>240</v>
      </c>
      <c r="AF132" s="63">
        <f>+AC132+AD132-AE132</f>
        <v>0</v>
      </c>
    </row>
    <row r="133" spans="1:35">
      <c r="A133" s="31"/>
      <c r="B133" s="308"/>
      <c r="C133" s="127"/>
      <c r="D133" s="127"/>
      <c r="E133" s="127"/>
      <c r="F133" s="127"/>
      <c r="G133" s="127"/>
      <c r="H133" s="127"/>
      <c r="I133" s="354"/>
      <c r="Q133" s="425"/>
      <c r="W133" s="27"/>
      <c r="X133" s="27"/>
      <c r="AA133" s="63"/>
      <c r="AB133" s="7"/>
      <c r="AC133" s="8"/>
      <c r="AD133" s="8"/>
      <c r="AE133" s="8"/>
      <c r="AF133" s="9"/>
    </row>
    <row r="134" spans="1:35" ht="18">
      <c r="A134" s="31"/>
      <c r="B134" s="2839" t="s">
        <v>3191</v>
      </c>
      <c r="C134" s="3023"/>
      <c r="D134" s="3023"/>
      <c r="E134" s="3023"/>
      <c r="F134" s="3023"/>
      <c r="G134" s="3023"/>
      <c r="H134" s="3023"/>
      <c r="I134" s="2840"/>
      <c r="J134" s="133"/>
      <c r="K134" s="133"/>
      <c r="Q134" s="425"/>
      <c r="R134" s="308"/>
      <c r="S134" s="127"/>
      <c r="T134" s="127"/>
      <c r="U134" s="127"/>
      <c r="V134" s="127"/>
      <c r="W134" s="127"/>
      <c r="X134" s="127"/>
      <c r="Y134" s="127"/>
      <c r="Z134" s="127"/>
      <c r="AA134" s="354"/>
      <c r="AB134" s="31"/>
      <c r="AF134" s="63"/>
    </row>
    <row r="135" spans="1:35" ht="20.25">
      <c r="A135" s="31"/>
      <c r="B135" s="479"/>
      <c r="C135" s="480" t="s">
        <v>1997</v>
      </c>
      <c r="D135" s="480" t="s">
        <v>1029</v>
      </c>
      <c r="E135" s="480" t="s">
        <v>37</v>
      </c>
      <c r="F135" s="481"/>
      <c r="I135" s="506"/>
      <c r="J135" s="481"/>
      <c r="K135" s="481"/>
      <c r="Q135" s="425"/>
      <c r="R135" s="2839" t="s">
        <v>3191</v>
      </c>
      <c r="S135" s="3023"/>
      <c r="T135" s="3023"/>
      <c r="U135" s="3023"/>
      <c r="V135" s="3023"/>
      <c r="W135" s="3023"/>
      <c r="X135" s="3023"/>
      <c r="Y135" s="3023"/>
      <c r="Z135" s="3023"/>
      <c r="AA135" s="2840"/>
      <c r="AB135" s="308"/>
      <c r="AC135" s="2952" t="s">
        <v>3192</v>
      </c>
      <c r="AD135" s="2952"/>
      <c r="AE135" s="2952"/>
      <c r="AF135" s="2953"/>
    </row>
    <row r="136" spans="1:35" ht="15.75">
      <c r="A136" s="31"/>
      <c r="B136" s="482"/>
      <c r="C136" s="259" t="s">
        <v>121</v>
      </c>
      <c r="D136" s="259" t="s">
        <v>121</v>
      </c>
      <c r="E136" s="259" t="s">
        <v>121</v>
      </c>
      <c r="F136" s="483"/>
      <c r="I136" s="52"/>
      <c r="J136" s="483"/>
      <c r="K136" s="483"/>
      <c r="Q136" s="425"/>
      <c r="R136" s="479"/>
      <c r="S136" s="509"/>
      <c r="T136" s="509"/>
      <c r="U136" s="3070" t="s">
        <v>1997</v>
      </c>
      <c r="V136" s="3071"/>
      <c r="W136" s="3070" t="s">
        <v>1029</v>
      </c>
      <c r="X136" s="3072"/>
      <c r="Y136" s="3071"/>
      <c r="Z136" s="3070" t="s">
        <v>37</v>
      </c>
      <c r="AA136" s="3071"/>
      <c r="AB136" s="31"/>
      <c r="AC136" s="289">
        <v>45017</v>
      </c>
      <c r="AD136" t="s">
        <v>3184</v>
      </c>
      <c r="AE136" t="s">
        <v>3185</v>
      </c>
      <c r="AF136" s="63" t="s">
        <v>3186</v>
      </c>
    </row>
    <row r="137" spans="1:35" ht="15.75">
      <c r="A137" s="31"/>
      <c r="B137" s="482" t="s">
        <v>3193</v>
      </c>
      <c r="C137" s="115">
        <v>7941.53</v>
      </c>
      <c r="D137" s="259">
        <v>5443.165</v>
      </c>
      <c r="E137" s="115">
        <v>4730.3329999999996</v>
      </c>
      <c r="F137" s="484"/>
      <c r="I137" s="52"/>
      <c r="J137" s="483"/>
      <c r="K137" s="483"/>
      <c r="Q137" s="425"/>
      <c r="R137" s="482"/>
      <c r="S137" s="510"/>
      <c r="T137" s="510"/>
      <c r="U137" s="259" t="s">
        <v>121</v>
      </c>
      <c r="V137" s="259" t="s">
        <v>3194</v>
      </c>
      <c r="W137" s="259" t="s">
        <v>121</v>
      </c>
      <c r="X137" s="259"/>
      <c r="Y137" s="259" t="s">
        <v>3194</v>
      </c>
      <c r="Z137" s="259" t="s">
        <v>121</v>
      </c>
      <c r="AA137" s="52" t="s">
        <v>3194</v>
      </c>
      <c r="AB137" s="31" t="s">
        <v>3187</v>
      </c>
      <c r="AF137" s="63"/>
    </row>
    <row r="138" spans="1:35" ht="15.75">
      <c r="A138" s="31"/>
      <c r="B138" s="482" t="s">
        <v>3195</v>
      </c>
      <c r="C138" s="259">
        <v>14004</v>
      </c>
      <c r="D138" s="259">
        <v>10166.686</v>
      </c>
      <c r="E138" s="115">
        <v>6647.125</v>
      </c>
      <c r="F138" s="484"/>
      <c r="I138" s="52"/>
      <c r="J138" s="483"/>
      <c r="K138" s="483"/>
      <c r="Q138" s="425"/>
      <c r="R138" s="482" t="s">
        <v>3193</v>
      </c>
      <c r="S138" s="510"/>
      <c r="T138" s="510"/>
      <c r="U138" s="115">
        <v>7941.53</v>
      </c>
      <c r="V138" s="259">
        <v>2102</v>
      </c>
      <c r="W138" s="259">
        <v>5443.165</v>
      </c>
      <c r="X138" s="259"/>
      <c r="Y138" s="259">
        <v>1803</v>
      </c>
      <c r="Z138" s="115">
        <v>4730.3329999999996</v>
      </c>
      <c r="AA138" s="52">
        <v>2073</v>
      </c>
      <c r="AB138" s="31" t="s">
        <v>2341</v>
      </c>
      <c r="AC138">
        <v>0</v>
      </c>
      <c r="AD138">
        <v>28602</v>
      </c>
      <c r="AE138">
        <v>28602</v>
      </c>
      <c r="AF138" s="63">
        <v>0</v>
      </c>
    </row>
    <row r="139" spans="1:35" ht="15.75">
      <c r="A139" s="31"/>
      <c r="B139" s="482" t="s">
        <v>3196</v>
      </c>
      <c r="C139" s="259">
        <v>0</v>
      </c>
      <c r="D139" s="259">
        <v>1920.6</v>
      </c>
      <c r="E139" s="259">
        <v>1928</v>
      </c>
      <c r="F139" s="483"/>
      <c r="I139" s="52"/>
      <c r="J139" s="483"/>
      <c r="K139" s="483"/>
      <c r="Q139" s="425"/>
      <c r="R139" s="482" t="s">
        <v>3195</v>
      </c>
      <c r="S139" s="510"/>
      <c r="T139" s="510"/>
      <c r="U139" s="259">
        <v>14004</v>
      </c>
      <c r="V139" s="259">
        <v>1102</v>
      </c>
      <c r="W139" s="259">
        <v>10166.686</v>
      </c>
      <c r="X139" s="259"/>
      <c r="Y139" s="259">
        <v>2692</v>
      </c>
      <c r="Z139" s="115">
        <v>6647.125</v>
      </c>
      <c r="AA139" s="52">
        <v>2443</v>
      </c>
      <c r="AB139" s="31" t="s">
        <v>3188</v>
      </c>
      <c r="AC139">
        <f>50*3.9</f>
        <v>195</v>
      </c>
      <c r="AD139">
        <v>8922</v>
      </c>
      <c r="AE139">
        <f>8586.884+269.116</f>
        <v>8856</v>
      </c>
      <c r="AF139" s="63">
        <f>+AC139+AD139-AE139</f>
        <v>261</v>
      </c>
      <c r="AG139">
        <f>530.116-261</f>
        <v>269.11599999999999</v>
      </c>
      <c r="AH139">
        <f>1435-33</f>
        <v>1402</v>
      </c>
    </row>
    <row r="140" spans="1:35" ht="15.75">
      <c r="A140" s="31"/>
      <c r="B140" s="31"/>
      <c r="I140" s="63"/>
      <c r="Q140" s="425"/>
      <c r="R140" s="482" t="s">
        <v>3196</v>
      </c>
      <c r="S140" s="510"/>
      <c r="T140" s="510"/>
      <c r="U140" s="259">
        <v>0</v>
      </c>
      <c r="V140" s="259"/>
      <c r="W140" s="259">
        <v>1920.6</v>
      </c>
      <c r="X140" s="259"/>
      <c r="Y140" s="259"/>
      <c r="Z140" s="259">
        <v>1928</v>
      </c>
      <c r="AA140" s="52"/>
      <c r="AB140" s="31" t="s">
        <v>3170</v>
      </c>
      <c r="AC140">
        <v>780</v>
      </c>
      <c r="AD140">
        <v>4362</v>
      </c>
      <c r="AE140">
        <f>4496+30</f>
        <v>4526</v>
      </c>
      <c r="AF140" s="63">
        <f>+AC140+AD140-AE140</f>
        <v>616</v>
      </c>
      <c r="AH140">
        <f>434.238-616</f>
        <v>-181.762</v>
      </c>
      <c r="AI140">
        <f>1185-616</f>
        <v>569</v>
      </c>
    </row>
    <row r="141" spans="1:35">
      <c r="A141" s="31"/>
      <c r="B141" s="7"/>
      <c r="C141" s="8"/>
      <c r="D141" s="8"/>
      <c r="E141" s="8"/>
      <c r="F141" s="8"/>
      <c r="G141" s="8"/>
      <c r="H141" s="8"/>
      <c r="I141" s="9"/>
      <c r="Q141" s="425"/>
      <c r="R141" s="31"/>
      <c r="AA141" s="63"/>
      <c r="AB141" s="31" t="s">
        <v>3189</v>
      </c>
      <c r="AC141">
        <v>1476</v>
      </c>
      <c r="AD141">
        <v>9208</v>
      </c>
      <c r="AE141">
        <f>9586+203</f>
        <v>9789</v>
      </c>
      <c r="AF141" s="63">
        <f>+AC141+AD141-AE141</f>
        <v>895</v>
      </c>
      <c r="AG141">
        <f>926-895</f>
        <v>31</v>
      </c>
      <c r="AH141">
        <f>1564-895</f>
        <v>669</v>
      </c>
    </row>
    <row r="142" spans="1:35">
      <c r="A142" s="31"/>
      <c r="Q142" s="425"/>
      <c r="R142" s="7"/>
      <c r="S142" s="8"/>
      <c r="T142" s="8"/>
      <c r="U142" s="8"/>
      <c r="V142" s="8"/>
      <c r="W142" s="8"/>
      <c r="X142" s="8"/>
      <c r="Y142" s="8"/>
      <c r="Z142" s="8"/>
      <c r="AA142" s="9"/>
      <c r="AB142" s="31" t="s">
        <v>3190</v>
      </c>
      <c r="AC142">
        <v>0</v>
      </c>
      <c r="AD142" s="520">
        <v>340.56</v>
      </c>
      <c r="AE142" s="520">
        <f>293-81</f>
        <v>212</v>
      </c>
      <c r="AF142" s="521">
        <f>+AC142+AD142-AE142</f>
        <v>128.56</v>
      </c>
    </row>
    <row r="143" spans="1:35">
      <c r="A143" s="31"/>
      <c r="Q143" s="425"/>
      <c r="W143" s="27"/>
      <c r="X143" s="27"/>
      <c r="AA143" s="63"/>
      <c r="AB143" s="7"/>
      <c r="AC143" s="8"/>
      <c r="AD143" s="8"/>
      <c r="AE143" s="8"/>
      <c r="AF143" s="9"/>
    </row>
    <row r="144" spans="1:35">
      <c r="A144" s="31"/>
      <c r="Q144" s="425"/>
      <c r="W144" s="27"/>
      <c r="X144" s="27"/>
      <c r="AA144" s="63"/>
      <c r="AB144" s="7"/>
      <c r="AC144" s="8"/>
      <c r="AD144" s="8"/>
      <c r="AE144" s="8"/>
      <c r="AF144" s="9"/>
    </row>
    <row r="145" spans="1:27">
      <c r="A145" s="31"/>
      <c r="Q145" s="425"/>
      <c r="W145" s="27"/>
      <c r="X145" s="27"/>
      <c r="AA145" s="63"/>
    </row>
    <row r="146" spans="1:27">
      <c r="A146" s="31"/>
      <c r="Q146" s="425"/>
      <c r="W146" s="27"/>
      <c r="X146" s="27"/>
      <c r="AA146" s="63"/>
    </row>
    <row r="147" spans="1:27">
      <c r="A147" s="31"/>
      <c r="Q147" s="425"/>
      <c r="W147" s="27"/>
      <c r="X147" s="27"/>
      <c r="AA147" s="63"/>
    </row>
    <row r="148" spans="1:27">
      <c r="A148" s="31"/>
      <c r="Q148" s="425"/>
      <c r="W148" s="27"/>
      <c r="X148" s="27"/>
      <c r="AA148" s="63"/>
    </row>
    <row r="149" spans="1:27">
      <c r="A149" s="31"/>
      <c r="Q149" s="425"/>
      <c r="W149" s="27"/>
      <c r="X149" s="27"/>
      <c r="AA149" s="63"/>
    </row>
    <row r="150" spans="1:27">
      <c r="A150" s="31"/>
      <c r="Q150" s="425"/>
      <c r="W150" s="27"/>
      <c r="X150" s="27"/>
      <c r="AA150" s="63"/>
    </row>
    <row r="151" spans="1:27">
      <c r="A151" s="31"/>
      <c r="Q151" s="425"/>
      <c r="W151" s="27"/>
      <c r="X151" s="27"/>
      <c r="AA151" s="63"/>
    </row>
    <row r="152" spans="1:27" ht="20.25">
      <c r="A152" s="485" t="s">
        <v>3197</v>
      </c>
      <c r="B152" s="85"/>
      <c r="Q152" s="425"/>
      <c r="W152" s="27"/>
      <c r="X152" s="27"/>
      <c r="AA152" s="63"/>
    </row>
    <row r="153" spans="1:27" ht="23.25">
      <c r="A153" s="486" t="s">
        <v>3198</v>
      </c>
      <c r="B153" s="487"/>
      <c r="Q153" s="425"/>
      <c r="W153" s="27"/>
      <c r="X153" s="27"/>
      <c r="AA153" s="63"/>
    </row>
    <row r="154" spans="1:27" ht="18">
      <c r="A154" s="2973" t="s">
        <v>3071</v>
      </c>
      <c r="B154" s="2780"/>
      <c r="C154" s="2780"/>
      <c r="D154" s="2780"/>
      <c r="E154" s="2780"/>
      <c r="F154" s="2780"/>
      <c r="G154" s="2780"/>
      <c r="H154" s="2780"/>
      <c r="I154" s="2780"/>
      <c r="J154" s="2780"/>
      <c r="K154" s="2780"/>
      <c r="L154" s="2780"/>
      <c r="M154" s="2780"/>
      <c r="N154" s="2780"/>
      <c r="O154" s="2780"/>
      <c r="P154" s="2780"/>
      <c r="Q154" s="511"/>
      <c r="R154" s="354"/>
      <c r="S154" s="354"/>
      <c r="T154" s="354"/>
      <c r="U154" s="354"/>
      <c r="V154" s="127"/>
      <c r="W154" s="512"/>
      <c r="X154" s="286"/>
      <c r="Y154" s="13"/>
      <c r="AA154" s="63"/>
    </row>
    <row r="155" spans="1:27">
      <c r="A155" s="488"/>
      <c r="B155" s="489" t="s">
        <v>519</v>
      </c>
      <c r="C155" s="55" t="s">
        <v>3076</v>
      </c>
      <c r="D155" s="55" t="s">
        <v>3077</v>
      </c>
      <c r="E155" s="490" t="s">
        <v>2597</v>
      </c>
      <c r="F155" s="490"/>
      <c r="G155" s="490" t="s">
        <v>2598</v>
      </c>
      <c r="H155" s="490" t="s">
        <v>2599</v>
      </c>
      <c r="I155" s="490" t="s">
        <v>791</v>
      </c>
      <c r="J155" s="490"/>
      <c r="K155" s="490"/>
      <c r="L155" s="490" t="s">
        <v>29</v>
      </c>
      <c r="M155" s="490"/>
      <c r="N155" s="490" t="s">
        <v>30</v>
      </c>
      <c r="O155" s="490"/>
      <c r="P155" s="490" t="s">
        <v>31</v>
      </c>
      <c r="Q155" s="490" t="s">
        <v>32</v>
      </c>
      <c r="R155" s="504" t="s">
        <v>33</v>
      </c>
      <c r="S155" s="504"/>
      <c r="T155" s="504"/>
      <c r="U155" s="490" t="s">
        <v>34</v>
      </c>
      <c r="V155" s="490" t="s">
        <v>40</v>
      </c>
      <c r="W155" s="491" t="s">
        <v>41</v>
      </c>
      <c r="X155" s="488"/>
      <c r="Y155" s="488" t="s">
        <v>170</v>
      </c>
      <c r="Z155" s="522" t="s">
        <v>3199</v>
      </c>
      <c r="AA155" s="64" t="s">
        <v>121</v>
      </c>
    </row>
    <row r="156" spans="1:27">
      <c r="A156" s="488"/>
      <c r="B156" s="489"/>
      <c r="C156" s="490" t="s">
        <v>312</v>
      </c>
      <c r="D156" s="490" t="s">
        <v>312</v>
      </c>
      <c r="E156" s="490" t="s">
        <v>312</v>
      </c>
      <c r="F156" s="490"/>
      <c r="G156" s="490" t="s">
        <v>312</v>
      </c>
      <c r="H156" s="491" t="s">
        <v>312</v>
      </c>
      <c r="I156" s="490" t="s">
        <v>312</v>
      </c>
      <c r="J156" s="490"/>
      <c r="K156" s="490"/>
      <c r="L156" s="490" t="s">
        <v>312</v>
      </c>
      <c r="M156" s="490"/>
      <c r="N156" s="491" t="s">
        <v>312</v>
      </c>
      <c r="O156" s="491"/>
      <c r="P156" s="491" t="s">
        <v>312</v>
      </c>
      <c r="Q156" s="491" t="s">
        <v>312</v>
      </c>
      <c r="R156" s="491" t="s">
        <v>312</v>
      </c>
      <c r="S156" s="491"/>
      <c r="T156" s="491"/>
      <c r="U156" s="491" t="s">
        <v>312</v>
      </c>
      <c r="V156" s="490" t="s">
        <v>312</v>
      </c>
      <c r="W156" s="24" t="s">
        <v>312</v>
      </c>
      <c r="X156" s="18"/>
      <c r="Y156" s="18" t="s">
        <v>312</v>
      </c>
      <c r="Z156" s="523" t="s">
        <v>312</v>
      </c>
      <c r="AA156" s="524" t="s">
        <v>312</v>
      </c>
    </row>
    <row r="157" spans="1:27" ht="18">
      <c r="A157" s="492" t="s">
        <v>687</v>
      </c>
      <c r="B157" s="493"/>
      <c r="C157" s="493"/>
      <c r="D157" s="493"/>
      <c r="E157" s="24"/>
      <c r="F157" s="24"/>
      <c r="G157" s="24"/>
      <c r="H157" s="24"/>
      <c r="I157" s="18"/>
      <c r="J157" s="18"/>
      <c r="K157" s="18"/>
      <c r="L157" s="507"/>
      <c r="M157" s="507"/>
      <c r="N157" s="507"/>
      <c r="O157" s="18"/>
      <c r="P157" s="18"/>
      <c r="Q157" s="507"/>
      <c r="R157" s="513"/>
      <c r="S157" s="514"/>
      <c r="T157" s="514"/>
      <c r="U157" s="102"/>
      <c r="V157" s="507"/>
      <c r="W157" s="63"/>
      <c r="X157" s="63"/>
      <c r="Y157" s="63"/>
      <c r="AA157" s="525"/>
    </row>
    <row r="158" spans="1:27">
      <c r="A158" s="494" t="s">
        <v>692</v>
      </c>
      <c r="B158" s="493" t="s">
        <v>634</v>
      </c>
      <c r="C158" s="493">
        <v>52</v>
      </c>
      <c r="D158" s="493">
        <v>52.64</v>
      </c>
      <c r="E158" s="25">
        <v>51.9</v>
      </c>
      <c r="F158" s="25"/>
      <c r="G158" s="495">
        <v>52.52</v>
      </c>
      <c r="H158" s="495">
        <v>50.89</v>
      </c>
      <c r="I158" s="20">
        <v>51.67</v>
      </c>
      <c r="J158" s="20"/>
      <c r="K158" s="20"/>
      <c r="L158" s="495">
        <v>50.56</v>
      </c>
      <c r="M158" s="495"/>
      <c r="N158" s="495">
        <v>50.9</v>
      </c>
      <c r="O158" s="20"/>
      <c r="P158" s="20">
        <v>51.57</v>
      </c>
      <c r="Q158" s="495">
        <v>53.29</v>
      </c>
      <c r="R158" s="495">
        <v>52.4</v>
      </c>
      <c r="S158" s="515"/>
      <c r="T158" s="515"/>
      <c r="U158" s="515">
        <v>53.64</v>
      </c>
      <c r="V158" s="496">
        <v>53.12</v>
      </c>
      <c r="W158" s="495">
        <v>52.38</v>
      </c>
      <c r="X158" s="495"/>
      <c r="Y158" s="495">
        <v>52.57</v>
      </c>
      <c r="Z158" s="515">
        <v>53.38</v>
      </c>
      <c r="AA158" s="526">
        <v>52.1</v>
      </c>
    </row>
    <row r="159" spans="1:27">
      <c r="A159" s="494" t="s">
        <v>3072</v>
      </c>
      <c r="B159" s="493" t="s">
        <v>520</v>
      </c>
      <c r="C159" s="493">
        <v>713.16</v>
      </c>
      <c r="D159" s="493">
        <v>725.23</v>
      </c>
      <c r="E159" s="24">
        <v>745.67</v>
      </c>
      <c r="F159" s="24"/>
      <c r="G159" s="496">
        <v>739.77</v>
      </c>
      <c r="H159" s="496">
        <v>777.56</v>
      </c>
      <c r="I159" s="18">
        <v>733.83</v>
      </c>
      <c r="J159" s="18"/>
      <c r="K159" s="18"/>
      <c r="L159" s="496">
        <v>766.83</v>
      </c>
      <c r="M159" s="496"/>
      <c r="N159" s="496">
        <v>771.7</v>
      </c>
      <c r="O159" s="18"/>
      <c r="P159" s="18">
        <v>730.56</v>
      </c>
      <c r="Q159" s="496">
        <v>719.14</v>
      </c>
      <c r="R159" s="516">
        <v>668.2</v>
      </c>
      <c r="S159" s="517"/>
      <c r="T159" s="517"/>
      <c r="U159" s="517">
        <v>707.14</v>
      </c>
      <c r="V159" s="516">
        <v>696.77</v>
      </c>
      <c r="W159" s="516">
        <v>704.65</v>
      </c>
      <c r="X159" s="516"/>
      <c r="Y159" s="516">
        <v>657.78</v>
      </c>
      <c r="Z159" s="517">
        <v>671</v>
      </c>
      <c r="AA159" s="527">
        <v>645</v>
      </c>
    </row>
    <row r="160" spans="1:27">
      <c r="A160" s="494" t="s">
        <v>3073</v>
      </c>
      <c r="B160" s="493" t="s">
        <v>698</v>
      </c>
      <c r="C160" s="493">
        <v>6.61</v>
      </c>
      <c r="D160" s="493">
        <v>6.9</v>
      </c>
      <c r="E160" s="24">
        <v>6.97</v>
      </c>
      <c r="F160" s="24"/>
      <c r="G160" s="496">
        <v>6.98</v>
      </c>
      <c r="H160" s="496">
        <v>6.85</v>
      </c>
      <c r="I160" s="18">
        <v>6.08</v>
      </c>
      <c r="J160" s="18"/>
      <c r="K160" s="18"/>
      <c r="L160" s="496">
        <v>6.02</v>
      </c>
      <c r="M160" s="496"/>
      <c r="N160" s="496">
        <v>6.24</v>
      </c>
      <c r="O160" s="18"/>
      <c r="P160" s="18">
        <v>5.98</v>
      </c>
      <c r="Q160" s="496">
        <v>5.95</v>
      </c>
      <c r="R160" s="516">
        <v>5.92</v>
      </c>
      <c r="S160" s="517"/>
      <c r="T160" s="517"/>
      <c r="U160" s="517">
        <v>5.67</v>
      </c>
      <c r="V160" s="516">
        <v>5.59</v>
      </c>
      <c r="W160" s="516">
        <v>5.55</v>
      </c>
      <c r="X160" s="516"/>
      <c r="Y160" s="516">
        <v>5.49</v>
      </c>
      <c r="Z160" s="517">
        <v>5.53</v>
      </c>
      <c r="AA160" s="527">
        <v>5.03</v>
      </c>
    </row>
    <row r="161" spans="1:27">
      <c r="A161" s="494" t="s">
        <v>3074</v>
      </c>
      <c r="B161" s="493" t="s">
        <v>320</v>
      </c>
      <c r="C161" s="493">
        <v>94.04</v>
      </c>
      <c r="D161" s="493">
        <v>94.44</v>
      </c>
      <c r="E161" s="24">
        <v>94.05</v>
      </c>
      <c r="F161" s="24"/>
      <c r="G161" s="496">
        <v>94.43</v>
      </c>
      <c r="H161" s="496">
        <v>93.51</v>
      </c>
      <c r="I161" s="18">
        <v>94.49</v>
      </c>
      <c r="J161" s="18"/>
      <c r="K161" s="18"/>
      <c r="L161" s="496">
        <v>94.83</v>
      </c>
      <c r="M161" s="496"/>
      <c r="N161" s="496">
        <v>94.88</v>
      </c>
      <c r="O161" s="18"/>
      <c r="P161" s="18">
        <v>95.04</v>
      </c>
      <c r="Q161" s="496">
        <v>95.89</v>
      </c>
      <c r="R161" s="496">
        <v>96.09</v>
      </c>
      <c r="S161" s="17"/>
      <c r="T161" s="17"/>
      <c r="U161" s="17">
        <v>96.34</v>
      </c>
      <c r="V161" s="496">
        <v>96.64</v>
      </c>
      <c r="W161" s="496">
        <v>96.42</v>
      </c>
      <c r="X161" s="496"/>
      <c r="Y161" s="496">
        <v>96.59</v>
      </c>
      <c r="Z161" s="17">
        <v>96.52</v>
      </c>
      <c r="AA161" s="528">
        <v>96.5</v>
      </c>
    </row>
    <row r="162" spans="1:27" ht="20.25">
      <c r="A162" s="497" t="s">
        <v>988</v>
      </c>
      <c r="B162" s="493" t="s">
        <v>320</v>
      </c>
      <c r="C162" s="493">
        <v>96.47</v>
      </c>
      <c r="D162" s="493">
        <v>95.94</v>
      </c>
      <c r="E162" s="25">
        <v>96.43</v>
      </c>
      <c r="F162" s="25"/>
      <c r="G162" s="495">
        <v>96.46</v>
      </c>
      <c r="H162" s="495">
        <v>96.97</v>
      </c>
      <c r="I162" s="20">
        <v>97.2</v>
      </c>
      <c r="J162" s="20"/>
      <c r="K162" s="20"/>
      <c r="L162" s="495">
        <v>97.73</v>
      </c>
      <c r="M162" s="495"/>
      <c r="N162" s="495">
        <v>97.69</v>
      </c>
      <c r="O162" s="20"/>
      <c r="P162" s="20">
        <v>97.7</v>
      </c>
      <c r="Q162" s="495">
        <v>97.43</v>
      </c>
      <c r="R162" s="495">
        <v>96.7</v>
      </c>
      <c r="S162" s="515"/>
      <c r="T162" s="515"/>
      <c r="U162" s="515">
        <v>97.01</v>
      </c>
      <c r="V162" s="495">
        <v>96.77</v>
      </c>
      <c r="W162" s="495">
        <v>96.84</v>
      </c>
      <c r="X162" s="495"/>
      <c r="Y162" s="495">
        <v>96.65</v>
      </c>
      <c r="Z162" s="515">
        <v>96.64</v>
      </c>
      <c r="AA162" s="526">
        <v>97.15</v>
      </c>
    </row>
    <row r="163" spans="1:27" ht="20.25">
      <c r="A163" s="497" t="s">
        <v>711</v>
      </c>
      <c r="B163" s="493"/>
      <c r="C163" s="493"/>
      <c r="D163" s="493"/>
      <c r="E163" s="24"/>
      <c r="F163" s="24"/>
      <c r="G163" s="496"/>
      <c r="H163" s="496"/>
      <c r="I163" s="18"/>
      <c r="J163" s="18"/>
      <c r="K163" s="18"/>
      <c r="L163" s="496"/>
      <c r="M163" s="496"/>
      <c r="N163" s="496"/>
      <c r="O163" s="18"/>
      <c r="P163" s="18"/>
      <c r="Q163" s="496"/>
      <c r="R163" s="496"/>
      <c r="S163" s="17"/>
      <c r="T163" s="17"/>
      <c r="U163" s="518"/>
      <c r="V163" s="496"/>
      <c r="W163" s="63"/>
      <c r="X163" s="63"/>
      <c r="Y163" s="63"/>
      <c r="AA163" s="529"/>
    </row>
    <row r="164" spans="1:27">
      <c r="A164" s="494" t="s">
        <v>3075</v>
      </c>
      <c r="B164" s="493" t="s">
        <v>520</v>
      </c>
      <c r="C164" s="493">
        <v>116.63</v>
      </c>
      <c r="D164" s="493">
        <v>120.71</v>
      </c>
      <c r="E164" s="25">
        <v>110.37</v>
      </c>
      <c r="F164" s="25"/>
      <c r="G164" s="25">
        <v>112.85</v>
      </c>
      <c r="H164" s="25">
        <v>109.49</v>
      </c>
      <c r="I164" s="20">
        <v>92.8</v>
      </c>
      <c r="J164" s="20"/>
      <c r="K164" s="20"/>
      <c r="L164" s="495">
        <v>104.24</v>
      </c>
      <c r="M164" s="495"/>
      <c r="N164" s="495">
        <v>95.79</v>
      </c>
      <c r="O164" s="20"/>
      <c r="P164" s="20">
        <v>93.12</v>
      </c>
      <c r="Q164" s="495">
        <v>97.49</v>
      </c>
      <c r="R164" s="495">
        <v>104.95</v>
      </c>
      <c r="S164" s="515"/>
      <c r="T164" s="515"/>
      <c r="U164" s="515">
        <v>102.62</v>
      </c>
      <c r="V164" s="495">
        <v>108.6</v>
      </c>
      <c r="W164" s="495">
        <v>116.54</v>
      </c>
      <c r="X164" s="495"/>
      <c r="Y164" s="495">
        <v>104.34</v>
      </c>
      <c r="Z164" s="515">
        <v>104.48</v>
      </c>
      <c r="AA164" s="526">
        <v>131.16999999999999</v>
      </c>
    </row>
    <row r="165" spans="1:27">
      <c r="A165" s="498" t="s">
        <v>702</v>
      </c>
      <c r="B165" s="499" t="s">
        <v>320</v>
      </c>
      <c r="C165" s="499">
        <v>87.24</v>
      </c>
      <c r="D165" s="500">
        <v>87.8</v>
      </c>
      <c r="E165" s="501">
        <v>88.3</v>
      </c>
      <c r="F165" s="501"/>
      <c r="G165" s="502">
        <v>87.81</v>
      </c>
      <c r="H165" s="502">
        <v>87.76</v>
      </c>
      <c r="I165" s="505">
        <v>88.04</v>
      </c>
      <c r="J165" s="505"/>
      <c r="K165" s="505"/>
      <c r="L165" s="502">
        <v>87.9</v>
      </c>
      <c r="M165" s="502"/>
      <c r="N165" s="502">
        <v>88.26</v>
      </c>
      <c r="O165" s="505"/>
      <c r="P165" s="505">
        <v>87.94</v>
      </c>
      <c r="Q165" s="502">
        <v>87.79</v>
      </c>
      <c r="R165" s="502">
        <v>87.63</v>
      </c>
      <c r="S165" s="519"/>
      <c r="T165" s="519"/>
      <c r="U165" s="519">
        <v>87.51</v>
      </c>
      <c r="V165" s="502">
        <v>87.75</v>
      </c>
      <c r="W165" s="502">
        <v>88.57</v>
      </c>
      <c r="X165" s="502"/>
      <c r="Y165" s="502">
        <v>89.64</v>
      </c>
      <c r="Z165" s="519">
        <v>89.16</v>
      </c>
      <c r="AA165" s="530">
        <v>89.76</v>
      </c>
    </row>
    <row r="166" spans="1:27">
      <c r="A166" s="31"/>
      <c r="AA166" s="63"/>
    </row>
    <row r="167" spans="1:27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71" spans="1:27" ht="18">
      <c r="B171" s="2979"/>
      <c r="C171" s="2971"/>
      <c r="D171" s="2945"/>
      <c r="E171" s="2945"/>
      <c r="F171" s="2945"/>
      <c r="G171" s="2945"/>
      <c r="H171" s="2945"/>
      <c r="I171" s="2945"/>
      <c r="J171" s="2945"/>
      <c r="K171" s="2945"/>
      <c r="L171" s="2945"/>
      <c r="M171" s="2945"/>
      <c r="N171" s="2945"/>
      <c r="O171" s="2945"/>
      <c r="P171" s="2945"/>
      <c r="Q171" s="2945"/>
      <c r="R171" s="511"/>
      <c r="S171" s="267"/>
      <c r="T171" s="267"/>
      <c r="U171" s="267"/>
      <c r="V171" s="354"/>
    </row>
    <row r="172" spans="1:27">
      <c r="B172" s="488"/>
      <c r="C172" s="503"/>
      <c r="D172" s="504"/>
      <c r="E172" s="490"/>
      <c r="F172" s="490"/>
      <c r="G172" s="490"/>
      <c r="H172" s="490"/>
      <c r="I172" s="490"/>
      <c r="J172" s="490"/>
      <c r="K172" s="490"/>
      <c r="L172" s="490"/>
      <c r="M172" s="490"/>
      <c r="N172" s="490"/>
      <c r="O172" s="490"/>
      <c r="P172" s="490"/>
    </row>
    <row r="173" spans="1:27">
      <c r="B173" s="488"/>
      <c r="C173" s="503"/>
      <c r="D173" s="491"/>
      <c r="E173" s="491"/>
      <c r="F173" s="490"/>
      <c r="G173" s="490"/>
      <c r="H173" s="490"/>
      <c r="I173" s="490"/>
      <c r="J173" s="490"/>
      <c r="K173" s="490"/>
      <c r="L173" s="491"/>
      <c r="M173" s="491"/>
      <c r="N173" s="491"/>
      <c r="O173" s="491"/>
      <c r="P173" s="491"/>
    </row>
    <row r="174" spans="1:27" ht="18">
      <c r="B174" s="492"/>
      <c r="C174" s="493"/>
      <c r="D174" s="24"/>
      <c r="E174" s="24"/>
      <c r="F174" s="24"/>
      <c r="G174" s="24"/>
      <c r="H174" s="18"/>
      <c r="I174" s="507"/>
      <c r="J174" s="507"/>
      <c r="K174" s="507"/>
      <c r="L174" s="507"/>
      <c r="M174" s="18"/>
      <c r="N174" s="18"/>
      <c r="O174" s="18"/>
      <c r="P174" s="507"/>
      <c r="Q174" s="513"/>
      <c r="R174" s="102"/>
      <c r="S174" s="102"/>
      <c r="T174" s="102"/>
      <c r="U174" s="102"/>
      <c r="V174" s="507"/>
    </row>
    <row r="175" spans="1:27">
      <c r="B175" s="494"/>
      <c r="C175" s="493"/>
      <c r="D175" s="25"/>
      <c r="E175" s="495"/>
      <c r="F175" s="495"/>
      <c r="G175" s="495"/>
      <c r="H175" s="20"/>
      <c r="I175" s="495"/>
      <c r="J175" s="495"/>
      <c r="K175" s="495"/>
      <c r="L175" s="495"/>
      <c r="M175" s="20"/>
      <c r="N175" s="20"/>
      <c r="O175" s="20"/>
      <c r="P175" s="495"/>
      <c r="Q175" s="495"/>
      <c r="R175" s="515"/>
      <c r="S175" s="515"/>
      <c r="T175" s="515"/>
      <c r="U175" s="515"/>
      <c r="V175" s="496"/>
    </row>
    <row r="176" spans="1:27">
      <c r="B176" s="494"/>
      <c r="C176" s="493"/>
      <c r="D176" s="24"/>
      <c r="E176" s="496"/>
      <c r="F176" s="496"/>
      <c r="G176" s="496"/>
      <c r="H176" s="18"/>
      <c r="I176" s="496"/>
      <c r="J176" s="496"/>
      <c r="K176" s="496"/>
      <c r="L176" s="496"/>
      <c r="M176" s="18"/>
      <c r="N176" s="18"/>
      <c r="O176" s="18"/>
      <c r="P176" s="496"/>
      <c r="Q176" s="516"/>
      <c r="R176" s="517"/>
      <c r="S176" s="517"/>
      <c r="T176" s="517"/>
      <c r="U176" s="517"/>
      <c r="V176" s="516"/>
    </row>
    <row r="177" spans="1:32">
      <c r="B177" s="494"/>
      <c r="C177" s="493"/>
      <c r="D177" s="24"/>
      <c r="E177" s="496"/>
      <c r="F177" s="496"/>
      <c r="G177" s="496"/>
      <c r="H177" s="18"/>
      <c r="I177" s="496"/>
      <c r="J177" s="496"/>
      <c r="K177" s="496"/>
      <c r="L177" s="496"/>
      <c r="M177" s="18"/>
      <c r="N177" s="18"/>
      <c r="O177" s="18"/>
      <c r="P177" s="496"/>
      <c r="Q177" s="516"/>
      <c r="R177" s="517"/>
      <c r="S177" s="517"/>
      <c r="T177" s="517"/>
      <c r="U177" s="517"/>
      <c r="V177" s="516"/>
    </row>
    <row r="178" spans="1:32">
      <c r="B178" s="494"/>
      <c r="C178" s="493"/>
      <c r="D178" s="24"/>
      <c r="E178" s="496"/>
      <c r="F178" s="496"/>
      <c r="G178" s="496"/>
      <c r="H178" s="18"/>
      <c r="I178" s="496"/>
      <c r="J178" s="496"/>
      <c r="K178" s="496"/>
      <c r="L178" s="496"/>
      <c r="M178" s="18"/>
      <c r="N178" s="18"/>
      <c r="O178" s="18"/>
      <c r="P178" s="496"/>
      <c r="Q178" s="496"/>
      <c r="R178" s="17"/>
      <c r="S178" s="17"/>
      <c r="T178" s="17"/>
      <c r="U178" s="17"/>
      <c r="V178" s="496"/>
    </row>
    <row r="179" spans="1:32" ht="20.25">
      <c r="B179" s="497"/>
      <c r="C179" s="493"/>
      <c r="D179" s="25"/>
      <c r="E179" s="495"/>
      <c r="F179" s="495"/>
      <c r="G179" s="495"/>
      <c r="H179" s="20"/>
      <c r="I179" s="495"/>
      <c r="J179" s="495"/>
      <c r="K179" s="495"/>
      <c r="L179" s="495"/>
      <c r="M179" s="20"/>
      <c r="N179" s="20"/>
      <c r="O179" s="20"/>
      <c r="P179" s="495"/>
      <c r="Q179" s="495"/>
      <c r="R179" s="515"/>
      <c r="S179" s="515"/>
      <c r="T179" s="515"/>
      <c r="U179" s="515"/>
      <c r="V179" s="495"/>
    </row>
    <row r="180" spans="1:32" ht="20.25">
      <c r="B180" s="497"/>
      <c r="C180" s="493"/>
      <c r="D180" s="24"/>
      <c r="E180" s="496"/>
      <c r="F180" s="496"/>
      <c r="G180" s="496"/>
      <c r="H180" s="18"/>
      <c r="I180" s="496"/>
      <c r="J180" s="496"/>
      <c r="K180" s="496"/>
      <c r="L180" s="496"/>
      <c r="M180" s="18"/>
      <c r="N180" s="18"/>
      <c r="O180" s="18"/>
      <c r="P180" s="496"/>
      <c r="Q180" s="496"/>
      <c r="R180" s="518"/>
      <c r="S180" s="518"/>
      <c r="T180" s="518"/>
      <c r="U180" s="518"/>
      <c r="V180" s="496"/>
    </row>
    <row r="181" spans="1:32">
      <c r="B181" s="494"/>
      <c r="C181" s="493"/>
      <c r="D181" s="25"/>
      <c r="E181" s="25"/>
      <c r="F181" s="25"/>
      <c r="G181" s="25"/>
      <c r="H181" s="20"/>
      <c r="I181" s="495"/>
      <c r="J181" s="495"/>
      <c r="K181" s="495"/>
      <c r="L181" s="495"/>
      <c r="M181" s="20"/>
      <c r="N181" s="20"/>
      <c r="O181" s="20"/>
      <c r="P181" s="495"/>
      <c r="Q181" s="495"/>
      <c r="R181" s="515"/>
      <c r="S181" s="515"/>
      <c r="T181" s="515"/>
      <c r="U181" s="515"/>
      <c r="V181" s="495"/>
    </row>
    <row r="182" spans="1:32">
      <c r="B182" s="498" t="s">
        <v>702</v>
      </c>
      <c r="C182" s="499" t="s">
        <v>320</v>
      </c>
      <c r="D182" s="501">
        <v>88.3</v>
      </c>
      <c r="E182" s="502">
        <v>87.81</v>
      </c>
      <c r="F182" s="502"/>
      <c r="G182" s="502">
        <v>87.76</v>
      </c>
      <c r="H182" s="505"/>
      <c r="I182" s="502"/>
      <c r="J182" s="502"/>
      <c r="K182" s="502"/>
      <c r="L182" s="502"/>
      <c r="M182" s="505"/>
      <c r="N182" s="505"/>
      <c r="O182" s="505"/>
      <c r="P182" s="502"/>
      <c r="Q182" s="502"/>
      <c r="R182" s="519"/>
      <c r="S182" s="519"/>
      <c r="T182" s="519"/>
      <c r="U182" s="519"/>
      <c r="V182" s="502"/>
    </row>
    <row r="183" spans="1:32"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</row>
    <row r="184" spans="1:32" ht="12.75" customHeight="1">
      <c r="A184" s="41" t="s">
        <v>704</v>
      </c>
      <c r="B184" s="2913" t="s">
        <v>3200</v>
      </c>
      <c r="C184" s="2913"/>
      <c r="D184" s="2913"/>
      <c r="E184" s="2913"/>
      <c r="F184" s="2913"/>
      <c r="G184" s="2913"/>
      <c r="H184" s="2913"/>
      <c r="I184" s="2913"/>
      <c r="J184" s="2913"/>
      <c r="K184" s="2913"/>
      <c r="L184" s="2913"/>
      <c r="M184" s="18"/>
    </row>
    <row r="185" spans="1:32">
      <c r="A185" s="13"/>
      <c r="B185" s="2913" t="s">
        <v>33</v>
      </c>
      <c r="C185" s="2913"/>
      <c r="D185" s="2913" t="s">
        <v>34</v>
      </c>
      <c r="E185" s="2913"/>
      <c r="F185" s="41"/>
      <c r="G185" s="2913" t="s">
        <v>40</v>
      </c>
      <c r="H185" s="2913"/>
      <c r="I185" s="2913" t="s">
        <v>41</v>
      </c>
      <c r="J185" s="2913"/>
      <c r="K185" s="2913"/>
      <c r="L185" s="2913"/>
      <c r="M185" s="18"/>
    </row>
    <row r="186" spans="1:32">
      <c r="A186" s="13"/>
      <c r="B186" s="41" t="s">
        <v>3201</v>
      </c>
      <c r="C186" s="41" t="s">
        <v>292</v>
      </c>
      <c r="D186" s="41" t="s">
        <v>3201</v>
      </c>
      <c r="E186" s="41" t="s">
        <v>292</v>
      </c>
      <c r="F186" s="41"/>
      <c r="G186" s="41" t="s">
        <v>3201</v>
      </c>
      <c r="H186" s="41" t="s">
        <v>292</v>
      </c>
      <c r="I186" s="41" t="s">
        <v>3201</v>
      </c>
      <c r="J186" s="41"/>
      <c r="K186" s="41"/>
      <c r="L186" s="41" t="s">
        <v>292</v>
      </c>
      <c r="M186" s="18"/>
    </row>
    <row r="187" spans="1:32">
      <c r="A187" s="140" t="s">
        <v>3202</v>
      </c>
      <c r="B187" s="55">
        <v>27252</v>
      </c>
      <c r="C187" s="55">
        <v>28994</v>
      </c>
      <c r="D187" s="55">
        <v>29835</v>
      </c>
      <c r="E187" s="55">
        <v>23694</v>
      </c>
      <c r="F187" s="55"/>
      <c r="G187" s="55">
        <v>23784</v>
      </c>
      <c r="H187" s="55">
        <v>23308</v>
      </c>
      <c r="I187" s="55">
        <v>10128</v>
      </c>
      <c r="J187" s="55"/>
      <c r="K187" s="55"/>
      <c r="L187" s="55">
        <v>13103</v>
      </c>
      <c r="M187" s="472"/>
    </row>
    <row r="188" spans="1:32">
      <c r="A188" s="140" t="s">
        <v>3203</v>
      </c>
      <c r="B188" s="55">
        <v>2594</v>
      </c>
      <c r="C188" s="55">
        <v>2832</v>
      </c>
      <c r="D188" s="55">
        <v>5037</v>
      </c>
      <c r="E188" s="55">
        <v>4749</v>
      </c>
      <c r="F188" s="55"/>
      <c r="G188" s="55">
        <v>3846</v>
      </c>
      <c r="H188" s="55">
        <v>3144</v>
      </c>
      <c r="I188" s="55">
        <v>1373</v>
      </c>
      <c r="J188" s="55"/>
      <c r="K188" s="55"/>
      <c r="L188" s="55">
        <v>1533</v>
      </c>
      <c r="M188" s="472"/>
    </row>
    <row r="189" spans="1:32">
      <c r="A189" s="314" t="s">
        <v>3204</v>
      </c>
      <c r="B189" s="55">
        <f>SUM(B187:B188)</f>
        <v>29846</v>
      </c>
      <c r="C189" s="55">
        <f t="shared" ref="C189:L189" si="12">SUM(C187:C188)</f>
        <v>31826</v>
      </c>
      <c r="D189" s="55">
        <f t="shared" si="12"/>
        <v>34872</v>
      </c>
      <c r="E189" s="55">
        <f t="shared" si="12"/>
        <v>28443</v>
      </c>
      <c r="F189" s="55"/>
      <c r="G189" s="55">
        <f t="shared" si="12"/>
        <v>27630</v>
      </c>
      <c r="H189" s="55">
        <f t="shared" si="12"/>
        <v>26452</v>
      </c>
      <c r="I189" s="55">
        <f t="shared" si="12"/>
        <v>11501</v>
      </c>
      <c r="J189" s="55"/>
      <c r="K189" s="55"/>
      <c r="L189" s="55">
        <f t="shared" si="12"/>
        <v>14636</v>
      </c>
      <c r="M189" s="472"/>
    </row>
    <row r="191" spans="1:32">
      <c r="A191" s="41" t="s">
        <v>704</v>
      </c>
      <c r="B191" s="2913" t="s">
        <v>3200</v>
      </c>
      <c r="C191" s="2913"/>
      <c r="D191" s="2913"/>
      <c r="E191" s="2913"/>
      <c r="F191" s="2913"/>
      <c r="G191" s="2913"/>
      <c r="H191" s="2913"/>
      <c r="I191" s="2913"/>
      <c r="J191" s="2913"/>
      <c r="K191" s="2913"/>
      <c r="L191" s="2913"/>
      <c r="M191" s="2913"/>
      <c r="N191" s="2913"/>
      <c r="O191" s="2913"/>
      <c r="P191" s="2913"/>
      <c r="Q191" s="2913"/>
      <c r="R191" s="2913"/>
      <c r="S191" s="18"/>
      <c r="T191" s="18"/>
      <c r="U191" s="18"/>
    </row>
    <row r="192" spans="1:32">
      <c r="A192" s="13"/>
      <c r="B192" s="2913" t="s">
        <v>33</v>
      </c>
      <c r="C192" s="2913"/>
      <c r="D192" s="2913"/>
      <c r="E192" s="2913" t="s">
        <v>34</v>
      </c>
      <c r="F192" s="2913"/>
      <c r="G192" s="2913"/>
      <c r="H192" s="2913"/>
      <c r="I192" s="2913" t="s">
        <v>40</v>
      </c>
      <c r="J192" s="2913"/>
      <c r="K192" s="2913"/>
      <c r="L192" s="2913"/>
      <c r="M192" s="2913"/>
      <c r="N192" s="2913"/>
      <c r="O192" s="41"/>
      <c r="P192" s="2913" t="s">
        <v>41</v>
      </c>
      <c r="Q192" s="2913"/>
      <c r="R192" s="2913"/>
      <c r="S192" s="41"/>
      <c r="T192" s="41"/>
      <c r="U192" s="2913" t="s">
        <v>170</v>
      </c>
      <c r="V192" s="2913"/>
      <c r="W192" s="2913"/>
      <c r="X192" s="41"/>
      <c r="Y192" s="2913" t="s">
        <v>171</v>
      </c>
      <c r="Z192" s="2913"/>
      <c r="AA192" s="2913"/>
      <c r="AB192" s="2913" t="s">
        <v>807</v>
      </c>
      <c r="AC192" s="2913"/>
      <c r="AD192" s="2913"/>
      <c r="AE192" s="2913"/>
      <c r="AF192" s="2913"/>
    </row>
    <row r="193" spans="1:32">
      <c r="A193" s="13"/>
      <c r="B193" s="41" t="s">
        <v>36</v>
      </c>
      <c r="C193" s="41" t="s">
        <v>3201</v>
      </c>
      <c r="D193" s="41" t="s">
        <v>292</v>
      </c>
      <c r="E193" s="41" t="s">
        <v>36</v>
      </c>
      <c r="F193" s="41"/>
      <c r="G193" s="41" t="s">
        <v>3201</v>
      </c>
      <c r="H193" s="41" t="s">
        <v>292</v>
      </c>
      <c r="I193" s="41" t="s">
        <v>36</v>
      </c>
      <c r="J193" s="41"/>
      <c r="K193" s="41"/>
      <c r="L193" s="41" t="s">
        <v>3201</v>
      </c>
      <c r="M193" s="41"/>
      <c r="N193" s="41" t="s">
        <v>292</v>
      </c>
      <c r="O193" s="41"/>
      <c r="P193" s="41" t="s">
        <v>36</v>
      </c>
      <c r="Q193" s="41" t="s">
        <v>3201</v>
      </c>
      <c r="R193" s="41" t="s">
        <v>292</v>
      </c>
      <c r="S193" s="41"/>
      <c r="T193" s="41"/>
      <c r="U193" s="41" t="s">
        <v>36</v>
      </c>
      <c r="V193" s="41" t="s">
        <v>3201</v>
      </c>
      <c r="W193" s="41" t="s">
        <v>292</v>
      </c>
      <c r="X193" s="41"/>
      <c r="Y193" s="41" t="s">
        <v>36</v>
      </c>
      <c r="Z193" s="41" t="s">
        <v>3201</v>
      </c>
      <c r="AA193" s="41" t="s">
        <v>292</v>
      </c>
      <c r="AB193" s="41" t="s">
        <v>36</v>
      </c>
      <c r="AC193" s="41" t="s">
        <v>3201</v>
      </c>
      <c r="AD193" s="41"/>
      <c r="AE193" s="41"/>
      <c r="AF193" s="41" t="s">
        <v>292</v>
      </c>
    </row>
    <row r="194" spans="1:32">
      <c r="A194" s="140" t="s">
        <v>3202</v>
      </c>
      <c r="B194" s="55">
        <v>33915</v>
      </c>
      <c r="C194" s="55">
        <v>27252</v>
      </c>
      <c r="D194" s="55">
        <v>28994</v>
      </c>
      <c r="E194" s="55">
        <v>37280</v>
      </c>
      <c r="F194" s="55"/>
      <c r="G194" s="55">
        <v>29835</v>
      </c>
      <c r="H194" s="55">
        <v>23694</v>
      </c>
      <c r="I194" s="508">
        <v>26504.9</v>
      </c>
      <c r="J194" s="508"/>
      <c r="K194" s="508"/>
      <c r="L194" s="55">
        <v>23784</v>
      </c>
      <c r="M194" s="55"/>
      <c r="N194" s="55">
        <v>23308</v>
      </c>
      <c r="O194" s="55"/>
      <c r="P194" s="89">
        <v>16810.45</v>
      </c>
      <c r="Q194" s="508">
        <v>12861.195</v>
      </c>
      <c r="R194" s="508">
        <v>19974.05</v>
      </c>
      <c r="S194" s="508"/>
      <c r="T194" s="508"/>
      <c r="U194" s="89">
        <v>33350.65</v>
      </c>
      <c r="V194" s="508">
        <v>26044.9</v>
      </c>
      <c r="W194" s="508">
        <v>24922.86</v>
      </c>
      <c r="X194" s="508"/>
      <c r="Y194" s="89">
        <v>52703.95</v>
      </c>
      <c r="Z194" s="508">
        <v>47555.19</v>
      </c>
      <c r="AA194" s="508">
        <v>38082.887999999999</v>
      </c>
      <c r="AB194" s="89">
        <v>16430.7</v>
      </c>
      <c r="AC194" s="508">
        <v>13143.8</v>
      </c>
      <c r="AD194" s="508"/>
      <c r="AE194" s="508"/>
      <c r="AF194" s="508">
        <v>17520.349999999999</v>
      </c>
    </row>
    <row r="195" spans="1:32">
      <c r="A195" s="140" t="s">
        <v>3203</v>
      </c>
      <c r="B195" s="55">
        <v>4349</v>
      </c>
      <c r="C195" s="55">
        <v>2594</v>
      </c>
      <c r="D195" s="55">
        <v>2832</v>
      </c>
      <c r="E195" s="55">
        <v>7508</v>
      </c>
      <c r="F195" s="55"/>
      <c r="G195" s="55">
        <v>5037</v>
      </c>
      <c r="H195" s="55">
        <v>4749</v>
      </c>
      <c r="I195" s="508">
        <v>5446.9</v>
      </c>
      <c r="J195" s="508"/>
      <c r="K195" s="508"/>
      <c r="L195" s="55">
        <v>3846</v>
      </c>
      <c r="M195" s="55"/>
      <c r="N195" s="55">
        <v>3144</v>
      </c>
      <c r="O195" s="55"/>
      <c r="P195" s="89">
        <v>1692.5</v>
      </c>
      <c r="Q195" s="508">
        <v>1587.19</v>
      </c>
      <c r="R195" s="508">
        <v>2179.79</v>
      </c>
      <c r="S195" s="508"/>
      <c r="T195" s="508"/>
      <c r="U195" s="89">
        <v>7307.35</v>
      </c>
      <c r="V195" s="508">
        <v>5212.84</v>
      </c>
      <c r="W195" s="508">
        <v>5591.84</v>
      </c>
      <c r="X195" s="508"/>
      <c r="Y195" s="89">
        <v>6756.85</v>
      </c>
      <c r="Z195" s="508">
        <v>4590.91</v>
      </c>
      <c r="AA195" s="508">
        <v>4802.1400000000003</v>
      </c>
      <c r="AB195" s="89">
        <v>265.89999999999998</v>
      </c>
      <c r="AC195" s="508">
        <v>225.85</v>
      </c>
      <c r="AD195" s="508"/>
      <c r="AE195" s="508"/>
      <c r="AF195" s="508">
        <v>227.71</v>
      </c>
    </row>
    <row r="196" spans="1:32">
      <c r="A196" s="314" t="s">
        <v>3204</v>
      </c>
      <c r="B196" s="55">
        <f t="shared" ref="B196:R196" si="13">SUM(B194:B195)</f>
        <v>38264</v>
      </c>
      <c r="C196" s="55">
        <f t="shared" si="13"/>
        <v>29846</v>
      </c>
      <c r="D196" s="55">
        <f t="shared" si="13"/>
        <v>31826</v>
      </c>
      <c r="E196" s="55">
        <f t="shared" si="13"/>
        <v>44788</v>
      </c>
      <c r="F196" s="55"/>
      <c r="G196" s="55">
        <f t="shared" si="13"/>
        <v>34872</v>
      </c>
      <c r="H196" s="55">
        <f t="shared" si="13"/>
        <v>28443</v>
      </c>
      <c r="I196" s="508">
        <f t="shared" si="13"/>
        <v>31951.800000000003</v>
      </c>
      <c r="J196" s="508"/>
      <c r="K196" s="508"/>
      <c r="L196" s="55">
        <f t="shared" si="13"/>
        <v>27630</v>
      </c>
      <c r="M196" s="55"/>
      <c r="N196" s="55">
        <f t="shared" si="13"/>
        <v>26452</v>
      </c>
      <c r="O196" s="55"/>
      <c r="P196" s="508">
        <f t="shared" si="13"/>
        <v>18502.95</v>
      </c>
      <c r="Q196" s="508">
        <f t="shared" si="13"/>
        <v>14448.385</v>
      </c>
      <c r="R196" s="508">
        <f t="shared" si="13"/>
        <v>22153.84</v>
      </c>
      <c r="S196" s="508"/>
      <c r="T196" s="508"/>
      <c r="U196" s="508">
        <f t="shared" ref="U196:AF196" si="14">SUM(U194:U195)</f>
        <v>40658</v>
      </c>
      <c r="V196" s="508">
        <f t="shared" si="14"/>
        <v>31257.74</v>
      </c>
      <c r="W196" s="508">
        <f t="shared" si="14"/>
        <v>30514.7</v>
      </c>
      <c r="X196" s="508"/>
      <c r="Y196" s="508">
        <f t="shared" si="14"/>
        <v>59460.799999999996</v>
      </c>
      <c r="Z196" s="508">
        <f t="shared" si="14"/>
        <v>52146.100000000006</v>
      </c>
      <c r="AA196" s="508">
        <f t="shared" si="14"/>
        <v>42885.027999999998</v>
      </c>
      <c r="AB196" s="508">
        <f t="shared" si="14"/>
        <v>16696.600000000002</v>
      </c>
      <c r="AC196" s="508">
        <f t="shared" si="14"/>
        <v>13369.65</v>
      </c>
      <c r="AD196" s="508"/>
      <c r="AE196" s="508"/>
      <c r="AF196" s="508">
        <f t="shared" si="14"/>
        <v>17748.059999999998</v>
      </c>
    </row>
    <row r="199" spans="1:32" ht="20.25">
      <c r="A199" s="3073" t="s">
        <v>3205</v>
      </c>
      <c r="B199" s="3073"/>
      <c r="C199" s="3073"/>
      <c r="D199" s="3073"/>
      <c r="E199" s="3073"/>
      <c r="F199" s="3073"/>
      <c r="G199" s="3073"/>
      <c r="H199" s="3073"/>
      <c r="I199" s="3073"/>
      <c r="J199" s="3073"/>
      <c r="K199" s="3073"/>
      <c r="L199" s="3073"/>
      <c r="M199" s="3073"/>
      <c r="N199" s="3073"/>
      <c r="O199" s="3073"/>
      <c r="P199" s="3073"/>
      <c r="Q199" s="3073"/>
      <c r="R199" s="3073"/>
      <c r="S199" s="337"/>
      <c r="T199" s="337"/>
      <c r="W199" t="s">
        <v>2581</v>
      </c>
    </row>
    <row r="200" spans="1:32">
      <c r="A200" s="84"/>
      <c r="B200" s="41" t="s">
        <v>2260</v>
      </c>
      <c r="C200" s="41"/>
      <c r="D200" s="41" t="s">
        <v>723</v>
      </c>
      <c r="E200" s="55" t="s">
        <v>2147</v>
      </c>
      <c r="F200" s="55"/>
      <c r="G200" s="41" t="s">
        <v>1993</v>
      </c>
      <c r="H200" s="41" t="s">
        <v>726</v>
      </c>
      <c r="I200" s="41" t="s">
        <v>1994</v>
      </c>
      <c r="J200" s="41"/>
      <c r="K200" s="41"/>
      <c r="L200" s="41" t="s">
        <v>729</v>
      </c>
      <c r="M200" s="41"/>
      <c r="N200" s="41" t="s">
        <v>730</v>
      </c>
      <c r="O200" s="41"/>
      <c r="P200" s="41" t="s">
        <v>731</v>
      </c>
      <c r="Q200" s="41" t="s">
        <v>732</v>
      </c>
      <c r="R200" s="41" t="s">
        <v>733</v>
      </c>
      <c r="S200" s="41"/>
      <c r="T200" s="41"/>
      <c r="U200" s="41" t="s">
        <v>3206</v>
      </c>
      <c r="V200" s="41" t="s">
        <v>115</v>
      </c>
      <c r="W200" s="322" t="s">
        <v>115</v>
      </c>
      <c r="X200" s="18"/>
    </row>
    <row r="201" spans="1:32" ht="15.75">
      <c r="A201" s="353" t="s">
        <v>351</v>
      </c>
      <c r="B201" s="87">
        <v>81.78</v>
      </c>
      <c r="C201" s="87"/>
      <c r="D201" s="87">
        <v>128.74</v>
      </c>
      <c r="E201" s="87">
        <v>453</v>
      </c>
      <c r="F201" s="87"/>
      <c r="G201" s="87">
        <v>249</v>
      </c>
      <c r="H201" s="87">
        <v>138</v>
      </c>
      <c r="I201" s="87">
        <v>431</v>
      </c>
      <c r="J201" s="87"/>
      <c r="K201" s="87"/>
      <c r="L201" s="87">
        <v>0</v>
      </c>
      <c r="M201" s="87"/>
      <c r="N201" s="87">
        <v>175</v>
      </c>
      <c r="O201" s="87"/>
      <c r="P201" s="87">
        <v>645</v>
      </c>
      <c r="Q201" s="87">
        <v>597</v>
      </c>
      <c r="R201" s="87">
        <v>512</v>
      </c>
      <c r="S201" s="87"/>
      <c r="T201" s="87"/>
      <c r="U201" s="87">
        <v>321</v>
      </c>
      <c r="V201" s="539">
        <f>SUM(B201:U201)</f>
        <v>3731.52</v>
      </c>
      <c r="W201" s="540">
        <v>4910</v>
      </c>
      <c r="X201" s="540"/>
    </row>
    <row r="202" spans="1:32">
      <c r="A202" s="84" t="s">
        <v>2140</v>
      </c>
      <c r="B202" s="87">
        <f>411.54+61.71+211.32+61.32</f>
        <v>745.89</v>
      </c>
      <c r="C202" s="87"/>
      <c r="D202" s="87">
        <f>766.28+274.32</f>
        <v>1040.5999999999999</v>
      </c>
      <c r="E202" s="87">
        <f>335.47+332.21</f>
        <v>667.68000000000006</v>
      </c>
      <c r="F202" s="87"/>
      <c r="G202" s="87">
        <v>158</v>
      </c>
      <c r="H202" s="87">
        <f>183+91</f>
        <v>274</v>
      </c>
      <c r="I202" s="87">
        <f>589+256</f>
        <v>845</v>
      </c>
      <c r="J202" s="87"/>
      <c r="K202" s="87"/>
      <c r="L202" s="87">
        <f>451+82</f>
        <v>533</v>
      </c>
      <c r="M202" s="87"/>
      <c r="N202" s="87">
        <v>320</v>
      </c>
      <c r="O202" s="87"/>
      <c r="P202" s="87">
        <v>282</v>
      </c>
      <c r="Q202" s="87">
        <v>230</v>
      </c>
      <c r="R202" s="87"/>
      <c r="S202" s="87"/>
      <c r="T202" s="87"/>
      <c r="U202" s="87">
        <f>53+72</f>
        <v>125</v>
      </c>
      <c r="V202" s="539">
        <f>SUM(B202:U202)</f>
        <v>5221.17</v>
      </c>
      <c r="W202" s="540">
        <v>1909.89</v>
      </c>
      <c r="X202" s="540"/>
    </row>
    <row r="203" spans="1:32">
      <c r="A203" s="84" t="s">
        <v>2141</v>
      </c>
      <c r="B203" s="87">
        <v>257.14999999999998</v>
      </c>
      <c r="C203" s="87"/>
      <c r="D203" s="87">
        <v>152</v>
      </c>
      <c r="E203" s="87">
        <f>3.4+155.65</f>
        <v>159.05000000000001</v>
      </c>
      <c r="F203" s="87"/>
      <c r="G203" s="87">
        <v>244</v>
      </c>
      <c r="H203" s="87">
        <v>180</v>
      </c>
      <c r="I203" s="87">
        <v>0</v>
      </c>
      <c r="J203" s="87"/>
      <c r="K203" s="87"/>
      <c r="L203" s="87"/>
      <c r="M203" s="87"/>
      <c r="N203" s="87">
        <v>89</v>
      </c>
      <c r="O203" s="87"/>
      <c r="P203" s="87"/>
      <c r="Q203" s="87">
        <v>0</v>
      </c>
      <c r="R203" s="87"/>
      <c r="S203" s="87"/>
      <c r="T203" s="87"/>
      <c r="U203" s="87"/>
      <c r="V203" s="539">
        <f>SUM(B203:U203)</f>
        <v>1081.2</v>
      </c>
      <c r="W203" s="540">
        <v>1464</v>
      </c>
      <c r="X203" s="540"/>
    </row>
    <row r="204" spans="1:32">
      <c r="A204" s="84" t="s">
        <v>2256</v>
      </c>
      <c r="B204" s="87">
        <v>0</v>
      </c>
      <c r="C204" s="87"/>
      <c r="D204" s="87"/>
      <c r="E204" s="87"/>
      <c r="F204" s="87"/>
      <c r="G204" s="87"/>
      <c r="H204" s="87">
        <v>27</v>
      </c>
      <c r="I204" s="87">
        <v>84</v>
      </c>
      <c r="J204" s="87"/>
      <c r="K204" s="87"/>
      <c r="L204" s="87"/>
      <c r="M204" s="87"/>
      <c r="N204" s="87"/>
      <c r="O204" s="87"/>
      <c r="P204" s="87"/>
      <c r="Q204" s="87">
        <v>20</v>
      </c>
      <c r="R204" s="87">
        <v>79</v>
      </c>
      <c r="S204" s="87"/>
      <c r="T204" s="87"/>
      <c r="U204" s="87">
        <v>11</v>
      </c>
      <c r="V204" s="539">
        <f>SUM(B204:U204)</f>
        <v>221</v>
      </c>
      <c r="W204" s="540">
        <v>222</v>
      </c>
      <c r="X204" s="540"/>
    </row>
    <row r="205" spans="1:32" ht="15.75">
      <c r="A205" s="353" t="s">
        <v>385</v>
      </c>
      <c r="B205" s="531">
        <f>SUM(B202:B204)</f>
        <v>1003.04</v>
      </c>
      <c r="C205" s="531"/>
      <c r="D205" s="531">
        <f t="shared" ref="D205:W205" si="15">SUM(D202:D204)</f>
        <v>1192.5999999999999</v>
      </c>
      <c r="E205" s="531">
        <f t="shared" si="15"/>
        <v>826.73</v>
      </c>
      <c r="F205" s="531"/>
      <c r="G205" s="531">
        <f t="shared" si="15"/>
        <v>402</v>
      </c>
      <c r="H205" s="531">
        <f t="shared" si="15"/>
        <v>481</v>
      </c>
      <c r="I205" s="531">
        <f t="shared" si="15"/>
        <v>929</v>
      </c>
      <c r="J205" s="531"/>
      <c r="K205" s="531"/>
      <c r="L205" s="531">
        <f t="shared" si="15"/>
        <v>533</v>
      </c>
      <c r="M205" s="531"/>
      <c r="N205" s="531">
        <f t="shared" si="15"/>
        <v>409</v>
      </c>
      <c r="O205" s="531"/>
      <c r="P205" s="531">
        <f t="shared" si="15"/>
        <v>282</v>
      </c>
      <c r="Q205" s="531">
        <f t="shared" si="15"/>
        <v>250</v>
      </c>
      <c r="R205" s="531">
        <f t="shared" si="15"/>
        <v>79</v>
      </c>
      <c r="S205" s="531"/>
      <c r="T205" s="531"/>
      <c r="U205" s="531">
        <f t="shared" si="15"/>
        <v>136</v>
      </c>
      <c r="V205" s="531">
        <f t="shared" si="15"/>
        <v>6523.37</v>
      </c>
      <c r="W205" s="484">
        <f t="shared" si="15"/>
        <v>3595.8900000000003</v>
      </c>
      <c r="X205" s="484"/>
    </row>
    <row r="206" spans="1:32" ht="15.75">
      <c r="A206" s="353" t="s">
        <v>563</v>
      </c>
      <c r="B206" s="87">
        <v>1836</v>
      </c>
      <c r="C206" s="87"/>
      <c r="D206" s="87">
        <v>1332</v>
      </c>
      <c r="E206" s="87">
        <v>1685</v>
      </c>
      <c r="F206" s="87"/>
      <c r="G206" s="87">
        <v>1530</v>
      </c>
      <c r="H206" s="87">
        <v>2535</v>
      </c>
      <c r="I206" s="87">
        <v>2541</v>
      </c>
      <c r="J206" s="87"/>
      <c r="K206" s="87"/>
      <c r="L206" s="87">
        <v>3162</v>
      </c>
      <c r="M206" s="87"/>
      <c r="N206" s="87">
        <v>3169</v>
      </c>
      <c r="O206" s="87"/>
      <c r="P206" s="87">
        <v>2848</v>
      </c>
      <c r="Q206" s="87">
        <v>3788</v>
      </c>
      <c r="R206" s="87">
        <v>2892</v>
      </c>
      <c r="S206" s="87"/>
      <c r="T206" s="87"/>
      <c r="U206" s="87">
        <v>3940</v>
      </c>
      <c r="V206" s="539">
        <f>SUM(B206:U206)</f>
        <v>31258</v>
      </c>
      <c r="W206" s="540">
        <v>30520</v>
      </c>
      <c r="X206" s="540"/>
    </row>
    <row r="207" spans="1:32" ht="15.75">
      <c r="A207" s="353" t="s">
        <v>3207</v>
      </c>
      <c r="B207" s="87">
        <v>689.96</v>
      </c>
      <c r="C207" s="87"/>
      <c r="D207" s="87">
        <v>249</v>
      </c>
      <c r="E207" s="87">
        <f>89+195</f>
        <v>284</v>
      </c>
      <c r="F207" s="87"/>
      <c r="G207" s="87">
        <v>209</v>
      </c>
      <c r="H207" s="87">
        <v>147</v>
      </c>
      <c r="I207" s="87">
        <v>92</v>
      </c>
      <c r="J207" s="87"/>
      <c r="K207" s="87"/>
      <c r="L207" s="87">
        <v>158</v>
      </c>
      <c r="M207" s="87"/>
      <c r="N207" s="87"/>
      <c r="O207" s="87"/>
      <c r="P207" s="87">
        <v>206</v>
      </c>
      <c r="Q207" s="87">
        <v>74</v>
      </c>
      <c r="R207" s="87">
        <v>8</v>
      </c>
      <c r="S207" s="87"/>
      <c r="T207" s="87"/>
      <c r="U207" s="87"/>
      <c r="V207" s="539">
        <f>SUM(B207:U207)</f>
        <v>2116.96</v>
      </c>
      <c r="W207" s="541">
        <f>1715+427</f>
        <v>2142</v>
      </c>
      <c r="X207" s="541"/>
    </row>
    <row r="208" spans="1:32">
      <c r="A208" s="84" t="s">
        <v>500</v>
      </c>
      <c r="B208" s="18">
        <v>1134</v>
      </c>
      <c r="C208" s="18"/>
      <c r="D208" s="18">
        <v>482</v>
      </c>
      <c r="E208" s="18">
        <v>1860</v>
      </c>
      <c r="F208" s="18"/>
      <c r="G208" s="87">
        <v>3713</v>
      </c>
      <c r="H208" s="87">
        <v>1460</v>
      </c>
      <c r="I208" s="87">
        <v>2121</v>
      </c>
      <c r="J208" s="87"/>
      <c r="K208" s="87"/>
      <c r="L208" s="87">
        <v>1825</v>
      </c>
      <c r="M208" s="87"/>
      <c r="N208" s="87">
        <v>1876</v>
      </c>
      <c r="O208" s="87"/>
      <c r="P208" s="87">
        <v>1540</v>
      </c>
      <c r="Q208" s="87">
        <v>174</v>
      </c>
      <c r="R208" s="87">
        <v>1550</v>
      </c>
      <c r="S208" s="87"/>
      <c r="T208" s="87"/>
      <c r="U208" s="87">
        <v>3405</v>
      </c>
      <c r="V208" s="539">
        <f>SUM(B208:U208)</f>
        <v>21140</v>
      </c>
      <c r="W208" s="540">
        <v>18477</v>
      </c>
      <c r="X208" s="540"/>
    </row>
    <row r="209" spans="1:24">
      <c r="A209" s="84" t="s">
        <v>2257</v>
      </c>
      <c r="B209" s="87">
        <f>10110-4744.78</f>
        <v>5365.22</v>
      </c>
      <c r="C209" s="87"/>
      <c r="D209" s="87">
        <v>5903.66</v>
      </c>
      <c r="E209" s="87">
        <v>4995.2700000000004</v>
      </c>
      <c r="F209" s="87"/>
      <c r="G209" s="18">
        <v>4414</v>
      </c>
      <c r="H209" s="18">
        <v>4574</v>
      </c>
      <c r="I209" s="18">
        <v>3496</v>
      </c>
      <c r="J209" s="18"/>
      <c r="K209" s="18"/>
      <c r="L209" s="18">
        <v>4672</v>
      </c>
      <c r="M209" s="18"/>
      <c r="N209" s="18">
        <f>9626-5629</f>
        <v>3997</v>
      </c>
      <c r="O209" s="18"/>
      <c r="P209" s="18">
        <v>4323</v>
      </c>
      <c r="Q209" s="18">
        <f>8269-4883</f>
        <v>3386</v>
      </c>
      <c r="R209" s="18">
        <v>3020</v>
      </c>
      <c r="S209" s="18"/>
      <c r="T209" s="18"/>
      <c r="U209" s="18">
        <f>10569-7802</f>
        <v>2767</v>
      </c>
      <c r="V209" s="542">
        <f>SUM(B209:U209)</f>
        <v>50913.15</v>
      </c>
      <c r="W209" s="541">
        <f>116119-59645</f>
        <v>56474</v>
      </c>
      <c r="X209" s="541"/>
    </row>
    <row r="210" spans="1:24" ht="18">
      <c r="A210" s="84" t="s">
        <v>23</v>
      </c>
      <c r="B210" s="398">
        <f>+B209+B208+B207+B206+B205+B201</f>
        <v>10110.000000000002</v>
      </c>
      <c r="C210" s="4"/>
      <c r="D210" s="398">
        <f t="shared" ref="D210:W210" si="16">+D209+D208+D207+D206+D205+D201</f>
        <v>9288</v>
      </c>
      <c r="E210" s="398">
        <f t="shared" si="16"/>
        <v>10104</v>
      </c>
      <c r="F210" s="398"/>
      <c r="G210" s="398">
        <f t="shared" si="16"/>
        <v>10517</v>
      </c>
      <c r="H210" s="398">
        <f t="shared" si="16"/>
        <v>9335</v>
      </c>
      <c r="I210" s="398">
        <f t="shared" si="16"/>
        <v>9610</v>
      </c>
      <c r="J210" s="398"/>
      <c r="K210" s="398"/>
      <c r="L210" s="398">
        <f t="shared" si="16"/>
        <v>10350</v>
      </c>
      <c r="M210" s="398"/>
      <c r="N210" s="398">
        <f t="shared" si="16"/>
        <v>9626</v>
      </c>
      <c r="O210" s="398"/>
      <c r="P210" s="398">
        <f t="shared" si="16"/>
        <v>9844</v>
      </c>
      <c r="Q210" s="398">
        <f t="shared" si="16"/>
        <v>8269</v>
      </c>
      <c r="R210" s="398">
        <f t="shared" si="16"/>
        <v>8061</v>
      </c>
      <c r="S210" s="398"/>
      <c r="T210" s="398"/>
      <c r="U210" s="398">
        <f t="shared" si="16"/>
        <v>10569</v>
      </c>
      <c r="V210" s="543">
        <f>SUM(B210:U210)+2</f>
        <v>115685</v>
      </c>
      <c r="W210" s="398">
        <f t="shared" si="16"/>
        <v>116118.89</v>
      </c>
      <c r="X210" s="620"/>
    </row>
    <row r="211" spans="1:24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</row>
    <row r="213" spans="1:24">
      <c r="B213" s="532"/>
      <c r="C213" s="532"/>
      <c r="D213" s="532"/>
      <c r="E213" s="532"/>
      <c r="F213" s="532"/>
      <c r="G213" s="532"/>
      <c r="H213" s="532"/>
      <c r="I213" s="532"/>
      <c r="J213" s="532"/>
      <c r="K213" s="532"/>
      <c r="L213" s="532"/>
      <c r="M213" s="532"/>
      <c r="N213" s="532"/>
      <c r="O213" s="532"/>
      <c r="P213" s="532"/>
      <c r="Q213" s="532"/>
      <c r="R213" s="532"/>
      <c r="S213" s="532"/>
      <c r="T213" s="532"/>
      <c r="V213" s="544">
        <f>SUM(B213:R213)</f>
        <v>0</v>
      </c>
    </row>
    <row r="214" spans="1:24" ht="20.25">
      <c r="A214" s="3073" t="s">
        <v>3208</v>
      </c>
      <c r="B214" s="3073"/>
      <c r="C214" s="3073"/>
      <c r="D214" s="3073"/>
      <c r="E214" s="3073"/>
      <c r="F214" s="3073"/>
      <c r="G214" s="3073"/>
      <c r="H214" s="3073"/>
      <c r="I214" s="3073"/>
      <c r="J214" s="3073"/>
      <c r="K214" s="3073"/>
      <c r="L214" s="3073"/>
      <c r="M214" s="3073"/>
      <c r="N214" s="3073"/>
      <c r="O214" s="3073"/>
      <c r="P214" s="3073"/>
      <c r="Q214" s="3073"/>
      <c r="R214" s="3073"/>
      <c r="S214" s="337"/>
      <c r="T214" s="337"/>
    </row>
    <row r="215" spans="1:24">
      <c r="A215" s="84"/>
      <c r="B215" s="41" t="s">
        <v>2260</v>
      </c>
      <c r="C215" s="41" t="s">
        <v>723</v>
      </c>
      <c r="D215" s="55" t="s">
        <v>2147</v>
      </c>
      <c r="E215" s="41" t="s">
        <v>1993</v>
      </c>
      <c r="F215" s="41"/>
      <c r="G215" s="41" t="s">
        <v>726</v>
      </c>
      <c r="H215" s="41" t="s">
        <v>1994</v>
      </c>
      <c r="I215" s="41" t="s">
        <v>729</v>
      </c>
      <c r="J215" s="41"/>
      <c r="K215" s="41"/>
      <c r="L215" s="41" t="s">
        <v>730</v>
      </c>
      <c r="M215" s="41"/>
      <c r="N215" s="41" t="s">
        <v>731</v>
      </c>
      <c r="O215" s="41"/>
      <c r="P215" s="41" t="s">
        <v>732</v>
      </c>
      <c r="Q215" s="41" t="s">
        <v>733</v>
      </c>
      <c r="R215" s="320" t="s">
        <v>3206</v>
      </c>
      <c r="S215" s="320"/>
      <c r="T215" s="320"/>
      <c r="U215" s="41" t="s">
        <v>2246</v>
      </c>
    </row>
    <row r="216" spans="1:24">
      <c r="A216" s="84" t="s">
        <v>351</v>
      </c>
      <c r="B216" s="87">
        <v>497</v>
      </c>
      <c r="C216" s="87">
        <v>334</v>
      </c>
      <c r="D216" s="87">
        <v>860</v>
      </c>
      <c r="E216" s="87">
        <v>762</v>
      </c>
      <c r="F216" s="87"/>
      <c r="G216" s="87">
        <v>772</v>
      </c>
      <c r="H216" s="87">
        <v>775</v>
      </c>
      <c r="I216" s="87">
        <v>1001</v>
      </c>
      <c r="J216" s="87"/>
      <c r="K216" s="87"/>
      <c r="L216" s="87">
        <v>681</v>
      </c>
      <c r="M216" s="87"/>
      <c r="N216" s="87">
        <v>0</v>
      </c>
      <c r="O216" s="87"/>
      <c r="P216" s="87">
        <v>988</v>
      </c>
      <c r="Q216" s="87">
        <v>912</v>
      </c>
      <c r="R216" s="87">
        <v>74</v>
      </c>
      <c r="S216" s="87"/>
      <c r="T216" s="87"/>
      <c r="U216" s="539">
        <f>SUM(B216:R216)</f>
        <v>7656</v>
      </c>
    </row>
    <row r="217" spans="1:24">
      <c r="A217" s="84" t="s">
        <v>2140</v>
      </c>
      <c r="B217" s="87">
        <v>87.44</v>
      </c>
      <c r="C217" s="87">
        <f>228+467</f>
        <v>695</v>
      </c>
      <c r="D217" s="87">
        <v>536</v>
      </c>
      <c r="E217" s="87">
        <v>537</v>
      </c>
      <c r="F217" s="87"/>
      <c r="G217" s="87">
        <v>660</v>
      </c>
      <c r="H217" s="87">
        <f>52+656</f>
        <v>708</v>
      </c>
      <c r="I217" s="87">
        <v>560</v>
      </c>
      <c r="J217" s="87"/>
      <c r="K217" s="87"/>
      <c r="L217" s="87">
        <v>860</v>
      </c>
      <c r="M217" s="87"/>
      <c r="N217" s="87">
        <v>639</v>
      </c>
      <c r="O217" s="87"/>
      <c r="P217" s="87">
        <v>0</v>
      </c>
      <c r="Q217" s="87">
        <v>0</v>
      </c>
      <c r="R217" s="87">
        <v>88</v>
      </c>
      <c r="S217" s="87"/>
      <c r="T217" s="87"/>
      <c r="U217" s="539">
        <f>SUM(B217:R217)</f>
        <v>5370.4400000000005</v>
      </c>
    </row>
    <row r="218" spans="1:24">
      <c r="A218" s="84" t="s">
        <v>2141</v>
      </c>
      <c r="B218" s="87">
        <v>0</v>
      </c>
      <c r="C218" s="87">
        <v>0</v>
      </c>
      <c r="D218" s="87">
        <v>0</v>
      </c>
      <c r="E218" s="87">
        <v>330</v>
      </c>
      <c r="F218" s="87"/>
      <c r="G218" s="87">
        <v>380</v>
      </c>
      <c r="H218" s="87">
        <v>157</v>
      </c>
      <c r="I218" s="87">
        <v>2</v>
      </c>
      <c r="J218" s="87"/>
      <c r="K218" s="87"/>
      <c r="L218" s="87">
        <v>0</v>
      </c>
      <c r="M218" s="87"/>
      <c r="N218" s="87">
        <v>0</v>
      </c>
      <c r="O218" s="87"/>
      <c r="P218" s="87">
        <v>0</v>
      </c>
      <c r="Q218" s="87">
        <v>0</v>
      </c>
      <c r="R218" s="87">
        <v>0</v>
      </c>
      <c r="S218" s="87"/>
      <c r="T218" s="87"/>
      <c r="U218" s="539">
        <f>SUM(B218:R218)</f>
        <v>869</v>
      </c>
    </row>
    <row r="219" spans="1:24">
      <c r="A219" s="84" t="s">
        <v>2256</v>
      </c>
      <c r="B219" s="87">
        <v>0</v>
      </c>
      <c r="C219" s="87">
        <v>0</v>
      </c>
      <c r="D219" s="87">
        <v>27</v>
      </c>
      <c r="E219" s="87">
        <v>0</v>
      </c>
      <c r="F219" s="87"/>
      <c r="G219" s="87">
        <v>31</v>
      </c>
      <c r="H219" s="87">
        <v>0</v>
      </c>
      <c r="I219" s="87">
        <v>31</v>
      </c>
      <c r="J219" s="87"/>
      <c r="K219" s="87"/>
      <c r="L219" s="87">
        <v>23</v>
      </c>
      <c r="M219" s="87"/>
      <c r="N219" s="87">
        <v>6</v>
      </c>
      <c r="O219" s="87"/>
      <c r="P219" s="87">
        <v>0</v>
      </c>
      <c r="Q219" s="87">
        <v>4</v>
      </c>
      <c r="R219" s="87">
        <v>0</v>
      </c>
      <c r="S219" s="87"/>
      <c r="T219" s="87"/>
      <c r="U219" s="539">
        <f>SUM(B219:R219)</f>
        <v>122</v>
      </c>
    </row>
    <row r="220" spans="1:24" ht="15">
      <c r="A220" s="533" t="s">
        <v>385</v>
      </c>
      <c r="B220" s="534">
        <f>+B219+B218+B217</f>
        <v>87.44</v>
      </c>
      <c r="C220" s="534">
        <f t="shared" ref="C220:U220" si="17">+C219+C218+C217</f>
        <v>695</v>
      </c>
      <c r="D220" s="534">
        <f t="shared" si="17"/>
        <v>563</v>
      </c>
      <c r="E220" s="534">
        <f t="shared" si="17"/>
        <v>867</v>
      </c>
      <c r="F220" s="534"/>
      <c r="G220" s="534">
        <f t="shared" si="17"/>
        <v>1071</v>
      </c>
      <c r="H220" s="534">
        <f t="shared" si="17"/>
        <v>865</v>
      </c>
      <c r="I220" s="534">
        <f t="shared" si="17"/>
        <v>593</v>
      </c>
      <c r="J220" s="534"/>
      <c r="K220" s="534"/>
      <c r="L220" s="534">
        <f t="shared" si="17"/>
        <v>883</v>
      </c>
      <c r="M220" s="534"/>
      <c r="N220" s="534">
        <f t="shared" si="17"/>
        <v>645</v>
      </c>
      <c r="O220" s="534"/>
      <c r="P220" s="534">
        <f t="shared" si="17"/>
        <v>0</v>
      </c>
      <c r="Q220" s="534">
        <f t="shared" si="17"/>
        <v>4</v>
      </c>
      <c r="R220" s="534">
        <f t="shared" si="17"/>
        <v>88</v>
      </c>
      <c r="S220" s="534"/>
      <c r="T220" s="534"/>
      <c r="U220" s="534">
        <f t="shared" si="17"/>
        <v>6361.4400000000005</v>
      </c>
    </row>
    <row r="221" spans="1:24">
      <c r="A221" s="84" t="s">
        <v>563</v>
      </c>
      <c r="B221" s="87">
        <v>3137</v>
      </c>
      <c r="C221" s="87">
        <v>3335</v>
      </c>
      <c r="D221" s="87">
        <v>3240</v>
      </c>
      <c r="E221" s="87">
        <v>5595</v>
      </c>
      <c r="F221" s="87"/>
      <c r="G221" s="87">
        <v>4304</v>
      </c>
      <c r="H221" s="87">
        <v>4031</v>
      </c>
      <c r="I221" s="87">
        <v>3854</v>
      </c>
      <c r="J221" s="87"/>
      <c r="K221" s="87"/>
      <c r="L221" s="87">
        <v>4710</v>
      </c>
      <c r="M221" s="87"/>
      <c r="N221" s="87">
        <v>4286</v>
      </c>
      <c r="O221" s="87"/>
      <c r="P221" s="87">
        <v>4310</v>
      </c>
      <c r="Q221" s="87">
        <v>3516</v>
      </c>
      <c r="R221" s="87">
        <v>2834</v>
      </c>
      <c r="S221" s="87"/>
      <c r="T221" s="87"/>
      <c r="U221" s="539">
        <f>SUM(B221:R221)</f>
        <v>47152</v>
      </c>
    </row>
    <row r="222" spans="1:24">
      <c r="A222" s="84" t="s">
        <v>568</v>
      </c>
      <c r="B222" s="87">
        <v>403</v>
      </c>
      <c r="C222" s="87">
        <v>0</v>
      </c>
      <c r="D222" s="87">
        <v>0</v>
      </c>
      <c r="E222" s="87">
        <v>0</v>
      </c>
      <c r="F222" s="87"/>
      <c r="G222" s="87">
        <v>0</v>
      </c>
      <c r="H222" s="87">
        <v>0</v>
      </c>
      <c r="I222" s="87">
        <v>0</v>
      </c>
      <c r="J222" s="87"/>
      <c r="K222" s="87"/>
      <c r="L222" s="87">
        <v>0</v>
      </c>
      <c r="M222" s="87"/>
      <c r="N222" s="87">
        <v>0</v>
      </c>
      <c r="O222" s="87"/>
      <c r="P222" s="87">
        <v>0</v>
      </c>
      <c r="Q222" s="87">
        <v>0</v>
      </c>
      <c r="R222" s="87">
        <v>0</v>
      </c>
      <c r="S222" s="87"/>
      <c r="T222" s="87"/>
      <c r="U222" s="539">
        <f>SUM(B222:R222)</f>
        <v>403</v>
      </c>
    </row>
    <row r="223" spans="1:24">
      <c r="A223" s="84" t="s">
        <v>123</v>
      </c>
      <c r="B223" s="87">
        <v>0</v>
      </c>
      <c r="C223" s="87">
        <v>0</v>
      </c>
      <c r="D223" s="87">
        <v>0</v>
      </c>
      <c r="E223" s="87">
        <v>0</v>
      </c>
      <c r="F223" s="87"/>
      <c r="G223" s="87">
        <v>0</v>
      </c>
      <c r="H223" s="87">
        <v>0</v>
      </c>
      <c r="I223" s="87">
        <v>0</v>
      </c>
      <c r="J223" s="87"/>
      <c r="K223" s="87"/>
      <c r="L223" s="87">
        <v>0</v>
      </c>
      <c r="M223" s="87"/>
      <c r="N223" s="87">
        <v>0</v>
      </c>
      <c r="O223" s="87"/>
      <c r="P223" s="87">
        <v>0</v>
      </c>
      <c r="Q223" s="87">
        <v>0</v>
      </c>
      <c r="R223" s="87">
        <v>0</v>
      </c>
      <c r="S223" s="87"/>
      <c r="T223" s="87"/>
      <c r="U223" s="539">
        <f>SUM(B223:R223)</f>
        <v>0</v>
      </c>
    </row>
    <row r="224" spans="1:24">
      <c r="A224" s="84" t="s">
        <v>500</v>
      </c>
      <c r="B224" s="18">
        <v>1069</v>
      </c>
      <c r="C224" s="18">
        <v>1557</v>
      </c>
      <c r="D224" s="18">
        <v>1176</v>
      </c>
      <c r="E224" s="18">
        <v>955</v>
      </c>
      <c r="F224" s="18"/>
      <c r="G224" s="18">
        <v>1019</v>
      </c>
      <c r="H224" s="18">
        <v>581</v>
      </c>
      <c r="I224" s="18">
        <v>1719</v>
      </c>
      <c r="J224" s="18"/>
      <c r="K224" s="18"/>
      <c r="L224" s="18">
        <v>1864</v>
      </c>
      <c r="M224" s="18"/>
      <c r="N224" s="18">
        <v>134</v>
      </c>
      <c r="O224" s="18"/>
      <c r="P224" s="18">
        <v>1010</v>
      </c>
      <c r="Q224" s="18">
        <v>2269</v>
      </c>
      <c r="R224" s="18">
        <v>481</v>
      </c>
      <c r="S224" s="18"/>
      <c r="T224" s="18"/>
      <c r="U224" s="539">
        <f>SUM(B224:R224)</f>
        <v>13834</v>
      </c>
    </row>
    <row r="225" spans="1:22">
      <c r="A225" s="84" t="s">
        <v>2257</v>
      </c>
      <c r="B225" s="87">
        <f>7047-5193</f>
        <v>1854</v>
      </c>
      <c r="C225" s="87">
        <f>9195-5921</f>
        <v>3274</v>
      </c>
      <c r="D225" s="87">
        <f>8767-5839</f>
        <v>2928</v>
      </c>
      <c r="E225" s="87">
        <f>10079-8179</f>
        <v>1900</v>
      </c>
      <c r="F225" s="87"/>
      <c r="G225" s="87">
        <f>9224-7166</f>
        <v>2058</v>
      </c>
      <c r="H225" s="87">
        <f>8532-6252</f>
        <v>2280</v>
      </c>
      <c r="I225" s="87">
        <f>9031-7167</f>
        <v>1864</v>
      </c>
      <c r="J225" s="87"/>
      <c r="K225" s="87"/>
      <c r="L225" s="87">
        <f>10037-8138</f>
        <v>1899</v>
      </c>
      <c r="M225" s="87"/>
      <c r="N225" s="87">
        <f>7126-5065</f>
        <v>2061</v>
      </c>
      <c r="O225" s="87"/>
      <c r="P225" s="87">
        <f>9116-6308</f>
        <v>2808</v>
      </c>
      <c r="Q225" s="87">
        <f>9003-6701</f>
        <v>2302</v>
      </c>
      <c r="R225" s="87">
        <f>5426-3565</f>
        <v>1861</v>
      </c>
      <c r="S225" s="87"/>
      <c r="T225" s="87"/>
      <c r="U225" s="539">
        <f>SUM(B225:R225)</f>
        <v>27089</v>
      </c>
    </row>
    <row r="226" spans="1:22" ht="18">
      <c r="A226" s="11" t="s">
        <v>23</v>
      </c>
      <c r="B226" s="398">
        <f>+B225+B224+B222+B221+B220+B216</f>
        <v>7047.44</v>
      </c>
      <c r="C226" s="398">
        <f t="shared" ref="C226:Q226" si="18">+C225+C224+C222+C221+C220+C216</f>
        <v>9195</v>
      </c>
      <c r="D226" s="398">
        <f t="shared" si="18"/>
        <v>8767</v>
      </c>
      <c r="E226" s="398">
        <f t="shared" si="18"/>
        <v>10079</v>
      </c>
      <c r="F226" s="398"/>
      <c r="G226" s="398">
        <f t="shared" si="18"/>
        <v>9224</v>
      </c>
      <c r="H226" s="398">
        <f t="shared" si="18"/>
        <v>8532</v>
      </c>
      <c r="I226" s="398">
        <f t="shared" si="18"/>
        <v>9031</v>
      </c>
      <c r="J226" s="398"/>
      <c r="K226" s="398"/>
      <c r="L226" s="398">
        <f t="shared" si="18"/>
        <v>10037</v>
      </c>
      <c r="M226" s="398"/>
      <c r="N226" s="398">
        <f t="shared" si="18"/>
        <v>7126</v>
      </c>
      <c r="O226" s="398"/>
      <c r="P226" s="398">
        <f t="shared" si="18"/>
        <v>9116</v>
      </c>
      <c r="Q226" s="398">
        <f t="shared" si="18"/>
        <v>9003</v>
      </c>
      <c r="R226" s="545">
        <f>SUM(R216:R225)</f>
        <v>5426</v>
      </c>
      <c r="S226" s="545"/>
      <c r="T226" s="545"/>
      <c r="U226" s="543">
        <f>SUM(B226:R226)+2</f>
        <v>102585.44</v>
      </c>
    </row>
    <row r="230" spans="1:22" ht="20.25">
      <c r="A230" s="3073" t="s">
        <v>3209</v>
      </c>
      <c r="B230" s="3073"/>
      <c r="C230" s="3073"/>
      <c r="D230" s="3073"/>
      <c r="E230" s="3073"/>
      <c r="F230" s="3073"/>
      <c r="G230" s="3073"/>
      <c r="H230" s="3073"/>
      <c r="I230" s="3073"/>
      <c r="J230" s="3073"/>
      <c r="K230" s="3073"/>
      <c r="L230" s="3073"/>
      <c r="M230" s="3073"/>
      <c r="N230" s="3073"/>
      <c r="O230" s="3073"/>
      <c r="P230" s="3073"/>
      <c r="Q230" s="3073"/>
      <c r="R230" s="3073"/>
      <c r="S230" s="337"/>
      <c r="T230" s="337"/>
    </row>
    <row r="231" spans="1:22">
      <c r="A231" s="84"/>
      <c r="B231" s="41" t="s">
        <v>2260</v>
      </c>
      <c r="C231" s="41" t="s">
        <v>723</v>
      </c>
      <c r="D231" s="55" t="s">
        <v>2147</v>
      </c>
      <c r="E231" s="41" t="s">
        <v>1993</v>
      </c>
      <c r="F231" s="41"/>
      <c r="G231" s="41" t="s">
        <v>726</v>
      </c>
      <c r="H231" s="41" t="s">
        <v>1994</v>
      </c>
      <c r="I231" s="41" t="s">
        <v>729</v>
      </c>
      <c r="J231" s="41"/>
      <c r="K231" s="41"/>
      <c r="L231" s="41" t="s">
        <v>730</v>
      </c>
      <c r="M231" s="41"/>
      <c r="N231" s="41" t="s">
        <v>731</v>
      </c>
      <c r="O231" s="41"/>
      <c r="P231" s="41" t="s">
        <v>732</v>
      </c>
      <c r="Q231" s="41" t="s">
        <v>733</v>
      </c>
      <c r="R231" s="320" t="s">
        <v>3206</v>
      </c>
      <c r="S231" s="320"/>
      <c r="T231" s="320"/>
      <c r="U231" s="41" t="s">
        <v>121</v>
      </c>
    </row>
    <row r="232" spans="1:22">
      <c r="A232" s="84" t="s">
        <v>351</v>
      </c>
      <c r="B232" s="87">
        <v>0</v>
      </c>
      <c r="C232" s="87">
        <v>0</v>
      </c>
      <c r="D232" s="87">
        <v>0</v>
      </c>
      <c r="E232" s="87">
        <v>0</v>
      </c>
      <c r="F232" s="87"/>
      <c r="G232" s="87">
        <v>0</v>
      </c>
      <c r="H232" s="87">
        <v>0</v>
      </c>
      <c r="I232" s="87">
        <v>507.63</v>
      </c>
      <c r="J232" s="87"/>
      <c r="K232" s="87"/>
      <c r="L232" s="87">
        <v>118.88</v>
      </c>
      <c r="M232" s="87"/>
      <c r="N232" s="87">
        <v>0</v>
      </c>
      <c r="O232" s="87"/>
      <c r="P232" s="87">
        <v>11</v>
      </c>
      <c r="Q232" s="87">
        <v>0</v>
      </c>
      <c r="R232" s="87">
        <v>16.850000000000001</v>
      </c>
      <c r="S232" s="87"/>
      <c r="T232" s="87"/>
      <c r="U232" s="539">
        <f>SUM(B232:R232)</f>
        <v>654.36</v>
      </c>
      <c r="V232" s="87">
        <v>0</v>
      </c>
    </row>
    <row r="233" spans="1:22">
      <c r="A233" s="84" t="s">
        <v>2140</v>
      </c>
      <c r="B233" s="87">
        <v>0</v>
      </c>
      <c r="C233" s="87">
        <v>0</v>
      </c>
      <c r="D233" s="87">
        <v>0</v>
      </c>
      <c r="E233" s="87">
        <f>81.13+81.3</f>
        <v>162.43</v>
      </c>
      <c r="F233" s="87"/>
      <c r="G233" s="87">
        <v>36.11</v>
      </c>
      <c r="H233" s="87">
        <v>57.024000000000001</v>
      </c>
      <c r="I233" s="87">
        <v>175.21</v>
      </c>
      <c r="J233" s="87"/>
      <c r="K233" s="87"/>
      <c r="L233" s="87">
        <v>62.45</v>
      </c>
      <c r="M233" s="87"/>
      <c r="N233" s="87">
        <v>54.334000000000003</v>
      </c>
      <c r="O233" s="87"/>
      <c r="P233" s="87">
        <v>0</v>
      </c>
      <c r="Q233" s="87">
        <v>0</v>
      </c>
      <c r="R233" s="87">
        <f>367.99+124.33</f>
        <v>492.32</v>
      </c>
      <c r="S233" s="87"/>
      <c r="T233" s="87"/>
      <c r="U233" s="539">
        <f>SUM(B233:R233)</f>
        <v>1039.8779999999999</v>
      </c>
    </row>
    <row r="234" spans="1:22">
      <c r="A234" s="84" t="s">
        <v>2141</v>
      </c>
      <c r="B234" s="87">
        <v>0</v>
      </c>
      <c r="C234" s="87">
        <v>0</v>
      </c>
      <c r="D234" s="87">
        <f>44.85+214.79</f>
        <v>259.64</v>
      </c>
      <c r="E234" s="87">
        <v>83.46</v>
      </c>
      <c r="F234" s="87"/>
      <c r="G234" s="87">
        <v>0</v>
      </c>
      <c r="H234" s="87">
        <v>64.75</v>
      </c>
      <c r="I234" s="87">
        <v>102.88</v>
      </c>
      <c r="J234" s="87"/>
      <c r="K234" s="87"/>
      <c r="L234" s="87">
        <v>0</v>
      </c>
      <c r="M234" s="87"/>
      <c r="N234" s="87">
        <v>0</v>
      </c>
      <c r="O234" s="87"/>
      <c r="P234" s="87">
        <v>16.36</v>
      </c>
      <c r="Q234" s="87">
        <v>0</v>
      </c>
      <c r="R234" s="87">
        <v>0</v>
      </c>
      <c r="S234" s="87"/>
      <c r="T234" s="87"/>
      <c r="U234" s="539">
        <f>SUM(B234:R234)</f>
        <v>527.08999999999992</v>
      </c>
    </row>
    <row r="235" spans="1:22">
      <c r="A235" s="84" t="s">
        <v>2256</v>
      </c>
      <c r="B235" s="87">
        <v>0</v>
      </c>
      <c r="C235" s="87">
        <v>0</v>
      </c>
      <c r="D235" s="87">
        <v>0</v>
      </c>
      <c r="E235" s="87">
        <v>0</v>
      </c>
      <c r="F235" s="87"/>
      <c r="G235" s="87">
        <v>0</v>
      </c>
      <c r="H235" s="87">
        <v>0</v>
      </c>
      <c r="I235" s="87">
        <v>0</v>
      </c>
      <c r="J235" s="87"/>
      <c r="K235" s="87"/>
      <c r="L235" s="87">
        <v>0</v>
      </c>
      <c r="M235" s="87"/>
      <c r="N235" s="87">
        <v>0</v>
      </c>
      <c r="O235" s="87"/>
      <c r="P235" s="87">
        <v>0</v>
      </c>
      <c r="Q235" s="87">
        <v>10.78</v>
      </c>
      <c r="R235" s="87">
        <v>11.705</v>
      </c>
      <c r="S235" s="87"/>
      <c r="T235" s="87"/>
      <c r="U235" s="539">
        <f>SUM(B235:R235)</f>
        <v>22.484999999999999</v>
      </c>
    </row>
    <row r="236" spans="1:22" ht="15">
      <c r="A236" s="533" t="s">
        <v>385</v>
      </c>
      <c r="B236" s="534">
        <f>+B235+B234+B233</f>
        <v>0</v>
      </c>
      <c r="C236" s="534">
        <f t="shared" ref="C236:R236" si="19">+C235+C234+C233</f>
        <v>0</v>
      </c>
      <c r="D236" s="534">
        <f t="shared" si="19"/>
        <v>259.64</v>
      </c>
      <c r="E236" s="534">
        <f t="shared" si="19"/>
        <v>245.89</v>
      </c>
      <c r="F236" s="534"/>
      <c r="G236" s="534">
        <f t="shared" si="19"/>
        <v>36.11</v>
      </c>
      <c r="H236" s="534">
        <f t="shared" si="19"/>
        <v>121.774</v>
      </c>
      <c r="I236" s="534">
        <f t="shared" si="19"/>
        <v>278.09000000000003</v>
      </c>
      <c r="J236" s="534"/>
      <c r="K236" s="534"/>
      <c r="L236" s="534">
        <f t="shared" si="19"/>
        <v>62.45</v>
      </c>
      <c r="M236" s="534"/>
      <c r="N236" s="534">
        <f t="shared" si="19"/>
        <v>54.334000000000003</v>
      </c>
      <c r="O236" s="534"/>
      <c r="P236" s="534">
        <f t="shared" si="19"/>
        <v>16.36</v>
      </c>
      <c r="Q236" s="534">
        <f t="shared" si="19"/>
        <v>10.78</v>
      </c>
      <c r="R236" s="534">
        <f t="shared" si="19"/>
        <v>504.02499999999998</v>
      </c>
      <c r="S236" s="534"/>
      <c r="T236" s="534"/>
      <c r="U236" s="534">
        <f>+U235+U234+U233</f>
        <v>1589.453</v>
      </c>
    </row>
    <row r="237" spans="1:22">
      <c r="A237" s="84" t="s">
        <v>563</v>
      </c>
      <c r="B237" s="87">
        <v>135.22</v>
      </c>
      <c r="C237" s="87">
        <v>0</v>
      </c>
      <c r="D237" s="87">
        <v>1513.63</v>
      </c>
      <c r="E237" s="87">
        <v>1794.78</v>
      </c>
      <c r="F237" s="87"/>
      <c r="G237" s="87">
        <v>2010.45</v>
      </c>
      <c r="H237" s="87">
        <v>1319.3</v>
      </c>
      <c r="I237" s="87">
        <v>668.86</v>
      </c>
      <c r="J237" s="87"/>
      <c r="K237" s="87"/>
      <c r="L237" s="87">
        <v>1554.65</v>
      </c>
      <c r="M237" s="87"/>
      <c r="N237" s="87">
        <v>1632.34</v>
      </c>
      <c r="O237" s="87"/>
      <c r="P237" s="87">
        <v>89.33</v>
      </c>
      <c r="Q237" s="87">
        <v>1430.56</v>
      </c>
      <c r="R237" s="87">
        <v>1210.6300000000001</v>
      </c>
      <c r="S237" s="87"/>
      <c r="T237" s="87"/>
      <c r="U237" s="539">
        <f>SUM(B237:R237)</f>
        <v>13359.75</v>
      </c>
    </row>
    <row r="238" spans="1:22">
      <c r="A238" s="84" t="s">
        <v>568</v>
      </c>
      <c r="B238" s="87">
        <v>0</v>
      </c>
      <c r="C238" s="87">
        <v>0</v>
      </c>
      <c r="D238" s="87">
        <v>50.1</v>
      </c>
      <c r="E238" s="87">
        <f>107.4+403.67</f>
        <v>511.07000000000005</v>
      </c>
      <c r="F238" s="87"/>
      <c r="G238" s="87">
        <v>0</v>
      </c>
      <c r="H238" s="87">
        <v>302.17</v>
      </c>
      <c r="I238" s="87">
        <v>57.62</v>
      </c>
      <c r="J238" s="87"/>
      <c r="K238" s="87"/>
      <c r="L238" s="87">
        <f>226.17+142.494</f>
        <v>368.66399999999999</v>
      </c>
      <c r="M238" s="87"/>
      <c r="N238" s="87">
        <f>472.88-16.24-36.54</f>
        <v>420.09999999999997</v>
      </c>
      <c r="O238" s="87"/>
      <c r="P238" s="87">
        <f>109.53+191.95+120.46</f>
        <v>421.94</v>
      </c>
      <c r="Q238" s="87">
        <f>37.74+43.72+307.6</f>
        <v>389.06000000000006</v>
      </c>
      <c r="R238" s="87">
        <v>288.83999999999997</v>
      </c>
      <c r="S238" s="87"/>
      <c r="T238" s="87"/>
      <c r="U238" s="539">
        <f>SUM(B238:R238)</f>
        <v>2809.5640000000003</v>
      </c>
    </row>
    <row r="239" spans="1:22">
      <c r="A239" s="84" t="s">
        <v>123</v>
      </c>
      <c r="B239" s="87">
        <v>0</v>
      </c>
      <c r="C239" s="87">
        <v>0</v>
      </c>
      <c r="D239" s="87">
        <v>0</v>
      </c>
      <c r="E239" s="87">
        <v>0</v>
      </c>
      <c r="F239" s="87"/>
      <c r="G239" s="87">
        <v>0</v>
      </c>
      <c r="H239" s="87">
        <v>0</v>
      </c>
      <c r="I239" s="87">
        <v>0</v>
      </c>
      <c r="J239" s="87"/>
      <c r="K239" s="87"/>
      <c r="L239" s="87">
        <v>0</v>
      </c>
      <c r="M239" s="87"/>
      <c r="N239" s="87">
        <v>0</v>
      </c>
      <c r="O239" s="87"/>
      <c r="P239" s="87">
        <v>0</v>
      </c>
      <c r="Q239" s="87">
        <v>0</v>
      </c>
      <c r="R239" s="87">
        <v>0</v>
      </c>
      <c r="S239" s="87"/>
      <c r="T239" s="87"/>
      <c r="U239" s="539">
        <f>SUM(B239:R239)</f>
        <v>0</v>
      </c>
    </row>
    <row r="240" spans="1:22">
      <c r="A240" s="84" t="s">
        <v>500</v>
      </c>
      <c r="B240" s="87">
        <v>96.21</v>
      </c>
      <c r="C240" s="18">
        <v>0</v>
      </c>
      <c r="D240" s="18">
        <v>0</v>
      </c>
      <c r="E240" s="18">
        <v>0</v>
      </c>
      <c r="F240" s="18"/>
      <c r="G240" s="87">
        <v>293.75</v>
      </c>
      <c r="H240" s="87">
        <v>206.38</v>
      </c>
      <c r="I240" s="87">
        <v>0</v>
      </c>
      <c r="J240" s="87"/>
      <c r="K240" s="87"/>
      <c r="L240" s="87">
        <v>204.07</v>
      </c>
      <c r="M240" s="87"/>
      <c r="N240" s="87">
        <v>156.46</v>
      </c>
      <c r="O240" s="87"/>
      <c r="P240" s="87">
        <v>1330.046</v>
      </c>
      <c r="Q240" s="18">
        <v>490.05</v>
      </c>
      <c r="R240" s="18">
        <v>734.53</v>
      </c>
      <c r="S240" s="18"/>
      <c r="T240" s="18"/>
      <c r="U240" s="539">
        <f>SUM(B240:R240)</f>
        <v>3511.4960000000001</v>
      </c>
    </row>
    <row r="241" spans="1:34">
      <c r="A241" s="84" t="s">
        <v>2257</v>
      </c>
      <c r="B241" s="87">
        <f>1287.165-231</f>
        <v>1056.165</v>
      </c>
      <c r="C241" s="87">
        <v>1221.4849999999999</v>
      </c>
      <c r="D241" s="87">
        <f>4219.355-1822</f>
        <v>2397.3549999999996</v>
      </c>
      <c r="E241" s="87">
        <f>4404.466-2552</f>
        <v>1852.4660000000003</v>
      </c>
      <c r="F241" s="87"/>
      <c r="G241" s="87">
        <f>6123.994-2340</f>
        <v>3783.9939999999997</v>
      </c>
      <c r="H241" s="87">
        <f>6706.603-1950</f>
        <v>4756.6030000000001</v>
      </c>
      <c r="I241" s="87">
        <f>6610.243-1512</f>
        <v>5098.2430000000004</v>
      </c>
      <c r="J241" s="87"/>
      <c r="K241" s="87"/>
      <c r="L241" s="87">
        <f>5991.45-2309.4</f>
        <v>3682.0499999999997</v>
      </c>
      <c r="M241" s="87"/>
      <c r="N241" s="87">
        <f>8109.725-2263</f>
        <v>5846.7250000000004</v>
      </c>
      <c r="O241" s="87"/>
      <c r="P241" s="87">
        <f>8026.831-1869</f>
        <v>6157.8310000000001</v>
      </c>
      <c r="Q241" s="87">
        <f>8051.65-2320</f>
        <v>5731.65</v>
      </c>
      <c r="R241" s="87">
        <f>8221.432-3258.9</f>
        <v>4962.5320000000011</v>
      </c>
      <c r="S241" s="87"/>
      <c r="T241" s="87"/>
      <c r="U241" s="539">
        <f>SUM(B241:R241)</f>
        <v>46547.099000000002</v>
      </c>
    </row>
    <row r="242" spans="1:34" ht="18">
      <c r="A242" s="11" t="s">
        <v>23</v>
      </c>
      <c r="B242" s="398">
        <f>+B241+B240+B238+B237+B236+B232</f>
        <v>1287.595</v>
      </c>
      <c r="C242" s="398">
        <f t="shared" ref="C242:Q242" si="20">+C241+C240+C238+C237+C236+C232</f>
        <v>1221.4849999999999</v>
      </c>
      <c r="D242" s="398">
        <f t="shared" si="20"/>
        <v>4220.7249999999995</v>
      </c>
      <c r="E242" s="398">
        <f t="shared" si="20"/>
        <v>4404.206000000001</v>
      </c>
      <c r="F242" s="398"/>
      <c r="G242" s="398">
        <f t="shared" si="20"/>
        <v>6124.3039999999992</v>
      </c>
      <c r="H242" s="398">
        <f t="shared" si="20"/>
        <v>6706.2270000000008</v>
      </c>
      <c r="I242" s="398">
        <f t="shared" si="20"/>
        <v>6610.4430000000002</v>
      </c>
      <c r="J242" s="398"/>
      <c r="K242" s="398"/>
      <c r="L242" s="398">
        <f t="shared" si="20"/>
        <v>5990.7639999999992</v>
      </c>
      <c r="M242" s="398"/>
      <c r="N242" s="398">
        <f t="shared" si="20"/>
        <v>8109.9590000000007</v>
      </c>
      <c r="O242" s="398"/>
      <c r="P242" s="398">
        <f t="shared" si="20"/>
        <v>8026.5069999999996</v>
      </c>
      <c r="Q242" s="398">
        <f t="shared" si="20"/>
        <v>8052.0999999999995</v>
      </c>
      <c r="R242" s="546">
        <f>SUM(R232:R241)</f>
        <v>8221.4320000000007</v>
      </c>
      <c r="S242" s="546"/>
      <c r="T242" s="546"/>
      <c r="U242" s="543">
        <f>SUM(B242:R242)+2</f>
        <v>68977.747000000003</v>
      </c>
    </row>
    <row r="245" spans="1:34" ht="15.75">
      <c r="A245" s="3074" t="s">
        <v>3210</v>
      </c>
      <c r="B245" s="2803"/>
      <c r="C245" s="2803"/>
      <c r="D245" s="2803"/>
      <c r="E245" s="2803"/>
      <c r="F245" s="2803"/>
      <c r="G245" s="2803"/>
      <c r="H245" s="2803"/>
      <c r="I245" s="2803"/>
      <c r="J245" s="2803"/>
      <c r="K245" s="2803"/>
      <c r="L245" s="2803"/>
      <c r="M245" s="2803"/>
      <c r="N245" s="2803"/>
      <c r="O245" s="2803"/>
      <c r="P245" s="2803"/>
      <c r="Q245" s="2803"/>
      <c r="R245" s="2803"/>
      <c r="S245" s="535"/>
      <c r="T245" s="535"/>
      <c r="U245" s="374" t="s">
        <v>3211</v>
      </c>
    </row>
    <row r="246" spans="1:34" ht="15.75">
      <c r="A246" s="536"/>
      <c r="B246" s="535" t="s">
        <v>2260</v>
      </c>
      <c r="C246" s="535" t="s">
        <v>723</v>
      </c>
      <c r="D246" s="535" t="s">
        <v>2147</v>
      </c>
      <c r="F246" s="535" t="s">
        <v>1993</v>
      </c>
      <c r="G246" s="535" t="s">
        <v>726</v>
      </c>
      <c r="H246" s="535" t="s">
        <v>1994</v>
      </c>
      <c r="I246" s="535" t="s">
        <v>2610</v>
      </c>
      <c r="J246" s="535" t="s">
        <v>3148</v>
      </c>
      <c r="K246" s="535" t="s">
        <v>729</v>
      </c>
      <c r="L246" s="535" t="s">
        <v>730</v>
      </c>
      <c r="M246" s="535" t="s">
        <v>731</v>
      </c>
      <c r="O246" s="535" t="s">
        <v>732</v>
      </c>
      <c r="P246" s="535" t="s">
        <v>733</v>
      </c>
      <c r="Q246" s="535" t="s">
        <v>3206</v>
      </c>
      <c r="T246" s="535" t="s">
        <v>2057</v>
      </c>
      <c r="U246" s="535" t="s">
        <v>3212</v>
      </c>
    </row>
    <row r="247" spans="1:34" ht="15.75">
      <c r="A247" s="537" t="s">
        <v>351</v>
      </c>
      <c r="B247" s="538">
        <v>395.6</v>
      </c>
      <c r="C247" s="538">
        <v>642.15</v>
      </c>
      <c r="D247" s="538">
        <v>391</v>
      </c>
      <c r="F247" s="538">
        <v>258.14</v>
      </c>
      <c r="G247" s="538">
        <v>660</v>
      </c>
      <c r="H247" s="538">
        <v>526.16999999999996</v>
      </c>
      <c r="I247" s="520">
        <f>SUM(F247:H247)</f>
        <v>1444.31</v>
      </c>
      <c r="J247" s="531">
        <f>+I247+E247</f>
        <v>1444.31</v>
      </c>
      <c r="K247" s="538">
        <v>0</v>
      </c>
      <c r="L247" s="538">
        <v>0</v>
      </c>
      <c r="M247" s="538">
        <v>261.58</v>
      </c>
      <c r="O247" s="538">
        <v>523.79999999999995</v>
      </c>
      <c r="P247" s="538">
        <v>262</v>
      </c>
      <c r="Q247" s="538">
        <v>262.76</v>
      </c>
      <c r="T247" s="538">
        <f t="shared" ref="T247:T253" si="21">SUM(B247:Q247)</f>
        <v>7071.8200000000006</v>
      </c>
      <c r="U247" s="483"/>
    </row>
    <row r="248" spans="1:34" ht="15.75">
      <c r="A248" s="537" t="s">
        <v>385</v>
      </c>
      <c r="B248" s="538">
        <f>948+120+18+36.47+23</f>
        <v>1145.47</v>
      </c>
      <c r="C248" s="538">
        <f>135+130+40+53+24</f>
        <v>382</v>
      </c>
      <c r="D248" s="538">
        <f>265+313+74+59+24</f>
        <v>735</v>
      </c>
      <c r="F248" s="538">
        <f>748+227+33+50+195+23</f>
        <v>1276</v>
      </c>
      <c r="G248" s="538">
        <f>772+206+195+23</f>
        <v>1196</v>
      </c>
      <c r="H248" s="538">
        <f>570+234+18</f>
        <v>822</v>
      </c>
      <c r="I248" s="520">
        <f t="shared" ref="I248:I253" si="22">SUM(F248:H248)</f>
        <v>3294</v>
      </c>
      <c r="J248" s="531">
        <f t="shared" ref="J248:J253" si="23">+I248+E248</f>
        <v>3294</v>
      </c>
      <c r="K248" s="538">
        <f>48+16+248+5.862</f>
        <v>317.86200000000002</v>
      </c>
      <c r="L248" s="538">
        <f>364+152+129+30.448</f>
        <v>675.44799999999998</v>
      </c>
      <c r="M248" s="538">
        <f>326+302+216+54</f>
        <v>898</v>
      </c>
      <c r="O248" s="538">
        <f>276+499+179+11</f>
        <v>965</v>
      </c>
      <c r="P248" s="538">
        <f>25+572+157+14</f>
        <v>768</v>
      </c>
      <c r="Q248" s="538">
        <f>323+173+83+25+72+3.665</f>
        <v>679.66499999999996</v>
      </c>
      <c r="T248" s="538">
        <f t="shared" si="21"/>
        <v>16448.445</v>
      </c>
      <c r="U248" s="483"/>
    </row>
    <row r="249" spans="1:34" ht="15.75">
      <c r="A249" s="537" t="s">
        <v>563</v>
      </c>
      <c r="B249" s="531">
        <v>1358.52</v>
      </c>
      <c r="C249" s="531">
        <v>2939.39</v>
      </c>
      <c r="D249" s="531">
        <v>3317.23</v>
      </c>
      <c r="F249" s="531">
        <v>698.27</v>
      </c>
      <c r="G249" s="531">
        <v>2823</v>
      </c>
      <c r="H249" s="531">
        <v>1477</v>
      </c>
      <c r="I249" s="520">
        <f t="shared" si="22"/>
        <v>4998.2700000000004</v>
      </c>
      <c r="J249" s="531">
        <f t="shared" si="23"/>
        <v>4998.2700000000004</v>
      </c>
      <c r="K249" s="531">
        <v>804</v>
      </c>
      <c r="L249" s="531">
        <v>1217.5899999999999</v>
      </c>
      <c r="M249" s="531">
        <v>1579.37</v>
      </c>
      <c r="O249" s="531">
        <v>1340.84</v>
      </c>
      <c r="P249" s="531">
        <v>1198.1400000000001</v>
      </c>
      <c r="Q249" s="531">
        <v>3399.69</v>
      </c>
      <c r="T249" s="538">
        <f t="shared" si="21"/>
        <v>32149.579999999998</v>
      </c>
      <c r="U249" s="483"/>
    </row>
    <row r="250" spans="1:34" ht="15.75">
      <c r="A250" s="537" t="s">
        <v>3213</v>
      </c>
      <c r="B250" s="538">
        <f>303.75+177.78</f>
        <v>481.53</v>
      </c>
      <c r="C250" s="538">
        <f>235+237</f>
        <v>472</v>
      </c>
      <c r="D250" s="538">
        <f>14.63+31</f>
        <v>45.63</v>
      </c>
      <c r="F250" s="538">
        <v>191.14</v>
      </c>
      <c r="G250" s="538">
        <v>184</v>
      </c>
      <c r="H250" s="538">
        <v>144</v>
      </c>
      <c r="I250" s="520">
        <f t="shared" si="22"/>
        <v>519.14</v>
      </c>
      <c r="J250" s="531">
        <f t="shared" si="23"/>
        <v>519.14</v>
      </c>
      <c r="K250" s="538">
        <f>183+71</f>
        <v>254</v>
      </c>
      <c r="L250" s="538">
        <f>310+95</f>
        <v>405</v>
      </c>
      <c r="M250" s="538">
        <f>646+206</f>
        <v>852</v>
      </c>
      <c r="O250" s="538">
        <v>113</v>
      </c>
      <c r="P250" s="538">
        <v>0</v>
      </c>
      <c r="Q250" s="538">
        <f>48+379</f>
        <v>427</v>
      </c>
      <c r="T250" s="538">
        <f t="shared" si="21"/>
        <v>4607.58</v>
      </c>
      <c r="U250" s="483"/>
    </row>
    <row r="251" spans="1:34" ht="15.75">
      <c r="A251" s="537" t="s">
        <v>500</v>
      </c>
      <c r="B251" s="538">
        <v>0</v>
      </c>
      <c r="C251" s="538">
        <v>0</v>
      </c>
      <c r="D251" s="538">
        <v>0</v>
      </c>
      <c r="F251" s="538">
        <v>0</v>
      </c>
      <c r="G251" s="538">
        <v>0</v>
      </c>
      <c r="H251" s="538">
        <v>0</v>
      </c>
      <c r="I251" s="520">
        <f t="shared" si="22"/>
        <v>0</v>
      </c>
      <c r="J251" s="531">
        <f t="shared" si="23"/>
        <v>0</v>
      </c>
      <c r="K251" s="538">
        <v>0</v>
      </c>
      <c r="L251" s="538">
        <v>0</v>
      </c>
      <c r="M251" s="538">
        <v>0</v>
      </c>
      <c r="O251" s="538">
        <v>782</v>
      </c>
      <c r="P251" s="538">
        <f>961</f>
        <v>961</v>
      </c>
      <c r="Q251" s="538">
        <v>2075.5100000000002</v>
      </c>
      <c r="T251" s="538">
        <f t="shared" si="21"/>
        <v>3818.51</v>
      </c>
      <c r="U251" s="483"/>
    </row>
    <row r="252" spans="1:34" ht="15.75">
      <c r="A252" s="537" t="s">
        <v>2257</v>
      </c>
      <c r="B252" s="538">
        <f>B254-B247-B248-B249-B250-B251</f>
        <v>4214.3530000000001</v>
      </c>
      <c r="C252" s="538">
        <f t="shared" ref="C252:Q252" si="24">C254-C247-C248-C249-C250-C251</f>
        <v>3528.3230000000008</v>
      </c>
      <c r="D252" s="538">
        <f t="shared" si="24"/>
        <v>3324.0309999999995</v>
      </c>
      <c r="F252" s="538">
        <f>F254-F247-F248-F249-F250-F251</f>
        <v>2813.0249999999996</v>
      </c>
      <c r="G252" s="538">
        <f t="shared" si="24"/>
        <v>4444.75</v>
      </c>
      <c r="H252" s="538">
        <f t="shared" si="24"/>
        <v>5104.4110000000001</v>
      </c>
      <c r="I252" s="520">
        <f t="shared" si="22"/>
        <v>12362.186</v>
      </c>
      <c r="J252" s="531">
        <f t="shared" si="23"/>
        <v>12362.186</v>
      </c>
      <c r="K252" s="538">
        <f>K254-K247-K248-K249-K250-K251</f>
        <v>3890.5019999999995</v>
      </c>
      <c r="L252" s="538">
        <f t="shared" si="24"/>
        <v>4277.1479999999992</v>
      </c>
      <c r="M252" s="538">
        <f t="shared" si="24"/>
        <v>5652.89</v>
      </c>
      <c r="O252" s="538">
        <f>O254-O247-O248-O249-O250-O251</f>
        <v>5285.01</v>
      </c>
      <c r="P252" s="538">
        <f t="shared" si="24"/>
        <v>4526.5019999999995</v>
      </c>
      <c r="Q252" s="538">
        <f t="shared" si="24"/>
        <v>5273.5959999999977</v>
      </c>
      <c r="T252" s="538">
        <f t="shared" si="21"/>
        <v>77058.913</v>
      </c>
      <c r="U252" s="483"/>
    </row>
    <row r="253" spans="1:34" ht="15.75">
      <c r="A253" s="537" t="s">
        <v>23</v>
      </c>
      <c r="B253" s="531">
        <f>SUM(B247:B252)</f>
        <v>7595.473</v>
      </c>
      <c r="C253" s="531">
        <f t="shared" ref="C253:Q253" si="25">SUM(C247:C252)</f>
        <v>7963.8630000000012</v>
      </c>
      <c r="D253" s="531">
        <f t="shared" si="25"/>
        <v>7812.8909999999996</v>
      </c>
      <c r="F253" s="531">
        <f>SUM(F247:F252)</f>
        <v>5236.5749999999989</v>
      </c>
      <c r="G253" s="531">
        <f t="shared" si="25"/>
        <v>9307.75</v>
      </c>
      <c r="H253" s="531">
        <f t="shared" si="25"/>
        <v>8073.5810000000001</v>
      </c>
      <c r="I253" s="520">
        <f t="shared" si="22"/>
        <v>22617.905999999999</v>
      </c>
      <c r="J253" s="531">
        <f t="shared" si="23"/>
        <v>22617.905999999999</v>
      </c>
      <c r="K253" s="531">
        <f>SUM(K247:K252)</f>
        <v>5266.3639999999996</v>
      </c>
      <c r="L253" s="531">
        <f t="shared" si="25"/>
        <v>6575.1859999999997</v>
      </c>
      <c r="M253" s="531">
        <f t="shared" si="25"/>
        <v>9243.84</v>
      </c>
      <c r="O253" s="531">
        <f>SUM(O247:O252)</f>
        <v>9009.65</v>
      </c>
      <c r="P253" s="531">
        <f t="shared" si="25"/>
        <v>7715.6419999999998</v>
      </c>
      <c r="Q253" s="531">
        <f t="shared" si="25"/>
        <v>12118.220999999998</v>
      </c>
      <c r="T253" s="538">
        <f t="shared" si="21"/>
        <v>141154.84799999997</v>
      </c>
      <c r="U253" s="484"/>
    </row>
    <row r="254" spans="1:34" s="374" customFormat="1" ht="15">
      <c r="A254"/>
      <c r="B254" s="538">
        <v>7595.473</v>
      </c>
      <c r="C254" s="538">
        <v>7963.8630000000003</v>
      </c>
      <c r="D254" s="538">
        <v>7812.8909999999996</v>
      </c>
      <c r="E254"/>
      <c r="F254" s="538">
        <v>5236.5749999999998</v>
      </c>
      <c r="G254" s="538">
        <v>9307.75</v>
      </c>
      <c r="H254" s="538">
        <v>8073.5810000000001</v>
      </c>
      <c r="I254"/>
      <c r="J254" s="538"/>
      <c r="K254" s="538">
        <v>5266.3639999999996</v>
      </c>
      <c r="L254" s="538">
        <f>6575.186</f>
        <v>6575.1859999999997</v>
      </c>
      <c r="M254" s="538">
        <v>9243.84</v>
      </c>
      <c r="N254"/>
      <c r="O254" s="538">
        <v>9009.65</v>
      </c>
      <c r="P254" s="538">
        <v>7715.6419999999998</v>
      </c>
      <c r="Q254" s="538">
        <v>12118.221</v>
      </c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1:34" s="374" customFormat="1" ht="15">
      <c r="A255"/>
      <c r="B255"/>
      <c r="C255"/>
      <c r="D255"/>
      <c r="E255"/>
      <c r="F255"/>
      <c r="G255" s="290" t="s">
        <v>759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 s="374" customFormat="1" ht="15.75">
      <c r="A256" s="3074" t="s">
        <v>3214</v>
      </c>
      <c r="B256" s="2803"/>
      <c r="C256" s="2803"/>
      <c r="D256" s="2803"/>
      <c r="E256" s="2803"/>
      <c r="F256" s="2803"/>
      <c r="G256" s="2803"/>
      <c r="H256" s="2803"/>
      <c r="I256" s="2803"/>
      <c r="J256" s="2803"/>
      <c r="K256" s="2803"/>
      <c r="L256" s="2803"/>
      <c r="M256" s="2803"/>
      <c r="N256" s="2803"/>
      <c r="O256" s="2803"/>
      <c r="P256" s="2803"/>
      <c r="Q256" s="2803"/>
      <c r="R256" s="2803"/>
      <c r="S256" s="535"/>
      <c r="T256" s="535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s="374" customFormat="1" ht="15.75">
      <c r="A257" s="536"/>
      <c r="B257" s="535" t="s">
        <v>2260</v>
      </c>
      <c r="C257" s="535" t="s">
        <v>723</v>
      </c>
      <c r="D257" s="535" t="s">
        <v>2147</v>
      </c>
      <c r="E257"/>
      <c r="F257" s="535" t="s">
        <v>1993</v>
      </c>
      <c r="G257" s="535" t="s">
        <v>726</v>
      </c>
      <c r="H257" s="535" t="s">
        <v>1994</v>
      </c>
      <c r="I257" s="535" t="s">
        <v>2610</v>
      </c>
      <c r="J257" s="535" t="s">
        <v>3148</v>
      </c>
      <c r="K257" s="535" t="s">
        <v>729</v>
      </c>
      <c r="L257" s="535" t="s">
        <v>730</v>
      </c>
      <c r="M257" s="535" t="s">
        <v>731</v>
      </c>
      <c r="N257"/>
      <c r="O257" s="535" t="s">
        <v>732</v>
      </c>
      <c r="P257" s="535" t="s">
        <v>733</v>
      </c>
      <c r="Q257" s="535" t="s">
        <v>3206</v>
      </c>
      <c r="R257"/>
      <c r="S257" s="535"/>
      <c r="T257" s="535" t="s">
        <v>2057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 s="374" customFormat="1" ht="15.75">
      <c r="A258" s="537" t="s">
        <v>351</v>
      </c>
      <c r="B258" s="538">
        <v>449.5</v>
      </c>
      <c r="C258" s="538">
        <v>398.03</v>
      </c>
      <c r="D258" s="538">
        <v>894.01</v>
      </c>
      <c r="E258"/>
      <c r="F258" s="538">
        <v>508.6</v>
      </c>
      <c r="G258" s="538">
        <v>557.20000000000005</v>
      </c>
      <c r="H258" s="538">
        <v>598</v>
      </c>
      <c r="I258" s="520">
        <f>SUM(F258:H258)</f>
        <v>1663.8000000000002</v>
      </c>
      <c r="J258" s="531">
        <f>+I258+E258</f>
        <v>1663.8000000000002</v>
      </c>
      <c r="K258" s="538">
        <v>458.2</v>
      </c>
      <c r="L258" s="538">
        <v>352.3</v>
      </c>
      <c r="M258" s="538">
        <v>0</v>
      </c>
      <c r="N258"/>
      <c r="O258" s="538">
        <v>454</v>
      </c>
      <c r="P258" s="538">
        <v>439.2</v>
      </c>
      <c r="Q258" s="538">
        <v>214.02</v>
      </c>
      <c r="R258"/>
      <c r="S258" s="538"/>
      <c r="T258" s="538">
        <f t="shared" ref="T258:T264" si="26">SUM(B258:Q258)</f>
        <v>8650.6600000000017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 s="374" customFormat="1" ht="15.75">
      <c r="A259" s="537" t="s">
        <v>385</v>
      </c>
      <c r="B259" s="538">
        <f>299+31+80+1027</f>
        <v>1437</v>
      </c>
      <c r="C259" s="538">
        <f>36.45+27+119+120+29+81</f>
        <v>412.45</v>
      </c>
      <c r="D259" s="538">
        <f>270+88+97</f>
        <v>455</v>
      </c>
      <c r="E259"/>
      <c r="F259" s="538">
        <f>33.48+759+281+15+50</f>
        <v>1138.48</v>
      </c>
      <c r="G259" s="538">
        <f>195+852+107+15+23</f>
        <v>1192</v>
      </c>
      <c r="H259" s="538">
        <f>234+426+112+32+18</f>
        <v>822</v>
      </c>
      <c r="I259" s="520">
        <f t="shared" ref="I259:I264" si="27">SUM(F259:H259)</f>
        <v>3152.48</v>
      </c>
      <c r="J259" s="531">
        <f t="shared" ref="J259:J264" si="28">+I259+E259</f>
        <v>3152.48</v>
      </c>
      <c r="K259" s="538">
        <f>248.2+22+1.774+5.682</f>
        <v>277.65600000000001</v>
      </c>
      <c r="L259" s="538">
        <f>129.38+375+30</f>
        <v>534.38</v>
      </c>
      <c r="M259" s="538">
        <f>216.42+286+352+54</f>
        <v>908.42</v>
      </c>
      <c r="N259"/>
      <c r="O259" s="538">
        <f>179.45+447</f>
        <v>626.45000000000005</v>
      </c>
      <c r="P259" s="538">
        <f>157.3+437+204+53+14</f>
        <v>865.3</v>
      </c>
      <c r="Q259" s="538">
        <f>73+666.56+3.665</f>
        <v>743.22499999999991</v>
      </c>
      <c r="R259"/>
      <c r="S259" s="538"/>
      <c r="T259" s="538">
        <f t="shared" si="26"/>
        <v>15717.321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 s="374" customFormat="1" ht="15.75">
      <c r="A260" s="537" t="s">
        <v>563</v>
      </c>
      <c r="B260" s="531">
        <v>820.2</v>
      </c>
      <c r="C260" s="531">
        <v>2469.44</v>
      </c>
      <c r="D260" s="531">
        <v>2034.365</v>
      </c>
      <c r="E260"/>
      <c r="F260" s="531">
        <v>2400.63</v>
      </c>
      <c r="G260" s="531">
        <v>516.29999999999995</v>
      </c>
      <c r="H260" s="531">
        <v>1153.06</v>
      </c>
      <c r="I260" s="520">
        <f t="shared" si="27"/>
        <v>4069.9900000000002</v>
      </c>
      <c r="J260" s="531">
        <f t="shared" si="28"/>
        <v>4069.9900000000002</v>
      </c>
      <c r="K260" s="531">
        <v>1042</v>
      </c>
      <c r="L260" s="531">
        <v>818</v>
      </c>
      <c r="M260" s="531">
        <v>632.88</v>
      </c>
      <c r="N260"/>
      <c r="O260" s="531">
        <v>678</v>
      </c>
      <c r="P260" s="531">
        <v>866.92</v>
      </c>
      <c r="Q260" s="531">
        <v>807</v>
      </c>
      <c r="R260"/>
      <c r="S260" s="538"/>
      <c r="T260" s="538">
        <f t="shared" si="26"/>
        <v>22378.774999999998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 s="374" customFormat="1" ht="15.75">
      <c r="A261" s="537" t="s">
        <v>3213</v>
      </c>
      <c r="B261" s="538">
        <v>455.32</v>
      </c>
      <c r="C261" s="538">
        <v>437</v>
      </c>
      <c r="D261" s="538">
        <v>234</v>
      </c>
      <c r="E261"/>
      <c r="F261" s="538">
        <v>323.14999999999998</v>
      </c>
      <c r="G261" s="538">
        <v>175</v>
      </c>
      <c r="H261" s="538">
        <v>47</v>
      </c>
      <c r="I261" s="520">
        <f t="shared" si="27"/>
        <v>545.15</v>
      </c>
      <c r="J261" s="531">
        <f t="shared" si="28"/>
        <v>545.15</v>
      </c>
      <c r="K261" s="538">
        <f>97+86</f>
        <v>183</v>
      </c>
      <c r="L261" s="538">
        <f>80+392</f>
        <v>472</v>
      </c>
      <c r="M261" s="538">
        <f>235+584</f>
        <v>819</v>
      </c>
      <c r="N261"/>
      <c r="O261" s="538">
        <f>87+514</f>
        <v>601</v>
      </c>
      <c r="P261" s="538">
        <v>171</v>
      </c>
      <c r="Q261" s="538">
        <v>86</v>
      </c>
      <c r="R261"/>
      <c r="S261" s="538"/>
      <c r="T261" s="538">
        <f t="shared" si="26"/>
        <v>5093.7700000000004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 s="374" customFormat="1" ht="15.75">
      <c r="A262" s="537" t="s">
        <v>500</v>
      </c>
      <c r="B262" s="538">
        <v>0</v>
      </c>
      <c r="C262" s="538">
        <v>0</v>
      </c>
      <c r="D262" s="538">
        <v>0</v>
      </c>
      <c r="E262"/>
      <c r="F262" s="538">
        <v>0</v>
      </c>
      <c r="G262" s="538">
        <v>0</v>
      </c>
      <c r="H262" s="538">
        <v>0</v>
      </c>
      <c r="I262" s="520">
        <f t="shared" si="27"/>
        <v>0</v>
      </c>
      <c r="J262" s="531">
        <f t="shared" si="28"/>
        <v>0</v>
      </c>
      <c r="K262" s="538">
        <v>0</v>
      </c>
      <c r="L262" s="538">
        <f>147+105</f>
        <v>252</v>
      </c>
      <c r="M262" s="538">
        <v>0</v>
      </c>
      <c r="N262"/>
      <c r="O262" s="538">
        <v>856.59</v>
      </c>
      <c r="P262" s="538">
        <v>1113.47</v>
      </c>
      <c r="Q262" s="538">
        <v>1842.24</v>
      </c>
      <c r="R262"/>
      <c r="S262" s="538"/>
      <c r="T262" s="538">
        <f t="shared" si="26"/>
        <v>4064.3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 ht="15.75">
      <c r="A263" s="537" t="s">
        <v>2257</v>
      </c>
      <c r="B263" s="538">
        <f>+B265-B258-B259-B260-B261-B262</f>
        <v>3162.3669999999997</v>
      </c>
      <c r="C263" s="538">
        <f t="shared" ref="C263:Q263" si="29">+C265-C258-C259-C260-C261-C262</f>
        <v>3663.25</v>
      </c>
      <c r="D263" s="538">
        <f t="shared" si="29"/>
        <v>3753.674</v>
      </c>
      <c r="F263" s="538">
        <f>+F265-F258-F259-F260-F261-F262</f>
        <v>3015.322999999999</v>
      </c>
      <c r="G263" s="538">
        <f t="shared" si="29"/>
        <v>5207.8159999999998</v>
      </c>
      <c r="H263" s="538">
        <f t="shared" si="29"/>
        <v>5429.277</v>
      </c>
      <c r="I263" s="520">
        <f t="shared" si="27"/>
        <v>13652.415999999999</v>
      </c>
      <c r="J263" s="531">
        <f t="shared" si="28"/>
        <v>13652.415999999999</v>
      </c>
      <c r="K263" s="538">
        <f>+K265-K258-K259-K260-K261-K262</f>
        <v>3872.8910000000005</v>
      </c>
      <c r="L263" s="538">
        <f t="shared" si="29"/>
        <v>3784.7950000000001</v>
      </c>
      <c r="M263" s="538">
        <f t="shared" si="29"/>
        <v>5684.942</v>
      </c>
      <c r="O263" s="538">
        <f>+O265-O258-O259-O260-O261-O262</f>
        <v>5307.2859999999991</v>
      </c>
      <c r="P263" s="538">
        <f t="shared" si="29"/>
        <v>4203.9679999999998</v>
      </c>
      <c r="Q263" s="538">
        <f t="shared" si="29"/>
        <v>4945.735999999999</v>
      </c>
      <c r="S263" s="538"/>
      <c r="T263" s="538">
        <f t="shared" si="26"/>
        <v>79336.156999999992</v>
      </c>
    </row>
    <row r="264" spans="1:34" ht="15.75">
      <c r="A264" s="537" t="s">
        <v>23</v>
      </c>
      <c r="B264" s="531">
        <f>SUM(B258:B263)</f>
        <v>6324.3869999999997</v>
      </c>
      <c r="C264" s="531">
        <f t="shared" ref="C264:Q264" si="30">SUM(C258:C263)</f>
        <v>7380.17</v>
      </c>
      <c r="D264" s="531">
        <f t="shared" si="30"/>
        <v>7371.049</v>
      </c>
      <c r="F264" s="531">
        <f>SUM(F258:F263)</f>
        <v>7386.1829999999991</v>
      </c>
      <c r="G264" s="531">
        <f t="shared" si="30"/>
        <v>7648.3159999999998</v>
      </c>
      <c r="H264" s="531">
        <f t="shared" si="30"/>
        <v>8049.3369999999995</v>
      </c>
      <c r="I264" s="520">
        <f t="shared" si="27"/>
        <v>23083.835999999999</v>
      </c>
      <c r="J264" s="531">
        <f t="shared" si="28"/>
        <v>23083.835999999999</v>
      </c>
      <c r="K264" s="531">
        <f>SUM(K258:K263)</f>
        <v>5833.7470000000003</v>
      </c>
      <c r="L264" s="531">
        <f t="shared" si="30"/>
        <v>6213.4750000000004</v>
      </c>
      <c r="M264" s="531">
        <f t="shared" si="30"/>
        <v>8045.2420000000002</v>
      </c>
      <c r="O264" s="531">
        <f>SUM(O258:O263)</f>
        <v>8523.3259999999991</v>
      </c>
      <c r="P264" s="531">
        <f t="shared" si="30"/>
        <v>7659.8580000000002</v>
      </c>
      <c r="Q264" s="531">
        <f t="shared" si="30"/>
        <v>8638.2209999999977</v>
      </c>
      <c r="S264" s="538"/>
      <c r="T264" s="538">
        <f t="shared" si="26"/>
        <v>135240.98299999998</v>
      </c>
    </row>
    <row r="265" spans="1:34" ht="15">
      <c r="B265" s="538">
        <v>6324.3869999999997</v>
      </c>
      <c r="C265" s="538">
        <v>7380.17</v>
      </c>
      <c r="D265" s="538">
        <v>7371.049</v>
      </c>
      <c r="F265" s="538">
        <v>7386.183</v>
      </c>
      <c r="G265" s="538">
        <v>7648.3159999999998</v>
      </c>
      <c r="H265" s="538">
        <v>8049.3370000000004</v>
      </c>
      <c r="J265" s="538"/>
      <c r="K265" s="538">
        <v>5833.7470000000003</v>
      </c>
      <c r="L265" s="538">
        <v>6213.4750000000004</v>
      </c>
      <c r="M265" s="538">
        <v>8045.2420000000002</v>
      </c>
      <c r="O265" s="538">
        <v>8523.3259999999991</v>
      </c>
      <c r="P265" s="538">
        <v>7659.8580000000002</v>
      </c>
      <c r="Q265" s="538">
        <v>8638.2209999999995</v>
      </c>
    </row>
    <row r="266" spans="1:34">
      <c r="G266" s="290"/>
    </row>
    <row r="267" spans="1:3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 spans="1:34">
      <c r="A268" s="30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552"/>
      <c r="V268" s="13"/>
    </row>
    <row r="269" spans="1:34" ht="15.75">
      <c r="A269" s="3075" t="s">
        <v>3205</v>
      </c>
      <c r="B269" s="3075"/>
      <c r="C269" s="3075"/>
      <c r="D269" s="3075"/>
      <c r="E269" s="3075"/>
      <c r="F269" s="3075"/>
      <c r="G269" s="3075"/>
      <c r="H269" s="3075"/>
      <c r="I269" s="3075"/>
      <c r="J269" s="3075"/>
      <c r="K269" s="3075"/>
      <c r="L269" s="3075"/>
      <c r="M269" s="3075"/>
      <c r="N269" s="3075"/>
      <c r="O269" s="3075"/>
      <c r="P269" s="3075"/>
      <c r="Q269" s="3075"/>
      <c r="R269" s="3075"/>
      <c r="S269" s="547"/>
      <c r="T269" s="547"/>
      <c r="U269" s="564" t="s">
        <v>3211</v>
      </c>
      <c r="V269" s="564"/>
      <c r="W269" s="374"/>
      <c r="X269" s="374"/>
      <c r="Y269" s="374"/>
      <c r="Z269" s="374"/>
      <c r="AA269" s="374"/>
      <c r="AB269" s="374"/>
      <c r="AC269" s="374"/>
      <c r="AD269" s="374"/>
      <c r="AE269" s="374"/>
      <c r="AF269" s="374"/>
      <c r="AG269" s="374"/>
      <c r="AH269" s="374"/>
    </row>
    <row r="270" spans="1:34" ht="18.75">
      <c r="A270" s="547"/>
      <c r="B270" s="547" t="s">
        <v>2260</v>
      </c>
      <c r="C270" s="547" t="s">
        <v>723</v>
      </c>
      <c r="D270" s="547" t="s">
        <v>2147</v>
      </c>
      <c r="E270" s="435" t="s">
        <v>2609</v>
      </c>
      <c r="F270" s="547" t="s">
        <v>1993</v>
      </c>
      <c r="G270" s="547" t="s">
        <v>726</v>
      </c>
      <c r="H270" s="547" t="s">
        <v>1994</v>
      </c>
      <c r="I270" s="547" t="s">
        <v>2610</v>
      </c>
      <c r="J270" s="547" t="s">
        <v>3148</v>
      </c>
      <c r="K270" s="547" t="s">
        <v>729</v>
      </c>
      <c r="L270" s="547" t="s">
        <v>730</v>
      </c>
      <c r="M270" s="547" t="s">
        <v>731</v>
      </c>
      <c r="N270" s="547" t="s">
        <v>2611</v>
      </c>
      <c r="O270" s="547" t="s">
        <v>732</v>
      </c>
      <c r="P270" s="547" t="s">
        <v>733</v>
      </c>
      <c r="Q270" s="547" t="s">
        <v>3206</v>
      </c>
      <c r="R270" s="547" t="s">
        <v>2612</v>
      </c>
      <c r="S270" s="547" t="s">
        <v>3149</v>
      </c>
      <c r="T270" s="547" t="s">
        <v>115</v>
      </c>
      <c r="U270" s="547" t="s">
        <v>3212</v>
      </c>
      <c r="V270" s="564" t="s">
        <v>733</v>
      </c>
      <c r="W270" s="374" t="s">
        <v>3206</v>
      </c>
      <c r="X270" s="374"/>
      <c r="Y270" s="374" t="s">
        <v>2612</v>
      </c>
      <c r="Z270" s="374" t="s">
        <v>3149</v>
      </c>
      <c r="AA270" s="374" t="s">
        <v>170</v>
      </c>
      <c r="AB270" s="374"/>
      <c r="AC270" s="374"/>
      <c r="AD270" s="374"/>
      <c r="AE270" s="374"/>
      <c r="AF270" s="374"/>
      <c r="AG270" s="374"/>
      <c r="AH270" s="374"/>
    </row>
    <row r="271" spans="1:34" ht="20.25">
      <c r="A271" s="547" t="s">
        <v>351</v>
      </c>
      <c r="B271" s="548">
        <v>81.78</v>
      </c>
      <c r="C271" s="548">
        <v>128.74</v>
      </c>
      <c r="D271" s="548">
        <v>453</v>
      </c>
      <c r="E271" s="342">
        <f t="shared" ref="E271:E277" si="31">SUM(B271:D271)</f>
        <v>663.52</v>
      </c>
      <c r="F271" s="548">
        <v>249</v>
      </c>
      <c r="G271" s="548">
        <v>138</v>
      </c>
      <c r="H271" s="548">
        <v>431</v>
      </c>
      <c r="I271" s="560">
        <f t="shared" ref="I271:I276" si="32">SUM(F271:H271)</f>
        <v>818</v>
      </c>
      <c r="J271" s="549">
        <f>+I271+E271</f>
        <v>1481.52</v>
      </c>
      <c r="K271" s="548">
        <v>0</v>
      </c>
      <c r="L271" s="548">
        <v>175</v>
      </c>
      <c r="M271" s="548">
        <v>645</v>
      </c>
      <c r="N271" s="560">
        <f>SUM(K271:M271)</f>
        <v>820</v>
      </c>
      <c r="O271" s="548">
        <v>597</v>
      </c>
      <c r="P271" s="548">
        <v>512</v>
      </c>
      <c r="Q271" s="548">
        <v>321</v>
      </c>
      <c r="R271" s="560">
        <f>SUM(O271:Q271)</f>
        <v>1430</v>
      </c>
      <c r="S271" s="549">
        <f>+R271+N271</f>
        <v>2250</v>
      </c>
      <c r="T271" s="549">
        <f t="shared" ref="T271:T276" si="33">R271+N271+I271+E271</f>
        <v>3731.52</v>
      </c>
      <c r="U271" s="259">
        <v>4910</v>
      </c>
      <c r="V271" s="548">
        <v>511.56</v>
      </c>
      <c r="W271" s="538">
        <v>320.74</v>
      </c>
      <c r="X271" s="538"/>
      <c r="Y271" s="565">
        <f t="shared" ref="Y271:Y277" si="34">+W271+V271+O271</f>
        <v>1429.3</v>
      </c>
      <c r="Z271" s="565">
        <f t="shared" ref="Z271:Z277" si="35">+Y271+N271</f>
        <v>2249.3000000000002</v>
      </c>
      <c r="AA271" s="565">
        <f t="shared" ref="AA271:AA276" si="36">+Z271+J271</f>
        <v>3730.82</v>
      </c>
      <c r="AB271" s="374"/>
      <c r="AC271" s="374"/>
      <c r="AD271" s="374"/>
      <c r="AE271" s="374"/>
      <c r="AF271" s="374"/>
      <c r="AG271" s="374"/>
      <c r="AH271" s="374"/>
    </row>
    <row r="272" spans="1:34" ht="20.25">
      <c r="A272" s="547" t="s">
        <v>385</v>
      </c>
      <c r="B272" s="548">
        <v>1003.04</v>
      </c>
      <c r="C272" s="548">
        <v>1192.5999999999999</v>
      </c>
      <c r="D272" s="548">
        <v>826.73</v>
      </c>
      <c r="E272" s="342">
        <f t="shared" si="31"/>
        <v>3022.37</v>
      </c>
      <c r="F272" s="548">
        <v>402</v>
      </c>
      <c r="G272" s="548">
        <v>481</v>
      </c>
      <c r="H272" s="548">
        <v>929</v>
      </c>
      <c r="I272" s="560">
        <f t="shared" si="32"/>
        <v>1812</v>
      </c>
      <c r="J272" s="549">
        <f t="shared" ref="J272:J277" si="37">+I272+E272</f>
        <v>4834.37</v>
      </c>
      <c r="K272" s="548">
        <v>533</v>
      </c>
      <c r="L272" s="548">
        <v>409</v>
      </c>
      <c r="M272" s="548">
        <v>282</v>
      </c>
      <c r="N272" s="560">
        <f t="shared" ref="N272:N277" si="38">SUM(K272:M272)</f>
        <v>1224</v>
      </c>
      <c r="O272" s="548">
        <v>250</v>
      </c>
      <c r="P272" s="548">
        <v>79</v>
      </c>
      <c r="Q272" s="548">
        <v>136</v>
      </c>
      <c r="R272" s="560">
        <f t="shared" ref="R272:R277" si="39">SUM(O272:Q272)</f>
        <v>465</v>
      </c>
      <c r="S272" s="549">
        <f t="shared" ref="S272:S277" si="40">+R272+N272</f>
        <v>1689</v>
      </c>
      <c r="T272" s="549">
        <f t="shared" si="33"/>
        <v>6523.37</v>
      </c>
      <c r="U272" s="259">
        <v>3596</v>
      </c>
      <c r="V272" s="548">
        <v>78.540000000000006</v>
      </c>
      <c r="W272" s="538">
        <f>53.17+72.35+11.1</f>
        <v>136.62</v>
      </c>
      <c r="X272" s="538"/>
      <c r="Y272" s="565">
        <f t="shared" si="34"/>
        <v>465.16</v>
      </c>
      <c r="Z272" s="565">
        <f t="shared" si="35"/>
        <v>1689.16</v>
      </c>
      <c r="AA272" s="565">
        <f t="shared" si="36"/>
        <v>6523.53</v>
      </c>
      <c r="AB272" s="374"/>
      <c r="AC272" s="374"/>
      <c r="AD272" s="374"/>
      <c r="AE272" s="374"/>
      <c r="AF272" s="374"/>
      <c r="AG272" s="374"/>
      <c r="AH272" s="374"/>
    </row>
    <row r="273" spans="1:34" ht="20.25">
      <c r="A273" s="547" t="s">
        <v>563</v>
      </c>
      <c r="B273" s="549">
        <v>1836</v>
      </c>
      <c r="C273" s="549">
        <v>1332</v>
      </c>
      <c r="D273" s="549">
        <v>1685</v>
      </c>
      <c r="E273" s="342">
        <f t="shared" si="31"/>
        <v>4853</v>
      </c>
      <c r="F273" s="549">
        <v>1530</v>
      </c>
      <c r="G273" s="549">
        <v>2535</v>
      </c>
      <c r="H273" s="549">
        <v>2541</v>
      </c>
      <c r="I273" s="560">
        <f t="shared" si="32"/>
        <v>6606</v>
      </c>
      <c r="J273" s="549">
        <f t="shared" si="37"/>
        <v>11459</v>
      </c>
      <c r="K273" s="549">
        <v>3162</v>
      </c>
      <c r="L273" s="549">
        <v>3169</v>
      </c>
      <c r="M273" s="549">
        <v>2848</v>
      </c>
      <c r="N273" s="560">
        <f t="shared" si="38"/>
        <v>9179</v>
      </c>
      <c r="O273" s="549">
        <v>3788</v>
      </c>
      <c r="P273" s="549">
        <v>2892</v>
      </c>
      <c r="Q273" s="549">
        <v>3940</v>
      </c>
      <c r="R273" s="560">
        <f t="shared" si="39"/>
        <v>10620</v>
      </c>
      <c r="S273" s="549">
        <f t="shared" si="40"/>
        <v>19799</v>
      </c>
      <c r="T273" s="549">
        <f t="shared" si="33"/>
        <v>31258</v>
      </c>
      <c r="U273" s="259">
        <v>30520</v>
      </c>
      <c r="V273" s="548">
        <v>2892.66</v>
      </c>
      <c r="W273" s="538">
        <v>3939.6</v>
      </c>
      <c r="X273" s="538"/>
      <c r="Y273" s="565">
        <f t="shared" si="34"/>
        <v>10620.26</v>
      </c>
      <c r="Z273" s="565">
        <f t="shared" si="35"/>
        <v>19799.260000000002</v>
      </c>
      <c r="AA273" s="565">
        <f t="shared" si="36"/>
        <v>31258.260000000002</v>
      </c>
      <c r="AB273" s="374"/>
      <c r="AC273" s="374"/>
      <c r="AD273" s="374"/>
      <c r="AE273" s="374"/>
      <c r="AF273" s="374"/>
      <c r="AG273" s="374"/>
      <c r="AH273" s="374"/>
    </row>
    <row r="274" spans="1:34" ht="20.25">
      <c r="A274" s="547" t="s">
        <v>3213</v>
      </c>
      <c r="B274" s="548">
        <v>689.96</v>
      </c>
      <c r="C274" s="548">
        <v>249</v>
      </c>
      <c r="D274" s="548">
        <v>284</v>
      </c>
      <c r="E274" s="342">
        <f t="shared" si="31"/>
        <v>1222.96</v>
      </c>
      <c r="F274" s="548">
        <v>209</v>
      </c>
      <c r="G274" s="548">
        <v>147</v>
      </c>
      <c r="H274" s="548">
        <v>92</v>
      </c>
      <c r="I274" s="560">
        <f t="shared" si="32"/>
        <v>448</v>
      </c>
      <c r="J274" s="549">
        <f t="shared" si="37"/>
        <v>1670.96</v>
      </c>
      <c r="K274" s="548">
        <v>158</v>
      </c>
      <c r="L274" s="548"/>
      <c r="M274" s="548">
        <v>206</v>
      </c>
      <c r="N274" s="560">
        <f t="shared" si="38"/>
        <v>364</v>
      </c>
      <c r="O274" s="548">
        <v>74</v>
      </c>
      <c r="P274" s="548">
        <v>8</v>
      </c>
      <c r="Q274" s="548"/>
      <c r="R274" s="560">
        <f t="shared" si="39"/>
        <v>82</v>
      </c>
      <c r="S274" s="549">
        <f t="shared" si="40"/>
        <v>446</v>
      </c>
      <c r="T274" s="549">
        <f t="shared" si="33"/>
        <v>2116.96</v>
      </c>
      <c r="U274" s="259">
        <f>1715+427</f>
        <v>2142</v>
      </c>
      <c r="V274" s="548">
        <v>8.49</v>
      </c>
      <c r="W274" s="538">
        <v>0</v>
      </c>
      <c r="X274" s="538"/>
      <c r="Y274" s="565">
        <f t="shared" si="34"/>
        <v>82.49</v>
      </c>
      <c r="Z274" s="565">
        <f t="shared" si="35"/>
        <v>446.49</v>
      </c>
      <c r="AA274" s="565">
        <f t="shared" si="36"/>
        <v>2117.4499999999998</v>
      </c>
      <c r="AB274" s="374"/>
      <c r="AC274" s="374"/>
      <c r="AD274" s="374"/>
      <c r="AE274" s="374"/>
      <c r="AF274" s="374"/>
      <c r="AG274" s="374"/>
      <c r="AH274" s="374"/>
    </row>
    <row r="275" spans="1:34" ht="20.25">
      <c r="A275" s="547" t="s">
        <v>500</v>
      </c>
      <c r="B275" s="548">
        <v>1134</v>
      </c>
      <c r="C275" s="548">
        <v>482</v>
      </c>
      <c r="D275" s="548">
        <v>1860</v>
      </c>
      <c r="E275" s="342">
        <f t="shared" si="31"/>
        <v>3476</v>
      </c>
      <c r="F275" s="548">
        <v>3713</v>
      </c>
      <c r="G275" s="548">
        <v>1460</v>
      </c>
      <c r="H275" s="548">
        <v>2121</v>
      </c>
      <c r="I275" s="560">
        <f t="shared" si="32"/>
        <v>7294</v>
      </c>
      <c r="J275" s="549">
        <f t="shared" si="37"/>
        <v>10770</v>
      </c>
      <c r="K275" s="548">
        <v>1825</v>
      </c>
      <c r="L275" s="548">
        <v>1876</v>
      </c>
      <c r="M275" s="548">
        <v>1540</v>
      </c>
      <c r="N275" s="560">
        <f t="shared" si="38"/>
        <v>5241</v>
      </c>
      <c r="O275" s="548">
        <v>174</v>
      </c>
      <c r="P275" s="548">
        <v>1550</v>
      </c>
      <c r="Q275" s="548">
        <v>3405</v>
      </c>
      <c r="R275" s="560">
        <f t="shared" si="39"/>
        <v>5129</v>
      </c>
      <c r="S275" s="549">
        <f t="shared" si="40"/>
        <v>10370</v>
      </c>
      <c r="T275" s="549">
        <f t="shared" si="33"/>
        <v>21140</v>
      </c>
      <c r="U275" s="259">
        <v>18477</v>
      </c>
      <c r="V275" s="548">
        <v>1549.75</v>
      </c>
      <c r="W275" s="538">
        <v>3405.16</v>
      </c>
      <c r="X275" s="538"/>
      <c r="Y275" s="565">
        <f t="shared" si="34"/>
        <v>5128.91</v>
      </c>
      <c r="Z275" s="565">
        <f t="shared" si="35"/>
        <v>10369.91</v>
      </c>
      <c r="AA275" s="565">
        <f t="shared" si="36"/>
        <v>21139.91</v>
      </c>
      <c r="AB275" s="374"/>
      <c r="AC275" s="374"/>
      <c r="AD275" s="374"/>
      <c r="AE275" s="374"/>
      <c r="AF275" s="374"/>
      <c r="AG275" s="374"/>
      <c r="AH275" s="374"/>
    </row>
    <row r="276" spans="1:34" ht="20.25">
      <c r="A276" s="547" t="s">
        <v>2257</v>
      </c>
      <c r="B276" s="548">
        <f>10032.01-4745</f>
        <v>5287.01</v>
      </c>
      <c r="C276" s="548">
        <f>5904-43</f>
        <v>5861</v>
      </c>
      <c r="D276" s="548">
        <v>4995</v>
      </c>
      <c r="E276" s="342">
        <f t="shared" si="31"/>
        <v>16143.01</v>
      </c>
      <c r="F276" s="548">
        <v>4421</v>
      </c>
      <c r="G276" s="548">
        <v>4598</v>
      </c>
      <c r="H276" s="548">
        <v>3489</v>
      </c>
      <c r="I276" s="560">
        <f t="shared" si="32"/>
        <v>12508</v>
      </c>
      <c r="J276" s="549">
        <f t="shared" si="37"/>
        <v>28651.010000000002</v>
      </c>
      <c r="K276" s="548">
        <v>4672</v>
      </c>
      <c r="L276" s="548">
        <v>3997</v>
      </c>
      <c r="M276" s="548">
        <v>4322</v>
      </c>
      <c r="N276" s="560">
        <f t="shared" si="38"/>
        <v>12991</v>
      </c>
      <c r="O276" s="548">
        <v>3385</v>
      </c>
      <c r="P276" s="548">
        <f>P277-P271-P272-P273-P274-P275</f>
        <v>3020</v>
      </c>
      <c r="Q276" s="548">
        <v>2767</v>
      </c>
      <c r="R276" s="560">
        <f t="shared" si="39"/>
        <v>9172</v>
      </c>
      <c r="S276" s="549">
        <f t="shared" si="40"/>
        <v>22163</v>
      </c>
      <c r="T276" s="549">
        <f t="shared" si="33"/>
        <v>50814.01</v>
      </c>
      <c r="U276" s="259">
        <f>116119-59645</f>
        <v>56474</v>
      </c>
      <c r="V276" s="548">
        <f>8015.541-5041</f>
        <v>2974.5410000000002</v>
      </c>
      <c r="W276" s="538">
        <f>10569.186-7802</f>
        <v>2767.1859999999997</v>
      </c>
      <c r="X276" s="538"/>
      <c r="Y276" s="565">
        <f t="shared" si="34"/>
        <v>9126.726999999999</v>
      </c>
      <c r="Z276" s="565">
        <f t="shared" si="35"/>
        <v>22117.726999999999</v>
      </c>
      <c r="AA276" s="565">
        <f t="shared" si="36"/>
        <v>50768.737000000001</v>
      </c>
      <c r="AB276" s="374"/>
      <c r="AC276" s="374"/>
      <c r="AD276" s="374"/>
      <c r="AE276" s="374"/>
      <c r="AF276" s="374"/>
      <c r="AG276" s="374"/>
      <c r="AH276" s="374"/>
    </row>
    <row r="277" spans="1:34" ht="20.25">
      <c r="A277" s="547" t="s">
        <v>23</v>
      </c>
      <c r="B277" s="548">
        <f>SUM(B271:B276)</f>
        <v>10031.790000000001</v>
      </c>
      <c r="C277" s="548">
        <f>SUM(C271:C276)</f>
        <v>9245.34</v>
      </c>
      <c r="D277" s="548">
        <f>SUM(D271:D276)</f>
        <v>10103.73</v>
      </c>
      <c r="E277" s="342">
        <f t="shared" si="31"/>
        <v>29380.86</v>
      </c>
      <c r="F277" s="548">
        <f>SUM(F271:F276)</f>
        <v>10524</v>
      </c>
      <c r="G277" s="548">
        <f>SUM(G271:G276)</f>
        <v>9359</v>
      </c>
      <c r="H277" s="548">
        <f>SUM(H271:H276)</f>
        <v>9603</v>
      </c>
      <c r="I277" s="548">
        <f>SUM(I271:I276)</f>
        <v>29486</v>
      </c>
      <c r="J277" s="549">
        <f t="shared" si="37"/>
        <v>58866.86</v>
      </c>
      <c r="K277" s="548">
        <f>SUM(K271:K276)</f>
        <v>10350</v>
      </c>
      <c r="L277" s="548">
        <f>SUM(L271:L276)</f>
        <v>9626</v>
      </c>
      <c r="M277" s="548">
        <f>SUM(M271:M276)</f>
        <v>9843</v>
      </c>
      <c r="N277" s="560">
        <f t="shared" si="38"/>
        <v>29819</v>
      </c>
      <c r="O277" s="548">
        <f>SUM(O271:O276)</f>
        <v>8268</v>
      </c>
      <c r="P277" s="548">
        <v>8061</v>
      </c>
      <c r="Q277" s="548">
        <v>10570</v>
      </c>
      <c r="R277" s="560">
        <f t="shared" si="39"/>
        <v>26899</v>
      </c>
      <c r="S277" s="549">
        <f t="shared" si="40"/>
        <v>56718</v>
      </c>
      <c r="T277" s="549">
        <f>R277+N277+I277+E277+2</f>
        <v>115586.86</v>
      </c>
      <c r="U277" s="115">
        <f>SUM(U271:U276)</f>
        <v>116119</v>
      </c>
      <c r="V277" s="548">
        <f>SUM(V271:V276)</f>
        <v>8015.5410000000002</v>
      </c>
      <c r="W277" s="548">
        <f>SUM(W271:W276)</f>
        <v>10569.306</v>
      </c>
      <c r="X277" s="538"/>
      <c r="Y277" s="565">
        <f t="shared" si="34"/>
        <v>26852.847000000002</v>
      </c>
      <c r="Z277" s="565">
        <f t="shared" si="35"/>
        <v>56671.847000000002</v>
      </c>
      <c r="AA277" s="565">
        <f>+Z277+J277-44</f>
        <v>115494.70699999999</v>
      </c>
      <c r="AB277" s="374"/>
      <c r="AC277" s="374"/>
      <c r="AD277" s="374"/>
      <c r="AE277" s="374"/>
      <c r="AF277" s="374"/>
      <c r="AG277" s="374"/>
      <c r="AH277" s="374"/>
    </row>
    <row r="278" spans="1:34">
      <c r="A278" s="30"/>
      <c r="B278" s="9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13"/>
      <c r="V278" s="13"/>
    </row>
    <row r="279" spans="1:3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 spans="1:3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 spans="1:3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 spans="1:3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 spans="1:34" ht="15.75">
      <c r="A283" s="3075" t="s">
        <v>3208</v>
      </c>
      <c r="B283" s="3075"/>
      <c r="C283" s="3075"/>
      <c r="D283" s="3075"/>
      <c r="E283" s="3075"/>
      <c r="F283" s="3075"/>
      <c r="G283" s="3075"/>
      <c r="H283" s="3075"/>
      <c r="I283" s="3075"/>
      <c r="J283" s="3075"/>
      <c r="K283" s="3075"/>
      <c r="L283" s="3075"/>
      <c r="M283" s="3075"/>
      <c r="N283" s="3075"/>
      <c r="O283" s="3075"/>
      <c r="P283" s="3075"/>
      <c r="Q283" s="3075"/>
      <c r="R283" s="3075"/>
      <c r="S283" s="3075"/>
      <c r="T283" s="3075"/>
      <c r="U283" s="3075"/>
      <c r="V283" s="3075"/>
    </row>
    <row r="284" spans="1:34" ht="18.75">
      <c r="A284" s="550"/>
      <c r="B284" s="551" t="s">
        <v>2260</v>
      </c>
      <c r="C284" s="551" t="s">
        <v>723</v>
      </c>
      <c r="D284" s="551" t="s">
        <v>2147</v>
      </c>
      <c r="E284" s="435" t="s">
        <v>2609</v>
      </c>
      <c r="F284" s="551" t="s">
        <v>1993</v>
      </c>
      <c r="G284" s="551" t="s">
        <v>726</v>
      </c>
      <c r="H284" s="551" t="s">
        <v>1994</v>
      </c>
      <c r="I284" s="547" t="s">
        <v>2610</v>
      </c>
      <c r="J284" s="547" t="s">
        <v>3148</v>
      </c>
      <c r="K284" s="551" t="s">
        <v>729</v>
      </c>
      <c r="L284" s="551" t="s">
        <v>730</v>
      </c>
      <c r="M284" s="551" t="s">
        <v>731</v>
      </c>
      <c r="N284" s="547" t="s">
        <v>2611</v>
      </c>
      <c r="O284" s="551" t="s">
        <v>732</v>
      </c>
      <c r="P284" s="551" t="s">
        <v>733</v>
      </c>
      <c r="Q284" s="551" t="s">
        <v>3206</v>
      </c>
      <c r="R284" s="547" t="s">
        <v>2612</v>
      </c>
      <c r="S284" s="547" t="s">
        <v>3149</v>
      </c>
      <c r="T284" s="551" t="s">
        <v>2246</v>
      </c>
      <c r="U284" s="551" t="s">
        <v>3215</v>
      </c>
      <c r="V284" s="564" t="s">
        <v>733</v>
      </c>
      <c r="W284" s="374" t="s">
        <v>3206</v>
      </c>
      <c r="X284" s="374"/>
      <c r="Y284" s="374" t="s">
        <v>2612</v>
      </c>
      <c r="Z284" s="374" t="s">
        <v>3149</v>
      </c>
      <c r="AA284" s="374" t="s">
        <v>171</v>
      </c>
    </row>
    <row r="285" spans="1:34" ht="20.25">
      <c r="A285" s="550" t="s">
        <v>351</v>
      </c>
      <c r="B285" s="548">
        <v>497</v>
      </c>
      <c r="C285" s="548">
        <v>334</v>
      </c>
      <c r="D285" s="548">
        <v>860</v>
      </c>
      <c r="E285" s="342">
        <f t="shared" ref="E285:E291" si="41">SUM(B285:D285)</f>
        <v>1691</v>
      </c>
      <c r="F285" s="548">
        <v>762</v>
      </c>
      <c r="G285" s="548">
        <v>772</v>
      </c>
      <c r="H285" s="548">
        <v>775</v>
      </c>
      <c r="I285" s="560">
        <f t="shared" ref="I285:I290" si="42">SUM(F285:H285)</f>
        <v>2309</v>
      </c>
      <c r="J285" s="549">
        <f>+I285+E285</f>
        <v>4000</v>
      </c>
      <c r="K285" s="548">
        <v>1001</v>
      </c>
      <c r="L285" s="548">
        <v>681</v>
      </c>
      <c r="M285" s="548">
        <v>0</v>
      </c>
      <c r="N285" s="560">
        <f t="shared" ref="N285:N290" si="43">SUM(K285:M285)</f>
        <v>1682</v>
      </c>
      <c r="O285" s="548">
        <v>988</v>
      </c>
      <c r="P285" s="548">
        <v>912</v>
      </c>
      <c r="Q285" s="548">
        <v>74</v>
      </c>
      <c r="R285" s="560">
        <f>SUM(O285:Q285)</f>
        <v>1974</v>
      </c>
      <c r="S285" s="549">
        <f>+R285+N285</f>
        <v>3656</v>
      </c>
      <c r="T285" s="549">
        <f t="shared" ref="T285:T290" si="44">R285+N285+I285+E285</f>
        <v>7656</v>
      </c>
      <c r="U285" s="115">
        <v>5840</v>
      </c>
      <c r="V285" s="13"/>
      <c r="W285">
        <v>73.599999999999994</v>
      </c>
      <c r="Y285" s="565">
        <f t="shared" ref="Y285:Y291" si="45">+W285+V285+O285</f>
        <v>1061.5999999999999</v>
      </c>
      <c r="Z285" s="565">
        <f t="shared" ref="Z285:Z291" si="46">+Y285+N285</f>
        <v>2743.6</v>
      </c>
      <c r="AA285" s="565">
        <f t="shared" ref="AA285:AA290" si="47">+Z285+J285</f>
        <v>6743.6</v>
      </c>
    </row>
    <row r="286" spans="1:34" ht="20.25">
      <c r="A286" s="550" t="s">
        <v>385</v>
      </c>
      <c r="B286" s="548">
        <v>87.44</v>
      </c>
      <c r="C286" s="548">
        <v>695</v>
      </c>
      <c r="D286" s="548">
        <v>563</v>
      </c>
      <c r="E286" s="342">
        <f t="shared" si="41"/>
        <v>1345.44</v>
      </c>
      <c r="F286" s="548">
        <v>867</v>
      </c>
      <c r="G286" s="548">
        <v>1071</v>
      </c>
      <c r="H286" s="548">
        <v>865</v>
      </c>
      <c r="I286" s="560">
        <f t="shared" si="42"/>
        <v>2803</v>
      </c>
      <c r="J286" s="549">
        <f t="shared" ref="J286:J291" si="48">+I286+E286</f>
        <v>4148.4400000000005</v>
      </c>
      <c r="K286" s="548">
        <v>593</v>
      </c>
      <c r="L286" s="548">
        <v>883</v>
      </c>
      <c r="M286" s="548">
        <v>645</v>
      </c>
      <c r="N286" s="560">
        <f t="shared" si="43"/>
        <v>2121</v>
      </c>
      <c r="O286" s="548">
        <v>0</v>
      </c>
      <c r="P286" s="548">
        <v>4</v>
      </c>
      <c r="Q286" s="548">
        <v>88</v>
      </c>
      <c r="R286" s="560">
        <f t="shared" ref="R286:R291" si="49">SUM(O286:Q286)</f>
        <v>92</v>
      </c>
      <c r="S286" s="549">
        <f t="shared" ref="S286:S291" si="50">+R286+N286</f>
        <v>2213</v>
      </c>
      <c r="T286" s="549">
        <f t="shared" si="44"/>
        <v>6361.4400000000005</v>
      </c>
      <c r="U286" s="55">
        <f>5714+1347+454+614+113</f>
        <v>8242</v>
      </c>
      <c r="V286" s="13">
        <f>830.12+38.7+3.712</f>
        <v>872.53200000000004</v>
      </c>
      <c r="W286">
        <v>0</v>
      </c>
      <c r="Y286" s="565">
        <f t="shared" si="45"/>
        <v>872.53200000000004</v>
      </c>
      <c r="Z286" s="565">
        <f t="shared" si="46"/>
        <v>2993.5320000000002</v>
      </c>
      <c r="AA286" s="565">
        <f t="shared" si="47"/>
        <v>7141.9720000000007</v>
      </c>
    </row>
    <row r="287" spans="1:34" ht="20.25">
      <c r="A287" s="550" t="s">
        <v>563</v>
      </c>
      <c r="B287" s="549">
        <v>3137</v>
      </c>
      <c r="C287" s="549">
        <v>3335</v>
      </c>
      <c r="D287" s="549">
        <v>3240</v>
      </c>
      <c r="E287" s="342">
        <f t="shared" si="41"/>
        <v>9712</v>
      </c>
      <c r="F287" s="549">
        <v>5595</v>
      </c>
      <c r="G287" s="549">
        <v>4304</v>
      </c>
      <c r="H287" s="549">
        <v>4031</v>
      </c>
      <c r="I287" s="560">
        <f t="shared" si="42"/>
        <v>13930</v>
      </c>
      <c r="J287" s="549">
        <f t="shared" si="48"/>
        <v>23642</v>
      </c>
      <c r="K287" s="549">
        <v>3854</v>
      </c>
      <c r="L287" s="549">
        <v>4710</v>
      </c>
      <c r="M287" s="549">
        <v>4286</v>
      </c>
      <c r="N287" s="560">
        <f t="shared" si="43"/>
        <v>12850</v>
      </c>
      <c r="O287" s="549">
        <v>4310</v>
      </c>
      <c r="P287" s="549">
        <v>3516</v>
      </c>
      <c r="Q287" s="549">
        <v>2834</v>
      </c>
      <c r="R287" s="560">
        <f t="shared" si="49"/>
        <v>10660</v>
      </c>
      <c r="S287" s="549">
        <f t="shared" si="50"/>
        <v>23510</v>
      </c>
      <c r="T287" s="549">
        <f t="shared" si="44"/>
        <v>47152</v>
      </c>
      <c r="U287" s="115">
        <v>42906</v>
      </c>
      <c r="V287" s="13">
        <v>3509.42</v>
      </c>
      <c r="W287">
        <v>2834.43</v>
      </c>
      <c r="Y287" s="565">
        <f t="shared" si="45"/>
        <v>10653.85</v>
      </c>
      <c r="Z287" s="565">
        <f t="shared" si="46"/>
        <v>23503.85</v>
      </c>
      <c r="AA287" s="565">
        <f t="shared" si="47"/>
        <v>47145.85</v>
      </c>
    </row>
    <row r="288" spans="1:34" ht="20.25">
      <c r="A288" s="550" t="s">
        <v>568</v>
      </c>
      <c r="B288" s="548">
        <v>403</v>
      </c>
      <c r="C288" s="548">
        <f>149+48</f>
        <v>197</v>
      </c>
      <c r="D288" s="548">
        <v>0</v>
      </c>
      <c r="E288" s="342">
        <f t="shared" si="41"/>
        <v>600</v>
      </c>
      <c r="F288" s="548">
        <f>148+11</f>
        <v>159</v>
      </c>
      <c r="G288" s="548">
        <v>0</v>
      </c>
      <c r="H288" s="548">
        <v>0</v>
      </c>
      <c r="I288" s="560">
        <f t="shared" si="42"/>
        <v>159</v>
      </c>
      <c r="J288" s="549">
        <f t="shared" si="48"/>
        <v>759</v>
      </c>
      <c r="K288" s="548">
        <v>0</v>
      </c>
      <c r="L288" s="548">
        <v>0</v>
      </c>
      <c r="M288" s="548">
        <v>0</v>
      </c>
      <c r="N288" s="560">
        <f t="shared" si="43"/>
        <v>0</v>
      </c>
      <c r="O288" s="548">
        <v>0</v>
      </c>
      <c r="P288" s="548">
        <v>392</v>
      </c>
      <c r="Q288" s="548">
        <v>0</v>
      </c>
      <c r="R288" s="560">
        <f t="shared" si="49"/>
        <v>392</v>
      </c>
      <c r="S288" s="549">
        <f t="shared" si="50"/>
        <v>392</v>
      </c>
      <c r="T288" s="549">
        <f t="shared" si="44"/>
        <v>1151</v>
      </c>
      <c r="U288" s="115">
        <v>1101.49</v>
      </c>
      <c r="V288" s="13">
        <v>392</v>
      </c>
      <c r="W288">
        <v>0</v>
      </c>
      <c r="Y288" s="565">
        <f t="shared" si="45"/>
        <v>392</v>
      </c>
      <c r="Z288" s="565">
        <f t="shared" si="46"/>
        <v>392</v>
      </c>
      <c r="AA288" s="565">
        <f t="shared" si="47"/>
        <v>1151</v>
      </c>
    </row>
    <row r="289" spans="1:27" ht="20.25">
      <c r="A289" s="550" t="s">
        <v>500</v>
      </c>
      <c r="B289" s="398">
        <v>1069</v>
      </c>
      <c r="C289" s="398">
        <v>1557</v>
      </c>
      <c r="D289" s="398">
        <v>1176</v>
      </c>
      <c r="E289" s="342">
        <f t="shared" si="41"/>
        <v>3802</v>
      </c>
      <c r="F289" s="398">
        <v>955</v>
      </c>
      <c r="G289" s="398">
        <v>1019</v>
      </c>
      <c r="H289" s="398">
        <v>581</v>
      </c>
      <c r="I289" s="560">
        <f t="shared" si="42"/>
        <v>2555</v>
      </c>
      <c r="J289" s="549">
        <f t="shared" si="48"/>
        <v>6357</v>
      </c>
      <c r="K289" s="398">
        <v>1719</v>
      </c>
      <c r="L289" s="398">
        <v>1864</v>
      </c>
      <c r="M289" s="398">
        <v>134</v>
      </c>
      <c r="N289" s="560">
        <f t="shared" si="43"/>
        <v>3717</v>
      </c>
      <c r="O289" s="398">
        <v>1010</v>
      </c>
      <c r="P289" s="398">
        <v>2269</v>
      </c>
      <c r="Q289" s="398">
        <v>481</v>
      </c>
      <c r="R289" s="560">
        <f t="shared" si="49"/>
        <v>3760</v>
      </c>
      <c r="S289" s="549">
        <f t="shared" si="50"/>
        <v>7477</v>
      </c>
      <c r="T289" s="549">
        <f t="shared" si="44"/>
        <v>13834</v>
      </c>
      <c r="U289" s="566">
        <v>13313</v>
      </c>
      <c r="V289" s="13">
        <v>2268.69</v>
      </c>
      <c r="W289">
        <v>693.36</v>
      </c>
      <c r="Y289" s="565">
        <f t="shared" si="45"/>
        <v>3972.05</v>
      </c>
      <c r="Z289" s="565">
        <f t="shared" si="46"/>
        <v>7689.05</v>
      </c>
      <c r="AA289" s="565">
        <f t="shared" si="47"/>
        <v>14046.05</v>
      </c>
    </row>
    <row r="290" spans="1:27" ht="20.25">
      <c r="A290" s="550" t="s">
        <v>2257</v>
      </c>
      <c r="B290" s="548">
        <v>1854</v>
      </c>
      <c r="C290" s="548">
        <f>9195.49-6118</f>
        <v>3077.49</v>
      </c>
      <c r="D290" s="548">
        <v>2926</v>
      </c>
      <c r="E290" s="342">
        <f t="shared" si="41"/>
        <v>7857.49</v>
      </c>
      <c r="F290" s="548">
        <v>1899</v>
      </c>
      <c r="G290" s="548">
        <v>2059</v>
      </c>
      <c r="H290" s="548">
        <v>2280</v>
      </c>
      <c r="I290" s="560">
        <f t="shared" si="42"/>
        <v>6238</v>
      </c>
      <c r="J290" s="549">
        <f t="shared" si="48"/>
        <v>14095.49</v>
      </c>
      <c r="K290" s="548">
        <v>1860</v>
      </c>
      <c r="L290" s="548">
        <v>1879</v>
      </c>
      <c r="M290" s="548">
        <v>2059</v>
      </c>
      <c r="N290" s="560">
        <f t="shared" si="43"/>
        <v>5798</v>
      </c>
      <c r="O290" s="548">
        <f>2808-9</f>
        <v>2799</v>
      </c>
      <c r="P290" s="548">
        <v>2302</v>
      </c>
      <c r="Q290" s="548">
        <v>1861</v>
      </c>
      <c r="R290" s="560">
        <f t="shared" si="49"/>
        <v>6962</v>
      </c>
      <c r="S290" s="549">
        <f t="shared" si="50"/>
        <v>12760</v>
      </c>
      <c r="T290" s="549">
        <f t="shared" si="44"/>
        <v>26855.489999999998</v>
      </c>
      <c r="U290" s="55">
        <f>97975-71402</f>
        <v>26573</v>
      </c>
      <c r="V290" s="13">
        <f>8998.09-7043</f>
        <v>1955.0900000000001</v>
      </c>
      <c r="W290">
        <f>5415-3601</f>
        <v>1814</v>
      </c>
      <c r="Y290" s="565">
        <f t="shared" si="45"/>
        <v>6568.09</v>
      </c>
      <c r="Z290" s="565">
        <f t="shared" si="46"/>
        <v>12366.09</v>
      </c>
      <c r="AA290" s="565">
        <f t="shared" si="47"/>
        <v>26461.58</v>
      </c>
    </row>
    <row r="291" spans="1:27" ht="20.25">
      <c r="A291" s="550" t="s">
        <v>23</v>
      </c>
      <c r="B291" s="548">
        <f>SUM(B285:B290)</f>
        <v>7047.4400000000005</v>
      </c>
      <c r="C291" s="548">
        <f>SUM(C285:C290)</f>
        <v>9195.49</v>
      </c>
      <c r="D291" s="548">
        <f>SUM(D285:D290)</f>
        <v>8765</v>
      </c>
      <c r="E291" s="342">
        <f t="shared" si="41"/>
        <v>25007.93</v>
      </c>
      <c r="F291" s="548">
        <v>10079</v>
      </c>
      <c r="G291" s="548">
        <f>SUM(G285:G290)</f>
        <v>9225</v>
      </c>
      <c r="H291" s="548">
        <f>SUM(H285:H290)</f>
        <v>8532</v>
      </c>
      <c r="I291" s="548">
        <f>SUM(I285:I290)</f>
        <v>27994</v>
      </c>
      <c r="J291" s="549">
        <f t="shared" si="48"/>
        <v>53001.93</v>
      </c>
      <c r="K291" s="548">
        <f>SUM(K285:K290)</f>
        <v>9027</v>
      </c>
      <c r="L291" s="548">
        <f>SUM(L285:L290)</f>
        <v>10017</v>
      </c>
      <c r="M291" s="548">
        <f>SUM(M285:M290)</f>
        <v>7124</v>
      </c>
      <c r="N291" s="548">
        <f>SUM(N285:N290)</f>
        <v>26168</v>
      </c>
      <c r="O291" s="548">
        <f>SUM(O285:O290)</f>
        <v>9107</v>
      </c>
      <c r="P291" s="548">
        <v>9003</v>
      </c>
      <c r="Q291" s="548">
        <v>5426</v>
      </c>
      <c r="R291" s="560">
        <f t="shared" si="49"/>
        <v>23536</v>
      </c>
      <c r="S291" s="549">
        <f t="shared" si="50"/>
        <v>49704</v>
      </c>
      <c r="T291" s="549">
        <f>R291+N291+I291+E291+2</f>
        <v>102707.93</v>
      </c>
      <c r="U291" s="508">
        <f>SUM(U285:U290)</f>
        <v>97975.489999999991</v>
      </c>
      <c r="V291" s="548">
        <f>SUM(V285:V290)</f>
        <v>8997.732</v>
      </c>
      <c r="W291" s="548">
        <f>SUM(W285:W290)</f>
        <v>5415.3899999999994</v>
      </c>
      <c r="X291" s="538"/>
      <c r="Y291" s="565">
        <f t="shared" si="45"/>
        <v>23520.121999999999</v>
      </c>
      <c r="Z291" s="565">
        <f t="shared" si="46"/>
        <v>49688.122000000003</v>
      </c>
      <c r="AA291" s="565">
        <f>+Z291+J291-157</f>
        <v>102533.052</v>
      </c>
    </row>
    <row r="292" spans="1:27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 spans="1:27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 spans="1:27" ht="15.75">
      <c r="A294" s="3075" t="s">
        <v>3209</v>
      </c>
      <c r="B294" s="3075"/>
      <c r="C294" s="3075"/>
      <c r="D294" s="3075"/>
      <c r="E294" s="3075"/>
      <c r="F294" s="3075"/>
      <c r="G294" s="3075"/>
      <c r="H294" s="3075"/>
      <c r="I294" s="3075"/>
      <c r="J294" s="3075"/>
      <c r="K294" s="3075"/>
      <c r="L294" s="3075"/>
      <c r="M294" s="3075"/>
      <c r="N294" s="3075"/>
      <c r="O294" s="3075"/>
      <c r="P294" s="3075"/>
      <c r="Q294" s="3075"/>
      <c r="R294" s="3075"/>
      <c r="S294" s="3075"/>
      <c r="T294" s="3075"/>
      <c r="U294" s="3075"/>
      <c r="V294" s="3075"/>
    </row>
    <row r="295" spans="1:27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 spans="1:27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561"/>
      <c r="M296" s="561"/>
      <c r="N296" s="13"/>
      <c r="O296" s="13"/>
      <c r="P296" s="13"/>
      <c r="Q296" s="13"/>
      <c r="R296" s="13"/>
      <c r="S296" s="13"/>
      <c r="T296" s="13"/>
      <c r="U296" s="13"/>
      <c r="V296" s="13"/>
    </row>
    <row r="297" spans="1:27" ht="18.75">
      <c r="A297" s="550"/>
      <c r="B297" s="547" t="s">
        <v>2260</v>
      </c>
      <c r="C297" s="547" t="s">
        <v>723</v>
      </c>
      <c r="D297" s="547" t="s">
        <v>2147</v>
      </c>
      <c r="E297" s="435" t="s">
        <v>2609</v>
      </c>
      <c r="F297" s="547" t="s">
        <v>1993</v>
      </c>
      <c r="G297" s="547" t="s">
        <v>726</v>
      </c>
      <c r="H297" s="547" t="s">
        <v>1994</v>
      </c>
      <c r="I297" s="547" t="s">
        <v>2610</v>
      </c>
      <c r="J297" s="547" t="s">
        <v>3148</v>
      </c>
      <c r="K297" s="547" t="s">
        <v>729</v>
      </c>
      <c r="L297" s="547" t="s">
        <v>730</v>
      </c>
      <c r="M297" s="547" t="s">
        <v>731</v>
      </c>
      <c r="N297" s="547" t="s">
        <v>2611</v>
      </c>
      <c r="O297" s="547" t="s">
        <v>732</v>
      </c>
      <c r="P297" s="547" t="s">
        <v>733</v>
      </c>
      <c r="Q297" s="547" t="s">
        <v>3206</v>
      </c>
      <c r="R297" s="547" t="s">
        <v>2612</v>
      </c>
      <c r="S297" s="547" t="s">
        <v>3149</v>
      </c>
      <c r="T297" s="547" t="s">
        <v>121</v>
      </c>
      <c r="U297" s="547" t="s">
        <v>3216</v>
      </c>
      <c r="V297" s="13"/>
    </row>
    <row r="298" spans="1:27" ht="20.25">
      <c r="A298" s="550" t="s">
        <v>351</v>
      </c>
      <c r="B298" s="549">
        <v>0</v>
      </c>
      <c r="C298" s="549">
        <v>0</v>
      </c>
      <c r="D298" s="549">
        <v>0</v>
      </c>
      <c r="E298" s="342">
        <f t="shared" ref="E298:E304" si="51">SUM(B298:D298)</f>
        <v>0</v>
      </c>
      <c r="F298" s="549">
        <v>0</v>
      </c>
      <c r="G298" s="549">
        <v>0</v>
      </c>
      <c r="H298" s="549">
        <v>3.6</v>
      </c>
      <c r="I298" s="560">
        <f>SUM(F298:H298)</f>
        <v>3.6</v>
      </c>
      <c r="J298" s="549">
        <f>+I298+E298</f>
        <v>3.6</v>
      </c>
      <c r="K298" s="549">
        <v>508</v>
      </c>
      <c r="L298" s="549">
        <v>119</v>
      </c>
      <c r="M298" s="549">
        <v>0</v>
      </c>
      <c r="N298" s="560">
        <f>SUM(K298:M298)</f>
        <v>627</v>
      </c>
      <c r="O298" s="549">
        <v>0</v>
      </c>
      <c r="P298" s="549">
        <v>0</v>
      </c>
      <c r="Q298" s="549">
        <v>0</v>
      </c>
      <c r="R298" s="560">
        <f>SUM(O298:Q298)</f>
        <v>0</v>
      </c>
      <c r="S298" s="549">
        <f>+R298+N298</f>
        <v>627</v>
      </c>
      <c r="T298" s="549">
        <f>R298+N298+I298+E298</f>
        <v>630.6</v>
      </c>
      <c r="U298" s="115">
        <v>637</v>
      </c>
      <c r="V298" s="13"/>
    </row>
    <row r="299" spans="1:27" ht="20.25">
      <c r="A299" s="550" t="s">
        <v>385</v>
      </c>
      <c r="B299" s="549">
        <v>0</v>
      </c>
      <c r="C299" s="549">
        <v>0</v>
      </c>
      <c r="D299" s="549">
        <v>262</v>
      </c>
      <c r="E299" s="342">
        <f t="shared" si="51"/>
        <v>262</v>
      </c>
      <c r="F299" s="549">
        <v>246</v>
      </c>
      <c r="G299" s="549">
        <v>36</v>
      </c>
      <c r="H299" s="549">
        <f>57.024+64.75</f>
        <v>121.774</v>
      </c>
      <c r="I299" s="560">
        <f t="shared" ref="I299:I304" si="52">SUM(F299:H299)</f>
        <v>403.774</v>
      </c>
      <c r="J299" s="549">
        <f t="shared" ref="J299:J304" si="53">+I299+E299</f>
        <v>665.774</v>
      </c>
      <c r="K299" s="549">
        <f>175+102</f>
        <v>277</v>
      </c>
      <c r="L299" s="549">
        <v>62.45</v>
      </c>
      <c r="M299" s="549">
        <v>54</v>
      </c>
      <c r="N299" s="560">
        <f t="shared" ref="N299:N304" si="54">SUM(K299:M299)</f>
        <v>393.45</v>
      </c>
      <c r="O299" s="549">
        <v>16</v>
      </c>
      <c r="P299" s="549">
        <v>10.782</v>
      </c>
      <c r="Q299" s="549">
        <f>367+83+42</f>
        <v>492</v>
      </c>
      <c r="R299" s="560">
        <f t="shared" ref="R299:R304" si="55">SUM(O299:Q299)</f>
        <v>518.78200000000004</v>
      </c>
      <c r="S299" s="549">
        <f t="shared" ref="S299:S304" si="56">+R299+N299</f>
        <v>912.23199999999997</v>
      </c>
      <c r="T299" s="549">
        <f t="shared" ref="T299:T304" si="57">R299+N299+I299+E299</f>
        <v>1578.0059999999999</v>
      </c>
      <c r="U299" s="55">
        <f>733+283+530+28</f>
        <v>1574</v>
      </c>
      <c r="V299" s="13"/>
    </row>
    <row r="300" spans="1:27" ht="20.25">
      <c r="A300" s="550" t="s">
        <v>563</v>
      </c>
      <c r="B300" s="549">
        <v>135</v>
      </c>
      <c r="C300" s="549">
        <v>0</v>
      </c>
      <c r="D300" s="549">
        <v>1514</v>
      </c>
      <c r="E300" s="342">
        <f t="shared" si="51"/>
        <v>1649</v>
      </c>
      <c r="F300" s="549">
        <v>1795</v>
      </c>
      <c r="G300" s="549">
        <v>2010</v>
      </c>
      <c r="H300" s="549">
        <v>1319</v>
      </c>
      <c r="I300" s="560">
        <f t="shared" si="52"/>
        <v>5124</v>
      </c>
      <c r="J300" s="549">
        <f t="shared" si="53"/>
        <v>6773</v>
      </c>
      <c r="K300" s="549">
        <v>669</v>
      </c>
      <c r="L300" s="549">
        <v>1564.65</v>
      </c>
      <c r="M300" s="549">
        <v>1632</v>
      </c>
      <c r="N300" s="560">
        <f t="shared" si="54"/>
        <v>3865.65</v>
      </c>
      <c r="O300" s="549">
        <v>89</v>
      </c>
      <c r="P300" s="549">
        <v>1431</v>
      </c>
      <c r="Q300" s="549">
        <v>1211</v>
      </c>
      <c r="R300" s="560">
        <f t="shared" si="55"/>
        <v>2731</v>
      </c>
      <c r="S300" s="549">
        <f t="shared" si="56"/>
        <v>6596.65</v>
      </c>
      <c r="T300" s="549">
        <f t="shared" si="57"/>
        <v>13369.65</v>
      </c>
      <c r="U300" s="115">
        <v>17748</v>
      </c>
      <c r="V300" s="13"/>
    </row>
    <row r="301" spans="1:27" ht="20.25">
      <c r="A301" s="550" t="s">
        <v>568</v>
      </c>
      <c r="B301" s="549">
        <v>0</v>
      </c>
      <c r="C301" s="549">
        <v>96</v>
      </c>
      <c r="D301" s="549">
        <v>243</v>
      </c>
      <c r="E301" s="342">
        <f t="shared" si="51"/>
        <v>339</v>
      </c>
      <c r="F301" s="549">
        <v>511</v>
      </c>
      <c r="G301" s="549">
        <v>0</v>
      </c>
      <c r="H301" s="549">
        <v>302</v>
      </c>
      <c r="I301" s="560">
        <f t="shared" si="52"/>
        <v>813</v>
      </c>
      <c r="J301" s="549">
        <f t="shared" si="53"/>
        <v>1152</v>
      </c>
      <c r="K301" s="549">
        <v>58</v>
      </c>
      <c r="L301" s="549">
        <f>262+163</f>
        <v>425</v>
      </c>
      <c r="M301" s="549">
        <v>420</v>
      </c>
      <c r="N301" s="560">
        <f t="shared" si="54"/>
        <v>903</v>
      </c>
      <c r="O301" s="549">
        <v>422</v>
      </c>
      <c r="P301" s="549">
        <v>389</v>
      </c>
      <c r="Q301" s="549">
        <v>265</v>
      </c>
      <c r="R301" s="560">
        <f t="shared" si="55"/>
        <v>1076</v>
      </c>
      <c r="S301" s="549">
        <f t="shared" si="56"/>
        <v>1979</v>
      </c>
      <c r="T301" s="549">
        <f t="shared" si="57"/>
        <v>3131</v>
      </c>
      <c r="U301" s="508">
        <f>2094.374+345.3+357.3</f>
        <v>2796.9740000000002</v>
      </c>
      <c r="V301" s="13"/>
    </row>
    <row r="302" spans="1:27" ht="20.25">
      <c r="A302" s="550" t="s">
        <v>500</v>
      </c>
      <c r="B302" s="398">
        <v>96</v>
      </c>
      <c r="C302" s="398">
        <v>0</v>
      </c>
      <c r="D302" s="398">
        <v>0</v>
      </c>
      <c r="E302" s="342">
        <f t="shared" si="51"/>
        <v>96</v>
      </c>
      <c r="F302" s="398">
        <v>0</v>
      </c>
      <c r="G302" s="398">
        <v>294</v>
      </c>
      <c r="H302" s="398">
        <v>206</v>
      </c>
      <c r="I302" s="560">
        <f t="shared" si="52"/>
        <v>500</v>
      </c>
      <c r="J302" s="549">
        <f t="shared" si="53"/>
        <v>596</v>
      </c>
      <c r="K302" s="398">
        <v>0</v>
      </c>
      <c r="L302" s="398">
        <v>204</v>
      </c>
      <c r="M302" s="398">
        <v>110</v>
      </c>
      <c r="N302" s="560">
        <f t="shared" si="54"/>
        <v>314</v>
      </c>
      <c r="O302" s="398">
        <v>1330</v>
      </c>
      <c r="P302" s="398">
        <v>491</v>
      </c>
      <c r="Q302" s="398">
        <v>1504</v>
      </c>
      <c r="R302" s="560">
        <f t="shared" si="55"/>
        <v>3325</v>
      </c>
      <c r="S302" s="549">
        <f t="shared" si="56"/>
        <v>3639</v>
      </c>
      <c r="T302" s="549">
        <f t="shared" si="57"/>
        <v>4235</v>
      </c>
      <c r="U302" s="566">
        <v>5176</v>
      </c>
      <c r="V302" s="13"/>
    </row>
    <row r="303" spans="1:27" ht="20.25">
      <c r="A303" s="550" t="s">
        <v>2257</v>
      </c>
      <c r="B303" s="549">
        <v>1056</v>
      </c>
      <c r="C303" s="549">
        <v>1125</v>
      </c>
      <c r="D303" s="549">
        <v>2201</v>
      </c>
      <c r="E303" s="342">
        <f t="shared" si="51"/>
        <v>4382</v>
      </c>
      <c r="F303" s="549">
        <v>1853</v>
      </c>
      <c r="G303" s="549">
        <v>3783</v>
      </c>
      <c r="H303" s="549">
        <f>6707-1952</f>
        <v>4755</v>
      </c>
      <c r="I303" s="560">
        <f t="shared" si="52"/>
        <v>10391</v>
      </c>
      <c r="J303" s="549">
        <f t="shared" si="53"/>
        <v>14773</v>
      </c>
      <c r="K303" s="549">
        <f>6610-1512</f>
        <v>5098</v>
      </c>
      <c r="L303" s="549">
        <f>6010-2376-18</f>
        <v>3616</v>
      </c>
      <c r="M303" s="549">
        <f>8109.725-2216</f>
        <v>5893.7250000000004</v>
      </c>
      <c r="N303" s="560">
        <f t="shared" si="54"/>
        <v>14607.725</v>
      </c>
      <c r="O303" s="549">
        <f>8027-1857</f>
        <v>6170</v>
      </c>
      <c r="P303" s="549">
        <f>+Q440-Q306</f>
        <v>5730.2179999999998</v>
      </c>
      <c r="Q303" s="549">
        <f>+R440-R306</f>
        <v>4749</v>
      </c>
      <c r="R303" s="560">
        <f t="shared" si="55"/>
        <v>16649.218000000001</v>
      </c>
      <c r="S303" s="549">
        <f t="shared" si="56"/>
        <v>31256.942999999999</v>
      </c>
      <c r="T303" s="549">
        <f t="shared" si="57"/>
        <v>46029.942999999999</v>
      </c>
      <c r="U303" s="55">
        <v>46404</v>
      </c>
      <c r="V303" s="13"/>
    </row>
    <row r="304" spans="1:27" ht="20.25">
      <c r="A304" s="550" t="s">
        <v>23</v>
      </c>
      <c r="B304" s="549">
        <f t="shared" ref="B304:M304" si="58">SUM(B298:B303)</f>
        <v>1287</v>
      </c>
      <c r="C304" s="549">
        <f t="shared" si="58"/>
        <v>1221</v>
      </c>
      <c r="D304" s="549">
        <f t="shared" si="58"/>
        <v>4220</v>
      </c>
      <c r="E304" s="342">
        <f t="shared" si="51"/>
        <v>6728</v>
      </c>
      <c r="F304" s="549">
        <f>SUM(F298:F303)</f>
        <v>4405</v>
      </c>
      <c r="G304" s="549">
        <f t="shared" si="58"/>
        <v>6123</v>
      </c>
      <c r="H304" s="549">
        <f t="shared" si="58"/>
        <v>6707.3739999999998</v>
      </c>
      <c r="I304" s="560">
        <f t="shared" si="52"/>
        <v>17235.374</v>
      </c>
      <c r="J304" s="549">
        <f t="shared" si="53"/>
        <v>23963.374</v>
      </c>
      <c r="K304" s="549">
        <f>SUM(K298:K303)</f>
        <v>6610</v>
      </c>
      <c r="L304" s="549">
        <f t="shared" si="58"/>
        <v>5991.1</v>
      </c>
      <c r="M304" s="549">
        <f t="shared" si="58"/>
        <v>8109.7250000000004</v>
      </c>
      <c r="N304" s="560">
        <f t="shared" si="54"/>
        <v>20710.825000000001</v>
      </c>
      <c r="O304" s="549">
        <f>SUM(O298:O303)</f>
        <v>8027</v>
      </c>
      <c r="P304" s="549">
        <f>SUM(P298:P303)</f>
        <v>8052</v>
      </c>
      <c r="Q304" s="398">
        <v>8221</v>
      </c>
      <c r="R304" s="560">
        <f t="shared" si="55"/>
        <v>24300</v>
      </c>
      <c r="S304" s="549">
        <f t="shared" si="56"/>
        <v>45010.824999999997</v>
      </c>
      <c r="T304" s="549">
        <f t="shared" si="57"/>
        <v>68974.198999999993</v>
      </c>
      <c r="U304" s="549">
        <f>SUM(U298:U303)</f>
        <v>74335.974000000002</v>
      </c>
      <c r="V304" s="13"/>
    </row>
    <row r="305" spans="1:22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3"/>
      <c r="S305" s="140"/>
      <c r="T305" s="140"/>
      <c r="U305" s="140"/>
      <c r="V305" s="13"/>
    </row>
    <row r="306" spans="1:22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552">
        <f>+P302+P301+P300+P299</f>
        <v>2321.7820000000002</v>
      </c>
      <c r="R306" s="552">
        <f>+Q302+Q301+Q300+Q299</f>
        <v>3472</v>
      </c>
      <c r="S306" s="552"/>
      <c r="T306" s="552"/>
      <c r="U306" s="140"/>
      <c r="V306" s="13"/>
    </row>
    <row r="307" spans="1:22" ht="15.75">
      <c r="A307" s="3075" t="s">
        <v>3217</v>
      </c>
      <c r="B307" s="3075"/>
      <c r="C307" s="3075"/>
      <c r="D307" s="3075"/>
      <c r="E307" s="3075"/>
      <c r="F307" s="3075"/>
      <c r="G307" s="3075"/>
      <c r="H307" s="3075"/>
      <c r="I307" s="3075"/>
      <c r="J307" s="3075"/>
      <c r="K307" s="3075"/>
      <c r="L307" s="3075"/>
      <c r="M307" s="3075"/>
      <c r="N307" s="3075"/>
      <c r="O307" s="3075"/>
      <c r="P307" s="3075"/>
      <c r="Q307" s="3075"/>
      <c r="R307" s="3075"/>
      <c r="S307" s="3075"/>
      <c r="T307" s="3075"/>
      <c r="U307" s="3075"/>
      <c r="V307" s="3075"/>
    </row>
    <row r="308" spans="1:2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 spans="1:22">
      <c r="A309" s="13"/>
      <c r="B309" s="13"/>
      <c r="C309" s="13"/>
      <c r="D309" s="13"/>
      <c r="E309" s="13"/>
      <c r="F309" s="13"/>
      <c r="G309" s="314"/>
      <c r="H309" s="13"/>
      <c r="I309" s="13"/>
      <c r="J309" s="13"/>
      <c r="K309" s="13"/>
      <c r="L309" s="561"/>
      <c r="M309" s="561"/>
      <c r="N309" s="13"/>
      <c r="O309" s="13"/>
      <c r="P309" s="13"/>
      <c r="Q309" s="13"/>
      <c r="R309" s="13"/>
      <c r="S309" s="13"/>
      <c r="T309" s="13"/>
      <c r="U309" s="13"/>
      <c r="V309" s="13"/>
    </row>
    <row r="310" spans="1:22" ht="18.75">
      <c r="A310" s="550"/>
      <c r="B310" s="547" t="s">
        <v>2260</v>
      </c>
      <c r="C310" s="547" t="s">
        <v>723</v>
      </c>
      <c r="D310" s="547" t="s">
        <v>2147</v>
      </c>
      <c r="E310" s="435" t="s">
        <v>2609</v>
      </c>
      <c r="F310" s="547" t="s">
        <v>1993</v>
      </c>
      <c r="G310" s="547" t="s">
        <v>726</v>
      </c>
      <c r="H310" s="547" t="s">
        <v>1994</v>
      </c>
      <c r="I310" s="547" t="s">
        <v>2610</v>
      </c>
      <c r="J310" s="547" t="s">
        <v>3148</v>
      </c>
      <c r="K310" s="547" t="s">
        <v>729</v>
      </c>
      <c r="L310" s="547" t="s">
        <v>730</v>
      </c>
      <c r="M310" s="547" t="s">
        <v>731</v>
      </c>
      <c r="N310" s="547" t="s">
        <v>2611</v>
      </c>
      <c r="O310" s="547" t="s">
        <v>732</v>
      </c>
      <c r="P310" s="547" t="s">
        <v>733</v>
      </c>
      <c r="Q310" s="547" t="s">
        <v>3206</v>
      </c>
      <c r="R310" s="547" t="s">
        <v>2612</v>
      </c>
      <c r="S310" s="547" t="s">
        <v>3149</v>
      </c>
      <c r="T310" s="547" t="s">
        <v>2351</v>
      </c>
      <c r="U310" s="567" t="s">
        <v>3218</v>
      </c>
      <c r="V310" s="13"/>
    </row>
    <row r="311" spans="1:22" ht="20.25">
      <c r="A311" s="550" t="s">
        <v>351</v>
      </c>
      <c r="B311" s="549">
        <v>30</v>
      </c>
      <c r="C311" s="549">
        <v>46.8</v>
      </c>
      <c r="D311" s="549">
        <v>466.36</v>
      </c>
      <c r="E311" s="391">
        <f t="shared" ref="E311:E317" si="59">SUM(B311:D311)</f>
        <v>543.16</v>
      </c>
      <c r="F311" s="549">
        <v>0</v>
      </c>
      <c r="G311" s="549">
        <v>486.62</v>
      </c>
      <c r="H311" s="549">
        <v>0</v>
      </c>
      <c r="I311" s="560">
        <f>SUM(F311:H311)</f>
        <v>486.62</v>
      </c>
      <c r="J311" s="549">
        <f>+I311+E311</f>
        <v>1029.78</v>
      </c>
      <c r="K311" s="549">
        <v>283.04000000000002</v>
      </c>
      <c r="L311" s="549">
        <v>264.48</v>
      </c>
      <c r="M311" s="549">
        <v>2.3199999999999998</v>
      </c>
      <c r="N311" s="560">
        <f>SUM(K311:M311)</f>
        <v>549.84</v>
      </c>
      <c r="O311" s="549">
        <v>0</v>
      </c>
      <c r="P311" s="549">
        <v>0</v>
      </c>
      <c r="Q311" s="549">
        <v>81.290000000000006</v>
      </c>
      <c r="R311" s="560">
        <f>SUM(O311:Q311)</f>
        <v>81.290000000000006</v>
      </c>
      <c r="S311" s="549">
        <f>+R311+N311</f>
        <v>631.13</v>
      </c>
      <c r="T311" s="549">
        <f t="shared" ref="T311:T317" si="60">R311+N311+I311+E311</f>
        <v>1660.9099999999999</v>
      </c>
      <c r="U311" s="115">
        <f>1544.3+81.29</f>
        <v>1625.59</v>
      </c>
      <c r="V311" s="13"/>
    </row>
    <row r="312" spans="1:22" ht="20.25">
      <c r="A312" s="550" t="s">
        <v>385</v>
      </c>
      <c r="B312" s="549">
        <v>72.88</v>
      </c>
      <c r="C312" s="549">
        <f>38.26+84.36</f>
        <v>122.62</v>
      </c>
      <c r="D312" s="549">
        <v>164.98</v>
      </c>
      <c r="E312" s="391">
        <f t="shared" si="59"/>
        <v>360.48</v>
      </c>
      <c r="F312" s="549">
        <v>29.84</v>
      </c>
      <c r="G312" s="549">
        <v>31.88</v>
      </c>
      <c r="H312" s="549">
        <f>191.32+13.23</f>
        <v>204.54999999999998</v>
      </c>
      <c r="I312" s="560">
        <f t="shared" ref="I312:I317" si="61">SUM(F312:H312)</f>
        <v>266.27</v>
      </c>
      <c r="J312" s="549">
        <f t="shared" ref="J312:J317" si="62">+I312+E312</f>
        <v>626.75</v>
      </c>
      <c r="K312" s="549">
        <f>46.26+25.5+87.3</f>
        <v>159.06</v>
      </c>
      <c r="L312" s="549">
        <v>188</v>
      </c>
      <c r="M312" s="549">
        <f>30.74+125.97</f>
        <v>156.71</v>
      </c>
      <c r="N312" s="560">
        <f t="shared" ref="N312:N317" si="63">SUM(K312:M312)</f>
        <v>503.77</v>
      </c>
      <c r="O312" s="549">
        <v>22.2</v>
      </c>
      <c r="P312" s="549">
        <f>449.91</f>
        <v>449.91</v>
      </c>
      <c r="Q312" s="549">
        <v>230.82</v>
      </c>
      <c r="R312" s="560">
        <f t="shared" ref="R312:R317" si="64">SUM(O312:Q312)</f>
        <v>702.93000000000006</v>
      </c>
      <c r="S312" s="549">
        <f t="shared" ref="S312:S317" si="65">+R312+N312</f>
        <v>1206.7</v>
      </c>
      <c r="T312" s="549">
        <f t="shared" si="60"/>
        <v>1833.45</v>
      </c>
      <c r="U312" s="55">
        <f>567.44+184.51+284.15+362.2</f>
        <v>1398.3</v>
      </c>
      <c r="V312" s="13"/>
    </row>
    <row r="313" spans="1:22" ht="20.25">
      <c r="A313" s="550" t="s">
        <v>563</v>
      </c>
      <c r="B313" s="549">
        <v>1981.8209999999999</v>
      </c>
      <c r="C313" s="549">
        <v>2760.19</v>
      </c>
      <c r="D313" s="549">
        <v>2942</v>
      </c>
      <c r="E313" s="342">
        <f t="shared" si="59"/>
        <v>7684.0110000000004</v>
      </c>
      <c r="F313" s="549">
        <v>3178.35</v>
      </c>
      <c r="G313" s="549">
        <v>3071.07</v>
      </c>
      <c r="H313" s="549">
        <v>2758</v>
      </c>
      <c r="I313" s="560">
        <f t="shared" si="61"/>
        <v>9007.42</v>
      </c>
      <c r="J313" s="549">
        <f t="shared" si="62"/>
        <v>16691.431</v>
      </c>
      <c r="K313" s="549">
        <v>1478.8</v>
      </c>
      <c r="L313" s="549">
        <v>2776</v>
      </c>
      <c r="M313" s="549">
        <v>2907</v>
      </c>
      <c r="N313" s="560">
        <f t="shared" si="63"/>
        <v>7161.8</v>
      </c>
      <c r="O313" s="549">
        <v>3332.49</v>
      </c>
      <c r="P313" s="549">
        <v>3071.97</v>
      </c>
      <c r="Q313" s="549">
        <v>3148.39</v>
      </c>
      <c r="R313" s="560">
        <f t="shared" si="64"/>
        <v>9552.8499999999985</v>
      </c>
      <c r="S313" s="549">
        <f t="shared" si="65"/>
        <v>16714.649999999998</v>
      </c>
      <c r="T313" s="549">
        <f t="shared" si="60"/>
        <v>33406.080999999998</v>
      </c>
      <c r="U313" s="115">
        <f>28022.3+3078.91+2767.6</f>
        <v>33868.81</v>
      </c>
      <c r="V313" s="13"/>
    </row>
    <row r="314" spans="1:22" ht="20.25">
      <c r="A314" s="550" t="s">
        <v>568</v>
      </c>
      <c r="B314" s="549">
        <v>187.56</v>
      </c>
      <c r="C314" s="549">
        <v>269.35000000000002</v>
      </c>
      <c r="D314" s="549">
        <v>254</v>
      </c>
      <c r="E314" s="391">
        <f t="shared" si="59"/>
        <v>710.91000000000008</v>
      </c>
      <c r="F314" s="549">
        <f>200.31+46.65</f>
        <v>246.96</v>
      </c>
      <c r="G314" s="549">
        <v>217.33</v>
      </c>
      <c r="H314" s="549">
        <v>167.56</v>
      </c>
      <c r="I314" s="560">
        <f t="shared" si="61"/>
        <v>631.85</v>
      </c>
      <c r="J314" s="549">
        <f t="shared" si="62"/>
        <v>1342.7600000000002</v>
      </c>
      <c r="K314" s="549">
        <v>14.74</v>
      </c>
      <c r="L314" s="549">
        <v>0</v>
      </c>
      <c r="M314" s="549">
        <v>0</v>
      </c>
      <c r="N314" s="560">
        <f t="shared" si="63"/>
        <v>14.74</v>
      </c>
      <c r="O314" s="549">
        <v>0</v>
      </c>
      <c r="P314" s="549">
        <v>0</v>
      </c>
      <c r="Q314" s="549">
        <v>0</v>
      </c>
      <c r="R314" s="560">
        <f t="shared" si="64"/>
        <v>0</v>
      </c>
      <c r="S314" s="549">
        <f t="shared" si="65"/>
        <v>14.74</v>
      </c>
      <c r="T314" s="549">
        <f t="shared" si="60"/>
        <v>1357.5</v>
      </c>
      <c r="U314" s="55">
        <f>1211.38+78.33+46.19</f>
        <v>1335.9</v>
      </c>
      <c r="V314" s="13"/>
    </row>
    <row r="315" spans="1:22" ht="20.25">
      <c r="A315" s="550" t="s">
        <v>500</v>
      </c>
      <c r="B315" s="549">
        <v>1263</v>
      </c>
      <c r="C315" s="549">
        <v>322</v>
      </c>
      <c r="D315" s="549">
        <v>488</v>
      </c>
      <c r="E315" s="342">
        <f t="shared" si="59"/>
        <v>2073</v>
      </c>
      <c r="F315" s="549">
        <v>1068.3399999999999</v>
      </c>
      <c r="G315" s="549">
        <v>1223.8400000000001</v>
      </c>
      <c r="H315" s="549">
        <v>554.86</v>
      </c>
      <c r="I315" s="560">
        <f t="shared" si="61"/>
        <v>2847.0400000000004</v>
      </c>
      <c r="J315" s="549">
        <f t="shared" si="62"/>
        <v>4920.0400000000009</v>
      </c>
      <c r="K315" s="549">
        <v>1095</v>
      </c>
      <c r="L315" s="549">
        <v>505.53</v>
      </c>
      <c r="M315" s="549">
        <v>833.73</v>
      </c>
      <c r="N315" s="560">
        <f t="shared" si="63"/>
        <v>2434.2600000000002</v>
      </c>
      <c r="O315" s="549">
        <v>1304.33</v>
      </c>
      <c r="P315" s="549">
        <v>470</v>
      </c>
      <c r="Q315" s="549">
        <v>1023.77</v>
      </c>
      <c r="R315" s="560">
        <f t="shared" si="64"/>
        <v>2798.1</v>
      </c>
      <c r="S315" s="549">
        <f t="shared" si="65"/>
        <v>5232.3600000000006</v>
      </c>
      <c r="T315" s="549">
        <f t="shared" si="60"/>
        <v>10152.400000000001</v>
      </c>
      <c r="U315" s="115">
        <f>7794.52+999+958.5</f>
        <v>9752.02</v>
      </c>
      <c r="V315" s="13"/>
    </row>
    <row r="316" spans="1:22" ht="20.25">
      <c r="A316" s="550" t="s">
        <v>2257</v>
      </c>
      <c r="B316" s="549">
        <f>8322-3535</f>
        <v>4787</v>
      </c>
      <c r="C316" s="549">
        <f>9405-3521</f>
        <v>5884</v>
      </c>
      <c r="D316" s="549">
        <f>9412-4315</f>
        <v>5097</v>
      </c>
      <c r="E316" s="342">
        <f t="shared" si="59"/>
        <v>15768</v>
      </c>
      <c r="F316" s="549">
        <f>9523-4523</f>
        <v>5000</v>
      </c>
      <c r="G316" s="549">
        <v>4384.7960000000003</v>
      </c>
      <c r="H316" s="549">
        <f>H318-(H311+H312+H313+H314+H315)</f>
        <v>4823.03</v>
      </c>
      <c r="I316" s="560">
        <f t="shared" si="61"/>
        <v>14207.826000000001</v>
      </c>
      <c r="J316" s="549">
        <f t="shared" si="62"/>
        <v>29975.826000000001</v>
      </c>
      <c r="K316" s="549">
        <f>K318-(K311+K312+K313+K314+K315)</f>
        <v>5271.36</v>
      </c>
      <c r="L316" s="549">
        <f>L318-(L311+L312+L313+L314+L315)</f>
        <v>5366.99</v>
      </c>
      <c r="M316" s="549">
        <f>M318-(M311+M312+M313+M314+M315)</f>
        <v>4820.24</v>
      </c>
      <c r="N316" s="560">
        <f t="shared" si="63"/>
        <v>15458.589999999998</v>
      </c>
      <c r="O316" s="549">
        <f>9425.702-4659</f>
        <v>4766.7019999999993</v>
      </c>
      <c r="P316" s="549">
        <f>9054.795-3991.88</f>
        <v>5062.915</v>
      </c>
      <c r="Q316" s="549">
        <f>9710.3-4484.27</f>
        <v>5226.0299999999988</v>
      </c>
      <c r="R316" s="560">
        <f t="shared" si="64"/>
        <v>15055.646999999997</v>
      </c>
      <c r="S316" s="549">
        <f t="shared" si="65"/>
        <v>30514.236999999994</v>
      </c>
      <c r="T316" s="549">
        <f t="shared" si="60"/>
        <v>60490.062999999995</v>
      </c>
      <c r="U316" s="549">
        <f>+U317-U318</f>
        <v>108595</v>
      </c>
      <c r="V316" s="13"/>
    </row>
    <row r="317" spans="1:22" ht="20.25">
      <c r="A317" s="550" t="s">
        <v>23</v>
      </c>
      <c r="B317" s="549">
        <f>SUM(B311:B316)</f>
        <v>8322.2610000000004</v>
      </c>
      <c r="C317" s="549">
        <f>SUM(C311:C316)</f>
        <v>9404.9599999999991</v>
      </c>
      <c r="D317" s="549">
        <f>SUM(D311:D316)</f>
        <v>9412.34</v>
      </c>
      <c r="E317" s="342">
        <f t="shared" si="59"/>
        <v>27139.560999999998</v>
      </c>
      <c r="F317" s="549">
        <f>SUM(F311:F316)</f>
        <v>9523.49</v>
      </c>
      <c r="G317" s="549">
        <v>9415.5360000000001</v>
      </c>
      <c r="H317" s="549">
        <v>8508</v>
      </c>
      <c r="I317" s="560">
        <f t="shared" si="61"/>
        <v>27447.025999999998</v>
      </c>
      <c r="J317" s="549">
        <f t="shared" si="62"/>
        <v>54586.587</v>
      </c>
      <c r="K317" s="549">
        <v>8302</v>
      </c>
      <c r="L317" s="549">
        <f>SUM(L311:L316)</f>
        <v>9101</v>
      </c>
      <c r="M317" s="549">
        <f>SUM(M311:M316)</f>
        <v>8720</v>
      </c>
      <c r="N317" s="560">
        <f t="shared" si="63"/>
        <v>26123</v>
      </c>
      <c r="O317" s="549">
        <f>SUM(O311:O316)</f>
        <v>9425.7219999999979</v>
      </c>
      <c r="P317" s="549">
        <f>SUM(P311:P316)</f>
        <v>9054.7950000000001</v>
      </c>
      <c r="Q317" s="549">
        <f>SUM(Q311:Q316)</f>
        <v>9710.2999999999993</v>
      </c>
      <c r="R317" s="560">
        <f t="shared" si="64"/>
        <v>28190.816999999999</v>
      </c>
      <c r="S317" s="549">
        <f t="shared" si="65"/>
        <v>54313.816999999995</v>
      </c>
      <c r="T317" s="549">
        <f t="shared" si="60"/>
        <v>108900.40399999999</v>
      </c>
      <c r="U317" s="115">
        <v>108595</v>
      </c>
      <c r="V317" s="560">
        <v>0</v>
      </c>
    </row>
    <row r="318" spans="1:22" ht="15.75">
      <c r="A318" s="140"/>
      <c r="B318" s="140"/>
      <c r="C318" s="140"/>
      <c r="D318" s="140"/>
      <c r="E318" s="140"/>
      <c r="F318" s="140"/>
      <c r="G318" s="115"/>
      <c r="H318" s="552">
        <v>8508</v>
      </c>
      <c r="I318" s="13"/>
      <c r="J318" s="140"/>
      <c r="K318" s="140">
        <v>8302</v>
      </c>
      <c r="L318" s="140">
        <v>9101</v>
      </c>
      <c r="M318" s="140">
        <v>8720</v>
      </c>
      <c r="N318" s="140"/>
      <c r="O318" s="140"/>
      <c r="P318" s="140">
        <v>0</v>
      </c>
      <c r="Q318" s="552"/>
      <c r="R318" s="552"/>
      <c r="S318" s="552"/>
      <c r="T318" s="552"/>
      <c r="U318" s="552">
        <v>0</v>
      </c>
      <c r="V318" s="13"/>
    </row>
    <row r="319" spans="1:22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552"/>
      <c r="R319" s="552"/>
      <c r="S319" s="552"/>
      <c r="T319" s="552"/>
      <c r="U319" s="140"/>
      <c r="V319" s="13"/>
    </row>
    <row r="320" spans="1:22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552"/>
      <c r="R320" s="552"/>
      <c r="S320" s="552"/>
      <c r="T320" s="552"/>
      <c r="U320" s="140"/>
      <c r="V320" s="13"/>
    </row>
    <row r="321" spans="1:28">
      <c r="A321" s="553"/>
      <c r="B321" s="553"/>
      <c r="C321" s="553"/>
      <c r="D321" s="553"/>
      <c r="E321" s="553"/>
      <c r="F321" s="553"/>
      <c r="G321" s="553"/>
      <c r="H321" s="553"/>
      <c r="I321" s="553"/>
      <c r="J321" s="553"/>
      <c r="K321" s="553"/>
      <c r="L321" s="553"/>
      <c r="M321" s="553"/>
      <c r="N321" s="553"/>
      <c r="O321" s="553"/>
      <c r="P321" s="553"/>
      <c r="Q321" s="568"/>
      <c r="R321" s="568"/>
      <c r="S321" s="568"/>
      <c r="T321" s="568"/>
      <c r="U321" s="553"/>
      <c r="V321" s="328"/>
    </row>
    <row r="322" spans="1:28" ht="26.25">
      <c r="A322" s="3076" t="s">
        <v>3219</v>
      </c>
      <c r="B322" s="3077"/>
      <c r="C322" s="3077"/>
      <c r="D322" s="3077"/>
      <c r="E322" s="3077"/>
      <c r="F322" s="3077"/>
      <c r="G322" s="3077"/>
      <c r="H322" s="3077"/>
      <c r="I322" s="3077"/>
      <c r="J322" s="3077"/>
      <c r="K322" s="3077"/>
      <c r="L322" s="3077"/>
      <c r="M322" s="3077"/>
      <c r="N322" s="3077"/>
      <c r="O322" s="3077"/>
      <c r="P322" s="3077"/>
      <c r="Q322" s="3077"/>
      <c r="R322" s="3077"/>
      <c r="S322" s="3077"/>
      <c r="T322" s="3077"/>
      <c r="U322" s="3077"/>
      <c r="V322" s="3077"/>
      <c r="W322" s="569"/>
      <c r="X322" s="569"/>
      <c r="Y322" s="569"/>
      <c r="Z322" s="569"/>
      <c r="AA322" s="569"/>
      <c r="AB322" s="571"/>
    </row>
    <row r="323" spans="1:28" ht="25.5">
      <c r="A323" s="554"/>
      <c r="B323" s="555"/>
      <c r="C323" s="555"/>
      <c r="D323" s="555"/>
      <c r="E323" s="555"/>
      <c r="F323" s="555"/>
      <c r="G323" s="555"/>
      <c r="H323" s="555"/>
      <c r="I323" s="555"/>
      <c r="J323" s="555"/>
      <c r="K323" s="555"/>
      <c r="L323" s="555"/>
      <c r="M323" s="555"/>
      <c r="N323" s="555"/>
      <c r="O323" s="555"/>
      <c r="P323" s="555"/>
      <c r="Q323" s="555"/>
      <c r="R323" s="555"/>
      <c r="S323" s="555"/>
      <c r="T323" s="555"/>
      <c r="U323" s="555"/>
      <c r="V323" s="555"/>
      <c r="W323" s="570"/>
      <c r="X323" s="570"/>
      <c r="Y323" s="570"/>
      <c r="Z323" s="570"/>
      <c r="AA323" s="570"/>
      <c r="AB323" s="572"/>
    </row>
    <row r="324" spans="1:28" ht="25.5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62"/>
      <c r="M324" s="562"/>
      <c r="N324" s="555"/>
      <c r="O324" s="555"/>
      <c r="P324" s="555"/>
      <c r="Q324" s="555"/>
      <c r="R324" s="555"/>
      <c r="S324" s="555"/>
      <c r="T324" s="555"/>
      <c r="U324" s="555"/>
      <c r="V324" s="555"/>
      <c r="W324" s="570"/>
      <c r="X324" s="570"/>
      <c r="Y324" s="570"/>
      <c r="Z324" s="570"/>
      <c r="AA324" s="570"/>
      <c r="AB324" s="572"/>
    </row>
    <row r="325" spans="1:28" ht="26.25">
      <c r="A325" s="556"/>
      <c r="B325" s="449" t="s">
        <v>2260</v>
      </c>
      <c r="C325" s="449" t="s">
        <v>723</v>
      </c>
      <c r="D325" s="449" t="s">
        <v>2147</v>
      </c>
      <c r="E325" s="557" t="s">
        <v>2609</v>
      </c>
      <c r="F325" s="449" t="s">
        <v>1993</v>
      </c>
      <c r="G325" s="449" t="s">
        <v>726</v>
      </c>
      <c r="H325" s="449" t="s">
        <v>1994</v>
      </c>
      <c r="I325" s="449" t="s">
        <v>2610</v>
      </c>
      <c r="J325" s="449" t="s">
        <v>3148</v>
      </c>
      <c r="K325" s="449" t="s">
        <v>729</v>
      </c>
      <c r="L325" s="449" t="s">
        <v>730</v>
      </c>
      <c r="M325" s="449" t="s">
        <v>731</v>
      </c>
      <c r="N325" s="558" t="s">
        <v>2611</v>
      </c>
      <c r="O325" s="558" t="s">
        <v>732</v>
      </c>
      <c r="P325" s="558" t="s">
        <v>733</v>
      </c>
      <c r="Q325" s="558" t="s">
        <v>3206</v>
      </c>
      <c r="R325" s="558" t="s">
        <v>2612</v>
      </c>
      <c r="S325" s="558" t="s">
        <v>3149</v>
      </c>
      <c r="T325" s="558" t="s">
        <v>2412</v>
      </c>
      <c r="U325" s="558" t="s">
        <v>2412</v>
      </c>
      <c r="V325" s="558" t="s">
        <v>733</v>
      </c>
      <c r="W325" s="558" t="s">
        <v>3206</v>
      </c>
      <c r="X325" s="558"/>
      <c r="Y325" s="558" t="s">
        <v>2612</v>
      </c>
      <c r="Z325" s="558" t="s">
        <v>3149</v>
      </c>
      <c r="AA325" s="558" t="s">
        <v>3220</v>
      </c>
      <c r="AB325" s="573" t="s">
        <v>3221</v>
      </c>
    </row>
    <row r="326" spans="1:28" ht="26.25">
      <c r="A326" s="556" t="s">
        <v>3222</v>
      </c>
      <c r="B326" s="558">
        <v>730.31</v>
      </c>
      <c r="C326" s="558">
        <v>1058.73</v>
      </c>
      <c r="D326" s="558">
        <v>738</v>
      </c>
      <c r="E326" s="559">
        <f t="shared" ref="E326:E332" si="66">SUM(B326:D326)</f>
        <v>2527.04</v>
      </c>
      <c r="F326" s="558">
        <v>456.25</v>
      </c>
      <c r="G326" s="558">
        <v>788.59</v>
      </c>
      <c r="H326" s="558">
        <v>682.25</v>
      </c>
      <c r="I326" s="563">
        <f>SUM(F326:H326)</f>
        <v>1927.0900000000001</v>
      </c>
      <c r="J326" s="558">
        <f>+I326+E326</f>
        <v>4454.13</v>
      </c>
      <c r="K326" s="558">
        <v>999.9</v>
      </c>
      <c r="L326" s="558">
        <v>1740.4</v>
      </c>
      <c r="M326" s="558">
        <v>75.400000000000006</v>
      </c>
      <c r="N326" s="558">
        <f>SUM(K326:M326)</f>
        <v>2815.7000000000003</v>
      </c>
      <c r="O326" s="558">
        <v>20.100000000000001</v>
      </c>
      <c r="P326" s="558">
        <v>0</v>
      </c>
      <c r="Q326" s="558">
        <v>0</v>
      </c>
      <c r="R326" s="558">
        <f>SUM(O326:Q326)</f>
        <v>20.100000000000001</v>
      </c>
      <c r="S326" s="558">
        <f>+R326+N326</f>
        <v>2835.8</v>
      </c>
      <c r="T326" s="558">
        <f t="shared" ref="T326:T332" si="67">R326+N326+I326+E326</f>
        <v>7289.93</v>
      </c>
      <c r="U326" s="558">
        <f>3784.5+567.66+939.6+1678.43+364+56.87</f>
        <v>7391.06</v>
      </c>
      <c r="V326" s="558">
        <v>0</v>
      </c>
      <c r="W326" s="558">
        <v>0</v>
      </c>
      <c r="X326" s="558"/>
      <c r="Y326" s="558">
        <v>20</v>
      </c>
      <c r="Z326" s="558">
        <v>2836</v>
      </c>
      <c r="AA326" s="558">
        <v>7290</v>
      </c>
      <c r="AB326" s="573">
        <v>7391</v>
      </c>
    </row>
    <row r="327" spans="1:28" ht="26.25">
      <c r="A327" s="556" t="s">
        <v>385</v>
      </c>
      <c r="B327" s="558">
        <f>1008.21+41.5</f>
        <v>1049.71</v>
      </c>
      <c r="C327" s="558">
        <f>572+20.29</f>
        <v>592.29</v>
      </c>
      <c r="D327" s="558">
        <f>605.1+27.63+81</f>
        <v>713.73</v>
      </c>
      <c r="E327" s="574">
        <f t="shared" si="66"/>
        <v>2355.73</v>
      </c>
      <c r="F327" s="558">
        <f>11.62+2.85+161.28+20.74</f>
        <v>196.49</v>
      </c>
      <c r="G327" s="558">
        <f>148.51+12.16+39.65</f>
        <v>200.32</v>
      </c>
      <c r="H327" s="558">
        <v>0</v>
      </c>
      <c r="I327" s="563">
        <f t="shared" ref="I327:I332" si="68">SUM(F327:H327)</f>
        <v>396.81</v>
      </c>
      <c r="J327" s="558">
        <f t="shared" ref="J327:J332" si="69">+I327+E327</f>
        <v>2752.54</v>
      </c>
      <c r="K327" s="558">
        <v>0</v>
      </c>
      <c r="L327" s="558">
        <v>50.39</v>
      </c>
      <c r="M327" s="558">
        <v>488</v>
      </c>
      <c r="N327" s="558">
        <f t="shared" ref="N327:N332" si="70">SUM(K327:M327)</f>
        <v>538.39</v>
      </c>
      <c r="O327" s="558">
        <v>600.6</v>
      </c>
      <c r="P327" s="558">
        <v>513.6</v>
      </c>
      <c r="Q327" s="558">
        <v>146.62</v>
      </c>
      <c r="R327" s="558">
        <f t="shared" ref="R327:R332" si="71">SUM(O327:Q327)</f>
        <v>1260.8200000000002</v>
      </c>
      <c r="S327" s="558">
        <f t="shared" ref="S327:S332" si="72">+R327+N327</f>
        <v>1799.21</v>
      </c>
      <c r="T327" s="558">
        <f t="shared" si="67"/>
        <v>4551.75</v>
      </c>
      <c r="U327" s="558">
        <f>1125.99+297.47+4225.91+669.41</f>
        <v>6318.78</v>
      </c>
      <c r="V327" s="558">
        <v>514</v>
      </c>
      <c r="W327" s="558">
        <v>147</v>
      </c>
      <c r="X327" s="558"/>
      <c r="Y327" s="558">
        <v>1262</v>
      </c>
      <c r="Z327" s="558">
        <v>1799</v>
      </c>
      <c r="AA327" s="558">
        <v>4552</v>
      </c>
      <c r="AB327" s="573">
        <v>6319</v>
      </c>
    </row>
    <row r="328" spans="1:28" ht="26.25">
      <c r="A328" s="556" t="s">
        <v>563</v>
      </c>
      <c r="B328" s="558">
        <v>1934.65</v>
      </c>
      <c r="C328" s="558">
        <v>2335.04</v>
      </c>
      <c r="D328" s="558">
        <v>2981</v>
      </c>
      <c r="E328" s="574">
        <f t="shared" si="66"/>
        <v>7250.6900000000005</v>
      </c>
      <c r="F328" s="558">
        <v>4021</v>
      </c>
      <c r="G328" s="558">
        <v>4015</v>
      </c>
      <c r="H328" s="558">
        <v>3579.29</v>
      </c>
      <c r="I328" s="563">
        <f t="shared" si="68"/>
        <v>11615.29</v>
      </c>
      <c r="J328" s="558">
        <f t="shared" si="69"/>
        <v>18865.980000000003</v>
      </c>
      <c r="K328" s="558">
        <v>3946.96</v>
      </c>
      <c r="L328" s="558">
        <v>2559.1799999999998</v>
      </c>
      <c r="M328" s="558">
        <v>3878</v>
      </c>
      <c r="N328" s="558">
        <f t="shared" si="70"/>
        <v>10384.14</v>
      </c>
      <c r="O328" s="558">
        <v>3768.2</v>
      </c>
      <c r="P328" s="558">
        <v>3638</v>
      </c>
      <c r="Q328" s="558">
        <v>4709.26</v>
      </c>
      <c r="R328" s="558">
        <f t="shared" si="71"/>
        <v>12115.46</v>
      </c>
      <c r="S328" s="558">
        <f t="shared" si="72"/>
        <v>22499.599999999999</v>
      </c>
      <c r="T328" s="558">
        <f t="shared" si="67"/>
        <v>41365.58</v>
      </c>
      <c r="U328" s="558">
        <v>38783.58</v>
      </c>
      <c r="V328" s="558">
        <v>3638</v>
      </c>
      <c r="W328" s="558">
        <v>4709</v>
      </c>
      <c r="X328" s="558"/>
      <c r="Y328" s="558">
        <v>12115</v>
      </c>
      <c r="Z328" s="558">
        <v>22500</v>
      </c>
      <c r="AA328" s="558">
        <v>41366</v>
      </c>
      <c r="AB328" s="573">
        <v>37784</v>
      </c>
    </row>
    <row r="329" spans="1:28" ht="26.25">
      <c r="A329" s="556" t="s">
        <v>568</v>
      </c>
      <c r="B329" s="558">
        <v>45.651000000000003</v>
      </c>
      <c r="C329" s="558">
        <v>0</v>
      </c>
      <c r="D329" s="558">
        <v>50.52</v>
      </c>
      <c r="E329" s="574">
        <f t="shared" si="66"/>
        <v>96.171000000000006</v>
      </c>
      <c r="F329" s="558">
        <f>143.89+31.2</f>
        <v>175.08999999999997</v>
      </c>
      <c r="G329" s="558">
        <f>101.04+39.7</f>
        <v>140.74</v>
      </c>
      <c r="H329" s="558">
        <v>49.1</v>
      </c>
      <c r="I329" s="563">
        <f t="shared" si="68"/>
        <v>364.93</v>
      </c>
      <c r="J329" s="558">
        <f t="shared" si="69"/>
        <v>461.101</v>
      </c>
      <c r="K329" s="558">
        <v>0</v>
      </c>
      <c r="L329" s="558">
        <f>188.97+39.5</f>
        <v>228.47</v>
      </c>
      <c r="M329" s="558">
        <v>0</v>
      </c>
      <c r="N329" s="558">
        <f t="shared" si="70"/>
        <v>228.47</v>
      </c>
      <c r="O329" s="558">
        <v>94.5</v>
      </c>
      <c r="P329" s="558">
        <v>246.49</v>
      </c>
      <c r="Q329" s="558">
        <v>0</v>
      </c>
      <c r="R329" s="558">
        <f t="shared" si="71"/>
        <v>340.99</v>
      </c>
      <c r="S329" s="558">
        <f t="shared" si="72"/>
        <v>569.46</v>
      </c>
      <c r="T329" s="558">
        <f t="shared" si="67"/>
        <v>1030.5610000000001</v>
      </c>
      <c r="U329" s="558">
        <f>288+626+159</f>
        <v>1073</v>
      </c>
      <c r="V329" s="558">
        <v>246</v>
      </c>
      <c r="W329" s="558">
        <v>0</v>
      </c>
      <c r="X329" s="558"/>
      <c r="Y329" s="558">
        <v>341</v>
      </c>
      <c r="Z329" s="558">
        <v>569</v>
      </c>
      <c r="AA329" s="558">
        <v>1030</v>
      </c>
      <c r="AB329" s="573">
        <v>1073</v>
      </c>
    </row>
    <row r="330" spans="1:28" ht="26.25">
      <c r="A330" s="556" t="s">
        <v>500</v>
      </c>
      <c r="B330" s="558">
        <v>0</v>
      </c>
      <c r="C330" s="558">
        <v>203.66</v>
      </c>
      <c r="D330" s="558">
        <v>1.88</v>
      </c>
      <c r="E330" s="574">
        <f t="shared" si="66"/>
        <v>205.54</v>
      </c>
      <c r="F330" s="558">
        <v>300.58999999999997</v>
      </c>
      <c r="G330" s="558">
        <v>531</v>
      </c>
      <c r="H330" s="558">
        <v>330</v>
      </c>
      <c r="I330" s="563">
        <f t="shared" si="68"/>
        <v>1161.5899999999999</v>
      </c>
      <c r="J330" s="558">
        <f t="shared" si="69"/>
        <v>1367.1299999999999</v>
      </c>
      <c r="K330" s="558">
        <f>247.75+89.5</f>
        <v>337.25</v>
      </c>
      <c r="L330" s="558">
        <v>0</v>
      </c>
      <c r="M330" s="558">
        <v>412</v>
      </c>
      <c r="N330" s="558">
        <f t="shared" si="70"/>
        <v>749.25</v>
      </c>
      <c r="O330" s="558">
        <v>95</v>
      </c>
      <c r="P330" s="558">
        <f>77.634+20.103</f>
        <v>97.736999999999995</v>
      </c>
      <c r="Q330" s="558">
        <v>905</v>
      </c>
      <c r="R330" s="558">
        <f t="shared" si="71"/>
        <v>1097.7370000000001</v>
      </c>
      <c r="S330" s="558">
        <f t="shared" si="72"/>
        <v>1846.9870000000001</v>
      </c>
      <c r="T330" s="558">
        <f t="shared" si="67"/>
        <v>3214.1170000000002</v>
      </c>
      <c r="U330" s="558">
        <v>4402.4799999999996</v>
      </c>
      <c r="V330" s="558">
        <v>98</v>
      </c>
      <c r="W330" s="558">
        <v>905</v>
      </c>
      <c r="X330" s="558"/>
      <c r="Y330" s="558">
        <v>1098</v>
      </c>
      <c r="Z330" s="558">
        <v>1847</v>
      </c>
      <c r="AA330" s="558">
        <v>3214</v>
      </c>
      <c r="AB330" s="573">
        <v>4402</v>
      </c>
    </row>
    <row r="331" spans="1:28" ht="26.25">
      <c r="A331" s="556" t="s">
        <v>2257</v>
      </c>
      <c r="B331" s="558">
        <f>7513.26-3760</f>
        <v>3753.26</v>
      </c>
      <c r="C331" s="558">
        <f>7045.896-4190</f>
        <v>2855.8959999999997</v>
      </c>
      <c r="D331" s="558">
        <f>7506.665-4532.61</f>
        <v>2974.0550000000003</v>
      </c>
      <c r="E331" s="574">
        <f t="shared" si="66"/>
        <v>9583.2109999999993</v>
      </c>
      <c r="F331" s="558">
        <v>3853.355</v>
      </c>
      <c r="G331" s="558">
        <f>9819.316-5675.81</f>
        <v>4143.5060000000003</v>
      </c>
      <c r="H331" s="558">
        <f>9205-4641</f>
        <v>4564</v>
      </c>
      <c r="I331" s="563">
        <f t="shared" si="68"/>
        <v>12560.861000000001</v>
      </c>
      <c r="J331" s="558">
        <f t="shared" si="69"/>
        <v>22144.072</v>
      </c>
      <c r="K331" s="558">
        <f>8609.298-5284+6</f>
        <v>3331.2980000000007</v>
      </c>
      <c r="L331" s="558">
        <f>7010-4579</f>
        <v>2431</v>
      </c>
      <c r="M331" s="558">
        <f>9063.562-4853.4</f>
        <v>4210.1620000000003</v>
      </c>
      <c r="N331" s="558">
        <f t="shared" si="70"/>
        <v>9972.4600000000009</v>
      </c>
      <c r="O331" s="558">
        <f>9021-4578</f>
        <v>4443</v>
      </c>
      <c r="P331" s="558">
        <f>7421-4496</f>
        <v>2925</v>
      </c>
      <c r="Q331" s="558">
        <f>10632.571-5760.88</f>
        <v>4871.6909999999998</v>
      </c>
      <c r="R331" s="558">
        <f t="shared" si="71"/>
        <v>12239.690999999999</v>
      </c>
      <c r="S331" s="558">
        <f t="shared" si="72"/>
        <v>22212.150999999998</v>
      </c>
      <c r="T331" s="558">
        <f t="shared" si="67"/>
        <v>44356.222999999998</v>
      </c>
      <c r="U331" s="558">
        <f>102847-W331</f>
        <v>97975</v>
      </c>
      <c r="V331" s="558">
        <v>2925</v>
      </c>
      <c r="W331" s="558">
        <v>4872</v>
      </c>
      <c r="X331" s="558"/>
      <c r="Y331" s="558">
        <v>12240</v>
      </c>
      <c r="Z331" s="558">
        <v>22212</v>
      </c>
      <c r="AA331" s="558">
        <v>44356</v>
      </c>
      <c r="AB331" s="573">
        <v>44878</v>
      </c>
    </row>
    <row r="332" spans="1:28" ht="26.25">
      <c r="A332" s="556" t="s">
        <v>23</v>
      </c>
      <c r="B332" s="558">
        <f>SUM(B326:B331)</f>
        <v>7513.5810000000001</v>
      </c>
      <c r="C332" s="558">
        <f>SUM(C326:C331)</f>
        <v>7045.616</v>
      </c>
      <c r="D332" s="575">
        <f>SUM(D326:D331)</f>
        <v>7459.1850000000004</v>
      </c>
      <c r="E332" s="574">
        <f t="shared" si="66"/>
        <v>22018.382000000001</v>
      </c>
      <c r="F332" s="558">
        <f>SUM(F326:F331)</f>
        <v>9002.7749999999996</v>
      </c>
      <c r="G332" s="558">
        <f>SUM(G326:G331)</f>
        <v>9819.155999999999</v>
      </c>
      <c r="H332" s="558">
        <f>SUM(H326:H331)</f>
        <v>9204.64</v>
      </c>
      <c r="I332" s="563">
        <f t="shared" si="68"/>
        <v>28026.570999999996</v>
      </c>
      <c r="J332" s="558">
        <f t="shared" si="69"/>
        <v>50044.952999999994</v>
      </c>
      <c r="K332" s="558">
        <f>SUM(K326:K331)</f>
        <v>8615.4079999999994</v>
      </c>
      <c r="L332" s="558">
        <f>SUM(L326:L331)</f>
        <v>7009.4400000000005</v>
      </c>
      <c r="M332" s="558">
        <f>SUM(M326:M331)</f>
        <v>9063.5619999999999</v>
      </c>
      <c r="N332" s="558">
        <f t="shared" si="70"/>
        <v>24688.41</v>
      </c>
      <c r="O332" s="558">
        <f>SUM(O326:O331)</f>
        <v>9021.4</v>
      </c>
      <c r="P332" s="558">
        <f>SUM(P326:P331)</f>
        <v>7420.8270000000002</v>
      </c>
      <c r="Q332" s="558">
        <f>SUM(Q326:Q331)</f>
        <v>10632.571</v>
      </c>
      <c r="R332" s="558">
        <f t="shared" si="71"/>
        <v>27074.797999999999</v>
      </c>
      <c r="S332" s="558">
        <f t="shared" si="72"/>
        <v>51763.207999999999</v>
      </c>
      <c r="T332" s="558">
        <f t="shared" si="67"/>
        <v>101808.16099999999</v>
      </c>
      <c r="U332" s="558">
        <v>102647</v>
      </c>
      <c r="V332" s="558">
        <v>7421</v>
      </c>
      <c r="W332" s="558">
        <v>10633</v>
      </c>
      <c r="X332" s="558"/>
      <c r="Y332" s="558">
        <v>27075</v>
      </c>
      <c r="Z332" s="558">
        <v>57163</v>
      </c>
      <c r="AA332" s="558">
        <v>101808</v>
      </c>
      <c r="AB332" s="573">
        <v>102847</v>
      </c>
    </row>
    <row r="333" spans="1:28" ht="26.25">
      <c r="A333" s="556"/>
      <c r="B333" s="576"/>
      <c r="C333" s="576"/>
      <c r="D333" s="576"/>
      <c r="E333" s="576"/>
      <c r="F333" s="576"/>
      <c r="G333" s="577"/>
      <c r="H333" s="578"/>
      <c r="I333" s="555"/>
      <c r="J333" s="576"/>
      <c r="K333" s="576"/>
      <c r="L333" s="576"/>
      <c r="M333" s="576"/>
      <c r="N333" s="576"/>
      <c r="O333" s="576"/>
      <c r="P333" s="576">
        <v>0</v>
      </c>
      <c r="Q333" s="578">
        <v>0</v>
      </c>
      <c r="R333" s="578"/>
      <c r="S333" s="578"/>
      <c r="T333" s="578"/>
      <c r="U333" s="600"/>
      <c r="V333" s="555"/>
      <c r="W333" s="570"/>
      <c r="X333" s="570"/>
      <c r="Y333" s="570"/>
      <c r="Z333" s="570"/>
      <c r="AA333" s="570"/>
      <c r="AB333" s="572"/>
    </row>
    <row r="334" spans="1:28" ht="26.25">
      <c r="A334" s="556"/>
      <c r="B334" s="576"/>
      <c r="C334" s="576"/>
      <c r="D334" s="576"/>
      <c r="E334" s="576"/>
      <c r="F334" s="576"/>
      <c r="G334" s="576"/>
      <c r="H334" s="576"/>
      <c r="I334" s="576"/>
      <c r="J334" s="576"/>
      <c r="K334" s="576"/>
      <c r="L334" s="576"/>
      <c r="M334" s="576"/>
      <c r="N334" s="576"/>
      <c r="O334" s="576"/>
      <c r="P334" s="576"/>
      <c r="Q334" s="578"/>
      <c r="R334" s="578"/>
      <c r="S334" s="578"/>
      <c r="T334" s="578"/>
      <c r="U334" s="576"/>
      <c r="V334" s="555"/>
      <c r="W334" s="570"/>
      <c r="X334" s="570"/>
      <c r="Y334" s="570"/>
      <c r="Z334" s="570"/>
      <c r="AA334" s="570"/>
      <c r="AB334" s="572"/>
    </row>
    <row r="335" spans="1:28" ht="26.25">
      <c r="A335" s="3078" t="s">
        <v>3223</v>
      </c>
      <c r="B335" s="3055"/>
      <c r="C335" s="3055"/>
      <c r="D335" s="3055"/>
      <c r="E335" s="3055"/>
      <c r="F335" s="3055"/>
      <c r="G335" s="3055"/>
      <c r="H335" s="3055"/>
      <c r="I335" s="3055"/>
      <c r="J335" s="3055"/>
      <c r="K335" s="3055"/>
      <c r="L335" s="3055"/>
      <c r="M335" s="3055"/>
      <c r="N335" s="3055"/>
      <c r="O335" s="3055"/>
      <c r="P335" s="3055"/>
      <c r="Q335" s="3055"/>
      <c r="R335" s="3055"/>
      <c r="S335" s="3055"/>
      <c r="T335" s="3055"/>
      <c r="U335" s="3055"/>
      <c r="V335" s="3055"/>
      <c r="W335" s="570"/>
      <c r="X335" s="570"/>
      <c r="Y335" s="570"/>
      <c r="Z335" s="570"/>
      <c r="AA335" s="570"/>
      <c r="AB335" s="572"/>
    </row>
    <row r="336" spans="1:28" ht="26.25">
      <c r="A336" s="556"/>
      <c r="B336" s="449" t="s">
        <v>2260</v>
      </c>
      <c r="C336" s="449" t="s">
        <v>723</v>
      </c>
      <c r="D336" s="449" t="s">
        <v>2147</v>
      </c>
      <c r="E336" s="557" t="s">
        <v>2609</v>
      </c>
      <c r="F336" s="449" t="s">
        <v>1993</v>
      </c>
      <c r="G336" s="449" t="s">
        <v>726</v>
      </c>
      <c r="H336" s="449" t="s">
        <v>1994</v>
      </c>
      <c r="I336" s="449" t="s">
        <v>2610</v>
      </c>
      <c r="J336" s="449" t="s">
        <v>3148</v>
      </c>
      <c r="K336" s="449" t="s">
        <v>729</v>
      </c>
      <c r="L336" s="449" t="s">
        <v>730</v>
      </c>
      <c r="M336" s="449" t="s">
        <v>731</v>
      </c>
      <c r="N336" s="449" t="s">
        <v>2611</v>
      </c>
      <c r="O336" s="449" t="s">
        <v>732</v>
      </c>
      <c r="P336" s="449" t="s">
        <v>733</v>
      </c>
      <c r="Q336" s="449" t="s">
        <v>3206</v>
      </c>
      <c r="R336" s="449" t="s">
        <v>2612</v>
      </c>
      <c r="S336" s="449" t="s">
        <v>3149</v>
      </c>
      <c r="T336" s="449" t="s">
        <v>2411</v>
      </c>
      <c r="U336" s="449" t="s">
        <v>2411</v>
      </c>
      <c r="V336" s="558" t="s">
        <v>733</v>
      </c>
      <c r="W336" s="558" t="s">
        <v>3206</v>
      </c>
      <c r="X336" s="558"/>
      <c r="Y336" s="558" t="s">
        <v>2612</v>
      </c>
      <c r="Z336" s="558" t="s">
        <v>3149</v>
      </c>
      <c r="AA336" s="558" t="s">
        <v>3220</v>
      </c>
      <c r="AB336" s="573" t="s">
        <v>3221</v>
      </c>
    </row>
    <row r="337" spans="1:28" ht="26.25">
      <c r="A337" s="556" t="s">
        <v>3224</v>
      </c>
      <c r="B337" s="579">
        <v>249.55</v>
      </c>
      <c r="C337" s="558">
        <v>1050</v>
      </c>
      <c r="D337" s="558">
        <v>0</v>
      </c>
      <c r="E337" s="574">
        <f t="shared" ref="E337:E343" si="73">SUM(B337:D337)</f>
        <v>1299.55</v>
      </c>
      <c r="F337" s="579">
        <v>325.47000000000003</v>
      </c>
      <c r="G337" s="579">
        <v>407.67</v>
      </c>
      <c r="H337" s="579">
        <v>881.25</v>
      </c>
      <c r="I337" s="563">
        <f>SUM(F337:H337)</f>
        <v>1614.39</v>
      </c>
      <c r="J337" s="558">
        <f>+I337+E337</f>
        <v>2913.94</v>
      </c>
      <c r="K337" s="579">
        <v>651.84500000000003</v>
      </c>
      <c r="L337" s="579">
        <v>546.1</v>
      </c>
      <c r="M337" s="579">
        <v>961</v>
      </c>
      <c r="N337" s="563">
        <f>SUM(K337:M337)</f>
        <v>2158.9450000000002</v>
      </c>
      <c r="O337" s="579">
        <v>1537</v>
      </c>
      <c r="P337" s="579">
        <v>1588</v>
      </c>
      <c r="Q337" s="579">
        <v>218.96</v>
      </c>
      <c r="R337" s="563">
        <f>SUM(O337:Q337)</f>
        <v>3343.96</v>
      </c>
      <c r="S337" s="558">
        <f>+R337+N337</f>
        <v>5502.9050000000007</v>
      </c>
      <c r="T337" s="558">
        <f t="shared" ref="T337:T343" si="74">R337+N337+I337+E337</f>
        <v>8416.8450000000012</v>
      </c>
      <c r="U337" s="574">
        <f>8533.92</f>
        <v>8533.92</v>
      </c>
      <c r="V337" s="555">
        <v>1588</v>
      </c>
      <c r="W337" s="570">
        <v>219</v>
      </c>
      <c r="X337" s="570"/>
      <c r="Y337" s="558">
        <v>3344</v>
      </c>
      <c r="Z337" s="558">
        <v>5503</v>
      </c>
      <c r="AA337" s="558">
        <v>8417</v>
      </c>
      <c r="AB337" s="573">
        <v>9423</v>
      </c>
    </row>
    <row r="338" spans="1:28" ht="26.25">
      <c r="A338" s="556" t="s">
        <v>385</v>
      </c>
      <c r="B338" s="558">
        <v>249.55</v>
      </c>
      <c r="C338" s="558">
        <f>1050+317.64</f>
        <v>1367.6399999999999</v>
      </c>
      <c r="D338" s="558">
        <v>142.69999999999999</v>
      </c>
      <c r="E338" s="574">
        <f t="shared" si="73"/>
        <v>1759.8899999999999</v>
      </c>
      <c r="F338" s="558">
        <v>232.54</v>
      </c>
      <c r="G338" s="558">
        <v>9.32</v>
      </c>
      <c r="H338" s="558">
        <f>106.87+163.35+5.809</f>
        <v>276.02900000000005</v>
      </c>
      <c r="I338" s="563">
        <f t="shared" ref="I338:I343" si="75">SUM(F338:H338)</f>
        <v>517.88900000000001</v>
      </c>
      <c r="J338" s="558">
        <f t="shared" ref="J338:J343" si="76">+I338+E338</f>
        <v>2277.779</v>
      </c>
      <c r="K338" s="558">
        <f>34.588+327.87+648.27+7.87</f>
        <v>1018.5980000000001</v>
      </c>
      <c r="L338" s="558">
        <f>30.515+282.99+507.89+123.67</f>
        <v>945.06499999999994</v>
      </c>
      <c r="M338" s="558">
        <f>726.94+10.283+54.117</f>
        <v>791.34</v>
      </c>
      <c r="N338" s="563">
        <f t="shared" ref="N338:N343" si="77">SUM(K338:M338)</f>
        <v>2755.0030000000002</v>
      </c>
      <c r="O338" s="558">
        <v>575</v>
      </c>
      <c r="P338" s="558">
        <f>156.21+42.09+15.075</f>
        <v>213.375</v>
      </c>
      <c r="Q338" s="558">
        <f>42.871+304.21+308.4+196.62</f>
        <v>852.101</v>
      </c>
      <c r="R338" s="563">
        <f t="shared" ref="R338:R343" si="78">SUM(O338:Q338)</f>
        <v>1640.4760000000001</v>
      </c>
      <c r="S338" s="558">
        <f t="shared" ref="S338:S343" si="79">+R338+N338</f>
        <v>4395.4790000000003</v>
      </c>
      <c r="T338" s="558">
        <f t="shared" si="74"/>
        <v>6673.2579999999998</v>
      </c>
      <c r="U338" s="574">
        <f>1026.67+5153.48+2587.52+469.93+100.35</f>
        <v>9337.9500000000007</v>
      </c>
      <c r="V338" s="555">
        <v>213</v>
      </c>
      <c r="W338" s="570">
        <v>852</v>
      </c>
      <c r="X338" s="570"/>
      <c r="Y338" s="558">
        <v>1640</v>
      </c>
      <c r="Z338" s="558">
        <v>4395</v>
      </c>
      <c r="AA338" s="558">
        <v>6673</v>
      </c>
      <c r="AB338" s="573">
        <v>8211</v>
      </c>
    </row>
    <row r="339" spans="1:28" ht="26.25">
      <c r="A339" s="556" t="s">
        <v>563</v>
      </c>
      <c r="B339" s="558">
        <v>3639.7</v>
      </c>
      <c r="C339" s="558">
        <v>3107.38</v>
      </c>
      <c r="D339" s="558">
        <v>3965</v>
      </c>
      <c r="E339" s="574">
        <f t="shared" si="73"/>
        <v>10712.08</v>
      </c>
      <c r="F339" s="558">
        <v>3783.96</v>
      </c>
      <c r="G339" s="558">
        <v>4280.7700000000004</v>
      </c>
      <c r="H339" s="558">
        <v>3464</v>
      </c>
      <c r="I339" s="563">
        <f t="shared" si="75"/>
        <v>11528.73</v>
      </c>
      <c r="J339" s="558">
        <f t="shared" si="76"/>
        <v>22240.809999999998</v>
      </c>
      <c r="K339" s="558">
        <v>3264.04</v>
      </c>
      <c r="L339" s="558">
        <v>4684.6499999999996</v>
      </c>
      <c r="M339" s="558">
        <v>4136.45</v>
      </c>
      <c r="N339" s="563">
        <f t="shared" si="77"/>
        <v>12085.14</v>
      </c>
      <c r="O339" s="558">
        <v>3500</v>
      </c>
      <c r="P339" s="558">
        <v>2891</v>
      </c>
      <c r="Q339" s="558">
        <v>4156.34</v>
      </c>
      <c r="R339" s="563">
        <f t="shared" si="78"/>
        <v>10547.34</v>
      </c>
      <c r="S339" s="558">
        <f t="shared" si="79"/>
        <v>22632.48</v>
      </c>
      <c r="T339" s="558">
        <f t="shared" si="74"/>
        <v>44873.29</v>
      </c>
      <c r="U339" s="574">
        <f>46319.93-6.96</f>
        <v>46312.97</v>
      </c>
      <c r="V339" s="555">
        <v>2891</v>
      </c>
      <c r="W339" s="570">
        <v>4156</v>
      </c>
      <c r="X339" s="570"/>
      <c r="Y339" s="558">
        <v>10547</v>
      </c>
      <c r="Z339" s="558">
        <v>22632</v>
      </c>
      <c r="AA339" s="558">
        <v>44873</v>
      </c>
      <c r="AB339" s="573">
        <v>46320</v>
      </c>
    </row>
    <row r="340" spans="1:28" ht="26.25">
      <c r="A340" s="556" t="s">
        <v>568</v>
      </c>
      <c r="B340" s="558">
        <v>0</v>
      </c>
      <c r="C340" s="558">
        <v>343</v>
      </c>
      <c r="D340" s="558">
        <v>298.64999999999998</v>
      </c>
      <c r="E340" s="574">
        <f t="shared" si="73"/>
        <v>641.65</v>
      </c>
      <c r="F340" s="558">
        <v>299.39</v>
      </c>
      <c r="G340" s="558">
        <v>202.34</v>
      </c>
      <c r="H340" s="558">
        <f>240.19+39.9</f>
        <v>280.08999999999997</v>
      </c>
      <c r="I340" s="563">
        <f t="shared" si="75"/>
        <v>781.81999999999994</v>
      </c>
      <c r="J340" s="558">
        <f t="shared" si="76"/>
        <v>1423.4699999999998</v>
      </c>
      <c r="K340" s="558">
        <v>153</v>
      </c>
      <c r="L340" s="558">
        <v>295.66000000000003</v>
      </c>
      <c r="M340" s="558">
        <v>291</v>
      </c>
      <c r="N340" s="563">
        <f t="shared" si="77"/>
        <v>739.66000000000008</v>
      </c>
      <c r="O340" s="558">
        <v>270</v>
      </c>
      <c r="P340" s="558">
        <f>313.54+84.5</f>
        <v>398.04</v>
      </c>
      <c r="Q340" s="558">
        <f>255.06+107.25</f>
        <v>362.31</v>
      </c>
      <c r="R340" s="563">
        <f t="shared" si="78"/>
        <v>1030.3499999999999</v>
      </c>
      <c r="S340" s="558">
        <f t="shared" si="79"/>
        <v>1770.01</v>
      </c>
      <c r="T340" s="558">
        <f t="shared" si="74"/>
        <v>3193.48</v>
      </c>
      <c r="U340" s="574">
        <f>2474+459.9+140.9</f>
        <v>3074.8</v>
      </c>
      <c r="V340" s="555">
        <v>398</v>
      </c>
      <c r="W340" s="570">
        <v>362</v>
      </c>
      <c r="X340" s="570"/>
      <c r="Y340" s="558">
        <v>1030</v>
      </c>
      <c r="Z340" s="558">
        <v>1770</v>
      </c>
      <c r="AA340" s="558">
        <v>3193</v>
      </c>
      <c r="AB340" s="573">
        <v>3174</v>
      </c>
    </row>
    <row r="341" spans="1:28" ht="26.25">
      <c r="A341" s="556" t="s">
        <v>500</v>
      </c>
      <c r="B341" s="558">
        <v>1114</v>
      </c>
      <c r="C341" s="558">
        <v>873</v>
      </c>
      <c r="D341" s="558">
        <v>1264</v>
      </c>
      <c r="E341" s="574">
        <f t="shared" si="73"/>
        <v>3251</v>
      </c>
      <c r="F341" s="558">
        <v>813</v>
      </c>
      <c r="G341" s="558">
        <v>20.309999999999999</v>
      </c>
      <c r="H341" s="558">
        <v>291</v>
      </c>
      <c r="I341" s="563">
        <f t="shared" si="75"/>
        <v>1124.31</v>
      </c>
      <c r="J341" s="558">
        <f t="shared" si="76"/>
        <v>4375.3099999999995</v>
      </c>
      <c r="K341" s="558">
        <v>333.2</v>
      </c>
      <c r="L341" s="558">
        <v>427.93</v>
      </c>
      <c r="M341" s="558">
        <v>549</v>
      </c>
      <c r="N341" s="563">
        <f t="shared" si="77"/>
        <v>1310.1300000000001</v>
      </c>
      <c r="O341" s="558">
        <v>483</v>
      </c>
      <c r="P341" s="558">
        <v>316</v>
      </c>
      <c r="Q341" s="558">
        <v>288.62</v>
      </c>
      <c r="R341" s="563">
        <f t="shared" si="78"/>
        <v>1087.6199999999999</v>
      </c>
      <c r="S341" s="558">
        <f t="shared" si="79"/>
        <v>2397.75</v>
      </c>
      <c r="T341" s="558">
        <f t="shared" si="74"/>
        <v>6773.0599999999995</v>
      </c>
      <c r="U341" s="574">
        <f>6764.92</f>
        <v>6764.92</v>
      </c>
      <c r="V341" s="555">
        <v>316</v>
      </c>
      <c r="W341" s="570">
        <v>289</v>
      </c>
      <c r="X341" s="570"/>
      <c r="Y341" s="558">
        <v>1088</v>
      </c>
      <c r="Z341" s="558">
        <v>2398</v>
      </c>
      <c r="AA341" s="558">
        <v>6773</v>
      </c>
      <c r="AB341" s="573">
        <v>6765</v>
      </c>
    </row>
    <row r="342" spans="1:28" ht="26.25">
      <c r="A342" s="556" t="s">
        <v>2257</v>
      </c>
      <c r="B342" s="558">
        <f>10066-5253</f>
        <v>4813</v>
      </c>
      <c r="C342" s="558">
        <f>10307-6741</f>
        <v>3566</v>
      </c>
      <c r="D342" s="558">
        <f>11216.294-5670.35-20</f>
        <v>5525.9439999999995</v>
      </c>
      <c r="E342" s="574">
        <f t="shared" si="73"/>
        <v>13904.944</v>
      </c>
      <c r="F342" s="558">
        <f>10221.989-5454.36</f>
        <v>4767.6289999999999</v>
      </c>
      <c r="G342" s="558">
        <f>10670.335-4920.41</f>
        <v>5749.9249999999993</v>
      </c>
      <c r="H342" s="558">
        <f>9911.403-5192.369</f>
        <v>4719.0340000000006</v>
      </c>
      <c r="I342" s="563">
        <f t="shared" si="75"/>
        <v>15236.588</v>
      </c>
      <c r="J342" s="558">
        <f t="shared" si="76"/>
        <v>29141.531999999999</v>
      </c>
      <c r="K342" s="558">
        <f>9020.238-5420.683</f>
        <v>3599.5549999999994</v>
      </c>
      <c r="L342" s="558">
        <f>10001.666-6899.405</f>
        <v>3102.2609999999995</v>
      </c>
      <c r="M342" s="558">
        <f>10004.006-6728.79</f>
        <v>3275.2159999999994</v>
      </c>
      <c r="N342" s="563">
        <f t="shared" si="77"/>
        <v>9977.0319999999992</v>
      </c>
      <c r="O342" s="558">
        <v>3641</v>
      </c>
      <c r="P342" s="558">
        <f>9062-5406</f>
        <v>3656</v>
      </c>
      <c r="Q342" s="558">
        <f>8544.163-5878.331</f>
        <v>2665.8320000000003</v>
      </c>
      <c r="R342" s="563">
        <f t="shared" si="78"/>
        <v>9962.8320000000003</v>
      </c>
      <c r="S342" s="558">
        <f t="shared" si="79"/>
        <v>19939.864000000001</v>
      </c>
      <c r="T342" s="558">
        <f t="shared" si="74"/>
        <v>49081.396000000008</v>
      </c>
      <c r="U342" s="558">
        <f>118427.442-74024.56</f>
        <v>44402.881999999998</v>
      </c>
      <c r="V342" s="555">
        <v>3656</v>
      </c>
      <c r="W342" s="570">
        <v>2566</v>
      </c>
      <c r="X342" s="570"/>
      <c r="Y342" s="558">
        <v>9863</v>
      </c>
      <c r="Z342" s="558">
        <v>19940</v>
      </c>
      <c r="AA342" s="558">
        <v>49082</v>
      </c>
      <c r="AB342" s="573">
        <v>44535</v>
      </c>
    </row>
    <row r="343" spans="1:28" ht="26.25">
      <c r="A343" s="556" t="s">
        <v>23</v>
      </c>
      <c r="B343" s="558">
        <f>SUM(B337:B342)</f>
        <v>10065.799999999999</v>
      </c>
      <c r="C343" s="558">
        <f>SUM(C337:C342)</f>
        <v>10307.02</v>
      </c>
      <c r="D343" s="558">
        <f>SUM(D337:D342)</f>
        <v>11196.293999999998</v>
      </c>
      <c r="E343" s="574">
        <f t="shared" si="73"/>
        <v>31569.113999999998</v>
      </c>
      <c r="F343" s="558">
        <f>SUM(F337:F342)</f>
        <v>10221.989000000001</v>
      </c>
      <c r="G343" s="558">
        <f>SUM(G337:G342)</f>
        <v>10670.334999999999</v>
      </c>
      <c r="H343" s="558">
        <f>SUM(H337:H342)</f>
        <v>9911.4030000000021</v>
      </c>
      <c r="I343" s="563">
        <f t="shared" si="75"/>
        <v>30803.727000000003</v>
      </c>
      <c r="J343" s="558">
        <f t="shared" si="76"/>
        <v>62372.841</v>
      </c>
      <c r="K343" s="558">
        <f>SUM(K337:K342)</f>
        <v>9020.2379999999994</v>
      </c>
      <c r="L343" s="558">
        <f>SUM(L337:L342)</f>
        <v>10001.665999999999</v>
      </c>
      <c r="M343" s="558">
        <f>SUM(M337:M342)</f>
        <v>10004.005999999999</v>
      </c>
      <c r="N343" s="563">
        <f t="shared" si="77"/>
        <v>29025.909999999996</v>
      </c>
      <c r="O343" s="558">
        <f>SUM(O337:O342)</f>
        <v>10006</v>
      </c>
      <c r="P343" s="558">
        <f>SUM(P337:P342)</f>
        <v>9062.4150000000009</v>
      </c>
      <c r="Q343" s="558">
        <f>SUM(Q337:Q342)</f>
        <v>8544.1630000000005</v>
      </c>
      <c r="R343" s="563">
        <f t="shared" si="78"/>
        <v>27612.578000000001</v>
      </c>
      <c r="S343" s="558">
        <f t="shared" si="79"/>
        <v>56638.487999999998</v>
      </c>
      <c r="T343" s="558">
        <f t="shared" si="74"/>
        <v>119011.329</v>
      </c>
      <c r="U343" s="574">
        <f>SUM(U337:U342)</f>
        <v>118427.442</v>
      </c>
      <c r="V343" s="555">
        <v>9062</v>
      </c>
      <c r="W343" s="570">
        <v>8444</v>
      </c>
      <c r="X343" s="570"/>
      <c r="Y343" s="558">
        <v>27513</v>
      </c>
      <c r="Z343" s="558">
        <v>56638</v>
      </c>
      <c r="AA343" s="558">
        <v>119011</v>
      </c>
      <c r="AB343" s="573">
        <v>118427</v>
      </c>
    </row>
    <row r="344" spans="1:28" ht="26.25">
      <c r="A344" s="580"/>
      <c r="B344" s="581"/>
      <c r="C344" s="581"/>
      <c r="D344" s="581"/>
      <c r="E344" s="581"/>
      <c r="F344" s="581"/>
      <c r="G344" s="582"/>
      <c r="H344" s="583"/>
      <c r="I344" s="570"/>
      <c r="J344" s="581"/>
      <c r="K344" s="581"/>
      <c r="L344" s="581"/>
      <c r="M344" s="581"/>
      <c r="N344" s="581"/>
      <c r="O344" s="581"/>
      <c r="P344" s="581">
        <v>0</v>
      </c>
      <c r="Q344" s="601">
        <v>0</v>
      </c>
      <c r="R344" s="583"/>
      <c r="S344" s="583"/>
      <c r="T344" s="583"/>
      <c r="U344" s="602"/>
      <c r="V344" s="570"/>
      <c r="W344" s="570"/>
      <c r="X344" s="570"/>
      <c r="Y344" s="570"/>
      <c r="Z344" s="570"/>
      <c r="AA344" s="570"/>
      <c r="AB344" s="572"/>
    </row>
    <row r="345" spans="1:28" ht="26.25">
      <c r="A345" s="584"/>
      <c r="B345" s="585"/>
      <c r="C345" s="585"/>
      <c r="D345" s="585"/>
      <c r="E345" s="585"/>
      <c r="F345" s="585">
        <f>96+365+228+95</f>
        <v>784</v>
      </c>
      <c r="G345" s="585"/>
      <c r="H345" s="585"/>
      <c r="I345" s="585"/>
      <c r="J345" s="585"/>
      <c r="K345" s="585"/>
      <c r="L345" s="585"/>
      <c r="M345" s="585"/>
      <c r="N345" s="585"/>
      <c r="O345" s="585"/>
      <c r="P345" s="585"/>
      <c r="Q345" s="603"/>
      <c r="R345" s="603"/>
      <c r="S345" s="603"/>
      <c r="T345" s="603"/>
      <c r="U345" s="603">
        <f>SUM(U326:U330)</f>
        <v>57968.899999999994</v>
      </c>
      <c r="V345" s="570"/>
      <c r="W345" s="570"/>
      <c r="X345" s="570"/>
      <c r="Y345" s="570"/>
      <c r="Z345" s="570"/>
      <c r="AA345" s="570"/>
      <c r="AB345" s="572"/>
    </row>
    <row r="346" spans="1:28" ht="26.25">
      <c r="A346" s="3078" t="s">
        <v>3225</v>
      </c>
      <c r="B346" s="3055"/>
      <c r="C346" s="3055"/>
      <c r="D346" s="3055"/>
      <c r="E346" s="3055"/>
      <c r="F346" s="3055"/>
      <c r="G346" s="3055"/>
      <c r="H346" s="3055"/>
      <c r="I346" s="3055"/>
      <c r="J346" s="3055"/>
      <c r="K346" s="3055"/>
      <c r="L346" s="3055"/>
      <c r="M346" s="3055"/>
      <c r="N346" s="3055"/>
      <c r="O346" s="3055"/>
      <c r="P346" s="3055"/>
      <c r="Q346" s="3055"/>
      <c r="R346" s="3055"/>
      <c r="S346" s="3055"/>
      <c r="T346" s="3055"/>
      <c r="U346" s="3055"/>
      <c r="V346" s="3055"/>
      <c r="W346" s="570"/>
      <c r="X346" s="570"/>
      <c r="Y346" s="570"/>
      <c r="Z346" s="570"/>
      <c r="AA346" s="570"/>
      <c r="AB346" s="572"/>
    </row>
    <row r="347" spans="1:28" ht="26.25">
      <c r="A347" s="556"/>
      <c r="B347" s="449" t="s">
        <v>2260</v>
      </c>
      <c r="C347" s="449" t="s">
        <v>723</v>
      </c>
      <c r="D347" s="449" t="s">
        <v>2147</v>
      </c>
      <c r="E347" s="557" t="s">
        <v>2609</v>
      </c>
      <c r="F347" s="449" t="s">
        <v>1993</v>
      </c>
      <c r="G347" s="449" t="s">
        <v>726</v>
      </c>
      <c r="H347" s="449" t="s">
        <v>1994</v>
      </c>
      <c r="I347" s="449" t="s">
        <v>2610</v>
      </c>
      <c r="J347" s="449" t="s">
        <v>3148</v>
      </c>
      <c r="K347" s="449" t="s">
        <v>729</v>
      </c>
      <c r="L347" s="449" t="s">
        <v>730</v>
      </c>
      <c r="M347" s="449" t="s">
        <v>731</v>
      </c>
      <c r="N347" s="449" t="s">
        <v>2611</v>
      </c>
      <c r="O347" s="449" t="s">
        <v>732</v>
      </c>
      <c r="P347" s="449" t="s">
        <v>733</v>
      </c>
      <c r="Q347" s="449" t="s">
        <v>3206</v>
      </c>
      <c r="R347" s="449" t="s">
        <v>2612</v>
      </c>
      <c r="S347" s="449" t="s">
        <v>3149</v>
      </c>
      <c r="T347" s="449" t="s">
        <v>3226</v>
      </c>
      <c r="U347" s="449" t="s">
        <v>3227</v>
      </c>
      <c r="V347" s="558" t="s">
        <v>733</v>
      </c>
      <c r="W347" s="558" t="s">
        <v>3206</v>
      </c>
      <c r="X347" s="558"/>
      <c r="Y347" s="558" t="s">
        <v>2612</v>
      </c>
      <c r="Z347" s="558" t="s">
        <v>3149</v>
      </c>
      <c r="AA347" s="558" t="s">
        <v>3220</v>
      </c>
      <c r="AB347" s="573" t="s">
        <v>3221</v>
      </c>
    </row>
    <row r="348" spans="1:28" ht="26.25">
      <c r="A348" s="556" t="s">
        <v>3228</v>
      </c>
      <c r="B348" s="579">
        <v>852.24</v>
      </c>
      <c r="C348" s="579">
        <v>242.73</v>
      </c>
      <c r="D348" s="579">
        <f>381.06+1008.81</f>
        <v>1389.87</v>
      </c>
      <c r="E348" s="574">
        <f t="shared" ref="E348:E354" si="80">SUM(B348:D348)</f>
        <v>2484.84</v>
      </c>
      <c r="F348" s="579">
        <v>801.56</v>
      </c>
      <c r="G348" s="579">
        <v>802.03099999999995</v>
      </c>
      <c r="H348" s="579">
        <v>845.92</v>
      </c>
      <c r="I348" s="563">
        <f>SUM(F348:H348)</f>
        <v>2449.511</v>
      </c>
      <c r="J348" s="558">
        <f>+I348+E348</f>
        <v>4934.3510000000006</v>
      </c>
      <c r="K348" s="579">
        <v>1289.3800000000001</v>
      </c>
      <c r="L348" s="579">
        <v>1387.7</v>
      </c>
      <c r="M348" s="579">
        <v>1680.62</v>
      </c>
      <c r="N348" s="579">
        <f>SUM(K348:M348)</f>
        <v>4357.7</v>
      </c>
      <c r="O348" s="579">
        <v>1572.76</v>
      </c>
      <c r="P348" s="579">
        <v>0</v>
      </c>
      <c r="Q348" s="579">
        <v>0</v>
      </c>
      <c r="R348" s="563">
        <f>SUM(O348:Q348)</f>
        <v>1572.76</v>
      </c>
      <c r="S348" s="558">
        <f>+R348+N348</f>
        <v>5930.46</v>
      </c>
      <c r="T348" s="558">
        <f t="shared" ref="T348:T354" si="81">R348+N348+I348+E348</f>
        <v>10864.811</v>
      </c>
      <c r="U348" s="574">
        <f>847.88+5478.74</f>
        <v>6326.62</v>
      </c>
      <c r="V348" s="558">
        <v>1179.78</v>
      </c>
      <c r="W348" s="558">
        <v>1004</v>
      </c>
      <c r="X348" s="558"/>
      <c r="Y348" s="558">
        <v>3344</v>
      </c>
      <c r="Z348" s="558">
        <v>7702</v>
      </c>
      <c r="AA348" s="558">
        <v>12636</v>
      </c>
      <c r="AB348" s="573">
        <v>13546</v>
      </c>
    </row>
    <row r="349" spans="1:28" ht="26.25">
      <c r="A349" s="556" t="s">
        <v>385</v>
      </c>
      <c r="B349" s="558">
        <v>540</v>
      </c>
      <c r="C349" s="558">
        <f>2.42+261.75</f>
        <v>264.17</v>
      </c>
      <c r="D349" s="558">
        <v>762.04</v>
      </c>
      <c r="E349" s="574">
        <f t="shared" si="80"/>
        <v>1566.21</v>
      </c>
      <c r="F349" s="558">
        <v>635.57000000000005</v>
      </c>
      <c r="G349" s="558">
        <v>649.83999999999992</v>
      </c>
      <c r="H349" s="558">
        <v>529.4</v>
      </c>
      <c r="I349" s="563">
        <f t="shared" ref="I349:I354" si="82">SUM(F349:H349)</f>
        <v>1814.81</v>
      </c>
      <c r="J349" s="558">
        <f t="shared" ref="J349:J354" si="83">+I349+E349</f>
        <v>3381.02</v>
      </c>
      <c r="K349" s="558">
        <v>1047.6300000000001</v>
      </c>
      <c r="L349" s="558">
        <v>977.35000000000014</v>
      </c>
      <c r="M349" s="558">
        <v>662.90899999999999</v>
      </c>
      <c r="N349" s="579">
        <f t="shared" ref="N349:N354" si="84">SUM(K349:M349)</f>
        <v>2687.8890000000001</v>
      </c>
      <c r="O349" s="558">
        <v>941.80999999999983</v>
      </c>
      <c r="P349" s="558">
        <v>0</v>
      </c>
      <c r="Q349" s="558">
        <v>0</v>
      </c>
      <c r="R349" s="563">
        <f t="shared" ref="R349:R354" si="85">SUM(O349:Q349)</f>
        <v>941.80999999999983</v>
      </c>
      <c r="S349" s="558">
        <f t="shared" ref="S349:S354" si="86">+R349+N349</f>
        <v>3629.6990000000001</v>
      </c>
      <c r="T349" s="558">
        <f t="shared" si="81"/>
        <v>7010.7190000000001</v>
      </c>
      <c r="U349" s="574">
        <f>3706.18+827.74</f>
        <v>4533.92</v>
      </c>
      <c r="V349" s="558">
        <v>583.24</v>
      </c>
      <c r="W349" s="558">
        <v>669</v>
      </c>
      <c r="X349" s="558"/>
      <c r="Y349" s="558">
        <v>1640</v>
      </c>
      <c r="Z349" s="558">
        <v>4328</v>
      </c>
      <c r="AA349" s="558">
        <v>7709</v>
      </c>
      <c r="AB349" s="573">
        <v>8515</v>
      </c>
    </row>
    <row r="350" spans="1:28" ht="26.25">
      <c r="A350" s="556" t="s">
        <v>563</v>
      </c>
      <c r="B350" s="558">
        <v>3624</v>
      </c>
      <c r="C350" s="558">
        <v>2501.54</v>
      </c>
      <c r="D350" s="558">
        <v>4028.52</v>
      </c>
      <c r="E350" s="574">
        <f t="shared" si="80"/>
        <v>10154.06</v>
      </c>
      <c r="F350" s="558">
        <v>3626.3699999999994</v>
      </c>
      <c r="G350" s="558">
        <v>4203.0899999999992</v>
      </c>
      <c r="H350" s="558">
        <v>3705.3</v>
      </c>
      <c r="I350" s="563">
        <f t="shared" si="82"/>
        <v>11534.759999999998</v>
      </c>
      <c r="J350" s="558">
        <f t="shared" si="83"/>
        <v>21688.82</v>
      </c>
      <c r="K350" s="558">
        <v>3791.52</v>
      </c>
      <c r="L350" s="558">
        <v>3406.07</v>
      </c>
      <c r="M350" s="558">
        <v>3872.82</v>
      </c>
      <c r="N350" s="579">
        <f t="shared" si="84"/>
        <v>11070.41</v>
      </c>
      <c r="O350" s="558">
        <v>4883.1900000000005</v>
      </c>
      <c r="P350" s="558">
        <v>0</v>
      </c>
      <c r="Q350" s="558">
        <v>0</v>
      </c>
      <c r="R350" s="563">
        <f t="shared" si="85"/>
        <v>4883.1900000000005</v>
      </c>
      <c r="S350" s="558">
        <f t="shared" si="86"/>
        <v>15953.6</v>
      </c>
      <c r="T350" s="558">
        <f t="shared" si="81"/>
        <v>37642.42</v>
      </c>
      <c r="U350" s="574">
        <v>26967.5</v>
      </c>
      <c r="V350" s="558">
        <v>5523.88</v>
      </c>
      <c r="W350" s="558">
        <v>5517</v>
      </c>
      <c r="X350" s="558"/>
      <c r="Y350" s="558">
        <v>10547</v>
      </c>
      <c r="Z350" s="558">
        <v>21618</v>
      </c>
      <c r="AA350" s="558">
        <v>43307</v>
      </c>
      <c r="AB350" s="573">
        <v>50136</v>
      </c>
    </row>
    <row r="351" spans="1:28" ht="26.25">
      <c r="A351" s="556" t="s">
        <v>568</v>
      </c>
      <c r="B351" s="558">
        <f>416.35+123.2</f>
        <v>539.55000000000007</v>
      </c>
      <c r="C351" s="558">
        <f>349.25+97.2</f>
        <v>446.45</v>
      </c>
      <c r="D351" s="558">
        <f>349.9+138.6</f>
        <v>488.5</v>
      </c>
      <c r="E351" s="574">
        <f t="shared" si="80"/>
        <v>1474.5</v>
      </c>
      <c r="F351" s="558">
        <v>379.1</v>
      </c>
      <c r="G351" s="558">
        <v>484.83</v>
      </c>
      <c r="H351" s="558">
        <v>459.76</v>
      </c>
      <c r="I351" s="563">
        <f t="shared" si="82"/>
        <v>1323.69</v>
      </c>
      <c r="J351" s="558">
        <f t="shared" si="83"/>
        <v>2798.19</v>
      </c>
      <c r="K351" s="558">
        <v>332.26000000000005</v>
      </c>
      <c r="L351" s="558">
        <v>582.96</v>
      </c>
      <c r="M351" s="558">
        <v>348.95000000000005</v>
      </c>
      <c r="N351" s="579">
        <f t="shared" si="84"/>
        <v>1264.17</v>
      </c>
      <c r="O351" s="558">
        <v>233.18</v>
      </c>
      <c r="P351" s="558">
        <v>0</v>
      </c>
      <c r="Q351" s="558">
        <v>0</v>
      </c>
      <c r="R351" s="563">
        <f t="shared" si="85"/>
        <v>233.18</v>
      </c>
      <c r="S351" s="558">
        <f t="shared" si="86"/>
        <v>1497.3500000000001</v>
      </c>
      <c r="T351" s="558">
        <f t="shared" si="81"/>
        <v>4295.54</v>
      </c>
      <c r="U351" s="574">
        <f>2564.845+606.51</f>
        <v>3171.3549999999996</v>
      </c>
      <c r="V351" s="558">
        <v>273.77999999999997</v>
      </c>
      <c r="W351" s="558">
        <v>243</v>
      </c>
      <c r="X351" s="558"/>
      <c r="Y351" s="558">
        <v>1030</v>
      </c>
      <c r="Z351" s="558">
        <v>2294</v>
      </c>
      <c r="AA351" s="558">
        <v>5092</v>
      </c>
      <c r="AB351" s="573">
        <v>4904</v>
      </c>
    </row>
    <row r="352" spans="1:28" ht="26.25">
      <c r="A352" s="556" t="s">
        <v>500</v>
      </c>
      <c r="B352" s="558">
        <v>739</v>
      </c>
      <c r="C352" s="558">
        <v>739</v>
      </c>
      <c r="D352" s="558">
        <v>288.39999999999998</v>
      </c>
      <c r="E352" s="574">
        <f t="shared" si="80"/>
        <v>1766.4</v>
      </c>
      <c r="F352" s="558">
        <v>611.68999999999994</v>
      </c>
      <c r="G352" s="558">
        <v>926.04000000000008</v>
      </c>
      <c r="H352" s="558">
        <v>773.05</v>
      </c>
      <c r="I352" s="563">
        <f t="shared" si="82"/>
        <v>2310.7799999999997</v>
      </c>
      <c r="J352" s="558">
        <f t="shared" si="83"/>
        <v>4077.18</v>
      </c>
      <c r="K352" s="558">
        <v>1608.24</v>
      </c>
      <c r="L352" s="558">
        <v>544.1</v>
      </c>
      <c r="M352" s="558">
        <v>568.08999999999992</v>
      </c>
      <c r="N352" s="579">
        <f t="shared" si="84"/>
        <v>2720.4300000000003</v>
      </c>
      <c r="O352" s="558">
        <v>49.27</v>
      </c>
      <c r="P352" s="558">
        <v>0</v>
      </c>
      <c r="Q352" s="558">
        <v>0</v>
      </c>
      <c r="R352" s="563">
        <f t="shared" si="85"/>
        <v>49.27</v>
      </c>
      <c r="S352" s="558">
        <f t="shared" si="86"/>
        <v>2769.7000000000003</v>
      </c>
      <c r="T352" s="558">
        <f t="shared" si="81"/>
        <v>6846.8799999999992</v>
      </c>
      <c r="U352" s="574">
        <v>5424.17</v>
      </c>
      <c r="V352" s="558">
        <f>'DAILY FLASH'!AG53</f>
        <v>694.91</v>
      </c>
      <c r="W352" s="558">
        <v>330</v>
      </c>
      <c r="X352" s="558"/>
      <c r="Y352" s="558">
        <v>581</v>
      </c>
      <c r="Z352" s="558">
        <v>3302</v>
      </c>
      <c r="AA352" s="558">
        <v>7379</v>
      </c>
      <c r="AB352" s="573">
        <v>6958</v>
      </c>
    </row>
    <row r="353" spans="1:28" ht="26.25">
      <c r="A353" s="556" t="s">
        <v>2257</v>
      </c>
      <c r="B353" s="558">
        <f>10001-6295</f>
        <v>3706</v>
      </c>
      <c r="C353" s="558">
        <v>2556.1309999999999</v>
      </c>
      <c r="D353" s="558">
        <f>10369.931-6957.33</f>
        <v>3412.6010000000006</v>
      </c>
      <c r="E353" s="574">
        <f t="shared" si="80"/>
        <v>9674.732</v>
      </c>
      <c r="F353" s="558">
        <f>9043.21-6054.29</f>
        <v>2988.9199999999992</v>
      </c>
      <c r="G353" s="558">
        <f>10130-7066</f>
        <v>3064</v>
      </c>
      <c r="H353" s="558">
        <v>2040</v>
      </c>
      <c r="I353" s="563">
        <f t="shared" si="82"/>
        <v>8092.9199999999992</v>
      </c>
      <c r="J353" s="558">
        <f t="shared" si="83"/>
        <v>17767.651999999998</v>
      </c>
      <c r="K353" s="558">
        <f>10482-8069</f>
        <v>2413</v>
      </c>
      <c r="L353" s="558">
        <v>3240</v>
      </c>
      <c r="M353" s="558">
        <f>10445-7133</f>
        <v>3312</v>
      </c>
      <c r="N353" s="579">
        <f t="shared" si="84"/>
        <v>8965</v>
      </c>
      <c r="O353" s="558">
        <f>10803-7680</f>
        <v>3123</v>
      </c>
      <c r="P353" s="558">
        <v>0</v>
      </c>
      <c r="Q353" s="558">
        <v>0</v>
      </c>
      <c r="R353" s="563">
        <f t="shared" si="85"/>
        <v>3123</v>
      </c>
      <c r="S353" s="558">
        <f t="shared" si="86"/>
        <v>12088</v>
      </c>
      <c r="T353" s="558">
        <f t="shared" si="81"/>
        <v>29855.651999999998</v>
      </c>
      <c r="U353" s="558">
        <f>69241.245-46424</f>
        <v>22817.244999999995</v>
      </c>
      <c r="V353" s="558">
        <f>10677.18-7560.68</f>
        <v>3116.5</v>
      </c>
      <c r="W353" s="558">
        <v>3601</v>
      </c>
      <c r="X353" s="558"/>
      <c r="Y353" s="558">
        <v>9841</v>
      </c>
      <c r="Z353" s="558">
        <v>18806</v>
      </c>
      <c r="AA353" s="558">
        <v>36573</v>
      </c>
      <c r="AB353" s="573">
        <v>37835</v>
      </c>
    </row>
    <row r="354" spans="1:28" ht="26.25">
      <c r="A354" s="586" t="s">
        <v>23</v>
      </c>
      <c r="B354" s="587">
        <f>SUM(B348:B353)</f>
        <v>10000.790000000001</v>
      </c>
      <c r="C354" s="587">
        <f>SUM(C348:C353)</f>
        <v>6750.0209999999988</v>
      </c>
      <c r="D354" s="587">
        <f>SUM(D348:D353)</f>
        <v>10369.931</v>
      </c>
      <c r="E354" s="588">
        <f t="shared" si="80"/>
        <v>27120.742000000002</v>
      </c>
      <c r="F354" s="589">
        <f>SUM(F348:F353)</f>
        <v>9043.2099999999991</v>
      </c>
      <c r="G354" s="587">
        <f>SUM(G348:G353)</f>
        <v>10129.830999999998</v>
      </c>
      <c r="H354" s="587">
        <f>SUM(H348:H353)</f>
        <v>8353.43</v>
      </c>
      <c r="I354" s="598">
        <f t="shared" si="82"/>
        <v>27526.470999999998</v>
      </c>
      <c r="J354" s="587">
        <f t="shared" si="83"/>
        <v>54647.213000000003</v>
      </c>
      <c r="K354" s="587">
        <f>SUM(K348:K353)</f>
        <v>10482.030000000001</v>
      </c>
      <c r="L354" s="587">
        <f>SUM(L348:L353)</f>
        <v>10138.18</v>
      </c>
      <c r="M354" s="587">
        <f>SUM(M348:M353)</f>
        <v>10445.388999999999</v>
      </c>
      <c r="N354" s="599">
        <f t="shared" si="84"/>
        <v>31065.598999999998</v>
      </c>
      <c r="O354" s="587">
        <f>SUM(O348:O353)</f>
        <v>10803.210000000001</v>
      </c>
      <c r="P354" s="587">
        <f>SUM(P348:P353)</f>
        <v>0</v>
      </c>
      <c r="Q354" s="587">
        <f>SUM(Q348:Q353)</f>
        <v>0</v>
      </c>
      <c r="R354" s="598">
        <f t="shared" si="85"/>
        <v>10803.210000000001</v>
      </c>
      <c r="S354" s="587">
        <f t="shared" si="86"/>
        <v>41868.809000000001</v>
      </c>
      <c r="T354" s="587">
        <f t="shared" si="81"/>
        <v>96516.021999999997</v>
      </c>
      <c r="U354" s="588">
        <f>SUM(U348:U353)</f>
        <v>69240.81</v>
      </c>
      <c r="V354" s="587">
        <f>SUM(V348:V353)</f>
        <v>11372.09</v>
      </c>
      <c r="W354" s="587">
        <f>SUM(W348:W353)</f>
        <v>11364</v>
      </c>
      <c r="X354" s="587"/>
      <c r="Y354" s="587">
        <v>33047</v>
      </c>
      <c r="Z354" s="587">
        <v>64008</v>
      </c>
      <c r="AA354" s="587">
        <v>118655</v>
      </c>
      <c r="AB354" s="607">
        <v>121894</v>
      </c>
    </row>
    <row r="355" spans="1:28" ht="15.75">
      <c r="A355" s="590"/>
      <c r="B355" s="591"/>
      <c r="C355" s="591"/>
      <c r="D355" s="591"/>
      <c r="E355" s="591"/>
      <c r="F355" s="591"/>
      <c r="G355" s="592"/>
      <c r="H355" s="593"/>
      <c r="J355" s="591"/>
      <c r="K355" s="591"/>
      <c r="L355" s="591"/>
      <c r="M355" s="591"/>
      <c r="N355" s="591"/>
      <c r="O355" s="591"/>
      <c r="P355" s="591">
        <v>0</v>
      </c>
      <c r="Q355" s="604">
        <v>0</v>
      </c>
      <c r="R355" s="593"/>
      <c r="S355" s="593"/>
      <c r="T355" s="593"/>
      <c r="U355" s="605"/>
    </row>
    <row r="356" spans="1:28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595"/>
      <c r="R356" s="595"/>
      <c r="S356" s="595"/>
      <c r="T356" s="595"/>
      <c r="U356" s="595"/>
    </row>
    <row r="357" spans="1:28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595"/>
      <c r="R357" s="595"/>
      <c r="S357" s="595"/>
      <c r="T357" s="595"/>
      <c r="U357" s="595"/>
    </row>
    <row r="358" spans="1:28" ht="13.5" thickBot="1">
      <c r="A358" s="293"/>
      <c r="B358" s="293"/>
      <c r="C358" s="293"/>
      <c r="D358" s="293"/>
      <c r="E358" s="2644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Q358" s="2646"/>
      <c r="R358" s="2646"/>
      <c r="S358" s="2646"/>
      <c r="T358" s="2646"/>
      <c r="U358" s="2646"/>
      <c r="V358" s="2645"/>
    </row>
    <row r="359" spans="1:28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>
        <v>9132.7469999999994</v>
      </c>
      <c r="P359" s="84">
        <f>'DAILY FLASH'!AR56</f>
        <v>11402.186999999998</v>
      </c>
      <c r="Q359" s="595"/>
      <c r="R359" s="595"/>
      <c r="S359" s="595"/>
      <c r="T359" s="595"/>
      <c r="U359" s="595"/>
    </row>
    <row r="360" spans="1:28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595"/>
      <c r="R360" s="595"/>
      <c r="S360" s="595"/>
      <c r="T360" s="595"/>
      <c r="U360" s="595"/>
    </row>
    <row r="361" spans="1:28" ht="15.75">
      <c r="A361" s="3079" t="s">
        <v>3999</v>
      </c>
      <c r="B361" s="3079"/>
      <c r="C361" s="3079"/>
      <c r="D361" s="3079"/>
      <c r="E361" s="3079"/>
      <c r="F361" s="3079"/>
      <c r="G361" s="3079"/>
      <c r="H361" s="3079"/>
      <c r="I361" s="3079"/>
      <c r="J361" s="3079"/>
      <c r="K361" s="3079"/>
      <c r="L361" s="3079"/>
      <c r="M361" s="3079"/>
      <c r="N361" s="3079"/>
      <c r="O361" s="3079"/>
      <c r="P361" s="3079"/>
      <c r="Q361" s="3079"/>
      <c r="R361" s="3079"/>
      <c r="S361" s="3079"/>
      <c r="T361" s="3079"/>
      <c r="U361" s="3079"/>
      <c r="V361" s="3079"/>
    </row>
    <row r="362" spans="1:28" ht="18.75">
      <c r="A362" s="2647"/>
      <c r="B362" s="2648" t="s">
        <v>2260</v>
      </c>
      <c r="C362" s="2648" t="s">
        <v>723</v>
      </c>
      <c r="D362" s="2648" t="s">
        <v>2147</v>
      </c>
      <c r="E362" s="2649" t="s">
        <v>2609</v>
      </c>
      <c r="F362" s="2648" t="s">
        <v>1993</v>
      </c>
      <c r="G362" s="2648" t="s">
        <v>726</v>
      </c>
      <c r="H362" s="2648" t="s">
        <v>1994</v>
      </c>
      <c r="I362" s="2648" t="s">
        <v>2610</v>
      </c>
      <c r="J362" s="2648" t="s">
        <v>3148</v>
      </c>
      <c r="K362" s="2648" t="s">
        <v>729</v>
      </c>
      <c r="L362" s="2648" t="s">
        <v>730</v>
      </c>
      <c r="M362" s="2648" t="s">
        <v>731</v>
      </c>
      <c r="N362" s="2648" t="s">
        <v>2611</v>
      </c>
      <c r="O362" s="2648" t="s">
        <v>732</v>
      </c>
      <c r="P362" s="2648" t="s">
        <v>733</v>
      </c>
      <c r="Q362" s="2648" t="s">
        <v>3206</v>
      </c>
      <c r="R362" s="2648" t="s">
        <v>2612</v>
      </c>
      <c r="S362" s="2648" t="s">
        <v>3149</v>
      </c>
      <c r="T362" s="2648" t="s">
        <v>3226</v>
      </c>
      <c r="U362" s="2648" t="s">
        <v>3227</v>
      </c>
      <c r="V362" s="2660" t="s">
        <v>733</v>
      </c>
    </row>
    <row r="363" spans="1:28" ht="15.75">
      <c r="A363" s="2647" t="s">
        <v>3228</v>
      </c>
      <c r="B363" s="2650">
        <v>893</v>
      </c>
      <c r="C363" s="2650">
        <f>1271.9+22.65</f>
        <v>1294.5500000000002</v>
      </c>
      <c r="D363" s="2650">
        <v>1106.99</v>
      </c>
      <c r="E363" s="2651">
        <f t="shared" ref="E363:E369" si="87">+D363+C363+B363</f>
        <v>3294.54</v>
      </c>
      <c r="F363" s="2650">
        <v>1088.25</v>
      </c>
      <c r="G363" s="2650">
        <v>944.26</v>
      </c>
      <c r="H363" s="2650">
        <v>438.61</v>
      </c>
      <c r="I363" s="2651">
        <f t="shared" ref="I363:I369" si="88">SUM(F363:H363)</f>
        <v>2471.12</v>
      </c>
      <c r="J363" s="2651">
        <f t="shared" ref="J363:J368" si="89">I363+E363</f>
        <v>5765.66</v>
      </c>
      <c r="K363" s="2650">
        <v>941.7</v>
      </c>
      <c r="L363" s="2650">
        <f>261+1086.89</f>
        <v>1347.89</v>
      </c>
      <c r="M363" s="2650">
        <v>383.53</v>
      </c>
      <c r="N363" s="2650">
        <f>M363+K363+L363</f>
        <v>2673.12</v>
      </c>
      <c r="O363" s="2650">
        <v>1405.3699999999997</v>
      </c>
      <c r="P363" s="2650">
        <v>1644.9399999999998</v>
      </c>
      <c r="Q363" s="2650">
        <f>'DAILY FLASH'!BC75</f>
        <v>0</v>
      </c>
      <c r="R363" s="2650"/>
      <c r="S363" s="2650"/>
      <c r="T363" s="2650"/>
      <c r="U363" s="2650"/>
      <c r="V363" s="2650"/>
    </row>
    <row r="364" spans="1:28" ht="15.75">
      <c r="A364" s="2647" t="s">
        <v>385</v>
      </c>
      <c r="B364" s="2652">
        <v>162</v>
      </c>
      <c r="C364" s="2650">
        <f>134.55+130.78</f>
        <v>265.33000000000004</v>
      </c>
      <c r="D364" s="2650">
        <f>227.38+696.16</f>
        <v>923.54</v>
      </c>
      <c r="E364" s="2651">
        <f t="shared" si="87"/>
        <v>1350.87</v>
      </c>
      <c r="F364" s="2650">
        <f>566.45+640.07</f>
        <v>1206.52</v>
      </c>
      <c r="G364" s="2650">
        <f>228.75+977.99</f>
        <v>1206.74</v>
      </c>
      <c r="H364" s="2650">
        <f>90.26+145.06+594.53</f>
        <v>829.84999999999991</v>
      </c>
      <c r="I364" s="2651">
        <f t="shared" si="88"/>
        <v>3243.11</v>
      </c>
      <c r="J364" s="2651">
        <f t="shared" si="89"/>
        <v>4593.9799999999996</v>
      </c>
      <c r="K364" s="2650">
        <f>225.73+604.73+151.71</f>
        <v>982.17000000000007</v>
      </c>
      <c r="L364" s="2650">
        <f>104.88+372.65+398.13</f>
        <v>875.66</v>
      </c>
      <c r="M364" s="2650">
        <f>161.42+449.42+619.01</f>
        <v>1229.8499999999999</v>
      </c>
      <c r="N364" s="2650">
        <f t="shared" ref="N364:N369" si="90">M364+K364+L364</f>
        <v>3087.68</v>
      </c>
      <c r="O364" s="2650">
        <v>941.64</v>
      </c>
      <c r="P364" s="2650">
        <v>1374.8600000000001</v>
      </c>
      <c r="Q364" s="2650">
        <f>'DAILY FLASH'!BC73</f>
        <v>1300.3400000000001</v>
      </c>
      <c r="R364" s="2650"/>
      <c r="S364" s="2650"/>
      <c r="T364" s="2650"/>
      <c r="U364" s="2650"/>
      <c r="V364" s="2650"/>
    </row>
    <row r="365" spans="1:28" ht="15.75">
      <c r="A365" s="2647" t="s">
        <v>563</v>
      </c>
      <c r="B365" s="2652">
        <v>3735.9</v>
      </c>
      <c r="C365" s="2650">
        <v>5123.21</v>
      </c>
      <c r="D365" s="2650">
        <v>3296.54</v>
      </c>
      <c r="E365" s="2651">
        <f t="shared" si="87"/>
        <v>12155.65</v>
      </c>
      <c r="F365" s="2650">
        <v>3747.62</v>
      </c>
      <c r="G365" s="2650">
        <v>5164.45</v>
      </c>
      <c r="H365" s="2650">
        <v>5071.91</v>
      </c>
      <c r="I365" s="2651">
        <f t="shared" si="88"/>
        <v>13983.98</v>
      </c>
      <c r="J365" s="2651">
        <f t="shared" si="89"/>
        <v>26139.629999999997</v>
      </c>
      <c r="K365" s="2650">
        <v>2369.48</v>
      </c>
      <c r="L365" s="2650">
        <v>413.73</v>
      </c>
      <c r="M365" s="2650">
        <v>828.42</v>
      </c>
      <c r="N365" s="2650">
        <f t="shared" si="90"/>
        <v>3611.63</v>
      </c>
      <c r="O365" s="2650">
        <v>1363.335</v>
      </c>
      <c r="P365" s="2650">
        <v>4883.8919999999998</v>
      </c>
      <c r="Q365" s="2650">
        <f>'DAILY FLASH'!BC62</f>
        <v>5104.2800000000007</v>
      </c>
      <c r="R365" s="2650"/>
      <c r="S365" s="2650"/>
      <c r="T365" s="2650"/>
      <c r="U365" s="2650"/>
      <c r="V365" s="2650"/>
    </row>
    <row r="366" spans="1:28" ht="15.75">
      <c r="A366" s="2647" t="s">
        <v>568</v>
      </c>
      <c r="B366" s="2652">
        <v>467.53</v>
      </c>
      <c r="C366" s="2650">
        <f>547.26+47.52</f>
        <v>594.78</v>
      </c>
      <c r="D366" s="2650">
        <f>544.92+106.13</f>
        <v>651.04999999999995</v>
      </c>
      <c r="E366" s="2651">
        <f t="shared" si="87"/>
        <v>1713.36</v>
      </c>
      <c r="F366" s="2650">
        <f>390.41+144.13</f>
        <v>534.54</v>
      </c>
      <c r="G366" s="2650">
        <f>553.8+78.92</f>
        <v>632.71999999999991</v>
      </c>
      <c r="H366" s="2650">
        <f>506.59+68.05</f>
        <v>574.64</v>
      </c>
      <c r="I366" s="2651">
        <f t="shared" si="88"/>
        <v>1741.8999999999996</v>
      </c>
      <c r="J366" s="2651">
        <f t="shared" si="89"/>
        <v>3455.2599999999993</v>
      </c>
      <c r="K366" s="2650">
        <f>470.33+88.97</f>
        <v>559.29999999999995</v>
      </c>
      <c r="L366" s="2650">
        <f>490.11+110.25</f>
        <v>600.36</v>
      </c>
      <c r="M366" s="2650">
        <f>294.46+42.25</f>
        <v>336.71</v>
      </c>
      <c r="N366" s="2650">
        <f t="shared" si="90"/>
        <v>1496.37</v>
      </c>
      <c r="O366" s="2650">
        <v>401.48</v>
      </c>
      <c r="P366" s="2650">
        <v>558.06400000000008</v>
      </c>
      <c r="Q366" s="2650">
        <f>'DAILY FLASH'!BC63+'DAILY FLASH'!BC64+'DAILY FLASH'!BC65</f>
        <v>558.9559999999999</v>
      </c>
      <c r="R366" s="2650"/>
      <c r="S366" s="2650"/>
      <c r="T366" s="2650"/>
      <c r="U366" s="2650"/>
      <c r="V366" s="2650"/>
    </row>
    <row r="367" spans="1:28" ht="15.75">
      <c r="A367" s="2647" t="s">
        <v>500</v>
      </c>
      <c r="B367" s="2652">
        <v>390</v>
      </c>
      <c r="C367" s="2650">
        <v>378.13</v>
      </c>
      <c r="D367" s="2650">
        <v>382.87</v>
      </c>
      <c r="E367" s="2651">
        <f t="shared" si="87"/>
        <v>1151</v>
      </c>
      <c r="F367" s="2650">
        <v>540.5</v>
      </c>
      <c r="G367" s="2650">
        <v>88.98</v>
      </c>
      <c r="H367" s="2650">
        <v>140.81</v>
      </c>
      <c r="I367" s="2651">
        <f t="shared" si="88"/>
        <v>770.29</v>
      </c>
      <c r="J367" s="2651">
        <f t="shared" si="89"/>
        <v>1921.29</v>
      </c>
      <c r="K367" s="2650">
        <v>315.06</v>
      </c>
      <c r="L367" s="2650">
        <v>103.7</v>
      </c>
      <c r="M367" s="2650">
        <v>399.19</v>
      </c>
      <c r="N367" s="2650">
        <f t="shared" si="90"/>
        <v>817.95</v>
      </c>
      <c r="O367" s="2650">
        <v>0</v>
      </c>
      <c r="P367" s="2650">
        <v>0</v>
      </c>
      <c r="Q367" s="2650">
        <f>'DAILY FLASH'!BC77</f>
        <v>356.69</v>
      </c>
      <c r="R367" s="2650"/>
      <c r="S367" s="2650"/>
      <c r="T367" s="2650"/>
      <c r="U367" s="2650"/>
      <c r="V367" s="2650"/>
    </row>
    <row r="368" spans="1:28" ht="15.75">
      <c r="A368" s="2647" t="s">
        <v>2257</v>
      </c>
      <c r="B368" s="2652">
        <f>8118.913-5648.43</f>
        <v>2470.4829999999993</v>
      </c>
      <c r="C368" s="2650">
        <f>10643.45-7656</f>
        <v>2987.4500000000007</v>
      </c>
      <c r="D368" s="2650">
        <f>8807.75-6254.86-106.13</f>
        <v>2446.7600000000002</v>
      </c>
      <c r="E368" s="2651">
        <f t="shared" si="87"/>
        <v>7904.6930000000002</v>
      </c>
      <c r="F368" s="2650">
        <f>10757.424-6973.3-144.13</f>
        <v>3639.9940000000006</v>
      </c>
      <c r="G368" s="2650">
        <f>11385.55-7958.23-78.92</f>
        <v>3348.3999999999996</v>
      </c>
      <c r="H368" s="2650">
        <f>10288.25-6938.51-49.27-68.25</f>
        <v>3232.22</v>
      </c>
      <c r="I368" s="2651">
        <f t="shared" si="88"/>
        <v>10220.614</v>
      </c>
      <c r="J368" s="2651">
        <f t="shared" si="89"/>
        <v>18125.307000000001</v>
      </c>
      <c r="K368" s="2650">
        <f>7542.22-5078.74-88.97</f>
        <v>2374.5100000000007</v>
      </c>
      <c r="L368" s="2650">
        <f>6773.73-3341.34</f>
        <v>3432.3899999999994</v>
      </c>
      <c r="M368" s="2650">
        <f>6449.975-3177.7</f>
        <v>3272.2750000000005</v>
      </c>
      <c r="N368" s="2650">
        <f t="shared" si="90"/>
        <v>9079.1750000000011</v>
      </c>
      <c r="O368" s="2650">
        <f>7278.115-4111.825</f>
        <v>3166.29</v>
      </c>
      <c r="P368" s="2650">
        <f>11791-8461.756</f>
        <v>3329.2440000000006</v>
      </c>
      <c r="Q368" s="2650"/>
      <c r="R368" s="2650"/>
      <c r="S368" s="2650"/>
      <c r="T368" s="2650"/>
      <c r="U368" s="2650"/>
      <c r="V368" s="2650"/>
    </row>
    <row r="369" spans="1:22" ht="15.75">
      <c r="A369" s="2647" t="s">
        <v>23</v>
      </c>
      <c r="B369" s="2651">
        <f>SUM(B363:B368)</f>
        <v>8118.9129999999986</v>
      </c>
      <c r="C369" s="2651">
        <f>SUM(C363:C368)</f>
        <v>10643.45</v>
      </c>
      <c r="D369" s="2651">
        <f>SUM(D363:D368)</f>
        <v>8807.75</v>
      </c>
      <c r="E369" s="2651">
        <f t="shared" si="87"/>
        <v>27570.112999999998</v>
      </c>
      <c r="F369" s="2651">
        <f>SUM(F363:F368)</f>
        <v>10757.423999999999</v>
      </c>
      <c r="G369" s="2651">
        <f t="shared" ref="G369:H369" si="91">SUM(G363:G368)</f>
        <v>11385.55</v>
      </c>
      <c r="H369" s="2651">
        <f t="shared" si="91"/>
        <v>10288.040000000001</v>
      </c>
      <c r="I369" s="2651">
        <f t="shared" si="88"/>
        <v>32431.013999999999</v>
      </c>
      <c r="J369" s="2651">
        <f>I369+E369</f>
        <v>60001.126999999993</v>
      </c>
      <c r="K369" s="2651">
        <f t="shared" ref="K369:M369" si="92">SUM(K363:K368)</f>
        <v>7542.2200000000012</v>
      </c>
      <c r="L369" s="2651">
        <f t="shared" si="92"/>
        <v>6773.73</v>
      </c>
      <c r="M369" s="2651">
        <f t="shared" si="92"/>
        <v>6449.9750000000004</v>
      </c>
      <c r="N369" s="2650">
        <f t="shared" si="90"/>
        <v>20765.925000000003</v>
      </c>
      <c r="O369" s="2651">
        <f>SUM(O363:O368)</f>
        <v>7278.1149999999998</v>
      </c>
      <c r="P369" s="2651">
        <f>SUM(P363:P368)</f>
        <v>11791</v>
      </c>
      <c r="Q369" s="2651">
        <f>SUM(Q363:Q368)</f>
        <v>7320.2660000000005</v>
      </c>
      <c r="R369" s="2661">
        <f>SUM(O369:Q369)</f>
        <v>26389.380999999998</v>
      </c>
      <c r="S369" s="2652">
        <f>+R369+N369</f>
        <v>47155.305999999997</v>
      </c>
      <c r="T369" s="2652">
        <f>R369+N369+I369+E370</f>
        <v>79586.319999999992</v>
      </c>
      <c r="U369" s="2653">
        <f>SUM(U363:U368)</f>
        <v>0</v>
      </c>
      <c r="V369" s="2652">
        <f>SUM(V363:V368)</f>
        <v>0</v>
      </c>
    </row>
    <row r="370" spans="1:22" ht="16.5" thickBot="1">
      <c r="A370" s="2654"/>
      <c r="B370" s="2655"/>
      <c r="C370" s="2655"/>
      <c r="D370" s="2655"/>
      <c r="E370" s="2650"/>
      <c r="F370" s="2655"/>
      <c r="G370" s="2656"/>
      <c r="H370" s="2657"/>
      <c r="I370" s="1514"/>
      <c r="J370" s="2655"/>
      <c r="K370" s="2655"/>
      <c r="L370" s="2655"/>
      <c r="M370" s="2655"/>
      <c r="N370" s="2655"/>
      <c r="O370" s="2655"/>
      <c r="P370" s="2655">
        <v>0</v>
      </c>
      <c r="Q370" s="2658">
        <v>0</v>
      </c>
      <c r="R370" s="2657"/>
      <c r="S370" s="2657"/>
      <c r="T370" s="2657"/>
      <c r="U370" s="2659"/>
      <c r="V370" s="1514"/>
    </row>
    <row r="371" spans="1:22" ht="13.5" thickBot="1">
      <c r="A371" s="84"/>
      <c r="B371" s="84"/>
      <c r="C371" s="84"/>
      <c r="D371" s="84"/>
      <c r="E371" s="591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595"/>
      <c r="R371" s="595"/>
      <c r="S371" s="595"/>
      <c r="T371" s="595"/>
      <c r="U371" s="595"/>
    </row>
    <row r="372" spans="1:22" ht="15.75">
      <c r="A372" s="84"/>
      <c r="B372" s="84">
        <v>8118.9129999999996</v>
      </c>
      <c r="C372" s="84"/>
      <c r="D372" s="84"/>
      <c r="E372" s="84"/>
      <c r="F372" s="84">
        <v>10757.424000000001</v>
      </c>
      <c r="G372" s="84">
        <v>11385.55</v>
      </c>
      <c r="H372" s="84">
        <v>10288.25</v>
      </c>
      <c r="I372" s="84"/>
      <c r="J372" s="2623">
        <f t="shared" ref="J372" si="93">SUM(G372:I372)</f>
        <v>21673.8</v>
      </c>
      <c r="K372" s="84">
        <v>7542.22</v>
      </c>
      <c r="L372" s="84">
        <v>6773.73</v>
      </c>
      <c r="M372" s="84"/>
      <c r="N372" s="84"/>
      <c r="O372" s="84">
        <f>'DAILY FLASH'!BC60</f>
        <v>11173.28</v>
      </c>
      <c r="P372" s="84">
        <f>'DAILY FLASH'!BC60</f>
        <v>11173.28</v>
      </c>
      <c r="Q372" s="595"/>
      <c r="R372" s="595"/>
      <c r="S372" s="595"/>
      <c r="T372" s="595"/>
      <c r="U372" s="595"/>
    </row>
    <row r="373" spans="1:22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595"/>
      <c r="R373" s="595"/>
      <c r="S373" s="595"/>
      <c r="T373" s="595"/>
      <c r="U373" s="595"/>
    </row>
    <row r="374" spans="1:22" ht="15.75">
      <c r="A374" s="3075" t="s">
        <v>4000</v>
      </c>
      <c r="B374" s="3075"/>
      <c r="C374" s="3075"/>
      <c r="D374" s="3075"/>
      <c r="E374" s="3075"/>
      <c r="F374" s="3075"/>
      <c r="G374" s="3075"/>
      <c r="H374" s="3075"/>
      <c r="I374" s="3075"/>
      <c r="J374" s="3075"/>
      <c r="K374" s="3075"/>
      <c r="L374" s="3075"/>
      <c r="M374" s="3075"/>
      <c r="N374" s="3075"/>
      <c r="O374" s="3075"/>
      <c r="P374" s="3075"/>
      <c r="Q374" s="3075"/>
      <c r="R374" s="3075"/>
      <c r="S374" s="3075"/>
      <c r="T374" s="3075"/>
      <c r="U374" s="3075"/>
      <c r="V374" s="3075"/>
    </row>
    <row r="375" spans="1:22" ht="18.75">
      <c r="A375" s="550"/>
      <c r="B375" s="547" t="s">
        <v>2260</v>
      </c>
      <c r="C375" s="547" t="s">
        <v>723</v>
      </c>
      <c r="D375" s="547" t="s">
        <v>2147</v>
      </c>
      <c r="E375" s="435" t="s">
        <v>2609</v>
      </c>
      <c r="F375" s="547" t="s">
        <v>1993</v>
      </c>
      <c r="G375" s="547" t="s">
        <v>726</v>
      </c>
      <c r="H375" s="547" t="s">
        <v>1994</v>
      </c>
      <c r="I375" s="547" t="s">
        <v>2610</v>
      </c>
      <c r="J375" s="547" t="s">
        <v>3148</v>
      </c>
      <c r="K375" s="547" t="s">
        <v>729</v>
      </c>
      <c r="L375" s="547" t="s">
        <v>730</v>
      </c>
      <c r="M375" s="547" t="s">
        <v>731</v>
      </c>
      <c r="N375" s="547" t="s">
        <v>2611</v>
      </c>
      <c r="O375" s="547" t="s">
        <v>732</v>
      </c>
      <c r="P375" s="547" t="s">
        <v>733</v>
      </c>
      <c r="Q375" s="547" t="s">
        <v>3206</v>
      </c>
      <c r="R375" s="547" t="s">
        <v>2612</v>
      </c>
      <c r="S375" s="547" t="s">
        <v>3149</v>
      </c>
      <c r="T375" s="547" t="s">
        <v>3226</v>
      </c>
      <c r="U375" s="547" t="s">
        <v>3227</v>
      </c>
      <c r="V375" s="13" t="s">
        <v>733</v>
      </c>
    </row>
    <row r="376" spans="1:22" ht="15.75">
      <c r="A376" s="550" t="s">
        <v>3228</v>
      </c>
      <c r="B376" s="594">
        <v>724.38</v>
      </c>
      <c r="C376" s="594">
        <f>332.28+15.81</f>
        <v>348.09</v>
      </c>
      <c r="D376" s="594">
        <f>1191.35+187.31</f>
        <v>1378.6599999999999</v>
      </c>
      <c r="E376" s="2623">
        <f t="shared" ref="E376:E382" si="94">+D376+C376+B376</f>
        <v>2451.1299999999997</v>
      </c>
      <c r="F376" s="594">
        <v>801.34</v>
      </c>
      <c r="G376" s="594">
        <v>893.99</v>
      </c>
      <c r="H376" s="594">
        <f>936.86+18.74</f>
        <v>955.6</v>
      </c>
      <c r="I376" s="2623">
        <f t="shared" ref="I376:I382" si="95">SUM(F376:H376)</f>
        <v>2650.93</v>
      </c>
      <c r="J376" s="2623">
        <f t="shared" ref="J376:J381" si="96">I376+E376</f>
        <v>5102.0599999999995</v>
      </c>
      <c r="K376" s="594">
        <v>1224.56</v>
      </c>
      <c r="L376" s="594">
        <v>1425.18</v>
      </c>
      <c r="M376" s="594">
        <f>1406.38+215.56</f>
        <v>1621.94</v>
      </c>
      <c r="N376" s="594">
        <f>M376+K376+L376</f>
        <v>4271.68</v>
      </c>
      <c r="O376" s="594">
        <f>1351.1+168.61</f>
        <v>1519.71</v>
      </c>
      <c r="P376" s="594">
        <v>1255.94</v>
      </c>
      <c r="Q376" s="594">
        <f>1147.03+249.63</f>
        <v>1396.6599999999999</v>
      </c>
      <c r="R376" s="594">
        <f>Q376+O376+P376</f>
        <v>4172.3099999999995</v>
      </c>
      <c r="S376" s="549">
        <f>+R376+N376</f>
        <v>8443.99</v>
      </c>
      <c r="T376" s="594">
        <f>+S376+J376</f>
        <v>13546.05</v>
      </c>
      <c r="U376" s="594"/>
      <c r="V376" s="594"/>
    </row>
    <row r="377" spans="1:22" ht="15.75">
      <c r="A377" s="550" t="s">
        <v>385</v>
      </c>
      <c r="B377" s="549">
        <f>711.82+1.2</f>
        <v>713.0200000000001</v>
      </c>
      <c r="C377" s="549">
        <v>282.2</v>
      </c>
      <c r="D377" s="549">
        <v>768.14</v>
      </c>
      <c r="E377" s="2623">
        <f t="shared" si="94"/>
        <v>1763.3600000000001</v>
      </c>
      <c r="F377" s="549">
        <v>497.04</v>
      </c>
      <c r="G377" s="549">
        <f>366+344.51</f>
        <v>710.51</v>
      </c>
      <c r="H377" s="549">
        <f>424.24+304.04</f>
        <v>728.28</v>
      </c>
      <c r="I377" s="2623">
        <f t="shared" si="95"/>
        <v>1935.83</v>
      </c>
      <c r="J377" s="2623">
        <f t="shared" si="96"/>
        <v>3699.19</v>
      </c>
      <c r="K377" s="549">
        <f>656.74+177.99</f>
        <v>834.73</v>
      </c>
      <c r="L377" s="549">
        <f>750.24+240.19</f>
        <v>990.43000000000006</v>
      </c>
      <c r="M377" s="549">
        <f>80.46+722.45</f>
        <v>802.91000000000008</v>
      </c>
      <c r="N377" s="594">
        <f t="shared" ref="N377:N382" si="97">M377+K377+L377</f>
        <v>2628.07</v>
      </c>
      <c r="O377" s="594">
        <f>883.36+28.09</f>
        <v>911.45</v>
      </c>
      <c r="P377" s="594">
        <f>511.43+117.46</f>
        <v>628.89</v>
      </c>
      <c r="Q377" s="594">
        <v>656.77</v>
      </c>
      <c r="R377" s="594">
        <f t="shared" ref="R377:R381" si="98">Q377+O377+P377</f>
        <v>2197.11</v>
      </c>
      <c r="S377" s="549">
        <f t="shared" ref="S377:S381" si="99">+R377+N377</f>
        <v>4825.18</v>
      </c>
      <c r="T377" s="594">
        <f t="shared" ref="T377:T382" si="100">+S377+J377</f>
        <v>8524.3700000000008</v>
      </c>
      <c r="U377" s="594"/>
      <c r="V377" s="594"/>
    </row>
    <row r="378" spans="1:22" ht="15.75">
      <c r="A378" s="550" t="s">
        <v>563</v>
      </c>
      <c r="B378" s="549">
        <v>3741.49</v>
      </c>
      <c r="C378" s="549">
        <v>3348.48</v>
      </c>
      <c r="D378" s="549">
        <v>4127.3500000000004</v>
      </c>
      <c r="E378" s="2623">
        <f t="shared" si="94"/>
        <v>11217.32</v>
      </c>
      <c r="F378" s="549">
        <v>4262.3100000000004</v>
      </c>
      <c r="G378" s="549">
        <v>4154.87</v>
      </c>
      <c r="H378" s="549">
        <v>3699.05</v>
      </c>
      <c r="I378" s="2623">
        <f t="shared" si="95"/>
        <v>12116.23</v>
      </c>
      <c r="J378" s="2623">
        <f t="shared" si="96"/>
        <v>23333.55</v>
      </c>
      <c r="K378" s="549">
        <v>3633.58</v>
      </c>
      <c r="L378" s="549">
        <v>3165.27</v>
      </c>
      <c r="M378" s="549">
        <v>4264.2299999999996</v>
      </c>
      <c r="N378" s="594">
        <f t="shared" si="97"/>
        <v>11063.08</v>
      </c>
      <c r="O378" s="594">
        <v>4409.41</v>
      </c>
      <c r="P378" s="594">
        <v>5664.83</v>
      </c>
      <c r="Q378" s="594">
        <v>5664.89</v>
      </c>
      <c r="R378" s="594">
        <f t="shared" si="98"/>
        <v>15739.13</v>
      </c>
      <c r="S378" s="549">
        <f t="shared" si="99"/>
        <v>26802.21</v>
      </c>
      <c r="T378" s="594">
        <f t="shared" si="100"/>
        <v>50135.759999999995</v>
      </c>
      <c r="U378" s="594"/>
      <c r="V378" s="594"/>
    </row>
    <row r="379" spans="1:22" ht="15.75">
      <c r="A379" s="550" t="s">
        <v>568</v>
      </c>
      <c r="B379" s="549">
        <f>477.91+123.69</f>
        <v>601.6</v>
      </c>
      <c r="C379" s="549">
        <f>324.41+81.07</f>
        <v>405.48</v>
      </c>
      <c r="D379" s="549">
        <f>378.99+140.35</f>
        <v>519.34</v>
      </c>
      <c r="E379" s="2623">
        <f t="shared" si="94"/>
        <v>1526.42</v>
      </c>
      <c r="F379" s="549">
        <f>318.45+45.5</f>
        <v>363.95</v>
      </c>
      <c r="G379" s="549">
        <f>404.81+57.26</f>
        <v>462.07</v>
      </c>
      <c r="H379" s="549">
        <f>354.33+119.61</f>
        <v>473.94</v>
      </c>
      <c r="I379" s="2623">
        <f t="shared" si="95"/>
        <v>1299.96</v>
      </c>
      <c r="J379" s="2623">
        <f t="shared" si="96"/>
        <v>2826.38</v>
      </c>
      <c r="K379" s="549">
        <f>305.94+39.04</f>
        <v>344.98</v>
      </c>
      <c r="L379" s="549">
        <f>513.73+8.3</f>
        <v>522.03</v>
      </c>
      <c r="M379" s="549">
        <v>431.84</v>
      </c>
      <c r="N379" s="594">
        <f t="shared" si="97"/>
        <v>1298.8499999999999</v>
      </c>
      <c r="O379" s="594">
        <v>96.67</v>
      </c>
      <c r="P379" s="594">
        <v>353</v>
      </c>
      <c r="Q379" s="594">
        <v>328.41</v>
      </c>
      <c r="R379" s="594">
        <f t="shared" si="98"/>
        <v>778.08</v>
      </c>
      <c r="S379" s="549">
        <f t="shared" si="99"/>
        <v>2076.9299999999998</v>
      </c>
      <c r="T379" s="594">
        <f t="shared" si="100"/>
        <v>4903.3099999999995</v>
      </c>
      <c r="U379" s="594"/>
      <c r="V379" s="594"/>
    </row>
    <row r="380" spans="1:22" ht="15.75">
      <c r="A380" s="550" t="s">
        <v>500</v>
      </c>
      <c r="B380" s="549">
        <v>982.49</v>
      </c>
      <c r="C380" s="549">
        <v>511.5</v>
      </c>
      <c r="D380" s="549">
        <v>287.98</v>
      </c>
      <c r="E380" s="2623">
        <f t="shared" si="94"/>
        <v>1781.97</v>
      </c>
      <c r="F380" s="549">
        <v>1020.07</v>
      </c>
      <c r="G380" s="549">
        <v>859.32</v>
      </c>
      <c r="H380" s="549">
        <v>684.42</v>
      </c>
      <c r="I380" s="2623">
        <f t="shared" si="95"/>
        <v>2563.81</v>
      </c>
      <c r="J380" s="2623">
        <f t="shared" si="96"/>
        <v>4345.78</v>
      </c>
      <c r="K380" s="549">
        <v>1101.5899999999999</v>
      </c>
      <c r="L380" s="549">
        <v>525.65</v>
      </c>
      <c r="M380" s="549">
        <v>480.27</v>
      </c>
      <c r="N380" s="594">
        <f t="shared" si="97"/>
        <v>2107.5099999999998</v>
      </c>
      <c r="O380" s="594">
        <v>146.83000000000001</v>
      </c>
      <c r="P380" s="594">
        <v>48.37</v>
      </c>
      <c r="Q380" s="594">
        <v>309.35000000000002</v>
      </c>
      <c r="R380" s="594">
        <f t="shared" si="98"/>
        <v>504.55000000000007</v>
      </c>
      <c r="S380" s="549">
        <f t="shared" si="99"/>
        <v>2612.06</v>
      </c>
      <c r="T380" s="594">
        <f t="shared" si="100"/>
        <v>6957.84</v>
      </c>
      <c r="U380" s="594"/>
      <c r="V380" s="594"/>
    </row>
    <row r="381" spans="1:22" ht="15.75">
      <c r="A381" s="550" t="s">
        <v>2257</v>
      </c>
      <c r="B381" s="549">
        <f>10610.69-6762.98</f>
        <v>3847.7100000000009</v>
      </c>
      <c r="C381" s="549">
        <f>9163.25-4895.75</f>
        <v>4267.5</v>
      </c>
      <c r="D381" s="549">
        <f>9846.14-7081.47</f>
        <v>2764.6699999999992</v>
      </c>
      <c r="E381" s="2623">
        <f t="shared" si="94"/>
        <v>10879.880000000001</v>
      </c>
      <c r="F381" s="549">
        <f>10084.52-6944.71</f>
        <v>3139.8100000000004</v>
      </c>
      <c r="G381" s="549">
        <f>10197.8-7080.76</f>
        <v>3117.0399999999991</v>
      </c>
      <c r="H381" s="549">
        <f>9883.89-6541.29</f>
        <v>3342.5999999999995</v>
      </c>
      <c r="I381" s="2623">
        <f t="shared" si="95"/>
        <v>9599.4499999999989</v>
      </c>
      <c r="J381" s="2623">
        <f t="shared" si="96"/>
        <v>20479.330000000002</v>
      </c>
      <c r="K381" s="549">
        <f>9466.495-7139.44</f>
        <v>2327.0550000000012</v>
      </c>
      <c r="L381" s="549">
        <f>9615.41-6628.56</f>
        <v>2986.8499999999995</v>
      </c>
      <c r="M381" s="549">
        <f>10887.76-7601.19</f>
        <v>3286.5700000000006</v>
      </c>
      <c r="N381" s="594">
        <f t="shared" si="97"/>
        <v>8600.4750000000022</v>
      </c>
      <c r="O381" s="594">
        <f>9929.93-7084.07</f>
        <v>2845.8600000000006</v>
      </c>
      <c r="P381" s="594">
        <f>10193.005-7951.03</f>
        <v>2241.9749999999995</v>
      </c>
      <c r="Q381" s="594">
        <f>10910.163-8356.08</f>
        <v>2554.0830000000005</v>
      </c>
      <c r="R381" s="594">
        <f t="shared" si="98"/>
        <v>7641.9180000000006</v>
      </c>
      <c r="S381" s="549">
        <f t="shared" si="99"/>
        <v>16242.393000000004</v>
      </c>
      <c r="T381" s="594">
        <f t="shared" si="100"/>
        <v>36721.723000000005</v>
      </c>
      <c r="U381" s="594"/>
      <c r="V381" s="594"/>
    </row>
    <row r="382" spans="1:22" ht="15.75">
      <c r="A382" s="550" t="s">
        <v>23</v>
      </c>
      <c r="B382" s="2623">
        <f>SUM(B376:B381)</f>
        <v>10610.69</v>
      </c>
      <c r="C382" s="2623">
        <f>SUM(C376:C381)</f>
        <v>9163.25</v>
      </c>
      <c r="D382" s="2623">
        <f>SUM(D376:D381)</f>
        <v>9846.14</v>
      </c>
      <c r="E382" s="2623">
        <f t="shared" si="94"/>
        <v>29620.080000000002</v>
      </c>
      <c r="F382" s="2623">
        <f>SUM(F376:F381)</f>
        <v>10084.52</v>
      </c>
      <c r="G382" s="2623">
        <f t="shared" ref="G382:H382" si="101">SUM(G376:G381)</f>
        <v>10197.799999999999</v>
      </c>
      <c r="H382" s="2623">
        <f t="shared" si="101"/>
        <v>9883.89</v>
      </c>
      <c r="I382" s="2623">
        <f t="shared" si="95"/>
        <v>30166.21</v>
      </c>
      <c r="J382" s="2623">
        <f>I382+E382</f>
        <v>59786.29</v>
      </c>
      <c r="K382" s="2623">
        <f t="shared" ref="K382:M382" si="102">SUM(K376:K381)</f>
        <v>9466.4950000000026</v>
      </c>
      <c r="L382" s="2623">
        <f t="shared" si="102"/>
        <v>9615.41</v>
      </c>
      <c r="M382" s="2623">
        <f t="shared" si="102"/>
        <v>10887.760000000002</v>
      </c>
      <c r="N382" s="594">
        <f t="shared" si="97"/>
        <v>29969.665000000005</v>
      </c>
      <c r="O382" s="2623">
        <f>SUM(O376:O381)</f>
        <v>9929.93</v>
      </c>
      <c r="P382" s="2623">
        <f>SUM(P376:P381)</f>
        <v>10193.004999999999</v>
      </c>
      <c r="Q382" s="2623">
        <f>SUM(Q376:Q381)</f>
        <v>10910.163</v>
      </c>
      <c r="R382" s="560">
        <f>SUM(O382:Q382)</f>
        <v>31033.097999999998</v>
      </c>
      <c r="S382" s="549">
        <f>+R382+N382</f>
        <v>61002.763000000006</v>
      </c>
      <c r="T382" s="594">
        <f t="shared" si="100"/>
        <v>120789.05300000001</v>
      </c>
      <c r="U382" s="115">
        <f>SUM(U376:U381)</f>
        <v>0</v>
      </c>
      <c r="V382" s="549">
        <f>SUM(V376:V381)</f>
        <v>0</v>
      </c>
    </row>
    <row r="383" spans="1:22" ht="16.5" thickBot="1">
      <c r="A383" s="590"/>
      <c r="B383" s="591"/>
      <c r="C383" s="591"/>
      <c r="D383" s="591"/>
      <c r="E383" s="594"/>
      <c r="F383" s="591"/>
      <c r="G383" s="592"/>
      <c r="H383" s="593"/>
      <c r="J383" s="591"/>
      <c r="K383" s="591"/>
      <c r="L383" s="591"/>
      <c r="M383" s="591"/>
      <c r="N383" s="591"/>
      <c r="O383" s="591"/>
      <c r="P383" s="591">
        <v>0</v>
      </c>
      <c r="Q383" s="604">
        <v>0</v>
      </c>
      <c r="R383" s="593"/>
      <c r="S383" s="593"/>
      <c r="T383" s="593"/>
      <c r="U383" s="605"/>
    </row>
    <row r="384" spans="1:22">
      <c r="A384" s="84"/>
      <c r="B384" s="84"/>
      <c r="C384" s="84"/>
      <c r="D384" s="84"/>
      <c r="E384" s="84"/>
      <c r="F384" s="84"/>
      <c r="G384" s="595"/>
      <c r="H384" s="595"/>
      <c r="I384" s="84"/>
      <c r="J384" s="84"/>
      <c r="K384" s="84"/>
      <c r="L384" s="84"/>
      <c r="M384" s="84"/>
      <c r="N384" s="84"/>
      <c r="O384" s="84"/>
      <c r="P384" s="84"/>
      <c r="Q384" s="595"/>
      <c r="R384" s="595"/>
      <c r="S384" s="595"/>
      <c r="T384" s="595"/>
      <c r="U384" s="595"/>
    </row>
    <row r="385" spans="1:22">
      <c r="A385" s="84"/>
      <c r="B385" s="84"/>
      <c r="C385" s="84"/>
      <c r="D385" s="84"/>
      <c r="E385" s="84"/>
      <c r="F385" s="84"/>
      <c r="G385" s="595"/>
      <c r="H385" s="595"/>
      <c r="I385" s="84"/>
      <c r="J385" s="84"/>
      <c r="K385" s="84"/>
      <c r="L385" s="84"/>
      <c r="M385" s="84"/>
      <c r="N385" s="84"/>
      <c r="O385" s="84"/>
      <c r="P385" s="84"/>
      <c r="Q385" s="595"/>
      <c r="R385" s="595"/>
      <c r="S385" s="595"/>
      <c r="T385" s="595"/>
      <c r="U385" s="595"/>
    </row>
    <row r="386" spans="1:22">
      <c r="A386" s="84"/>
      <c r="B386" s="84"/>
      <c r="C386" s="84"/>
      <c r="D386" s="84"/>
      <c r="E386" s="84"/>
      <c r="F386" s="84"/>
      <c r="G386" s="595"/>
      <c r="H386" s="595"/>
      <c r="I386" s="84"/>
      <c r="J386" s="84"/>
      <c r="K386" s="84"/>
      <c r="L386" s="84"/>
      <c r="M386" s="84"/>
      <c r="N386" s="84"/>
      <c r="O386" s="84"/>
      <c r="P386" s="84"/>
      <c r="Q386" s="595"/>
      <c r="R386" s="595"/>
      <c r="S386" s="595"/>
      <c r="T386" s="595"/>
      <c r="U386" s="595"/>
    </row>
    <row r="387" spans="1:22">
      <c r="A387" s="84"/>
      <c r="B387" s="84"/>
      <c r="C387" s="84"/>
      <c r="D387" s="84"/>
      <c r="E387" s="84"/>
      <c r="F387" s="84"/>
      <c r="G387" s="595"/>
      <c r="H387" s="595"/>
      <c r="I387" s="84"/>
      <c r="J387" s="84"/>
      <c r="K387" s="84"/>
      <c r="L387" s="84"/>
      <c r="M387" s="84"/>
      <c r="N387" s="84"/>
      <c r="O387" s="84"/>
      <c r="P387" s="84"/>
      <c r="Q387" s="595"/>
      <c r="R387" s="595"/>
      <c r="S387" s="595"/>
      <c r="T387" s="595"/>
      <c r="U387" s="595"/>
    </row>
    <row r="388" spans="1:22">
      <c r="A388" s="84"/>
      <c r="B388" s="84"/>
      <c r="C388" s="84"/>
      <c r="D388" s="84"/>
      <c r="E388" s="84"/>
      <c r="F388" s="84"/>
      <c r="G388" s="595"/>
      <c r="H388" s="595"/>
      <c r="I388" s="84"/>
      <c r="J388" s="84"/>
      <c r="K388" s="84"/>
      <c r="L388" s="84"/>
      <c r="M388" s="84"/>
      <c r="N388" s="84"/>
      <c r="O388" s="84"/>
      <c r="P388" s="84"/>
      <c r="Q388" s="595"/>
      <c r="R388" s="595"/>
      <c r="S388" s="595"/>
      <c r="T388" s="595"/>
      <c r="U388" s="595"/>
    </row>
    <row r="389" spans="1:22" ht="15.75">
      <c r="A389" s="3075" t="s">
        <v>4001</v>
      </c>
      <c r="B389" s="3075"/>
      <c r="C389" s="3075"/>
      <c r="D389" s="3075"/>
      <c r="E389" s="3075"/>
      <c r="F389" s="3075"/>
      <c r="G389" s="3075"/>
      <c r="H389" s="3075"/>
      <c r="I389" s="3075"/>
      <c r="J389" s="3075"/>
      <c r="K389" s="3075"/>
      <c r="L389" s="3075"/>
      <c r="M389" s="3075"/>
      <c r="N389" s="3075"/>
      <c r="O389" s="3075"/>
      <c r="P389" s="3075"/>
      <c r="Q389" s="3075"/>
      <c r="R389" s="3075"/>
      <c r="S389" s="3075"/>
      <c r="T389" s="3075"/>
      <c r="U389" s="3075"/>
      <c r="V389" s="3075"/>
    </row>
    <row r="390" spans="1:22" ht="18.75">
      <c r="A390" s="550"/>
      <c r="B390" s="547" t="s">
        <v>2260</v>
      </c>
      <c r="C390" s="547" t="s">
        <v>723</v>
      </c>
      <c r="D390" s="547" t="s">
        <v>2147</v>
      </c>
      <c r="E390" s="435" t="s">
        <v>2609</v>
      </c>
      <c r="F390" s="547" t="s">
        <v>1993</v>
      </c>
      <c r="G390" s="547" t="s">
        <v>726</v>
      </c>
      <c r="H390" s="547" t="s">
        <v>1994</v>
      </c>
      <c r="I390" s="547" t="s">
        <v>2610</v>
      </c>
      <c r="J390" s="547" t="s">
        <v>3148</v>
      </c>
      <c r="K390" s="547" t="s">
        <v>729</v>
      </c>
      <c r="L390" s="547" t="s">
        <v>730</v>
      </c>
      <c r="M390" s="547" t="s">
        <v>731</v>
      </c>
      <c r="N390" s="547" t="s">
        <v>2611</v>
      </c>
      <c r="O390" s="547" t="s">
        <v>732</v>
      </c>
      <c r="P390" s="547" t="s">
        <v>733</v>
      </c>
      <c r="Q390" s="547" t="s">
        <v>3206</v>
      </c>
      <c r="R390" s="547" t="s">
        <v>2612</v>
      </c>
      <c r="S390" s="547" t="s">
        <v>3149</v>
      </c>
      <c r="T390" s="547" t="s">
        <v>3226</v>
      </c>
      <c r="U390" s="547" t="s">
        <v>3227</v>
      </c>
      <c r="V390" s="13" t="s">
        <v>733</v>
      </c>
    </row>
    <row r="391" spans="1:22" ht="15.75">
      <c r="A391" s="550" t="s">
        <v>3228</v>
      </c>
      <c r="B391" s="594">
        <v>322.29000000000002</v>
      </c>
      <c r="C391" s="594">
        <v>847.83</v>
      </c>
      <c r="D391" s="594">
        <v>277.91000000000003</v>
      </c>
      <c r="E391" s="2623">
        <f t="shared" ref="E391:E397" si="103">+D391+C391+B391</f>
        <v>1448.03</v>
      </c>
      <c r="F391" s="594">
        <v>329.61</v>
      </c>
      <c r="G391" s="594">
        <v>767.75</v>
      </c>
      <c r="H391" s="594">
        <v>1415.57</v>
      </c>
      <c r="I391" s="2623">
        <f t="shared" ref="I391:I397" si="104">SUM(F391:H391)</f>
        <v>2512.9300000000003</v>
      </c>
      <c r="J391" s="2623">
        <f t="shared" ref="J391:J396" si="105">I391+E391</f>
        <v>3960.96</v>
      </c>
      <c r="K391" s="594">
        <v>651.94000000000005</v>
      </c>
      <c r="L391" s="594">
        <v>508.89</v>
      </c>
      <c r="M391" s="594">
        <v>944.81</v>
      </c>
      <c r="N391" s="594">
        <f>M391+K391+L391</f>
        <v>2105.64</v>
      </c>
      <c r="O391" s="594">
        <v>1507.22</v>
      </c>
      <c r="P391" s="594">
        <v>1448.08</v>
      </c>
      <c r="Q391" s="594">
        <f>237.59+18.68</f>
        <v>256.27</v>
      </c>
      <c r="R391" s="594">
        <f>Q391+O391+P391</f>
        <v>3211.5699999999997</v>
      </c>
      <c r="S391" s="549">
        <f t="shared" ref="S391:S396" si="106">+R391+N391</f>
        <v>5317.2099999999991</v>
      </c>
      <c r="T391" s="594">
        <f>+S391+J391</f>
        <v>9278.1699999999983</v>
      </c>
      <c r="U391" s="594"/>
      <c r="V391" s="594"/>
    </row>
    <row r="392" spans="1:22" ht="15.75">
      <c r="A392" s="550" t="s">
        <v>385</v>
      </c>
      <c r="B392" s="549">
        <f>119.3+229.26+229.43</f>
        <v>577.99</v>
      </c>
      <c r="C392" s="549">
        <f>457.09+146.77</f>
        <v>603.86</v>
      </c>
      <c r="D392" s="549">
        <f>80.9+155.18</f>
        <v>236.08</v>
      </c>
      <c r="E392" s="2623">
        <f t="shared" si="103"/>
        <v>1417.93</v>
      </c>
      <c r="F392" s="549">
        <f>290.89+181.77</f>
        <v>472.65999999999997</v>
      </c>
      <c r="G392" s="549">
        <f>125.05+686.37+193.12</f>
        <v>1004.54</v>
      </c>
      <c r="H392" s="549">
        <f>73.87+731.09+72.93</f>
        <v>877.8900000000001</v>
      </c>
      <c r="I392" s="2623">
        <f t="shared" si="104"/>
        <v>2355.09</v>
      </c>
      <c r="J392" s="2623">
        <f t="shared" si="105"/>
        <v>3773.0200000000004</v>
      </c>
      <c r="K392" s="549">
        <f>52.59+372.74+440.75</f>
        <v>866.08</v>
      </c>
      <c r="L392" s="549">
        <f>117.89+786.7+169.05</f>
        <v>1073.6400000000001</v>
      </c>
      <c r="M392" s="549">
        <f>447.75+468.62</f>
        <v>916.37</v>
      </c>
      <c r="N392" s="594">
        <f t="shared" ref="N392:N397" si="107">M392+K392+L392</f>
        <v>2856.09</v>
      </c>
      <c r="O392" s="549">
        <f>301.36+523.82</f>
        <v>825.18000000000006</v>
      </c>
      <c r="P392" s="549">
        <f>42.38+520.97</f>
        <v>563.35</v>
      </c>
      <c r="Q392" s="549">
        <f>425.02+316.52</f>
        <v>741.54</v>
      </c>
      <c r="R392" s="594">
        <f t="shared" ref="R392:R396" si="108">Q392+O392+P392</f>
        <v>2130.0700000000002</v>
      </c>
      <c r="S392" s="549">
        <f t="shared" si="106"/>
        <v>4986.16</v>
      </c>
      <c r="T392" s="594">
        <f t="shared" ref="T392:T397" si="109">+S392+J392</f>
        <v>8759.18</v>
      </c>
      <c r="U392" s="594"/>
      <c r="V392" s="594"/>
    </row>
    <row r="393" spans="1:22" ht="15.75">
      <c r="A393" s="550" t="s">
        <v>563</v>
      </c>
      <c r="B393" s="549">
        <v>3561.56</v>
      </c>
      <c r="C393" s="549">
        <v>3517.41</v>
      </c>
      <c r="D393" s="549">
        <v>4646.55</v>
      </c>
      <c r="E393" s="2623">
        <f t="shared" si="103"/>
        <v>11725.52</v>
      </c>
      <c r="F393" s="549">
        <v>4160.6099999999997</v>
      </c>
      <c r="G393" s="549">
        <v>5142.5</v>
      </c>
      <c r="H393" s="549">
        <v>3394.26</v>
      </c>
      <c r="I393" s="2623">
        <f t="shared" si="104"/>
        <v>12697.37</v>
      </c>
      <c r="J393" s="2623">
        <f t="shared" si="105"/>
        <v>24422.89</v>
      </c>
      <c r="K393" s="549">
        <v>4009.96</v>
      </c>
      <c r="L393" s="549">
        <v>3926.62</v>
      </c>
      <c r="M393" s="549">
        <v>4002.44</v>
      </c>
      <c r="N393" s="594">
        <f t="shared" si="107"/>
        <v>11939.02</v>
      </c>
      <c r="O393" s="549">
        <v>3236.49</v>
      </c>
      <c r="P393" s="549">
        <v>758.41</v>
      </c>
      <c r="Q393" s="549">
        <v>5921.03</v>
      </c>
      <c r="R393" s="594">
        <f t="shared" si="108"/>
        <v>9915.93</v>
      </c>
      <c r="S393" s="549">
        <f t="shared" si="106"/>
        <v>21854.95</v>
      </c>
      <c r="T393" s="594">
        <f t="shared" si="109"/>
        <v>46277.84</v>
      </c>
      <c r="U393" s="594"/>
      <c r="V393" s="594"/>
    </row>
    <row r="394" spans="1:22" ht="15.75">
      <c r="A394" s="550" t="s">
        <v>568</v>
      </c>
      <c r="B394" s="549">
        <v>0</v>
      </c>
      <c r="C394" s="549">
        <v>264.87</v>
      </c>
      <c r="D394" s="549">
        <v>316.27</v>
      </c>
      <c r="E394" s="2623">
        <f t="shared" si="103"/>
        <v>581.14</v>
      </c>
      <c r="F394" s="549">
        <v>350.31</v>
      </c>
      <c r="G394" s="549">
        <v>199.97</v>
      </c>
      <c r="H394" s="549">
        <v>172.97</v>
      </c>
      <c r="I394" s="2623">
        <f t="shared" si="104"/>
        <v>723.25</v>
      </c>
      <c r="J394" s="2623">
        <f t="shared" si="105"/>
        <v>1304.3899999999999</v>
      </c>
      <c r="K394" s="549">
        <f>67.12+188.28</f>
        <v>255.4</v>
      </c>
      <c r="L394" s="549">
        <f>270.17+3.67</f>
        <v>273.84000000000003</v>
      </c>
      <c r="M394" s="549">
        <v>308.71499999999997</v>
      </c>
      <c r="N394" s="594">
        <f t="shared" si="107"/>
        <v>837.95500000000004</v>
      </c>
      <c r="O394" s="549">
        <f>192.61+44.41</f>
        <v>237.02</v>
      </c>
      <c r="P394" s="549">
        <f>309.117+69.96</f>
        <v>379.077</v>
      </c>
      <c r="Q394" s="549">
        <f>163.15+157.58</f>
        <v>320.73</v>
      </c>
      <c r="R394" s="594">
        <f t="shared" si="108"/>
        <v>936.827</v>
      </c>
      <c r="S394" s="549">
        <f t="shared" si="106"/>
        <v>1774.7820000000002</v>
      </c>
      <c r="T394" s="594">
        <f t="shared" si="109"/>
        <v>3079.172</v>
      </c>
      <c r="U394" s="594"/>
      <c r="V394" s="594"/>
    </row>
    <row r="395" spans="1:22" ht="15.75">
      <c r="A395" s="550" t="s">
        <v>500</v>
      </c>
      <c r="B395" s="549">
        <v>863.83</v>
      </c>
      <c r="C395" s="549">
        <v>1466.59</v>
      </c>
      <c r="D395" s="549">
        <v>665.65</v>
      </c>
      <c r="E395" s="2623">
        <f t="shared" si="103"/>
        <v>2996.0699999999997</v>
      </c>
      <c r="F395" s="549">
        <v>313.51</v>
      </c>
      <c r="G395" s="549">
        <v>706.8</v>
      </c>
      <c r="H395" s="549">
        <v>67.31</v>
      </c>
      <c r="I395" s="2623">
        <f t="shared" si="104"/>
        <v>1087.6199999999999</v>
      </c>
      <c r="J395" s="2623">
        <f t="shared" si="105"/>
        <v>4083.6899999999996</v>
      </c>
      <c r="K395" s="549">
        <v>316.33999999999997</v>
      </c>
      <c r="L395" s="549">
        <v>427.93</v>
      </c>
      <c r="M395" s="549">
        <v>835.4</v>
      </c>
      <c r="N395" s="594">
        <f t="shared" si="107"/>
        <v>1579.67</v>
      </c>
      <c r="O395" s="549">
        <v>371.38</v>
      </c>
      <c r="P395" s="549">
        <v>233.09</v>
      </c>
      <c r="Q395" s="549">
        <v>496.5</v>
      </c>
      <c r="R395" s="594">
        <f t="shared" si="108"/>
        <v>1100.97</v>
      </c>
      <c r="S395" s="549">
        <f t="shared" si="106"/>
        <v>2680.6400000000003</v>
      </c>
      <c r="T395" s="594">
        <f t="shared" si="109"/>
        <v>6764.33</v>
      </c>
      <c r="U395" s="594"/>
      <c r="V395" s="594"/>
    </row>
    <row r="396" spans="1:22" ht="15.75">
      <c r="A396" s="550" t="s">
        <v>2257</v>
      </c>
      <c r="B396" s="549">
        <f>9449.05-5325.67</f>
        <v>4123.3799999999992</v>
      </c>
      <c r="C396" s="549">
        <f>10893.57-6700.56</f>
        <v>4193.0099999999993</v>
      </c>
      <c r="D396" s="549">
        <f>11279.226-6142.46</f>
        <v>5136.7660000000005</v>
      </c>
      <c r="E396" s="2623">
        <f t="shared" si="103"/>
        <v>13453.155999999999</v>
      </c>
      <c r="F396" s="549">
        <f>9443.973-5626.7</f>
        <v>3817.2730000000001</v>
      </c>
      <c r="G396" s="549">
        <f>12500.49-7821.56</f>
        <v>4678.9299999999994</v>
      </c>
      <c r="H396" s="549">
        <f>8619.545-5628</f>
        <v>2991.5450000000001</v>
      </c>
      <c r="I396" s="2623">
        <f t="shared" si="104"/>
        <v>11487.748</v>
      </c>
      <c r="J396" s="2623">
        <f t="shared" si="105"/>
        <v>24940.903999999999</v>
      </c>
      <c r="K396" s="549">
        <f>9442.75-6099.72</f>
        <v>3343.0299999999997</v>
      </c>
      <c r="L396" s="549">
        <f>8809.33-6207.25-3.67</f>
        <v>2598.41</v>
      </c>
      <c r="M396" s="549">
        <f>9347.075-7007.735</f>
        <v>2339.3400000000011</v>
      </c>
      <c r="N396" s="594">
        <f t="shared" si="107"/>
        <v>8280.7800000000007</v>
      </c>
      <c r="O396" s="549">
        <f>10007.92-6132.88-44.41</f>
        <v>3830.63</v>
      </c>
      <c r="P396" s="549">
        <f>6546.389-3382.007</f>
        <v>3164.3820000000001</v>
      </c>
      <c r="Q396" s="549">
        <f>11250.11-7736.07</f>
        <v>3514.0400000000009</v>
      </c>
      <c r="R396" s="594">
        <f t="shared" si="108"/>
        <v>10509.052000000001</v>
      </c>
      <c r="S396" s="549">
        <f t="shared" si="106"/>
        <v>18789.832000000002</v>
      </c>
      <c r="T396" s="594">
        <f t="shared" si="109"/>
        <v>43730.736000000004</v>
      </c>
      <c r="U396" s="594"/>
      <c r="V396" s="594"/>
    </row>
    <row r="397" spans="1:22" ht="15.75">
      <c r="A397" s="550" t="s">
        <v>23</v>
      </c>
      <c r="B397" s="2623">
        <f>SUM(B391:B396)</f>
        <v>9449.0499999999993</v>
      </c>
      <c r="C397" s="2623">
        <f t="shared" ref="C397:D397" si="110">SUM(C391:C396)</f>
        <v>10893.57</v>
      </c>
      <c r="D397" s="2623">
        <f t="shared" si="110"/>
        <v>11279.225999999999</v>
      </c>
      <c r="E397" s="2623">
        <f t="shared" si="103"/>
        <v>31621.845999999998</v>
      </c>
      <c r="F397" s="2623">
        <f t="shared" ref="F397:H397" si="111">SUM(F391:F396)</f>
        <v>9443.973</v>
      </c>
      <c r="G397" s="2623">
        <f t="shared" si="111"/>
        <v>12500.49</v>
      </c>
      <c r="H397" s="2623">
        <f t="shared" si="111"/>
        <v>8919.5450000000019</v>
      </c>
      <c r="I397" s="2623">
        <f t="shared" si="104"/>
        <v>30864.008000000002</v>
      </c>
      <c r="J397" s="2623">
        <f>I397+E397</f>
        <v>62485.853999999999</v>
      </c>
      <c r="K397" s="2623">
        <f t="shared" ref="K397:M397" si="112">SUM(K391:K396)</f>
        <v>9442.75</v>
      </c>
      <c r="L397" s="2623">
        <f t="shared" si="112"/>
        <v>8809.33</v>
      </c>
      <c r="M397" s="2623">
        <f t="shared" si="112"/>
        <v>9347.0750000000007</v>
      </c>
      <c r="N397" s="594">
        <f t="shared" si="107"/>
        <v>27599.154999999999</v>
      </c>
      <c r="O397" s="2623">
        <f t="shared" ref="O397:Q397" si="113">SUM(O391:O396)</f>
        <v>10007.92</v>
      </c>
      <c r="P397" s="2623">
        <f t="shared" si="113"/>
        <v>6546.3889999999992</v>
      </c>
      <c r="Q397" s="2623">
        <f t="shared" si="113"/>
        <v>11250.11</v>
      </c>
      <c r="R397" s="560">
        <f>SUM(O397:Q397)</f>
        <v>27804.419000000002</v>
      </c>
      <c r="S397" s="549">
        <f>+R397+N397</f>
        <v>55403.574000000001</v>
      </c>
      <c r="T397" s="594">
        <f t="shared" si="109"/>
        <v>117889.428</v>
      </c>
      <c r="U397" s="115">
        <f>SUM(U391:U396)</f>
        <v>0</v>
      </c>
      <c r="V397" s="549">
        <f>SUM(V391:V396)</f>
        <v>0</v>
      </c>
    </row>
    <row r="398" spans="1:22" ht="16.5" thickBot="1">
      <c r="A398" s="590"/>
      <c r="B398" s="591"/>
      <c r="C398" s="591"/>
      <c r="D398" s="591"/>
      <c r="E398" s="594"/>
      <c r="F398" s="591" t="s">
        <v>4002</v>
      </c>
      <c r="G398" s="592"/>
      <c r="H398" s="593"/>
      <c r="J398" s="591"/>
      <c r="K398" s="591"/>
      <c r="L398" s="591"/>
      <c r="M398" s="591" t="s">
        <v>4002</v>
      </c>
      <c r="N398" s="591"/>
      <c r="O398" s="591" t="s">
        <v>4002</v>
      </c>
      <c r="P398" s="591" t="s">
        <v>4002</v>
      </c>
      <c r="Q398" s="591" t="s">
        <v>4002</v>
      </c>
      <c r="R398" s="593"/>
      <c r="S398" s="593"/>
      <c r="T398" s="593"/>
      <c r="U398" s="605"/>
    </row>
    <row r="399" spans="1:22">
      <c r="A399" s="84"/>
      <c r="B399" s="84"/>
      <c r="C399" s="84"/>
      <c r="D399" s="84"/>
      <c r="E399" s="84"/>
      <c r="F399" s="84"/>
      <c r="G399" s="595"/>
      <c r="H399" s="595"/>
      <c r="I399" s="84"/>
      <c r="J399" s="84"/>
      <c r="K399" s="84"/>
      <c r="L399" s="84"/>
      <c r="M399" s="84"/>
      <c r="N399" s="84"/>
      <c r="O399" s="84"/>
      <c r="P399" s="84"/>
      <c r="Q399" s="595"/>
      <c r="R399" s="595"/>
      <c r="S399" s="595"/>
      <c r="T399" s="595"/>
      <c r="U399" s="595"/>
    </row>
    <row r="400" spans="1:22">
      <c r="A400" s="84"/>
      <c r="B400" s="84"/>
      <c r="C400" s="84"/>
      <c r="D400" s="84"/>
      <c r="E400" s="84"/>
      <c r="F400" s="84"/>
      <c r="G400" s="595"/>
      <c r="H400" s="595"/>
      <c r="I400" s="84"/>
      <c r="J400" s="84"/>
      <c r="K400" s="84"/>
      <c r="L400" s="84"/>
      <c r="M400" s="84"/>
      <c r="N400" s="84"/>
      <c r="O400" s="84"/>
      <c r="P400" s="84"/>
      <c r="Q400" s="595"/>
      <c r="R400" s="595"/>
      <c r="S400" s="595"/>
      <c r="T400" s="595"/>
      <c r="U400" s="595"/>
    </row>
    <row r="401" spans="1:22">
      <c r="A401" s="84"/>
      <c r="B401" s="84"/>
      <c r="C401" s="84"/>
      <c r="D401" s="84"/>
      <c r="E401" s="84"/>
      <c r="F401" s="84"/>
      <c r="G401" s="595"/>
      <c r="H401" s="595"/>
      <c r="I401" s="84"/>
      <c r="J401" s="84"/>
      <c r="K401" s="84"/>
      <c r="L401" s="84"/>
      <c r="M401" s="84"/>
      <c r="N401" s="84"/>
      <c r="O401" s="84"/>
      <c r="P401" s="84"/>
      <c r="Q401" s="595"/>
      <c r="R401" s="595"/>
      <c r="S401" s="595"/>
      <c r="T401" s="595"/>
      <c r="U401" s="595"/>
    </row>
    <row r="402" spans="1:22" ht="15.75">
      <c r="A402" s="3075" t="s">
        <v>4003</v>
      </c>
      <c r="B402" s="3075"/>
      <c r="C402" s="3075"/>
      <c r="D402" s="3075"/>
      <c r="E402" s="3075"/>
      <c r="F402" s="3075"/>
      <c r="G402" s="3075"/>
      <c r="H402" s="3075"/>
      <c r="I402" s="3075"/>
      <c r="J402" s="3075"/>
      <c r="K402" s="3075"/>
      <c r="L402" s="3075"/>
      <c r="M402" s="3075"/>
      <c r="N402" s="3075"/>
      <c r="O402" s="3075"/>
      <c r="P402" s="3075"/>
      <c r="Q402" s="3075"/>
      <c r="R402" s="3075"/>
      <c r="S402" s="3075"/>
      <c r="T402" s="3075"/>
      <c r="U402" s="3075"/>
      <c r="V402" s="3075"/>
    </row>
    <row r="403" spans="1:22" ht="18.75">
      <c r="A403" s="550"/>
      <c r="B403" s="547" t="s">
        <v>2260</v>
      </c>
      <c r="C403" s="547" t="s">
        <v>723</v>
      </c>
      <c r="D403" s="547" t="s">
        <v>2147</v>
      </c>
      <c r="E403" s="435" t="s">
        <v>2609</v>
      </c>
      <c r="F403" s="547" t="s">
        <v>1993</v>
      </c>
      <c r="G403" s="547" t="s">
        <v>726</v>
      </c>
      <c r="H403" s="547" t="s">
        <v>1994</v>
      </c>
      <c r="I403" s="547" t="s">
        <v>2610</v>
      </c>
      <c r="J403" s="547" t="s">
        <v>3148</v>
      </c>
      <c r="K403" s="547" t="s">
        <v>729</v>
      </c>
      <c r="L403" s="547" t="s">
        <v>730</v>
      </c>
      <c r="M403" s="547" t="s">
        <v>731</v>
      </c>
      <c r="N403" s="547" t="s">
        <v>2611</v>
      </c>
      <c r="O403" s="547" t="s">
        <v>732</v>
      </c>
      <c r="P403" s="547" t="s">
        <v>733</v>
      </c>
      <c r="Q403" s="547" t="s">
        <v>3206</v>
      </c>
      <c r="R403" s="547" t="s">
        <v>2612</v>
      </c>
      <c r="S403" s="547" t="s">
        <v>3149</v>
      </c>
      <c r="T403" s="547" t="s">
        <v>3226</v>
      </c>
      <c r="U403" s="547" t="s">
        <v>3227</v>
      </c>
      <c r="V403" s="13" t="s">
        <v>733</v>
      </c>
    </row>
    <row r="404" spans="1:22" ht="15.75">
      <c r="A404" s="550" t="s">
        <v>3228</v>
      </c>
      <c r="B404" s="594">
        <v>789.75</v>
      </c>
      <c r="C404" s="594">
        <v>622.99</v>
      </c>
      <c r="D404" s="594">
        <v>758.21</v>
      </c>
      <c r="E404" s="2623">
        <f t="shared" ref="E404:E410" si="114">+D404+C404+B404</f>
        <v>2170.9499999999998</v>
      </c>
      <c r="F404" s="594">
        <v>454.38</v>
      </c>
      <c r="G404" s="594">
        <v>239.23</v>
      </c>
      <c r="H404" s="594">
        <v>567.66</v>
      </c>
      <c r="I404" s="2623">
        <f t="shared" ref="I404:I410" si="115">SUM(F404:H404)</f>
        <v>1261.27</v>
      </c>
      <c r="J404" s="2623">
        <f t="shared" ref="J404:J409" si="116">I404+E404</f>
        <v>3432.22</v>
      </c>
      <c r="K404" s="594">
        <v>939.6</v>
      </c>
      <c r="L404" s="594">
        <v>1869.1</v>
      </c>
      <c r="M404" s="594">
        <v>866.41</v>
      </c>
      <c r="N404" s="594">
        <f>M404+K404+L404</f>
        <v>3675.1099999999997</v>
      </c>
      <c r="O404" s="594">
        <v>621.41</v>
      </c>
      <c r="P404" s="594">
        <v>309.14999999999998</v>
      </c>
      <c r="Q404" s="594">
        <v>238.08</v>
      </c>
      <c r="R404" s="594">
        <f>Q404+O404+P404</f>
        <v>1168.6399999999999</v>
      </c>
      <c r="S404" s="549">
        <f t="shared" ref="S404:S409" si="117">+R404+N404</f>
        <v>4843.75</v>
      </c>
      <c r="T404" s="594">
        <f>+S404+J404</f>
        <v>8275.9699999999993</v>
      </c>
      <c r="U404" s="594"/>
      <c r="V404" s="594"/>
    </row>
    <row r="405" spans="1:22" ht="15.75">
      <c r="A405" s="550" t="s">
        <v>385</v>
      </c>
      <c r="B405" s="549">
        <v>0</v>
      </c>
      <c r="C405" s="549">
        <f>173.31+0</f>
        <v>173.31</v>
      </c>
      <c r="D405" s="549">
        <f>79.76+0</f>
        <v>79.760000000000005</v>
      </c>
      <c r="E405" s="2623">
        <f t="shared" si="114"/>
        <v>253.07</v>
      </c>
      <c r="F405" s="549">
        <f>141.59+52.11</f>
        <v>193.7</v>
      </c>
      <c r="G405" s="549">
        <f>43.2+441.95</f>
        <v>485.15</v>
      </c>
      <c r="H405" s="549">
        <f>152.66+465.95</f>
        <v>618.61</v>
      </c>
      <c r="I405" s="2623">
        <f t="shared" si="115"/>
        <v>1297.46</v>
      </c>
      <c r="J405" s="2623">
        <f t="shared" si="116"/>
        <v>1550.53</v>
      </c>
      <c r="K405" s="549">
        <v>473.42</v>
      </c>
      <c r="L405" s="549">
        <v>155.03</v>
      </c>
      <c r="M405" s="549">
        <f>192.62+510.49</f>
        <v>703.11</v>
      </c>
      <c r="N405" s="594">
        <f t="shared" ref="N405:N410" si="118">M405+K405+L405</f>
        <v>1331.56</v>
      </c>
      <c r="O405" s="549">
        <f>249.92+323.45</f>
        <v>573.37</v>
      </c>
      <c r="P405" s="549">
        <f>172.69+672.36+36.51</f>
        <v>881.56</v>
      </c>
      <c r="Q405" s="549">
        <f>624.75+260.96</f>
        <v>885.71</v>
      </c>
      <c r="R405" s="594">
        <f t="shared" ref="R405:R409" si="119">Q405+O405+P405</f>
        <v>2340.64</v>
      </c>
      <c r="S405" s="549">
        <f t="shared" si="117"/>
        <v>3672.2</v>
      </c>
      <c r="T405" s="594">
        <f t="shared" ref="T405:T410" si="120">+S405+J405</f>
        <v>5222.7299999999996</v>
      </c>
      <c r="U405" s="594"/>
      <c r="V405" s="594"/>
    </row>
    <row r="406" spans="1:22" ht="15.75">
      <c r="A406" s="550" t="s">
        <v>563</v>
      </c>
      <c r="B406" s="549">
        <v>3120.08</v>
      </c>
      <c r="C406" s="549">
        <v>2240.17</v>
      </c>
      <c r="D406" s="549">
        <v>3145.42</v>
      </c>
      <c r="E406" s="2623">
        <f t="shared" si="114"/>
        <v>8505.67</v>
      </c>
      <c r="F406" s="549">
        <v>3513.51</v>
      </c>
      <c r="G406" s="549">
        <v>3090.61</v>
      </c>
      <c r="H406" s="549">
        <v>4490.53</v>
      </c>
      <c r="I406" s="2623">
        <f t="shared" si="115"/>
        <v>11094.650000000001</v>
      </c>
      <c r="J406" s="2623">
        <f t="shared" si="116"/>
        <v>19600.32</v>
      </c>
      <c r="K406" s="549">
        <v>2897.9</v>
      </c>
      <c r="L406" s="549">
        <v>3018.82</v>
      </c>
      <c r="M406" s="549">
        <v>1499.14</v>
      </c>
      <c r="N406" s="594">
        <f t="shared" si="118"/>
        <v>7415.8600000000006</v>
      </c>
      <c r="O406" s="549">
        <v>3370.28</v>
      </c>
      <c r="P406" s="549">
        <v>3284.97</v>
      </c>
      <c r="Q406" s="549">
        <v>3112.25</v>
      </c>
      <c r="R406" s="594">
        <f t="shared" si="119"/>
        <v>9767.5</v>
      </c>
      <c r="S406" s="549">
        <f t="shared" si="117"/>
        <v>17183.36</v>
      </c>
      <c r="T406" s="594">
        <f t="shared" si="120"/>
        <v>36783.68</v>
      </c>
      <c r="U406" s="594"/>
      <c r="V406" s="594"/>
    </row>
    <row r="407" spans="1:22" ht="15.75">
      <c r="A407" s="550" t="s">
        <v>568</v>
      </c>
      <c r="B407" s="549">
        <v>36.42</v>
      </c>
      <c r="C407" s="549">
        <v>9.15</v>
      </c>
      <c r="D407" s="549">
        <f>50.15+32.44</f>
        <v>82.59</v>
      </c>
      <c r="E407" s="2623">
        <f t="shared" si="114"/>
        <v>128.16000000000003</v>
      </c>
      <c r="F407" s="549">
        <f>122.45+47.53</f>
        <v>169.98000000000002</v>
      </c>
      <c r="G407" s="549">
        <f>110.5+16.31</f>
        <v>126.81</v>
      </c>
      <c r="H407" s="549">
        <f>61.19+23.25</f>
        <v>84.44</v>
      </c>
      <c r="I407" s="2623">
        <f t="shared" si="115"/>
        <v>381.23</v>
      </c>
      <c r="J407" s="2623">
        <f t="shared" si="116"/>
        <v>509.39000000000004</v>
      </c>
      <c r="K407" s="549">
        <v>0</v>
      </c>
      <c r="L407" s="549">
        <f>188.51+39.73</f>
        <v>228.23999999999998</v>
      </c>
      <c r="M407" s="549">
        <v>0</v>
      </c>
      <c r="N407" s="594">
        <f t="shared" si="118"/>
        <v>228.23999999999998</v>
      </c>
      <c r="O407" s="549">
        <v>0</v>
      </c>
      <c r="P407" s="549">
        <v>336.29</v>
      </c>
      <c r="Q407" s="549">
        <v>26.12</v>
      </c>
      <c r="R407" s="594">
        <f t="shared" si="119"/>
        <v>362.41</v>
      </c>
      <c r="S407" s="549">
        <f t="shared" si="117"/>
        <v>590.65</v>
      </c>
      <c r="T407" s="594">
        <f t="shared" si="120"/>
        <v>1100.04</v>
      </c>
      <c r="U407" s="594"/>
      <c r="V407" s="594"/>
    </row>
    <row r="408" spans="1:22" ht="15.75">
      <c r="A408" s="550" t="s">
        <v>500</v>
      </c>
      <c r="B408" s="549">
        <v>0</v>
      </c>
      <c r="C408" s="549">
        <v>161.88</v>
      </c>
      <c r="D408" s="549">
        <v>63.6</v>
      </c>
      <c r="E408" s="2623">
        <f t="shared" si="114"/>
        <v>225.48</v>
      </c>
      <c r="F408" s="549">
        <v>394.73</v>
      </c>
      <c r="G408" s="549">
        <v>1155.3</v>
      </c>
      <c r="H408" s="549">
        <v>159.35</v>
      </c>
      <c r="I408" s="2623">
        <f t="shared" si="115"/>
        <v>1709.3799999999999</v>
      </c>
      <c r="J408" s="2623">
        <f t="shared" si="116"/>
        <v>1934.86</v>
      </c>
      <c r="K408" s="549">
        <v>249.41</v>
      </c>
      <c r="L408" s="549">
        <v>115.84</v>
      </c>
      <c r="M408" s="549">
        <v>653.28</v>
      </c>
      <c r="N408" s="594">
        <f t="shared" si="118"/>
        <v>1018.53</v>
      </c>
      <c r="O408" s="549">
        <v>334.21</v>
      </c>
      <c r="P408" s="549">
        <v>123.61</v>
      </c>
      <c r="Q408" s="549">
        <v>991.45</v>
      </c>
      <c r="R408" s="594">
        <f t="shared" si="119"/>
        <v>1449.27</v>
      </c>
      <c r="S408" s="549">
        <f t="shared" si="117"/>
        <v>2467.8000000000002</v>
      </c>
      <c r="T408" s="594">
        <f t="shared" si="120"/>
        <v>4402.66</v>
      </c>
      <c r="U408" s="594"/>
      <c r="V408" s="594"/>
    </row>
    <row r="409" spans="1:22" ht="15.75">
      <c r="A409" s="550" t="s">
        <v>2257</v>
      </c>
      <c r="B409" s="549">
        <f>7603.05-3946.25</f>
        <v>3656.8</v>
      </c>
      <c r="C409" s="549">
        <f>7489.94-3207.5</f>
        <v>4282.4399999999996</v>
      </c>
      <c r="D409" s="549">
        <f>8077.546-4129.58</f>
        <v>3947.9660000000003</v>
      </c>
      <c r="E409" s="2623">
        <f t="shared" si="114"/>
        <v>11887.205999999998</v>
      </c>
      <c r="F409" s="549">
        <f>10356.37-4726.3</f>
        <v>5630.0700000000006</v>
      </c>
      <c r="G409" s="549">
        <f>8555.51-5097.1</f>
        <v>3458.41</v>
      </c>
      <c r="H409" s="549">
        <f>10019.343-5920.59</f>
        <v>4098.7530000000006</v>
      </c>
      <c r="I409" s="2623">
        <f t="shared" si="115"/>
        <v>13187.233</v>
      </c>
      <c r="J409" s="2623">
        <f t="shared" si="116"/>
        <v>25074.438999999998</v>
      </c>
      <c r="K409" s="549">
        <f>8029.739-4560.33</f>
        <v>3469.4089999999997</v>
      </c>
      <c r="L409" s="549">
        <f>8349.31-5387.03</f>
        <v>2962.2799999999997</v>
      </c>
      <c r="M409" s="549">
        <f>9350.335-3721.94</f>
        <v>5628.3949999999986</v>
      </c>
      <c r="N409" s="594">
        <f t="shared" si="118"/>
        <v>12060.083999999999</v>
      </c>
      <c r="O409" s="549">
        <f>7726.48-4899.27</f>
        <v>2827.2099999999991</v>
      </c>
      <c r="P409" s="549">
        <f>8050.21-4935.58</f>
        <v>3114.63</v>
      </c>
      <c r="Q409" s="549">
        <f>9239.46-5253.61</f>
        <v>3985.8499999999995</v>
      </c>
      <c r="R409" s="594">
        <f t="shared" si="119"/>
        <v>9927.6899999999987</v>
      </c>
      <c r="S409" s="549">
        <f t="shared" si="117"/>
        <v>21987.773999999998</v>
      </c>
      <c r="T409" s="594">
        <f t="shared" si="120"/>
        <v>47062.212999999996</v>
      </c>
      <c r="U409" s="594"/>
      <c r="V409" s="594"/>
    </row>
    <row r="410" spans="1:22" ht="15.75">
      <c r="A410" s="550" t="s">
        <v>23</v>
      </c>
      <c r="B410" s="2623">
        <f>SUM(B404:B409)</f>
        <v>7603.05</v>
      </c>
      <c r="C410" s="2623">
        <f t="shared" ref="C410:D410" si="121">SUM(C404:C409)</f>
        <v>7489.9400000000005</v>
      </c>
      <c r="D410" s="2623">
        <f t="shared" si="121"/>
        <v>8077.5460000000012</v>
      </c>
      <c r="E410" s="2623">
        <f t="shared" si="114"/>
        <v>23170.536</v>
      </c>
      <c r="F410" s="2623">
        <f>SUM(F404:F409)</f>
        <v>10356.369999999999</v>
      </c>
      <c r="G410" s="2623">
        <f>SUM(G404:G409)</f>
        <v>8555.51</v>
      </c>
      <c r="H410" s="2623">
        <f t="shared" ref="H410" si="122">SUM(H404:H409)</f>
        <v>10019.343000000001</v>
      </c>
      <c r="I410" s="2623">
        <f t="shared" si="115"/>
        <v>28931.222999999998</v>
      </c>
      <c r="J410" s="2623">
        <f>I410+E410</f>
        <v>52101.758999999998</v>
      </c>
      <c r="K410" s="2623">
        <f t="shared" ref="K410" si="123">SUM(K404:K409)</f>
        <v>8029.7389999999996</v>
      </c>
      <c r="L410" s="2623">
        <f t="shared" ref="L410" si="124">SUM(L404:L409)</f>
        <v>8349.31</v>
      </c>
      <c r="M410" s="2623">
        <f t="shared" ref="M410" si="125">SUM(M404:M409)</f>
        <v>9350.3349999999991</v>
      </c>
      <c r="N410" s="594">
        <f t="shared" si="118"/>
        <v>25729.383999999998</v>
      </c>
      <c r="O410" s="2623">
        <f t="shared" ref="O410" si="126">SUM(O404:O409)</f>
        <v>7726.48</v>
      </c>
      <c r="P410" s="2623">
        <f t="shared" ref="P410" si="127">SUM(P404:P409)</f>
        <v>8050.21</v>
      </c>
      <c r="Q410" s="2623">
        <f t="shared" ref="Q410" si="128">SUM(Q404:Q409)</f>
        <v>9239.4599999999991</v>
      </c>
      <c r="R410" s="560">
        <f>SUM(O410:Q410)</f>
        <v>25016.149999999998</v>
      </c>
      <c r="S410" s="549">
        <f>+R410+N410</f>
        <v>50745.534</v>
      </c>
      <c r="T410" s="594">
        <f t="shared" si="120"/>
        <v>102847.29300000001</v>
      </c>
      <c r="U410" s="115">
        <f>SUM(U404:U409)</f>
        <v>0</v>
      </c>
      <c r="V410" s="549">
        <f>SUM(V404:V409)</f>
        <v>0</v>
      </c>
    </row>
    <row r="411" spans="1:22" ht="16.5" thickBot="1">
      <c r="A411" s="590"/>
      <c r="B411" s="591" t="s">
        <v>4005</v>
      </c>
      <c r="C411" s="591"/>
      <c r="D411" s="591"/>
      <c r="E411" s="594"/>
      <c r="F411" s="591">
        <v>0</v>
      </c>
      <c r="G411" s="592"/>
      <c r="H411" s="593" t="s">
        <v>4006</v>
      </c>
      <c r="J411" s="591"/>
      <c r="K411" s="593" t="s">
        <v>4008</v>
      </c>
      <c r="L411" s="591" t="s">
        <v>4007</v>
      </c>
      <c r="M411" s="591" t="s">
        <v>4009</v>
      </c>
      <c r="N411" s="591"/>
      <c r="O411" s="591" t="s">
        <v>4004</v>
      </c>
      <c r="P411" s="591"/>
      <c r="Q411" s="591" t="s">
        <v>4002</v>
      </c>
      <c r="R411" s="593"/>
      <c r="S411" s="593"/>
      <c r="T411" s="593"/>
      <c r="U411" s="605"/>
    </row>
    <row r="412" spans="1:22">
      <c r="A412" s="84"/>
      <c r="B412" s="84"/>
      <c r="C412" s="84"/>
      <c r="D412" s="84"/>
      <c r="E412" s="84"/>
      <c r="F412" s="84"/>
      <c r="G412" s="595"/>
      <c r="H412" s="595"/>
      <c r="I412" s="84"/>
      <c r="J412" s="84"/>
      <c r="K412" s="84"/>
      <c r="L412" s="84"/>
      <c r="M412" s="84"/>
      <c r="N412" s="84"/>
      <c r="O412" s="84"/>
      <c r="P412" s="84"/>
      <c r="Q412" s="595"/>
      <c r="R412" s="595"/>
      <c r="S412" s="595"/>
      <c r="T412" s="595"/>
      <c r="U412" s="595"/>
    </row>
    <row r="413" spans="1:22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595"/>
      <c r="R413" s="595"/>
      <c r="S413" s="595"/>
      <c r="T413" s="595"/>
      <c r="U413" s="84"/>
    </row>
    <row r="414" spans="1:22">
      <c r="A414" s="84" t="s">
        <v>563</v>
      </c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595"/>
      <c r="R414" s="595"/>
      <c r="S414" s="595"/>
      <c r="T414" s="595"/>
      <c r="U414" s="84"/>
    </row>
    <row r="415" spans="1:22" ht="20.25">
      <c r="A415" s="84"/>
      <c r="B415" s="596"/>
      <c r="C415" s="596" t="s">
        <v>3229</v>
      </c>
      <c r="D415" s="596"/>
      <c r="E415" s="596"/>
      <c r="F415" s="596"/>
      <c r="G415" s="596"/>
      <c r="H415" s="596"/>
      <c r="I415" s="596"/>
      <c r="J415" s="596"/>
      <c r="K415" s="596"/>
      <c r="L415" s="140"/>
      <c r="M415" s="140"/>
      <c r="N415" s="140"/>
      <c r="O415" s="140"/>
      <c r="P415" s="84"/>
      <c r="Q415" s="595"/>
      <c r="R415" s="595"/>
      <c r="S415" s="595"/>
      <c r="T415" s="595"/>
      <c r="U415" s="84"/>
    </row>
    <row r="416" spans="1:22" ht="20.25">
      <c r="A416" s="84"/>
      <c r="B416" s="596" t="s">
        <v>563</v>
      </c>
      <c r="C416" s="343" t="s">
        <v>732</v>
      </c>
      <c r="D416" s="343" t="s">
        <v>733</v>
      </c>
      <c r="E416" s="343" t="s">
        <v>3206</v>
      </c>
      <c r="F416" s="343" t="s">
        <v>2260</v>
      </c>
      <c r="G416" s="343" t="s">
        <v>723</v>
      </c>
      <c r="H416" s="343" t="s">
        <v>2147</v>
      </c>
      <c r="I416" s="343" t="s">
        <v>1993</v>
      </c>
      <c r="J416" s="343" t="s">
        <v>726</v>
      </c>
      <c r="K416" s="343" t="s">
        <v>1994</v>
      </c>
      <c r="L416" s="596" t="s">
        <v>248</v>
      </c>
      <c r="M416" s="4" t="s">
        <v>2151</v>
      </c>
      <c r="N416" s="4" t="s">
        <v>2152</v>
      </c>
      <c r="O416" s="596" t="s">
        <v>23</v>
      </c>
      <c r="P416" s="84"/>
      <c r="Q416" s="595"/>
      <c r="R416" s="595"/>
      <c r="S416" s="595"/>
      <c r="T416" s="595"/>
      <c r="U416" s="84"/>
    </row>
    <row r="417" spans="1:21" ht="20.25">
      <c r="A417" s="84"/>
      <c r="B417" s="596"/>
      <c r="C417" s="596"/>
      <c r="D417" s="596"/>
      <c r="E417" s="596"/>
      <c r="F417" s="596"/>
      <c r="G417" s="596"/>
      <c r="H417" s="596"/>
      <c r="I417" s="596"/>
      <c r="J417" s="596"/>
      <c r="K417" s="596"/>
      <c r="L417" s="140"/>
      <c r="M417" s="4"/>
      <c r="N417" s="4"/>
      <c r="O417" s="140"/>
      <c r="P417" s="84"/>
      <c r="Q417" s="595"/>
      <c r="R417" s="595"/>
      <c r="S417" s="595"/>
      <c r="T417" s="595"/>
      <c r="U417" s="84"/>
    </row>
    <row r="418" spans="1:21" ht="20.25">
      <c r="A418" s="84"/>
      <c r="B418" s="596" t="s">
        <v>37</v>
      </c>
      <c r="C418" s="391">
        <v>3768.2</v>
      </c>
      <c r="D418" s="391">
        <v>3638</v>
      </c>
      <c r="E418" s="391">
        <v>4709.26</v>
      </c>
      <c r="F418" s="391">
        <v>3639.7</v>
      </c>
      <c r="G418" s="391">
        <v>3107.38</v>
      </c>
      <c r="H418" s="391">
        <v>3965</v>
      </c>
      <c r="I418" s="391">
        <v>3783.96</v>
      </c>
      <c r="J418" s="391">
        <v>4280.7700000000004</v>
      </c>
      <c r="K418" s="342">
        <v>3464</v>
      </c>
      <c r="L418" s="391">
        <v>3264.04</v>
      </c>
      <c r="M418" s="4">
        <v>4684.87</v>
      </c>
      <c r="N418" s="4">
        <v>4136.45</v>
      </c>
      <c r="O418" s="391">
        <f>+F418+G418+H418+I418+J418+K418+L418+M418+N418</f>
        <v>34326.17</v>
      </c>
      <c r="P418" s="84"/>
      <c r="Q418" s="595"/>
      <c r="R418" s="595"/>
      <c r="S418" s="595"/>
      <c r="T418" s="595"/>
      <c r="U418" s="84"/>
    </row>
    <row r="419" spans="1:21" ht="20.25">
      <c r="A419" s="84"/>
      <c r="B419" s="596" t="s">
        <v>142</v>
      </c>
      <c r="C419" s="391">
        <v>3370.28</v>
      </c>
      <c r="D419" s="391">
        <v>3284.97</v>
      </c>
      <c r="E419" s="391">
        <v>3112.25</v>
      </c>
      <c r="F419" s="391">
        <v>3561.56</v>
      </c>
      <c r="G419" s="391">
        <v>3517.41</v>
      </c>
      <c r="H419" s="391">
        <v>4646.55</v>
      </c>
      <c r="I419" s="391">
        <v>4160.6499999999996</v>
      </c>
      <c r="J419" s="391">
        <v>5142.55</v>
      </c>
      <c r="K419" s="391">
        <v>3394.26</v>
      </c>
      <c r="L419" s="391">
        <v>4009.96</v>
      </c>
      <c r="M419" s="4">
        <v>0</v>
      </c>
      <c r="N419" s="4">
        <v>4002.44</v>
      </c>
      <c r="O419" s="391">
        <f>+F419+G419+H419+I419+J419+K419+L419+M419+N419</f>
        <v>32435.38</v>
      </c>
      <c r="P419" s="84"/>
      <c r="Q419" s="595"/>
      <c r="R419" s="595"/>
      <c r="S419" s="595"/>
      <c r="T419" s="595"/>
      <c r="U419" s="84"/>
    </row>
    <row r="420" spans="1:21" ht="20.25">
      <c r="A420" s="84"/>
      <c r="B420" s="596"/>
      <c r="C420" s="596"/>
      <c r="D420" s="596"/>
      <c r="E420" s="596"/>
      <c r="F420" s="596"/>
      <c r="G420" s="596"/>
      <c r="H420" s="596"/>
      <c r="I420" s="596"/>
      <c r="J420" s="596"/>
      <c r="K420" s="596"/>
      <c r="L420" s="342"/>
      <c r="M420" s="4"/>
      <c r="N420" s="4"/>
      <c r="O420" s="342"/>
      <c r="P420" s="84"/>
      <c r="Q420" s="595"/>
      <c r="R420" s="595"/>
      <c r="S420" s="595"/>
      <c r="T420" s="595"/>
      <c r="U420" s="84"/>
    </row>
    <row r="421" spans="1:21" ht="20.25">
      <c r="A421" s="84"/>
      <c r="B421" s="596"/>
      <c r="C421" s="596"/>
      <c r="D421" s="596"/>
      <c r="E421" s="596"/>
      <c r="F421" s="596"/>
      <c r="G421" s="596"/>
      <c r="H421" s="596"/>
      <c r="I421" s="596"/>
      <c r="J421" s="596"/>
      <c r="K421" s="596"/>
      <c r="L421" s="342"/>
      <c r="M421" s="4"/>
      <c r="N421" s="4"/>
      <c r="O421" s="342"/>
      <c r="P421" s="84"/>
      <c r="Q421" s="595"/>
      <c r="R421" s="595"/>
      <c r="S421" s="595"/>
      <c r="T421" s="595"/>
      <c r="U421" s="84"/>
    </row>
    <row r="422" spans="1:21" ht="20.25">
      <c r="A422" s="84"/>
      <c r="B422" s="596" t="s">
        <v>3230</v>
      </c>
      <c r="C422" s="342">
        <v>89</v>
      </c>
      <c r="D422" s="342">
        <v>95</v>
      </c>
      <c r="E422" s="342">
        <v>102</v>
      </c>
      <c r="F422" s="342">
        <f>81+2</f>
        <v>83</v>
      </c>
      <c r="G422" s="342">
        <v>90</v>
      </c>
      <c r="H422" s="342">
        <v>96</v>
      </c>
      <c r="I422" s="342">
        <f>101+10</f>
        <v>111</v>
      </c>
      <c r="J422" s="342">
        <v>85</v>
      </c>
      <c r="K422" s="342">
        <v>81</v>
      </c>
      <c r="L422" s="391">
        <v>88</v>
      </c>
      <c r="M422" s="4">
        <v>112</v>
      </c>
      <c r="N422" s="4">
        <v>93</v>
      </c>
      <c r="O422" s="391">
        <f>+F422+G422+H422+I422+J422+K422+L422+M422+N422</f>
        <v>839</v>
      </c>
      <c r="P422" s="84"/>
      <c r="Q422" s="595"/>
      <c r="R422" s="595"/>
      <c r="S422" s="595"/>
      <c r="T422" s="595"/>
      <c r="U422" s="84"/>
    </row>
    <row r="423" spans="1:21" ht="20.25">
      <c r="A423" s="84"/>
      <c r="B423" s="2467" t="s">
        <v>63</v>
      </c>
      <c r="C423" s="596"/>
      <c r="D423" s="596"/>
      <c r="E423" s="596"/>
      <c r="F423" s="596"/>
      <c r="G423" s="596"/>
      <c r="H423" s="596"/>
      <c r="I423" s="596"/>
      <c r="J423" s="596"/>
      <c r="K423" s="596"/>
      <c r="L423" s="342"/>
      <c r="M423" s="4"/>
      <c r="N423" s="4"/>
      <c r="O423" s="342"/>
      <c r="P423" s="84"/>
      <c r="Q423" s="595"/>
      <c r="R423" s="595"/>
      <c r="S423" s="595"/>
      <c r="T423" s="595"/>
      <c r="U423" s="84"/>
    </row>
    <row r="424" spans="1:21" ht="20.25">
      <c r="A424" s="84"/>
      <c r="B424" s="596" t="s">
        <v>462</v>
      </c>
      <c r="C424" s="596"/>
      <c r="D424" s="596"/>
      <c r="E424" s="596"/>
      <c r="F424" s="596"/>
      <c r="G424" s="596"/>
      <c r="H424" s="596"/>
      <c r="I424" s="596"/>
      <c r="J424" s="596"/>
      <c r="K424" s="596"/>
      <c r="L424" s="342"/>
      <c r="M424" s="4"/>
      <c r="N424" s="4"/>
      <c r="O424" s="342"/>
      <c r="P424" s="84"/>
      <c r="Q424" s="595"/>
      <c r="R424" s="595"/>
      <c r="S424" s="595"/>
      <c r="T424" s="595"/>
      <c r="U424" s="84"/>
    </row>
    <row r="425" spans="1:21" ht="20.25">
      <c r="A425" s="84"/>
      <c r="B425" s="596" t="s">
        <v>37</v>
      </c>
      <c r="C425" s="391">
        <v>600.63</v>
      </c>
      <c r="D425" s="391">
        <v>513.6</v>
      </c>
      <c r="E425" s="391">
        <v>146.62</v>
      </c>
      <c r="F425" s="597">
        <v>249.55</v>
      </c>
      <c r="G425" s="391">
        <v>1050</v>
      </c>
      <c r="H425" s="391">
        <v>0</v>
      </c>
      <c r="I425" s="597">
        <v>325.47000000000003</v>
      </c>
      <c r="J425" s="597">
        <v>407.67</v>
      </c>
      <c r="K425" s="391">
        <v>881.25</v>
      </c>
      <c r="L425" s="391">
        <v>651.84500000000003</v>
      </c>
      <c r="M425" s="4">
        <v>546.04</v>
      </c>
      <c r="N425" s="4">
        <v>960.96</v>
      </c>
      <c r="O425" s="391">
        <f>+F425+G425+H425+I425+J425+K425+L425+M425+N425</f>
        <v>5072.7849999999999</v>
      </c>
      <c r="P425" s="84"/>
      <c r="Q425" s="595"/>
      <c r="R425" s="595"/>
      <c r="S425" s="595"/>
      <c r="T425" s="595"/>
      <c r="U425" s="84"/>
    </row>
    <row r="426" spans="1:21" ht="20.25">
      <c r="A426" s="84"/>
      <c r="B426" s="596" t="s">
        <v>142</v>
      </c>
      <c r="C426" s="391">
        <v>621.41</v>
      </c>
      <c r="D426" s="391">
        <v>309.14999999999998</v>
      </c>
      <c r="E426" s="391">
        <v>238.08</v>
      </c>
      <c r="F426" s="391">
        <v>322.29000000000002</v>
      </c>
      <c r="G426" s="391">
        <v>847.83</v>
      </c>
      <c r="H426" s="391">
        <v>277.91000000000003</v>
      </c>
      <c r="I426" s="391">
        <v>329.61</v>
      </c>
      <c r="J426" s="391">
        <v>252.85</v>
      </c>
      <c r="K426" s="391">
        <v>1041.1300000000001</v>
      </c>
      <c r="L426" s="391">
        <v>651.94000000000005</v>
      </c>
      <c r="M426" s="4">
        <v>508.89</v>
      </c>
      <c r="N426" s="4">
        <v>944.81</v>
      </c>
      <c r="O426" s="391">
        <f>+F426+G426+H426+I426+J426+K426+L426+M426+N426</f>
        <v>5177.26</v>
      </c>
      <c r="P426" s="84"/>
      <c r="Q426" s="595"/>
      <c r="R426" s="595"/>
      <c r="S426" s="595"/>
      <c r="T426" s="595"/>
      <c r="U426" s="84"/>
    </row>
    <row r="427" spans="1:21" ht="20.25">
      <c r="A427" s="84"/>
      <c r="B427" s="596"/>
      <c r="C427" s="596"/>
      <c r="D427" s="596"/>
      <c r="E427" s="596"/>
      <c r="F427" s="596"/>
      <c r="G427" s="596"/>
      <c r="H427" s="596"/>
      <c r="I427" s="596"/>
      <c r="J427" s="596"/>
      <c r="K427" s="596"/>
      <c r="L427" s="140"/>
      <c r="M427" s="140"/>
      <c r="N427" s="140"/>
      <c r="O427" s="140"/>
      <c r="P427" s="84"/>
      <c r="Q427" s="595"/>
      <c r="R427" s="595"/>
      <c r="S427" s="595"/>
      <c r="T427" s="595"/>
      <c r="U427" s="84"/>
    </row>
    <row r="428" spans="1:21" ht="20.25">
      <c r="A428" s="84"/>
      <c r="B428" s="596"/>
      <c r="C428" s="596"/>
      <c r="D428" s="596"/>
      <c r="E428" s="596"/>
      <c r="F428" s="596"/>
      <c r="G428" s="596"/>
      <c r="H428" s="596"/>
      <c r="I428" s="596"/>
      <c r="J428" s="596"/>
      <c r="K428" s="596"/>
      <c r="L428" s="140"/>
      <c r="M428" s="140"/>
      <c r="N428" s="140"/>
      <c r="O428" s="140"/>
      <c r="P428" s="84"/>
      <c r="Q428" s="595"/>
      <c r="R428" s="595"/>
      <c r="S428" s="595"/>
      <c r="T428" s="595"/>
      <c r="U428" s="84"/>
    </row>
    <row r="429" spans="1:21">
      <c r="A429" s="84"/>
      <c r="B429" s="84" t="s">
        <v>3230</v>
      </c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595"/>
      <c r="R429" s="595"/>
      <c r="S429" s="595"/>
      <c r="T429" s="595"/>
      <c r="U429" s="84"/>
    </row>
    <row r="430" spans="1:2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595"/>
      <c r="R430" s="595"/>
      <c r="S430" s="595"/>
      <c r="T430" s="595"/>
      <c r="U430" s="84"/>
    </row>
    <row r="431" spans="1:2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595"/>
      <c r="R431" s="595"/>
      <c r="S431" s="595"/>
      <c r="T431" s="595"/>
      <c r="U431" s="84"/>
    </row>
    <row r="432" spans="1:2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595"/>
      <c r="R432" s="595"/>
      <c r="S432" s="595"/>
      <c r="T432" s="595"/>
      <c r="U432" s="84"/>
    </row>
    <row r="433" spans="1:26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595"/>
      <c r="R433" s="595"/>
      <c r="S433" s="595"/>
      <c r="T433" s="595"/>
      <c r="U433" s="84"/>
    </row>
    <row r="434" spans="1:26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595"/>
      <c r="R434" s="595"/>
      <c r="S434" s="595"/>
      <c r="T434" s="595"/>
      <c r="U434" s="84"/>
    </row>
    <row r="435" spans="1:26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595"/>
      <c r="R435" s="595"/>
      <c r="S435" s="595"/>
      <c r="T435" s="595"/>
      <c r="U435" s="84"/>
    </row>
    <row r="436" spans="1:2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595"/>
      <c r="R436" s="595"/>
      <c r="S436" s="595"/>
      <c r="T436" s="595"/>
      <c r="U436" s="84"/>
    </row>
    <row r="437" spans="1:26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595"/>
      <c r="R437" s="595"/>
      <c r="S437" s="595"/>
      <c r="T437" s="595"/>
      <c r="U437" s="84"/>
    </row>
    <row r="438" spans="1:26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595"/>
      <c r="R438" s="595"/>
      <c r="S438" s="595"/>
      <c r="T438" s="595"/>
      <c r="U438" s="84"/>
    </row>
    <row r="439" spans="1:26" ht="15.75">
      <c r="A439" s="353" t="s">
        <v>1998</v>
      </c>
      <c r="E439" s="353" t="s">
        <v>142</v>
      </c>
      <c r="F439" s="353"/>
      <c r="U439">
        <f>77831+7726</f>
        <v>85557</v>
      </c>
    </row>
    <row r="440" spans="1:26" ht="18">
      <c r="B440" t="s">
        <v>183</v>
      </c>
      <c r="Q440" s="520">
        <v>8052</v>
      </c>
      <c r="R440">
        <v>8221</v>
      </c>
      <c r="Y440" s="266" t="s">
        <v>3231</v>
      </c>
      <c r="Z440" s="267"/>
    </row>
    <row r="441" spans="1:26" ht="18">
      <c r="B441" t="s">
        <v>3232</v>
      </c>
      <c r="U441">
        <f>36787-36584</f>
        <v>203</v>
      </c>
      <c r="Y441" s="272" t="s">
        <v>189</v>
      </c>
      <c r="Z441" s="63"/>
    </row>
    <row r="442" spans="1:26" ht="20.25">
      <c r="A442" s="84" t="s">
        <v>563</v>
      </c>
      <c r="B442" s="608">
        <v>0</v>
      </c>
      <c r="C442" s="84"/>
      <c r="D442" s="84"/>
      <c r="E442" s="608">
        <v>0</v>
      </c>
      <c r="F442" s="608"/>
      <c r="Q442" s="84" t="s">
        <v>563</v>
      </c>
      <c r="U442" s="520">
        <f>+E442</f>
        <v>0</v>
      </c>
      <c r="Y442" s="341" t="s">
        <v>563</v>
      </c>
      <c r="Z442" s="430">
        <v>2136</v>
      </c>
    </row>
    <row r="443" spans="1:26" ht="20.25">
      <c r="A443" s="84" t="s">
        <v>385</v>
      </c>
      <c r="B443" s="608">
        <v>0</v>
      </c>
      <c r="C443" s="84"/>
      <c r="D443" s="84"/>
      <c r="E443" s="608">
        <v>0</v>
      </c>
      <c r="F443" s="608"/>
      <c r="Q443" s="84" t="s">
        <v>385</v>
      </c>
      <c r="U443" s="520">
        <f>E443</f>
        <v>0</v>
      </c>
      <c r="Y443" s="341" t="s">
        <v>385</v>
      </c>
      <c r="Z443" s="430">
        <v>0</v>
      </c>
    </row>
    <row r="444" spans="1:26" ht="20.25">
      <c r="A444" s="84" t="s">
        <v>564</v>
      </c>
      <c r="B444" s="608">
        <v>20.100000000000001</v>
      </c>
      <c r="C444" s="84"/>
      <c r="D444" s="84"/>
      <c r="E444" s="608">
        <v>437.70000000000005</v>
      </c>
      <c r="F444" s="608"/>
      <c r="Q444" s="84" t="s">
        <v>564</v>
      </c>
      <c r="U444" s="520">
        <f>E444</f>
        <v>437.70000000000005</v>
      </c>
      <c r="Y444" s="341" t="s">
        <v>564</v>
      </c>
      <c r="Z444" s="350">
        <f>E444</f>
        <v>437.70000000000005</v>
      </c>
    </row>
    <row r="445" spans="1:26" ht="20.25">
      <c r="A445" s="84" t="s">
        <v>565</v>
      </c>
      <c r="B445" s="608">
        <v>0</v>
      </c>
      <c r="C445" s="84"/>
      <c r="D445" s="84"/>
      <c r="E445" s="608">
        <v>0</v>
      </c>
      <c r="F445" s="608"/>
      <c r="Q445" s="84" t="s">
        <v>565</v>
      </c>
      <c r="Y445" s="341" t="s">
        <v>565</v>
      </c>
      <c r="Z445" s="350">
        <f>2.35+25.35+92.165+14.47+394.16</f>
        <v>528.495</v>
      </c>
    </row>
    <row r="446" spans="1:26" ht="20.25">
      <c r="A446" s="84" t="s">
        <v>566</v>
      </c>
      <c r="B446" s="608">
        <v>0</v>
      </c>
      <c r="C446" s="84"/>
      <c r="D446" s="84"/>
      <c r="E446" s="608">
        <v>0</v>
      </c>
      <c r="F446" s="608"/>
      <c r="Q446" s="84" t="s">
        <v>566</v>
      </c>
      <c r="Y446" s="341" t="s">
        <v>3233</v>
      </c>
      <c r="Z446" s="350">
        <f>5.1+54.48+10.88+2.25</f>
        <v>72.709999999999994</v>
      </c>
    </row>
    <row r="447" spans="1:26" ht="20.25">
      <c r="A447" s="84" t="s">
        <v>567</v>
      </c>
      <c r="B447" s="608">
        <v>0</v>
      </c>
      <c r="C447" s="84"/>
      <c r="D447" s="84"/>
      <c r="E447" s="608">
        <v>0</v>
      </c>
      <c r="F447" s="608"/>
      <c r="Q447" s="84" t="s">
        <v>567</v>
      </c>
      <c r="Y447" s="341" t="s">
        <v>3234</v>
      </c>
      <c r="Z447" s="350">
        <f>+Z449-Z452</f>
        <v>-3174.9049999999997</v>
      </c>
    </row>
    <row r="448" spans="1:26" ht="20.25">
      <c r="A448" s="84" t="s">
        <v>500</v>
      </c>
      <c r="B448" s="608">
        <v>37.271999999999998</v>
      </c>
      <c r="C448" s="84"/>
      <c r="D448" s="84"/>
      <c r="E448" s="608">
        <v>0</v>
      </c>
      <c r="F448" s="608"/>
      <c r="Q448" s="84" t="s">
        <v>500</v>
      </c>
      <c r="Y448" s="341"/>
      <c r="Z448" s="430"/>
    </row>
    <row r="449" spans="1:26" ht="20.25">
      <c r="A449" s="84" t="s">
        <v>335</v>
      </c>
      <c r="B449" s="608">
        <v>0</v>
      </c>
      <c r="C449" s="84"/>
      <c r="D449" s="84"/>
      <c r="E449" s="608">
        <v>0</v>
      </c>
      <c r="F449" s="608"/>
      <c r="Q449" s="84" t="s">
        <v>335</v>
      </c>
      <c r="Y449" s="403"/>
      <c r="Z449" s="621">
        <f>E453</f>
        <v>0</v>
      </c>
    </row>
    <row r="450" spans="1:26" ht="20.25">
      <c r="A450" s="84" t="s">
        <v>568</v>
      </c>
      <c r="B450" s="608">
        <v>513.67999999999995</v>
      </c>
      <c r="C450" s="84"/>
      <c r="D450" s="84"/>
      <c r="E450" s="608">
        <v>7063.54</v>
      </c>
      <c r="F450" s="608"/>
      <c r="Q450" s="84" t="s">
        <v>568</v>
      </c>
      <c r="Y450" s="337"/>
      <c r="Z450" s="337"/>
    </row>
    <row r="451" spans="1:26" ht="20.25">
      <c r="A451" s="84" t="s">
        <v>570</v>
      </c>
      <c r="B451" s="608">
        <v>0</v>
      </c>
      <c r="C451" s="84"/>
      <c r="D451" s="84"/>
      <c r="E451" s="608">
        <v>7603.05</v>
      </c>
      <c r="F451" s="608"/>
      <c r="Q451" s="84" t="s">
        <v>570</v>
      </c>
      <c r="Y451" s="337"/>
      <c r="Z451" s="337"/>
    </row>
    <row r="452" spans="1:26" ht="20.25">
      <c r="A452" s="84" t="s">
        <v>571</v>
      </c>
      <c r="B452" s="608">
        <v>10</v>
      </c>
      <c r="C452" s="84"/>
      <c r="D452" s="84"/>
      <c r="E452" s="608">
        <v>7063.54</v>
      </c>
      <c r="F452" s="608"/>
      <c r="Q452" s="84" t="s">
        <v>571</v>
      </c>
      <c r="Y452" s="337"/>
      <c r="Z452" s="338">
        <f>+Z442+Z443+Z444+Z445+Z446</f>
        <v>3174.9049999999997</v>
      </c>
    </row>
    <row r="453" spans="1:26" ht="20.25">
      <c r="B453" s="608">
        <v>0</v>
      </c>
      <c r="C453" s="84"/>
      <c r="D453" s="84"/>
      <c r="E453" s="608">
        <v>0</v>
      </c>
      <c r="F453" s="608"/>
      <c r="I453" s="520">
        <f>SUM(E442:E452)</f>
        <v>22167.83</v>
      </c>
      <c r="J453" s="520"/>
      <c r="K453" s="520"/>
    </row>
    <row r="454" spans="1:26" ht="20.25">
      <c r="B454" s="608">
        <v>0</v>
      </c>
      <c r="C454" s="84"/>
      <c r="D454" s="84"/>
      <c r="E454" s="608">
        <v>3086.3399999999997</v>
      </c>
      <c r="F454" s="608"/>
    </row>
    <row r="455" spans="1:26" ht="20.25">
      <c r="B455" s="608">
        <f>(+B454-B453)</f>
        <v>0</v>
      </c>
      <c r="C455" s="84"/>
      <c r="D455" s="84"/>
      <c r="E455" s="608">
        <f>(+E454-E453)</f>
        <v>3086.3399999999997</v>
      </c>
      <c r="F455" s="608"/>
    </row>
    <row r="456" spans="1:26" ht="18">
      <c r="A456" s="609" t="s">
        <v>3235</v>
      </c>
      <c r="B456" s="610"/>
      <c r="C456" s="610"/>
      <c r="D456" s="610"/>
      <c r="E456" s="127"/>
      <c r="F456" s="127"/>
      <c r="G456" s="127"/>
      <c r="H456" s="127"/>
      <c r="I456" s="127"/>
      <c r="J456" s="127"/>
      <c r="K456" s="127"/>
      <c r="L456" s="127"/>
      <c r="M456" s="127"/>
      <c r="N456" s="354"/>
    </row>
    <row r="457" spans="1:26" ht="18">
      <c r="A457" s="611"/>
      <c r="B457" s="612" t="s">
        <v>41</v>
      </c>
      <c r="C457" s="612" t="s">
        <v>170</v>
      </c>
      <c r="D457" s="613" t="s">
        <v>2246</v>
      </c>
      <c r="E457" s="420"/>
      <c r="F457" s="420"/>
      <c r="N457" s="63"/>
    </row>
    <row r="458" spans="1:26" ht="18">
      <c r="A458" s="614" t="s">
        <v>3085</v>
      </c>
      <c r="B458" s="258">
        <f>P26</f>
        <v>10685</v>
      </c>
      <c r="C458" s="258">
        <v>13646</v>
      </c>
      <c r="D458" s="615">
        <v>10172</v>
      </c>
      <c r="E458" s="420"/>
      <c r="F458" s="420"/>
      <c r="N458" s="63"/>
    </row>
    <row r="459" spans="1:26" ht="18">
      <c r="A459" s="614" t="s">
        <v>2341</v>
      </c>
      <c r="B459" s="258">
        <v>18539</v>
      </c>
      <c r="C459" s="258">
        <v>33292</v>
      </c>
      <c r="D459" s="615">
        <v>22636</v>
      </c>
      <c r="E459" s="420"/>
      <c r="F459" s="420"/>
      <c r="N459" s="63"/>
    </row>
    <row r="460" spans="1:26" ht="18">
      <c r="A460" s="614" t="s">
        <v>3236</v>
      </c>
      <c r="B460" s="258">
        <v>5802</v>
      </c>
      <c r="C460" s="258">
        <v>21683</v>
      </c>
      <c r="D460" s="615">
        <v>11350</v>
      </c>
      <c r="E460" s="420"/>
      <c r="F460" s="420"/>
      <c r="N460" s="63"/>
    </row>
    <row r="461" spans="1:26" ht="18">
      <c r="A461" s="344" t="s">
        <v>3237</v>
      </c>
      <c r="B461" s="366">
        <v>4183</v>
      </c>
      <c r="C461" s="366">
        <v>4910</v>
      </c>
      <c r="D461" s="616">
        <v>5840</v>
      </c>
      <c r="N461" s="63"/>
    </row>
    <row r="462" spans="1:26">
      <c r="A462" s="31"/>
      <c r="N462" s="63"/>
    </row>
    <row r="463" spans="1:26" ht="18">
      <c r="A463" s="2967" t="s">
        <v>3238</v>
      </c>
      <c r="B463" s="2967"/>
      <c r="C463" s="2967"/>
      <c r="D463" s="2967"/>
      <c r="E463" s="2967"/>
      <c r="F463" s="2967"/>
      <c r="G463" s="2967"/>
      <c r="H463" s="2967"/>
      <c r="I463" s="2967"/>
      <c r="J463" s="2967"/>
      <c r="K463" s="2967"/>
      <c r="L463" s="2967"/>
      <c r="M463" s="2967"/>
      <c r="N463" s="2967"/>
      <c r="O463" s="2967"/>
      <c r="P463" s="2967"/>
      <c r="Q463" s="2967"/>
      <c r="R463" s="2967"/>
      <c r="S463" s="2967"/>
      <c r="T463" s="2967"/>
      <c r="U463" s="2967"/>
    </row>
    <row r="464" spans="1:26" ht="18">
      <c r="A464" s="4"/>
      <c r="B464" s="4" t="s">
        <v>2260</v>
      </c>
      <c r="C464" s="4" t="s">
        <v>723</v>
      </c>
      <c r="D464" s="4" t="s">
        <v>2147</v>
      </c>
      <c r="F464" s="4" t="s">
        <v>1993</v>
      </c>
      <c r="G464" s="4" t="s">
        <v>726</v>
      </c>
      <c r="H464" s="4" t="s">
        <v>1994</v>
      </c>
      <c r="J464" s="4"/>
      <c r="K464" s="4" t="s">
        <v>729</v>
      </c>
      <c r="L464" s="618" t="s">
        <v>3239</v>
      </c>
      <c r="M464" s="4" t="s">
        <v>3240</v>
      </c>
      <c r="O464" s="4" t="s">
        <v>3241</v>
      </c>
      <c r="P464" s="4" t="s">
        <v>3242</v>
      </c>
      <c r="Q464" s="4" t="s">
        <v>3243</v>
      </c>
      <c r="R464" s="41" t="s">
        <v>121</v>
      </c>
      <c r="S464" s="18"/>
      <c r="T464" s="18"/>
    </row>
    <row r="465" spans="1:23" ht="18">
      <c r="A465" s="4" t="s">
        <v>3085</v>
      </c>
      <c r="B465" s="4">
        <v>343</v>
      </c>
      <c r="C465" s="4">
        <v>651</v>
      </c>
      <c r="D465" s="4">
        <v>355</v>
      </c>
      <c r="F465" s="4">
        <v>733</v>
      </c>
      <c r="G465" s="4">
        <v>1256</v>
      </c>
      <c r="H465" s="4">
        <v>257</v>
      </c>
      <c r="J465" s="4"/>
      <c r="K465" s="4">
        <v>987</v>
      </c>
      <c r="L465" s="398">
        <v>920</v>
      </c>
      <c r="M465" s="398">
        <v>917</v>
      </c>
      <c r="O465" s="4">
        <v>1221</v>
      </c>
      <c r="P465" s="398">
        <v>986.7</v>
      </c>
      <c r="Q465" s="398">
        <v>1069</v>
      </c>
      <c r="R465" s="398">
        <f t="shared" ref="R465:R470" si="129">SUM(B465:Q465)</f>
        <v>9695.7000000000007</v>
      </c>
      <c r="S465" s="620"/>
      <c r="T465" s="620"/>
    </row>
    <row r="466" spans="1:23" ht="18">
      <c r="A466" s="4" t="s">
        <v>2341</v>
      </c>
      <c r="B466" s="398">
        <v>0</v>
      </c>
      <c r="C466" s="398">
        <v>2354.0009999999997</v>
      </c>
      <c r="D466" s="398">
        <v>2591</v>
      </c>
      <c r="F466" s="398">
        <v>2560</v>
      </c>
      <c r="G466" s="398">
        <v>3956.95</v>
      </c>
      <c r="H466" s="398">
        <v>1925.1</v>
      </c>
      <c r="J466" s="398"/>
      <c r="K466" s="398">
        <v>1065</v>
      </c>
      <c r="L466" s="398">
        <v>1185.9000000000003</v>
      </c>
      <c r="M466" s="398">
        <v>1229.5999999999999</v>
      </c>
      <c r="O466" s="398">
        <v>2786.9</v>
      </c>
      <c r="P466" s="398">
        <v>2490</v>
      </c>
      <c r="Q466" s="398">
        <v>2798</v>
      </c>
      <c r="R466" s="398">
        <f t="shared" si="129"/>
        <v>24942.451000000001</v>
      </c>
      <c r="S466" s="620"/>
      <c r="T466" s="620"/>
      <c r="W466">
        <f>8240-Q2274</f>
        <v>8240</v>
      </c>
    </row>
    <row r="467" spans="1:23" ht="20.25">
      <c r="A467" s="4" t="s">
        <v>3244</v>
      </c>
      <c r="B467" s="346">
        <v>810</v>
      </c>
      <c r="C467" s="346">
        <v>0</v>
      </c>
      <c r="D467" s="346">
        <v>0</v>
      </c>
      <c r="F467" s="346">
        <v>196</v>
      </c>
      <c r="G467" s="346">
        <v>528</v>
      </c>
      <c r="H467" s="346">
        <v>2444</v>
      </c>
      <c r="J467" s="346"/>
      <c r="K467" s="346">
        <v>0</v>
      </c>
      <c r="L467" s="346">
        <v>2262</v>
      </c>
      <c r="M467" s="346">
        <v>2304</v>
      </c>
      <c r="O467" s="447">
        <v>1578</v>
      </c>
      <c r="P467" s="346">
        <v>1734</v>
      </c>
      <c r="Q467" s="346">
        <v>2148</v>
      </c>
      <c r="R467" s="4">
        <f t="shared" si="129"/>
        <v>14004</v>
      </c>
      <c r="S467" s="257"/>
      <c r="T467" s="257"/>
    </row>
    <row r="468" spans="1:23" ht="18">
      <c r="A468" s="4" t="s">
        <v>3245</v>
      </c>
      <c r="B468" s="398">
        <v>576</v>
      </c>
      <c r="C468" s="398">
        <v>367</v>
      </c>
      <c r="D468" s="4">
        <v>215</v>
      </c>
      <c r="F468" s="4">
        <v>675</v>
      </c>
      <c r="G468" s="4">
        <v>301</v>
      </c>
      <c r="H468" s="4">
        <v>903</v>
      </c>
      <c r="J468" s="4"/>
      <c r="K468" s="4">
        <v>587</v>
      </c>
      <c r="L468" s="4">
        <v>640</v>
      </c>
      <c r="M468" s="4">
        <v>738</v>
      </c>
      <c r="O468" s="4">
        <v>528</v>
      </c>
      <c r="P468" s="398">
        <v>347</v>
      </c>
      <c r="Q468" s="398">
        <v>1311.8</v>
      </c>
      <c r="R468" s="398">
        <f t="shared" si="129"/>
        <v>7188.8</v>
      </c>
      <c r="S468" s="620"/>
      <c r="T468" s="620"/>
    </row>
    <row r="469" spans="1:23" ht="18">
      <c r="A469" s="4" t="s">
        <v>3246</v>
      </c>
      <c r="B469" s="398"/>
      <c r="C469" s="398"/>
      <c r="D469" s="4"/>
      <c r="F469" s="4"/>
      <c r="G469" s="4"/>
      <c r="H469" s="4"/>
      <c r="J469" s="398"/>
      <c r="K469" s="398">
        <v>1232.94</v>
      </c>
      <c r="L469" s="4"/>
      <c r="M469" s="398">
        <v>2235.9</v>
      </c>
      <c r="O469" s="4"/>
      <c r="P469" s="398">
        <v>2236.5</v>
      </c>
      <c r="Q469" s="398">
        <v>2236.5</v>
      </c>
      <c r="R469" s="398">
        <f t="shared" si="129"/>
        <v>7941.84</v>
      </c>
      <c r="S469" s="620"/>
      <c r="T469" s="620"/>
    </row>
    <row r="470" spans="1:23" ht="18">
      <c r="A470" s="617" t="s">
        <v>3247</v>
      </c>
      <c r="B470" s="4">
        <v>0</v>
      </c>
      <c r="C470" s="4">
        <v>476</v>
      </c>
      <c r="D470" s="4">
        <v>2079</v>
      </c>
      <c r="F470" s="4">
        <v>1534</v>
      </c>
      <c r="G470" s="4">
        <v>2216</v>
      </c>
      <c r="H470" s="4">
        <v>1546</v>
      </c>
      <c r="J470" s="4"/>
      <c r="K470" s="4">
        <v>602</v>
      </c>
      <c r="L470" s="4">
        <v>618</v>
      </c>
      <c r="M470" s="4">
        <v>697</v>
      </c>
      <c r="O470" s="4">
        <v>1599</v>
      </c>
      <c r="P470" s="398">
        <v>1613</v>
      </c>
      <c r="Q470" s="398">
        <v>1576.03</v>
      </c>
      <c r="R470" s="398">
        <f t="shared" si="129"/>
        <v>14556.03</v>
      </c>
      <c r="S470" s="620"/>
      <c r="T470" s="620"/>
    </row>
    <row r="475" spans="1:23" ht="18">
      <c r="A475" s="2967" t="s">
        <v>3248</v>
      </c>
      <c r="B475" s="2967"/>
      <c r="C475" s="2967"/>
      <c r="D475" s="2967"/>
      <c r="E475" s="2967"/>
      <c r="F475" s="2967"/>
      <c r="G475" s="2967"/>
      <c r="H475" s="2967"/>
      <c r="I475" s="2967"/>
      <c r="J475" s="2967"/>
      <c r="K475" s="2967"/>
      <c r="L475" s="2967"/>
      <c r="M475" s="2967"/>
      <c r="N475" s="2967"/>
      <c r="O475" s="2967"/>
      <c r="P475" s="2967"/>
      <c r="Q475" s="2967"/>
      <c r="R475" s="2967"/>
      <c r="S475" s="2967"/>
      <c r="T475" s="2967"/>
      <c r="U475" s="2967"/>
    </row>
    <row r="476" spans="1:23" ht="18">
      <c r="A476" s="4"/>
      <c r="B476" s="4" t="s">
        <v>2260</v>
      </c>
      <c r="C476" s="4" t="s">
        <v>723</v>
      </c>
      <c r="D476" s="4" t="s">
        <v>2147</v>
      </c>
      <c r="F476" s="4" t="s">
        <v>1993</v>
      </c>
      <c r="G476" s="4" t="s">
        <v>726</v>
      </c>
      <c r="H476" s="4" t="s">
        <v>1994</v>
      </c>
      <c r="J476" s="4"/>
      <c r="K476" s="4" t="s">
        <v>729</v>
      </c>
      <c r="L476" s="618" t="s">
        <v>3239</v>
      </c>
      <c r="M476" s="4" t="s">
        <v>3249</v>
      </c>
      <c r="O476" s="4" t="s">
        <v>3250</v>
      </c>
      <c r="P476" s="4" t="s">
        <v>3251</v>
      </c>
      <c r="Q476" s="4" t="s">
        <v>3243</v>
      </c>
      <c r="S476" s="4"/>
      <c r="T476" s="4"/>
      <c r="U476" s="41"/>
    </row>
    <row r="477" spans="1:23" ht="20.25">
      <c r="A477" s="4" t="s">
        <v>3085</v>
      </c>
      <c r="B477" s="342">
        <v>901</v>
      </c>
      <c r="C477" s="342">
        <v>1143</v>
      </c>
      <c r="D477" s="342">
        <v>476</v>
      </c>
      <c r="F477" s="342">
        <v>390</v>
      </c>
      <c r="G477" s="342">
        <v>527</v>
      </c>
      <c r="H477" s="342">
        <v>862</v>
      </c>
      <c r="J477" s="342"/>
      <c r="K477" s="342">
        <v>963</v>
      </c>
      <c r="L477" s="398">
        <v>702</v>
      </c>
      <c r="M477" s="398">
        <v>0</v>
      </c>
      <c r="O477" s="4">
        <v>0</v>
      </c>
      <c r="P477" s="398">
        <v>0</v>
      </c>
      <c r="Q477" s="398">
        <v>0</v>
      </c>
      <c r="S477" s="398"/>
      <c r="T477" s="398"/>
      <c r="U477" s="398">
        <f t="shared" ref="U477:U482" si="130">SUM(B477:Q477)</f>
        <v>5964</v>
      </c>
    </row>
    <row r="478" spans="1:23" ht="20.25">
      <c r="A478" s="4" t="s">
        <v>2341</v>
      </c>
      <c r="B478" s="391">
        <v>2551</v>
      </c>
      <c r="C478" s="391">
        <v>3219</v>
      </c>
      <c r="D478" s="391">
        <v>1529</v>
      </c>
      <c r="F478" s="342">
        <v>2360.4899999999998</v>
      </c>
      <c r="G478" s="342">
        <v>2228</v>
      </c>
      <c r="H478" s="342">
        <v>2229</v>
      </c>
      <c r="J478" s="342"/>
      <c r="K478" s="342">
        <v>2076</v>
      </c>
      <c r="L478" s="398">
        <v>2581</v>
      </c>
      <c r="M478" s="398">
        <v>0</v>
      </c>
      <c r="O478" s="398">
        <v>0</v>
      </c>
      <c r="P478" s="398">
        <v>0</v>
      </c>
      <c r="Q478" s="398">
        <v>0</v>
      </c>
      <c r="S478" s="398"/>
      <c r="T478" s="398"/>
      <c r="U478" s="398">
        <f t="shared" si="130"/>
        <v>18773.489999999998</v>
      </c>
    </row>
    <row r="479" spans="1:23" ht="20.25">
      <c r="A479" s="4" t="s">
        <v>3244</v>
      </c>
      <c r="B479" s="346">
        <v>370</v>
      </c>
      <c r="C479" s="346">
        <v>732</v>
      </c>
      <c r="D479" s="346">
        <v>0</v>
      </c>
      <c r="F479" s="402">
        <v>0</v>
      </c>
      <c r="G479" s="391">
        <v>1038</v>
      </c>
      <c r="H479" s="342">
        <v>576</v>
      </c>
      <c r="J479" s="396"/>
      <c r="K479" s="342">
        <v>1770</v>
      </c>
      <c r="L479" s="346">
        <v>834</v>
      </c>
      <c r="M479" s="346">
        <v>0</v>
      </c>
      <c r="O479" s="447">
        <v>0</v>
      </c>
      <c r="P479" s="346">
        <v>0</v>
      </c>
      <c r="Q479" s="346">
        <v>0</v>
      </c>
      <c r="S479" s="396"/>
      <c r="T479" s="396"/>
      <c r="U479" s="4">
        <f t="shared" si="130"/>
        <v>5320</v>
      </c>
    </row>
    <row r="480" spans="1:23" ht="18">
      <c r="A480" s="4" t="s">
        <v>3245</v>
      </c>
      <c r="B480" s="398">
        <v>576</v>
      </c>
      <c r="C480" s="398">
        <v>367</v>
      </c>
      <c r="D480" s="4">
        <v>215</v>
      </c>
      <c r="F480" s="4">
        <v>675</v>
      </c>
      <c r="G480" s="4">
        <v>301</v>
      </c>
      <c r="H480" s="4">
        <v>903</v>
      </c>
      <c r="J480" s="4"/>
      <c r="K480" s="4">
        <v>326</v>
      </c>
      <c r="L480" s="4">
        <v>795</v>
      </c>
      <c r="M480" s="4">
        <v>0</v>
      </c>
      <c r="O480" s="4">
        <v>0</v>
      </c>
      <c r="P480" s="398">
        <v>0</v>
      </c>
      <c r="Q480" s="398">
        <v>0</v>
      </c>
      <c r="S480" s="398"/>
      <c r="T480" s="398"/>
      <c r="U480" s="398">
        <f t="shared" si="130"/>
        <v>4158</v>
      </c>
    </row>
    <row r="481" spans="1:32" ht="18">
      <c r="A481" s="4" t="s">
        <v>3246</v>
      </c>
      <c r="B481" s="398">
        <v>2101.6</v>
      </c>
      <c r="C481" s="398">
        <v>0</v>
      </c>
      <c r="D481" s="4">
        <v>0</v>
      </c>
      <c r="F481" s="398">
        <v>1121.8</v>
      </c>
      <c r="G481" s="4">
        <v>89.7</v>
      </c>
      <c r="H481" s="398">
        <v>972.7</v>
      </c>
      <c r="J481" s="4"/>
      <c r="K481" s="4">
        <v>639</v>
      </c>
      <c r="L481" s="4">
        <v>639</v>
      </c>
      <c r="M481" s="4"/>
      <c r="O481" s="4"/>
      <c r="P481" s="398"/>
      <c r="Q481" s="398"/>
      <c r="S481" s="398"/>
      <c r="T481" s="398"/>
      <c r="U481" s="398">
        <f t="shared" si="130"/>
        <v>5563.7999999999993</v>
      </c>
    </row>
    <row r="482" spans="1:32" ht="18">
      <c r="A482" s="617" t="s">
        <v>3247</v>
      </c>
      <c r="B482" s="4">
        <v>0</v>
      </c>
      <c r="C482" s="4">
        <v>476</v>
      </c>
      <c r="D482" s="4">
        <v>2079</v>
      </c>
      <c r="F482" s="4">
        <v>1534</v>
      </c>
      <c r="G482" s="4">
        <v>2216</v>
      </c>
      <c r="H482" s="4">
        <v>1546</v>
      </c>
      <c r="J482" s="4"/>
      <c r="K482" s="4">
        <v>1038</v>
      </c>
      <c r="L482" s="4">
        <v>1515</v>
      </c>
      <c r="M482" s="4">
        <v>1513.2</v>
      </c>
      <c r="O482" s="4">
        <v>1391.6510000000001</v>
      </c>
      <c r="P482" s="398">
        <v>897.51599999999996</v>
      </c>
      <c r="Q482" s="398">
        <v>1358.77</v>
      </c>
      <c r="S482" s="398"/>
      <c r="T482" s="398"/>
      <c r="U482" s="398">
        <f t="shared" si="130"/>
        <v>15565.137000000001</v>
      </c>
    </row>
    <row r="486" spans="1:32" ht="18">
      <c r="A486" s="2780"/>
      <c r="B486" s="2780"/>
      <c r="C486" s="2780"/>
      <c r="D486" s="2780"/>
      <c r="E486" s="2780"/>
      <c r="F486" s="257"/>
      <c r="W486" s="11" t="s">
        <v>3252</v>
      </c>
      <c r="X486" s="11"/>
      <c r="Y486" s="11"/>
      <c r="Z486" s="11"/>
      <c r="AA486" s="11"/>
      <c r="AB486" s="11"/>
      <c r="AC486" s="11"/>
      <c r="AD486" s="14"/>
      <c r="AE486" s="14"/>
    </row>
    <row r="487" spans="1:32" ht="20.25">
      <c r="W487" s="596" t="s">
        <v>39</v>
      </c>
      <c r="X487" s="596"/>
      <c r="Y487" s="13"/>
      <c r="Z487" s="13"/>
      <c r="AA487" s="259" t="s">
        <v>36</v>
      </c>
      <c r="AB487" s="259" t="s">
        <v>2207</v>
      </c>
      <c r="AC487" s="259" t="s">
        <v>142</v>
      </c>
      <c r="AD487" s="622"/>
      <c r="AE487" s="622"/>
      <c r="AF487" s="622" t="s">
        <v>3253</v>
      </c>
    </row>
    <row r="488" spans="1:32" ht="18">
      <c r="W488" s="11" t="s">
        <v>170</v>
      </c>
      <c r="X488" s="11"/>
      <c r="Y488" s="13"/>
      <c r="Z488" s="13"/>
      <c r="AA488" s="258">
        <v>101157</v>
      </c>
      <c r="AB488" s="258">
        <v>115685</v>
      </c>
      <c r="AC488" s="258">
        <v>116118</v>
      </c>
      <c r="AD488" s="133"/>
      <c r="AE488" s="133"/>
      <c r="AF488" s="623">
        <v>115930</v>
      </c>
    </row>
    <row r="489" spans="1:32" ht="18">
      <c r="A489" s="353"/>
      <c r="B489" s="3023" t="s">
        <v>3191</v>
      </c>
      <c r="C489" s="3023"/>
      <c r="D489" s="3023"/>
      <c r="E489" s="3023"/>
      <c r="F489" s="3023"/>
      <c r="G489" s="3023"/>
      <c r="H489" s="3023"/>
      <c r="I489" s="3023"/>
      <c r="J489" s="133"/>
      <c r="K489" s="133"/>
      <c r="W489" s="11" t="s">
        <v>171</v>
      </c>
      <c r="X489" s="11"/>
      <c r="Y489" s="13"/>
      <c r="Z489" s="13"/>
      <c r="AA489" s="258">
        <v>103648</v>
      </c>
      <c r="AB489" s="258">
        <v>102586</v>
      </c>
      <c r="AC489" s="258">
        <v>97974</v>
      </c>
      <c r="AD489" s="133"/>
      <c r="AE489" s="133"/>
      <c r="AF489" s="623">
        <v>97728</v>
      </c>
    </row>
    <row r="490" spans="1:32" ht="18">
      <c r="A490" s="353"/>
      <c r="B490" s="479"/>
      <c r="C490" s="3070" t="s">
        <v>1997</v>
      </c>
      <c r="D490" s="3071"/>
      <c r="E490" s="3070" t="s">
        <v>1029</v>
      </c>
      <c r="F490" s="3072"/>
      <c r="G490" s="3071"/>
      <c r="H490" s="3070" t="s">
        <v>37</v>
      </c>
      <c r="I490" s="3071"/>
      <c r="J490" s="619"/>
      <c r="K490" s="619"/>
      <c r="W490" s="11" t="s">
        <v>3254</v>
      </c>
      <c r="X490" s="11"/>
      <c r="Y490" s="13"/>
      <c r="Z490" s="13"/>
      <c r="AA490" s="258">
        <v>43743</v>
      </c>
      <c r="AB490" s="258">
        <v>52701</v>
      </c>
      <c r="AC490" s="258">
        <v>56130</v>
      </c>
      <c r="AD490" s="133"/>
      <c r="AE490" s="133"/>
      <c r="AF490" s="623">
        <v>97728</v>
      </c>
    </row>
    <row r="491" spans="1:32" ht="18">
      <c r="A491" s="353"/>
      <c r="B491" s="624"/>
      <c r="C491" s="259" t="s">
        <v>121</v>
      </c>
      <c r="D491" s="259" t="s">
        <v>3194</v>
      </c>
      <c r="E491" s="259" t="s">
        <v>121</v>
      </c>
      <c r="F491" s="259"/>
      <c r="G491" s="259" t="s">
        <v>3194</v>
      </c>
      <c r="H491" s="259" t="s">
        <v>121</v>
      </c>
      <c r="I491" s="259" t="s">
        <v>3194</v>
      </c>
      <c r="J491" s="483"/>
      <c r="K491" s="483"/>
      <c r="W491" s="14"/>
      <c r="X491" s="14"/>
      <c r="AA491" s="133"/>
      <c r="AB491" s="133"/>
      <c r="AC491" s="133"/>
      <c r="AD491" s="133"/>
      <c r="AE491" s="133"/>
      <c r="AF491" s="307"/>
    </row>
    <row r="492" spans="1:32" ht="15.75">
      <c r="A492" s="353"/>
      <c r="B492" s="624" t="s">
        <v>3193</v>
      </c>
      <c r="C492" s="115">
        <v>7941.53</v>
      </c>
      <c r="D492" s="259">
        <v>2102</v>
      </c>
      <c r="E492" s="115">
        <v>5443.165</v>
      </c>
      <c r="F492" s="115"/>
      <c r="G492" s="259">
        <v>1803</v>
      </c>
      <c r="H492" s="115">
        <v>4730.3329999999996</v>
      </c>
      <c r="I492" s="259">
        <v>2073</v>
      </c>
      <c r="J492" s="483"/>
      <c r="K492" s="483"/>
      <c r="W492" s="635"/>
      <c r="X492" s="636"/>
      <c r="Y492" s="636"/>
      <c r="Z492" s="636"/>
      <c r="AA492" s="636"/>
    </row>
    <row r="493" spans="1:32" ht="15.75">
      <c r="A493" s="353"/>
      <c r="B493" s="624" t="s">
        <v>3195</v>
      </c>
      <c r="C493" s="259">
        <v>14001</v>
      </c>
      <c r="D493" s="259">
        <v>1102</v>
      </c>
      <c r="E493" s="115">
        <v>10166.686</v>
      </c>
      <c r="F493" s="115"/>
      <c r="G493" s="259">
        <v>2692</v>
      </c>
      <c r="H493" s="115">
        <v>6647.125</v>
      </c>
      <c r="I493" s="259">
        <v>2443</v>
      </c>
      <c r="J493" s="483"/>
      <c r="K493" s="483"/>
    </row>
    <row r="494" spans="1:32" ht="15.75">
      <c r="A494" s="353"/>
      <c r="B494" s="624" t="s">
        <v>3196</v>
      </c>
      <c r="C494" s="259">
        <v>0</v>
      </c>
      <c r="D494" s="259"/>
      <c r="E494" s="115">
        <v>1920.6</v>
      </c>
      <c r="F494" s="115"/>
      <c r="G494" s="259"/>
      <c r="H494" s="259">
        <v>0</v>
      </c>
      <c r="I494" s="259"/>
      <c r="J494" s="483"/>
      <c r="K494" s="483"/>
      <c r="V494" s="232"/>
      <c r="W494" s="233"/>
      <c r="X494" s="233"/>
      <c r="Y494" s="2801" t="s">
        <v>3255</v>
      </c>
      <c r="Z494" s="2801"/>
      <c r="AA494" s="2801"/>
      <c r="AB494" s="2801"/>
      <c r="AC494" s="2801"/>
      <c r="AD494" s="247"/>
    </row>
    <row r="495" spans="1:32" ht="15.75">
      <c r="A495" s="353"/>
      <c r="B495" s="619"/>
      <c r="C495" s="483"/>
      <c r="D495" s="483"/>
      <c r="E495" s="484"/>
      <c r="F495" s="484"/>
      <c r="G495" s="483"/>
      <c r="H495" s="483"/>
      <c r="I495" s="483"/>
      <c r="J495" s="483"/>
      <c r="K495" s="483"/>
      <c r="V495" s="637" t="s">
        <v>318</v>
      </c>
      <c r="W495" s="547"/>
      <c r="X495" s="547"/>
      <c r="Y495" s="547" t="s">
        <v>170</v>
      </c>
      <c r="Z495" s="547" t="s">
        <v>171</v>
      </c>
      <c r="AA495" s="547" t="s">
        <v>807</v>
      </c>
      <c r="AB495" s="547" t="s">
        <v>808</v>
      </c>
      <c r="AC495" s="547" t="s">
        <v>809</v>
      </c>
      <c r="AD495" s="646" t="s">
        <v>2363</v>
      </c>
    </row>
    <row r="496" spans="1:32" ht="15.75">
      <c r="A496" s="353"/>
      <c r="B496" s="619"/>
      <c r="C496" s="483"/>
      <c r="D496" s="483"/>
      <c r="E496" s="484"/>
      <c r="F496" s="484"/>
      <c r="G496" s="483"/>
      <c r="H496" s="483"/>
      <c r="I496" s="483"/>
      <c r="J496" s="483"/>
      <c r="K496" s="483"/>
      <c r="V496" s="637"/>
      <c r="W496" s="547"/>
      <c r="X496" s="547"/>
      <c r="Y496" s="547"/>
      <c r="Z496" s="547"/>
      <c r="AA496" s="547"/>
      <c r="AB496" s="547"/>
      <c r="AC496" s="547"/>
      <c r="AD496" s="646"/>
    </row>
    <row r="497" spans="1:30" ht="18">
      <c r="A497" s="353"/>
      <c r="B497" s="3023" t="s">
        <v>3191</v>
      </c>
      <c r="C497" s="3023"/>
      <c r="D497" s="3023"/>
      <c r="E497" s="3023"/>
      <c r="F497" s="3023"/>
      <c r="G497" s="3023"/>
      <c r="H497" s="3023"/>
      <c r="I497" s="3023"/>
      <c r="J497" s="483"/>
      <c r="K497" s="483"/>
      <c r="V497" s="637"/>
      <c r="W497" s="547"/>
      <c r="X497" s="547"/>
      <c r="Y497" s="547"/>
      <c r="Z497" s="547"/>
      <c r="AA497" s="547"/>
      <c r="AB497" s="547"/>
      <c r="AC497" s="547"/>
      <c r="AD497" s="646"/>
    </row>
    <row r="498" spans="1:30" ht="15.75">
      <c r="A498" s="353"/>
      <c r="B498" s="479"/>
      <c r="C498" s="3070" t="s">
        <v>1997</v>
      </c>
      <c r="D498" s="3071"/>
      <c r="E498" s="3070" t="s">
        <v>1029</v>
      </c>
      <c r="F498" s="3072"/>
      <c r="G498" s="3071"/>
      <c r="H498" s="3070" t="s">
        <v>37</v>
      </c>
      <c r="I498" s="3071"/>
      <c r="J498" s="483"/>
      <c r="K498" s="483"/>
      <c r="V498" s="637" t="s">
        <v>349</v>
      </c>
      <c r="W498" s="547"/>
      <c r="X498" s="547"/>
      <c r="Y498" s="547"/>
      <c r="Z498" s="547"/>
      <c r="AA498" s="547"/>
      <c r="AB498" s="547"/>
      <c r="AC498" s="547">
        <v>297.47000000000003</v>
      </c>
      <c r="AD498" s="646">
        <v>652.13</v>
      </c>
    </row>
    <row r="499" spans="1:30" ht="15.75">
      <c r="A499" s="353" t="s">
        <v>351</v>
      </c>
      <c r="B499" s="531">
        <v>0</v>
      </c>
      <c r="C499" s="531">
        <v>0</v>
      </c>
      <c r="D499" s="531">
        <v>0</v>
      </c>
      <c r="F499" s="531">
        <v>0</v>
      </c>
      <c r="G499" s="531">
        <v>0</v>
      </c>
      <c r="H499" s="531">
        <v>0</v>
      </c>
      <c r="J499" s="531"/>
      <c r="K499" s="531">
        <v>129.41999999999999</v>
      </c>
      <c r="L499" s="531">
        <v>497.07</v>
      </c>
      <c r="M499" s="531"/>
      <c r="N499" s="531">
        <v>0</v>
      </c>
      <c r="O499" s="531"/>
      <c r="P499" s="531">
        <v>0</v>
      </c>
      <c r="Q499" s="531">
        <v>0</v>
      </c>
      <c r="R499" s="531">
        <v>0</v>
      </c>
      <c r="S499" s="531"/>
      <c r="T499" s="531"/>
      <c r="U499" s="531">
        <f t="shared" ref="U499:U504" si="131">SUM(A499:R499)</f>
        <v>626.49</v>
      </c>
      <c r="V499" s="637" t="s">
        <v>342</v>
      </c>
      <c r="W499" s="547"/>
      <c r="X499" s="547"/>
      <c r="Y499" s="547">
        <v>151.22999999999999</v>
      </c>
      <c r="Z499" s="547">
        <f>208.35+613.5</f>
        <v>821.85</v>
      </c>
      <c r="AA499" s="547"/>
      <c r="AB499" s="547"/>
      <c r="AC499" s="547">
        <v>486.01</v>
      </c>
      <c r="AD499" s="646">
        <f>316.52+249.65</f>
        <v>566.16999999999996</v>
      </c>
    </row>
    <row r="500" spans="1:30" ht="15.75">
      <c r="A500" s="353" t="s">
        <v>385</v>
      </c>
      <c r="B500" s="531">
        <v>0</v>
      </c>
      <c r="C500" s="531">
        <v>0</v>
      </c>
      <c r="D500" s="531">
        <v>259.62</v>
      </c>
      <c r="F500" s="531">
        <v>199.86</v>
      </c>
      <c r="G500" s="531">
        <v>60.43</v>
      </c>
      <c r="H500" s="531">
        <f>74.04+24.12</f>
        <v>98.160000000000011</v>
      </c>
      <c r="J500" s="531"/>
      <c r="K500" s="531">
        <f>170+96</f>
        <v>266</v>
      </c>
      <c r="L500" s="531">
        <f>39+28</f>
        <v>67</v>
      </c>
      <c r="M500" s="531"/>
      <c r="N500" s="531">
        <v>54.48</v>
      </c>
      <c r="O500" s="531"/>
      <c r="P500" s="531">
        <v>21.61</v>
      </c>
      <c r="Q500" s="531">
        <v>0</v>
      </c>
      <c r="R500" s="531">
        <f>453+53</f>
        <v>506</v>
      </c>
      <c r="S500" s="531"/>
      <c r="T500" s="531"/>
      <c r="U500" s="531">
        <f t="shared" si="131"/>
        <v>1533.1599999999999</v>
      </c>
      <c r="V500" s="638" t="s">
        <v>2273</v>
      </c>
      <c r="W500" s="547"/>
      <c r="X500" s="547"/>
      <c r="Y500" s="547">
        <v>989.74</v>
      </c>
      <c r="Z500" s="547"/>
      <c r="AA500" s="547">
        <v>365.13</v>
      </c>
      <c r="AB500" s="547">
        <v>567.14</v>
      </c>
      <c r="AC500" s="547">
        <v>596.80999999999995</v>
      </c>
      <c r="AD500" s="646">
        <v>326.74</v>
      </c>
    </row>
    <row r="501" spans="1:30" ht="15.75">
      <c r="A501" s="353" t="s">
        <v>563</v>
      </c>
      <c r="B501" s="531">
        <v>0</v>
      </c>
      <c r="C501" s="531">
        <v>1259.6600000000001</v>
      </c>
      <c r="D501" s="531">
        <v>1559.65</v>
      </c>
      <c r="F501" s="531">
        <v>2115.33</v>
      </c>
      <c r="G501" s="531">
        <v>2150.66</v>
      </c>
      <c r="H501" s="531">
        <v>1463.16</v>
      </c>
      <c r="J501" s="531"/>
      <c r="K501" s="531">
        <v>1021.12</v>
      </c>
      <c r="L501" s="531">
        <v>1673.74</v>
      </c>
      <c r="M501" s="531"/>
      <c r="N501" s="531">
        <v>1967.82</v>
      </c>
      <c r="O501" s="531"/>
      <c r="P501" s="531">
        <v>1577.09</v>
      </c>
      <c r="Q501" s="531">
        <v>2135.77</v>
      </c>
      <c r="R501" s="531">
        <v>665.73</v>
      </c>
      <c r="S501" s="531"/>
      <c r="T501" s="531"/>
      <c r="U501" s="531">
        <f t="shared" si="131"/>
        <v>17589.73</v>
      </c>
      <c r="V501" s="356" t="s">
        <v>3100</v>
      </c>
      <c r="W501" s="547"/>
      <c r="X501" s="547"/>
      <c r="Y501" s="547"/>
      <c r="Z501" s="547"/>
      <c r="AA501" s="547"/>
      <c r="AB501" s="547"/>
      <c r="AC501" s="547"/>
      <c r="AD501" s="646">
        <f>288.66+138.79</f>
        <v>427.45000000000005</v>
      </c>
    </row>
    <row r="502" spans="1:30" ht="15.75">
      <c r="A502" s="353" t="s">
        <v>568</v>
      </c>
      <c r="B502" s="531">
        <v>0</v>
      </c>
      <c r="C502" s="531">
        <v>0</v>
      </c>
      <c r="D502" s="531">
        <v>0</v>
      </c>
      <c r="F502" s="531">
        <v>107.9</v>
      </c>
      <c r="G502" s="531">
        <v>39.659999999999997</v>
      </c>
      <c r="H502" s="531">
        <v>90.73</v>
      </c>
      <c r="J502" s="531"/>
      <c r="K502" s="531">
        <v>271.95999999999998</v>
      </c>
      <c r="L502" s="531">
        <v>186.12</v>
      </c>
      <c r="M502" s="531"/>
      <c r="N502" s="531">
        <f>385+111</f>
        <v>496</v>
      </c>
      <c r="O502" s="531"/>
      <c r="P502" s="531">
        <f>300.6+112.95</f>
        <v>413.55</v>
      </c>
      <c r="Q502" s="531">
        <v>335.87</v>
      </c>
      <c r="R502" s="531">
        <v>323</v>
      </c>
      <c r="S502" s="531"/>
      <c r="T502" s="531"/>
      <c r="U502" s="531">
        <f t="shared" si="131"/>
        <v>2264.79</v>
      </c>
      <c r="V502" s="356" t="s">
        <v>3104</v>
      </c>
      <c r="W502" s="547"/>
      <c r="X502" s="547"/>
      <c r="Y502" s="547">
        <v>86.73</v>
      </c>
      <c r="Z502" s="547"/>
      <c r="AA502" s="547">
        <f>55.99+108.54</f>
        <v>164.53</v>
      </c>
      <c r="AB502" s="547"/>
      <c r="AC502" s="547"/>
      <c r="AD502" s="646">
        <f>80.9</f>
        <v>80.900000000000006</v>
      </c>
    </row>
    <row r="503" spans="1:30" ht="18">
      <c r="A503" s="353" t="s">
        <v>500</v>
      </c>
      <c r="B503" s="531">
        <v>0</v>
      </c>
      <c r="C503" s="531">
        <v>447.53</v>
      </c>
      <c r="D503" s="531">
        <v>0</v>
      </c>
      <c r="F503" s="531">
        <v>0</v>
      </c>
      <c r="G503" s="531">
        <f>503.19+133.59</f>
        <v>636.78</v>
      </c>
      <c r="H503" s="531">
        <v>0</v>
      </c>
      <c r="J503" s="531"/>
      <c r="K503" s="531">
        <v>428.43</v>
      </c>
      <c r="L503" s="531">
        <f>537.97</f>
        <v>537.97</v>
      </c>
      <c r="M503" s="531"/>
      <c r="N503" s="531">
        <v>302.37</v>
      </c>
      <c r="O503" s="531"/>
      <c r="P503" s="531">
        <v>29.86</v>
      </c>
      <c r="Q503" s="531">
        <v>1627.86</v>
      </c>
      <c r="R503" s="531">
        <v>1143.68</v>
      </c>
      <c r="S503" s="531"/>
      <c r="T503" s="531"/>
      <c r="U503" s="639">
        <f t="shared" si="131"/>
        <v>5154.4800000000005</v>
      </c>
      <c r="V503" s="638" t="s">
        <v>3101</v>
      </c>
      <c r="W503" s="547"/>
      <c r="X503" s="547"/>
      <c r="Y503" s="547"/>
      <c r="Z503" s="547"/>
      <c r="AA503" s="547"/>
      <c r="AB503" s="547"/>
      <c r="AC503" s="547"/>
      <c r="AD503" s="646">
        <f>166.55+230.59</f>
        <v>397.14</v>
      </c>
    </row>
    <row r="504" spans="1:30" ht="15.75">
      <c r="A504" s="353" t="s">
        <v>2257</v>
      </c>
      <c r="B504" s="531">
        <f>B506-(B499+B500+B501+B502+B503)</f>
        <v>500.84</v>
      </c>
      <c r="C504" s="531">
        <f t="shared" ref="C504:R504" si="132">C506-(C499+C500+C501+C502+C503)</f>
        <v>1475.12</v>
      </c>
      <c r="D504" s="531">
        <f t="shared" si="132"/>
        <v>2882.86</v>
      </c>
      <c r="F504" s="531">
        <f>F506-(F499+F500+F501+F502+F503)</f>
        <v>2741.4349999999995</v>
      </c>
      <c r="G504" s="531">
        <f t="shared" si="132"/>
        <v>3378.085</v>
      </c>
      <c r="H504" s="531">
        <f t="shared" si="132"/>
        <v>5363.61</v>
      </c>
      <c r="J504" s="531"/>
      <c r="K504" s="531">
        <f>K506-(K499+K500+K501+K502+K503)</f>
        <v>4997.237000000001</v>
      </c>
      <c r="L504" s="531">
        <f t="shared" si="132"/>
        <v>3703.42</v>
      </c>
      <c r="M504" s="531"/>
      <c r="N504" s="531">
        <f t="shared" si="132"/>
        <v>4832.09</v>
      </c>
      <c r="O504" s="531"/>
      <c r="P504" s="531">
        <f t="shared" si="132"/>
        <v>5844.75</v>
      </c>
      <c r="Q504" s="531">
        <f t="shared" si="132"/>
        <v>5256.7900000000009</v>
      </c>
      <c r="R504" s="531">
        <f t="shared" si="132"/>
        <v>6211.1350000000002</v>
      </c>
      <c r="S504" s="531"/>
      <c r="T504" s="531"/>
      <c r="U504" s="640">
        <f t="shared" si="131"/>
        <v>47187.372000000003</v>
      </c>
      <c r="V504" s="356" t="s">
        <v>2270</v>
      </c>
      <c r="W504" s="547"/>
      <c r="X504" s="547"/>
      <c r="Y504" s="547">
        <v>148.63</v>
      </c>
      <c r="Z504" s="547"/>
      <c r="AA504" s="547"/>
      <c r="AB504" s="547"/>
      <c r="AC504" s="547"/>
      <c r="AD504" s="646">
        <f>230.6</f>
        <v>230.6</v>
      </c>
    </row>
    <row r="505" spans="1:30" ht="15.75">
      <c r="A505" s="353" t="s">
        <v>23</v>
      </c>
      <c r="B505" s="531">
        <f>SUM(B499:B504)</f>
        <v>500.84</v>
      </c>
      <c r="C505" s="531">
        <f t="shared" ref="C505:R505" si="133">SUM(C499:C504)</f>
        <v>3182.31</v>
      </c>
      <c r="D505" s="531">
        <f t="shared" si="133"/>
        <v>4702.13</v>
      </c>
      <c r="F505" s="531">
        <f>SUM(F499:F504)</f>
        <v>5164.5249999999996</v>
      </c>
      <c r="G505" s="531">
        <f t="shared" si="133"/>
        <v>6265.6149999999998</v>
      </c>
      <c r="H505" s="531">
        <f t="shared" si="133"/>
        <v>7015.66</v>
      </c>
      <c r="J505" s="531"/>
      <c r="K505" s="531">
        <f>SUM(K499:K504)</f>
        <v>7114.1670000000013</v>
      </c>
      <c r="L505" s="531">
        <f t="shared" si="133"/>
        <v>6665.32</v>
      </c>
      <c r="M505" s="531"/>
      <c r="N505" s="531">
        <f t="shared" si="133"/>
        <v>7652.76</v>
      </c>
      <c r="O505" s="531"/>
      <c r="P505" s="531">
        <f t="shared" si="133"/>
        <v>7886.86</v>
      </c>
      <c r="Q505" s="531">
        <f t="shared" si="133"/>
        <v>9356.2900000000009</v>
      </c>
      <c r="R505" s="531">
        <f t="shared" si="133"/>
        <v>8849.5450000000001</v>
      </c>
      <c r="S505" s="531"/>
      <c r="T505" s="531"/>
      <c r="U505" s="640">
        <f>SUM(U499:U504)</f>
        <v>74356.021999999997</v>
      </c>
      <c r="V505" s="638" t="s">
        <v>2272</v>
      </c>
      <c r="W505" s="547"/>
      <c r="X505" s="547"/>
      <c r="Y505" s="547"/>
      <c r="Z505" s="547"/>
      <c r="AA505" s="547"/>
      <c r="AB505" s="547"/>
      <c r="AC505" s="547"/>
      <c r="AD505" s="646">
        <f>933.06</f>
        <v>933.06</v>
      </c>
    </row>
    <row r="506" spans="1:30" ht="15.75">
      <c r="B506" s="531">
        <v>500.84</v>
      </c>
      <c r="C506" s="531">
        <v>3182.31</v>
      </c>
      <c r="D506" s="531">
        <v>4702.13</v>
      </c>
      <c r="F506" s="531">
        <v>5164.5249999999996</v>
      </c>
      <c r="G506" s="531">
        <v>6265.6149999999998</v>
      </c>
      <c r="H506" s="531">
        <v>7015.66</v>
      </c>
      <c r="J506" s="531"/>
      <c r="K506" s="531">
        <v>7114.1670000000004</v>
      </c>
      <c r="L506" s="531">
        <v>6665.32</v>
      </c>
      <c r="M506" s="531"/>
      <c r="N506" s="531">
        <v>7652.76</v>
      </c>
      <c r="O506" s="531"/>
      <c r="P506" s="531">
        <v>7886.86</v>
      </c>
      <c r="Q506" s="531">
        <v>9356.2900000000009</v>
      </c>
      <c r="R506" s="531">
        <v>8849.5450000000001</v>
      </c>
      <c r="S506" s="531"/>
      <c r="T506" s="531"/>
      <c r="V506" s="637" t="s">
        <v>2163</v>
      </c>
      <c r="W506" s="547"/>
      <c r="X506" s="547"/>
      <c r="Y506" s="547">
        <v>74.61</v>
      </c>
      <c r="Z506" s="547">
        <v>246.06</v>
      </c>
      <c r="AA506" s="547"/>
      <c r="AB506" s="547"/>
      <c r="AC506" s="547">
        <v>43.17</v>
      </c>
      <c r="AD506" s="646"/>
    </row>
    <row r="507" spans="1:30" ht="15.75">
      <c r="C507" s="531">
        <v>0</v>
      </c>
      <c r="V507" s="21" t="s">
        <v>3256</v>
      </c>
      <c r="W507" s="22"/>
      <c r="X507" s="22"/>
      <c r="Y507" s="22">
        <f t="shared" ref="Y507:AD507" si="134">SUM(Y497:Y506)</f>
        <v>1450.9399999999998</v>
      </c>
      <c r="Z507" s="22">
        <f t="shared" si="134"/>
        <v>1067.9100000000001</v>
      </c>
      <c r="AA507" s="22">
        <f t="shared" si="134"/>
        <v>529.66</v>
      </c>
      <c r="AB507" s="22">
        <f t="shared" si="134"/>
        <v>567.14</v>
      </c>
      <c r="AC507" s="22">
        <f t="shared" si="134"/>
        <v>1423.46</v>
      </c>
      <c r="AD507" s="26">
        <f t="shared" si="134"/>
        <v>3614.1899999999996</v>
      </c>
    </row>
    <row r="511" spans="1:30" ht="15.75">
      <c r="A511" s="2803" t="s">
        <v>3257</v>
      </c>
      <c r="B511" s="2803"/>
      <c r="C511" s="2803"/>
      <c r="D511" s="2803"/>
      <c r="E511" s="2803"/>
      <c r="F511" s="2803"/>
      <c r="G511" s="2803"/>
      <c r="H511" s="2803"/>
      <c r="I511" s="2803"/>
      <c r="J511" s="2803"/>
      <c r="K511" s="2803"/>
      <c r="L511" s="2803"/>
      <c r="M511" s="2803"/>
      <c r="N511" s="2803"/>
      <c r="O511" s="2803"/>
      <c r="P511" s="2803"/>
      <c r="Q511" s="2803"/>
      <c r="R511" s="2803"/>
      <c r="S511" s="2803"/>
      <c r="T511" s="2803"/>
      <c r="U511" s="2803"/>
      <c r="V511" s="2803"/>
    </row>
    <row r="514" spans="1:22" ht="15.75">
      <c r="A514" s="353"/>
      <c r="B514" s="535" t="s">
        <v>2260</v>
      </c>
      <c r="C514" s="535" t="s">
        <v>723</v>
      </c>
      <c r="D514" s="535" t="s">
        <v>2147</v>
      </c>
      <c r="F514" s="535" t="s">
        <v>1993</v>
      </c>
      <c r="G514" s="535" t="s">
        <v>726</v>
      </c>
      <c r="H514" s="535" t="s">
        <v>1994</v>
      </c>
      <c r="J514" s="535" t="s">
        <v>729</v>
      </c>
      <c r="K514" s="535"/>
      <c r="L514" s="535" t="s">
        <v>730</v>
      </c>
      <c r="M514" s="535"/>
      <c r="N514" s="535" t="s">
        <v>731</v>
      </c>
      <c r="O514" s="535"/>
      <c r="P514" s="535" t="s">
        <v>732</v>
      </c>
      <c r="Q514" s="535" t="s">
        <v>733</v>
      </c>
      <c r="R514" s="535" t="s">
        <v>3206</v>
      </c>
      <c r="S514" s="535"/>
      <c r="T514" s="535"/>
      <c r="U514" s="535" t="s">
        <v>121</v>
      </c>
      <c r="V514" s="641"/>
    </row>
    <row r="515" spans="1:22" ht="15.75">
      <c r="A515" s="353" t="s">
        <v>351</v>
      </c>
      <c r="B515" s="531">
        <v>497.12</v>
      </c>
      <c r="C515" s="531">
        <v>414</v>
      </c>
      <c r="D515" s="531">
        <v>832.19</v>
      </c>
      <c r="F515" s="531">
        <v>633.36</v>
      </c>
      <c r="G515" s="531">
        <v>835.72</v>
      </c>
      <c r="H515" s="531">
        <v>640.32000000000005</v>
      </c>
      <c r="J515" s="531">
        <v>0</v>
      </c>
      <c r="K515" s="531"/>
      <c r="L515" s="531">
        <v>515.62</v>
      </c>
      <c r="M515" s="531"/>
      <c r="N515" s="531">
        <v>519.1</v>
      </c>
      <c r="O515" s="531"/>
      <c r="P515" s="531">
        <v>109.62</v>
      </c>
      <c r="Q515" s="531">
        <v>0</v>
      </c>
      <c r="R515" s="531">
        <v>74</v>
      </c>
      <c r="S515" s="531"/>
      <c r="T515" s="531"/>
      <c r="U515" s="531">
        <f t="shared" ref="U515:U520" si="135">SUM(A515:R515)</f>
        <v>5071.0500000000011</v>
      </c>
      <c r="V515" s="484"/>
    </row>
    <row r="516" spans="1:22" ht="15.75">
      <c r="A516" s="353" t="s">
        <v>385</v>
      </c>
      <c r="B516" s="531">
        <f>74+72</f>
        <v>146</v>
      </c>
      <c r="C516" s="531">
        <f>429+231</f>
        <v>660</v>
      </c>
      <c r="D516" s="531">
        <f>450+62</f>
        <v>512</v>
      </c>
      <c r="F516" s="531">
        <v>276</v>
      </c>
      <c r="G516" s="531">
        <v>868.89</v>
      </c>
      <c r="H516" s="531">
        <v>917</v>
      </c>
      <c r="J516" s="531">
        <v>550</v>
      </c>
      <c r="K516" s="531"/>
      <c r="L516" s="531">
        <f>246+659</f>
        <v>905</v>
      </c>
      <c r="M516" s="531"/>
      <c r="N516" s="531">
        <f>583+55</f>
        <v>638</v>
      </c>
      <c r="O516" s="531"/>
      <c r="P516" s="531">
        <f>970+50</f>
        <v>1020</v>
      </c>
      <c r="Q516" s="531">
        <v>887</v>
      </c>
      <c r="R516" s="531">
        <v>0</v>
      </c>
      <c r="S516" s="531"/>
      <c r="T516" s="531"/>
      <c r="U516" s="531">
        <f t="shared" si="135"/>
        <v>7379.8899999999994</v>
      </c>
      <c r="V516" s="472"/>
    </row>
    <row r="517" spans="1:22" ht="15.75">
      <c r="A517" s="353" t="s">
        <v>563</v>
      </c>
      <c r="B517" s="531">
        <v>3156.93</v>
      </c>
      <c r="C517" s="531">
        <v>3800.08</v>
      </c>
      <c r="D517" s="531">
        <v>3942.7</v>
      </c>
      <c r="F517" s="531">
        <v>5700.23</v>
      </c>
      <c r="G517" s="531">
        <v>3011.86</v>
      </c>
      <c r="H517" s="531">
        <v>5064.75</v>
      </c>
      <c r="J517" s="531">
        <v>3362.55</v>
      </c>
      <c r="K517" s="531"/>
      <c r="L517" s="531">
        <v>4043.2</v>
      </c>
      <c r="M517" s="531"/>
      <c r="N517" s="531">
        <v>3060.33</v>
      </c>
      <c r="O517" s="531"/>
      <c r="P517" s="531">
        <v>3135.2</v>
      </c>
      <c r="Q517" s="531">
        <v>3583.47</v>
      </c>
      <c r="R517" s="531">
        <v>1023.58</v>
      </c>
      <c r="S517" s="531"/>
      <c r="T517" s="531"/>
      <c r="U517" s="531">
        <f t="shared" si="135"/>
        <v>42884.88</v>
      </c>
      <c r="V517" s="484"/>
    </row>
    <row r="518" spans="1:22" ht="15.75">
      <c r="A518" s="353" t="s">
        <v>568</v>
      </c>
      <c r="B518" s="531">
        <v>210.81</v>
      </c>
      <c r="C518" s="531">
        <v>384.02</v>
      </c>
      <c r="D518" s="531">
        <v>0</v>
      </c>
      <c r="F518" s="531">
        <v>165.18</v>
      </c>
      <c r="G518" s="531">
        <v>8.3699999999999992</v>
      </c>
      <c r="H518" s="531">
        <v>0</v>
      </c>
      <c r="J518" s="531">
        <v>0</v>
      </c>
      <c r="K518" s="531"/>
      <c r="L518" s="531">
        <v>0</v>
      </c>
      <c r="M518" s="531"/>
      <c r="N518" s="531">
        <v>0</v>
      </c>
      <c r="O518" s="531"/>
      <c r="P518" s="531">
        <v>0</v>
      </c>
      <c r="Q518" s="531">
        <v>184.94</v>
      </c>
      <c r="R518" s="531">
        <v>196.78</v>
      </c>
      <c r="S518" s="531"/>
      <c r="T518" s="531"/>
      <c r="U518" s="531">
        <f t="shared" si="135"/>
        <v>1150.0999999999999</v>
      </c>
      <c r="V518" s="472"/>
    </row>
    <row r="519" spans="1:22" ht="18">
      <c r="A519" s="353" t="s">
        <v>500</v>
      </c>
      <c r="B519" s="531">
        <v>437.3</v>
      </c>
      <c r="C519" s="531">
        <v>1379.27</v>
      </c>
      <c r="D519" s="531">
        <v>1155.94</v>
      </c>
      <c r="F519" s="531">
        <v>753.34</v>
      </c>
      <c r="G519" s="531">
        <v>1361.84</v>
      </c>
      <c r="H519" s="531">
        <v>779.27</v>
      </c>
      <c r="J519" s="531">
        <v>1618.53</v>
      </c>
      <c r="K519" s="531"/>
      <c r="L519" s="531">
        <v>921.57</v>
      </c>
      <c r="M519" s="531"/>
      <c r="N519" s="531">
        <v>1424.2</v>
      </c>
      <c r="O519" s="531"/>
      <c r="P519" s="531">
        <v>1037.97</v>
      </c>
      <c r="Q519" s="531">
        <v>944</v>
      </c>
      <c r="R519" s="531">
        <v>557.4</v>
      </c>
      <c r="S519" s="531"/>
      <c r="T519" s="531"/>
      <c r="U519" s="543">
        <f t="shared" si="135"/>
        <v>12370.630000000001</v>
      </c>
      <c r="V519" s="484"/>
    </row>
    <row r="520" spans="1:22" ht="15.75">
      <c r="A520" s="353" t="s">
        <v>2257</v>
      </c>
      <c r="B520" s="531">
        <f t="shared" ref="B520:L520" si="136">B522-(B515+B516+B517+B518+B519)</f>
        <v>3692.268</v>
      </c>
      <c r="C520" s="531">
        <f t="shared" si="136"/>
        <v>3201.2799999999988</v>
      </c>
      <c r="D520" s="531">
        <f t="shared" si="136"/>
        <v>2559.83</v>
      </c>
      <c r="F520" s="531">
        <f>F522-(F515+F516+F517+F518+F519)</f>
        <v>2716.9100000000008</v>
      </c>
      <c r="G520" s="531">
        <f t="shared" si="136"/>
        <v>1957.3599999999997</v>
      </c>
      <c r="H520" s="531">
        <f t="shared" si="136"/>
        <v>2083.3649999999998</v>
      </c>
      <c r="J520" s="531">
        <f>J522-(J515+J516+J517+J518+J519)</f>
        <v>2991.2199999999993</v>
      </c>
      <c r="K520" s="531"/>
      <c r="L520" s="531">
        <f t="shared" si="136"/>
        <v>2128.2350000000006</v>
      </c>
      <c r="M520" s="531"/>
      <c r="N520" s="531">
        <f>N522-(N515+N516+N517+N518+N519)</f>
        <v>1765.67</v>
      </c>
      <c r="O520" s="531"/>
      <c r="P520" s="531">
        <f>P522-(P515+P516+P517+P518+P519)</f>
        <v>2522.0169999999998</v>
      </c>
      <c r="Q520" s="531">
        <f>Q522-(Q515+Q516+Q517+Q518+Q519)</f>
        <v>2282.5600000000013</v>
      </c>
      <c r="R520" s="531">
        <f>R522-(R515+R516+R517+R518+R519)</f>
        <v>1143.0600000000004</v>
      </c>
      <c r="S520" s="531"/>
      <c r="T520" s="531"/>
      <c r="U520" s="539">
        <f t="shared" si="135"/>
        <v>29043.775000000001</v>
      </c>
      <c r="V520" s="472"/>
    </row>
    <row r="521" spans="1:22" ht="15.75">
      <c r="A521" s="353" t="s">
        <v>23</v>
      </c>
      <c r="B521" s="531">
        <f>SUM(B515:B520)</f>
        <v>8140.4279999999999</v>
      </c>
      <c r="C521" s="531">
        <f t="shared" ref="C521:R521" si="137">SUM(C515:C520)</f>
        <v>9838.65</v>
      </c>
      <c r="D521" s="531">
        <f t="shared" si="137"/>
        <v>9002.66</v>
      </c>
      <c r="F521" s="531">
        <f>SUM(F515:F520)</f>
        <v>10245.02</v>
      </c>
      <c r="G521" s="531">
        <f t="shared" si="137"/>
        <v>8044.04</v>
      </c>
      <c r="H521" s="531">
        <f t="shared" si="137"/>
        <v>9484.7049999999999</v>
      </c>
      <c r="J521" s="531">
        <f>SUM(J515:J520)</f>
        <v>8522.2999999999993</v>
      </c>
      <c r="K521" s="531"/>
      <c r="L521" s="531">
        <f t="shared" si="137"/>
        <v>8513.625</v>
      </c>
      <c r="M521" s="531"/>
      <c r="N521" s="531">
        <f t="shared" si="137"/>
        <v>7407.3</v>
      </c>
      <c r="O521" s="531"/>
      <c r="P521" s="531">
        <f t="shared" si="137"/>
        <v>7824.8069999999998</v>
      </c>
      <c r="Q521" s="531">
        <f t="shared" si="137"/>
        <v>7881.97</v>
      </c>
      <c r="R521" s="531">
        <f t="shared" si="137"/>
        <v>2994.82</v>
      </c>
      <c r="S521" s="531"/>
      <c r="T521" s="531"/>
      <c r="U521" s="539">
        <f>SUM(U515:U520)</f>
        <v>97900.325000000012</v>
      </c>
      <c r="V521" s="484"/>
    </row>
    <row r="522" spans="1:22" ht="15.75">
      <c r="B522" s="531">
        <v>8140.4279999999999</v>
      </c>
      <c r="C522" s="531">
        <v>9838.65</v>
      </c>
      <c r="D522" s="531">
        <v>9002.66</v>
      </c>
      <c r="F522" s="531">
        <v>10245.02</v>
      </c>
      <c r="G522" s="531">
        <v>8044.04</v>
      </c>
      <c r="H522" s="531">
        <v>9484.7049999999999</v>
      </c>
      <c r="J522" s="531">
        <v>8522.2999999999993</v>
      </c>
      <c r="K522" s="531"/>
      <c r="L522" s="531">
        <v>8513.625</v>
      </c>
      <c r="M522" s="531"/>
      <c r="N522" s="531">
        <v>7407.3</v>
      </c>
      <c r="O522" s="531"/>
      <c r="P522" s="531">
        <v>7824.8069999999998</v>
      </c>
      <c r="Q522" s="531">
        <v>7881.97</v>
      </c>
      <c r="R522" s="531">
        <v>2994.82</v>
      </c>
      <c r="S522" s="531"/>
      <c r="T522" s="531"/>
    </row>
    <row r="528" spans="1:22" ht="14.25">
      <c r="K528" s="625"/>
      <c r="L528" s="626"/>
      <c r="M528" s="626"/>
      <c r="N528" s="626"/>
      <c r="O528" s="626"/>
      <c r="P528" s="626"/>
      <c r="Q528" s="626"/>
      <c r="R528" s="642"/>
    </row>
    <row r="529" spans="11:18" ht="14.25">
      <c r="K529" s="627"/>
      <c r="L529" s="628"/>
      <c r="M529" s="628"/>
      <c r="N529" s="628"/>
      <c r="O529" s="628"/>
      <c r="P529" s="628"/>
      <c r="Q529" s="628"/>
      <c r="R529" s="643"/>
    </row>
    <row r="530" spans="11:18" ht="15">
      <c r="K530" s="629"/>
      <c r="L530" s="630"/>
      <c r="M530" s="630" t="s">
        <v>257</v>
      </c>
      <c r="N530" s="630" t="s">
        <v>811</v>
      </c>
      <c r="O530" s="630" t="s">
        <v>256</v>
      </c>
      <c r="P530" s="630" t="s">
        <v>812</v>
      </c>
      <c r="Q530" s="630" t="s">
        <v>813</v>
      </c>
      <c r="R530" s="644" t="s">
        <v>814</v>
      </c>
    </row>
    <row r="531" spans="11:18" ht="15">
      <c r="K531" s="3084" t="s">
        <v>41</v>
      </c>
      <c r="L531" s="51" t="s">
        <v>816</v>
      </c>
      <c r="M531" s="51">
        <v>1900</v>
      </c>
      <c r="N531" s="51">
        <v>70520</v>
      </c>
      <c r="O531" s="51">
        <v>501</v>
      </c>
      <c r="P531" s="51">
        <v>5315</v>
      </c>
      <c r="Q531" s="51">
        <v>6064</v>
      </c>
      <c r="R531" s="53">
        <v>2210</v>
      </c>
    </row>
    <row r="532" spans="11:18" ht="15">
      <c r="K532" s="3084"/>
      <c r="L532" s="51" t="s">
        <v>312</v>
      </c>
      <c r="M532" s="51">
        <v>1733</v>
      </c>
      <c r="N532" s="51">
        <v>68426</v>
      </c>
      <c r="O532" s="51">
        <v>700</v>
      </c>
      <c r="P532" s="51">
        <f>3480+8048</f>
        <v>11528</v>
      </c>
      <c r="Q532" s="51">
        <v>4772</v>
      </c>
      <c r="R532" s="53">
        <v>1949</v>
      </c>
    </row>
    <row r="533" spans="11:18" ht="15">
      <c r="K533" s="631"/>
      <c r="L533" s="51" t="s">
        <v>2051</v>
      </c>
      <c r="M533" s="51">
        <v>37</v>
      </c>
      <c r="N533" s="51">
        <v>312</v>
      </c>
      <c r="O533" s="51">
        <v>0</v>
      </c>
      <c r="P533" s="51">
        <v>53</v>
      </c>
      <c r="Q533" s="51">
        <v>54</v>
      </c>
      <c r="R533" s="53">
        <v>0</v>
      </c>
    </row>
    <row r="534" spans="11:18" ht="15">
      <c r="K534" s="631"/>
      <c r="L534" s="51" t="s">
        <v>3111</v>
      </c>
      <c r="M534" s="51">
        <f t="shared" ref="M534:R534" si="138">+M532-M533</f>
        <v>1696</v>
      </c>
      <c r="N534" s="51">
        <f t="shared" si="138"/>
        <v>68114</v>
      </c>
      <c r="O534" s="51">
        <f t="shared" si="138"/>
        <v>700</v>
      </c>
      <c r="P534" s="51">
        <f t="shared" si="138"/>
        <v>11475</v>
      </c>
      <c r="Q534" s="51">
        <f t="shared" si="138"/>
        <v>4718</v>
      </c>
      <c r="R534" s="51">
        <f t="shared" si="138"/>
        <v>1949</v>
      </c>
    </row>
    <row r="535" spans="11:18" ht="15">
      <c r="K535" s="631" t="s">
        <v>292</v>
      </c>
      <c r="L535" s="51" t="s">
        <v>2051</v>
      </c>
      <c r="M535" s="51">
        <v>15</v>
      </c>
      <c r="N535" s="51">
        <v>531</v>
      </c>
      <c r="O535" s="51"/>
      <c r="P535" s="51">
        <v>87</v>
      </c>
      <c r="Q535" s="51">
        <v>43</v>
      </c>
      <c r="R535" s="422"/>
    </row>
    <row r="536" spans="11:18" ht="15">
      <c r="K536" s="631"/>
      <c r="L536" s="51" t="s">
        <v>3111</v>
      </c>
      <c r="M536" s="51"/>
      <c r="N536" s="51"/>
      <c r="O536" s="51"/>
      <c r="P536" s="51"/>
      <c r="Q536" s="51"/>
      <c r="R536" s="422"/>
    </row>
    <row r="537" spans="11:18" ht="15">
      <c r="K537" s="3084" t="s">
        <v>170</v>
      </c>
      <c r="L537" s="51" t="s">
        <v>816</v>
      </c>
      <c r="M537" s="51">
        <v>1635</v>
      </c>
      <c r="N537" s="51">
        <f>73795+33282</f>
        <v>107077</v>
      </c>
      <c r="O537" s="51">
        <v>749</v>
      </c>
      <c r="P537" s="51">
        <f>5862+4000</f>
        <v>9862</v>
      </c>
      <c r="Q537" s="51">
        <v>4965</v>
      </c>
      <c r="R537" s="53">
        <v>1500</v>
      </c>
    </row>
    <row r="538" spans="11:18" ht="15">
      <c r="K538" s="3084"/>
      <c r="L538" s="51" t="s">
        <v>312</v>
      </c>
      <c r="M538" s="51">
        <v>1031</v>
      </c>
      <c r="N538" s="51">
        <v>100246</v>
      </c>
      <c r="O538" s="51">
        <v>319</v>
      </c>
      <c r="P538" s="51">
        <f>2164+4618</f>
        <v>6782</v>
      </c>
      <c r="Q538" s="51">
        <v>4638</v>
      </c>
      <c r="R538" s="53">
        <v>2669</v>
      </c>
    </row>
    <row r="539" spans="11:18" ht="15">
      <c r="K539" s="631"/>
      <c r="L539" s="51" t="s">
        <v>2051</v>
      </c>
      <c r="M539" s="51">
        <v>44</v>
      </c>
      <c r="N539" s="51">
        <v>483</v>
      </c>
      <c r="O539" s="51">
        <v>0</v>
      </c>
      <c r="P539" s="51">
        <v>0</v>
      </c>
      <c r="Q539" s="51">
        <v>107</v>
      </c>
      <c r="R539" s="53">
        <v>332</v>
      </c>
    </row>
    <row r="540" spans="11:18" ht="15">
      <c r="K540" s="631"/>
      <c r="L540" s="51" t="s">
        <v>3111</v>
      </c>
      <c r="M540" s="51">
        <f t="shared" ref="M540:R540" si="139">+M538-M539</f>
        <v>987</v>
      </c>
      <c r="N540" s="51">
        <f t="shared" si="139"/>
        <v>99763</v>
      </c>
      <c r="O540" s="51">
        <f t="shared" si="139"/>
        <v>319</v>
      </c>
      <c r="P540" s="51">
        <f t="shared" si="139"/>
        <v>6782</v>
      </c>
      <c r="Q540" s="51">
        <f t="shared" si="139"/>
        <v>4531</v>
      </c>
      <c r="R540" s="51">
        <f t="shared" si="139"/>
        <v>2337</v>
      </c>
    </row>
    <row r="541" spans="11:18" ht="15">
      <c r="K541" s="3085" t="s">
        <v>171</v>
      </c>
      <c r="L541" s="51" t="s">
        <v>816</v>
      </c>
      <c r="M541" s="51">
        <v>970</v>
      </c>
      <c r="N541" s="51">
        <f>85830+28020</f>
        <v>113850</v>
      </c>
      <c r="O541" s="51">
        <v>850</v>
      </c>
      <c r="P541" s="51">
        <v>7862</v>
      </c>
      <c r="Q541" s="51">
        <v>6170</v>
      </c>
      <c r="R541" s="53">
        <v>3970</v>
      </c>
    </row>
    <row r="542" spans="11:18" ht="15">
      <c r="K542" s="3086"/>
      <c r="L542" s="51" t="s">
        <v>312</v>
      </c>
      <c r="M542" s="51">
        <v>1124</v>
      </c>
      <c r="N542" s="51">
        <v>92794</v>
      </c>
      <c r="O542" s="51">
        <v>216</v>
      </c>
      <c r="P542" s="51">
        <v>1337</v>
      </c>
      <c r="Q542" s="51">
        <v>5177</v>
      </c>
      <c r="R542" s="53">
        <v>2038</v>
      </c>
    </row>
    <row r="543" spans="11:18" ht="15">
      <c r="K543" s="632"/>
      <c r="L543" s="51" t="s">
        <v>2051</v>
      </c>
      <c r="M543" s="51">
        <v>7</v>
      </c>
      <c r="N543" s="51">
        <v>593</v>
      </c>
      <c r="O543" s="51">
        <v>0</v>
      </c>
      <c r="P543" s="51">
        <v>0</v>
      </c>
      <c r="Q543" s="51">
        <v>93</v>
      </c>
      <c r="R543" s="53">
        <v>0</v>
      </c>
    </row>
    <row r="544" spans="11:18" ht="15">
      <c r="K544" s="632"/>
      <c r="L544" s="51" t="s">
        <v>3111</v>
      </c>
      <c r="M544" s="51">
        <f t="shared" ref="M544:R544" si="140">+M542-M543</f>
        <v>1117</v>
      </c>
      <c r="N544" s="51">
        <f t="shared" si="140"/>
        <v>92201</v>
      </c>
      <c r="O544" s="51">
        <f t="shared" si="140"/>
        <v>216</v>
      </c>
      <c r="P544" s="51">
        <f t="shared" si="140"/>
        <v>1337</v>
      </c>
      <c r="Q544" s="51">
        <f t="shared" si="140"/>
        <v>5084</v>
      </c>
      <c r="R544" s="51">
        <f t="shared" si="140"/>
        <v>2038</v>
      </c>
    </row>
    <row r="545" spans="2:18" ht="15">
      <c r="K545" s="3084" t="s">
        <v>807</v>
      </c>
      <c r="L545" s="51" t="s">
        <v>816</v>
      </c>
      <c r="M545" s="51">
        <v>1080</v>
      </c>
      <c r="N545" s="51">
        <f>60699+14100</f>
        <v>74799</v>
      </c>
      <c r="O545" s="51">
        <v>300</v>
      </c>
      <c r="P545" s="51">
        <v>6833</v>
      </c>
      <c r="Q545" s="51">
        <v>6450</v>
      </c>
      <c r="R545" s="53">
        <v>4440</v>
      </c>
    </row>
    <row r="546" spans="2:18" ht="15">
      <c r="K546" s="3085"/>
      <c r="L546" s="633" t="s">
        <v>312</v>
      </c>
      <c r="M546" s="633">
        <v>1414</v>
      </c>
      <c r="N546" s="633">
        <v>52403</v>
      </c>
      <c r="O546" s="633">
        <v>119</v>
      </c>
      <c r="P546" s="633">
        <f>2731+7272</f>
        <v>10003</v>
      </c>
      <c r="Q546" s="633">
        <v>2986</v>
      </c>
      <c r="R546" s="645">
        <v>2048</v>
      </c>
    </row>
    <row r="547" spans="2:18" ht="15">
      <c r="K547" s="634"/>
      <c r="L547" s="51" t="s">
        <v>99</v>
      </c>
      <c r="M547" s="51">
        <v>29</v>
      </c>
      <c r="N547" s="51">
        <v>209</v>
      </c>
      <c r="O547" s="634">
        <v>0</v>
      </c>
      <c r="P547" s="634">
        <v>0</v>
      </c>
      <c r="Q547" s="51">
        <v>54</v>
      </c>
      <c r="R547" s="634">
        <v>0</v>
      </c>
    </row>
    <row r="548" spans="2:18" ht="15">
      <c r="K548" s="634"/>
      <c r="L548" s="51" t="s">
        <v>3111</v>
      </c>
      <c r="M548" s="634">
        <f t="shared" ref="M548:R548" si="141">+M546-M547</f>
        <v>1385</v>
      </c>
      <c r="N548" s="634">
        <f t="shared" si="141"/>
        <v>52194</v>
      </c>
      <c r="O548" s="634">
        <f t="shared" si="141"/>
        <v>119</v>
      </c>
      <c r="P548" s="634">
        <f t="shared" si="141"/>
        <v>10003</v>
      </c>
      <c r="Q548" s="634">
        <f t="shared" si="141"/>
        <v>2932</v>
      </c>
      <c r="R548" s="634">
        <f t="shared" si="141"/>
        <v>2048</v>
      </c>
    </row>
    <row r="560" spans="2:18" ht="15">
      <c r="B560" s="647"/>
      <c r="C560" s="3080" t="s">
        <v>3258</v>
      </c>
      <c r="D560" s="3080"/>
      <c r="E560" s="3080"/>
      <c r="F560" s="3080"/>
      <c r="G560" s="3080"/>
      <c r="H560" s="3080"/>
      <c r="I560" s="3080"/>
      <c r="J560" s="3080"/>
      <c r="K560" s="3080"/>
      <c r="L560" s="3080"/>
      <c r="M560" s="648"/>
      <c r="N560" s="674"/>
      <c r="O560" s="674"/>
      <c r="P560" s="675"/>
    </row>
    <row r="561" spans="2:16" ht="29.25" customHeight="1">
      <c r="B561" s="3121" t="s">
        <v>3259</v>
      </c>
      <c r="C561" s="3082" t="s">
        <v>3260</v>
      </c>
      <c r="D561" s="3082" t="s">
        <v>3261</v>
      </c>
      <c r="E561" s="3082" t="s">
        <v>3262</v>
      </c>
      <c r="F561" s="649"/>
      <c r="G561" s="3082" t="s">
        <v>3263</v>
      </c>
      <c r="H561" s="3082" t="s">
        <v>3264</v>
      </c>
      <c r="I561" s="3083" t="s">
        <v>3265</v>
      </c>
      <c r="J561" s="676"/>
      <c r="K561" s="676"/>
      <c r="L561" s="677"/>
      <c r="M561" s="677"/>
      <c r="N561" s="3083" t="s">
        <v>3266</v>
      </c>
      <c r="O561" s="676"/>
      <c r="P561" s="675" t="s">
        <v>3267</v>
      </c>
    </row>
    <row r="562" spans="2:16" ht="15">
      <c r="B562" s="3121"/>
      <c r="C562" s="3082"/>
      <c r="D562" s="3082"/>
      <c r="E562" s="3082"/>
      <c r="F562" s="649"/>
      <c r="G562" s="3082"/>
      <c r="H562" s="3082"/>
      <c r="I562" s="3083"/>
      <c r="J562" s="676"/>
      <c r="K562" s="676"/>
      <c r="L562" s="677" t="s">
        <v>3268</v>
      </c>
      <c r="M562" s="677" t="s">
        <v>196</v>
      </c>
      <c r="N562" s="3083"/>
      <c r="O562" s="676"/>
      <c r="P562" s="675"/>
    </row>
    <row r="563" spans="2:16" ht="15">
      <c r="B563" s="650" t="s">
        <v>3269</v>
      </c>
      <c r="C563" s="649" t="s">
        <v>3270</v>
      </c>
      <c r="D563" s="650" t="s">
        <v>3271</v>
      </c>
      <c r="E563" s="650" t="s">
        <v>3272</v>
      </c>
      <c r="F563" s="650"/>
      <c r="G563" s="650">
        <v>3219</v>
      </c>
      <c r="H563" s="650">
        <v>1529</v>
      </c>
      <c r="I563" s="650">
        <v>2366</v>
      </c>
      <c r="J563" s="650"/>
      <c r="K563" s="650"/>
      <c r="L563" s="649">
        <v>2228</v>
      </c>
      <c r="M563" s="649">
        <v>2229</v>
      </c>
      <c r="N563" s="649"/>
      <c r="O563" s="649"/>
      <c r="P563" s="51">
        <f>SUM(E563:M563)</f>
        <v>11571</v>
      </c>
    </row>
    <row r="564" spans="2:16" ht="36.75" customHeight="1">
      <c r="B564" s="650" t="s">
        <v>3273</v>
      </c>
      <c r="C564" s="649" t="s">
        <v>3274</v>
      </c>
      <c r="D564" s="650">
        <v>1069</v>
      </c>
      <c r="E564" s="650">
        <v>901</v>
      </c>
      <c r="F564" s="650"/>
      <c r="G564" s="650">
        <v>1143</v>
      </c>
      <c r="H564" s="650">
        <v>476</v>
      </c>
      <c r="I564" s="651">
        <v>390</v>
      </c>
      <c r="J564" s="651"/>
      <c r="K564" s="651"/>
      <c r="L564" s="649">
        <v>527</v>
      </c>
      <c r="M564" s="649">
        <v>862</v>
      </c>
      <c r="N564" s="649" t="s">
        <v>3275</v>
      </c>
      <c r="O564" s="649"/>
      <c r="P564" s="51">
        <f>SUM(E564:M564)</f>
        <v>4299</v>
      </c>
    </row>
    <row r="565" spans="2:16" ht="12" customHeight="1">
      <c r="B565" s="651" t="s">
        <v>3276</v>
      </c>
      <c r="C565" s="652" t="s">
        <v>3277</v>
      </c>
      <c r="D565" s="651">
        <v>2095</v>
      </c>
      <c r="E565" s="651">
        <v>1744</v>
      </c>
      <c r="F565" s="651"/>
      <c r="G565" s="651">
        <v>1730</v>
      </c>
      <c r="H565" s="651">
        <v>1330</v>
      </c>
      <c r="I565" s="651">
        <v>999</v>
      </c>
      <c r="J565" s="651"/>
      <c r="K565" s="651"/>
      <c r="L565" s="652">
        <v>1102</v>
      </c>
      <c r="M565" s="652">
        <v>1317</v>
      </c>
      <c r="N565" s="3132" t="s">
        <v>3278</v>
      </c>
      <c r="O565" s="652"/>
      <c r="P565" s="51">
        <v>1369</v>
      </c>
    </row>
    <row r="566" spans="2:16" ht="51.75" customHeight="1">
      <c r="B566" s="651" t="s">
        <v>3279</v>
      </c>
      <c r="C566" s="652" t="s">
        <v>3280</v>
      </c>
      <c r="D566" s="651">
        <v>1.5</v>
      </c>
      <c r="E566" s="651">
        <v>8</v>
      </c>
      <c r="F566" s="651"/>
      <c r="G566" s="653">
        <v>72.5</v>
      </c>
      <c r="H566" s="653">
        <v>159.5</v>
      </c>
      <c r="I566" s="651">
        <v>161.5</v>
      </c>
      <c r="J566" s="651"/>
      <c r="K566" s="651"/>
      <c r="L566" s="652">
        <v>172</v>
      </c>
      <c r="M566" s="652">
        <v>52</v>
      </c>
      <c r="N566" s="3132"/>
      <c r="O566" s="652"/>
      <c r="P566" s="51">
        <f>SUM(E566:M566)</f>
        <v>625.5</v>
      </c>
    </row>
    <row r="567" spans="2:16" ht="17.25" customHeight="1">
      <c r="B567" s="650" t="s">
        <v>3281</v>
      </c>
      <c r="C567" s="649" t="s">
        <v>3282</v>
      </c>
      <c r="D567" s="650" t="s">
        <v>3283</v>
      </c>
      <c r="E567" s="650" t="s">
        <v>3284</v>
      </c>
      <c r="F567" s="650"/>
      <c r="G567" s="650">
        <v>732</v>
      </c>
      <c r="H567" s="650">
        <v>0</v>
      </c>
      <c r="I567" s="650">
        <v>0</v>
      </c>
      <c r="J567" s="650"/>
      <c r="K567" s="650"/>
      <c r="L567" s="649">
        <v>1038</v>
      </c>
      <c r="M567" s="649">
        <v>576</v>
      </c>
      <c r="N567" s="649" t="s">
        <v>3285</v>
      </c>
      <c r="O567" s="649"/>
      <c r="P567" s="51">
        <f>SUM(E567:M567)</f>
        <v>2346</v>
      </c>
    </row>
    <row r="568" spans="2:16" ht="15">
      <c r="B568" s="654" t="s">
        <v>3286</v>
      </c>
      <c r="C568" s="655" t="s">
        <v>3287</v>
      </c>
      <c r="D568" s="654">
        <v>840.18</v>
      </c>
      <c r="E568" s="654">
        <v>753.95</v>
      </c>
      <c r="F568" s="654"/>
      <c r="G568" s="654">
        <v>1231.04</v>
      </c>
      <c r="H568" s="654">
        <v>2115.7199999999998</v>
      </c>
      <c r="I568" s="654">
        <v>1135.6400000000001</v>
      </c>
      <c r="J568" s="654"/>
      <c r="K568" s="654"/>
      <c r="L568" s="655">
        <v>1143.47</v>
      </c>
      <c r="M568" s="655">
        <v>1555.02</v>
      </c>
      <c r="N568" s="655"/>
      <c r="O568" s="655"/>
      <c r="P568" s="51">
        <f>SUM(E568:M568)</f>
        <v>7934.84</v>
      </c>
    </row>
    <row r="569" spans="2:16" ht="15">
      <c r="B569" s="3081" t="s">
        <v>3288</v>
      </c>
      <c r="C569" s="3081"/>
      <c r="D569" s="3081"/>
      <c r="E569" s="3081"/>
      <c r="F569" s="3081"/>
      <c r="G569" s="3081"/>
      <c r="H569" s="3081"/>
      <c r="I569" s="3081"/>
      <c r="J569" s="3081"/>
      <c r="K569" s="3081"/>
      <c r="L569" s="3081"/>
      <c r="M569" s="3081"/>
      <c r="N569" s="3081"/>
      <c r="O569" s="654"/>
      <c r="P569" s="51"/>
    </row>
    <row r="570" spans="2:16" ht="15">
      <c r="B570" s="654" t="s">
        <v>3289</v>
      </c>
      <c r="C570" s="655" t="s">
        <v>3290</v>
      </c>
      <c r="D570" s="654">
        <v>702.25</v>
      </c>
      <c r="E570" s="654">
        <v>690.79</v>
      </c>
      <c r="F570" s="654"/>
      <c r="G570" s="654">
        <v>730.41</v>
      </c>
      <c r="H570" s="654">
        <v>779.7</v>
      </c>
      <c r="I570" s="654">
        <v>749.95</v>
      </c>
      <c r="J570" s="654"/>
      <c r="K570" s="654"/>
      <c r="L570" s="655">
        <v>752.42</v>
      </c>
      <c r="M570" s="655">
        <v>686.99</v>
      </c>
      <c r="N570" s="655"/>
      <c r="O570" s="655"/>
      <c r="P570" s="51">
        <f>SUM(E570:M570)</f>
        <v>4390.2599999999993</v>
      </c>
    </row>
    <row r="571" spans="2:16" ht="18" customHeight="1">
      <c r="B571" s="650" t="s">
        <v>3291</v>
      </c>
      <c r="C571" s="649"/>
      <c r="D571" s="650" t="s">
        <v>298</v>
      </c>
      <c r="E571" s="650" t="s">
        <v>298</v>
      </c>
      <c r="F571" s="650"/>
      <c r="G571" s="650" t="s">
        <v>298</v>
      </c>
      <c r="H571" s="650">
        <v>386</v>
      </c>
      <c r="I571" s="650">
        <v>80</v>
      </c>
      <c r="J571" s="650"/>
      <c r="K571" s="650"/>
      <c r="L571" s="649">
        <v>488</v>
      </c>
      <c r="M571" s="678">
        <v>0</v>
      </c>
      <c r="N571" s="649" t="s">
        <v>3292</v>
      </c>
      <c r="O571" s="649"/>
      <c r="P571" s="51">
        <f>SUM(E571:M571)</f>
        <v>954</v>
      </c>
    </row>
    <row r="572" spans="2:16" ht="30">
      <c r="B572" s="650" t="s">
        <v>3293</v>
      </c>
      <c r="C572" s="649" t="s">
        <v>3290</v>
      </c>
      <c r="D572" s="650" t="s">
        <v>298</v>
      </c>
      <c r="E572" s="650" t="s">
        <v>298</v>
      </c>
      <c r="F572" s="650"/>
      <c r="G572" s="650" t="s">
        <v>298</v>
      </c>
      <c r="H572" s="650" t="s">
        <v>298</v>
      </c>
      <c r="I572" s="650" t="s">
        <v>298</v>
      </c>
      <c r="J572" s="650"/>
      <c r="K572" s="650"/>
      <c r="L572" s="649">
        <v>163</v>
      </c>
      <c r="M572" s="655">
        <v>428.59</v>
      </c>
      <c r="N572" s="649" t="s">
        <v>3294</v>
      </c>
      <c r="O572" s="649"/>
      <c r="P572" s="49">
        <f>SUM(E572:M572)</f>
        <v>591.58999999999992</v>
      </c>
    </row>
    <row r="573" spans="2:16" ht="15">
      <c r="B573" s="656" t="s">
        <v>3295</v>
      </c>
    </row>
    <row r="574" spans="2:16" ht="15">
      <c r="B574" s="657" t="s">
        <v>3296</v>
      </c>
    </row>
    <row r="575" spans="2:16" ht="15">
      <c r="B575" s="658"/>
    </row>
    <row r="583" spans="2:20" ht="15.75">
      <c r="B583" s="659"/>
      <c r="C583" s="3126" t="s">
        <v>3258</v>
      </c>
      <c r="D583" s="3127"/>
      <c r="E583" s="3127"/>
      <c r="F583" s="3127"/>
      <c r="G583" s="3127"/>
      <c r="H583" s="3127"/>
      <c r="I583" s="3127"/>
      <c r="J583" s="3127"/>
      <c r="K583" s="3127"/>
      <c r="L583" s="3128"/>
      <c r="M583" s="679"/>
      <c r="N583" s="680"/>
      <c r="O583" s="680"/>
      <c r="P583" s="679"/>
      <c r="Q583" s="706"/>
      <c r="R583" s="354"/>
    </row>
    <row r="584" spans="2:20" ht="15.75">
      <c r="B584" s="3122" t="s">
        <v>3259</v>
      </c>
      <c r="C584" s="3094" t="s">
        <v>3260</v>
      </c>
      <c r="D584" s="3094" t="s">
        <v>3261</v>
      </c>
      <c r="E584" s="3094" t="s">
        <v>3262</v>
      </c>
      <c r="F584" s="660"/>
      <c r="G584" s="3094" t="s">
        <v>3263</v>
      </c>
      <c r="H584" s="3094" t="s">
        <v>3264</v>
      </c>
      <c r="I584" s="3124" t="s">
        <v>3265</v>
      </c>
      <c r="J584" s="681"/>
      <c r="K584" s="681"/>
      <c r="L584" s="681"/>
      <c r="M584" s="682"/>
      <c r="N584" s="681"/>
      <c r="O584" s="681" t="s">
        <v>3297</v>
      </c>
      <c r="P584" s="681" t="s">
        <v>3298</v>
      </c>
      <c r="Q584" s="3124" t="s">
        <v>3266</v>
      </c>
      <c r="R584" s="63" t="s">
        <v>493</v>
      </c>
    </row>
    <row r="585" spans="2:20" ht="15.75">
      <c r="B585" s="3123"/>
      <c r="C585" s="3095"/>
      <c r="D585" s="3095"/>
      <c r="E585" s="3095"/>
      <c r="F585" s="661"/>
      <c r="G585" s="3095"/>
      <c r="H585" s="3095"/>
      <c r="I585" s="3125"/>
      <c r="J585" s="683"/>
      <c r="K585" s="683"/>
      <c r="L585" s="683" t="s">
        <v>3268</v>
      </c>
      <c r="M585" s="683" t="s">
        <v>196</v>
      </c>
      <c r="N585" s="683" t="s">
        <v>196</v>
      </c>
      <c r="O585" s="683"/>
      <c r="P585" s="684"/>
      <c r="Q585" s="3125"/>
      <c r="R585" s="63"/>
    </row>
    <row r="586" spans="2:20" ht="15.75">
      <c r="B586" s="662" t="s">
        <v>3269</v>
      </c>
      <c r="C586" s="663" t="s">
        <v>3270</v>
      </c>
      <c r="D586" s="663" t="s">
        <v>3271</v>
      </c>
      <c r="E586" s="663" t="s">
        <v>3272</v>
      </c>
      <c r="F586" s="663"/>
      <c r="G586" s="663">
        <v>3219</v>
      </c>
      <c r="H586" s="663">
        <v>1529</v>
      </c>
      <c r="I586" s="663">
        <v>2366</v>
      </c>
      <c r="J586" s="663"/>
      <c r="K586" s="663"/>
      <c r="L586" s="663">
        <v>2228</v>
      </c>
      <c r="M586" s="663">
        <v>2229</v>
      </c>
      <c r="N586" s="649">
        <v>2229</v>
      </c>
      <c r="O586" s="685">
        <v>2581</v>
      </c>
      <c r="P586" s="686">
        <v>2076</v>
      </c>
      <c r="Q586" s="663"/>
      <c r="R586" s="63">
        <f>SUM(E586:P586)</f>
        <v>18457</v>
      </c>
    </row>
    <row r="587" spans="2:20" ht="63">
      <c r="B587" s="662" t="s">
        <v>3273</v>
      </c>
      <c r="C587" s="663" t="s">
        <v>3274</v>
      </c>
      <c r="D587" s="663">
        <v>1069</v>
      </c>
      <c r="E587" s="663">
        <v>901</v>
      </c>
      <c r="F587" s="663"/>
      <c r="G587" s="663">
        <v>1143</v>
      </c>
      <c r="H587" s="663">
        <v>476</v>
      </c>
      <c r="I587" s="687">
        <v>390</v>
      </c>
      <c r="J587" s="687"/>
      <c r="K587" s="687"/>
      <c r="L587" s="663">
        <v>527</v>
      </c>
      <c r="M587" s="663">
        <v>862</v>
      </c>
      <c r="N587" s="649">
        <v>862</v>
      </c>
      <c r="O587" s="685">
        <v>702</v>
      </c>
      <c r="P587" s="686">
        <v>963</v>
      </c>
      <c r="Q587" s="663" t="s">
        <v>3275</v>
      </c>
      <c r="R587" s="707">
        <f t="shared" ref="R587:R595" si="142">SUM(E587:P587)</f>
        <v>6826</v>
      </c>
      <c r="S587" s="708"/>
      <c r="T587" s="708"/>
    </row>
    <row r="588" spans="2:20" ht="141" customHeight="1">
      <c r="B588" s="662" t="s">
        <v>3276</v>
      </c>
      <c r="C588" s="663" t="s">
        <v>3277</v>
      </c>
      <c r="D588" s="663">
        <v>2095</v>
      </c>
      <c r="E588" s="663">
        <v>1744</v>
      </c>
      <c r="F588" s="663"/>
      <c r="G588" s="663">
        <v>1730</v>
      </c>
      <c r="H588" s="663">
        <v>1330</v>
      </c>
      <c r="I588" s="663">
        <v>999</v>
      </c>
      <c r="J588" s="663"/>
      <c r="K588" s="663"/>
      <c r="L588" s="663">
        <v>1102</v>
      </c>
      <c r="M588" s="671">
        <v>1317</v>
      </c>
      <c r="N588" s="652">
        <v>1317</v>
      </c>
      <c r="O588" s="688">
        <v>1706</v>
      </c>
      <c r="P588" s="689">
        <v>1485</v>
      </c>
      <c r="Q588" s="3096" t="s">
        <v>3278</v>
      </c>
      <c r="R588" s="63"/>
    </row>
    <row r="589" spans="2:20" ht="31.5">
      <c r="B589" s="664" t="s">
        <v>3279</v>
      </c>
      <c r="C589" s="663" t="s">
        <v>3280</v>
      </c>
      <c r="D589" s="663">
        <v>1.5</v>
      </c>
      <c r="E589" s="663">
        <v>8</v>
      </c>
      <c r="F589" s="663"/>
      <c r="G589" s="663">
        <v>72.5</v>
      </c>
      <c r="H589" s="663">
        <v>159.5</v>
      </c>
      <c r="I589" s="663">
        <v>161.5</v>
      </c>
      <c r="J589" s="663"/>
      <c r="K589" s="663"/>
      <c r="L589" s="663">
        <v>172</v>
      </c>
      <c r="M589" s="672">
        <v>52</v>
      </c>
      <c r="N589" s="652">
        <v>52</v>
      </c>
      <c r="O589" s="688">
        <v>10</v>
      </c>
      <c r="P589" s="690">
        <v>21</v>
      </c>
      <c r="Q589" s="3097"/>
      <c r="R589" s="707">
        <f t="shared" si="142"/>
        <v>708.5</v>
      </c>
      <c r="S589" s="708"/>
      <c r="T589" s="708"/>
    </row>
    <row r="590" spans="2:20" ht="47.25">
      <c r="B590" s="662" t="s">
        <v>3281</v>
      </c>
      <c r="C590" s="663" t="s">
        <v>3282</v>
      </c>
      <c r="D590" s="663" t="s">
        <v>3283</v>
      </c>
      <c r="E590" s="663" t="s">
        <v>3284</v>
      </c>
      <c r="F590" s="663"/>
      <c r="G590" s="663">
        <v>732</v>
      </c>
      <c r="H590" s="663">
        <v>0</v>
      </c>
      <c r="I590" s="663">
        <v>0</v>
      </c>
      <c r="J590" s="663"/>
      <c r="K590" s="663"/>
      <c r="L590" s="663">
        <v>1038</v>
      </c>
      <c r="M590" s="663">
        <v>576</v>
      </c>
      <c r="N590" s="649">
        <v>576</v>
      </c>
      <c r="O590" s="685">
        <v>834</v>
      </c>
      <c r="P590" s="691">
        <v>1770</v>
      </c>
      <c r="Q590" s="663" t="s">
        <v>3285</v>
      </c>
      <c r="R590" s="707">
        <f t="shared" si="142"/>
        <v>5526</v>
      </c>
      <c r="S590" s="708"/>
      <c r="T590" s="708"/>
    </row>
    <row r="591" spans="2:20" ht="15.75">
      <c r="B591" s="662" t="s">
        <v>3286</v>
      </c>
      <c r="C591" s="663" t="s">
        <v>3287</v>
      </c>
      <c r="D591" s="663">
        <v>840.18</v>
      </c>
      <c r="E591" s="663">
        <v>753.95</v>
      </c>
      <c r="F591" s="663"/>
      <c r="G591" s="663">
        <v>1231.04</v>
      </c>
      <c r="H591" s="663">
        <v>2115.7199999999998</v>
      </c>
      <c r="I591" s="663">
        <v>1135.6400000000001</v>
      </c>
      <c r="J591" s="663"/>
      <c r="K591" s="663"/>
      <c r="L591" s="663">
        <v>1143.47</v>
      </c>
      <c r="M591" s="686"/>
      <c r="N591" s="655">
        <v>1555.02</v>
      </c>
      <c r="O591" s="692">
        <v>1209</v>
      </c>
      <c r="P591" s="686">
        <v>1494</v>
      </c>
      <c r="Q591" s="663"/>
      <c r="R591" s="707">
        <f t="shared" si="142"/>
        <v>10637.84</v>
      </c>
      <c r="S591" s="708"/>
      <c r="T591" s="708"/>
    </row>
    <row r="592" spans="2:20" ht="15.75">
      <c r="B592" s="3129" t="s">
        <v>3288</v>
      </c>
      <c r="C592" s="3130"/>
      <c r="D592" s="3130"/>
      <c r="E592" s="3130"/>
      <c r="F592" s="3130"/>
      <c r="G592" s="3130"/>
      <c r="H592" s="3130"/>
      <c r="I592" s="3130"/>
      <c r="J592" s="3130"/>
      <c r="K592" s="3130"/>
      <c r="L592" s="3130"/>
      <c r="M592" s="3130"/>
      <c r="N592" s="3130"/>
      <c r="O592" s="3130"/>
      <c r="P592" s="3130"/>
      <c r="Q592" s="3131"/>
      <c r="R592" s="63"/>
    </row>
    <row r="593" spans="2:20" ht="15.75">
      <c r="B593" s="662" t="s">
        <v>3289</v>
      </c>
      <c r="C593" s="663" t="s">
        <v>3290</v>
      </c>
      <c r="D593" s="663">
        <v>702.25</v>
      </c>
      <c r="E593" s="663">
        <v>690.79</v>
      </c>
      <c r="F593" s="663"/>
      <c r="G593" s="663">
        <v>730.41</v>
      </c>
      <c r="H593" s="663">
        <v>779.7</v>
      </c>
      <c r="I593" s="663">
        <v>749.95</v>
      </c>
      <c r="J593" s="663"/>
      <c r="K593" s="663"/>
      <c r="L593" s="663">
        <v>752.42</v>
      </c>
      <c r="M593" s="686"/>
      <c r="N593" s="655">
        <v>686.99</v>
      </c>
      <c r="O593" s="692"/>
      <c r="P593" s="686">
        <v>629.87</v>
      </c>
      <c r="Q593" s="663"/>
      <c r="R593" s="63">
        <f t="shared" si="142"/>
        <v>5020.1299999999992</v>
      </c>
    </row>
    <row r="594" spans="2:20" ht="31.5">
      <c r="B594" s="662" t="s">
        <v>3291</v>
      </c>
      <c r="C594" s="663"/>
      <c r="D594" s="663" t="s">
        <v>298</v>
      </c>
      <c r="E594" s="663" t="s">
        <v>298</v>
      </c>
      <c r="F594" s="663"/>
      <c r="G594" s="663" t="s">
        <v>298</v>
      </c>
      <c r="H594" s="663">
        <v>386</v>
      </c>
      <c r="I594" s="663">
        <v>80</v>
      </c>
      <c r="J594" s="663"/>
      <c r="K594" s="663"/>
      <c r="L594" s="663">
        <v>488</v>
      </c>
      <c r="M594" s="663">
        <v>0</v>
      </c>
      <c r="N594" s="678">
        <v>0</v>
      </c>
      <c r="O594" s="693"/>
      <c r="P594" s="686">
        <v>262.14</v>
      </c>
      <c r="Q594" s="663" t="s">
        <v>3292</v>
      </c>
      <c r="R594" s="707">
        <f t="shared" si="142"/>
        <v>1216.1399999999999</v>
      </c>
      <c r="S594" s="708"/>
      <c r="T594" s="708"/>
    </row>
    <row r="595" spans="2:20" ht="31.5">
      <c r="B595" s="665" t="s">
        <v>3293</v>
      </c>
      <c r="C595" s="666" t="s">
        <v>3290</v>
      </c>
      <c r="D595" s="666" t="s">
        <v>298</v>
      </c>
      <c r="E595" s="666" t="s">
        <v>298</v>
      </c>
      <c r="F595" s="666"/>
      <c r="G595" s="666" t="s">
        <v>298</v>
      </c>
      <c r="H595" s="666" t="s">
        <v>298</v>
      </c>
      <c r="I595" s="666" t="s">
        <v>298</v>
      </c>
      <c r="J595" s="666"/>
      <c r="K595" s="666"/>
      <c r="L595" s="666">
        <v>163</v>
      </c>
      <c r="M595" s="666">
        <v>428.6</v>
      </c>
      <c r="N595" s="694">
        <v>428.59</v>
      </c>
      <c r="O595" s="695"/>
      <c r="P595" s="696">
        <v>416</v>
      </c>
      <c r="Q595" s="666" t="s">
        <v>3294</v>
      </c>
      <c r="R595" s="709">
        <f t="shared" si="142"/>
        <v>1436.19</v>
      </c>
      <c r="S595" s="708"/>
      <c r="T595" s="708"/>
    </row>
    <row r="596" spans="2:20" ht="15.75">
      <c r="B596" s="667" t="s">
        <v>3299</v>
      </c>
      <c r="C596" s="668"/>
      <c r="D596" s="668"/>
      <c r="E596" s="668"/>
      <c r="F596" s="668"/>
      <c r="G596" s="668"/>
      <c r="H596" s="668"/>
      <c r="I596" s="668"/>
      <c r="J596" s="668"/>
      <c r="K596" s="668"/>
      <c r="L596" s="668"/>
      <c r="M596" s="668"/>
      <c r="N596" s="668"/>
      <c r="O596" s="668"/>
      <c r="P596" s="668"/>
      <c r="Q596" s="668"/>
    </row>
    <row r="597" spans="2:20" ht="15.75">
      <c r="B597" s="669" t="s">
        <v>3300</v>
      </c>
      <c r="C597" s="668"/>
      <c r="D597" s="668"/>
      <c r="E597" s="668"/>
      <c r="F597" s="668"/>
      <c r="G597" s="668"/>
      <c r="H597" s="668"/>
      <c r="I597" s="668"/>
      <c r="J597" s="668"/>
      <c r="K597" s="668"/>
      <c r="L597" s="668"/>
      <c r="M597" s="668"/>
      <c r="N597" s="668"/>
      <c r="O597" s="668"/>
      <c r="P597" s="668"/>
      <c r="Q597" s="668"/>
    </row>
    <row r="600" spans="2:20" ht="23.25">
      <c r="B600" s="670"/>
      <c r="C600" s="3087" t="s">
        <v>3258</v>
      </c>
      <c r="D600" s="3088"/>
      <c r="E600" s="3088"/>
      <c r="F600" s="3088"/>
      <c r="G600" s="3088"/>
      <c r="H600" s="3088"/>
      <c r="I600" s="3089"/>
      <c r="J600" s="697"/>
      <c r="K600" s="697"/>
      <c r="L600" s="670"/>
      <c r="M600" s="698"/>
      <c r="N600" s="699"/>
    </row>
    <row r="601" spans="2:20" ht="23.25">
      <c r="B601" s="3096" t="s">
        <v>3259</v>
      </c>
      <c r="C601" s="3096" t="s">
        <v>3260</v>
      </c>
      <c r="D601" s="3096" t="s">
        <v>3261</v>
      </c>
      <c r="E601" s="3096" t="s">
        <v>3262</v>
      </c>
      <c r="F601" s="3096" t="s">
        <v>3263</v>
      </c>
      <c r="G601" s="3096" t="s">
        <v>3264</v>
      </c>
      <c r="H601" s="3096" t="s">
        <v>3265</v>
      </c>
      <c r="I601" s="671"/>
      <c r="J601" s="700"/>
      <c r="K601" s="671" t="s">
        <v>3301</v>
      </c>
      <c r="L601" s="3096" t="s">
        <v>3302</v>
      </c>
      <c r="M601" s="3096" t="s">
        <v>3303</v>
      </c>
      <c r="N601" s="699"/>
    </row>
    <row r="602" spans="2:20" ht="23.25">
      <c r="B602" s="3097"/>
      <c r="C602" s="3097"/>
      <c r="D602" s="3097"/>
      <c r="E602" s="3097"/>
      <c r="F602" s="3097"/>
      <c r="G602" s="3097"/>
      <c r="H602" s="3097"/>
      <c r="I602" s="672" t="s">
        <v>3268</v>
      </c>
      <c r="J602" s="672" t="s">
        <v>196</v>
      </c>
      <c r="K602" s="701"/>
      <c r="L602" s="3097"/>
      <c r="M602" s="3097"/>
      <c r="N602" s="699" t="s">
        <v>202</v>
      </c>
      <c r="O602" t="s">
        <v>3251</v>
      </c>
      <c r="P602" t="s">
        <v>493</v>
      </c>
    </row>
    <row r="603" spans="2:20" ht="15.75">
      <c r="B603" s="663" t="s">
        <v>3269</v>
      </c>
      <c r="C603" s="663" t="s">
        <v>3270</v>
      </c>
      <c r="D603" s="663" t="s">
        <v>3271</v>
      </c>
      <c r="E603" s="663" t="s">
        <v>3272</v>
      </c>
      <c r="F603" s="663">
        <v>3219</v>
      </c>
      <c r="G603" s="663">
        <v>1529</v>
      </c>
      <c r="H603" s="663">
        <v>2366</v>
      </c>
      <c r="I603" s="663">
        <v>2228</v>
      </c>
      <c r="J603" s="663">
        <v>2229</v>
      </c>
      <c r="K603" s="663">
        <v>2076</v>
      </c>
      <c r="L603" s="663">
        <v>2581</v>
      </c>
      <c r="M603" s="663">
        <v>2276</v>
      </c>
      <c r="N603" s="702">
        <v>2652</v>
      </c>
      <c r="O603" s="702">
        <v>1239</v>
      </c>
      <c r="P603" s="699">
        <f>SUM(E603:O603)</f>
        <v>22395</v>
      </c>
    </row>
    <row r="604" spans="2:20" ht="15.75">
      <c r="B604" s="663" t="s">
        <v>3273</v>
      </c>
      <c r="C604" s="663" t="s">
        <v>3274</v>
      </c>
      <c r="D604" s="663">
        <v>1069</v>
      </c>
      <c r="E604" s="663">
        <v>901</v>
      </c>
      <c r="F604" s="663">
        <v>1143</v>
      </c>
      <c r="G604" s="663">
        <v>476</v>
      </c>
      <c r="H604" s="663">
        <v>390</v>
      </c>
      <c r="I604" s="663">
        <v>527</v>
      </c>
      <c r="J604" s="663">
        <v>862</v>
      </c>
      <c r="K604" s="663">
        <v>963</v>
      </c>
      <c r="L604" s="663">
        <v>702</v>
      </c>
      <c r="M604" s="663">
        <v>1112</v>
      </c>
      <c r="N604" s="702">
        <v>1544</v>
      </c>
      <c r="O604" s="702">
        <v>1069</v>
      </c>
      <c r="P604" s="699">
        <f>SUM(E604:M604)</f>
        <v>7076</v>
      </c>
    </row>
    <row r="605" spans="2:20" ht="15.75">
      <c r="B605" s="663" t="s">
        <v>3276</v>
      </c>
      <c r="C605" s="663" t="s">
        <v>3277</v>
      </c>
      <c r="D605" s="663">
        <v>2095</v>
      </c>
      <c r="E605" s="663">
        <v>1744</v>
      </c>
      <c r="F605" s="663">
        <v>1730</v>
      </c>
      <c r="G605" s="663">
        <v>1330</v>
      </c>
      <c r="H605" s="663">
        <v>999</v>
      </c>
      <c r="I605" s="663">
        <v>1102</v>
      </c>
      <c r="J605" s="671">
        <v>1317</v>
      </c>
      <c r="K605" s="671">
        <v>1185</v>
      </c>
      <c r="L605" s="671">
        <v>1706</v>
      </c>
      <c r="M605" s="671">
        <v>1762</v>
      </c>
      <c r="N605" s="702">
        <v>2051</v>
      </c>
      <c r="O605" s="702">
        <v>1908</v>
      </c>
      <c r="P605" s="702">
        <v>1367</v>
      </c>
    </row>
    <row r="606" spans="2:20" ht="31.5">
      <c r="B606" s="673" t="s">
        <v>3279</v>
      </c>
      <c r="C606" s="663" t="s">
        <v>3280</v>
      </c>
      <c r="D606" s="663">
        <v>1.5</v>
      </c>
      <c r="E606" s="663">
        <v>8</v>
      </c>
      <c r="F606" s="663">
        <v>72.5</v>
      </c>
      <c r="G606" s="663">
        <v>159.5</v>
      </c>
      <c r="H606" s="663">
        <v>161.5</v>
      </c>
      <c r="I606" s="663">
        <v>172</v>
      </c>
      <c r="J606" s="672">
        <v>52</v>
      </c>
      <c r="K606" s="672">
        <v>53</v>
      </c>
      <c r="L606" s="672">
        <v>10</v>
      </c>
      <c r="M606" s="672">
        <v>68</v>
      </c>
      <c r="N606" s="703">
        <v>0</v>
      </c>
      <c r="O606" s="704">
        <v>0</v>
      </c>
      <c r="P606" s="699">
        <f>SUM(E606:M606)</f>
        <v>756.5</v>
      </c>
    </row>
    <row r="607" spans="2:20" ht="15.75">
      <c r="B607" s="663" t="s">
        <v>3281</v>
      </c>
      <c r="C607" s="663" t="s">
        <v>3282</v>
      </c>
      <c r="D607" s="663" t="s">
        <v>3283</v>
      </c>
      <c r="E607" s="663" t="s">
        <v>3284</v>
      </c>
      <c r="F607" s="663">
        <v>732</v>
      </c>
      <c r="G607" s="663">
        <v>0</v>
      </c>
      <c r="H607" s="663">
        <v>0</v>
      </c>
      <c r="I607" s="663">
        <v>1038</v>
      </c>
      <c r="J607" s="663">
        <v>576</v>
      </c>
      <c r="K607" s="663">
        <v>1440</v>
      </c>
      <c r="L607" s="663">
        <v>834</v>
      </c>
      <c r="M607" s="663">
        <v>1956</v>
      </c>
      <c r="N607" s="703">
        <v>1374</v>
      </c>
      <c r="O607" s="704">
        <v>0</v>
      </c>
      <c r="P607" s="699">
        <f>SUM(E607:O607)</f>
        <v>7950</v>
      </c>
    </row>
    <row r="608" spans="2:20" ht="15.75">
      <c r="B608" s="663" t="s">
        <v>3286</v>
      </c>
      <c r="C608" s="663" t="s">
        <v>3287</v>
      </c>
      <c r="D608" s="663">
        <v>840.18</v>
      </c>
      <c r="E608" s="663">
        <v>753.95</v>
      </c>
      <c r="F608" s="663">
        <v>1231.04</v>
      </c>
      <c r="G608" s="663">
        <v>2115.7199999999998</v>
      </c>
      <c r="H608" s="663">
        <v>1135.6400000000001</v>
      </c>
      <c r="I608" s="663">
        <v>1143.47</v>
      </c>
      <c r="J608" s="663">
        <v>1555</v>
      </c>
      <c r="K608" s="663">
        <v>1494</v>
      </c>
      <c r="L608" s="663">
        <v>1209</v>
      </c>
      <c r="M608" s="663" t="s">
        <v>3304</v>
      </c>
      <c r="N608" s="703">
        <v>1060</v>
      </c>
      <c r="O608" s="704">
        <v>853</v>
      </c>
      <c r="P608" s="699">
        <f>SUM(E608:O608)</f>
        <v>12550.82</v>
      </c>
    </row>
    <row r="609" spans="1:84" ht="23.25">
      <c r="B609" s="3090"/>
      <c r="C609" s="3091"/>
      <c r="D609" s="3091"/>
      <c r="E609" s="3091"/>
      <c r="F609" s="3091"/>
      <c r="G609" s="3091"/>
      <c r="H609" s="3091"/>
      <c r="I609" s="3091"/>
      <c r="J609" s="3091"/>
      <c r="K609" s="3091"/>
      <c r="L609" s="3092"/>
      <c r="M609" s="705"/>
      <c r="P609" s="699"/>
    </row>
    <row r="610" spans="1:84" ht="15.75">
      <c r="B610" s="663" t="s">
        <v>3289</v>
      </c>
      <c r="C610" s="663" t="s">
        <v>3290</v>
      </c>
      <c r="D610" s="663">
        <v>702.25</v>
      </c>
      <c r="E610" s="663">
        <v>690.79</v>
      </c>
      <c r="F610" s="663">
        <v>730.41</v>
      </c>
      <c r="G610" s="663">
        <v>779.7</v>
      </c>
      <c r="H610" s="663">
        <v>749.95</v>
      </c>
      <c r="I610" s="663">
        <v>752.42</v>
      </c>
      <c r="J610" s="663">
        <v>687</v>
      </c>
      <c r="K610" s="663">
        <v>667</v>
      </c>
      <c r="L610" s="663">
        <v>712</v>
      </c>
      <c r="M610" s="663">
        <v>773</v>
      </c>
      <c r="N610" s="703">
        <v>711.12</v>
      </c>
      <c r="O610" s="704">
        <v>569</v>
      </c>
      <c r="P610" s="699">
        <f>SUM(E610:O610)</f>
        <v>7822.3899999999994</v>
      </c>
    </row>
    <row r="611" spans="1:84" ht="31.5">
      <c r="B611" s="663" t="s">
        <v>3291</v>
      </c>
      <c r="C611" s="663"/>
      <c r="D611" s="663" t="s">
        <v>298</v>
      </c>
      <c r="E611" s="663" t="s">
        <v>298</v>
      </c>
      <c r="F611" s="663" t="s">
        <v>298</v>
      </c>
      <c r="G611" s="663">
        <v>386</v>
      </c>
      <c r="H611" s="663">
        <v>80</v>
      </c>
      <c r="I611" s="663">
        <v>488</v>
      </c>
      <c r="J611" s="663">
        <v>0</v>
      </c>
      <c r="K611" s="663">
        <v>135</v>
      </c>
      <c r="L611" s="663">
        <v>151</v>
      </c>
      <c r="M611" s="663">
        <v>136</v>
      </c>
      <c r="N611" s="702">
        <v>0</v>
      </c>
      <c r="O611" s="704">
        <v>0</v>
      </c>
      <c r="P611" s="699">
        <f>SUM(E611:O611)</f>
        <v>1376</v>
      </c>
    </row>
    <row r="612" spans="1:84" ht="31.5">
      <c r="B612" s="663" t="s">
        <v>3293</v>
      </c>
      <c r="C612" s="663" t="s">
        <v>3290</v>
      </c>
      <c r="D612" s="663" t="s">
        <v>298</v>
      </c>
      <c r="E612" s="663" t="s">
        <v>298</v>
      </c>
      <c r="F612" s="663" t="s">
        <v>298</v>
      </c>
      <c r="G612" s="663" t="s">
        <v>298</v>
      </c>
      <c r="H612" s="663" t="s">
        <v>298</v>
      </c>
      <c r="I612" s="663">
        <v>163</v>
      </c>
      <c r="J612" s="663">
        <v>428.6</v>
      </c>
      <c r="K612" s="663">
        <v>301</v>
      </c>
      <c r="L612" s="663">
        <v>619</v>
      </c>
      <c r="M612" s="663">
        <v>641</v>
      </c>
      <c r="N612" s="702">
        <v>462</v>
      </c>
      <c r="O612" s="704">
        <v>441</v>
      </c>
      <c r="P612" s="699">
        <f>SUM(E612:O612)</f>
        <v>3055.6</v>
      </c>
    </row>
    <row r="615" spans="1:84" ht="20.25">
      <c r="A615" s="3058" t="s">
        <v>3147</v>
      </c>
      <c r="B615" s="3059"/>
      <c r="C615" s="3059"/>
      <c r="D615" s="3059"/>
      <c r="E615" s="3059"/>
      <c r="F615" s="3059"/>
      <c r="G615" s="3059"/>
      <c r="H615" s="3059"/>
      <c r="I615" s="3059"/>
      <c r="J615" s="3059"/>
      <c r="K615" s="3059"/>
      <c r="L615" s="3059"/>
      <c r="M615" s="3059"/>
      <c r="N615" s="3059"/>
      <c r="O615" s="3059"/>
      <c r="P615" s="3059"/>
      <c r="Q615" s="3059"/>
      <c r="R615" s="3059"/>
      <c r="S615" s="3059"/>
      <c r="T615" s="3059"/>
      <c r="U615" s="3060"/>
      <c r="BY615" s="710"/>
      <c r="BZ615" s="710"/>
      <c r="CA615" s="3093" t="s">
        <v>2609</v>
      </c>
      <c r="CB615" s="3093"/>
      <c r="CC615" s="3093" t="s">
        <v>2610</v>
      </c>
      <c r="CD615" s="3093"/>
      <c r="CE615" s="3093" t="s">
        <v>2611</v>
      </c>
      <c r="CF615" s="3093"/>
    </row>
    <row r="616" spans="1:84" ht="24">
      <c r="A616" s="387"/>
      <c r="B616" s="388" t="s">
        <v>519</v>
      </c>
      <c r="C616" s="389" t="s">
        <v>722</v>
      </c>
      <c r="D616" s="389" t="s">
        <v>723</v>
      </c>
      <c r="E616" s="389" t="s">
        <v>2147</v>
      </c>
      <c r="F616" s="389" t="s">
        <v>2609</v>
      </c>
      <c r="G616" s="389" t="s">
        <v>725</v>
      </c>
      <c r="H616" s="389" t="s">
        <v>726</v>
      </c>
      <c r="I616" s="389" t="s">
        <v>727</v>
      </c>
      <c r="J616" s="389" t="s">
        <v>2610</v>
      </c>
      <c r="K616" s="389" t="s">
        <v>3148</v>
      </c>
      <c r="L616" s="389" t="s">
        <v>729</v>
      </c>
      <c r="M616" s="389" t="s">
        <v>730</v>
      </c>
      <c r="N616" s="389" t="s">
        <v>731</v>
      </c>
      <c r="O616" s="389" t="s">
        <v>2611</v>
      </c>
      <c r="P616" s="389" t="s">
        <v>732</v>
      </c>
      <c r="Q616" s="389" t="s">
        <v>733</v>
      </c>
      <c r="R616" s="389" t="s">
        <v>734</v>
      </c>
      <c r="S616" s="426" t="s">
        <v>2612</v>
      </c>
      <c r="T616" s="426" t="s">
        <v>3149</v>
      </c>
      <c r="U616" s="427" t="s">
        <v>23</v>
      </c>
      <c r="BY616" s="710"/>
      <c r="BZ616" s="710" t="s">
        <v>519</v>
      </c>
      <c r="CA616" s="710" t="s">
        <v>275</v>
      </c>
      <c r="CB616" s="710" t="s">
        <v>312</v>
      </c>
      <c r="CC616" s="710" t="s">
        <v>275</v>
      </c>
      <c r="CD616" s="710" t="s">
        <v>312</v>
      </c>
      <c r="CE616" s="710" t="s">
        <v>275</v>
      </c>
      <c r="CF616" s="710" t="s">
        <v>312</v>
      </c>
    </row>
    <row r="617" spans="1:84" ht="23.25">
      <c r="A617" s="390" t="s">
        <v>3085</v>
      </c>
      <c r="B617" s="342" t="s">
        <v>634</v>
      </c>
      <c r="C617" s="342">
        <v>441</v>
      </c>
      <c r="D617" s="342">
        <v>963</v>
      </c>
      <c r="E617" s="342">
        <v>749</v>
      </c>
      <c r="F617" s="342">
        <f>SUM(C617:E617)</f>
        <v>2153</v>
      </c>
      <c r="G617" s="342">
        <v>1299</v>
      </c>
      <c r="H617" s="342">
        <v>729</v>
      </c>
      <c r="I617" s="342">
        <v>480</v>
      </c>
      <c r="J617" s="342">
        <f>SUM(G617:I617)</f>
        <v>2508</v>
      </c>
      <c r="K617" s="342">
        <f>+J617+F617</f>
        <v>4661</v>
      </c>
      <c r="L617" s="342">
        <v>203</v>
      </c>
      <c r="M617" s="342">
        <v>893</v>
      </c>
      <c r="N617" s="342">
        <v>1342</v>
      </c>
      <c r="O617" s="342">
        <f>SUM(L617:N617)</f>
        <v>2438</v>
      </c>
      <c r="P617" s="342">
        <v>1030</v>
      </c>
      <c r="Q617" s="342">
        <v>1216</v>
      </c>
      <c r="R617" s="342">
        <v>827</v>
      </c>
      <c r="S617" s="342">
        <f>SUM(P617:R617)</f>
        <v>3073</v>
      </c>
      <c r="T617" s="428">
        <f>+O617</f>
        <v>2438</v>
      </c>
      <c r="U617" s="429">
        <f>S617+O617+J617+F617</f>
        <v>10172</v>
      </c>
      <c r="BY617" s="710" t="s">
        <v>36</v>
      </c>
      <c r="BZ617" s="710" t="s">
        <v>634</v>
      </c>
      <c r="CA617" s="710">
        <v>29846</v>
      </c>
      <c r="CB617" s="710">
        <v>25513</v>
      </c>
      <c r="CC617" s="710">
        <v>29869</v>
      </c>
      <c r="CD617" s="710">
        <v>25090</v>
      </c>
      <c r="CE617" s="710">
        <v>29849</v>
      </c>
      <c r="CF617" s="710">
        <v>29552</v>
      </c>
    </row>
    <row r="618" spans="1:84" ht="24">
      <c r="A618" s="390" t="s">
        <v>2341</v>
      </c>
      <c r="B618" s="342" t="s">
        <v>634</v>
      </c>
      <c r="C618" s="391">
        <v>831</v>
      </c>
      <c r="D618" s="391">
        <v>1833</v>
      </c>
      <c r="E618" s="391">
        <v>2336</v>
      </c>
      <c r="F618" s="342">
        <f>SUM(C618:E618)</f>
        <v>5000</v>
      </c>
      <c r="G618" s="342">
        <v>3116</v>
      </c>
      <c r="H618" s="342">
        <v>3409</v>
      </c>
      <c r="I618" s="342">
        <v>2833</v>
      </c>
      <c r="J618" s="342">
        <f>SUM(G618:I618)</f>
        <v>9358</v>
      </c>
      <c r="K618" s="342">
        <f>+J618+F618</f>
        <v>14358</v>
      </c>
      <c r="L618" s="342">
        <v>1867</v>
      </c>
      <c r="M618" s="342">
        <v>333</v>
      </c>
      <c r="N618" s="342">
        <v>2742</v>
      </c>
      <c r="O618" s="342">
        <f>SUM(L618:N618)</f>
        <v>4942</v>
      </c>
      <c r="P618" s="342">
        <v>68</v>
      </c>
      <c r="Q618" s="342">
        <v>271</v>
      </c>
      <c r="R618" s="342">
        <v>0</v>
      </c>
      <c r="S618" s="342">
        <f>SUM(P618:R618)</f>
        <v>339</v>
      </c>
      <c r="T618" s="428">
        <f>+O618</f>
        <v>4942</v>
      </c>
      <c r="U618" s="429">
        <f>S618+O618+J618+F618</f>
        <v>19639</v>
      </c>
      <c r="BY618" s="710" t="s">
        <v>3305</v>
      </c>
      <c r="BZ618" s="710" t="s">
        <v>634</v>
      </c>
      <c r="CA618" s="710">
        <v>36043</v>
      </c>
      <c r="CB618" s="710">
        <v>30941</v>
      </c>
      <c r="CC618" s="710">
        <v>36921</v>
      </c>
      <c r="CD618" s="710">
        <v>32238</v>
      </c>
      <c r="CE618" s="710">
        <v>36921</v>
      </c>
      <c r="CF618" s="710">
        <v>37383</v>
      </c>
    </row>
    <row r="619" spans="1:84" ht="23.25">
      <c r="A619" s="390" t="s">
        <v>3150</v>
      </c>
      <c r="B619" s="342" t="s">
        <v>634</v>
      </c>
      <c r="C619" s="342">
        <v>1116</v>
      </c>
      <c r="D619" s="342">
        <v>2172</v>
      </c>
      <c r="E619" s="342">
        <v>660</v>
      </c>
      <c r="F619" s="342">
        <f>SUM(C619:E619)</f>
        <v>3948</v>
      </c>
      <c r="G619" s="391">
        <v>1008</v>
      </c>
      <c r="H619" s="391">
        <v>1048</v>
      </c>
      <c r="I619" s="342">
        <v>768</v>
      </c>
      <c r="J619" s="342">
        <f>SUM(G619:I619)</f>
        <v>2824</v>
      </c>
      <c r="K619" s="342">
        <f>+J619+F619</f>
        <v>6772</v>
      </c>
      <c r="L619" s="342">
        <v>1278</v>
      </c>
      <c r="M619" s="342">
        <v>3078</v>
      </c>
      <c r="N619" s="342">
        <v>0</v>
      </c>
      <c r="O619" s="342">
        <f>SUM(L619:N619)</f>
        <v>4356</v>
      </c>
      <c r="P619" s="342">
        <v>0</v>
      </c>
      <c r="Q619" s="342">
        <v>2399</v>
      </c>
      <c r="R619" s="342">
        <v>222</v>
      </c>
      <c r="S619" s="342">
        <f>SUM(P619:R619)</f>
        <v>2621</v>
      </c>
      <c r="T619" s="428">
        <f>+O619</f>
        <v>4356</v>
      </c>
      <c r="U619" s="429">
        <f>S619+O619+J619+F619</f>
        <v>13749</v>
      </c>
      <c r="BY619" s="710" t="s">
        <v>37</v>
      </c>
      <c r="BZ619" s="710" t="s">
        <v>634</v>
      </c>
      <c r="CA619" s="710">
        <v>32668</v>
      </c>
      <c r="CB619" s="710">
        <v>27121</v>
      </c>
      <c r="CC619" s="710">
        <v>32810</v>
      </c>
      <c r="CD619" s="710">
        <v>27625</v>
      </c>
      <c r="CE619" s="710">
        <v>32705</v>
      </c>
      <c r="CF619" s="710">
        <v>31065</v>
      </c>
    </row>
    <row r="620" spans="1:84" ht="20.25">
      <c r="A620" s="341" t="s">
        <v>3151</v>
      </c>
      <c r="B620" s="342" t="s">
        <v>634</v>
      </c>
      <c r="C620" s="392">
        <v>3270.09</v>
      </c>
      <c r="D620" s="392">
        <v>1490</v>
      </c>
      <c r="E620" s="392">
        <v>756.96</v>
      </c>
      <c r="F620" s="342">
        <f>SUM(C620:E620)</f>
        <v>5517.05</v>
      </c>
      <c r="G620" s="392">
        <v>1012</v>
      </c>
      <c r="H620" s="392">
        <v>1327.47</v>
      </c>
      <c r="I620" s="392">
        <v>1305</v>
      </c>
      <c r="J620" s="342">
        <f>SUM(G620:I620)</f>
        <v>3644.4700000000003</v>
      </c>
      <c r="K620" s="342">
        <f>+J620+F620</f>
        <v>9161.52</v>
      </c>
      <c r="L620" s="392">
        <v>1357.01</v>
      </c>
      <c r="M620" s="392">
        <v>1337</v>
      </c>
      <c r="N620" s="392">
        <v>772</v>
      </c>
      <c r="O620" s="342">
        <f>SUM(L620:N620)</f>
        <v>3466.01</v>
      </c>
      <c r="P620" s="392">
        <v>1027</v>
      </c>
      <c r="Q620" s="392">
        <v>866.5</v>
      </c>
      <c r="R620" s="392">
        <v>479</v>
      </c>
      <c r="S620" s="342">
        <f>SUM(P620:R620)</f>
        <v>2372.5</v>
      </c>
      <c r="T620" s="428">
        <f>+O620</f>
        <v>3466.01</v>
      </c>
      <c r="U620" s="429">
        <f>S620+O620+J620+F620</f>
        <v>15000.029999999999</v>
      </c>
      <c r="BY620" s="710" t="s">
        <v>142</v>
      </c>
      <c r="BZ620" s="710" t="s">
        <v>634</v>
      </c>
      <c r="CA620" s="710">
        <v>33168</v>
      </c>
      <c r="CB620" s="710">
        <v>29389</v>
      </c>
      <c r="CC620" s="710">
        <v>33310</v>
      </c>
      <c r="CD620" s="710">
        <v>25357</v>
      </c>
      <c r="CE620" s="710">
        <v>33154</v>
      </c>
      <c r="CF620" s="710">
        <v>35010</v>
      </c>
    </row>
    <row r="621" spans="1:84" ht="20.25">
      <c r="A621" s="341" t="s">
        <v>3152</v>
      </c>
      <c r="B621" s="342" t="s">
        <v>3153</v>
      </c>
      <c r="C621" s="342">
        <v>1468</v>
      </c>
      <c r="D621" s="342">
        <v>2101</v>
      </c>
      <c r="E621" s="342">
        <v>1978</v>
      </c>
      <c r="F621" s="342"/>
      <c r="G621" s="342">
        <v>1848</v>
      </c>
      <c r="H621" s="342">
        <v>1926</v>
      </c>
      <c r="I621" s="342">
        <v>1680</v>
      </c>
      <c r="J621" s="342"/>
      <c r="K621" s="342"/>
      <c r="L621" s="342">
        <v>1405</v>
      </c>
      <c r="M621" s="342">
        <v>1260</v>
      </c>
      <c r="N621" s="342">
        <v>920</v>
      </c>
      <c r="O621" s="342"/>
      <c r="P621" s="413">
        <v>931</v>
      </c>
      <c r="Q621" s="342">
        <v>888</v>
      </c>
      <c r="R621" s="342">
        <v>559</v>
      </c>
      <c r="S621" s="342"/>
      <c r="T621" s="342"/>
      <c r="U621" s="430">
        <v>1389</v>
      </c>
    </row>
    <row r="625" spans="1:2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</row>
    <row r="626" spans="1:2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</row>
    <row r="627" spans="1:21" ht="20.25">
      <c r="A627" s="3058" t="s">
        <v>3154</v>
      </c>
      <c r="B627" s="3059"/>
      <c r="C627" s="3059"/>
      <c r="D627" s="3059"/>
      <c r="E627" s="3059"/>
      <c r="F627" s="3059"/>
      <c r="G627" s="3059"/>
      <c r="H627" s="3059"/>
      <c r="I627" s="3059"/>
      <c r="J627" s="3059"/>
      <c r="K627" s="3059"/>
      <c r="L627" s="3059"/>
      <c r="M627" s="3059"/>
      <c r="N627" s="3059"/>
      <c r="O627" s="3059"/>
      <c r="P627" s="3059"/>
      <c r="Q627" s="3059"/>
      <c r="R627" s="3059"/>
      <c r="S627" s="3059"/>
      <c r="T627" s="3059"/>
      <c r="U627" s="3060"/>
    </row>
    <row r="628" spans="1:21" ht="24">
      <c r="A628" s="393"/>
      <c r="B628" s="342" t="s">
        <v>519</v>
      </c>
      <c r="C628" s="394" t="s">
        <v>275</v>
      </c>
      <c r="D628" s="389" t="s">
        <v>722</v>
      </c>
      <c r="E628" s="389" t="s">
        <v>723</v>
      </c>
      <c r="F628" s="389" t="s">
        <v>2147</v>
      </c>
      <c r="G628" s="389" t="s">
        <v>2609</v>
      </c>
      <c r="H628" s="389" t="s">
        <v>725</v>
      </c>
      <c r="I628" s="389" t="s">
        <v>726</v>
      </c>
      <c r="J628" s="389" t="s">
        <v>727</v>
      </c>
      <c r="K628" s="389" t="s">
        <v>2610</v>
      </c>
      <c r="L628" s="389" t="s">
        <v>3148</v>
      </c>
      <c r="M628" s="389" t="s">
        <v>729</v>
      </c>
      <c r="N628" s="389" t="s">
        <v>730</v>
      </c>
      <c r="O628" s="389" t="s">
        <v>731</v>
      </c>
      <c r="P628" s="389" t="s">
        <v>2611</v>
      </c>
      <c r="Q628" s="389" t="s">
        <v>732</v>
      </c>
      <c r="R628" s="389" t="s">
        <v>733</v>
      </c>
      <c r="S628" s="389" t="s">
        <v>734</v>
      </c>
      <c r="T628" s="426" t="s">
        <v>2612</v>
      </c>
      <c r="U628" s="735" t="s">
        <v>121</v>
      </c>
    </row>
    <row r="629" spans="1:21" ht="23.25">
      <c r="A629" s="390" t="s">
        <v>3085</v>
      </c>
      <c r="B629" s="342" t="s">
        <v>634</v>
      </c>
      <c r="C629" s="342">
        <v>15000</v>
      </c>
      <c r="D629" s="342">
        <v>343</v>
      </c>
      <c r="E629" s="342">
        <v>651</v>
      </c>
      <c r="F629" s="342">
        <v>355</v>
      </c>
      <c r="G629" s="342">
        <f>SUM(D629:F629)</f>
        <v>1349</v>
      </c>
      <c r="H629" s="342">
        <v>733</v>
      </c>
      <c r="I629" s="342">
        <v>1256</v>
      </c>
      <c r="J629" s="342">
        <v>257</v>
      </c>
      <c r="K629" s="342">
        <f>SUM(H629:J629)</f>
        <v>2246</v>
      </c>
      <c r="L629" s="342">
        <f>+K629+G629</f>
        <v>3595</v>
      </c>
      <c r="M629" s="342">
        <v>987</v>
      </c>
      <c r="N629" s="391">
        <v>920</v>
      </c>
      <c r="O629" s="391">
        <v>917</v>
      </c>
      <c r="P629" s="342">
        <f>SUM(M629:O629)</f>
        <v>2824</v>
      </c>
      <c r="Q629" s="342">
        <v>1221</v>
      </c>
      <c r="R629" s="435">
        <v>987</v>
      </c>
      <c r="S629" s="435">
        <v>1069</v>
      </c>
      <c r="T629" s="342">
        <f>SUM(Q629:S629)</f>
        <v>3277</v>
      </c>
      <c r="U629" s="429">
        <f>S629+O629+J629+F629</f>
        <v>2598</v>
      </c>
    </row>
    <row r="630" spans="1:21" ht="23.25">
      <c r="A630" s="390" t="s">
        <v>2341</v>
      </c>
      <c r="B630" s="342" t="s">
        <v>634</v>
      </c>
      <c r="C630" s="391">
        <v>30000</v>
      </c>
      <c r="D630" s="391">
        <v>0</v>
      </c>
      <c r="E630" s="391">
        <v>2354.0009999999997</v>
      </c>
      <c r="F630" s="391">
        <v>2591</v>
      </c>
      <c r="G630" s="342">
        <f>SUM(D630:F630)</f>
        <v>4945.0010000000002</v>
      </c>
      <c r="H630" s="391">
        <v>2560</v>
      </c>
      <c r="I630" s="391">
        <v>3956.95</v>
      </c>
      <c r="J630" s="391">
        <v>1925.1</v>
      </c>
      <c r="K630" s="342">
        <f>SUM(H630:J630)</f>
        <v>8442.0499999999993</v>
      </c>
      <c r="L630" s="342">
        <f>+K630+G630</f>
        <v>13387.050999999999</v>
      </c>
      <c r="M630" s="391">
        <v>1065</v>
      </c>
      <c r="N630" s="391">
        <v>1185.9000000000003</v>
      </c>
      <c r="O630" s="391">
        <v>1229.5999999999999</v>
      </c>
      <c r="P630" s="391">
        <f>SUM(M630:O630)</f>
        <v>3480.5000000000005</v>
      </c>
      <c r="Q630" s="391">
        <v>2786.9</v>
      </c>
      <c r="R630" s="342">
        <v>2490</v>
      </c>
      <c r="S630" s="435">
        <v>2798</v>
      </c>
      <c r="T630" s="391">
        <f>SUM(Q630:S630)</f>
        <v>8074.9</v>
      </c>
      <c r="U630" s="429">
        <f>S630+O630+J630+F630</f>
        <v>8543.7000000000007</v>
      </c>
    </row>
    <row r="631" spans="1:21" ht="23.25">
      <c r="A631" s="395" t="s">
        <v>3150</v>
      </c>
      <c r="B631" s="396" t="s">
        <v>634</v>
      </c>
      <c r="C631" s="342">
        <v>14100</v>
      </c>
      <c r="D631" s="396">
        <v>810</v>
      </c>
      <c r="E631" s="396">
        <v>0</v>
      </c>
      <c r="F631" s="396">
        <v>0</v>
      </c>
      <c r="G631" s="342">
        <f>SUM(D631:F631)</f>
        <v>810</v>
      </c>
      <c r="H631" s="396">
        <v>196</v>
      </c>
      <c r="I631" s="396">
        <v>528</v>
      </c>
      <c r="J631" s="396">
        <v>2444</v>
      </c>
      <c r="K631" s="342">
        <f>SUM(H631:J631)</f>
        <v>3168</v>
      </c>
      <c r="L631" s="342">
        <f>+K631+G631</f>
        <v>3978</v>
      </c>
      <c r="M631" s="396">
        <v>0</v>
      </c>
      <c r="N631" s="396">
        <v>2262</v>
      </c>
      <c r="O631" s="396">
        <v>2304</v>
      </c>
      <c r="P631" s="391">
        <f>SUM(M631:O631)</f>
        <v>4566</v>
      </c>
      <c r="Q631" s="438">
        <v>1578</v>
      </c>
      <c r="R631" s="396">
        <v>1734</v>
      </c>
      <c r="S631" s="396">
        <v>2148</v>
      </c>
      <c r="T631" s="391">
        <f>SUM(Q631:S631)</f>
        <v>5460</v>
      </c>
      <c r="U631" s="429">
        <f>S631+O631+J631+F631</f>
        <v>6896</v>
      </c>
    </row>
    <row r="632" spans="1:21" ht="20.25">
      <c r="A632" s="341" t="s">
        <v>3151</v>
      </c>
      <c r="B632" s="342" t="s">
        <v>634</v>
      </c>
      <c r="C632" s="398">
        <v>12000</v>
      </c>
      <c r="D632" s="399">
        <v>107.71</v>
      </c>
      <c r="E632" s="399">
        <v>1051.45</v>
      </c>
      <c r="F632" s="399">
        <v>1137.72</v>
      </c>
      <c r="G632" s="342">
        <f>SUM(D632:F632)</f>
        <v>2296.88</v>
      </c>
      <c r="H632" s="399">
        <v>953.66000000000008</v>
      </c>
      <c r="I632" s="399">
        <v>1065</v>
      </c>
      <c r="J632" s="399">
        <v>1245</v>
      </c>
      <c r="K632" s="342">
        <f>SUM(H632:J632)</f>
        <v>3263.66</v>
      </c>
      <c r="L632" s="342">
        <f>+K632+G632</f>
        <v>5560.54</v>
      </c>
      <c r="M632" s="414">
        <v>1012.76</v>
      </c>
      <c r="N632" s="414">
        <v>835.5</v>
      </c>
      <c r="O632" s="414">
        <v>1007.83</v>
      </c>
      <c r="P632" s="391">
        <f>SUM(M632:O632)</f>
        <v>2856.09</v>
      </c>
      <c r="Q632" s="414">
        <v>764.24</v>
      </c>
      <c r="R632" s="414">
        <v>917.88</v>
      </c>
      <c r="S632" s="414">
        <v>840.18</v>
      </c>
      <c r="T632" s="391">
        <f>SUM(Q632:S632)</f>
        <v>2522.2999999999997</v>
      </c>
      <c r="U632" s="429">
        <f>S632+O632+J632+F632</f>
        <v>4230.7300000000005</v>
      </c>
    </row>
    <row r="633" spans="1:21" ht="20.25">
      <c r="A633" s="341" t="s">
        <v>3152</v>
      </c>
      <c r="B633" s="342" t="s">
        <v>3153</v>
      </c>
      <c r="C633" s="258">
        <v>3000</v>
      </c>
      <c r="D633" s="399">
        <v>0</v>
      </c>
      <c r="E633" s="399">
        <v>0</v>
      </c>
      <c r="F633" s="399">
        <v>0</v>
      </c>
      <c r="G633" s="399"/>
      <c r="H633" s="399">
        <v>373</v>
      </c>
      <c r="I633" s="399">
        <v>1712</v>
      </c>
      <c r="J633" s="399">
        <v>1525</v>
      </c>
      <c r="K633" s="399"/>
      <c r="L633" s="399"/>
      <c r="M633" s="414">
        <v>1622</v>
      </c>
      <c r="N633" s="414">
        <v>1590</v>
      </c>
      <c r="O633" s="414">
        <v>2157</v>
      </c>
      <c r="P633" s="414"/>
      <c r="Q633" s="414">
        <v>2090</v>
      </c>
      <c r="R633" s="414">
        <v>2082</v>
      </c>
      <c r="S633" s="414">
        <v>2095</v>
      </c>
      <c r="T633" s="440"/>
      <c r="U633" s="440"/>
    </row>
    <row r="634" spans="1:21" ht="23.25">
      <c r="A634" s="400"/>
      <c r="B634" s="337"/>
      <c r="C634" s="401"/>
      <c r="D634" s="401"/>
      <c r="E634" s="401"/>
      <c r="F634" s="401"/>
      <c r="G634" s="401"/>
      <c r="H634" s="401"/>
      <c r="I634" s="401"/>
      <c r="J634" s="401"/>
      <c r="K634" s="401"/>
      <c r="L634" s="415"/>
      <c r="M634" s="415"/>
      <c r="N634" s="401"/>
      <c r="O634" s="401"/>
      <c r="P634" s="401"/>
      <c r="Q634" s="442"/>
      <c r="R634" s="443"/>
      <c r="S634" s="443"/>
      <c r="T634" s="443"/>
      <c r="U634" s="444"/>
    </row>
    <row r="635" spans="1:21" ht="23.25">
      <c r="A635" s="400"/>
      <c r="B635" s="337"/>
      <c r="C635" s="337"/>
      <c r="D635" s="337"/>
      <c r="E635" s="337"/>
      <c r="F635" s="337"/>
      <c r="G635" s="337"/>
      <c r="H635" s="337"/>
      <c r="I635" s="337"/>
      <c r="J635" s="337"/>
      <c r="K635" s="337"/>
      <c r="L635" s="337"/>
      <c r="M635" s="337"/>
      <c r="N635" s="337"/>
      <c r="O635" s="337"/>
      <c r="P635" s="337"/>
      <c r="Q635" s="446"/>
      <c r="R635" s="337"/>
      <c r="S635" s="337"/>
      <c r="T635" s="337"/>
      <c r="U635" s="445"/>
    </row>
    <row r="636" spans="1:21" ht="20.25">
      <c r="A636" s="3058" t="s">
        <v>3157</v>
      </c>
      <c r="B636" s="3059"/>
      <c r="C636" s="3059"/>
      <c r="D636" s="3059"/>
      <c r="E636" s="3059"/>
      <c r="F636" s="3059"/>
      <c r="G636" s="3059"/>
      <c r="H636" s="3059"/>
      <c r="I636" s="3059"/>
      <c r="J636" s="3059"/>
      <c r="K636" s="3059"/>
      <c r="L636" s="3059"/>
      <c r="M636" s="3059"/>
      <c r="N636" s="3059"/>
      <c r="O636" s="3059"/>
      <c r="P636" s="3059"/>
      <c r="Q636" s="3059"/>
      <c r="R636" s="3059"/>
      <c r="S636" s="3059"/>
      <c r="T636" s="3059"/>
      <c r="U636" s="3060"/>
    </row>
    <row r="637" spans="1:21" ht="24">
      <c r="A637" s="390"/>
      <c r="B637" s="342" t="s">
        <v>519</v>
      </c>
      <c r="C637" s="394" t="s">
        <v>275</v>
      </c>
      <c r="D637" s="389" t="s">
        <v>722</v>
      </c>
      <c r="E637" s="389" t="s">
        <v>723</v>
      </c>
      <c r="F637" s="389" t="s">
        <v>2147</v>
      </c>
      <c r="G637" s="389" t="s">
        <v>2609</v>
      </c>
      <c r="H637" s="389" t="s">
        <v>725</v>
      </c>
      <c r="I637" s="389" t="s">
        <v>726</v>
      </c>
      <c r="J637" s="389" t="s">
        <v>727</v>
      </c>
      <c r="K637" s="389" t="s">
        <v>2610</v>
      </c>
      <c r="L637" s="389" t="s">
        <v>3148</v>
      </c>
      <c r="M637" s="389" t="s">
        <v>729</v>
      </c>
      <c r="N637" s="389" t="s">
        <v>730</v>
      </c>
      <c r="O637" s="389" t="s">
        <v>731</v>
      </c>
      <c r="P637" s="389" t="s">
        <v>2611</v>
      </c>
      <c r="Q637" s="389" t="s">
        <v>732</v>
      </c>
      <c r="R637" s="389" t="s">
        <v>733</v>
      </c>
      <c r="S637" s="389" t="s">
        <v>734</v>
      </c>
      <c r="T637" s="426" t="s">
        <v>2612</v>
      </c>
      <c r="U637" s="735" t="s">
        <v>2351</v>
      </c>
    </row>
    <row r="638" spans="1:21" ht="23.25">
      <c r="A638" s="390" t="s">
        <v>3085</v>
      </c>
      <c r="B638" s="342" t="s">
        <v>634</v>
      </c>
      <c r="C638" s="342">
        <v>24000</v>
      </c>
      <c r="D638" s="342">
        <v>901</v>
      </c>
      <c r="E638" s="342">
        <v>1143</v>
      </c>
      <c r="F638" s="342">
        <v>476</v>
      </c>
      <c r="G638" s="342">
        <f>SUM(D638:F638)</f>
        <v>2520</v>
      </c>
      <c r="H638" s="342">
        <v>390</v>
      </c>
      <c r="I638" s="342">
        <v>527</v>
      </c>
      <c r="J638" s="342">
        <v>862</v>
      </c>
      <c r="K638" s="342">
        <f>SUM(H638:J638)</f>
        <v>1779</v>
      </c>
      <c r="L638" s="342">
        <f>+K638+G638</f>
        <v>4299</v>
      </c>
      <c r="M638" s="342">
        <v>963</v>
      </c>
      <c r="N638" s="342">
        <v>702</v>
      </c>
      <c r="O638" s="342">
        <v>1112</v>
      </c>
      <c r="P638" s="342">
        <f>SUM(M638:O638)</f>
        <v>2777</v>
      </c>
      <c r="Q638" s="342">
        <v>1544</v>
      </c>
      <c r="R638" s="342">
        <v>1069</v>
      </c>
      <c r="S638" s="342">
        <v>1248</v>
      </c>
      <c r="T638" s="342">
        <f>SUM(Q638:S638)</f>
        <v>3861</v>
      </c>
      <c r="U638" s="429">
        <f>S638+O638+J638+F638</f>
        <v>3698</v>
      </c>
    </row>
    <row r="639" spans="1:21" ht="23.25">
      <c r="A639" s="390" t="s">
        <v>2341</v>
      </c>
      <c r="B639" s="342" t="s">
        <v>634</v>
      </c>
      <c r="C639" s="391">
        <v>30000</v>
      </c>
      <c r="D639" s="391">
        <v>2551</v>
      </c>
      <c r="E639" s="391">
        <v>3219</v>
      </c>
      <c r="F639" s="391">
        <v>1529</v>
      </c>
      <c r="G639" s="342">
        <f>SUM(D639:F639)</f>
        <v>7299</v>
      </c>
      <c r="H639" s="342">
        <v>2360.4899999999998</v>
      </c>
      <c r="I639" s="342">
        <v>2228</v>
      </c>
      <c r="J639" s="342">
        <v>2229</v>
      </c>
      <c r="K639" s="342">
        <f>SUM(H639:J639)</f>
        <v>6817.49</v>
      </c>
      <c r="L639" s="342">
        <f>+K639+G639</f>
        <v>14116.49</v>
      </c>
      <c r="M639" s="342">
        <v>2076</v>
      </c>
      <c r="N639" s="342">
        <v>2581</v>
      </c>
      <c r="O639" s="342">
        <v>2276</v>
      </c>
      <c r="P639" s="342">
        <f>SUM(M639:O639)</f>
        <v>6933</v>
      </c>
      <c r="Q639" s="342">
        <v>2652</v>
      </c>
      <c r="R639" s="342">
        <v>1239</v>
      </c>
      <c r="S639" s="342">
        <v>1986</v>
      </c>
      <c r="T639" s="342">
        <f>SUM(Q639:S639)</f>
        <v>5877</v>
      </c>
      <c r="U639" s="429">
        <f>S639+O639+J639+F639</f>
        <v>8020</v>
      </c>
    </row>
    <row r="640" spans="1:21" ht="23.25">
      <c r="A640" s="395" t="s">
        <v>3150</v>
      </c>
      <c r="B640" s="346" t="s">
        <v>634</v>
      </c>
      <c r="C640" s="342">
        <v>12000</v>
      </c>
      <c r="D640" s="346">
        <v>370</v>
      </c>
      <c r="E640" s="346">
        <v>732</v>
      </c>
      <c r="F640" s="346">
        <v>0</v>
      </c>
      <c r="G640" s="342">
        <f>SUM(D640:F640)</f>
        <v>1102</v>
      </c>
      <c r="H640" s="402">
        <v>0</v>
      </c>
      <c r="I640" s="391">
        <v>1038</v>
      </c>
      <c r="J640" s="342">
        <v>576</v>
      </c>
      <c r="K640" s="342">
        <f>SUM(H640:J640)</f>
        <v>1614</v>
      </c>
      <c r="L640" s="342">
        <f>+K640+G640</f>
        <v>2716</v>
      </c>
      <c r="M640" s="342">
        <v>1770</v>
      </c>
      <c r="N640" s="342">
        <v>834</v>
      </c>
      <c r="O640" s="342">
        <v>1956</v>
      </c>
      <c r="P640" s="342">
        <f>SUM(M640:O640)</f>
        <v>4560</v>
      </c>
      <c r="Q640" s="342">
        <v>1374</v>
      </c>
      <c r="R640" s="342">
        <v>0</v>
      </c>
      <c r="S640" s="342">
        <v>1122</v>
      </c>
      <c r="T640" s="342">
        <f>SUM(Q640:S640)</f>
        <v>2496</v>
      </c>
      <c r="U640" s="429">
        <f>S640+O640+J640+F640</f>
        <v>3654</v>
      </c>
    </row>
    <row r="641" spans="1:26" ht="20.25">
      <c r="A641" s="341" t="s">
        <v>3151</v>
      </c>
      <c r="B641" s="342" t="s">
        <v>634</v>
      </c>
      <c r="C641" s="398">
        <v>12000</v>
      </c>
      <c r="D641" s="398">
        <v>753.95</v>
      </c>
      <c r="E641" s="398">
        <v>1231</v>
      </c>
      <c r="F641" s="398">
        <v>2116</v>
      </c>
      <c r="G641" s="342">
        <f>SUM(D641:F641)</f>
        <v>4100.95</v>
      </c>
      <c r="H641" s="398">
        <v>1135.6400000000001</v>
      </c>
      <c r="I641" s="398">
        <v>1143.47</v>
      </c>
      <c r="J641" s="398">
        <v>1555.02</v>
      </c>
      <c r="K641" s="342">
        <f>SUM(H641:J641)</f>
        <v>3834.13</v>
      </c>
      <c r="L641" s="342">
        <f>+K641+G641</f>
        <v>7935.08</v>
      </c>
      <c r="M641" s="398">
        <v>1214.51</v>
      </c>
      <c r="N641" s="398">
        <v>1208.56</v>
      </c>
      <c r="O641" s="398">
        <v>1105.67</v>
      </c>
      <c r="P641" s="391">
        <f>SUM(M641:O641)</f>
        <v>3528.74</v>
      </c>
      <c r="Q641" s="398">
        <v>1060.22</v>
      </c>
      <c r="R641" s="398">
        <v>853</v>
      </c>
      <c r="S641" s="398">
        <v>1122.4000000000001</v>
      </c>
      <c r="T641" s="391">
        <f>SUM(Q641:S641)</f>
        <v>3035.62</v>
      </c>
      <c r="U641" s="429">
        <f>S641+O641+J641+F641</f>
        <v>5899.09</v>
      </c>
    </row>
    <row r="642" spans="1:26" ht="20.25">
      <c r="A642" s="403" t="s">
        <v>3152</v>
      </c>
      <c r="B642" s="346" t="s">
        <v>3153</v>
      </c>
      <c r="C642" s="258">
        <v>3000</v>
      </c>
      <c r="D642" s="346">
        <v>1744</v>
      </c>
      <c r="E642" s="346">
        <v>1730</v>
      </c>
      <c r="F642" s="346">
        <v>1330</v>
      </c>
      <c r="G642" s="346"/>
      <c r="H642" s="346">
        <v>999</v>
      </c>
      <c r="I642" s="346">
        <v>1102</v>
      </c>
      <c r="J642" s="346">
        <v>1317</v>
      </c>
      <c r="K642" s="346"/>
      <c r="L642" s="346"/>
      <c r="M642" s="346">
        <v>1185</v>
      </c>
      <c r="N642" s="346">
        <v>1706</v>
      </c>
      <c r="O642" s="346">
        <v>1762</v>
      </c>
      <c r="P642" s="346"/>
      <c r="Q642" s="447">
        <v>2051</v>
      </c>
      <c r="R642" s="346">
        <v>1908</v>
      </c>
      <c r="S642" s="346">
        <v>1038</v>
      </c>
      <c r="T642" s="448"/>
      <c r="U642" s="448"/>
    </row>
    <row r="643" spans="1:26" ht="20.25">
      <c r="A643" s="468"/>
      <c r="B643" s="337"/>
      <c r="C643" s="337"/>
      <c r="D643" s="337"/>
      <c r="E643" s="337"/>
      <c r="F643" s="337"/>
      <c r="G643" s="337"/>
      <c r="H643" s="337"/>
      <c r="I643" s="337"/>
      <c r="J643" s="337"/>
      <c r="K643" s="337"/>
      <c r="L643" s="337"/>
      <c r="M643" s="337"/>
      <c r="N643" s="337"/>
      <c r="O643" s="337"/>
      <c r="P643" s="446"/>
      <c r="Q643" s="337"/>
      <c r="R643" s="337"/>
      <c r="S643" s="475"/>
      <c r="T643" s="475"/>
      <c r="U643" s="337"/>
    </row>
    <row r="644" spans="1:26" ht="20.25">
      <c r="A644" s="3058" t="s">
        <v>3158</v>
      </c>
      <c r="B644" s="3059"/>
      <c r="C644" s="3059"/>
      <c r="D644" s="3059"/>
      <c r="E644" s="3059"/>
      <c r="F644" s="3059"/>
      <c r="G644" s="3059"/>
      <c r="H644" s="3059"/>
      <c r="I644" s="3059"/>
      <c r="J644" s="3059"/>
      <c r="K644" s="3059"/>
      <c r="L644" s="3059"/>
      <c r="M644" s="3059"/>
      <c r="N644" s="3059"/>
      <c r="O644" s="3059"/>
      <c r="P644" s="3059"/>
      <c r="Q644" s="3059"/>
      <c r="R644" s="3059"/>
      <c r="S644" s="3059"/>
      <c r="T644" s="3059"/>
      <c r="U644" s="3060"/>
    </row>
    <row r="645" spans="1:26" ht="24">
      <c r="A645" s="390"/>
      <c r="B645" s="342" t="s">
        <v>519</v>
      </c>
      <c r="C645" s="394" t="s">
        <v>275</v>
      </c>
      <c r="D645" s="389" t="s">
        <v>722</v>
      </c>
      <c r="E645" s="389" t="s">
        <v>723</v>
      </c>
      <c r="F645" s="389" t="s">
        <v>2147</v>
      </c>
      <c r="G645" s="389" t="s">
        <v>2609</v>
      </c>
      <c r="H645" s="389" t="s">
        <v>725</v>
      </c>
      <c r="I645" s="389" t="s">
        <v>726</v>
      </c>
      <c r="J645" s="389" t="s">
        <v>727</v>
      </c>
      <c r="K645" s="389" t="s">
        <v>2610</v>
      </c>
      <c r="L645" s="389" t="s">
        <v>3148</v>
      </c>
      <c r="M645" s="389" t="s">
        <v>729</v>
      </c>
      <c r="N645" s="389" t="s">
        <v>730</v>
      </c>
      <c r="O645" s="389" t="s">
        <v>731</v>
      </c>
      <c r="P645" s="389" t="s">
        <v>2611</v>
      </c>
      <c r="Q645" s="389" t="s">
        <v>732</v>
      </c>
      <c r="R645" s="389" t="s">
        <v>733</v>
      </c>
      <c r="S645" s="389" t="s">
        <v>734</v>
      </c>
      <c r="T645" s="426" t="s">
        <v>2612</v>
      </c>
      <c r="U645" s="735" t="s">
        <v>2412</v>
      </c>
      <c r="V645" s="736" t="s">
        <v>732</v>
      </c>
      <c r="W645" s="736" t="s">
        <v>733</v>
      </c>
      <c r="X645" s="736"/>
      <c r="Y645" s="736" t="s">
        <v>3206</v>
      </c>
      <c r="Z645" s="736" t="s">
        <v>809</v>
      </c>
    </row>
    <row r="646" spans="1:26" ht="23.25">
      <c r="A646" s="390" t="s">
        <v>3085</v>
      </c>
      <c r="B646" s="342" t="s">
        <v>634</v>
      </c>
      <c r="C646" s="342">
        <v>18000</v>
      </c>
      <c r="D646" s="342">
        <v>846</v>
      </c>
      <c r="E646" s="342">
        <v>2102</v>
      </c>
      <c r="F646" s="342">
        <v>1100</v>
      </c>
      <c r="G646" s="342">
        <f>SUM(D646:F646)</f>
        <v>4048</v>
      </c>
      <c r="H646" s="342">
        <v>956</v>
      </c>
      <c r="I646" s="342">
        <v>870</v>
      </c>
      <c r="J646" s="342">
        <v>718</v>
      </c>
      <c r="K646" s="342">
        <f>SUM(H646:J646)</f>
        <v>2544</v>
      </c>
      <c r="L646" s="342">
        <f>+K646+G646</f>
        <v>6592</v>
      </c>
      <c r="M646" s="342">
        <v>924</v>
      </c>
      <c r="N646" s="342">
        <v>1088</v>
      </c>
      <c r="O646" s="342">
        <v>858</v>
      </c>
      <c r="P646" s="342">
        <f>SUM(M646:O646)</f>
        <v>2870</v>
      </c>
      <c r="Q646" s="342">
        <v>678</v>
      </c>
      <c r="R646" s="342">
        <v>479</v>
      </c>
      <c r="S646" s="342">
        <v>1970</v>
      </c>
      <c r="T646" s="342">
        <f>SUM(Q646:S646)</f>
        <v>3127</v>
      </c>
      <c r="U646" s="429">
        <f>+P646+L646+Q646+R646+S646</f>
        <v>12589</v>
      </c>
      <c r="V646" s="342">
        <v>678</v>
      </c>
      <c r="W646" s="342">
        <v>479</v>
      </c>
      <c r="X646" s="342"/>
      <c r="Y646" s="342">
        <v>1974</v>
      </c>
      <c r="Z646" s="744" t="e">
        <f t="shared" ref="Z646:Z655" si="143">+L646+#REF!+V646+W646+Y646</f>
        <v>#REF!</v>
      </c>
    </row>
    <row r="647" spans="1:26" ht="23.25">
      <c r="A647" s="390" t="s">
        <v>2341</v>
      </c>
      <c r="B647" s="342" t="s">
        <v>634</v>
      </c>
      <c r="C647" s="391">
        <v>30000</v>
      </c>
      <c r="D647" s="711">
        <v>1311.8</v>
      </c>
      <c r="E647" s="711">
        <v>1456</v>
      </c>
      <c r="F647" s="711">
        <v>1924</v>
      </c>
      <c r="G647" s="342">
        <f>SUM(D647:F647)</f>
        <v>4691.8</v>
      </c>
      <c r="H647" s="391">
        <v>1654</v>
      </c>
      <c r="I647" s="391">
        <v>2953</v>
      </c>
      <c r="J647" s="391">
        <v>1762</v>
      </c>
      <c r="K647" s="342">
        <f>SUM(H647:J647)</f>
        <v>6369</v>
      </c>
      <c r="L647" s="342">
        <f>+K647+G647</f>
        <v>11060.8</v>
      </c>
      <c r="M647" s="711">
        <v>3662.8999999999996</v>
      </c>
      <c r="N647" s="711">
        <v>3588.11</v>
      </c>
      <c r="O647" s="711">
        <v>3991.43</v>
      </c>
      <c r="P647" s="342">
        <f>SUM(M647:O647)</f>
        <v>11242.44</v>
      </c>
      <c r="Q647" s="711">
        <v>3475.4999999999995</v>
      </c>
      <c r="R647" s="711">
        <v>3641.5</v>
      </c>
      <c r="S647" s="391">
        <v>4504</v>
      </c>
      <c r="T647" s="342">
        <f>SUM(Q647:S647)</f>
        <v>11621</v>
      </c>
      <c r="U647" s="429">
        <f>+P647+L647+Q647+R647+S647</f>
        <v>33924.239999999998</v>
      </c>
      <c r="V647" s="342">
        <v>3476</v>
      </c>
      <c r="W647" s="342">
        <v>3642</v>
      </c>
      <c r="X647" s="342"/>
      <c r="Y647" s="342">
        <v>4504</v>
      </c>
      <c r="Z647" s="744" t="e">
        <f t="shared" si="143"/>
        <v>#REF!</v>
      </c>
    </row>
    <row r="648" spans="1:26" ht="23.25">
      <c r="A648" s="395" t="s">
        <v>3150</v>
      </c>
      <c r="B648" s="346" t="s">
        <v>634</v>
      </c>
      <c r="C648" s="342">
        <v>10000</v>
      </c>
      <c r="D648" s="346">
        <v>684</v>
      </c>
      <c r="E648" s="346">
        <v>3748</v>
      </c>
      <c r="F648" s="346">
        <v>438</v>
      </c>
      <c r="G648" s="342">
        <f>SUM(D648:F648)</f>
        <v>4870</v>
      </c>
      <c r="H648" s="346">
        <v>120</v>
      </c>
      <c r="I648" s="346">
        <v>102</v>
      </c>
      <c r="J648" s="346">
        <v>1380</v>
      </c>
      <c r="K648" s="342">
        <f>SUM(H648:J648)</f>
        <v>1602</v>
      </c>
      <c r="L648" s="342">
        <f>+K648+G648</f>
        <v>6472</v>
      </c>
      <c r="M648" s="346">
        <v>0</v>
      </c>
      <c r="N648" s="346">
        <v>1037</v>
      </c>
      <c r="O648" s="346">
        <v>954</v>
      </c>
      <c r="P648" s="342">
        <f>SUM(M648:O648)</f>
        <v>1991</v>
      </c>
      <c r="Q648" s="346">
        <v>1284</v>
      </c>
      <c r="R648" s="346">
        <v>1086</v>
      </c>
      <c r="S648" s="346">
        <v>1086</v>
      </c>
      <c r="T648" s="342">
        <f>SUM(Q648:S648)</f>
        <v>3456</v>
      </c>
      <c r="U648" s="429">
        <f>+P648+L648+Q648+R648+S648</f>
        <v>11919</v>
      </c>
      <c r="V648" s="342">
        <v>660</v>
      </c>
      <c r="W648" s="342">
        <v>0</v>
      </c>
      <c r="X648" s="342"/>
      <c r="Y648" s="342">
        <v>1086</v>
      </c>
      <c r="Z648" s="744" t="e">
        <f t="shared" si="143"/>
        <v>#REF!</v>
      </c>
    </row>
    <row r="649" spans="1:26" ht="20.25">
      <c r="A649" s="341" t="s">
        <v>3151</v>
      </c>
      <c r="B649" s="342" t="s">
        <v>634</v>
      </c>
      <c r="C649" s="398">
        <v>9000</v>
      </c>
      <c r="D649" s="398">
        <v>1061</v>
      </c>
      <c r="E649" s="398">
        <v>888</v>
      </c>
      <c r="F649" s="398">
        <v>943</v>
      </c>
      <c r="G649" s="342">
        <f>SUM(D649:F649)</f>
        <v>2892</v>
      </c>
      <c r="H649" s="398">
        <v>2230</v>
      </c>
      <c r="I649" s="398">
        <v>1784</v>
      </c>
      <c r="J649" s="398">
        <v>1369</v>
      </c>
      <c r="K649" s="342">
        <f>SUM(H649:J649)</f>
        <v>5383</v>
      </c>
      <c r="L649" s="342">
        <f>+K649+G649</f>
        <v>8275</v>
      </c>
      <c r="M649" s="398">
        <v>1413</v>
      </c>
      <c r="N649" s="398">
        <f>1560.67+145.65</f>
        <v>1706.3200000000002</v>
      </c>
      <c r="O649" s="398">
        <v>1968</v>
      </c>
      <c r="P649" s="391">
        <f>SUM(M649:O649)</f>
        <v>5087.32</v>
      </c>
      <c r="Q649" s="398">
        <v>3070</v>
      </c>
      <c r="R649" s="398">
        <f>1126+481</f>
        <v>1607</v>
      </c>
      <c r="S649" s="398">
        <v>0</v>
      </c>
      <c r="T649" s="391">
        <f>SUM(Q649:S649)</f>
        <v>4677</v>
      </c>
      <c r="U649" s="429">
        <f>+P649+L649+Q649+R649+S649</f>
        <v>18039.32</v>
      </c>
      <c r="V649" s="342"/>
      <c r="W649" s="342"/>
      <c r="X649" s="342"/>
      <c r="Y649" s="342"/>
      <c r="Z649" s="744" t="e">
        <f t="shared" si="143"/>
        <v>#REF!</v>
      </c>
    </row>
    <row r="650" spans="1:26" ht="20.25">
      <c r="A650" s="403" t="s">
        <v>3152</v>
      </c>
      <c r="B650" s="346" t="s">
        <v>3153</v>
      </c>
      <c r="C650" s="258">
        <v>2000</v>
      </c>
      <c r="D650" s="346">
        <v>1234</v>
      </c>
      <c r="E650" s="346">
        <v>1217</v>
      </c>
      <c r="F650" s="346">
        <v>1346</v>
      </c>
      <c r="G650" s="346">
        <v>1265</v>
      </c>
      <c r="H650" s="346">
        <v>1241</v>
      </c>
      <c r="I650" s="346">
        <v>1166</v>
      </c>
      <c r="J650" s="346">
        <v>788</v>
      </c>
      <c r="K650" s="346"/>
      <c r="L650" s="346">
        <v>1265</v>
      </c>
      <c r="M650" s="346">
        <v>1619</v>
      </c>
      <c r="N650" s="346">
        <v>1773</v>
      </c>
      <c r="O650" s="346">
        <v>1968</v>
      </c>
      <c r="P650" s="346">
        <v>0</v>
      </c>
      <c r="Q650" s="396">
        <v>2360</v>
      </c>
      <c r="R650" s="346">
        <v>1846</v>
      </c>
      <c r="S650" s="346">
        <v>2451</v>
      </c>
      <c r="T650" s="448"/>
      <c r="U650" s="448">
        <v>1444</v>
      </c>
      <c r="V650" s="342"/>
      <c r="W650" s="342"/>
      <c r="X650" s="342"/>
      <c r="Y650" s="342"/>
      <c r="Z650" s="744" t="e">
        <f t="shared" si="143"/>
        <v>#REF!</v>
      </c>
    </row>
    <row r="651" spans="1:26" ht="20.25">
      <c r="A651" s="617" t="s">
        <v>3247</v>
      </c>
      <c r="B651" s="712" t="s">
        <v>634</v>
      </c>
      <c r="C651" s="84"/>
      <c r="D651" s="712">
        <v>963.65599999999995</v>
      </c>
      <c r="E651" s="712">
        <v>1046.82</v>
      </c>
      <c r="F651" s="712">
        <v>1117.9000000000001</v>
      </c>
      <c r="G651" s="342">
        <f>SUM(D651:F651)</f>
        <v>3128.3760000000002</v>
      </c>
      <c r="H651" s="712">
        <v>999.3</v>
      </c>
      <c r="I651" s="712">
        <v>1705.9</v>
      </c>
      <c r="J651" s="712">
        <v>1297.768</v>
      </c>
      <c r="K651" s="342">
        <f>SUM(H651:J651)</f>
        <v>4002.9679999999998</v>
      </c>
      <c r="L651" s="342">
        <f>+K651+G651</f>
        <v>7131.3440000000001</v>
      </c>
      <c r="M651" s="712">
        <v>2106</v>
      </c>
      <c r="N651" s="712">
        <v>2426.75</v>
      </c>
      <c r="O651" s="337">
        <v>2205</v>
      </c>
      <c r="P651" s="342">
        <f>SUM(M651:O651)</f>
        <v>6737.75</v>
      </c>
      <c r="Q651" s="258">
        <v>1998</v>
      </c>
      <c r="R651" s="84">
        <v>1638</v>
      </c>
      <c r="S651" s="84">
        <v>3888</v>
      </c>
      <c r="T651" s="342">
        <f>SUM(Q651:S651)</f>
        <v>7524</v>
      </c>
      <c r="U651" s="429">
        <f>+P651+L651+Q651+R651+S651</f>
        <v>21393.094000000001</v>
      </c>
      <c r="V651" s="342">
        <v>1987.9</v>
      </c>
      <c r="W651" s="342">
        <v>1942.93</v>
      </c>
      <c r="X651" s="342"/>
      <c r="Y651" s="342">
        <v>2937.8</v>
      </c>
      <c r="Z651" s="744" t="e">
        <f t="shared" si="143"/>
        <v>#REF!</v>
      </c>
    </row>
    <row r="652" spans="1:26" ht="20.25">
      <c r="A652" s="617" t="s">
        <v>3306</v>
      </c>
      <c r="B652" s="84"/>
      <c r="C652" s="84"/>
      <c r="D652" s="712">
        <v>973.37</v>
      </c>
      <c r="E652" s="712">
        <v>283.54000000000002</v>
      </c>
      <c r="F652" s="712">
        <v>928.29</v>
      </c>
      <c r="G652" s="712">
        <f>SUM(D652:F652)</f>
        <v>2185.1999999999998</v>
      </c>
      <c r="H652" s="712">
        <v>872.4</v>
      </c>
      <c r="I652" s="712">
        <v>1316.7</v>
      </c>
      <c r="J652" s="712">
        <f>341.8+177.5+43.7</f>
        <v>563</v>
      </c>
      <c r="K652" s="712">
        <f>SUM(H652:J652)</f>
        <v>2752.1</v>
      </c>
      <c r="L652" s="712">
        <f>+K652+G652</f>
        <v>4937.2999999999993</v>
      </c>
      <c r="M652" s="712">
        <v>987.67</v>
      </c>
      <c r="N652" s="712">
        <v>0</v>
      </c>
      <c r="O652" s="352">
        <v>254.65</v>
      </c>
      <c r="P652" s="712">
        <f>SUM(M652:O652)</f>
        <v>1242.32</v>
      </c>
      <c r="Q652" s="258">
        <v>746.99</v>
      </c>
      <c r="R652" s="84">
        <v>172</v>
      </c>
      <c r="S652" s="84">
        <v>285</v>
      </c>
      <c r="T652" s="342">
        <f>SUM(Q652:S652)</f>
        <v>1203.99</v>
      </c>
      <c r="U652" s="429">
        <f>+P652+L652+Q652+R652+S652</f>
        <v>7383.6099999999988</v>
      </c>
      <c r="V652" s="342">
        <v>728.88</v>
      </c>
      <c r="W652" s="342">
        <v>171.64</v>
      </c>
      <c r="X652" s="342"/>
      <c r="Y652" s="342">
        <v>385.69</v>
      </c>
      <c r="Z652" s="744" t="e">
        <f t="shared" si="143"/>
        <v>#REF!</v>
      </c>
    </row>
    <row r="653" spans="1:26" ht="20.25">
      <c r="A653" s="617" t="s">
        <v>3307</v>
      </c>
      <c r="B653" s="84"/>
      <c r="C653" s="84"/>
      <c r="D653" s="712">
        <v>236.27</v>
      </c>
      <c r="E653" s="712">
        <v>0</v>
      </c>
      <c r="F653" s="712">
        <v>332.32</v>
      </c>
      <c r="G653" s="712">
        <f>SUM(D653:F653)</f>
        <v>568.59</v>
      </c>
      <c r="H653" s="712">
        <v>0</v>
      </c>
      <c r="I653" s="712">
        <v>733.59</v>
      </c>
      <c r="J653" s="712">
        <v>300.16000000000003</v>
      </c>
      <c r="K653" s="712">
        <f>SUM(H653:J653)</f>
        <v>1033.75</v>
      </c>
      <c r="L653" s="712">
        <f>+K653+G653</f>
        <v>1602.3400000000001</v>
      </c>
      <c r="M653" s="712">
        <v>0</v>
      </c>
      <c r="N653" s="712">
        <v>0</v>
      </c>
      <c r="O653" s="352">
        <f>936.95-155.59-47.89</f>
        <v>733.47</v>
      </c>
      <c r="P653" s="712">
        <f>SUM(M653:O653)</f>
        <v>733.47</v>
      </c>
      <c r="Q653" s="258">
        <v>433.68</v>
      </c>
      <c r="R653" s="84">
        <v>181</v>
      </c>
      <c r="S653" s="84">
        <v>987</v>
      </c>
      <c r="T653" s="342">
        <f>SUM(Q653:S653)</f>
        <v>1601.68</v>
      </c>
      <c r="U653" s="429">
        <f>+P653+L653+Q653+R653+S653</f>
        <v>3937.4900000000002</v>
      </c>
      <c r="V653" s="342">
        <v>433.68</v>
      </c>
      <c r="W653" s="342">
        <v>180.98</v>
      </c>
      <c r="X653" s="342"/>
      <c r="Y653" s="342">
        <v>987.49</v>
      </c>
      <c r="Z653" s="744" t="e">
        <f t="shared" si="143"/>
        <v>#REF!</v>
      </c>
    </row>
    <row r="654" spans="1:26" ht="20.25">
      <c r="A654" s="713" t="s">
        <v>3308</v>
      </c>
      <c r="D654" s="337">
        <v>752.15</v>
      </c>
      <c r="E654" s="337">
        <v>681.97</v>
      </c>
      <c r="F654" s="337">
        <v>900.57</v>
      </c>
      <c r="G654" s="342">
        <f>SUM(D654:F654)</f>
        <v>2334.69</v>
      </c>
      <c r="H654" s="337">
        <v>1531.79</v>
      </c>
      <c r="I654" s="337">
        <v>637.54999999999995</v>
      </c>
      <c r="J654" s="337">
        <v>1105.1500000000001</v>
      </c>
      <c r="K654" s="342">
        <f>SUM(H654:J654)</f>
        <v>3274.4900000000002</v>
      </c>
      <c r="L654" s="342">
        <f>+K654+G654</f>
        <v>5609.18</v>
      </c>
      <c r="M654" s="337">
        <v>629.51</v>
      </c>
      <c r="N654" s="337">
        <v>921.61099999999999</v>
      </c>
      <c r="O654" s="337">
        <v>815.6</v>
      </c>
      <c r="P654" s="342">
        <f>SUM(M654:O654)</f>
        <v>2366.721</v>
      </c>
      <c r="Q654" s="133">
        <v>766.66</v>
      </c>
      <c r="R654" s="84">
        <v>1020</v>
      </c>
      <c r="S654" s="84">
        <v>1601.42</v>
      </c>
      <c r="T654" s="342">
        <f>SUM(Q654:S654)</f>
        <v>3388.08</v>
      </c>
      <c r="U654" s="429">
        <f>+P654+L654+Q654+R654+S654</f>
        <v>11363.981</v>
      </c>
      <c r="V654" s="342">
        <v>745.87</v>
      </c>
      <c r="W654" s="342">
        <v>1030.9100000000001</v>
      </c>
      <c r="X654" s="342"/>
      <c r="Y654" s="342">
        <v>1601.42</v>
      </c>
      <c r="Z654" s="744" t="e">
        <f t="shared" si="143"/>
        <v>#REF!</v>
      </c>
    </row>
    <row r="655" spans="1:26" ht="20.25">
      <c r="A655" s="713" t="s">
        <v>3309</v>
      </c>
      <c r="D655" s="337">
        <v>543.11</v>
      </c>
      <c r="E655" s="337">
        <v>260.99</v>
      </c>
      <c r="F655" s="337">
        <v>980.87</v>
      </c>
      <c r="G655" s="342">
        <f>SUM(D655:F655)</f>
        <v>1784.97</v>
      </c>
      <c r="H655" s="337">
        <v>787.48</v>
      </c>
      <c r="I655" s="337">
        <v>71.900000000000006</v>
      </c>
      <c r="J655" s="337">
        <v>1053.75</v>
      </c>
      <c r="K655" s="342">
        <f>SUM(H655:J655)</f>
        <v>1913.13</v>
      </c>
      <c r="L655" s="342">
        <f>+K655+G655</f>
        <v>3698.1000000000004</v>
      </c>
      <c r="M655" s="337">
        <v>790.15</v>
      </c>
      <c r="N655" s="337">
        <v>609.74</v>
      </c>
      <c r="O655" s="337">
        <v>569.57000000000005</v>
      </c>
      <c r="P655" s="342">
        <f>SUM(M655:O655)</f>
        <v>1969.46</v>
      </c>
      <c r="Q655" s="133">
        <v>426.8</v>
      </c>
      <c r="R655" s="84">
        <v>707.5</v>
      </c>
      <c r="S655" s="84">
        <v>810.32</v>
      </c>
      <c r="T655" s="342">
        <f>SUM(Q655:S655)</f>
        <v>1944.62</v>
      </c>
      <c r="U655" s="429">
        <f>+P655+L655+Q655+R655+S655</f>
        <v>7612.18</v>
      </c>
      <c r="V655" s="342">
        <v>594.26</v>
      </c>
      <c r="W655" s="342">
        <v>927.19</v>
      </c>
      <c r="X655" s="342"/>
      <c r="Y655" s="342">
        <v>932</v>
      </c>
      <c r="Z655" s="744" t="e">
        <f t="shared" si="143"/>
        <v>#REF!</v>
      </c>
    </row>
    <row r="656" spans="1:26" ht="20.25">
      <c r="V656" s="342"/>
      <c r="W656" s="342"/>
      <c r="X656" s="342"/>
      <c r="Y656" s="342"/>
      <c r="Z656" s="342">
        <f>+L656+M656+N656+O656+V656+W656+Y656</f>
        <v>0</v>
      </c>
    </row>
    <row r="657" spans="1:31" ht="20.25">
      <c r="A657" s="3058" t="s">
        <v>3310</v>
      </c>
      <c r="B657" s="3059"/>
      <c r="C657" s="3059"/>
      <c r="D657" s="3059"/>
      <c r="E657" s="3059"/>
      <c r="F657" s="3059"/>
      <c r="G657" s="3059"/>
      <c r="H657" s="3059"/>
      <c r="I657" s="3059"/>
      <c r="J657" s="3059"/>
      <c r="K657" s="3059"/>
      <c r="L657" s="3059"/>
      <c r="M657" s="3059"/>
      <c r="N657" s="3059"/>
      <c r="O657" s="3059"/>
      <c r="P657" s="3059"/>
      <c r="Q657" s="3059"/>
      <c r="R657" s="3059"/>
      <c r="S657" s="3059"/>
      <c r="T657" s="3059"/>
      <c r="U657" s="3060"/>
    </row>
    <row r="658" spans="1:31" ht="24">
      <c r="A658" s="390"/>
      <c r="B658" s="342" t="s">
        <v>519</v>
      </c>
      <c r="C658" s="394" t="s">
        <v>275</v>
      </c>
      <c r="D658" s="389" t="s">
        <v>722</v>
      </c>
      <c r="E658" s="389" t="s">
        <v>723</v>
      </c>
      <c r="F658" s="389" t="s">
        <v>2147</v>
      </c>
      <c r="G658" s="389" t="s">
        <v>2609</v>
      </c>
      <c r="H658" s="389" t="s">
        <v>725</v>
      </c>
      <c r="I658" s="389" t="s">
        <v>726</v>
      </c>
      <c r="J658" s="389" t="s">
        <v>727</v>
      </c>
      <c r="K658" s="389" t="s">
        <v>2610</v>
      </c>
      <c r="L658" s="389" t="s">
        <v>3148</v>
      </c>
      <c r="M658" s="389" t="s">
        <v>729</v>
      </c>
      <c r="N658" s="389" t="s">
        <v>730</v>
      </c>
      <c r="O658" s="389" t="s">
        <v>731</v>
      </c>
      <c r="P658" s="389" t="s">
        <v>2611</v>
      </c>
      <c r="Q658" s="389" t="s">
        <v>732</v>
      </c>
      <c r="R658" s="389" t="s">
        <v>733</v>
      </c>
      <c r="S658" s="389" t="s">
        <v>734</v>
      </c>
      <c r="T658" s="426" t="s">
        <v>2612</v>
      </c>
      <c r="U658" s="735" t="s">
        <v>2411</v>
      </c>
      <c r="V658" s="342" t="s">
        <v>732</v>
      </c>
      <c r="W658" s="342" t="s">
        <v>733</v>
      </c>
      <c r="X658" s="342"/>
      <c r="Y658" s="342" t="s">
        <v>3206</v>
      </c>
      <c r="Z658" s="342" t="s">
        <v>809</v>
      </c>
    </row>
    <row r="659" spans="1:31" ht="23.25">
      <c r="A659" s="390" t="s">
        <v>3085</v>
      </c>
      <c r="B659" s="342" t="s">
        <v>634</v>
      </c>
      <c r="C659" s="342">
        <v>18000</v>
      </c>
      <c r="D659" s="342">
        <v>2106</v>
      </c>
      <c r="E659" s="342">
        <v>1415</v>
      </c>
      <c r="F659" s="342">
        <v>1119</v>
      </c>
      <c r="G659" s="342">
        <f>SUM(D659:F659)</f>
        <v>4640</v>
      </c>
      <c r="H659" s="342">
        <v>1790</v>
      </c>
      <c r="I659" s="342">
        <v>1946</v>
      </c>
      <c r="J659" s="342">
        <v>628</v>
      </c>
      <c r="K659" s="342">
        <f>SUM(H659:J659)</f>
        <v>4364</v>
      </c>
      <c r="L659" s="342">
        <f>+K659+G659</f>
        <v>9004</v>
      </c>
      <c r="M659" s="342">
        <v>1248</v>
      </c>
      <c r="N659" s="391">
        <f>14464-13809</f>
        <v>655</v>
      </c>
      <c r="O659" s="342">
        <v>874</v>
      </c>
      <c r="P659" s="342">
        <f>SUM(M659:O659)</f>
        <v>2777</v>
      </c>
      <c r="Q659" s="391">
        <v>1279</v>
      </c>
      <c r="R659" s="342">
        <v>803</v>
      </c>
      <c r="S659" s="342">
        <v>601</v>
      </c>
      <c r="T659" s="342">
        <f>SUM(Q659:S659)</f>
        <v>2683</v>
      </c>
      <c r="U659" s="429">
        <f>+P659+K659+G659+T659</f>
        <v>14464</v>
      </c>
      <c r="V659" s="342">
        <v>1279</v>
      </c>
      <c r="W659" s="342">
        <v>803</v>
      </c>
      <c r="X659" s="342"/>
      <c r="Y659" s="342">
        <v>601</v>
      </c>
      <c r="Z659" s="744" t="e">
        <f t="shared" ref="Z659:Z669" si="144">+L659+#REF!+V659+W659+Y659</f>
        <v>#REF!</v>
      </c>
    </row>
    <row r="660" spans="1:31" ht="23.25">
      <c r="A660" s="390" t="s">
        <v>2341</v>
      </c>
      <c r="B660" s="342" t="s">
        <v>634</v>
      </c>
      <c r="C660" s="391">
        <v>30000</v>
      </c>
      <c r="D660" s="714">
        <v>4677.4100000000008</v>
      </c>
      <c r="E660" s="714">
        <v>5550</v>
      </c>
      <c r="F660" s="714">
        <v>4579.87</v>
      </c>
      <c r="G660" s="342">
        <f>SUM(D660:F660)</f>
        <v>14807.279999999999</v>
      </c>
      <c r="H660" s="714">
        <v>5426</v>
      </c>
      <c r="I660" s="714">
        <v>4441.8</v>
      </c>
      <c r="J660" s="714">
        <v>3927</v>
      </c>
      <c r="K660" s="342">
        <f>SUM(H660:J660)</f>
        <v>13794.8</v>
      </c>
      <c r="L660" s="342">
        <f t="shared" ref="L660:L669" si="145">+K660+G660</f>
        <v>28602.079999999998</v>
      </c>
      <c r="M660" s="714">
        <v>4227.3999999999996</v>
      </c>
      <c r="N660" s="714">
        <v>2183.1000000000004</v>
      </c>
      <c r="O660" s="714">
        <v>3251.4800000000005</v>
      </c>
      <c r="P660" s="342">
        <f>SUM(M660:O660)</f>
        <v>9661.98</v>
      </c>
      <c r="Q660" s="391">
        <v>2404</v>
      </c>
      <c r="R660" s="711">
        <v>3199</v>
      </c>
      <c r="S660" s="711">
        <v>3709</v>
      </c>
      <c r="T660" s="342">
        <f>SUM(Q660:S660)</f>
        <v>9312</v>
      </c>
      <c r="U660" s="429">
        <f t="shared" ref="U660:U669" si="146">+P660+K660+G660+T660</f>
        <v>47576.06</v>
      </c>
      <c r="V660" s="342">
        <v>2404</v>
      </c>
      <c r="W660" s="342">
        <v>3199</v>
      </c>
      <c r="X660" s="342"/>
      <c r="Y660" s="342">
        <v>3709</v>
      </c>
      <c r="Z660" s="744" t="e">
        <f t="shared" si="144"/>
        <v>#REF!</v>
      </c>
    </row>
    <row r="661" spans="1:31" ht="23.25">
      <c r="A661" s="395" t="s">
        <v>3150</v>
      </c>
      <c r="B661" s="346" t="s">
        <v>634</v>
      </c>
      <c r="C661" s="342">
        <v>10000</v>
      </c>
      <c r="D661" s="346">
        <v>1338</v>
      </c>
      <c r="E661" s="346">
        <v>0</v>
      </c>
      <c r="F661" s="346">
        <v>1050</v>
      </c>
      <c r="G661" s="342">
        <f>SUM(D661:F661)</f>
        <v>2388</v>
      </c>
      <c r="H661" s="346">
        <v>1002</v>
      </c>
      <c r="I661" s="346">
        <v>0</v>
      </c>
      <c r="J661" s="346">
        <v>918</v>
      </c>
      <c r="K661" s="342">
        <f>SUM(H661:J661)</f>
        <v>1920</v>
      </c>
      <c r="L661" s="342">
        <f t="shared" si="145"/>
        <v>4308</v>
      </c>
      <c r="M661" s="346">
        <v>0</v>
      </c>
      <c r="N661" s="346">
        <v>2616</v>
      </c>
      <c r="O661" s="346">
        <v>0</v>
      </c>
      <c r="P661" s="342">
        <f>SUM(M661:O661)</f>
        <v>2616</v>
      </c>
      <c r="Q661" s="402">
        <v>1284</v>
      </c>
      <c r="R661" s="346">
        <v>54</v>
      </c>
      <c r="S661" s="346">
        <v>894</v>
      </c>
      <c r="T661" s="342">
        <f>SUM(Q661:S661)</f>
        <v>2232</v>
      </c>
      <c r="U661" s="429">
        <f t="shared" si="146"/>
        <v>9156</v>
      </c>
      <c r="V661" s="342">
        <v>1284</v>
      </c>
      <c r="W661" s="342">
        <v>54</v>
      </c>
      <c r="X661" s="342"/>
      <c r="Y661" s="342">
        <v>894</v>
      </c>
      <c r="Z661" s="744" t="e">
        <f t="shared" si="144"/>
        <v>#REF!</v>
      </c>
    </row>
    <row r="662" spans="1:31" ht="20.25">
      <c r="A662" s="341" t="s">
        <v>3151</v>
      </c>
      <c r="B662" s="342" t="s">
        <v>634</v>
      </c>
      <c r="C662" s="398">
        <v>9000</v>
      </c>
      <c r="D662" s="398">
        <v>953.91</v>
      </c>
      <c r="E662" s="398">
        <v>1023.63</v>
      </c>
      <c r="F662" s="398">
        <v>1063.82</v>
      </c>
      <c r="G662" s="342">
        <f>SUM(D662:F662)</f>
        <v>3041.3599999999997</v>
      </c>
      <c r="H662" s="398">
        <v>1220.93</v>
      </c>
      <c r="I662" s="398">
        <v>1021.5</v>
      </c>
      <c r="J662" s="398">
        <v>381.89</v>
      </c>
      <c r="K662" s="342">
        <f>SUM(H662:J662)</f>
        <v>2624.32</v>
      </c>
      <c r="L662" s="342">
        <f t="shared" si="145"/>
        <v>5665.68</v>
      </c>
      <c r="M662" s="398">
        <v>621.04</v>
      </c>
      <c r="N662" s="398">
        <v>1191.21</v>
      </c>
      <c r="O662" s="398">
        <v>1400.6</v>
      </c>
      <c r="P662" s="391">
        <f>SUM(M662:O662)</f>
        <v>3212.85</v>
      </c>
      <c r="Q662" s="398">
        <v>1695.09</v>
      </c>
      <c r="R662" s="398">
        <v>1934.72</v>
      </c>
      <c r="S662" s="398">
        <v>1774</v>
      </c>
      <c r="T662" s="391">
        <f>SUM(Q662:S662)</f>
        <v>5403.8099999999995</v>
      </c>
      <c r="U662" s="429">
        <f t="shared" si="146"/>
        <v>14282.339999999998</v>
      </c>
      <c r="V662" s="342"/>
      <c r="W662" s="342"/>
      <c r="X662" s="342"/>
      <c r="Y662" s="342"/>
      <c r="Z662" s="744" t="e">
        <f t="shared" si="144"/>
        <v>#REF!</v>
      </c>
    </row>
    <row r="663" spans="1:31" ht="20.25">
      <c r="A663" s="715" t="s">
        <v>3152</v>
      </c>
      <c r="B663" s="396" t="s">
        <v>3153</v>
      </c>
      <c r="C663" s="716">
        <v>2000</v>
      </c>
      <c r="D663" s="396">
        <v>2380</v>
      </c>
      <c r="E663" s="396">
        <v>2314</v>
      </c>
      <c r="F663" s="396">
        <v>2740</v>
      </c>
      <c r="G663" s="396">
        <v>2491</v>
      </c>
      <c r="H663" s="396">
        <v>2662</v>
      </c>
      <c r="I663" s="396">
        <v>0</v>
      </c>
      <c r="J663" s="396">
        <v>2502</v>
      </c>
      <c r="K663" s="396"/>
      <c r="L663" s="342">
        <f t="shared" si="145"/>
        <v>2491</v>
      </c>
      <c r="M663" s="396">
        <v>2383</v>
      </c>
      <c r="N663" s="396">
        <v>1645</v>
      </c>
      <c r="O663" s="396">
        <v>2326</v>
      </c>
      <c r="P663" s="396">
        <v>0</v>
      </c>
      <c r="Q663" s="396">
        <v>2065</v>
      </c>
      <c r="R663" s="396">
        <v>2265</v>
      </c>
      <c r="S663" s="396">
        <v>1713</v>
      </c>
      <c r="T663" s="391">
        <f t="shared" ref="T663:T668" si="147">SUM(Q663:S663)</f>
        <v>6043</v>
      </c>
      <c r="U663" s="429">
        <f t="shared" si="146"/>
        <v>8534</v>
      </c>
      <c r="V663" s="342"/>
      <c r="W663" s="342"/>
      <c r="X663" s="342"/>
      <c r="Y663" s="342"/>
      <c r="Z663" s="744" t="e">
        <f t="shared" si="144"/>
        <v>#REF!</v>
      </c>
    </row>
    <row r="664" spans="1:31" ht="23.25">
      <c r="A664" s="617" t="s">
        <v>3247</v>
      </c>
      <c r="B664" s="342" t="s">
        <v>634</v>
      </c>
      <c r="C664" s="13"/>
      <c r="D664" s="342">
        <v>2441</v>
      </c>
      <c r="E664" s="342">
        <v>2730</v>
      </c>
      <c r="F664" s="342">
        <v>2744</v>
      </c>
      <c r="G664" s="342">
        <f t="shared" ref="G664:G669" si="148">SUM(D664:F664)</f>
        <v>7915</v>
      </c>
      <c r="H664" s="343">
        <v>2811</v>
      </c>
      <c r="I664" s="596">
        <v>2964</v>
      </c>
      <c r="J664" s="343">
        <v>2959</v>
      </c>
      <c r="K664" s="342">
        <f t="shared" ref="K664:K669" si="149">SUM(H664:J664)</f>
        <v>8734</v>
      </c>
      <c r="L664" s="342">
        <f t="shared" si="145"/>
        <v>16649</v>
      </c>
      <c r="M664" s="596">
        <v>2060</v>
      </c>
      <c r="N664" s="720">
        <v>1797</v>
      </c>
      <c r="O664" s="6">
        <v>1890</v>
      </c>
      <c r="P664" s="342">
        <f t="shared" ref="P664:P669" si="150">SUM(M664:O664)</f>
        <v>5747</v>
      </c>
      <c r="Q664" s="727">
        <v>901</v>
      </c>
      <c r="R664" s="6">
        <v>1722</v>
      </c>
      <c r="S664" s="727">
        <v>2253.9650000000001</v>
      </c>
      <c r="T664" s="391">
        <f t="shared" si="147"/>
        <v>4876.9650000000001</v>
      </c>
      <c r="U664" s="429">
        <f t="shared" si="146"/>
        <v>27272.965</v>
      </c>
      <c r="V664" s="342">
        <v>902</v>
      </c>
      <c r="W664" s="342">
        <v>1722</v>
      </c>
      <c r="X664" s="342"/>
      <c r="Y664" s="342">
        <v>2253</v>
      </c>
      <c r="Z664" s="744" t="e">
        <f t="shared" si="144"/>
        <v>#REF!</v>
      </c>
    </row>
    <row r="665" spans="1:31" ht="23.25">
      <c r="A665" s="617" t="s">
        <v>3306</v>
      </c>
      <c r="B665" s="342" t="s">
        <v>634</v>
      </c>
      <c r="C665" s="13"/>
      <c r="D665" s="342">
        <v>416.18</v>
      </c>
      <c r="E665" s="342">
        <v>993</v>
      </c>
      <c r="F665" s="342">
        <v>286</v>
      </c>
      <c r="G665" s="342">
        <f t="shared" si="148"/>
        <v>1695.18</v>
      </c>
      <c r="H665" s="343">
        <v>536</v>
      </c>
      <c r="I665" s="596">
        <v>265</v>
      </c>
      <c r="J665" s="343">
        <v>833</v>
      </c>
      <c r="K665" s="342">
        <f t="shared" si="149"/>
        <v>1634</v>
      </c>
      <c r="L665" s="342">
        <f t="shared" si="145"/>
        <v>3329.1800000000003</v>
      </c>
      <c r="M665" s="596">
        <v>513</v>
      </c>
      <c r="N665" s="720">
        <v>279</v>
      </c>
      <c r="O665" s="6">
        <v>418</v>
      </c>
      <c r="P665" s="342">
        <f t="shared" si="150"/>
        <v>1210</v>
      </c>
      <c r="Q665" s="6">
        <v>493.32</v>
      </c>
      <c r="R665" s="6">
        <v>646</v>
      </c>
      <c r="S665" s="727">
        <v>247.96</v>
      </c>
      <c r="T665" s="391">
        <f t="shared" si="147"/>
        <v>1387.28</v>
      </c>
      <c r="U665" s="429">
        <f t="shared" si="146"/>
        <v>5926.46</v>
      </c>
      <c r="V665" s="342">
        <v>493</v>
      </c>
      <c r="W665" s="342">
        <v>646</v>
      </c>
      <c r="X665" s="342"/>
      <c r="Y665" s="342">
        <v>248</v>
      </c>
      <c r="Z665" s="744" t="e">
        <f t="shared" si="144"/>
        <v>#REF!</v>
      </c>
    </row>
    <row r="666" spans="1:31" ht="23.25">
      <c r="A666" s="617" t="s">
        <v>3307</v>
      </c>
      <c r="B666" s="342" t="s">
        <v>634</v>
      </c>
      <c r="C666" s="13"/>
      <c r="D666" s="342">
        <v>687</v>
      </c>
      <c r="E666" s="342">
        <v>521</v>
      </c>
      <c r="F666" s="342">
        <v>1090</v>
      </c>
      <c r="G666" s="342">
        <f t="shared" si="148"/>
        <v>2298</v>
      </c>
      <c r="H666" s="343">
        <v>616</v>
      </c>
      <c r="I666" s="596">
        <v>1048</v>
      </c>
      <c r="J666" s="343">
        <v>807</v>
      </c>
      <c r="K666" s="342">
        <f t="shared" si="149"/>
        <v>2471</v>
      </c>
      <c r="L666" s="342">
        <f t="shared" si="145"/>
        <v>4769</v>
      </c>
      <c r="M666" s="596">
        <v>848</v>
      </c>
      <c r="N666" s="720">
        <v>832</v>
      </c>
      <c r="O666" s="6">
        <v>271</v>
      </c>
      <c r="P666" s="342">
        <f t="shared" si="150"/>
        <v>1951</v>
      </c>
      <c r="Q666" s="6">
        <v>705.5</v>
      </c>
      <c r="R666" s="6">
        <v>293</v>
      </c>
      <c r="S666" s="727">
        <v>810.13</v>
      </c>
      <c r="T666" s="391">
        <f t="shared" si="147"/>
        <v>1808.63</v>
      </c>
      <c r="U666" s="429">
        <f t="shared" si="146"/>
        <v>8528.630000000001</v>
      </c>
      <c r="V666" s="342">
        <v>706</v>
      </c>
      <c r="W666" s="342">
        <v>293</v>
      </c>
      <c r="X666" s="342"/>
      <c r="Y666" s="342">
        <v>810</v>
      </c>
      <c r="Z666" s="744" t="e">
        <f t="shared" si="144"/>
        <v>#REF!</v>
      </c>
    </row>
    <row r="667" spans="1:31" ht="23.25">
      <c r="A667" s="617" t="s">
        <v>3311</v>
      </c>
      <c r="B667" s="342" t="s">
        <v>634</v>
      </c>
      <c r="C667" s="13"/>
      <c r="D667" s="342">
        <v>877.67</v>
      </c>
      <c r="E667" s="342">
        <v>534</v>
      </c>
      <c r="F667" s="342">
        <v>1008</v>
      </c>
      <c r="G667" s="342">
        <f t="shared" si="148"/>
        <v>2419.67</v>
      </c>
      <c r="H667" s="343">
        <v>807</v>
      </c>
      <c r="I667" s="596">
        <v>1127</v>
      </c>
      <c r="J667" s="343">
        <v>429</v>
      </c>
      <c r="K667" s="342">
        <f t="shared" si="149"/>
        <v>2363</v>
      </c>
      <c r="L667" s="342">
        <f t="shared" si="145"/>
        <v>4782.67</v>
      </c>
      <c r="M667" s="732">
        <v>338.12</v>
      </c>
      <c r="N667" s="723">
        <v>556.6</v>
      </c>
      <c r="O667" s="6">
        <v>646</v>
      </c>
      <c r="P667" s="342">
        <f t="shared" si="150"/>
        <v>1540.72</v>
      </c>
      <c r="Q667" s="6">
        <v>229</v>
      </c>
      <c r="R667" s="727">
        <v>531.08000000000004</v>
      </c>
      <c r="S667" s="727">
        <v>717.99900000000002</v>
      </c>
      <c r="T667" s="391">
        <f t="shared" si="147"/>
        <v>1478.0790000000002</v>
      </c>
      <c r="U667" s="429">
        <f t="shared" si="146"/>
        <v>7801.469000000001</v>
      </c>
      <c r="V667" s="342">
        <v>651</v>
      </c>
      <c r="W667" s="342">
        <v>658</v>
      </c>
      <c r="X667" s="342"/>
      <c r="Y667" s="342">
        <v>718</v>
      </c>
      <c r="Z667" s="744" t="e">
        <f t="shared" si="144"/>
        <v>#REF!</v>
      </c>
    </row>
    <row r="668" spans="1:31" ht="23.25">
      <c r="A668" s="617" t="s">
        <v>3308</v>
      </c>
      <c r="B668" s="342" t="s">
        <v>634</v>
      </c>
      <c r="C668" s="13"/>
      <c r="D668" s="342">
        <v>1259.8800000000001</v>
      </c>
      <c r="E668" s="342">
        <v>679</v>
      </c>
      <c r="F668" s="342">
        <v>781.26</v>
      </c>
      <c r="G668" s="342">
        <f t="shared" si="148"/>
        <v>2720.1400000000003</v>
      </c>
      <c r="H668" s="343">
        <v>1110</v>
      </c>
      <c r="I668" s="596">
        <v>1830.46</v>
      </c>
      <c r="J668" s="343">
        <f>823-30</f>
        <v>793</v>
      </c>
      <c r="K668" s="342">
        <f t="shared" si="149"/>
        <v>3733.46</v>
      </c>
      <c r="L668" s="342">
        <f t="shared" si="145"/>
        <v>6453.6</v>
      </c>
      <c r="M668" s="732">
        <f>1229-316-6.5</f>
        <v>906.5</v>
      </c>
      <c r="N668" s="720">
        <v>724</v>
      </c>
      <c r="O668" s="6">
        <v>759.94</v>
      </c>
      <c r="P668" s="342">
        <f t="shared" si="150"/>
        <v>2390.44</v>
      </c>
      <c r="Q668" s="6">
        <v>1360</v>
      </c>
      <c r="R668" s="727">
        <v>803.72</v>
      </c>
      <c r="S668" s="727">
        <v>1388</v>
      </c>
      <c r="T668" s="391">
        <f t="shared" si="147"/>
        <v>3551.7200000000003</v>
      </c>
      <c r="U668" s="429">
        <f t="shared" si="146"/>
        <v>12395.760000000002</v>
      </c>
      <c r="V668" s="342">
        <f>590.17+803.94</f>
        <v>1394.1100000000001</v>
      </c>
      <c r="W668" s="342">
        <f>384.32+407.32</f>
        <v>791.64</v>
      </c>
      <c r="X668" s="342"/>
      <c r="Y668" s="342">
        <f>606.73+772.55</f>
        <v>1379.28</v>
      </c>
      <c r="Z668" s="744" t="e">
        <f t="shared" si="144"/>
        <v>#REF!</v>
      </c>
    </row>
    <row r="669" spans="1:31" ht="23.25">
      <c r="A669" s="617" t="s">
        <v>3309</v>
      </c>
      <c r="B669" s="342" t="s">
        <v>634</v>
      </c>
      <c r="C669" s="13"/>
      <c r="D669" s="342">
        <v>517.79999999999995</v>
      </c>
      <c r="E669" s="342">
        <v>772</v>
      </c>
      <c r="F669" s="342">
        <v>938.06</v>
      </c>
      <c r="G669" s="342">
        <f t="shared" si="148"/>
        <v>2227.8599999999997</v>
      </c>
      <c r="H669" s="343">
        <v>1054</v>
      </c>
      <c r="I669" s="596">
        <v>893</v>
      </c>
      <c r="J669" s="343">
        <v>579.79</v>
      </c>
      <c r="K669" s="342">
        <f t="shared" si="149"/>
        <v>2526.79</v>
      </c>
      <c r="L669" s="342">
        <f t="shared" si="145"/>
        <v>4754.6499999999996</v>
      </c>
      <c r="M669" s="596">
        <v>370</v>
      </c>
      <c r="N669" s="723">
        <v>279.52999999999997</v>
      </c>
      <c r="O669" s="6">
        <v>289.94</v>
      </c>
      <c r="P669" s="342">
        <f t="shared" si="150"/>
        <v>939.47</v>
      </c>
      <c r="Q669" s="737">
        <v>405</v>
      </c>
      <c r="R669" s="737">
        <v>406.14</v>
      </c>
      <c r="S669" s="738">
        <v>591.12</v>
      </c>
      <c r="T669" s="391">
        <f>SUM(N1051:P1051)</f>
        <v>2212.81</v>
      </c>
      <c r="U669" s="429">
        <f t="shared" si="146"/>
        <v>7906.93</v>
      </c>
      <c r="V669" s="342">
        <v>732</v>
      </c>
      <c r="W669" s="342">
        <v>549</v>
      </c>
      <c r="X669" s="342"/>
      <c r="Y669" s="342">
        <v>845</v>
      </c>
      <c r="Z669" s="744" t="e">
        <f t="shared" si="144"/>
        <v>#REF!</v>
      </c>
    </row>
    <row r="670" spans="1:31" ht="23.25">
      <c r="A670" s="717"/>
      <c r="B670" s="718"/>
      <c r="C670" s="719"/>
      <c r="D670" s="718"/>
      <c r="E670" s="718"/>
      <c r="F670" s="718"/>
      <c r="G670" s="718"/>
      <c r="H670" s="274"/>
      <c r="I670" s="733"/>
      <c r="J670" s="274"/>
      <c r="K670" s="718"/>
      <c r="L670" s="734"/>
      <c r="M670" s="733"/>
      <c r="N670" s="734"/>
      <c r="O670" s="274"/>
      <c r="P670" s="718"/>
      <c r="Q670" s="719"/>
      <c r="R670" s="719"/>
      <c r="S670" s="719"/>
      <c r="T670" s="734"/>
      <c r="U670" s="739"/>
      <c r="V670" s="719"/>
      <c r="W670" s="719"/>
      <c r="X670" s="719"/>
      <c r="Y670" s="719"/>
      <c r="Z670" s="719"/>
      <c r="AA670" s="719"/>
      <c r="AB670" s="719"/>
      <c r="AC670" s="719"/>
      <c r="AD670" s="719"/>
      <c r="AE670" s="719"/>
    </row>
    <row r="671" spans="1:31" ht="23.25">
      <c r="A671" s="3104" t="s">
        <v>3312</v>
      </c>
      <c r="B671" s="3105"/>
      <c r="C671" s="3105"/>
      <c r="D671" s="3105"/>
      <c r="E671" s="3105"/>
      <c r="F671" s="3105"/>
      <c r="G671" s="3105"/>
      <c r="H671" s="3105"/>
      <c r="I671" s="3105"/>
      <c r="J671" s="3105"/>
      <c r="K671" s="3105"/>
      <c r="L671" s="3105"/>
      <c r="M671" s="3105"/>
      <c r="N671" s="3105"/>
      <c r="O671" s="3105"/>
      <c r="P671" s="3105"/>
      <c r="Q671" s="3105"/>
      <c r="R671" s="3105"/>
      <c r="S671" s="3105"/>
      <c r="T671" s="3105"/>
      <c r="U671" s="3106"/>
      <c r="V671" s="719"/>
      <c r="W671" s="719"/>
      <c r="X671" s="719"/>
      <c r="Y671" s="719"/>
      <c r="Z671" s="719"/>
      <c r="AA671" s="719"/>
      <c r="AB671" s="719"/>
      <c r="AC671" s="719"/>
      <c r="AD671" s="719"/>
      <c r="AE671" s="719"/>
    </row>
    <row r="672" spans="1:31" ht="23.25">
      <c r="A672" s="390"/>
      <c r="B672" s="720" t="s">
        <v>519</v>
      </c>
      <c r="C672" s="721" t="s">
        <v>275</v>
      </c>
      <c r="D672" s="722" t="s">
        <v>722</v>
      </c>
      <c r="E672" s="722" t="s">
        <v>723</v>
      </c>
      <c r="F672" s="722" t="s">
        <v>2147</v>
      </c>
      <c r="G672" s="722" t="s">
        <v>2609</v>
      </c>
      <c r="H672" s="722" t="s">
        <v>725</v>
      </c>
      <c r="I672" s="722" t="s">
        <v>726</v>
      </c>
      <c r="J672" s="722" t="s">
        <v>727</v>
      </c>
      <c r="K672" s="722" t="s">
        <v>2610</v>
      </c>
      <c r="L672" s="722" t="s">
        <v>3148</v>
      </c>
      <c r="M672" s="722" t="s">
        <v>729</v>
      </c>
      <c r="N672" s="722" t="s">
        <v>730</v>
      </c>
      <c r="O672" s="722" t="s">
        <v>731</v>
      </c>
      <c r="P672" s="722" t="s">
        <v>2611</v>
      </c>
      <c r="Q672" s="722" t="s">
        <v>732</v>
      </c>
      <c r="R672" s="722" t="s">
        <v>733</v>
      </c>
      <c r="S672" s="722" t="s">
        <v>734</v>
      </c>
      <c r="T672" s="741" t="s">
        <v>2612</v>
      </c>
      <c r="U672" s="741" t="s">
        <v>2410</v>
      </c>
      <c r="V672" s="742"/>
      <c r="W672" s="742"/>
      <c r="X672" s="742"/>
      <c r="Y672" s="742"/>
      <c r="Z672" s="720"/>
      <c r="AA672" s="719"/>
      <c r="AB672" s="719"/>
      <c r="AC672" s="719"/>
      <c r="AD672" s="719"/>
      <c r="AE672" s="719"/>
    </row>
    <row r="673" spans="1:31" ht="23.25">
      <c r="A673" s="390" t="s">
        <v>3085</v>
      </c>
      <c r="B673" s="720" t="s">
        <v>634</v>
      </c>
      <c r="C673" s="720">
        <v>18000</v>
      </c>
      <c r="D673" s="720">
        <v>479</v>
      </c>
      <c r="E673" s="720">
        <v>469</v>
      </c>
      <c r="F673" s="723">
        <v>804</v>
      </c>
      <c r="G673" s="720">
        <f>SUM(D673:F673)</f>
        <v>1752</v>
      </c>
      <c r="H673" s="723">
        <v>905</v>
      </c>
      <c r="I673" s="723">
        <v>842.4</v>
      </c>
      <c r="J673" s="723">
        <v>223</v>
      </c>
      <c r="K673" s="720">
        <f>SUM(H673:J673)</f>
        <v>1970.4</v>
      </c>
      <c r="L673" s="720">
        <f t="shared" ref="L673:L683" si="151">+K673+G673</f>
        <v>3722.4</v>
      </c>
      <c r="M673" s="720">
        <v>608.4</v>
      </c>
      <c r="N673" s="723">
        <v>661.9</v>
      </c>
      <c r="O673" s="723">
        <v>772</v>
      </c>
      <c r="P673" s="720">
        <f t="shared" ref="P673:P683" si="152">SUM(M673:O673)</f>
        <v>2042.3</v>
      </c>
      <c r="Q673" s="720">
        <v>585</v>
      </c>
      <c r="R673" s="720">
        <v>674.7</v>
      </c>
      <c r="S673" s="720">
        <v>869.69999999999993</v>
      </c>
      <c r="T673" s="720">
        <f>SUM(Q673:S673)</f>
        <v>2129.4</v>
      </c>
      <c r="U673" s="743">
        <f>+P673+L673+Q673+R673+S673</f>
        <v>7894.0999999999995</v>
      </c>
      <c r="V673" s="720"/>
      <c r="W673" s="720"/>
      <c r="X673" s="720"/>
      <c r="Y673" s="720"/>
      <c r="Z673" s="745"/>
      <c r="AA673" s="746" t="s">
        <v>3085</v>
      </c>
      <c r="AB673" s="719"/>
      <c r="AC673" s="719"/>
      <c r="AD673" s="719"/>
      <c r="AE673" s="719"/>
    </row>
    <row r="674" spans="1:31" ht="23.25">
      <c r="A674" s="390" t="s">
        <v>2341</v>
      </c>
      <c r="B674" s="720" t="s">
        <v>634</v>
      </c>
      <c r="C674" s="723">
        <v>30000</v>
      </c>
      <c r="D674" s="724">
        <v>4293</v>
      </c>
      <c r="E674" s="724">
        <v>4889</v>
      </c>
      <c r="F674" s="723">
        <v>4486</v>
      </c>
      <c r="G674" s="720">
        <f>SUM(D674:F674)</f>
        <v>13668</v>
      </c>
      <c r="H674" s="724">
        <v>6308</v>
      </c>
      <c r="I674" s="724">
        <v>4822.4299999999985</v>
      </c>
      <c r="J674" s="723">
        <v>2187.1000000000004</v>
      </c>
      <c r="K674" s="720">
        <f>SUM(H674:J674)</f>
        <v>13317.529999999999</v>
      </c>
      <c r="L674" s="720">
        <f t="shared" si="151"/>
        <v>26985.53</v>
      </c>
      <c r="M674" s="724">
        <v>3630.6999999999994</v>
      </c>
      <c r="N674" s="723">
        <v>4448.3209999999999</v>
      </c>
      <c r="O674" s="724">
        <v>5004.6499999999987</v>
      </c>
      <c r="P674" s="720">
        <f t="shared" si="152"/>
        <v>13083.670999999998</v>
      </c>
      <c r="Q674" s="724">
        <v>5693.9999999999982</v>
      </c>
      <c r="R674" s="724">
        <v>4685.3999999999996</v>
      </c>
      <c r="S674" s="724">
        <v>5852.4999999999991</v>
      </c>
      <c r="T674" s="720">
        <f>SUM(Q674:S674)</f>
        <v>16231.899999999998</v>
      </c>
      <c r="U674" s="743">
        <f>+P674+L674+Q674+R674+S674</f>
        <v>56301.101000000002</v>
      </c>
      <c r="V674" s="720"/>
      <c r="W674" s="720"/>
      <c r="X674" s="720"/>
      <c r="Y674" s="720"/>
      <c r="Z674" s="745"/>
      <c r="AA674" s="746" t="s">
        <v>2341</v>
      </c>
      <c r="AB674" s="719"/>
      <c r="AC674" s="719"/>
      <c r="AD674" s="719"/>
      <c r="AE674" s="719"/>
    </row>
    <row r="675" spans="1:31" ht="24" thickBot="1">
      <c r="A675" s="395" t="s">
        <v>3150</v>
      </c>
      <c r="B675" s="725" t="s">
        <v>634</v>
      </c>
      <c r="C675" s="720">
        <v>10000</v>
      </c>
      <c r="D675" s="725">
        <v>0</v>
      </c>
      <c r="E675" s="725">
        <v>0</v>
      </c>
      <c r="F675" s="726" t="str">
        <f>'md cell'!K35</f>
        <v>RECPT (T)</v>
      </c>
      <c r="G675" s="720">
        <f>SUM(D675:F675)</f>
        <v>0</v>
      </c>
      <c r="H675" s="725">
        <v>1066</v>
      </c>
      <c r="I675" s="726">
        <v>1024</v>
      </c>
      <c r="J675" s="726">
        <v>1800</v>
      </c>
      <c r="K675" s="720">
        <f>SUM(H675:J675)</f>
        <v>3890</v>
      </c>
      <c r="L675" s="720">
        <f t="shared" si="151"/>
        <v>3890</v>
      </c>
      <c r="M675" s="726">
        <v>1076</v>
      </c>
      <c r="N675" s="726">
        <v>0</v>
      </c>
      <c r="O675" s="725">
        <v>1560</v>
      </c>
      <c r="P675" s="720">
        <f t="shared" si="152"/>
        <v>2636</v>
      </c>
      <c r="Q675" s="725">
        <v>0</v>
      </c>
      <c r="R675" s="725">
        <v>0</v>
      </c>
      <c r="S675" s="725">
        <v>0</v>
      </c>
      <c r="T675" s="720">
        <f>SUM(Q675:S675)</f>
        <v>0</v>
      </c>
      <c r="U675" s="743">
        <f>+P675+L675+Q675+R675+S675</f>
        <v>6526</v>
      </c>
      <c r="V675" s="720"/>
      <c r="W675" s="720"/>
      <c r="X675" s="720"/>
      <c r="Y675" s="720"/>
      <c r="Z675" s="745"/>
      <c r="AA675" s="747" t="s">
        <v>3150</v>
      </c>
      <c r="AB675" s="719"/>
      <c r="AC675" s="719"/>
      <c r="AD675" s="719"/>
      <c r="AE675" s="719"/>
    </row>
    <row r="676" spans="1:31" ht="23.25">
      <c r="A676" s="390" t="s">
        <v>3151</v>
      </c>
      <c r="B676" s="720" t="s">
        <v>634</v>
      </c>
      <c r="C676" s="727">
        <v>9000</v>
      </c>
      <c r="D676" s="727">
        <f>1500.63+714.9</f>
        <v>2215.5300000000002</v>
      </c>
      <c r="E676" s="727">
        <f>1125.42+537.9</f>
        <v>1663.3200000000002</v>
      </c>
      <c r="F676" s="727">
        <f>978.47+683.25</f>
        <v>1661.72</v>
      </c>
      <c r="G676" s="720">
        <f>SUM(D676:F676)</f>
        <v>5540.5700000000006</v>
      </c>
      <c r="H676" s="727">
        <f>1871.44+773.8</f>
        <v>2645.24</v>
      </c>
      <c r="I676" s="727">
        <v>1030.6300000000001</v>
      </c>
      <c r="J676" s="727">
        <f>1389.64+1005.8</f>
        <v>2395.44</v>
      </c>
      <c r="K676" s="720">
        <f>SUM(H676:J676)</f>
        <v>6071.3099999999995</v>
      </c>
      <c r="L676" s="720">
        <f t="shared" si="151"/>
        <v>11611.880000000001</v>
      </c>
      <c r="M676" s="727">
        <f>1756.57+860.8</f>
        <v>2617.37</v>
      </c>
      <c r="N676" s="727">
        <v>1630.26</v>
      </c>
      <c r="O676" s="727">
        <v>1639.03</v>
      </c>
      <c r="P676" s="720">
        <f t="shared" si="152"/>
        <v>5886.66</v>
      </c>
      <c r="Q676" s="727">
        <v>0</v>
      </c>
      <c r="R676" s="727">
        <v>0</v>
      </c>
      <c r="S676" s="727">
        <v>0</v>
      </c>
      <c r="T676" s="723">
        <f>SUM(Q676:S676)</f>
        <v>0</v>
      </c>
      <c r="U676" s="743">
        <f>+P676+L676+Q676+R676+S676</f>
        <v>17498.54</v>
      </c>
      <c r="V676" s="727"/>
      <c r="W676" s="720"/>
      <c r="X676" s="720"/>
      <c r="Y676" s="720"/>
      <c r="Z676" s="745"/>
      <c r="AA676" s="746" t="s">
        <v>3151</v>
      </c>
      <c r="AB676" s="719"/>
      <c r="AC676" s="719"/>
      <c r="AD676" s="719"/>
      <c r="AE676" s="719"/>
    </row>
    <row r="677" spans="1:31" ht="23.25">
      <c r="A677" s="728" t="s">
        <v>3152</v>
      </c>
      <c r="B677" s="729" t="s">
        <v>3153</v>
      </c>
      <c r="C677" s="729">
        <v>2000</v>
      </c>
      <c r="D677" s="729">
        <v>1379</v>
      </c>
      <c r="E677" s="729">
        <v>1072</v>
      </c>
      <c r="F677" s="729">
        <v>1563</v>
      </c>
      <c r="G677" s="729">
        <v>1335</v>
      </c>
      <c r="H677" s="729">
        <v>1563</v>
      </c>
      <c r="I677" s="729">
        <v>1973</v>
      </c>
      <c r="J677" s="729">
        <v>1470</v>
      </c>
      <c r="K677" s="729"/>
      <c r="L677" s="720">
        <f t="shared" si="151"/>
        <v>1335</v>
      </c>
      <c r="M677" s="729">
        <v>2041</v>
      </c>
      <c r="N677" s="729">
        <v>1773</v>
      </c>
      <c r="O677" s="729">
        <v>1996</v>
      </c>
      <c r="P677" s="720">
        <f t="shared" si="152"/>
        <v>5810</v>
      </c>
      <c r="Q677" s="729">
        <v>0</v>
      </c>
      <c r="R677" s="729">
        <v>0</v>
      </c>
      <c r="S677" s="729">
        <v>0</v>
      </c>
      <c r="T677" s="723">
        <f t="shared" ref="T677:T682" si="153">SUM(Q677:S677)</f>
        <v>0</v>
      </c>
      <c r="U677" s="743">
        <f t="shared" ref="U677:U682" si="154">+P677+L677+Q677+R677+S677</f>
        <v>7145</v>
      </c>
      <c r="V677" s="720"/>
      <c r="W677" s="720"/>
      <c r="X677" s="720"/>
      <c r="Y677" s="720"/>
      <c r="Z677" s="745"/>
      <c r="AA677" s="748" t="s">
        <v>3152</v>
      </c>
      <c r="AB677" s="719"/>
      <c r="AC677" s="719"/>
      <c r="AD677" s="719"/>
      <c r="AE677" s="719"/>
    </row>
    <row r="678" spans="1:31" ht="23.25">
      <c r="A678" s="730" t="s">
        <v>3247</v>
      </c>
      <c r="B678" s="720" t="s">
        <v>634</v>
      </c>
      <c r="C678" s="731"/>
      <c r="D678" s="723">
        <v>2472.1799999999998</v>
      </c>
      <c r="E678" s="720">
        <v>1809</v>
      </c>
      <c r="F678" s="720">
        <v>1706</v>
      </c>
      <c r="G678" s="723">
        <f t="shared" ref="G678:G683" si="155">SUM(D678:F678)</f>
        <v>5987.18</v>
      </c>
      <c r="H678" s="723">
        <v>3828.616</v>
      </c>
      <c r="I678" s="723">
        <v>3069.34</v>
      </c>
      <c r="J678" s="723">
        <v>1190.93</v>
      </c>
      <c r="K678" s="720">
        <f t="shared" ref="K678:K683" si="156">SUM(H678:J678)</f>
        <v>8088.8860000000004</v>
      </c>
      <c r="L678" s="720">
        <f t="shared" si="151"/>
        <v>14076.066000000001</v>
      </c>
      <c r="M678" s="720">
        <v>1919.82</v>
      </c>
      <c r="N678" s="720">
        <v>2549.09</v>
      </c>
      <c r="O678" s="720">
        <v>2873.7959999999998</v>
      </c>
      <c r="P678" s="720">
        <f t="shared" si="152"/>
        <v>7342.7060000000001</v>
      </c>
      <c r="Q678" s="720">
        <v>3009.07</v>
      </c>
      <c r="R678" s="720">
        <v>2903</v>
      </c>
      <c r="S678" s="720">
        <v>3192</v>
      </c>
      <c r="T678" s="723">
        <f t="shared" si="153"/>
        <v>9104.07</v>
      </c>
      <c r="U678" s="743">
        <f t="shared" si="154"/>
        <v>30522.842000000001</v>
      </c>
      <c r="V678" s="720"/>
      <c r="W678" s="720"/>
      <c r="X678" s="720"/>
      <c r="Y678" s="720"/>
      <c r="Z678" s="745"/>
      <c r="AA678" s="749" t="s">
        <v>3247</v>
      </c>
      <c r="AB678" s="719"/>
      <c r="AC678" s="719"/>
      <c r="AD678" s="719"/>
      <c r="AE678" s="719"/>
    </row>
    <row r="679" spans="1:31" ht="23.25">
      <c r="A679" s="730" t="s">
        <v>3306</v>
      </c>
      <c r="B679" s="720" t="s">
        <v>634</v>
      </c>
      <c r="C679" s="731"/>
      <c r="D679" s="720">
        <v>629</v>
      </c>
      <c r="E679" s="723">
        <v>160.13</v>
      </c>
      <c r="F679" s="723">
        <v>101</v>
      </c>
      <c r="G679" s="720">
        <f t="shared" si="155"/>
        <v>890.13</v>
      </c>
      <c r="H679" s="723">
        <v>0</v>
      </c>
      <c r="I679" s="720">
        <v>324.58</v>
      </c>
      <c r="J679" s="723">
        <v>700.26</v>
      </c>
      <c r="K679" s="720">
        <f t="shared" si="156"/>
        <v>1024.8399999999999</v>
      </c>
      <c r="L679" s="720">
        <f t="shared" si="151"/>
        <v>1914.9699999999998</v>
      </c>
      <c r="M679" s="720">
        <v>383.47</v>
      </c>
      <c r="N679" s="723">
        <v>280.25</v>
      </c>
      <c r="O679" s="720">
        <v>562.02</v>
      </c>
      <c r="P679" s="720">
        <f t="shared" si="152"/>
        <v>1225.74</v>
      </c>
      <c r="Q679" s="720">
        <v>281</v>
      </c>
      <c r="R679" s="720">
        <v>176.3</v>
      </c>
      <c r="S679" s="720">
        <v>279.66000000000003</v>
      </c>
      <c r="T679" s="723">
        <f t="shared" si="153"/>
        <v>736.96</v>
      </c>
      <c r="U679" s="743">
        <f t="shared" si="154"/>
        <v>3877.67</v>
      </c>
      <c r="V679" s="720"/>
      <c r="W679" s="720"/>
      <c r="X679" s="720"/>
      <c r="Y679" s="720"/>
      <c r="Z679" s="745"/>
      <c r="AA679" s="749" t="s">
        <v>3306</v>
      </c>
      <c r="AB679" s="719"/>
      <c r="AC679" s="719"/>
      <c r="AD679" s="719"/>
      <c r="AE679" s="719"/>
    </row>
    <row r="680" spans="1:31" ht="23.25">
      <c r="A680" s="730" t="s">
        <v>3307</v>
      </c>
      <c r="B680" s="720" t="s">
        <v>634</v>
      </c>
      <c r="C680" s="731"/>
      <c r="D680" s="720">
        <v>1136</v>
      </c>
      <c r="E680" s="723">
        <v>461.88</v>
      </c>
      <c r="F680" s="723">
        <v>1604.54</v>
      </c>
      <c r="G680" s="720">
        <f t="shared" si="155"/>
        <v>3202.42</v>
      </c>
      <c r="H680" s="723">
        <v>1045.0899999999997</v>
      </c>
      <c r="I680" s="723">
        <v>1010.86</v>
      </c>
      <c r="J680" s="723">
        <v>296.03000000000003</v>
      </c>
      <c r="K680" s="720">
        <f t="shared" si="156"/>
        <v>2351.98</v>
      </c>
      <c r="L680" s="720">
        <f t="shared" si="151"/>
        <v>5554.4</v>
      </c>
      <c r="M680" s="720">
        <v>811.28000000000009</v>
      </c>
      <c r="N680" s="720">
        <v>1072.82</v>
      </c>
      <c r="O680" s="720">
        <v>1146.74</v>
      </c>
      <c r="P680" s="720">
        <f t="shared" si="152"/>
        <v>3030.84</v>
      </c>
      <c r="Q680" s="720">
        <v>1262</v>
      </c>
      <c r="R680" s="720">
        <v>1486</v>
      </c>
      <c r="S680" s="720">
        <v>1422.32</v>
      </c>
      <c r="T680" s="723">
        <f t="shared" si="153"/>
        <v>4170.32</v>
      </c>
      <c r="U680" s="743">
        <f t="shared" si="154"/>
        <v>12755.56</v>
      </c>
      <c r="V680" s="720"/>
      <c r="W680" s="720"/>
      <c r="X680" s="720"/>
      <c r="Y680" s="720"/>
      <c r="Z680" s="745"/>
      <c r="AA680" s="749" t="s">
        <v>3307</v>
      </c>
      <c r="AB680" s="719"/>
      <c r="AC680" s="719"/>
      <c r="AD680" s="719"/>
      <c r="AE680" s="719"/>
    </row>
    <row r="681" spans="1:31" ht="23.25">
      <c r="A681" s="730" t="s">
        <v>3311</v>
      </c>
      <c r="B681" s="720" t="s">
        <v>634</v>
      </c>
      <c r="C681" s="731"/>
      <c r="D681" s="720">
        <v>464</v>
      </c>
      <c r="E681" s="723">
        <v>170.29</v>
      </c>
      <c r="F681" s="720">
        <v>293</v>
      </c>
      <c r="G681" s="720">
        <f t="shared" si="155"/>
        <v>927.29</v>
      </c>
      <c r="H681" s="723">
        <v>467.17</v>
      </c>
      <c r="I681" s="723">
        <v>481.49</v>
      </c>
      <c r="J681" s="723">
        <v>308.36</v>
      </c>
      <c r="K681" s="720">
        <f t="shared" si="156"/>
        <v>1257.02</v>
      </c>
      <c r="L681" s="720">
        <f t="shared" si="151"/>
        <v>2184.31</v>
      </c>
      <c r="M681" s="720">
        <v>257.13</v>
      </c>
      <c r="N681" s="720">
        <v>279.86</v>
      </c>
      <c r="O681" s="720">
        <v>494.82</v>
      </c>
      <c r="P681" s="720">
        <f t="shared" si="152"/>
        <v>1031.81</v>
      </c>
      <c r="Q681" s="720">
        <v>505.72</v>
      </c>
      <c r="R681" s="720">
        <v>435.1</v>
      </c>
      <c r="S681" s="720">
        <v>710</v>
      </c>
      <c r="T681" s="723">
        <f t="shared" si="153"/>
        <v>1650.8200000000002</v>
      </c>
      <c r="U681" s="743">
        <f t="shared" si="154"/>
        <v>4866.9400000000005</v>
      </c>
      <c r="V681" s="720"/>
      <c r="W681" s="720"/>
      <c r="X681" s="720"/>
      <c r="Y681" s="720"/>
      <c r="Z681" s="745"/>
      <c r="AA681" s="749" t="s">
        <v>3311</v>
      </c>
      <c r="AB681" s="719"/>
      <c r="AC681" s="719"/>
      <c r="AD681" s="719"/>
      <c r="AE681" s="719"/>
    </row>
    <row r="682" spans="1:31" ht="23.25">
      <c r="A682" s="730" t="s">
        <v>3308</v>
      </c>
      <c r="B682" s="720" t="s">
        <v>634</v>
      </c>
      <c r="C682" s="731"/>
      <c r="D682" s="723">
        <v>1711.36</v>
      </c>
      <c r="E682" s="723">
        <v>2269.73</v>
      </c>
      <c r="F682" s="723">
        <f>1032+152</f>
        <v>1184</v>
      </c>
      <c r="G682" s="723">
        <f t="shared" si="155"/>
        <v>5165.09</v>
      </c>
      <c r="H682" s="723">
        <v>864.62</v>
      </c>
      <c r="I682" s="723">
        <v>1569.62</v>
      </c>
      <c r="J682" s="723">
        <v>1713.75</v>
      </c>
      <c r="K682" s="720">
        <f t="shared" si="156"/>
        <v>4147.99</v>
      </c>
      <c r="L682" s="720">
        <f t="shared" si="151"/>
        <v>9313.08</v>
      </c>
      <c r="M682" s="723">
        <v>1076.03</v>
      </c>
      <c r="N682" s="723">
        <v>1137.79</v>
      </c>
      <c r="O682" s="723">
        <v>1791.52</v>
      </c>
      <c r="P682" s="720">
        <f t="shared" si="152"/>
        <v>4005.3399999999997</v>
      </c>
      <c r="Q682" s="720">
        <v>0</v>
      </c>
      <c r="R682" s="720">
        <v>0</v>
      </c>
      <c r="S682" s="720">
        <v>0</v>
      </c>
      <c r="T682" s="723">
        <f t="shared" si="153"/>
        <v>0</v>
      </c>
      <c r="U682" s="743">
        <f t="shared" si="154"/>
        <v>13318.42</v>
      </c>
      <c r="V682" s="720"/>
      <c r="W682" s="720"/>
      <c r="X682" s="720"/>
      <c r="Y682" s="720"/>
      <c r="Z682" s="745"/>
      <c r="AA682" s="749" t="s">
        <v>3308</v>
      </c>
      <c r="AB682" s="719"/>
      <c r="AC682" s="719"/>
      <c r="AD682" s="719"/>
      <c r="AE682" s="719"/>
    </row>
    <row r="683" spans="1:31" ht="23.25">
      <c r="A683" s="730" t="s">
        <v>3309</v>
      </c>
      <c r="B683" s="720" t="s">
        <v>634</v>
      </c>
      <c r="C683" s="731"/>
      <c r="D683" s="723">
        <v>674.56</v>
      </c>
      <c r="E683" s="723">
        <v>802.75</v>
      </c>
      <c r="F683" s="723">
        <f>356</f>
        <v>356</v>
      </c>
      <c r="G683" s="723">
        <f t="shared" si="155"/>
        <v>1833.31</v>
      </c>
      <c r="H683" s="723">
        <v>452.43</v>
      </c>
      <c r="I683" s="723">
        <v>487.43</v>
      </c>
      <c r="J683" s="723">
        <v>505.27</v>
      </c>
      <c r="K683" s="720">
        <f t="shared" si="156"/>
        <v>1445.13</v>
      </c>
      <c r="L683" s="720">
        <f t="shared" si="151"/>
        <v>3278.44</v>
      </c>
      <c r="M683" s="723">
        <v>281.74</v>
      </c>
      <c r="N683" s="723">
        <v>392.54</v>
      </c>
      <c r="O683" s="723">
        <v>335.3</v>
      </c>
      <c r="P683" s="720">
        <f t="shared" si="152"/>
        <v>1009.5799999999999</v>
      </c>
      <c r="Q683" s="720">
        <v>0</v>
      </c>
      <c r="R683" s="720">
        <v>0</v>
      </c>
      <c r="S683" s="720">
        <v>0</v>
      </c>
      <c r="T683" s="723">
        <f>SUM(N1065:P1065)</f>
        <v>0</v>
      </c>
      <c r="U683" s="743">
        <f>+P683+L683+N1065+O1065+P1065</f>
        <v>4288.0200000000004</v>
      </c>
      <c r="V683" s="720"/>
      <c r="W683" s="720"/>
      <c r="X683" s="720"/>
      <c r="Y683" s="720"/>
      <c r="Z683" s="745"/>
      <c r="AA683" s="749" t="s">
        <v>3309</v>
      </c>
      <c r="AB683" s="719"/>
      <c r="AC683" s="719"/>
      <c r="AD683" s="719"/>
      <c r="AE683" s="719"/>
    </row>
    <row r="684" spans="1:31" ht="23.25">
      <c r="A684" s="717"/>
      <c r="B684" s="750"/>
      <c r="C684" s="751"/>
      <c r="D684" s="752"/>
      <c r="E684" s="752"/>
      <c r="F684" s="752"/>
      <c r="G684" s="752"/>
      <c r="H684" s="752"/>
      <c r="I684" s="752"/>
      <c r="J684" s="752"/>
      <c r="K684" s="750"/>
      <c r="L684" s="752"/>
      <c r="M684" s="734"/>
      <c r="N684" s="734"/>
      <c r="O684" s="734"/>
      <c r="P684" s="718"/>
      <c r="Q684" s="718"/>
      <c r="R684" s="718"/>
      <c r="S684" s="718"/>
      <c r="T684" s="734"/>
      <c r="U684" s="739"/>
      <c r="V684" s="718"/>
      <c r="W684" s="720"/>
      <c r="X684" s="718"/>
      <c r="Y684" s="718"/>
      <c r="Z684" s="719"/>
      <c r="AA684" s="807"/>
      <c r="AB684" s="719"/>
      <c r="AC684" s="719"/>
      <c r="AD684" s="719"/>
      <c r="AE684" s="719"/>
    </row>
    <row r="685" spans="1:31" ht="20.25">
      <c r="A685" s="713"/>
      <c r="B685" s="753"/>
      <c r="C685" s="754"/>
      <c r="D685" s="755"/>
      <c r="E685" s="755"/>
      <c r="F685" s="755"/>
      <c r="G685" s="755"/>
      <c r="H685" s="755"/>
      <c r="I685" s="755"/>
      <c r="J685" s="755"/>
      <c r="K685" s="753"/>
      <c r="L685" s="755"/>
      <c r="M685" s="338"/>
      <c r="N685" s="338"/>
      <c r="O685" s="338"/>
      <c r="P685" s="337"/>
      <c r="Q685" s="337"/>
      <c r="R685" s="337"/>
      <c r="S685" s="337"/>
      <c r="T685" s="338"/>
      <c r="U685" s="806"/>
      <c r="V685" s="337"/>
      <c r="W685" s="342"/>
      <c r="X685" s="337"/>
      <c r="Y685" s="337"/>
      <c r="AA685" s="808"/>
    </row>
    <row r="686" spans="1:31" ht="20.25">
      <c r="A686" s="3058" t="s">
        <v>3313</v>
      </c>
      <c r="B686" s="3059"/>
      <c r="C686" s="3059"/>
      <c r="D686" s="3059"/>
      <c r="E686" s="3059"/>
      <c r="F686" s="3059"/>
      <c r="G686" s="3059"/>
      <c r="H686" s="3059"/>
      <c r="I686" s="3059"/>
      <c r="J686" s="3059"/>
      <c r="K686" s="3059"/>
      <c r="L686" s="3059"/>
      <c r="M686" s="3059"/>
      <c r="N686" s="3059"/>
      <c r="O686" s="3059"/>
      <c r="P686" s="3059"/>
      <c r="Q686" s="3059"/>
      <c r="R686" s="3059"/>
      <c r="S686" s="3059"/>
      <c r="T686" s="3059"/>
      <c r="U686" s="3060"/>
      <c r="AA686" s="808"/>
    </row>
    <row r="687" spans="1:31" ht="24">
      <c r="A687" s="390"/>
      <c r="B687" s="342" t="s">
        <v>519</v>
      </c>
      <c r="C687" s="394" t="s">
        <v>275</v>
      </c>
      <c r="D687" s="389" t="s">
        <v>722</v>
      </c>
      <c r="E687" s="389" t="s">
        <v>723</v>
      </c>
      <c r="F687" s="389" t="s">
        <v>2147</v>
      </c>
      <c r="G687" s="389" t="s">
        <v>2609</v>
      </c>
      <c r="H687" s="389" t="s">
        <v>725</v>
      </c>
      <c r="I687" s="389" t="s">
        <v>726</v>
      </c>
      <c r="J687" s="389" t="s">
        <v>727</v>
      </c>
      <c r="K687" s="389" t="s">
        <v>2610</v>
      </c>
      <c r="L687" s="389" t="s">
        <v>3148</v>
      </c>
      <c r="M687" s="389" t="s">
        <v>729</v>
      </c>
      <c r="N687" s="389" t="s">
        <v>730</v>
      </c>
      <c r="O687" s="2475" t="s">
        <v>731</v>
      </c>
      <c r="P687" s="389" t="s">
        <v>2611</v>
      </c>
      <c r="Q687" s="389" t="s">
        <v>732</v>
      </c>
      <c r="R687" s="389" t="s">
        <v>733</v>
      </c>
      <c r="S687" s="389" t="s">
        <v>734</v>
      </c>
      <c r="T687" s="426" t="s">
        <v>2612</v>
      </c>
      <c r="U687" s="735" t="s">
        <v>321</v>
      </c>
      <c r="V687" s="736" t="s">
        <v>732</v>
      </c>
      <c r="W687" s="736" t="s">
        <v>733</v>
      </c>
      <c r="X687" s="736"/>
      <c r="Y687" s="736" t="s">
        <v>3206</v>
      </c>
      <c r="AA687" s="808"/>
    </row>
    <row r="688" spans="1:31" ht="23.25">
      <c r="A688" s="390" t="s">
        <v>3085</v>
      </c>
      <c r="B688" s="342" t="s">
        <v>634</v>
      </c>
      <c r="C688" s="342">
        <v>18000</v>
      </c>
      <c r="D688" s="391">
        <f>'DAILY FLASH'!AN72</f>
        <v>187.2</v>
      </c>
      <c r="E688" s="391">
        <v>904.8</v>
      </c>
      <c r="F688" s="391">
        <v>1251.8999999999999</v>
      </c>
      <c r="G688" s="391">
        <f>+F688+E688+D688</f>
        <v>2343.8999999999996</v>
      </c>
      <c r="H688" s="391">
        <v>1520.9999999999998</v>
      </c>
      <c r="I688" s="391">
        <v>674.7</v>
      </c>
      <c r="J688" s="391">
        <v>425.1</v>
      </c>
      <c r="K688" s="391">
        <f>SUM(H688:J688)</f>
        <v>2620.7999999999997</v>
      </c>
      <c r="L688" s="342">
        <f t="shared" ref="L688:L699" si="157">+K688+G688</f>
        <v>4964.6999999999989</v>
      </c>
      <c r="M688" s="391">
        <v>308.10000000000002</v>
      </c>
      <c r="N688" s="391">
        <v>518.70000000000005</v>
      </c>
      <c r="O688" s="2476">
        <f>288.6-33</f>
        <v>255.60000000000002</v>
      </c>
      <c r="P688" s="391">
        <f>+O688+N688+M688</f>
        <v>1082.4000000000001</v>
      </c>
      <c r="Q688" s="391">
        <v>390</v>
      </c>
      <c r="R688" s="391">
        <v>382.2</v>
      </c>
      <c r="S688" s="391">
        <f>'DAILY FLASH'!AN72</f>
        <v>187.2</v>
      </c>
      <c r="T688" s="391">
        <f>+S688+R688+Q688</f>
        <v>959.4</v>
      </c>
      <c r="U688" s="391">
        <f>+T688+P688+L688</f>
        <v>7006.4999999999991</v>
      </c>
      <c r="V688" s="391"/>
      <c r="W688" s="391"/>
      <c r="X688" s="391"/>
      <c r="Y688" s="391"/>
      <c r="AA688" s="808" t="s">
        <v>3085</v>
      </c>
    </row>
    <row r="689" spans="1:27" ht="23.25">
      <c r="A689" s="390" t="s">
        <v>2341</v>
      </c>
      <c r="B689" s="342" t="s">
        <v>634</v>
      </c>
      <c r="C689" s="391">
        <v>30000</v>
      </c>
      <c r="D689" s="711">
        <f>'DAILY FLASH'!AN73</f>
        <v>2508.64</v>
      </c>
      <c r="E689" s="391">
        <v>4309.9900000000007</v>
      </c>
      <c r="F689" s="391">
        <v>3194.9100000000003</v>
      </c>
      <c r="G689" s="391">
        <f>+F689+E689+D689</f>
        <v>10013.540000000001</v>
      </c>
      <c r="H689" s="391">
        <v>3800.7700000000009</v>
      </c>
      <c r="I689" s="391">
        <v>2421.1100000000006</v>
      </c>
      <c r="J689" s="391">
        <v>2857.9000000000005</v>
      </c>
      <c r="K689" s="342">
        <f>SUM(H689:J689)</f>
        <v>9079.7800000000025</v>
      </c>
      <c r="L689" s="342">
        <f t="shared" si="157"/>
        <v>19093.320000000003</v>
      </c>
      <c r="M689" s="391">
        <f>2712.26+1068</f>
        <v>3780.26</v>
      </c>
      <c r="N689" s="391">
        <f>634.4+1068</f>
        <v>1702.4</v>
      </c>
      <c r="O689" s="2476">
        <f>1150.77+1068</f>
        <v>2218.77</v>
      </c>
      <c r="P689" s="391">
        <f t="shared" ref="P689:P697" si="158">+O689+N689+M689</f>
        <v>7701.43</v>
      </c>
      <c r="Q689" s="391">
        <v>2686.7999999999997</v>
      </c>
      <c r="R689" s="391">
        <v>3422.8</v>
      </c>
      <c r="S689" s="391">
        <f>'DAILY FLASH'!AN73</f>
        <v>2508.64</v>
      </c>
      <c r="T689" s="391">
        <f t="shared" ref="T689:T698" si="159">+S689+R689+Q689</f>
        <v>8618.24</v>
      </c>
      <c r="U689" s="391">
        <f t="shared" ref="U689:U698" si="160">+T689+P689+L689</f>
        <v>35412.990000000005</v>
      </c>
      <c r="V689" s="391"/>
      <c r="W689" s="391"/>
      <c r="X689" s="391"/>
      <c r="Y689" s="391"/>
      <c r="Z689">
        <f>3204/3</f>
        <v>1068</v>
      </c>
      <c r="AA689" s="808" t="s">
        <v>2341</v>
      </c>
    </row>
    <row r="690" spans="1:27" ht="24" thickBot="1">
      <c r="A690" s="395" t="s">
        <v>3150</v>
      </c>
      <c r="B690" s="346" t="s">
        <v>634</v>
      </c>
      <c r="C690" s="342">
        <v>10000</v>
      </c>
      <c r="D690" s="402">
        <f>'md cell'!C63+'md cell'!C64+'md cell'!C65</f>
        <v>448</v>
      </c>
      <c r="E690" s="391">
        <v>0</v>
      </c>
      <c r="F690" s="391">
        <v>201</v>
      </c>
      <c r="G690" s="391">
        <f>+F690+E690+D690</f>
        <v>649</v>
      </c>
      <c r="H690" s="391">
        <f>'md cell'!F63</f>
        <v>0</v>
      </c>
      <c r="I690" s="391">
        <v>116</v>
      </c>
      <c r="J690" s="391">
        <v>181.32</v>
      </c>
      <c r="K690" s="342">
        <f>SUM(H690:J690)</f>
        <v>297.32</v>
      </c>
      <c r="L690" s="342">
        <f t="shared" si="157"/>
        <v>946.31999999999994</v>
      </c>
      <c r="M690" s="391">
        <v>181</v>
      </c>
      <c r="N690" s="391">
        <v>0</v>
      </c>
      <c r="O690" s="2476"/>
      <c r="P690" s="391">
        <f t="shared" si="158"/>
        <v>181</v>
      </c>
      <c r="Q690" s="391">
        <v>282</v>
      </c>
      <c r="R690" s="391">
        <v>1200</v>
      </c>
      <c r="S690" s="391">
        <v>1078</v>
      </c>
      <c r="T690" s="391">
        <f t="shared" si="159"/>
        <v>2560</v>
      </c>
      <c r="U690" s="391">
        <f t="shared" si="160"/>
        <v>3687.3199999999997</v>
      </c>
      <c r="V690" s="391"/>
      <c r="W690" s="391"/>
      <c r="X690" s="391"/>
      <c r="Y690" s="391"/>
      <c r="AA690" s="808" t="s">
        <v>3150</v>
      </c>
    </row>
    <row r="691" spans="1:27" ht="24" thickBot="1">
      <c r="A691" s="395" t="s">
        <v>3906</v>
      </c>
      <c r="B691" s="342" t="s">
        <v>634</v>
      </c>
      <c r="C691" s="398">
        <v>9000</v>
      </c>
      <c r="D691" s="398">
        <f>'MIS MONTH WISE FUEL NMGCAL '!E82</f>
        <v>1207</v>
      </c>
      <c r="E691" s="398">
        <f>'MIS MONTH WISE FUEL NMGCAL '!F82</f>
        <v>0</v>
      </c>
      <c r="F691" s="398">
        <f>'MIS MONTH WISE FUEL NMGCAL '!G82</f>
        <v>0</v>
      </c>
      <c r="G691" s="391">
        <f>+F691+E691+D691</f>
        <v>1207</v>
      </c>
      <c r="H691" s="398">
        <f>'MIS MONTH WISE FUEL NMGCAL '!H82</f>
        <v>0</v>
      </c>
      <c r="I691" s="398">
        <f>'MIS MONTH WISE FUEL NMGCAL '!I82</f>
        <v>0</v>
      </c>
      <c r="J691" s="398">
        <f>'MIS MONTH WISE FUEL NMGCAL '!J82</f>
        <v>0</v>
      </c>
      <c r="K691" s="342">
        <f>SUM(H691:J691)</f>
        <v>0</v>
      </c>
      <c r="L691" s="342">
        <f t="shared" si="157"/>
        <v>1207</v>
      </c>
      <c r="M691" s="398">
        <f>'MIS MONTH WISE FUEL NMGCAL '!L82</f>
        <v>0</v>
      </c>
      <c r="N691" s="391">
        <f>'MIS MONTH WISE FUEL NMGCAL '!M82</f>
        <v>0</v>
      </c>
      <c r="O691" s="2476">
        <f>'MIS MONTH WISE FUEL NMGCAL '!N82</f>
        <v>0</v>
      </c>
      <c r="P691" s="391">
        <f t="shared" si="158"/>
        <v>0</v>
      </c>
      <c r="Q691" s="391"/>
      <c r="R691" s="391"/>
      <c r="S691" s="391"/>
      <c r="T691" s="391">
        <f t="shared" si="159"/>
        <v>0</v>
      </c>
      <c r="U691" s="391">
        <f t="shared" si="160"/>
        <v>1207</v>
      </c>
      <c r="V691" s="391"/>
      <c r="W691" s="391"/>
      <c r="X691" s="391"/>
      <c r="Y691" s="391"/>
      <c r="AA691" s="808" t="s">
        <v>3151</v>
      </c>
    </row>
    <row r="692" spans="1:27" ht="24" thickBot="1">
      <c r="A692" s="395" t="s">
        <v>3152</v>
      </c>
      <c r="B692" s="396" t="s">
        <v>3153</v>
      </c>
      <c r="C692" s="716">
        <v>2000</v>
      </c>
      <c r="D692" s="396">
        <v>0</v>
      </c>
      <c r="E692" s="391">
        <v>2094</v>
      </c>
      <c r="F692" s="391">
        <v>1798</v>
      </c>
      <c r="G692" s="391">
        <f>+F692+E692+D692</f>
        <v>3892</v>
      </c>
      <c r="H692" s="391">
        <v>1793</v>
      </c>
      <c r="I692" s="391">
        <v>1607</v>
      </c>
      <c r="J692" s="391">
        <v>1696</v>
      </c>
      <c r="K692" s="342"/>
      <c r="L692" s="342">
        <f t="shared" si="157"/>
        <v>3892</v>
      </c>
      <c r="M692" s="391">
        <v>1935</v>
      </c>
      <c r="N692" s="391"/>
      <c r="O692" s="2476"/>
      <c r="P692" s="391">
        <f t="shared" si="158"/>
        <v>1935</v>
      </c>
      <c r="Q692" s="391"/>
      <c r="R692" s="391"/>
      <c r="S692" s="391"/>
      <c r="T692" s="391">
        <f t="shared" si="159"/>
        <v>0</v>
      </c>
      <c r="U692" s="391">
        <f t="shared" si="160"/>
        <v>5827</v>
      </c>
      <c r="V692" s="391"/>
      <c r="W692" s="391"/>
      <c r="X692" s="391"/>
      <c r="Y692" s="391"/>
      <c r="AA692" s="808" t="s">
        <v>3152</v>
      </c>
    </row>
    <row r="693" spans="1:27" ht="20.25">
      <c r="A693" s="617" t="s">
        <v>3247</v>
      </c>
      <c r="B693" s="342" t="s">
        <v>634</v>
      </c>
      <c r="C693" s="13"/>
      <c r="D693" s="391">
        <f>'DAILY FLASH'!AU105</f>
        <v>1168.7899999999997</v>
      </c>
      <c r="E693" s="391">
        <v>2596.31</v>
      </c>
      <c r="F693" s="391">
        <v>1549.15</v>
      </c>
      <c r="G693" s="391">
        <f t="shared" ref="G693:G698" si="161">+F693+E693+D693</f>
        <v>5314.25</v>
      </c>
      <c r="H693" s="391">
        <v>2301.2200000000003</v>
      </c>
      <c r="I693" s="391">
        <v>1224.73</v>
      </c>
      <c r="J693" s="391">
        <v>1573.91</v>
      </c>
      <c r="K693" s="342">
        <f t="shared" ref="K693:K698" si="162">SUM(H693:J693)</f>
        <v>5099.8600000000006</v>
      </c>
      <c r="L693" s="342">
        <f t="shared" si="157"/>
        <v>10414.11</v>
      </c>
      <c r="M693" s="391">
        <v>1341.7800000000002</v>
      </c>
      <c r="N693" s="391">
        <v>777.04</v>
      </c>
      <c r="O693" s="2476">
        <v>291.53999999999996</v>
      </c>
      <c r="P693" s="391">
        <f t="shared" si="158"/>
        <v>2410.36</v>
      </c>
      <c r="Q693" s="391">
        <v>1473.7299999999998</v>
      </c>
      <c r="R693" s="391">
        <v>1485</v>
      </c>
      <c r="S693" s="391">
        <f>'DAILY FLASH'!AU105</f>
        <v>1168.7899999999997</v>
      </c>
      <c r="T693" s="391">
        <f t="shared" si="159"/>
        <v>4127.5199999999995</v>
      </c>
      <c r="U693" s="391">
        <f t="shared" si="160"/>
        <v>16951.989999999998</v>
      </c>
      <c r="V693" s="391"/>
      <c r="W693" s="391"/>
      <c r="X693" s="391"/>
      <c r="Y693" s="391"/>
      <c r="AA693" s="808" t="s">
        <v>3247</v>
      </c>
    </row>
    <row r="694" spans="1:27" ht="20.25">
      <c r="A694" s="617" t="s">
        <v>3306</v>
      </c>
      <c r="B694" s="342" t="s">
        <v>634</v>
      </c>
      <c r="C694" s="13"/>
      <c r="D694" s="342">
        <f>'DAILY FLASH'!AU101</f>
        <v>430.02</v>
      </c>
      <c r="E694" s="391">
        <v>132.75</v>
      </c>
      <c r="F694" s="391">
        <v>377.27000000000004</v>
      </c>
      <c r="G694" s="391">
        <f t="shared" si="161"/>
        <v>940.04</v>
      </c>
      <c r="H694" s="391">
        <v>223.65</v>
      </c>
      <c r="I694" s="391">
        <v>222.18</v>
      </c>
      <c r="J694" s="391">
        <v>453.94</v>
      </c>
      <c r="K694" s="342">
        <f t="shared" si="162"/>
        <v>899.77</v>
      </c>
      <c r="L694" s="342">
        <f t="shared" si="157"/>
        <v>1839.81</v>
      </c>
      <c r="M694" s="391">
        <v>574.02</v>
      </c>
      <c r="N694" s="391">
        <v>244.74999999999997</v>
      </c>
      <c r="O694" s="2476">
        <v>361.04999999999995</v>
      </c>
      <c r="P694" s="391">
        <f t="shared" si="158"/>
        <v>1179.82</v>
      </c>
      <c r="Q694" s="391">
        <v>166.79999999999998</v>
      </c>
      <c r="R694" s="391">
        <v>706.98000000000013</v>
      </c>
      <c r="S694" s="391">
        <f>'DAILY FLASH'!AQ102</f>
        <v>430.02</v>
      </c>
      <c r="T694" s="391">
        <f t="shared" si="159"/>
        <v>1303.8</v>
      </c>
      <c r="U694" s="391">
        <f t="shared" si="160"/>
        <v>4323.43</v>
      </c>
      <c r="V694" s="391"/>
      <c r="W694" s="391"/>
      <c r="X694" s="391"/>
      <c r="Y694" s="391"/>
      <c r="AA694" s="808" t="s">
        <v>3306</v>
      </c>
    </row>
    <row r="695" spans="1:27" ht="20.25">
      <c r="A695" s="617" t="s">
        <v>3307</v>
      </c>
      <c r="B695" s="342" t="s">
        <v>634</v>
      </c>
      <c r="C695" s="13"/>
      <c r="D695" s="342">
        <f>'DAILY FLASH'!AU103</f>
        <v>1311.7000000000003</v>
      </c>
      <c r="E695" s="391">
        <v>948.39999999999986</v>
      </c>
      <c r="F695" s="391">
        <v>695.35</v>
      </c>
      <c r="G695" s="391">
        <f t="shared" si="161"/>
        <v>2955.4500000000003</v>
      </c>
      <c r="H695" s="391">
        <v>610.96</v>
      </c>
      <c r="I695" s="391">
        <v>1256.5800000000002</v>
      </c>
      <c r="J695" s="391">
        <v>1026.02</v>
      </c>
      <c r="K695" s="342">
        <f t="shared" si="162"/>
        <v>2893.5600000000004</v>
      </c>
      <c r="L695" s="342">
        <f t="shared" si="157"/>
        <v>5849.01</v>
      </c>
      <c r="M695" s="391">
        <v>880.99</v>
      </c>
      <c r="N695" s="391">
        <v>1026.4100000000001</v>
      </c>
      <c r="O695" s="2476">
        <v>1451.3700000000001</v>
      </c>
      <c r="P695" s="391">
        <f t="shared" si="158"/>
        <v>3358.7700000000004</v>
      </c>
      <c r="Q695" s="391">
        <v>1060.8</v>
      </c>
      <c r="R695" s="391">
        <v>944.52899999999977</v>
      </c>
      <c r="S695" s="391">
        <f>'DAILY FLASH'!AU103</f>
        <v>1311.7000000000003</v>
      </c>
      <c r="T695" s="391">
        <f t="shared" si="159"/>
        <v>3317.0290000000005</v>
      </c>
      <c r="U695" s="391">
        <f t="shared" si="160"/>
        <v>12524.809000000001</v>
      </c>
      <c r="V695" s="391"/>
      <c r="W695" s="391"/>
      <c r="X695" s="391"/>
      <c r="Y695" s="391"/>
      <c r="AA695" s="808" t="s">
        <v>3307</v>
      </c>
    </row>
    <row r="696" spans="1:27" ht="20.25">
      <c r="A696" s="617" t="s">
        <v>3311</v>
      </c>
      <c r="B696" s="342" t="s">
        <v>634</v>
      </c>
      <c r="C696" s="13"/>
      <c r="D696" s="342">
        <v>438.17999999999995</v>
      </c>
      <c r="E696" s="391">
        <v>693.2</v>
      </c>
      <c r="F696" s="391">
        <v>828.65</v>
      </c>
      <c r="G696" s="391">
        <f t="shared" si="161"/>
        <v>1960.0299999999997</v>
      </c>
      <c r="H696" s="391">
        <v>665.61</v>
      </c>
      <c r="I696" s="391">
        <v>528.53099999999995</v>
      </c>
      <c r="J696" s="391">
        <v>366.00000000000006</v>
      </c>
      <c r="K696" s="342">
        <f t="shared" si="162"/>
        <v>1560.1410000000001</v>
      </c>
      <c r="L696" s="342">
        <f t="shared" si="157"/>
        <v>3520.1709999999998</v>
      </c>
      <c r="M696" s="391">
        <v>369.47000000000008</v>
      </c>
      <c r="N696" s="391">
        <v>302.37</v>
      </c>
      <c r="O696" s="2476">
        <v>339.09000000000003</v>
      </c>
      <c r="P696" s="391">
        <f t="shared" si="158"/>
        <v>1010.9300000000001</v>
      </c>
      <c r="Q696" s="391">
        <v>437.79999999999995</v>
      </c>
      <c r="R696" s="391">
        <v>242.25</v>
      </c>
      <c r="S696" s="391">
        <f>'DAILY FLASH'!AQ104</f>
        <v>303.28000000000003</v>
      </c>
      <c r="T696" s="391">
        <f t="shared" si="159"/>
        <v>983.32999999999993</v>
      </c>
      <c r="U696" s="391">
        <f t="shared" si="160"/>
        <v>5514.4309999999996</v>
      </c>
      <c r="V696" s="391"/>
      <c r="W696" s="391"/>
      <c r="X696" s="391"/>
      <c r="Y696" s="391"/>
      <c r="AA696" s="808" t="s">
        <v>3311</v>
      </c>
    </row>
    <row r="697" spans="1:27" ht="20.25">
      <c r="A697" s="617" t="s">
        <v>3308</v>
      </c>
      <c r="B697" s="342" t="s">
        <v>634</v>
      </c>
      <c r="C697" s="13"/>
      <c r="D697" s="391">
        <f>'DAILY FLASH'!AW102+'DAILY FLASH'!AW103</f>
        <v>1571.0600000000002</v>
      </c>
      <c r="E697" s="391">
        <v>1029.3499999999999</v>
      </c>
      <c r="F697" s="391">
        <v>870.76</v>
      </c>
      <c r="G697" s="391">
        <f t="shared" si="161"/>
        <v>3471.17</v>
      </c>
      <c r="H697" s="391">
        <v>1599.9199999999998</v>
      </c>
      <c r="I697" s="391">
        <v>1443.7800000000002</v>
      </c>
      <c r="J697" s="391">
        <v>1345.18</v>
      </c>
      <c r="K697" s="342">
        <f t="shared" si="162"/>
        <v>4388.88</v>
      </c>
      <c r="L697" s="342">
        <f t="shared" si="157"/>
        <v>7860.05</v>
      </c>
      <c r="M697" s="391">
        <v>1027.6599999999999</v>
      </c>
      <c r="N697" s="391">
        <v>1390.87</v>
      </c>
      <c r="O697" s="2476">
        <v>1532.95</v>
      </c>
      <c r="P697" s="391">
        <f t="shared" si="158"/>
        <v>3951.4799999999996</v>
      </c>
      <c r="Q697" s="391">
        <v>1760.12</v>
      </c>
      <c r="R697" s="391">
        <v>1828.07</v>
      </c>
      <c r="S697" s="391">
        <f>'DAILY FLASH'!AW103+'DAILY FLASH'!AW102</f>
        <v>1571.0600000000002</v>
      </c>
      <c r="T697" s="391">
        <f t="shared" si="159"/>
        <v>5159.25</v>
      </c>
      <c r="U697" s="391">
        <f t="shared" si="160"/>
        <v>16970.78</v>
      </c>
      <c r="V697" s="391"/>
      <c r="W697" s="391"/>
      <c r="X697" s="391"/>
      <c r="Y697" s="391"/>
      <c r="AA697" s="808" t="s">
        <v>3308</v>
      </c>
    </row>
    <row r="698" spans="1:27" ht="20.25">
      <c r="A698" s="617" t="s">
        <v>3309</v>
      </c>
      <c r="B698" s="342" t="s">
        <v>634</v>
      </c>
      <c r="C698" s="13"/>
      <c r="D698" s="391">
        <f>'DAILY FLASH'!AW104</f>
        <v>311.17500000000001</v>
      </c>
      <c r="E698" s="755">
        <v>396.56</v>
      </c>
      <c r="F698" s="755">
        <v>341.26</v>
      </c>
      <c r="G698" s="391">
        <f t="shared" si="161"/>
        <v>1048.9949999999999</v>
      </c>
      <c r="H698" s="755">
        <v>770.21</v>
      </c>
      <c r="I698" s="755">
        <v>478.98999999999995</v>
      </c>
      <c r="J698" s="755">
        <v>682.59</v>
      </c>
      <c r="K698" s="342">
        <f t="shared" si="162"/>
        <v>1931.79</v>
      </c>
      <c r="L698" s="342">
        <f t="shared" si="157"/>
        <v>2980.7849999999999</v>
      </c>
      <c r="M698" s="391">
        <v>243.28</v>
      </c>
      <c r="N698" s="391">
        <v>566.88</v>
      </c>
      <c r="O698" s="755">
        <v>457.88</v>
      </c>
      <c r="P698" s="755"/>
      <c r="Q698" s="391">
        <v>510.71999999999997</v>
      </c>
      <c r="R698" s="755">
        <v>272.26</v>
      </c>
      <c r="S698" s="755">
        <f>'DAILY FLASH'!AW104</f>
        <v>311.17500000000001</v>
      </c>
      <c r="T698" s="391">
        <f t="shared" si="159"/>
        <v>1094.155</v>
      </c>
      <c r="U698" s="391">
        <f t="shared" si="160"/>
        <v>4074.9399999999996</v>
      </c>
      <c r="V698" s="755"/>
      <c r="W698" s="755"/>
      <c r="X698" s="755"/>
      <c r="Y698" s="755"/>
      <c r="AA698" s="808" t="s">
        <v>3309</v>
      </c>
    </row>
    <row r="699" spans="1:27" ht="23.25">
      <c r="A699" s="2519" t="s">
        <v>3900</v>
      </c>
      <c r="B699" s="2520"/>
      <c r="C699" s="2521"/>
      <c r="D699" s="2522">
        <f>'MIS MONTH WISE FUEL NMGCAL '!E83</f>
        <v>1096</v>
      </c>
      <c r="E699" s="2522">
        <f>'MIS MONTH WISE FUEL NMGCAL '!F83</f>
        <v>0</v>
      </c>
      <c r="F699" s="2522">
        <f>'MIS MONTH WISE FUEL NMGCAL '!G83</f>
        <v>0</v>
      </c>
      <c r="G699" s="724">
        <f>+F699+E699+D699</f>
        <v>1096</v>
      </c>
      <c r="H699" s="2522">
        <f>'MIS MONTH WISE FUEL NMGCAL '!H83</f>
        <v>0</v>
      </c>
      <c r="I699" s="2522">
        <f>'MIS MONTH WISE FUEL NMGCAL '!I83</f>
        <v>0</v>
      </c>
      <c r="J699" s="2522">
        <f>'MIS MONTH WISE FUEL NMGCAL '!J83</f>
        <v>0</v>
      </c>
      <c r="K699" s="724">
        <f>SUM(H699:J699)</f>
        <v>0</v>
      </c>
      <c r="L699" s="342">
        <f t="shared" si="157"/>
        <v>1096</v>
      </c>
      <c r="M699" s="337">
        <v>0</v>
      </c>
      <c r="N699" s="338">
        <f>'MIS MONTH WISE FUEL NMGCAL '!M83</f>
        <v>0</v>
      </c>
      <c r="O699" s="338">
        <f>'MIS MONTH WISE FUEL NMGCAL '!N83</f>
        <v>0</v>
      </c>
      <c r="P699" s="337"/>
      <c r="Q699" s="337"/>
      <c r="R699" s="337"/>
      <c r="S699" s="337"/>
      <c r="T699" s="338"/>
      <c r="U699" s="806"/>
      <c r="W699" s="342"/>
      <c r="X699" s="337"/>
    </row>
    <row r="700" spans="1:27" ht="20.25">
      <c r="A700" s="713"/>
      <c r="B700" s="337"/>
      <c r="D700" s="338"/>
      <c r="E700" s="338"/>
      <c r="F700" s="338"/>
      <c r="G700" s="338"/>
      <c r="H700" s="337"/>
      <c r="I700" s="337"/>
      <c r="J700" s="337"/>
      <c r="K700" s="337"/>
      <c r="L700" s="338"/>
      <c r="M700" s="337"/>
      <c r="N700" s="337"/>
      <c r="O700" s="337"/>
      <c r="P700" s="337"/>
      <c r="Q700" s="337"/>
      <c r="R700" s="337"/>
      <c r="S700" s="337"/>
      <c r="T700" s="338"/>
      <c r="U700" s="806"/>
      <c r="W700" s="337"/>
      <c r="X700" s="337"/>
    </row>
    <row r="701" spans="1:27" ht="20.25">
      <c r="A701" s="713" t="s">
        <v>4174</v>
      </c>
      <c r="B701" s="337"/>
      <c r="D701" s="338"/>
      <c r="E701" s="338"/>
      <c r="F701" s="338"/>
      <c r="G701" s="338"/>
      <c r="H701" s="337"/>
      <c r="I701" s="337"/>
      <c r="J701" s="337"/>
      <c r="K701" s="337"/>
      <c r="L701" s="338"/>
      <c r="M701" s="337"/>
      <c r="N701" s="337"/>
      <c r="O701" s="337"/>
      <c r="P701" s="337"/>
      <c r="Q701" s="337"/>
      <c r="R701" s="337"/>
      <c r="S701" s="337"/>
      <c r="T701" s="338"/>
      <c r="U701" s="806"/>
      <c r="W701" s="337"/>
      <c r="X701" s="337"/>
    </row>
    <row r="702" spans="1:27" ht="20.25">
      <c r="A702" s="713"/>
      <c r="B702" s="2694" t="s">
        <v>519</v>
      </c>
      <c r="C702" t="s">
        <v>275</v>
      </c>
      <c r="D702" s="338" t="s">
        <v>722</v>
      </c>
      <c r="E702" s="338" t="s">
        <v>723</v>
      </c>
      <c r="F702" s="338" t="s">
        <v>2147</v>
      </c>
      <c r="G702" s="338" t="s">
        <v>2609</v>
      </c>
      <c r="H702" s="2694" t="s">
        <v>725</v>
      </c>
      <c r="I702" s="2694" t="s">
        <v>726</v>
      </c>
      <c r="J702" s="2694" t="s">
        <v>727</v>
      </c>
      <c r="K702" s="2694" t="s">
        <v>2610</v>
      </c>
      <c r="L702" s="338" t="s">
        <v>3148</v>
      </c>
      <c r="M702" s="2694" t="s">
        <v>729</v>
      </c>
      <c r="N702" s="2694" t="s">
        <v>730</v>
      </c>
      <c r="O702" s="2694" t="s">
        <v>731</v>
      </c>
      <c r="P702" s="2694" t="s">
        <v>2611</v>
      </c>
      <c r="Q702" s="2694" t="s">
        <v>732</v>
      </c>
      <c r="R702" s="2694" t="s">
        <v>733</v>
      </c>
      <c r="S702" s="2694" t="s">
        <v>734</v>
      </c>
      <c r="T702" s="338" t="s">
        <v>2612</v>
      </c>
      <c r="U702" s="806" t="s">
        <v>321</v>
      </c>
      <c r="W702" s="2694"/>
      <c r="X702" s="2694"/>
    </row>
    <row r="703" spans="1:27" ht="21.75">
      <c r="A703" s="713" t="s">
        <v>3085</v>
      </c>
      <c r="B703" s="2694" t="s">
        <v>634</v>
      </c>
      <c r="C703">
        <v>18000</v>
      </c>
      <c r="D703" s="338">
        <v>397.79999999999995</v>
      </c>
      <c r="E703" s="711">
        <f>'md cell'!F22</f>
        <v>187.2</v>
      </c>
      <c r="F703" s="711">
        <v>0</v>
      </c>
      <c r="G703" s="391">
        <f t="shared" ref="G703:G713" si="163">+F703+E703+D703</f>
        <v>585</v>
      </c>
      <c r="H703" s="2694">
        <v>0</v>
      </c>
      <c r="I703" s="2694">
        <v>0</v>
      </c>
      <c r="J703" s="2694">
        <v>0</v>
      </c>
      <c r="K703" s="391">
        <f t="shared" ref="K703:K713" si="164">SUM(H703:J703)</f>
        <v>0</v>
      </c>
      <c r="L703" s="338">
        <v>4777.5</v>
      </c>
      <c r="M703" s="2694">
        <v>0</v>
      </c>
      <c r="N703" s="2694">
        <v>0</v>
      </c>
      <c r="O703" s="2694">
        <v>0</v>
      </c>
      <c r="P703" s="391">
        <f t="shared" ref="P703:P712" si="165">+O703+N703+M703</f>
        <v>0</v>
      </c>
      <c r="Q703" s="711">
        <v>0</v>
      </c>
      <c r="R703" s="711">
        <v>0</v>
      </c>
      <c r="S703" s="711">
        <v>0</v>
      </c>
      <c r="T703" s="338">
        <v>772.2</v>
      </c>
      <c r="U703" s="806">
        <v>6632.1</v>
      </c>
      <c r="W703" s="2694"/>
      <c r="X703" s="2694"/>
    </row>
    <row r="704" spans="1:27" ht="21.75">
      <c r="A704" s="713" t="s">
        <v>2341</v>
      </c>
      <c r="B704" s="2694" t="s">
        <v>634</v>
      </c>
      <c r="C704">
        <v>30000</v>
      </c>
      <c r="D704" s="338">
        <v>2500.1999999999998</v>
      </c>
      <c r="E704" s="711">
        <f>'md cell'!F23</f>
        <v>2508.64</v>
      </c>
      <c r="F704" s="711">
        <v>0</v>
      </c>
      <c r="G704" s="391">
        <f t="shared" si="163"/>
        <v>5008.84</v>
      </c>
      <c r="H704" s="2694">
        <v>0</v>
      </c>
      <c r="I704" s="2694">
        <v>0</v>
      </c>
      <c r="J704" s="2694">
        <v>0</v>
      </c>
      <c r="K704" s="391">
        <f t="shared" si="164"/>
        <v>0</v>
      </c>
      <c r="L704" s="338">
        <v>16584.680000000004</v>
      </c>
      <c r="M704" s="2694">
        <v>0</v>
      </c>
      <c r="N704" s="2694">
        <v>0</v>
      </c>
      <c r="O704" s="2694">
        <v>0</v>
      </c>
      <c r="P704" s="391">
        <f t="shared" si="165"/>
        <v>0</v>
      </c>
      <c r="Q704" s="711">
        <v>0</v>
      </c>
      <c r="R704" s="711">
        <v>0</v>
      </c>
      <c r="S704" s="711">
        <v>0</v>
      </c>
      <c r="T704" s="338">
        <v>6109.6</v>
      </c>
      <c r="U704" s="806">
        <v>30395.710000000006</v>
      </c>
      <c r="W704" s="2694"/>
      <c r="X704" s="2694"/>
    </row>
    <row r="705" spans="1:24" ht="21.75">
      <c r="A705" s="713" t="s">
        <v>3150</v>
      </c>
      <c r="B705" s="2694" t="s">
        <v>634</v>
      </c>
      <c r="C705">
        <v>10000</v>
      </c>
      <c r="D705" s="338">
        <v>1078</v>
      </c>
      <c r="E705" s="711">
        <f>'md cell'!K37+'md cell'!K38+'md cell'!K39</f>
        <v>474.63800000000003</v>
      </c>
      <c r="F705" s="711">
        <v>0</v>
      </c>
      <c r="G705" s="391">
        <f t="shared" si="163"/>
        <v>1552.6379999999999</v>
      </c>
      <c r="H705" s="2694">
        <v>0</v>
      </c>
      <c r="I705" s="2694">
        <v>0</v>
      </c>
      <c r="J705" s="2694">
        <v>0</v>
      </c>
      <c r="K705" s="391">
        <f t="shared" si="164"/>
        <v>0</v>
      </c>
      <c r="L705" s="338">
        <v>498.32</v>
      </c>
      <c r="M705" s="2694">
        <v>0</v>
      </c>
      <c r="N705" s="2694">
        <v>0</v>
      </c>
      <c r="O705" s="2694">
        <v>0</v>
      </c>
      <c r="P705" s="391">
        <f t="shared" si="165"/>
        <v>0</v>
      </c>
      <c r="Q705" s="711">
        <v>0</v>
      </c>
      <c r="R705" s="711">
        <v>0</v>
      </c>
      <c r="S705" s="711">
        <v>0</v>
      </c>
      <c r="T705" s="338">
        <v>2560</v>
      </c>
      <c r="U705" s="806">
        <v>3239.32</v>
      </c>
      <c r="W705" s="2694"/>
      <c r="X705" s="2694"/>
    </row>
    <row r="706" spans="1:24" ht="21.75">
      <c r="A706" s="713" t="s">
        <v>3906</v>
      </c>
      <c r="B706" s="2694" t="s">
        <v>634</v>
      </c>
      <c r="C706">
        <v>9000</v>
      </c>
      <c r="D706" s="338"/>
      <c r="E706" s="711">
        <v>0</v>
      </c>
      <c r="F706" s="711">
        <v>0</v>
      </c>
      <c r="G706" s="391">
        <f t="shared" si="163"/>
        <v>0</v>
      </c>
      <c r="H706" s="2694">
        <v>0</v>
      </c>
      <c r="I706" s="2694">
        <v>0</v>
      </c>
      <c r="J706" s="2694">
        <v>0</v>
      </c>
      <c r="K706" s="391">
        <f t="shared" si="164"/>
        <v>0</v>
      </c>
      <c r="L706" s="338">
        <v>0</v>
      </c>
      <c r="M706" s="2694">
        <v>0</v>
      </c>
      <c r="N706" s="2694">
        <v>0</v>
      </c>
      <c r="O706" s="2694">
        <v>0</v>
      </c>
      <c r="P706" s="391">
        <f t="shared" si="165"/>
        <v>0</v>
      </c>
      <c r="Q706" s="711">
        <v>0</v>
      </c>
      <c r="R706" s="711">
        <v>0</v>
      </c>
      <c r="S706" s="711">
        <v>0</v>
      </c>
      <c r="T706" s="338">
        <v>0</v>
      </c>
      <c r="U706" s="806">
        <v>0</v>
      </c>
      <c r="W706" s="2694"/>
      <c r="X706" s="2694"/>
    </row>
    <row r="707" spans="1:24" ht="21.75">
      <c r="A707" s="713" t="s">
        <v>3152</v>
      </c>
      <c r="B707" s="2694" t="s">
        <v>3153</v>
      </c>
      <c r="C707">
        <v>2000</v>
      </c>
      <c r="D707" s="338"/>
      <c r="E707" s="711">
        <v>0</v>
      </c>
      <c r="F707" s="711">
        <v>0</v>
      </c>
      <c r="G707" s="391">
        <f t="shared" si="163"/>
        <v>0</v>
      </c>
      <c r="H707" s="2694">
        <v>0</v>
      </c>
      <c r="I707" s="2694">
        <v>0</v>
      </c>
      <c r="J707" s="2694">
        <v>0</v>
      </c>
      <c r="K707" s="391">
        <f t="shared" si="164"/>
        <v>0</v>
      </c>
      <c r="L707" s="338">
        <v>3892</v>
      </c>
      <c r="M707" s="2694">
        <v>0</v>
      </c>
      <c r="N707" s="2694">
        <v>0</v>
      </c>
      <c r="O707" s="2694">
        <v>0</v>
      </c>
      <c r="P707" s="391">
        <f t="shared" si="165"/>
        <v>0</v>
      </c>
      <c r="Q707" s="711">
        <v>0</v>
      </c>
      <c r="R707" s="711">
        <v>0</v>
      </c>
      <c r="S707" s="711">
        <v>0</v>
      </c>
      <c r="T707" s="338">
        <v>0</v>
      </c>
      <c r="U707" s="806">
        <v>5827</v>
      </c>
      <c r="W707" s="2694"/>
      <c r="X707" s="2694"/>
    </row>
    <row r="708" spans="1:24" ht="21.75">
      <c r="A708" s="713" t="s">
        <v>3247</v>
      </c>
      <c r="B708" s="2694" t="s">
        <v>634</v>
      </c>
      <c r="D708" s="338">
        <v>1820.96</v>
      </c>
      <c r="E708" s="711">
        <f>'DAILY FLASH'!AU105</f>
        <v>1168.7899999999997</v>
      </c>
      <c r="F708" s="711">
        <v>0</v>
      </c>
      <c r="G708" s="391">
        <f t="shared" si="163"/>
        <v>2989.75</v>
      </c>
      <c r="H708" s="2694">
        <v>0</v>
      </c>
      <c r="I708" s="2694">
        <v>0</v>
      </c>
      <c r="J708" s="2694">
        <v>0</v>
      </c>
      <c r="K708" s="391">
        <f t="shared" si="164"/>
        <v>0</v>
      </c>
      <c r="L708" s="338">
        <v>11066.28</v>
      </c>
      <c r="M708" s="2694">
        <v>0</v>
      </c>
      <c r="N708" s="2694">
        <v>0</v>
      </c>
      <c r="O708" s="2694">
        <v>0</v>
      </c>
      <c r="P708" s="391">
        <f t="shared" si="165"/>
        <v>0</v>
      </c>
      <c r="Q708" s="711">
        <v>0</v>
      </c>
      <c r="R708" s="711">
        <v>0</v>
      </c>
      <c r="S708" s="711">
        <v>0</v>
      </c>
      <c r="T708" s="338">
        <v>4779.6899999999996</v>
      </c>
      <c r="U708" s="806">
        <v>18256.330000000002</v>
      </c>
      <c r="W708" s="2694"/>
      <c r="X708" s="2694"/>
    </row>
    <row r="709" spans="1:24" ht="21.75">
      <c r="A709" s="713" t="s">
        <v>3306</v>
      </c>
      <c r="B709" s="2694" t="s">
        <v>634</v>
      </c>
      <c r="D709" s="338">
        <v>628.71999999999991</v>
      </c>
      <c r="E709" s="711">
        <f>'DAILY FLASH'!AU101</f>
        <v>430.02</v>
      </c>
      <c r="F709" s="711">
        <v>0</v>
      </c>
      <c r="G709" s="391">
        <f t="shared" si="163"/>
        <v>1058.7399999999998</v>
      </c>
      <c r="H709" s="2694">
        <v>0</v>
      </c>
      <c r="I709" s="2694">
        <v>0</v>
      </c>
      <c r="J709" s="2694">
        <v>0</v>
      </c>
      <c r="K709" s="391">
        <f t="shared" si="164"/>
        <v>0</v>
      </c>
      <c r="L709" s="338">
        <v>1409.79</v>
      </c>
      <c r="M709" s="2694">
        <v>0</v>
      </c>
      <c r="N709" s="2694">
        <v>0</v>
      </c>
      <c r="O709" s="2694">
        <v>0</v>
      </c>
      <c r="P709" s="391">
        <f t="shared" si="165"/>
        <v>0</v>
      </c>
      <c r="Q709" s="711">
        <v>0</v>
      </c>
      <c r="R709" s="711">
        <v>0</v>
      </c>
      <c r="S709" s="711">
        <v>0</v>
      </c>
      <c r="T709" s="338">
        <v>873.78000000000009</v>
      </c>
      <c r="U709" s="806">
        <v>3463.39</v>
      </c>
      <c r="W709" s="2694"/>
      <c r="X709" s="2694"/>
    </row>
    <row r="710" spans="1:24" ht="21.75">
      <c r="A710" s="713" t="s">
        <v>3307</v>
      </c>
      <c r="B710" s="2694" t="s">
        <v>634</v>
      </c>
      <c r="D710" s="338">
        <v>980.36</v>
      </c>
      <c r="E710" s="711">
        <f>'DAILY FLASH'!AU103</f>
        <v>1311.7000000000003</v>
      </c>
      <c r="F710" s="711">
        <v>0</v>
      </c>
      <c r="G710" s="391">
        <f t="shared" si="163"/>
        <v>2292.0600000000004</v>
      </c>
      <c r="H710" s="2694">
        <v>0</v>
      </c>
      <c r="I710" s="2694">
        <v>0</v>
      </c>
      <c r="J710" s="2694">
        <v>0</v>
      </c>
      <c r="K710" s="391">
        <f t="shared" si="164"/>
        <v>0</v>
      </c>
      <c r="L710" s="338">
        <v>4537.3100000000004</v>
      </c>
      <c r="M710" s="2694">
        <v>0</v>
      </c>
      <c r="N710" s="2694">
        <v>0</v>
      </c>
      <c r="O710" s="2694">
        <v>0</v>
      </c>
      <c r="P710" s="391">
        <f t="shared" si="165"/>
        <v>0</v>
      </c>
      <c r="Q710" s="711">
        <v>0</v>
      </c>
      <c r="R710" s="711">
        <v>0</v>
      </c>
      <c r="S710" s="711">
        <v>0</v>
      </c>
      <c r="T710" s="338">
        <v>2005.3289999999997</v>
      </c>
      <c r="U710" s="806">
        <v>9901.4089999999997</v>
      </c>
      <c r="W710" s="2694"/>
      <c r="X710" s="2694"/>
    </row>
    <row r="711" spans="1:24" ht="21.75">
      <c r="A711" s="713" t="s">
        <v>3311</v>
      </c>
      <c r="B711" s="2694" t="s">
        <v>634</v>
      </c>
      <c r="D711" s="338">
        <v>154.69999999999999</v>
      </c>
      <c r="E711" s="711">
        <f>'DAILY FLASH'!AU102</f>
        <v>303.28000000000003</v>
      </c>
      <c r="F711" s="711">
        <v>0</v>
      </c>
      <c r="G711" s="391">
        <f t="shared" si="163"/>
        <v>457.98</v>
      </c>
      <c r="H711" s="2694">
        <v>0</v>
      </c>
      <c r="I711" s="2694">
        <v>0</v>
      </c>
      <c r="J711" s="2694">
        <v>0</v>
      </c>
      <c r="K711" s="391">
        <f t="shared" si="164"/>
        <v>0</v>
      </c>
      <c r="L711" s="338">
        <v>3520.1709999999998</v>
      </c>
      <c r="M711" s="2694">
        <v>0</v>
      </c>
      <c r="N711" s="2694">
        <v>0</v>
      </c>
      <c r="O711" s="2694">
        <v>0</v>
      </c>
      <c r="P711" s="391">
        <f t="shared" si="165"/>
        <v>0</v>
      </c>
      <c r="Q711" s="711">
        <v>0</v>
      </c>
      <c r="R711" s="711">
        <v>0</v>
      </c>
      <c r="S711" s="711">
        <v>0</v>
      </c>
      <c r="T711" s="338">
        <v>680.05</v>
      </c>
      <c r="U711" s="806">
        <v>5211.1509999999998</v>
      </c>
      <c r="W711" s="2694"/>
      <c r="X711" s="2694"/>
    </row>
    <row r="712" spans="1:24" ht="21.75">
      <c r="A712" s="713" t="s">
        <v>3308</v>
      </c>
      <c r="B712" s="2694" t="s">
        <v>634</v>
      </c>
      <c r="D712" s="338">
        <v>1363.28</v>
      </c>
      <c r="E712" s="711">
        <f>'DAILY FLASH'!AW102+'DAILY FLASH'!AW103</f>
        <v>1571.0600000000002</v>
      </c>
      <c r="F712" s="711">
        <v>0</v>
      </c>
      <c r="G712" s="391">
        <f t="shared" si="163"/>
        <v>2934.34</v>
      </c>
      <c r="H712" s="2694">
        <v>0</v>
      </c>
      <c r="I712" s="2694">
        <v>0</v>
      </c>
      <c r="J712" s="2694">
        <v>0</v>
      </c>
      <c r="K712" s="391">
        <f t="shared" si="164"/>
        <v>0</v>
      </c>
      <c r="L712" s="338">
        <v>7652.27</v>
      </c>
      <c r="M712" s="2694">
        <v>0</v>
      </c>
      <c r="N712" s="2694">
        <v>0</v>
      </c>
      <c r="O712" s="2694">
        <v>0</v>
      </c>
      <c r="P712" s="391">
        <f t="shared" si="165"/>
        <v>0</v>
      </c>
      <c r="Q712" s="711">
        <v>0</v>
      </c>
      <c r="R712" s="711">
        <v>0</v>
      </c>
      <c r="S712" s="711">
        <v>0</v>
      </c>
      <c r="T712" s="338">
        <v>4951.4699999999993</v>
      </c>
      <c r="U712" s="806">
        <v>16555.22</v>
      </c>
      <c r="W712" s="2694"/>
      <c r="X712" s="2694"/>
    </row>
    <row r="713" spans="1:24" ht="21.75">
      <c r="A713" s="713" t="s">
        <v>3309</v>
      </c>
      <c r="B713" s="2694" t="s">
        <v>634</v>
      </c>
      <c r="D713" s="338">
        <v>413.899</v>
      </c>
      <c r="E713" s="711">
        <f>'DAILY FLASH'!AW104</f>
        <v>311.17500000000001</v>
      </c>
      <c r="F713" s="711">
        <v>0</v>
      </c>
      <c r="G713" s="391">
        <f t="shared" si="163"/>
        <v>725.07400000000007</v>
      </c>
      <c r="H713" s="2694">
        <v>0</v>
      </c>
      <c r="I713" s="2694">
        <v>0</v>
      </c>
      <c r="J713" s="2694">
        <v>0</v>
      </c>
      <c r="K713" s="391">
        <f t="shared" si="164"/>
        <v>0</v>
      </c>
      <c r="L713" s="338">
        <v>3083.509</v>
      </c>
      <c r="M713" s="2694">
        <v>0</v>
      </c>
      <c r="N713" s="2694">
        <v>0</v>
      </c>
      <c r="O713" s="2694">
        <v>0</v>
      </c>
      <c r="P713" s="2694"/>
      <c r="Q713" s="711">
        <v>0</v>
      </c>
      <c r="R713" s="711">
        <v>0</v>
      </c>
      <c r="S713" s="711">
        <v>0</v>
      </c>
      <c r="T713" s="338">
        <v>1196.8789999999999</v>
      </c>
      <c r="U713" s="806">
        <v>4280.3879999999999</v>
      </c>
      <c r="W713" s="2694"/>
      <c r="X713" s="2694"/>
    </row>
    <row r="714" spans="1:24" ht="20.25">
      <c r="A714" s="713"/>
      <c r="B714" s="2694"/>
      <c r="D714" s="338"/>
      <c r="E714" s="338"/>
      <c r="F714" s="338"/>
      <c r="G714" s="338"/>
      <c r="H714" s="2694"/>
      <c r="I714" s="2694"/>
      <c r="J714" s="2694"/>
      <c r="K714" s="2694"/>
      <c r="L714" s="338"/>
      <c r="M714" s="2694"/>
      <c r="N714" s="2694"/>
      <c r="O714" s="2694"/>
      <c r="P714" s="2694"/>
      <c r="Q714" s="2694"/>
      <c r="R714" s="2694"/>
      <c r="S714" s="2694"/>
      <c r="T714" s="338"/>
      <c r="U714" s="806"/>
      <c r="W714" s="2694"/>
      <c r="X714" s="2694"/>
    </row>
    <row r="715" spans="1:24" ht="20.25">
      <c r="A715" s="713"/>
      <c r="B715" s="2694"/>
      <c r="D715" s="338"/>
      <c r="E715" s="338"/>
      <c r="F715" s="338"/>
      <c r="G715" s="338"/>
      <c r="H715" s="2694"/>
      <c r="I715" s="2694"/>
      <c r="J715" s="2694"/>
      <c r="K715" s="2694"/>
      <c r="L715" s="338"/>
      <c r="M715" s="2694"/>
      <c r="N715" s="2694"/>
      <c r="O715" s="2694"/>
      <c r="P715" s="2694"/>
      <c r="Q715" s="2694"/>
      <c r="R715" s="2694"/>
      <c r="S715" s="2694"/>
      <c r="T715" s="338"/>
      <c r="U715" s="806"/>
      <c r="W715" s="2694"/>
      <c r="X715" s="2694"/>
    </row>
    <row r="716" spans="1:24" ht="20.25">
      <c r="A716" s="713"/>
      <c r="B716" s="2694"/>
      <c r="D716" s="338"/>
      <c r="E716" s="338"/>
      <c r="F716" s="338"/>
      <c r="G716" s="338"/>
      <c r="H716" s="2694"/>
      <c r="I716" s="2694"/>
      <c r="J716" s="2694"/>
      <c r="K716" s="2694"/>
      <c r="L716" s="338"/>
      <c r="M716" s="2694"/>
      <c r="N716" s="2694"/>
      <c r="O716" s="2694"/>
      <c r="P716" s="2694"/>
      <c r="Q716" s="2694"/>
      <c r="R716" s="2694"/>
      <c r="S716" s="2694"/>
      <c r="T716" s="338"/>
      <c r="U716" s="806"/>
      <c r="W716" s="2694"/>
      <c r="X716" s="2694"/>
    </row>
    <row r="717" spans="1:24" ht="20.25">
      <c r="A717" s="713"/>
      <c r="B717" s="2694"/>
      <c r="D717" s="338"/>
      <c r="E717" s="338"/>
      <c r="F717" s="338"/>
      <c r="G717" s="338"/>
      <c r="H717" s="2694"/>
      <c r="I717" s="2694"/>
      <c r="J717" s="2694"/>
      <c r="K717" s="2694"/>
      <c r="L717" s="338"/>
      <c r="M717" s="2694"/>
      <c r="N717" s="2694"/>
      <c r="O717" s="2694"/>
      <c r="P717" s="2694"/>
      <c r="Q717" s="2694"/>
      <c r="R717" s="2694"/>
      <c r="S717" s="2694"/>
      <c r="T717" s="338"/>
      <c r="U717" s="806"/>
      <c r="W717" s="2694"/>
      <c r="X717" s="2694"/>
    </row>
    <row r="718" spans="1:24" ht="20.25">
      <c r="A718" s="713"/>
      <c r="B718" s="2694"/>
      <c r="D718" s="338"/>
      <c r="E718" s="338"/>
      <c r="F718" s="338"/>
      <c r="G718" s="338"/>
      <c r="H718" s="2694"/>
      <c r="I718" s="2694"/>
      <c r="J718" s="2694"/>
      <c r="K718" s="2694"/>
      <c r="L718" s="338"/>
      <c r="M718" s="2694"/>
      <c r="N718" s="2694"/>
      <c r="O718" s="2694"/>
      <c r="P718" s="2694"/>
      <c r="Q718" s="2694"/>
      <c r="R718" s="2694"/>
      <c r="S718" s="2694"/>
      <c r="T718" s="338"/>
      <c r="U718" s="806"/>
      <c r="W718" s="2694"/>
      <c r="X718" s="2694"/>
    </row>
    <row r="719" spans="1:24" ht="20.25">
      <c r="A719" s="713"/>
      <c r="B719" s="2694"/>
      <c r="D719" s="338"/>
      <c r="E719" s="338"/>
      <c r="F719" s="338"/>
      <c r="G719" s="338"/>
      <c r="H719" s="2694"/>
      <c r="I719" s="2694"/>
      <c r="J719" s="2694"/>
      <c r="K719" s="2694"/>
      <c r="L719" s="338"/>
      <c r="M719" s="2694"/>
      <c r="N719" s="2694"/>
      <c r="O719" s="2694"/>
      <c r="P719" s="2694"/>
      <c r="Q719" s="2694"/>
      <c r="R719" s="2694"/>
      <c r="S719" s="2694"/>
      <c r="T719" s="338"/>
      <c r="U719" s="806"/>
      <c r="W719" s="2694"/>
      <c r="X719" s="2694"/>
    </row>
    <row r="720" spans="1:24" ht="20.25">
      <c r="A720" s="713"/>
      <c r="B720" s="337"/>
      <c r="D720" s="338"/>
      <c r="E720" s="338"/>
      <c r="F720" s="338"/>
      <c r="G720" s="338"/>
      <c r="H720" s="337"/>
      <c r="I720" s="337"/>
      <c r="J720" s="337"/>
      <c r="K720" s="337"/>
      <c r="L720" s="338"/>
      <c r="M720" s="337"/>
      <c r="N720" s="337"/>
      <c r="O720" s="337"/>
      <c r="P720" s="337"/>
      <c r="Q720" s="337"/>
      <c r="R720" s="337"/>
      <c r="S720" s="337"/>
      <c r="T720" s="338"/>
      <c r="U720" s="806"/>
      <c r="W720" s="337"/>
      <c r="X720" s="337"/>
    </row>
    <row r="721" spans="1:24" ht="20.25">
      <c r="A721" s="713"/>
      <c r="B721" s="337"/>
      <c r="D721" s="391"/>
      <c r="E721" s="391"/>
      <c r="F721" s="391" t="s">
        <v>2410</v>
      </c>
      <c r="G721" s="391"/>
      <c r="H721" s="337"/>
      <c r="I721" s="337"/>
      <c r="J721" s="337"/>
      <c r="K721" s="337"/>
      <c r="L721" s="338"/>
      <c r="M721" s="337"/>
      <c r="N721" s="337"/>
      <c r="O721" s="337"/>
      <c r="P721" s="337"/>
      <c r="Q721" s="337"/>
      <c r="R721" s="337"/>
      <c r="S721" s="337"/>
      <c r="T721" s="338"/>
      <c r="U721" s="806"/>
      <c r="W721" s="337"/>
      <c r="X721" s="337"/>
    </row>
    <row r="722" spans="1:24" ht="20.25">
      <c r="A722" s="713"/>
      <c r="B722" s="337"/>
      <c r="D722" s="391"/>
      <c r="E722" s="391"/>
      <c r="G722" s="391"/>
      <c r="H722" s="337"/>
      <c r="I722" s="337"/>
      <c r="J722" s="337"/>
      <c r="K722" s="337"/>
      <c r="L722" s="338"/>
      <c r="M722" s="337"/>
      <c r="N722" s="337"/>
      <c r="O722" s="337"/>
      <c r="P722" s="337"/>
      <c r="Q722" s="337"/>
      <c r="R722" s="337"/>
      <c r="S722" s="337"/>
      <c r="T722" s="338"/>
      <c r="U722" s="806"/>
      <c r="W722" s="337"/>
      <c r="X722" s="337"/>
    </row>
    <row r="723" spans="1:24" ht="20.25">
      <c r="A723" s="713"/>
      <c r="B723" s="337"/>
      <c r="D723" s="391" t="s">
        <v>36</v>
      </c>
      <c r="E723" s="391"/>
      <c r="F723" s="391"/>
      <c r="G723" s="391" t="s">
        <v>471</v>
      </c>
      <c r="H723" s="337"/>
      <c r="I723" s="337"/>
      <c r="J723" s="337"/>
      <c r="K723" s="337"/>
      <c r="L723" s="338"/>
      <c r="M723" s="337"/>
      <c r="N723" s="337"/>
      <c r="O723" s="337"/>
      <c r="P723" s="337"/>
      <c r="Q723" s="337"/>
      <c r="R723" s="337"/>
      <c r="S723" s="337"/>
      <c r="T723" s="338"/>
      <c r="U723" s="806"/>
      <c r="W723" s="337"/>
      <c r="X723" s="337"/>
    </row>
    <row r="724" spans="1:24" ht="20.25">
      <c r="A724" s="713"/>
      <c r="B724" s="337"/>
      <c r="D724" s="391" t="s">
        <v>3917</v>
      </c>
      <c r="E724" s="391" t="s">
        <v>3920</v>
      </c>
      <c r="F724" s="391">
        <f>113208-40826</f>
        <v>72382</v>
      </c>
      <c r="G724" s="391">
        <f>2288-846</f>
        <v>1442</v>
      </c>
      <c r="H724" s="337"/>
      <c r="I724" s="337"/>
      <c r="J724" s="337"/>
      <c r="K724" s="337"/>
      <c r="L724" s="338"/>
      <c r="M724" s="337"/>
      <c r="N724" s="337"/>
      <c r="O724" s="337"/>
      <c r="P724" s="337"/>
      <c r="Q724" s="337"/>
      <c r="R724" s="337"/>
      <c r="S724" s="337"/>
      <c r="T724" s="338"/>
      <c r="U724" s="806"/>
      <c r="W724" s="337"/>
      <c r="X724" s="337"/>
    </row>
    <row r="725" spans="1:24" ht="20.25">
      <c r="A725" s="713"/>
      <c r="B725" s="337"/>
      <c r="D725" s="391" t="s">
        <v>3918</v>
      </c>
      <c r="E725" s="391" t="s">
        <v>3920</v>
      </c>
      <c r="F725" s="391">
        <v>40826</v>
      </c>
      <c r="G725" s="391">
        <v>846</v>
      </c>
      <c r="H725" s="337"/>
      <c r="I725" s="337"/>
      <c r="J725" s="337"/>
      <c r="K725" s="337"/>
      <c r="L725" s="338"/>
      <c r="M725" s="337"/>
      <c r="N725" s="337"/>
      <c r="O725" s="337"/>
      <c r="P725" s="337"/>
      <c r="Q725" s="337"/>
      <c r="R725" s="337"/>
      <c r="S725" s="337"/>
      <c r="T725" s="338"/>
      <c r="U725" s="806"/>
      <c r="W725" s="337"/>
      <c r="X725" s="337"/>
    </row>
    <row r="726" spans="1:24" ht="20.25">
      <c r="A726" s="713"/>
      <c r="B726" s="337"/>
      <c r="D726" s="391" t="s">
        <v>3919</v>
      </c>
      <c r="E726" s="391" t="s">
        <v>3920</v>
      </c>
      <c r="F726" s="391">
        <v>118655</v>
      </c>
      <c r="G726" s="391"/>
      <c r="H726" s="337"/>
      <c r="I726" s="337"/>
      <c r="J726" s="337"/>
      <c r="K726" s="337"/>
      <c r="L726" s="338"/>
      <c r="M726" s="337"/>
      <c r="N726" s="337"/>
      <c r="O726" s="337"/>
      <c r="P726" s="337"/>
      <c r="Q726" s="337"/>
      <c r="R726" s="337"/>
      <c r="S726" s="337"/>
      <c r="T726" s="338"/>
      <c r="U726" s="806"/>
      <c r="W726" s="337"/>
      <c r="X726" s="337"/>
    </row>
    <row r="727" spans="1:24" ht="20.25">
      <c r="A727" s="713"/>
      <c r="B727" s="337"/>
      <c r="D727" s="391" t="s">
        <v>3921</v>
      </c>
      <c r="E727" s="391" t="s">
        <v>3920</v>
      </c>
      <c r="F727" s="391">
        <v>5779</v>
      </c>
      <c r="G727" s="391"/>
      <c r="H727" s="337"/>
      <c r="I727" s="337"/>
      <c r="J727" s="337"/>
      <c r="K727" s="337"/>
      <c r="L727" s="338"/>
      <c r="M727" s="337"/>
      <c r="N727" s="337"/>
      <c r="O727" s="337"/>
      <c r="P727" s="337"/>
      <c r="Q727" s="337"/>
      <c r="R727" s="337"/>
      <c r="S727" s="337"/>
      <c r="T727" s="338"/>
      <c r="U727" s="806"/>
      <c r="W727" s="337"/>
      <c r="X727" s="337"/>
    </row>
    <row r="728" spans="1:24" ht="20.25">
      <c r="A728" s="713"/>
      <c r="B728" s="337"/>
      <c r="D728" s="391" t="s">
        <v>3922</v>
      </c>
      <c r="E728" s="391" t="s">
        <v>3920</v>
      </c>
      <c r="F728" s="391">
        <v>30523</v>
      </c>
      <c r="G728" s="391"/>
      <c r="H728" s="337"/>
      <c r="I728" s="337"/>
      <c r="J728" s="337"/>
      <c r="K728" s="337"/>
      <c r="L728" s="338"/>
      <c r="M728" s="337"/>
      <c r="N728" s="3103" t="s">
        <v>4149</v>
      </c>
      <c r="O728" s="3103"/>
      <c r="P728" s="3103"/>
      <c r="Q728" s="3103"/>
      <c r="R728" s="337"/>
      <c r="S728" s="337"/>
      <c r="T728" s="338"/>
      <c r="U728" s="806"/>
      <c r="W728" s="337"/>
      <c r="X728" s="337"/>
    </row>
    <row r="729" spans="1:24" ht="20.25">
      <c r="A729" s="713"/>
      <c r="B729" s="337"/>
      <c r="D729" s="391" t="s">
        <v>3923</v>
      </c>
      <c r="E729" s="391" t="s">
        <v>3920</v>
      </c>
      <c r="F729" s="391">
        <v>5788</v>
      </c>
      <c r="G729" s="391"/>
      <c r="H729" s="337"/>
      <c r="I729" s="337"/>
      <c r="J729" s="337"/>
      <c r="K729" s="337"/>
      <c r="L729" s="338"/>
      <c r="M729" s="337"/>
      <c r="N729" s="2682"/>
      <c r="O729" s="2682" t="s">
        <v>2363</v>
      </c>
      <c r="P729" s="2682" t="s">
        <v>2410</v>
      </c>
      <c r="Q729" s="2682" t="s">
        <v>274</v>
      </c>
      <c r="R729" s="337"/>
      <c r="S729" s="337"/>
      <c r="T729" s="338"/>
      <c r="U729" s="806"/>
      <c r="W729" s="337"/>
      <c r="X729" s="337"/>
    </row>
    <row r="730" spans="1:24" ht="20.25">
      <c r="A730" s="713"/>
      <c r="B730" s="337"/>
      <c r="D730" s="391" t="s">
        <v>3924</v>
      </c>
      <c r="E730" s="391" t="s">
        <v>3920</v>
      </c>
      <c r="F730" s="391">
        <v>12756</v>
      </c>
      <c r="G730" s="391"/>
      <c r="H730" s="337"/>
      <c r="I730" s="337"/>
      <c r="J730" s="337"/>
      <c r="K730" s="337"/>
      <c r="L730" s="338"/>
      <c r="M730" s="337"/>
      <c r="N730" s="2682" t="s">
        <v>2158</v>
      </c>
      <c r="O730" s="2682">
        <v>145.83000000000001</v>
      </c>
      <c r="P730" s="2682">
        <v>146.13999999999999</v>
      </c>
      <c r="Q730" s="2682">
        <v>87.63</v>
      </c>
      <c r="R730" s="337"/>
      <c r="S730" s="337"/>
      <c r="T730" s="338"/>
      <c r="U730" s="806"/>
      <c r="W730" s="337"/>
      <c r="X730" s="337"/>
    </row>
    <row r="731" spans="1:24" ht="20.25">
      <c r="A731" s="713"/>
      <c r="B731" s="337"/>
      <c r="D731" s="391" t="s">
        <v>3925</v>
      </c>
      <c r="E731" s="391" t="s">
        <v>3920</v>
      </c>
      <c r="F731" s="391">
        <v>569</v>
      </c>
      <c r="G731" s="391"/>
      <c r="H731" s="337"/>
      <c r="I731" s="337"/>
      <c r="J731" s="337"/>
      <c r="K731" s="337"/>
      <c r="L731" s="338"/>
      <c r="M731" s="337"/>
      <c r="N731" s="2682" t="s">
        <v>4145</v>
      </c>
      <c r="O731" s="2682">
        <v>33.86</v>
      </c>
      <c r="P731" s="2682"/>
      <c r="Q731" s="2682"/>
      <c r="R731" s="337"/>
      <c r="S731" s="337"/>
      <c r="T731" s="338"/>
      <c r="U731" s="806"/>
      <c r="W731" s="337"/>
      <c r="X731" s="337"/>
    </row>
    <row r="732" spans="1:24" ht="20.25">
      <c r="A732" s="713"/>
      <c r="B732" s="337"/>
      <c r="D732" s="391" t="s">
        <v>3926</v>
      </c>
      <c r="E732" s="391"/>
      <c r="F732" s="391">
        <v>146434411</v>
      </c>
      <c r="G732" s="391"/>
      <c r="H732" s="337"/>
      <c r="I732" s="337"/>
      <c r="J732" s="337"/>
      <c r="K732" s="337"/>
      <c r="L732" s="338"/>
      <c r="M732" s="337"/>
      <c r="N732" s="2682" t="s">
        <v>4146</v>
      </c>
      <c r="O732" s="2682">
        <v>37.5</v>
      </c>
      <c r="P732" s="2682">
        <v>33.25</v>
      </c>
      <c r="Q732" s="2682">
        <v>35.200000000000003</v>
      </c>
      <c r="R732" s="337"/>
      <c r="S732" s="337"/>
      <c r="T732" s="338"/>
      <c r="U732" s="806"/>
      <c r="W732" s="337"/>
      <c r="X732" s="337"/>
    </row>
    <row r="733" spans="1:24" ht="20.25">
      <c r="A733" s="713"/>
      <c r="B733" s="337"/>
      <c r="D733" s="391" t="s">
        <v>3927</v>
      </c>
      <c r="E733" s="391"/>
      <c r="F733" s="391">
        <f>SUM(F732/1000*2.4)</f>
        <v>351442.58639999997</v>
      </c>
      <c r="G733" s="391"/>
      <c r="H733" s="337"/>
      <c r="I733" s="337"/>
      <c r="J733" s="337"/>
      <c r="K733" s="337"/>
      <c r="L733" s="338"/>
      <c r="M733" s="337"/>
      <c r="N733" s="2682" t="s">
        <v>4147</v>
      </c>
      <c r="O733" s="2682"/>
      <c r="P733" s="2682">
        <v>35.1</v>
      </c>
      <c r="Q733" s="2682">
        <v>33.5</v>
      </c>
      <c r="R733" s="337"/>
      <c r="S733" s="337"/>
      <c r="T733" s="338"/>
      <c r="U733" s="806"/>
      <c r="W733" s="337"/>
      <c r="X733" s="337"/>
    </row>
    <row r="734" spans="1:24" ht="20.25">
      <c r="A734" s="713"/>
      <c r="B734" s="337"/>
      <c r="D734" s="391" t="s">
        <v>3930</v>
      </c>
      <c r="E734" s="391" t="s">
        <v>3931</v>
      </c>
      <c r="F734" s="391">
        <v>57679.291449999997</v>
      </c>
      <c r="G734" s="391"/>
      <c r="H734" s="337"/>
      <c r="I734" s="337"/>
      <c r="J734" s="337"/>
      <c r="K734" s="337"/>
      <c r="L734" s="338"/>
      <c r="M734" s="337"/>
      <c r="N734" s="2682" t="s">
        <v>4148</v>
      </c>
      <c r="O734" s="2682"/>
      <c r="P734" s="2682">
        <v>37.479999999999997</v>
      </c>
      <c r="Q734" s="2682"/>
      <c r="R734" s="337"/>
      <c r="S734" s="337"/>
      <c r="T734" s="338"/>
      <c r="U734" s="806"/>
      <c r="W734" s="337"/>
      <c r="X734" s="337"/>
    </row>
    <row r="735" spans="1:24" ht="20.25">
      <c r="A735" s="713"/>
      <c r="B735" s="337"/>
      <c r="D735" s="391" t="s">
        <v>544</v>
      </c>
      <c r="E735" s="391" t="s">
        <v>3931</v>
      </c>
      <c r="F735" s="391">
        <v>122940.38272200001</v>
      </c>
      <c r="G735" s="391"/>
      <c r="H735" s="337"/>
      <c r="I735" s="337"/>
      <c r="J735" s="337"/>
      <c r="K735" s="337"/>
      <c r="L735" s="338"/>
      <c r="M735" s="337"/>
      <c r="N735" s="2682"/>
      <c r="O735" s="2682">
        <f>SUM(O730:O734)</f>
        <v>217.19</v>
      </c>
      <c r="P735" s="2682">
        <f t="shared" ref="P735:Q735" si="166">SUM(P730:P734)</f>
        <v>251.96999999999997</v>
      </c>
      <c r="Q735" s="2682">
        <f t="shared" si="166"/>
        <v>156.32999999999998</v>
      </c>
      <c r="R735" s="337"/>
      <c r="S735" s="337"/>
      <c r="T735" s="338"/>
      <c r="U735" s="806"/>
      <c r="W735" s="337"/>
      <c r="X735" s="337"/>
    </row>
    <row r="736" spans="1:24" ht="20.25">
      <c r="A736" s="713"/>
      <c r="B736" s="337"/>
      <c r="D736" s="338"/>
      <c r="E736" s="338"/>
      <c r="F736" s="338"/>
      <c r="G736" s="338"/>
      <c r="H736" s="337"/>
      <c r="I736" s="337"/>
      <c r="J736" s="337"/>
      <c r="K736" s="337"/>
      <c r="L736" s="338"/>
      <c r="M736" s="337"/>
      <c r="N736" s="337"/>
      <c r="O736" s="337"/>
      <c r="P736" s="337"/>
      <c r="Q736" s="337"/>
      <c r="R736" s="337"/>
      <c r="S736" s="337"/>
      <c r="T736" s="338"/>
      <c r="U736" s="806"/>
      <c r="W736" s="337"/>
      <c r="X736" s="337"/>
    </row>
    <row r="737" spans="1:24" ht="20.25">
      <c r="A737" s="713"/>
      <c r="B737" s="337"/>
      <c r="D737" s="338"/>
      <c r="E737" s="338"/>
      <c r="F737" s="338"/>
      <c r="G737" s="338"/>
      <c r="H737" s="337"/>
      <c r="I737" s="337"/>
      <c r="J737" s="337"/>
      <c r="K737" s="337"/>
      <c r="L737" s="338"/>
      <c r="M737" s="337"/>
      <c r="N737" s="337"/>
      <c r="O737" s="337"/>
      <c r="P737" s="337"/>
      <c r="Q737" s="337"/>
      <c r="R737" s="337"/>
      <c r="S737" s="337"/>
      <c r="T737" s="338"/>
      <c r="U737" s="806"/>
      <c r="W737" s="337"/>
      <c r="X737" s="337"/>
    </row>
    <row r="738" spans="1:24" ht="20.25">
      <c r="A738" s="713"/>
      <c r="B738" s="337"/>
      <c r="D738" s="338"/>
      <c r="E738" s="338"/>
      <c r="F738" s="338"/>
      <c r="G738" s="338"/>
      <c r="H738" s="337"/>
      <c r="I738" s="337"/>
      <c r="J738" s="337"/>
      <c r="K738" s="337"/>
      <c r="L738" s="338"/>
      <c r="M738" s="337"/>
      <c r="N738" s="337"/>
      <c r="O738" s="337"/>
      <c r="P738" s="337"/>
      <c r="Q738" s="337"/>
      <c r="R738" s="337"/>
      <c r="S738" s="337"/>
      <c r="T738" s="338"/>
      <c r="U738" s="806"/>
      <c r="W738" s="337"/>
      <c r="X738" s="337"/>
    </row>
    <row r="739" spans="1:24" ht="20.25">
      <c r="A739" s="713"/>
      <c r="B739" s="337"/>
      <c r="D739" s="338"/>
      <c r="E739" s="338"/>
      <c r="F739" s="338"/>
      <c r="G739" s="338"/>
      <c r="H739" s="337"/>
      <c r="I739" s="337"/>
      <c r="J739" s="337"/>
      <c r="K739" s="337"/>
      <c r="L739" s="338"/>
      <c r="M739" s="337"/>
      <c r="N739" s="337"/>
      <c r="O739" s="337"/>
      <c r="P739" s="337"/>
      <c r="Q739" s="337"/>
      <c r="R739" s="337"/>
      <c r="S739" s="337"/>
      <c r="T739" s="338"/>
      <c r="U739" s="806"/>
      <c r="W739" s="337"/>
      <c r="X739" s="337"/>
    </row>
    <row r="740" spans="1:24" ht="20.25">
      <c r="A740" s="713"/>
      <c r="B740" s="337"/>
      <c r="D740" s="338"/>
      <c r="E740" s="338"/>
      <c r="F740" s="338"/>
      <c r="G740" s="338"/>
      <c r="H740" s="337"/>
      <c r="I740" s="337"/>
      <c r="J740" s="337"/>
      <c r="K740" s="337"/>
      <c r="L740" s="338"/>
      <c r="M740" s="337"/>
      <c r="N740" s="337"/>
      <c r="O740" s="337"/>
      <c r="P740" s="337"/>
      <c r="Q740" s="337"/>
      <c r="R740" s="337"/>
      <c r="S740" s="337"/>
      <c r="T740" s="338"/>
      <c r="U740" s="806"/>
      <c r="W740" s="337"/>
      <c r="X740" s="337"/>
    </row>
    <row r="741" spans="1:24" ht="20.25">
      <c r="A741" s="713"/>
      <c r="B741" s="337"/>
      <c r="D741" s="338"/>
      <c r="E741" s="338"/>
      <c r="F741" s="338"/>
      <c r="G741" s="338"/>
      <c r="H741" s="337"/>
      <c r="I741" s="337"/>
      <c r="J741" s="337"/>
      <c r="K741" s="337"/>
      <c r="L741" s="338"/>
      <c r="M741" s="337"/>
      <c r="N741" s="337"/>
      <c r="O741" s="337"/>
      <c r="P741" s="337"/>
      <c r="Q741" s="337"/>
      <c r="R741" s="337"/>
      <c r="S741" s="337"/>
      <c r="T741" s="338"/>
      <c r="U741" s="806"/>
      <c r="W741" s="337"/>
      <c r="X741" s="337"/>
    </row>
    <row r="742" spans="1:24" ht="20.25">
      <c r="A742" s="713"/>
      <c r="B742" s="337"/>
      <c r="D742" s="338"/>
      <c r="E742" s="338"/>
      <c r="F742" s="338"/>
      <c r="G742" s="338"/>
      <c r="H742" s="337"/>
      <c r="I742" s="337"/>
      <c r="J742" s="337"/>
      <c r="K742" s="337"/>
      <c r="L742" s="338"/>
      <c r="M742" s="337"/>
      <c r="N742" s="337"/>
      <c r="O742" s="337"/>
      <c r="P742" s="337"/>
      <c r="Q742" s="337"/>
      <c r="R742" s="337"/>
      <c r="S742" s="337"/>
      <c r="T742" s="338"/>
      <c r="U742" s="806"/>
      <c r="W742" s="337"/>
      <c r="X742" s="337"/>
    </row>
    <row r="743" spans="1:24" ht="20.25">
      <c r="A743" s="713"/>
      <c r="B743" s="337"/>
      <c r="D743" s="338"/>
      <c r="E743" s="338"/>
      <c r="F743" s="338"/>
      <c r="G743" s="338"/>
      <c r="H743" s="337"/>
      <c r="I743" s="337"/>
      <c r="J743" s="337"/>
      <c r="K743" s="337"/>
      <c r="L743" s="338"/>
      <c r="M743" s="337"/>
      <c r="N743" s="337"/>
      <c r="O743" s="337"/>
      <c r="P743" s="337"/>
      <c r="Q743" s="337"/>
      <c r="R743" s="337"/>
      <c r="S743" s="337"/>
      <c r="T743" s="338"/>
      <c r="U743" s="806"/>
      <c r="W743" s="337"/>
      <c r="X743" s="337"/>
    </row>
    <row r="744" spans="1:24" ht="23.25">
      <c r="A744" s="713"/>
      <c r="B744" s="2959" t="s">
        <v>3314</v>
      </c>
      <c r="C744" s="2960"/>
      <c r="D744" s="2960"/>
      <c r="E744" s="2960"/>
      <c r="F744" s="2960"/>
      <c r="G744" s="2960"/>
      <c r="H744" s="2960"/>
      <c r="I744" s="2960"/>
      <c r="J744" s="2960"/>
      <c r="K744" s="2960"/>
      <c r="L744" s="2961"/>
      <c r="M744" s="349"/>
      <c r="N744" s="734"/>
      <c r="O744" s="274"/>
      <c r="P744" s="337"/>
      <c r="T744" s="338"/>
      <c r="U744" s="806"/>
    </row>
    <row r="745" spans="1:24" ht="23.25">
      <c r="A745" s="713"/>
      <c r="B745" s="341" t="s">
        <v>3315</v>
      </c>
      <c r="C745" s="342">
        <v>500</v>
      </c>
      <c r="D745" s="342">
        <v>1194</v>
      </c>
      <c r="E745" s="342">
        <v>790</v>
      </c>
      <c r="F745" s="342">
        <v>603</v>
      </c>
      <c r="G745" s="342">
        <v>1605</v>
      </c>
      <c r="H745" s="343">
        <v>875</v>
      </c>
      <c r="I745" s="343">
        <v>1875</v>
      </c>
      <c r="J745" s="343">
        <v>9000</v>
      </c>
      <c r="K745" s="342">
        <v>1130</v>
      </c>
      <c r="L745" s="350" t="s">
        <v>23</v>
      </c>
      <c r="M745" s="349"/>
      <c r="N745" s="734"/>
      <c r="O745" s="274"/>
      <c r="P745" s="337"/>
      <c r="T745" s="338"/>
      <c r="U745" s="806"/>
    </row>
    <row r="746" spans="1:24" ht="23.25">
      <c r="A746" s="713"/>
      <c r="B746" s="341"/>
      <c r="C746" s="30"/>
      <c r="D746" s="342"/>
      <c r="E746" s="342"/>
      <c r="F746" s="342"/>
      <c r="G746" s="342"/>
      <c r="H746" s="343"/>
      <c r="I746" s="343"/>
      <c r="J746" s="343"/>
      <c r="K746" s="342"/>
      <c r="L746" s="350" t="s">
        <v>3316</v>
      </c>
      <c r="M746" s="349"/>
      <c r="N746" s="734"/>
      <c r="O746" s="274"/>
      <c r="P746" s="337"/>
      <c r="T746" s="338"/>
      <c r="U746" s="806"/>
    </row>
    <row r="747" spans="1:24" ht="23.25">
      <c r="A747" s="713"/>
      <c r="B747" s="341" t="s">
        <v>121</v>
      </c>
      <c r="C747" s="343">
        <v>985</v>
      </c>
      <c r="D747" s="342">
        <v>28</v>
      </c>
      <c r="E747" s="342">
        <v>43</v>
      </c>
      <c r="F747" s="342">
        <v>2014</v>
      </c>
      <c r="G747" s="342">
        <v>8446</v>
      </c>
      <c r="H747" s="343">
        <v>174</v>
      </c>
      <c r="I747" s="343">
        <v>60</v>
      </c>
      <c r="J747" s="343">
        <v>45</v>
      </c>
      <c r="K747" s="342">
        <v>44</v>
      </c>
      <c r="L747" s="350" t="s">
        <v>3317</v>
      </c>
      <c r="M747" s="349">
        <f>+C747+D747+E747+F747+G747+H747+I747+J747+K747</f>
        <v>11839</v>
      </c>
      <c r="N747" s="734"/>
      <c r="O747" s="274"/>
      <c r="P747" s="337"/>
      <c r="T747" s="338"/>
      <c r="U747" s="806"/>
    </row>
    <row r="748" spans="1:24" ht="23.25">
      <c r="A748" s="713"/>
      <c r="B748" s="341"/>
      <c r="C748" s="343"/>
      <c r="D748" s="342"/>
      <c r="E748" s="342"/>
      <c r="F748" s="342"/>
      <c r="G748" s="342"/>
      <c r="H748" s="343"/>
      <c r="I748" s="343"/>
      <c r="J748" s="343"/>
      <c r="K748" s="342"/>
      <c r="L748" s="350"/>
      <c r="M748" s="349">
        <f>+C748+D748+E748+F748+G748+H748+I748+J748</f>
        <v>0</v>
      </c>
      <c r="N748" s="734"/>
      <c r="O748" s="274"/>
      <c r="P748" s="337"/>
      <c r="T748" s="338"/>
      <c r="U748" s="806"/>
    </row>
    <row r="749" spans="1:24" ht="23.25">
      <c r="A749" s="713"/>
      <c r="B749" s="341" t="s">
        <v>2351</v>
      </c>
      <c r="C749" s="343">
        <v>1262</v>
      </c>
      <c r="D749" s="342">
        <v>40</v>
      </c>
      <c r="E749" s="342">
        <v>762</v>
      </c>
      <c r="F749" s="342">
        <v>5434</v>
      </c>
      <c r="G749" s="342">
        <v>13665</v>
      </c>
      <c r="H749" s="343">
        <v>136</v>
      </c>
      <c r="I749" s="343">
        <v>20</v>
      </c>
      <c r="J749" s="343">
        <v>10</v>
      </c>
      <c r="K749" s="342">
        <v>12</v>
      </c>
      <c r="L749" s="350" t="s">
        <v>3318</v>
      </c>
      <c r="M749" s="349">
        <f>+C749+D749+E749+F749+G749+H749+I749+J749+K749</f>
        <v>21341</v>
      </c>
      <c r="N749" s="734"/>
      <c r="O749" s="274">
        <f>1262+40+762+5434+13665+136+42</f>
        <v>21341</v>
      </c>
      <c r="P749" s="337"/>
      <c r="T749" s="338"/>
      <c r="U749" s="806"/>
    </row>
    <row r="750" spans="1:24" ht="23.25">
      <c r="A750" s="713"/>
      <c r="B750" s="341"/>
      <c r="C750" s="343"/>
      <c r="D750" s="342"/>
      <c r="E750" s="342"/>
      <c r="F750" s="342"/>
      <c r="G750" s="342"/>
      <c r="H750" s="343"/>
      <c r="I750" s="343"/>
      <c r="J750" s="343"/>
      <c r="K750" s="342"/>
      <c r="L750" s="350"/>
      <c r="M750" s="349">
        <f>+C750+D750+E750+F750+G750+H750+I750+J750+K750</f>
        <v>0</v>
      </c>
      <c r="N750" s="734"/>
      <c r="O750" s="274"/>
      <c r="P750" s="337"/>
      <c r="T750" s="338"/>
      <c r="U750" s="806"/>
    </row>
    <row r="751" spans="1:24" ht="23.25">
      <c r="A751" s="713"/>
      <c r="B751" s="341" t="s">
        <v>2412</v>
      </c>
      <c r="C751" s="343">
        <v>864</v>
      </c>
      <c r="D751" s="342">
        <v>65</v>
      </c>
      <c r="E751" s="342">
        <v>201</v>
      </c>
      <c r="F751" s="342">
        <v>5658</v>
      </c>
      <c r="G751" s="342">
        <v>16683</v>
      </c>
      <c r="H751" s="343">
        <v>225</v>
      </c>
      <c r="I751" s="343">
        <v>35</v>
      </c>
      <c r="J751" s="343">
        <v>20</v>
      </c>
      <c r="K751" s="342">
        <v>0</v>
      </c>
      <c r="L751" s="350" t="s">
        <v>3319</v>
      </c>
      <c r="M751" s="349">
        <f>+C751+D751+E751+F751+G751+H751+I751+J751+K751</f>
        <v>23751</v>
      </c>
      <c r="N751" s="734"/>
      <c r="O751" s="274"/>
      <c r="P751" s="337"/>
      <c r="T751" s="338"/>
      <c r="U751" s="806"/>
    </row>
    <row r="752" spans="1:24" ht="23.25">
      <c r="A752" s="713"/>
      <c r="B752" s="341"/>
      <c r="C752" s="343"/>
      <c r="D752" s="342"/>
      <c r="E752" s="342"/>
      <c r="F752" s="342"/>
      <c r="G752" s="342"/>
      <c r="H752" s="343"/>
      <c r="I752" s="343"/>
      <c r="J752" s="343"/>
      <c r="K752" s="342"/>
      <c r="L752" s="350"/>
      <c r="M752" s="349">
        <f>+C752+D752+E752+F752+G752+H752+I752+J752+K752</f>
        <v>0</v>
      </c>
      <c r="N752" s="734"/>
      <c r="O752" s="274"/>
      <c r="P752" s="337"/>
      <c r="T752" s="338"/>
      <c r="U752" s="806"/>
    </row>
    <row r="753" spans="1:26" ht="23.25">
      <c r="A753" s="713"/>
      <c r="B753" s="341" t="s">
        <v>2411</v>
      </c>
      <c r="C753" s="343">
        <v>1050</v>
      </c>
      <c r="D753" s="342">
        <v>84</v>
      </c>
      <c r="E753" s="342">
        <v>132</v>
      </c>
      <c r="F753" s="342">
        <v>8265</v>
      </c>
      <c r="G753" s="342">
        <v>16910</v>
      </c>
      <c r="H753" s="343">
        <v>133</v>
      </c>
      <c r="I753" s="343">
        <v>48</v>
      </c>
      <c r="J753" s="343">
        <v>65</v>
      </c>
      <c r="K753" s="342">
        <v>0</v>
      </c>
      <c r="L753" s="350" t="s">
        <v>3320</v>
      </c>
      <c r="M753" s="349">
        <f>+C753+D753+E753+F753+G753+H753+I753+J753+K753</f>
        <v>26687</v>
      </c>
      <c r="N753" s="734">
        <f>1050+84+132+8265+16910+133+48+65</f>
        <v>26687</v>
      </c>
      <c r="O753" s="274"/>
      <c r="P753" s="337"/>
      <c r="T753" s="338"/>
      <c r="U753" s="806"/>
    </row>
    <row r="754" spans="1:26" ht="23.25">
      <c r="A754" s="713"/>
      <c r="B754" s="341"/>
      <c r="C754" s="343"/>
      <c r="D754" s="342"/>
      <c r="E754" s="342"/>
      <c r="F754" s="342"/>
      <c r="G754" s="342"/>
      <c r="H754" s="343"/>
      <c r="I754" s="343"/>
      <c r="J754" s="343"/>
      <c r="K754" s="342"/>
      <c r="L754" s="350"/>
      <c r="M754" s="349"/>
      <c r="N754" s="734"/>
      <c r="O754" s="274"/>
      <c r="P754" s="337"/>
      <c r="T754" s="338"/>
      <c r="U754" s="806"/>
    </row>
    <row r="755" spans="1:26" ht="23.25">
      <c r="A755" s="713"/>
      <c r="B755" s="344" t="s">
        <v>3321</v>
      </c>
      <c r="C755" s="345">
        <v>958</v>
      </c>
      <c r="D755" s="346">
        <v>13</v>
      </c>
      <c r="E755" s="346">
        <v>75</v>
      </c>
      <c r="F755" s="346">
        <v>12639</v>
      </c>
      <c r="G755" s="346">
        <v>14378</v>
      </c>
      <c r="H755" s="345">
        <v>59</v>
      </c>
      <c r="I755" s="345">
        <v>27</v>
      </c>
      <c r="J755" s="345">
        <v>75</v>
      </c>
      <c r="K755" s="346">
        <v>0</v>
      </c>
      <c r="L755" s="2468" t="s">
        <v>3322</v>
      </c>
      <c r="M755" s="349">
        <f>+C755+D755+E755+F755+G755+H755+I755+J755</f>
        <v>28224</v>
      </c>
      <c r="N755" s="734"/>
      <c r="O755" s="274"/>
      <c r="P755" s="337"/>
      <c r="T755" s="338"/>
      <c r="U755" s="806"/>
    </row>
    <row r="756" spans="1:26" ht="23.25">
      <c r="A756" s="713"/>
      <c r="B756" s="337" t="s">
        <v>3323</v>
      </c>
      <c r="C756" s="347">
        <v>686</v>
      </c>
      <c r="D756" s="337">
        <v>13</v>
      </c>
      <c r="E756" s="337">
        <v>28</v>
      </c>
      <c r="F756" s="337">
        <v>7465</v>
      </c>
      <c r="G756" s="337">
        <v>5339</v>
      </c>
      <c r="H756" s="352">
        <v>20</v>
      </c>
      <c r="I756" s="349">
        <v>0</v>
      </c>
      <c r="J756" s="352">
        <v>54</v>
      </c>
      <c r="K756" s="337"/>
      <c r="L756" s="338" t="s">
        <v>3324</v>
      </c>
      <c r="M756" s="349">
        <f>+C756+D756+E756+F756+G756+H756+I756+J756</f>
        <v>13605</v>
      </c>
      <c r="N756" s="734"/>
      <c r="O756" s="274"/>
      <c r="P756" s="337"/>
      <c r="T756" s="338"/>
      <c r="U756" s="806"/>
    </row>
    <row r="757" spans="1:26" ht="23.25">
      <c r="A757" s="713"/>
      <c r="B757" s="337"/>
      <c r="D757" s="337"/>
      <c r="E757" s="337"/>
      <c r="F757" s="337"/>
      <c r="G757" s="337"/>
      <c r="H757" s="352"/>
      <c r="I757" s="349"/>
      <c r="J757" s="352"/>
      <c r="K757" s="337"/>
      <c r="L757" s="338"/>
      <c r="M757" s="349"/>
      <c r="N757" s="734"/>
      <c r="O757" s="274"/>
      <c r="P757" s="337"/>
      <c r="T757" s="338"/>
      <c r="U757" s="806"/>
    </row>
    <row r="758" spans="1:26" ht="23.25">
      <c r="A758" s="713"/>
      <c r="B758" s="337"/>
      <c r="D758" s="337"/>
      <c r="E758" s="337"/>
      <c r="F758" s="337"/>
      <c r="G758" s="337"/>
      <c r="H758" s="352"/>
      <c r="I758" s="349"/>
      <c r="J758" s="352"/>
      <c r="K758" s="337"/>
      <c r="L758" s="338"/>
      <c r="M758" s="349"/>
      <c r="N758" s="734"/>
      <c r="O758" s="274"/>
      <c r="P758" s="337"/>
      <c r="T758" s="338"/>
      <c r="U758" s="806"/>
    </row>
    <row r="759" spans="1:26" ht="20.25">
      <c r="A759" s="713"/>
      <c r="B759" s="756" t="s">
        <v>3325</v>
      </c>
      <c r="C759" s="756"/>
      <c r="D759" s="290"/>
      <c r="E759" s="290"/>
      <c r="F759" s="290"/>
      <c r="G759" s="290"/>
      <c r="H759" s="290"/>
      <c r="I759" s="349"/>
      <c r="J759" s="756" t="s">
        <v>3325</v>
      </c>
      <c r="K759" s="756"/>
      <c r="L759" s="290"/>
      <c r="M759" s="290"/>
      <c r="N759" s="290"/>
      <c r="O759" s="290"/>
      <c r="P759" s="290"/>
      <c r="T759" s="338"/>
      <c r="U759" s="806"/>
    </row>
    <row r="760" spans="1:26" ht="20.25">
      <c r="A760" s="713"/>
      <c r="B760" s="290"/>
      <c r="C760" s="290"/>
      <c r="D760" s="290"/>
      <c r="E760" s="757"/>
      <c r="F760" s="290"/>
      <c r="G760" s="290"/>
      <c r="H760" s="290"/>
      <c r="I760" s="349"/>
      <c r="J760" s="290"/>
      <c r="K760" s="290"/>
      <c r="L760" s="290"/>
      <c r="M760" s="757"/>
      <c r="N760" s="290"/>
      <c r="O760" s="290"/>
      <c r="P760" s="290"/>
      <c r="T760" s="338"/>
      <c r="U760" s="806"/>
      <c r="Z760">
        <f>273003-54514</f>
        <v>218489</v>
      </c>
    </row>
    <row r="761" spans="1:26" ht="20.25">
      <c r="A761" s="713"/>
      <c r="B761" s="353" t="s">
        <v>3326</v>
      </c>
      <c r="C761" s="84"/>
      <c r="D761" s="84"/>
      <c r="E761" s="84"/>
      <c r="F761" s="290"/>
      <c r="G761" s="290"/>
      <c r="H761" s="290"/>
      <c r="I761" s="349"/>
      <c r="J761" s="353" t="s">
        <v>3327</v>
      </c>
      <c r="K761" s="84"/>
      <c r="L761" s="84"/>
      <c r="M761" s="84"/>
      <c r="N761" s="290"/>
      <c r="O761" s="290"/>
      <c r="P761" s="290"/>
      <c r="T761" s="338"/>
      <c r="U761" s="806"/>
    </row>
    <row r="762" spans="1:26" ht="20.25">
      <c r="A762" s="713"/>
      <c r="B762" s="84"/>
      <c r="C762" s="84"/>
      <c r="D762" s="84"/>
      <c r="E762" s="84"/>
      <c r="F762" s="290"/>
      <c r="G762" s="290"/>
      <c r="H762" s="290"/>
      <c r="I762" s="349"/>
      <c r="J762" s="84"/>
      <c r="K762" s="84"/>
      <c r="L762" s="84"/>
      <c r="M762" s="84"/>
      <c r="N762" s="290"/>
      <c r="O762" s="290"/>
      <c r="P762" s="290"/>
      <c r="T762" s="338"/>
      <c r="U762" s="806"/>
    </row>
    <row r="763" spans="1:26" ht="20.25">
      <c r="A763" s="713"/>
      <c r="B763" s="84"/>
      <c r="C763" s="84"/>
      <c r="D763" s="84"/>
      <c r="E763" s="84"/>
      <c r="F763" s="290"/>
      <c r="G763" s="290" t="s">
        <v>271</v>
      </c>
      <c r="H763" s="290" t="s">
        <v>271</v>
      </c>
      <c r="I763" s="349"/>
      <c r="J763" s="84"/>
      <c r="K763" s="84"/>
      <c r="L763" s="84"/>
      <c r="M763" s="84"/>
      <c r="N763" s="290"/>
      <c r="O763" s="290" t="s">
        <v>271</v>
      </c>
      <c r="P763" s="290" t="s">
        <v>271</v>
      </c>
      <c r="T763" s="338"/>
      <c r="U763" s="806"/>
    </row>
    <row r="764" spans="1:26" ht="20.25">
      <c r="A764" s="713"/>
      <c r="B764" s="758"/>
      <c r="C764" s="759" t="s">
        <v>519</v>
      </c>
      <c r="D764" s="760" t="s">
        <v>2807</v>
      </c>
      <c r="E764" s="761" t="s">
        <v>3188</v>
      </c>
      <c r="F764" s="762" t="s">
        <v>3328</v>
      </c>
      <c r="G764" s="763" t="s">
        <v>3329</v>
      </c>
      <c r="H764" s="762" t="s">
        <v>3330</v>
      </c>
      <c r="I764" s="349"/>
      <c r="J764" s="758"/>
      <c r="K764" s="759" t="s">
        <v>519</v>
      </c>
      <c r="L764" s="760" t="s">
        <v>2807</v>
      </c>
      <c r="M764" s="761" t="s">
        <v>3188</v>
      </c>
      <c r="N764" s="762" t="s">
        <v>3328</v>
      </c>
      <c r="O764" s="788" t="s">
        <v>3329</v>
      </c>
      <c r="P764" s="762" t="s">
        <v>3330</v>
      </c>
      <c r="T764" s="338"/>
      <c r="U764" s="806"/>
    </row>
    <row r="765" spans="1:26" ht="20.25">
      <c r="A765" s="713"/>
      <c r="B765" s="764" t="s">
        <v>3331</v>
      </c>
      <c r="C765" s="765" t="s">
        <v>463</v>
      </c>
      <c r="D765" s="766">
        <v>0</v>
      </c>
      <c r="E765" s="767">
        <v>833</v>
      </c>
      <c r="F765" s="768">
        <v>3807</v>
      </c>
      <c r="G765" s="769">
        <v>1048</v>
      </c>
      <c r="H765" s="768">
        <v>0</v>
      </c>
      <c r="I765" s="349"/>
      <c r="J765" s="764" t="s">
        <v>3332</v>
      </c>
      <c r="K765" s="765" t="s">
        <v>463</v>
      </c>
      <c r="L765" s="766">
        <v>0</v>
      </c>
      <c r="M765" s="767">
        <v>833</v>
      </c>
      <c r="N765" s="768">
        <v>3807</v>
      </c>
      <c r="O765" s="789">
        <v>1048</v>
      </c>
      <c r="P765" s="768">
        <v>0</v>
      </c>
      <c r="T765" s="338"/>
      <c r="U765" s="806"/>
    </row>
    <row r="766" spans="1:26" ht="21" customHeight="1">
      <c r="B766" s="522" t="s">
        <v>3184</v>
      </c>
      <c r="C766" s="770" t="s">
        <v>463</v>
      </c>
      <c r="D766" s="771">
        <v>26908</v>
      </c>
      <c r="E766" s="772">
        <v>3917</v>
      </c>
      <c r="F766" s="773">
        <v>7111</v>
      </c>
      <c r="G766" s="774">
        <v>4099</v>
      </c>
      <c r="H766" s="773">
        <v>0</v>
      </c>
      <c r="J766" s="522" t="s">
        <v>3184</v>
      </c>
      <c r="K766" s="770" t="s">
        <v>463</v>
      </c>
      <c r="L766" s="771">
        <v>40019</v>
      </c>
      <c r="M766" s="772">
        <v>5710</v>
      </c>
      <c r="N766" s="773">
        <f>11130+4209</f>
        <v>15339</v>
      </c>
      <c r="O766" s="790">
        <v>6846</v>
      </c>
      <c r="P766" s="773">
        <v>0</v>
      </c>
    </row>
    <row r="767" spans="1:26" ht="15.75">
      <c r="B767" s="775" t="s">
        <v>3185</v>
      </c>
      <c r="C767" s="776" t="s">
        <v>463</v>
      </c>
      <c r="D767" s="777">
        <v>26908</v>
      </c>
      <c r="E767" s="778">
        <v>4645</v>
      </c>
      <c r="F767" s="779">
        <v>8029</v>
      </c>
      <c r="G767" s="780">
        <v>4467</v>
      </c>
      <c r="H767" s="779">
        <v>0</v>
      </c>
      <c r="J767" s="775" t="s">
        <v>3185</v>
      </c>
      <c r="K767" s="776" t="s">
        <v>463</v>
      </c>
      <c r="L767" s="777">
        <v>40019</v>
      </c>
      <c r="M767" s="778">
        <v>0</v>
      </c>
      <c r="N767" s="779">
        <v>15126</v>
      </c>
      <c r="O767" s="791">
        <v>6306</v>
      </c>
      <c r="P767" s="779">
        <v>0</v>
      </c>
    </row>
    <row r="768" spans="1:26" ht="15.75">
      <c r="B768" s="781" t="s">
        <v>3333</v>
      </c>
      <c r="C768" s="759" t="s">
        <v>463</v>
      </c>
      <c r="D768" s="782">
        <f>+D766-D767</f>
        <v>0</v>
      </c>
      <c r="E768" s="783">
        <v>105</v>
      </c>
      <c r="F768" s="784" t="s">
        <v>3334</v>
      </c>
      <c r="G768" s="785">
        <v>680</v>
      </c>
      <c r="H768" s="784">
        <v>0</v>
      </c>
      <c r="J768" s="781" t="s">
        <v>3335</v>
      </c>
      <c r="K768" s="759" t="s">
        <v>463</v>
      </c>
      <c r="L768" s="782">
        <f>+L766-L767</f>
        <v>0</v>
      </c>
      <c r="M768" s="783">
        <f>+M765+M766-M767</f>
        <v>6543</v>
      </c>
      <c r="N768" s="783">
        <f>+N765+N766-N767</f>
        <v>4020</v>
      </c>
      <c r="O768" s="792">
        <f>+O765+O766-O767</f>
        <v>1588</v>
      </c>
      <c r="P768" s="784">
        <v>0</v>
      </c>
    </row>
    <row r="769" spans="2:35" ht="15.75">
      <c r="B769" s="290"/>
      <c r="C769" s="290"/>
      <c r="D769" s="290"/>
      <c r="E769" s="786" t="s">
        <v>271</v>
      </c>
      <c r="F769" s="290"/>
      <c r="G769" s="18"/>
      <c r="H769" s="290"/>
      <c r="J769" s="290"/>
      <c r="K769" s="290"/>
      <c r="L769" s="290"/>
      <c r="M769" s="786"/>
      <c r="N769" s="290"/>
      <c r="O769" s="18"/>
      <c r="P769" s="290"/>
      <c r="AA769">
        <f>7238-4075</f>
        <v>3163</v>
      </c>
    </row>
    <row r="770" spans="2:35">
      <c r="B770" s="290"/>
      <c r="C770" s="290"/>
      <c r="D770" s="290"/>
      <c r="E770" s="757"/>
      <c r="F770" s="290"/>
      <c r="G770" s="290"/>
      <c r="H770" s="290"/>
      <c r="O770" s="290"/>
    </row>
    <row r="771" spans="2:35" ht="15">
      <c r="B771" s="533" t="s">
        <v>3336</v>
      </c>
      <c r="C771" s="787"/>
      <c r="D771" s="290"/>
      <c r="E771" s="757"/>
      <c r="F771" s="290"/>
      <c r="G771" s="290"/>
      <c r="H771" s="290"/>
      <c r="J771" s="533" t="s">
        <v>3337</v>
      </c>
      <c r="K771" s="787"/>
      <c r="L771" s="290"/>
      <c r="M771" s="757"/>
      <c r="N771" s="290"/>
      <c r="O771" s="290"/>
      <c r="P771" s="290"/>
    </row>
    <row r="773" spans="2:35">
      <c r="M773" s="290"/>
    </row>
    <row r="774" spans="2:35">
      <c r="M774" s="290"/>
    </row>
    <row r="775" spans="2:35" ht="21">
      <c r="I775" s="308"/>
      <c r="J775" s="793" t="s">
        <v>3325</v>
      </c>
      <c r="K775" s="793"/>
      <c r="L775" s="794"/>
      <c r="M775" s="794"/>
      <c r="N775" s="794"/>
      <c r="O775" s="168"/>
      <c r="V775" s="793" t="s">
        <v>3325</v>
      </c>
      <c r="W775" s="793"/>
      <c r="X775" s="793"/>
      <c r="Y775" s="794"/>
      <c r="Z775" s="794"/>
      <c r="AA775" s="794"/>
      <c r="AB775" s="794"/>
      <c r="AC775" s="809" t="s">
        <v>3325</v>
      </c>
      <c r="AD775" s="809"/>
      <c r="AE775" s="809"/>
      <c r="AF775" s="809"/>
      <c r="AG775" s="809"/>
      <c r="AH775" s="809"/>
      <c r="AI775" s="13"/>
    </row>
    <row r="776" spans="2:35" ht="21">
      <c r="I776" s="31"/>
      <c r="J776" s="290"/>
      <c r="K776" s="290"/>
      <c r="L776" s="290"/>
      <c r="M776" s="757"/>
      <c r="N776" s="290"/>
      <c r="O776" s="795"/>
      <c r="V776" s="290"/>
      <c r="W776" s="290"/>
      <c r="X776" s="290"/>
      <c r="Y776" s="290"/>
      <c r="Z776" s="757"/>
      <c r="AA776" s="290"/>
      <c r="AB776" s="290"/>
      <c r="AC776" s="809"/>
      <c r="AD776" s="809"/>
      <c r="AE776" s="809"/>
      <c r="AF776" s="809"/>
      <c r="AG776" s="809"/>
      <c r="AH776" s="809"/>
      <c r="AI776" s="13"/>
    </row>
    <row r="777" spans="2:35" ht="21">
      <c r="I777" s="31"/>
      <c r="J777" s="353" t="s">
        <v>3338</v>
      </c>
      <c r="K777" s="84"/>
      <c r="L777" s="84"/>
      <c r="M777" s="84"/>
      <c r="N777" s="290"/>
      <c r="O777" s="795"/>
      <c r="V777" s="353" t="s">
        <v>3339</v>
      </c>
      <c r="W777" s="84"/>
      <c r="X777" s="84"/>
      <c r="Y777" s="84"/>
      <c r="Z777" s="84"/>
      <c r="AA777" s="290"/>
      <c r="AB777" s="290"/>
      <c r="AC777" s="809" t="s">
        <v>3340</v>
      </c>
      <c r="AD777" s="809"/>
      <c r="AE777" s="809"/>
      <c r="AF777" s="809"/>
      <c r="AG777" s="809"/>
      <c r="AH777" s="809"/>
      <c r="AI777" s="13"/>
    </row>
    <row r="778" spans="2:35" ht="21">
      <c r="I778" s="31"/>
      <c r="J778" s="84"/>
      <c r="K778" s="84"/>
      <c r="L778" s="84"/>
      <c r="M778" s="84"/>
      <c r="N778" s="290"/>
      <c r="O778" s="795"/>
      <c r="V778" s="84"/>
      <c r="W778" s="84"/>
      <c r="X778" s="84"/>
      <c r="Y778" s="84"/>
      <c r="Z778" s="84"/>
      <c r="AA778" s="290"/>
      <c r="AB778" s="290"/>
      <c r="AC778" s="809"/>
      <c r="AD778" s="809"/>
      <c r="AE778" s="809"/>
      <c r="AF778" s="809"/>
      <c r="AG778" s="809"/>
      <c r="AH778" s="809"/>
      <c r="AI778" s="13"/>
    </row>
    <row r="779" spans="2:35" ht="21">
      <c r="I779" s="31"/>
      <c r="J779" s="84"/>
      <c r="K779" s="84"/>
      <c r="L779" s="84"/>
      <c r="M779" s="84"/>
      <c r="N779" s="290"/>
      <c r="O779" s="795" t="s">
        <v>271</v>
      </c>
      <c r="V779" s="84"/>
      <c r="W779" s="84"/>
      <c r="X779" s="84"/>
      <c r="Y779" s="84"/>
      <c r="Z779" s="84"/>
      <c r="AA779" s="290"/>
      <c r="AB779" s="290" t="s">
        <v>271</v>
      </c>
      <c r="AC779" s="809" t="s">
        <v>783</v>
      </c>
      <c r="AD779" s="809" t="s">
        <v>514</v>
      </c>
      <c r="AE779" s="809" t="s">
        <v>487</v>
      </c>
      <c r="AF779" s="809" t="s">
        <v>3341</v>
      </c>
      <c r="AG779" s="809" t="s">
        <v>3342</v>
      </c>
      <c r="AH779" s="809" t="s">
        <v>3343</v>
      </c>
      <c r="AI779" s="13"/>
    </row>
    <row r="780" spans="2:35" ht="16.5" customHeight="1">
      <c r="I780" s="31"/>
      <c r="J780" s="758"/>
      <c r="K780" s="759" t="s">
        <v>519</v>
      </c>
      <c r="L780" s="760" t="s">
        <v>2807</v>
      </c>
      <c r="M780" s="761" t="s">
        <v>3188</v>
      </c>
      <c r="N780" s="762" t="s">
        <v>3344</v>
      </c>
      <c r="O780" s="788" t="s">
        <v>3345</v>
      </c>
      <c r="V780" s="758"/>
      <c r="W780" s="759" t="s">
        <v>519</v>
      </c>
      <c r="X780" s="2554"/>
      <c r="Y780" s="760" t="s">
        <v>2807</v>
      </c>
      <c r="Z780" s="761" t="s">
        <v>3188</v>
      </c>
      <c r="AA780" s="762" t="s">
        <v>3344</v>
      </c>
      <c r="AB780" s="763" t="s">
        <v>3345</v>
      </c>
      <c r="AC780" s="809"/>
      <c r="AD780" s="809" t="s">
        <v>149</v>
      </c>
      <c r="AE780" s="809" t="s">
        <v>149</v>
      </c>
      <c r="AF780" s="809" t="s">
        <v>149</v>
      </c>
      <c r="AG780" s="809" t="s">
        <v>149</v>
      </c>
      <c r="AH780" s="809" t="s">
        <v>149</v>
      </c>
      <c r="AI780" s="13"/>
    </row>
    <row r="781" spans="2:35" ht="16.5" customHeight="1">
      <c r="I781" s="31"/>
      <c r="J781" s="796" t="s">
        <v>3331</v>
      </c>
      <c r="K781" s="765" t="s">
        <v>463</v>
      </c>
      <c r="L781" s="797">
        <v>0</v>
      </c>
      <c r="M781" s="798">
        <v>833</v>
      </c>
      <c r="N781" s="799">
        <v>3807</v>
      </c>
      <c r="O781" s="800">
        <v>1048</v>
      </c>
      <c r="V781" s="796" t="s">
        <v>3346</v>
      </c>
      <c r="W781" s="765" t="s">
        <v>463</v>
      </c>
      <c r="X781" s="2555"/>
      <c r="Y781" s="797">
        <v>0</v>
      </c>
      <c r="Z781" s="798">
        <v>702.10000000000036</v>
      </c>
      <c r="AA781" s="799">
        <v>2039.75</v>
      </c>
      <c r="AB781" s="810">
        <v>6766.7999999999993</v>
      </c>
      <c r="AC781" s="809"/>
      <c r="AD781" s="809" t="s">
        <v>634</v>
      </c>
      <c r="AE781" s="809" t="s">
        <v>634</v>
      </c>
      <c r="AF781" s="809" t="s">
        <v>634</v>
      </c>
      <c r="AG781" s="809" t="s">
        <v>634</v>
      </c>
      <c r="AH781" s="809" t="s">
        <v>634</v>
      </c>
      <c r="AI781" s="13"/>
    </row>
    <row r="782" spans="2:35" ht="63.75" customHeight="1">
      <c r="I782" s="31"/>
      <c r="J782" s="801" t="s">
        <v>3184</v>
      </c>
      <c r="K782" s="770" t="s">
        <v>463</v>
      </c>
      <c r="L782" s="802">
        <v>56387.8</v>
      </c>
      <c r="M782" s="803">
        <v>8378.1</v>
      </c>
      <c r="N782" s="804">
        <v>19720.75</v>
      </c>
      <c r="O782" s="805">
        <v>9632.7999999999993</v>
      </c>
      <c r="V782" s="801" t="s">
        <v>3184</v>
      </c>
      <c r="W782" s="770" t="s">
        <v>463</v>
      </c>
      <c r="X782" s="2553"/>
      <c r="Y782" s="802">
        <v>9836</v>
      </c>
      <c r="Z782" s="803">
        <v>2738</v>
      </c>
      <c r="AA782" s="804">
        <f>4032+1167</f>
        <v>5199</v>
      </c>
      <c r="AB782" s="811">
        <v>201</v>
      </c>
      <c r="AC782" s="809" t="s">
        <v>3347</v>
      </c>
      <c r="AD782" s="809">
        <v>0</v>
      </c>
      <c r="AE782" s="809">
        <v>702.10000000000036</v>
      </c>
      <c r="AF782" s="809">
        <v>6766.7999999999993</v>
      </c>
      <c r="AG782" s="809">
        <v>2039.75</v>
      </c>
      <c r="AH782" s="809">
        <v>0</v>
      </c>
      <c r="AI782" s="13"/>
    </row>
    <row r="783" spans="2:35" ht="42.75" customHeight="1">
      <c r="I783" s="31"/>
      <c r="J783" s="838" t="s">
        <v>3185</v>
      </c>
      <c r="K783" s="776" t="s">
        <v>463</v>
      </c>
      <c r="L783" s="802">
        <v>56387.8</v>
      </c>
      <c r="M783" s="839">
        <v>8509</v>
      </c>
      <c r="N783" s="840">
        <f>23443-1955</f>
        <v>21488</v>
      </c>
      <c r="O783" s="841">
        <v>3914</v>
      </c>
      <c r="V783" s="838" t="s">
        <v>3185</v>
      </c>
      <c r="W783" s="776" t="s">
        <v>463</v>
      </c>
      <c r="X783" s="2556"/>
      <c r="Y783" s="802">
        <v>9836</v>
      </c>
      <c r="Z783" s="839">
        <v>2772</v>
      </c>
      <c r="AA783" s="840">
        <v>3164</v>
      </c>
      <c r="AB783" s="882">
        <v>587.99599999999998</v>
      </c>
      <c r="AC783" s="809" t="s">
        <v>3348</v>
      </c>
      <c r="AD783" s="809">
        <v>9578.9800000000014</v>
      </c>
      <c r="AE783" s="809">
        <v>2784.2</v>
      </c>
      <c r="AF783" s="809">
        <v>201.4</v>
      </c>
      <c r="AG783" s="809">
        <v>1939.2500000000002</v>
      </c>
      <c r="AH783" s="809">
        <v>3258.7</v>
      </c>
      <c r="AI783" s="13"/>
    </row>
    <row r="784" spans="2:35" ht="21">
      <c r="I784" s="31"/>
      <c r="J784" s="842" t="s">
        <v>3346</v>
      </c>
      <c r="K784" s="759" t="s">
        <v>463</v>
      </c>
      <c r="L784" s="843">
        <f>+L782-L783</f>
        <v>0</v>
      </c>
      <c r="M784" s="844">
        <f>+M781+M782-M783</f>
        <v>702.10000000000036</v>
      </c>
      <c r="N784" s="844">
        <f>+N781+N782-N783</f>
        <v>2039.75</v>
      </c>
      <c r="O784" s="845">
        <f>+O781+O782-O783</f>
        <v>6766.7999999999993</v>
      </c>
      <c r="V784" s="842" t="s">
        <v>3349</v>
      </c>
      <c r="W784" s="759" t="s">
        <v>463</v>
      </c>
      <c r="X784" s="2554"/>
      <c r="Y784" s="843">
        <f>+Y782-Y783</f>
        <v>0</v>
      </c>
      <c r="Z784" s="844">
        <f>+Z781+Z782-Z783</f>
        <v>668.10000000000036</v>
      </c>
      <c r="AA784" s="844">
        <f>+AA781+AA782-AA783</f>
        <v>4074.75</v>
      </c>
      <c r="AB784" s="844">
        <f>+AB781+AB782-AB783</f>
        <v>6379.8039999999992</v>
      </c>
      <c r="AC784" s="809" t="s">
        <v>23</v>
      </c>
      <c r="AD784" s="809">
        <f>+AD783+AD782</f>
        <v>9578.9800000000014</v>
      </c>
      <c r="AE784" s="809">
        <f>+AE783+AE782</f>
        <v>3486.3</v>
      </c>
      <c r="AF784" s="809">
        <f>+AF783+AF782</f>
        <v>6968.1999999999989</v>
      </c>
      <c r="AG784" s="809">
        <f>+AG783+AG782</f>
        <v>3979</v>
      </c>
      <c r="AH784" s="809">
        <f>+AH783+AH782</f>
        <v>3258.7</v>
      </c>
      <c r="AI784" s="13"/>
    </row>
    <row r="785" spans="2:44" ht="21">
      <c r="I785" s="31"/>
      <c r="J785" s="290"/>
      <c r="K785" s="290"/>
      <c r="L785" s="290"/>
      <c r="M785" s="786"/>
      <c r="N785" s="531" t="s">
        <v>271</v>
      </c>
      <c r="O785" s="24"/>
      <c r="AC785" s="809" t="s">
        <v>3350</v>
      </c>
      <c r="AD785" s="809">
        <v>9578.9800000000014</v>
      </c>
      <c r="AE785" s="809">
        <v>2860</v>
      </c>
      <c r="AF785" s="809">
        <f>587.996+300+50</f>
        <v>937.99599999999998</v>
      </c>
      <c r="AG785" s="809">
        <v>1643</v>
      </c>
      <c r="AH785" s="809">
        <v>1519.6999999999998</v>
      </c>
      <c r="AI785" s="13"/>
    </row>
    <row r="786" spans="2:44" ht="84.75" customHeight="1">
      <c r="I786" s="31"/>
      <c r="M786" s="531"/>
      <c r="N786" s="531" t="s">
        <v>271</v>
      </c>
      <c r="O786" s="795"/>
      <c r="AA786">
        <f>4075-2696</f>
        <v>1379</v>
      </c>
      <c r="AC786" s="809" t="s">
        <v>3351</v>
      </c>
      <c r="AD786" s="809">
        <f>+AD784-AD785</f>
        <v>0</v>
      </c>
      <c r="AE786" s="809">
        <f>+AE784-AE785</f>
        <v>626.30000000000018</v>
      </c>
      <c r="AF786" s="809">
        <f>+AF784-AF785</f>
        <v>6030.2039999999988</v>
      </c>
      <c r="AG786" s="809">
        <f>+AG784-AG785</f>
        <v>2336</v>
      </c>
      <c r="AH786" s="809">
        <f>+AH784-AH785</f>
        <v>1739</v>
      </c>
      <c r="AI786" s="13"/>
    </row>
    <row r="787" spans="2:44" ht="18">
      <c r="I787" s="7"/>
      <c r="J787" s="846" t="s">
        <v>3352</v>
      </c>
      <c r="K787" s="847"/>
      <c r="L787" s="848"/>
      <c r="M787" s="849"/>
      <c r="N787" s="850"/>
      <c r="O787" s="851"/>
      <c r="V787" s="793" t="s">
        <v>3325</v>
      </c>
      <c r="W787" s="793"/>
      <c r="X787" s="793"/>
      <c r="Y787" s="794"/>
      <c r="Z787" s="794"/>
      <c r="AA787" s="794"/>
      <c r="AB787" s="794"/>
    </row>
    <row r="788" spans="2:44">
      <c r="N788">
        <f>218-2488</f>
        <v>-2270</v>
      </c>
      <c r="V788" s="290"/>
      <c r="W788" s="290"/>
      <c r="X788" s="290"/>
      <c r="Y788" s="290"/>
      <c r="Z788" s="757"/>
      <c r="AA788" s="290"/>
      <c r="AB788" s="290"/>
    </row>
    <row r="789" spans="2:44" ht="15.75">
      <c r="M789" s="290"/>
      <c r="V789" s="353" t="s">
        <v>3353</v>
      </c>
      <c r="W789" s="84"/>
      <c r="X789" s="84"/>
      <c r="Y789" s="84"/>
      <c r="Z789" s="84"/>
      <c r="AA789" s="290"/>
      <c r="AB789" s="290"/>
    </row>
    <row r="790" spans="2:44" ht="26.25">
      <c r="B790" s="3107" t="s">
        <v>3354</v>
      </c>
      <c r="C790" s="3108"/>
      <c r="D790" s="3108"/>
      <c r="E790" s="3108"/>
      <c r="F790" s="3108"/>
      <c r="G790" s="3108"/>
      <c r="H790" s="3108"/>
      <c r="I790" s="3108"/>
      <c r="J790" s="3108"/>
      <c r="K790" s="3108"/>
      <c r="L790" s="3109"/>
      <c r="V790" s="84"/>
      <c r="W790" s="84"/>
      <c r="X790" s="84"/>
      <c r="Y790" s="84"/>
      <c r="Z790" s="84"/>
      <c r="AA790" s="290"/>
      <c r="AB790" s="290"/>
    </row>
    <row r="791" spans="2:44">
      <c r="B791" s="31"/>
      <c r="L791" s="63"/>
      <c r="V791" s="84"/>
      <c r="W791" s="84"/>
      <c r="X791" s="84"/>
      <c r="Y791" s="84"/>
      <c r="Z791" s="84"/>
      <c r="AA791" s="290"/>
      <c r="AB791" s="290" t="s">
        <v>271</v>
      </c>
      <c r="AC791" s="754"/>
      <c r="AD791" s="754"/>
      <c r="AE791" s="754"/>
      <c r="AF791" s="754"/>
      <c r="AG791" s="883"/>
      <c r="AH791" s="354"/>
    </row>
    <row r="792" spans="2:44" ht="23.25">
      <c r="B792" s="812"/>
      <c r="C792" s="2938" t="s">
        <v>3355</v>
      </c>
      <c r="D792" s="2938"/>
      <c r="E792" s="2938" t="s">
        <v>807</v>
      </c>
      <c r="F792" s="2938"/>
      <c r="G792" s="2938" t="s">
        <v>808</v>
      </c>
      <c r="H792" s="2938"/>
      <c r="I792" s="2938" t="s">
        <v>809</v>
      </c>
      <c r="J792" s="2939"/>
      <c r="K792" s="2937" t="s">
        <v>2363</v>
      </c>
      <c r="L792" s="2939"/>
      <c r="M792" s="852"/>
      <c r="N792" s="852"/>
      <c r="O792" s="853"/>
      <c r="V792" s="758"/>
      <c r="W792" s="759" t="s">
        <v>519</v>
      </c>
      <c r="X792" s="2554"/>
      <c r="Y792" s="760" t="s">
        <v>2807</v>
      </c>
      <c r="Z792" s="761" t="s">
        <v>3188</v>
      </c>
      <c r="AA792" s="762" t="s">
        <v>3344</v>
      </c>
      <c r="AB792" s="763" t="s">
        <v>3345</v>
      </c>
      <c r="AG792" s="63"/>
      <c r="AH792" s="63"/>
    </row>
    <row r="793" spans="2:44" ht="23.25">
      <c r="B793" s="813"/>
      <c r="C793" s="814" t="s">
        <v>3356</v>
      </c>
      <c r="D793" s="814" t="s">
        <v>292</v>
      </c>
      <c r="E793" s="815" t="s">
        <v>3356</v>
      </c>
      <c r="F793" s="816" t="s">
        <v>292</v>
      </c>
      <c r="G793" s="817" t="s">
        <v>3356</v>
      </c>
      <c r="H793" s="817" t="s">
        <v>292</v>
      </c>
      <c r="I793" s="817" t="s">
        <v>3356</v>
      </c>
      <c r="J793" s="817" t="s">
        <v>292</v>
      </c>
      <c r="K793" s="817" t="s">
        <v>3356</v>
      </c>
      <c r="L793" s="854" t="s">
        <v>292</v>
      </c>
      <c r="O793" s="63"/>
      <c r="V793" s="796" t="s">
        <v>3349</v>
      </c>
      <c r="W793" s="765" t="s">
        <v>463</v>
      </c>
      <c r="X793" s="2555"/>
      <c r="Y793" s="797">
        <v>0</v>
      </c>
      <c r="Z793" s="798">
        <v>668.10000000000036</v>
      </c>
      <c r="AA793" s="799">
        <v>4074.75</v>
      </c>
      <c r="AB793" s="810">
        <v>6379.8039999999992</v>
      </c>
      <c r="AG793" s="63"/>
      <c r="AH793" s="63"/>
    </row>
    <row r="794" spans="2:44" ht="23.25">
      <c r="B794" s="400" t="s">
        <v>2045</v>
      </c>
      <c r="C794" s="818">
        <v>1092.96</v>
      </c>
      <c r="D794" s="818">
        <v>1101.01</v>
      </c>
      <c r="E794" s="819">
        <v>857.29</v>
      </c>
      <c r="F794" s="819">
        <v>864.5</v>
      </c>
      <c r="G794" s="820"/>
      <c r="H794" s="729"/>
      <c r="I794" s="729"/>
      <c r="J794" s="729"/>
      <c r="K794" s="816"/>
      <c r="L794" s="855"/>
      <c r="O794" s="63"/>
      <c r="V794" s="801" t="s">
        <v>3184</v>
      </c>
      <c r="W794" s="770" t="s">
        <v>463</v>
      </c>
      <c r="X794" s="2553"/>
      <c r="Y794" s="802">
        <v>6930</v>
      </c>
      <c r="Z794" s="803">
        <v>2738</v>
      </c>
      <c r="AA794" s="804">
        <f>4032+1167</f>
        <v>5199</v>
      </c>
      <c r="AB794" s="811">
        <v>201</v>
      </c>
      <c r="AC794" s="127"/>
      <c r="AD794" s="127"/>
      <c r="AE794" s="354"/>
      <c r="AG794" s="355"/>
      <c r="AH794" s="355"/>
      <c r="AI794" s="286"/>
      <c r="AJ794" s="286"/>
      <c r="AK794" s="286"/>
    </row>
    <row r="795" spans="2:44" ht="23.25">
      <c r="B795" s="400" t="s">
        <v>325</v>
      </c>
      <c r="C795" s="818"/>
      <c r="D795" s="818"/>
      <c r="E795" s="818">
        <v>1239.92</v>
      </c>
      <c r="F795" s="818">
        <v>1229.8599999999999</v>
      </c>
      <c r="G795" s="819">
        <v>742.14</v>
      </c>
      <c r="H795" s="819">
        <v>737.34</v>
      </c>
      <c r="I795" s="819">
        <v>632.91999999999996</v>
      </c>
      <c r="J795" s="819">
        <v>626.14200000000005</v>
      </c>
      <c r="K795" s="814">
        <v>2593.63</v>
      </c>
      <c r="L795" s="814">
        <v>2474.712</v>
      </c>
      <c r="O795" s="63"/>
      <c r="V795" s="838" t="s">
        <v>3185</v>
      </c>
      <c r="W795" s="776" t="s">
        <v>463</v>
      </c>
      <c r="X795" s="2556"/>
      <c r="Y795" s="802">
        <v>6930</v>
      </c>
      <c r="Z795" s="839">
        <v>2772</v>
      </c>
      <c r="AA795" s="840">
        <v>3164</v>
      </c>
      <c r="AB795" s="882">
        <v>587.99599999999998</v>
      </c>
      <c r="AC795" s="3098"/>
      <c r="AD795" s="3099"/>
      <c r="AE795" s="3098"/>
      <c r="AF795" s="3099"/>
      <c r="AG795" s="355"/>
      <c r="AH795" s="355"/>
      <c r="AI795" s="286"/>
      <c r="AJ795" s="286"/>
      <c r="AK795" s="286"/>
    </row>
    <row r="796" spans="2:44" ht="23.25">
      <c r="B796" s="400" t="s">
        <v>339</v>
      </c>
      <c r="C796" s="818"/>
      <c r="D796" s="818"/>
      <c r="E796" s="818">
        <v>363.49</v>
      </c>
      <c r="F796" s="818">
        <v>357.16</v>
      </c>
      <c r="G796" s="818">
        <v>78</v>
      </c>
      <c r="H796" s="818">
        <v>78.22</v>
      </c>
      <c r="I796" s="818">
        <v>158.97</v>
      </c>
      <c r="J796" s="818">
        <v>159.26</v>
      </c>
      <c r="K796" s="856">
        <v>459.13</v>
      </c>
      <c r="L796" s="856">
        <v>459.9</v>
      </c>
      <c r="O796" s="63"/>
      <c r="V796" s="842" t="s">
        <v>3357</v>
      </c>
      <c r="W796" s="759" t="s">
        <v>463</v>
      </c>
      <c r="X796" s="2554"/>
      <c r="Y796" s="843">
        <f>+Y794-Y795</f>
        <v>0</v>
      </c>
      <c r="Z796" s="844">
        <f>+Z793+Z794-Z795</f>
        <v>634.10000000000036</v>
      </c>
      <c r="AA796" s="844">
        <f>+AA793+AA794-AA795</f>
        <v>6109.75</v>
      </c>
      <c r="AB796" s="844">
        <f>+AB793+AB794-AB795</f>
        <v>5992.8079999999991</v>
      </c>
      <c r="AC796" s="205"/>
      <c r="AD796" s="86"/>
      <c r="AE796" s="86"/>
      <c r="AF796" s="86"/>
      <c r="AG796" s="86"/>
      <c r="AI796" s="286"/>
      <c r="AJ796" s="286"/>
      <c r="AK796" s="286"/>
    </row>
    <row r="797" spans="2:44" ht="23.25">
      <c r="B797" s="821" t="s">
        <v>123</v>
      </c>
      <c r="C797" s="822">
        <v>58.17</v>
      </c>
      <c r="D797" s="822">
        <v>49.78</v>
      </c>
      <c r="E797" s="822">
        <v>345</v>
      </c>
      <c r="F797" s="822">
        <v>345.01</v>
      </c>
      <c r="G797" s="822">
        <f>474.6+46.65</f>
        <v>521.25</v>
      </c>
      <c r="H797" s="818">
        <f>474.1+46.19</f>
        <v>520.29</v>
      </c>
      <c r="I797" s="818">
        <v>287.69</v>
      </c>
      <c r="J797" s="857">
        <v>288.06700000000001</v>
      </c>
      <c r="K797" s="857">
        <v>140.93</v>
      </c>
      <c r="L797" s="857">
        <v>140.56</v>
      </c>
      <c r="M797" s="858"/>
      <c r="N797" s="858"/>
      <c r="O797" s="63"/>
      <c r="AB797" s="31"/>
      <c r="AC797" s="201" t="s">
        <v>3325</v>
      </c>
      <c r="AD797" s="202"/>
      <c r="AE797" s="202"/>
      <c r="AF797" s="86"/>
      <c r="AG797" s="86"/>
      <c r="AI797" s="884"/>
      <c r="AJ797" s="263"/>
      <c r="AK797" s="263"/>
      <c r="AL797" s="263"/>
      <c r="AM797" s="263"/>
      <c r="AN797" s="263"/>
      <c r="AO797" s="263"/>
      <c r="AP797" s="263"/>
      <c r="AQ797" s="263"/>
      <c r="AR797" s="263"/>
    </row>
    <row r="798" spans="2:44" ht="23.25">
      <c r="B798" s="823" t="s">
        <v>332</v>
      </c>
      <c r="C798" s="822"/>
      <c r="D798" s="824"/>
      <c r="E798" s="822">
        <v>42.1</v>
      </c>
      <c r="F798" s="822">
        <v>197.10900000000001</v>
      </c>
      <c r="G798" s="822"/>
      <c r="H798" s="822"/>
      <c r="I798" s="818">
        <f>37.45+36.95</f>
        <v>74.400000000000006</v>
      </c>
      <c r="J798" s="818">
        <f>37.11+37</f>
        <v>74.11</v>
      </c>
      <c r="K798" s="859">
        <f>75.955+99.11</f>
        <v>175.065</v>
      </c>
      <c r="L798" s="818">
        <f>76.169+99.49</f>
        <v>175.65899999999999</v>
      </c>
      <c r="N798" s="718"/>
      <c r="O798" s="860"/>
      <c r="AB798" s="31"/>
      <c r="AC798" s="203"/>
      <c r="AD798" s="202"/>
      <c r="AE798" s="202"/>
      <c r="AF798" s="86"/>
      <c r="AG798" s="86"/>
      <c r="AI798" s="884"/>
      <c r="AJ798" s="263"/>
      <c r="AK798" s="263"/>
      <c r="AL798" s="263"/>
      <c r="AM798" s="263"/>
      <c r="AN798" s="263"/>
      <c r="AO798" s="263"/>
      <c r="AP798" s="263"/>
      <c r="AQ798" s="263"/>
      <c r="AR798" s="263"/>
    </row>
    <row r="799" spans="2:44" ht="23.25">
      <c r="B799" s="825" t="s">
        <v>470</v>
      </c>
      <c r="C799" s="822"/>
      <c r="D799" s="824"/>
      <c r="E799" s="822"/>
      <c r="F799" s="822">
        <v>93.22</v>
      </c>
      <c r="G799" s="822"/>
      <c r="H799" s="822"/>
      <c r="I799" s="818">
        <v>163.18</v>
      </c>
      <c r="J799" s="818">
        <v>163.048</v>
      </c>
      <c r="K799" s="859">
        <v>0</v>
      </c>
      <c r="L799" s="818">
        <v>0</v>
      </c>
      <c r="N799" s="718"/>
      <c r="O799" s="860"/>
      <c r="AB799" s="31"/>
      <c r="AC799" s="204" t="s">
        <v>3358</v>
      </c>
      <c r="AD799" s="202"/>
      <c r="AE799" s="202"/>
      <c r="AF799" s="86"/>
      <c r="AG799" s="86"/>
      <c r="AI799" s="884"/>
      <c r="AJ799" s="263"/>
      <c r="AK799" s="263"/>
      <c r="AL799" s="263"/>
      <c r="AM799" s="263"/>
      <c r="AN799" s="263"/>
      <c r="AO799" s="263"/>
      <c r="AP799" s="263"/>
      <c r="AQ799" s="263"/>
      <c r="AR799" s="263"/>
    </row>
    <row r="800" spans="2:44" ht="23.25">
      <c r="B800" s="826"/>
      <c r="C800" s="827"/>
      <c r="D800" s="828"/>
      <c r="E800" s="827"/>
      <c r="F800" s="827"/>
      <c r="G800" s="827"/>
      <c r="H800" s="827"/>
      <c r="I800" s="861"/>
      <c r="J800" s="861"/>
      <c r="K800" s="862"/>
      <c r="L800" s="861"/>
      <c r="N800" s="718"/>
      <c r="O800" s="860"/>
      <c r="AB800" s="31"/>
      <c r="AC800" s="205"/>
      <c r="AD800" s="86"/>
      <c r="AE800" s="86"/>
      <c r="AF800" s="86"/>
      <c r="AG800" s="86"/>
      <c r="AI800" s="884"/>
      <c r="AJ800" s="263"/>
      <c r="AK800" s="263"/>
      <c r="AL800" s="263"/>
      <c r="AM800" s="263"/>
      <c r="AN800" s="263"/>
      <c r="AO800" s="263"/>
      <c r="AP800" s="263"/>
      <c r="AQ800" s="263"/>
      <c r="AR800" s="263"/>
    </row>
    <row r="801" spans="2:44" ht="31.5">
      <c r="B801" s="395"/>
      <c r="C801" s="829">
        <f t="shared" ref="C801:L801" si="167">SUM(C794:C800)</f>
        <v>1151.1300000000001</v>
      </c>
      <c r="D801" s="829">
        <f t="shared" si="167"/>
        <v>1150.79</v>
      </c>
      <c r="E801" s="829">
        <f t="shared" si="167"/>
        <v>2847.7999999999997</v>
      </c>
      <c r="F801" s="829">
        <f t="shared" si="167"/>
        <v>3086.8589999999995</v>
      </c>
      <c r="G801" s="829">
        <f t="shared" si="167"/>
        <v>1341.3899999999999</v>
      </c>
      <c r="H801" s="829">
        <f t="shared" si="167"/>
        <v>1335.85</v>
      </c>
      <c r="I801" s="829">
        <f t="shared" si="167"/>
        <v>1317.16</v>
      </c>
      <c r="J801" s="829">
        <f t="shared" si="167"/>
        <v>1310.627</v>
      </c>
      <c r="K801" s="829">
        <f t="shared" si="167"/>
        <v>3368.7550000000001</v>
      </c>
      <c r="L801" s="863">
        <f t="shared" si="167"/>
        <v>3250.8310000000001</v>
      </c>
      <c r="M801" s="864"/>
      <c r="N801" s="865"/>
      <c r="O801" s="866"/>
      <c r="AB801" s="31"/>
      <c r="AC801" s="2962" t="s">
        <v>783</v>
      </c>
      <c r="AD801" s="206" t="s">
        <v>514</v>
      </c>
      <c r="AE801" s="207" t="s">
        <v>487</v>
      </c>
      <c r="AF801" s="208" t="s">
        <v>3341</v>
      </c>
      <c r="AG801" s="207" t="s">
        <v>3342</v>
      </c>
      <c r="AH801" s="209" t="s">
        <v>3343</v>
      </c>
      <c r="AI801" s="884"/>
      <c r="AJ801" s="263"/>
      <c r="AK801" s="263"/>
      <c r="AL801" s="263"/>
      <c r="AM801" s="263"/>
      <c r="AN801" s="263"/>
      <c r="AO801" s="263"/>
      <c r="AP801" s="263"/>
      <c r="AQ801" s="263"/>
      <c r="AR801" s="263"/>
    </row>
    <row r="802" spans="2:44" ht="20.25">
      <c r="O802" s="349"/>
      <c r="AB802" s="31"/>
      <c r="AC802" s="2963"/>
      <c r="AD802" s="210" t="s">
        <v>149</v>
      </c>
      <c r="AE802" s="211" t="s">
        <v>149</v>
      </c>
      <c r="AF802" s="212" t="s">
        <v>149</v>
      </c>
      <c r="AG802" s="211" t="s">
        <v>149</v>
      </c>
      <c r="AH802" s="213" t="s">
        <v>149</v>
      </c>
      <c r="AI802" s="884"/>
      <c r="AJ802" s="263"/>
      <c r="AK802" s="263"/>
      <c r="AL802" s="263"/>
      <c r="AM802" s="263"/>
      <c r="AN802" s="263"/>
      <c r="AO802" s="263"/>
      <c r="AP802" s="263"/>
      <c r="AQ802" s="263"/>
      <c r="AR802" s="263"/>
    </row>
    <row r="803" spans="2:44" ht="20.25">
      <c r="O803" s="349"/>
      <c r="AB803" s="31"/>
      <c r="AC803" s="2964"/>
      <c r="AD803" s="214" t="s">
        <v>634</v>
      </c>
      <c r="AE803" s="215" t="s">
        <v>634</v>
      </c>
      <c r="AF803" s="216" t="s">
        <v>634</v>
      </c>
      <c r="AG803" s="215" t="s">
        <v>634</v>
      </c>
      <c r="AH803" s="217" t="s">
        <v>634</v>
      </c>
      <c r="AI803" s="884"/>
      <c r="AJ803" s="263"/>
      <c r="AK803" s="263"/>
      <c r="AL803" s="263"/>
      <c r="AM803" s="263"/>
      <c r="AN803" s="263"/>
      <c r="AO803" s="263"/>
      <c r="AP803" s="263"/>
      <c r="AQ803" s="263"/>
      <c r="AR803" s="263"/>
    </row>
    <row r="804" spans="2:44" ht="42">
      <c r="O804" s="349"/>
      <c r="AB804" s="31"/>
      <c r="AC804" s="218" t="s">
        <v>3347</v>
      </c>
      <c r="AD804" s="219">
        <v>0</v>
      </c>
      <c r="AE804" s="220">
        <v>702.10000000000036</v>
      </c>
      <c r="AF804" s="202">
        <v>6766.7999999999993</v>
      </c>
      <c r="AG804" s="220">
        <v>2039.75</v>
      </c>
      <c r="AH804" s="221">
        <v>0</v>
      </c>
      <c r="AI804" s="884"/>
      <c r="AJ804" s="263"/>
      <c r="AK804" s="263"/>
      <c r="AL804" s="263"/>
      <c r="AM804" s="263"/>
      <c r="AN804" s="263"/>
      <c r="AO804" s="263"/>
      <c r="AP804" s="263"/>
      <c r="AQ804" s="263"/>
      <c r="AR804" s="263"/>
    </row>
    <row r="805" spans="2:44" ht="42">
      <c r="B805" s="3100"/>
      <c r="C805" s="3101"/>
      <c r="D805" s="3101"/>
      <c r="E805" s="3101"/>
      <c r="F805" s="3101"/>
      <c r="G805" s="3101"/>
      <c r="H805" s="3101"/>
      <c r="I805" s="3101"/>
      <c r="J805" s="3102"/>
      <c r="K805" s="867"/>
      <c r="L805" s="867"/>
      <c r="M805" s="852"/>
      <c r="N805" s="852"/>
      <c r="O805" s="868"/>
      <c r="AB805" s="31"/>
      <c r="AC805" s="222" t="s">
        <v>3359</v>
      </c>
      <c r="AD805" s="223">
        <v>18512.48</v>
      </c>
      <c r="AE805" s="224">
        <v>5571.8</v>
      </c>
      <c r="AF805" s="225">
        <v>526.1</v>
      </c>
      <c r="AG805" s="224">
        <v>4507.8500000000004</v>
      </c>
      <c r="AH805" s="226">
        <v>4409.3</v>
      </c>
      <c r="AI805" s="884"/>
      <c r="AJ805" s="263"/>
      <c r="AK805" s="263"/>
      <c r="AL805" s="263"/>
      <c r="AM805" s="263"/>
      <c r="AN805" s="263"/>
      <c r="AO805" s="263"/>
      <c r="AP805" s="263"/>
      <c r="AQ805" s="263"/>
      <c r="AR805" s="263"/>
    </row>
    <row r="806" spans="2:44" ht="23.25">
      <c r="B806" s="830"/>
      <c r="C806" s="831"/>
      <c r="D806" s="831"/>
      <c r="E806" s="831"/>
      <c r="F806" s="831"/>
      <c r="G806" s="831"/>
      <c r="H806" s="832"/>
      <c r="I806" s="832"/>
      <c r="J806" s="869"/>
      <c r="K806" s="858"/>
      <c r="L806" s="858"/>
      <c r="M806" s="858"/>
      <c r="N806" s="870"/>
      <c r="O806" s="860"/>
      <c r="AB806" s="31"/>
      <c r="AC806" s="222" t="s">
        <v>23</v>
      </c>
      <c r="AD806" s="223">
        <f>+AD805+AD804</f>
        <v>18512.48</v>
      </c>
      <c r="AE806" s="224">
        <f>+AE805+AE804</f>
        <v>6273.9000000000005</v>
      </c>
      <c r="AF806" s="225">
        <f>+AF805+AF804</f>
        <v>7292.9</v>
      </c>
      <c r="AG806" s="224">
        <f>+AG805+AG804</f>
        <v>6547.6</v>
      </c>
      <c r="AH806" s="226">
        <f>+AH805+AH804</f>
        <v>4409.3</v>
      </c>
      <c r="AI806" s="884"/>
      <c r="AJ806" s="263"/>
      <c r="AK806" s="263"/>
      <c r="AL806" s="263"/>
      <c r="AM806" s="263"/>
      <c r="AN806" s="263"/>
      <c r="AO806" s="263"/>
      <c r="AP806" s="263"/>
      <c r="AQ806" s="263"/>
      <c r="AR806" s="263"/>
    </row>
    <row r="807" spans="2:44" ht="23.25">
      <c r="B807" s="390"/>
      <c r="C807" s="833"/>
      <c r="D807" s="596"/>
      <c r="E807" s="833"/>
      <c r="F807" s="833"/>
      <c r="G807" s="833"/>
      <c r="H807" s="833"/>
      <c r="I807" s="720"/>
      <c r="J807" s="720"/>
      <c r="K807" s="714"/>
      <c r="L807" s="718"/>
      <c r="M807" s="718">
        <v>7</v>
      </c>
      <c r="N807" s="718"/>
      <c r="O807" s="860"/>
      <c r="AB807" s="31"/>
      <c r="AC807" s="222" t="s">
        <v>3350</v>
      </c>
      <c r="AD807" s="223">
        <v>18512.48</v>
      </c>
      <c r="AE807" s="224">
        <f>979+777+538+2860</f>
        <v>5154</v>
      </c>
      <c r="AF807" s="225">
        <f>587.996+300+50+242.989+241.5+493.41</f>
        <v>1915.895</v>
      </c>
      <c r="AG807" s="224">
        <f>1643+1063.756+1340.776+1277.228-242.989-241.5-493.41</f>
        <v>4346.8610000000008</v>
      </c>
      <c r="AH807" s="226">
        <f>321.141+651.446+518.728+1519.7</f>
        <v>3011.0150000000003</v>
      </c>
      <c r="AI807" s="884"/>
      <c r="AJ807" s="263"/>
      <c r="AK807" s="263"/>
      <c r="AL807" s="263"/>
      <c r="AM807" s="263"/>
      <c r="AN807" s="263"/>
      <c r="AO807" s="263"/>
      <c r="AP807" s="263"/>
      <c r="AQ807" s="263"/>
      <c r="AR807" s="263"/>
    </row>
    <row r="808" spans="2:44" ht="63">
      <c r="B808" s="834"/>
      <c r="C808" s="833"/>
      <c r="D808" s="596"/>
      <c r="E808" s="833"/>
      <c r="F808" s="833"/>
      <c r="G808" s="833"/>
      <c r="H808" s="833"/>
      <c r="I808" s="720"/>
      <c r="J808" s="720"/>
      <c r="K808" s="714"/>
      <c r="L808" s="718"/>
      <c r="M808" s="718"/>
      <c r="N808" s="718"/>
      <c r="O808" s="860"/>
      <c r="AB808" s="31"/>
      <c r="AC808" s="227" t="s">
        <v>3360</v>
      </c>
      <c r="AD808" s="228">
        <f>+AD806-AD807</f>
        <v>0</v>
      </c>
      <c r="AE808" s="229">
        <f>+AE806-AE807</f>
        <v>1119.9000000000005</v>
      </c>
      <c r="AF808" s="230">
        <f>+AF806-AF807</f>
        <v>5377.0049999999992</v>
      </c>
      <c r="AG808" s="229">
        <f>+AG806-AG807</f>
        <v>2200.7389999999996</v>
      </c>
      <c r="AH808" s="231">
        <f>+AH806-AH807</f>
        <v>1398.2849999999999</v>
      </c>
      <c r="AI808" s="884"/>
      <c r="AJ808" s="263"/>
      <c r="AK808" s="263"/>
      <c r="AL808" s="263"/>
      <c r="AM808" s="263"/>
      <c r="AN808" s="263"/>
      <c r="AO808" s="263"/>
      <c r="AP808" s="263"/>
      <c r="AQ808" s="263"/>
      <c r="AR808" s="263"/>
    </row>
    <row r="809" spans="2:44" ht="23.25">
      <c r="B809" s="835"/>
      <c r="C809" s="833"/>
      <c r="D809" s="596"/>
      <c r="E809" s="833"/>
      <c r="F809" s="833"/>
      <c r="G809" s="833"/>
      <c r="H809" s="833"/>
      <c r="I809" s="720"/>
      <c r="J809" s="720"/>
      <c r="K809" s="714"/>
      <c r="L809" s="718"/>
      <c r="M809" s="718"/>
      <c r="N809" s="718"/>
      <c r="O809" s="860"/>
      <c r="AB809" s="7"/>
      <c r="AC809" s="360"/>
      <c r="AD809" s="361"/>
      <c r="AE809" s="359"/>
      <c r="AF809" s="362"/>
      <c r="AG809" s="357"/>
      <c r="AH809" s="357"/>
      <c r="AI809" s="884"/>
      <c r="AJ809" s="263"/>
      <c r="AK809" s="263"/>
      <c r="AL809" s="263"/>
      <c r="AM809" s="263"/>
      <c r="AN809" s="263"/>
      <c r="AO809" s="263"/>
      <c r="AP809" s="263"/>
      <c r="AQ809" s="263"/>
      <c r="AR809" s="263"/>
    </row>
    <row r="810" spans="2:44" ht="23.25">
      <c r="B810" s="395"/>
      <c r="C810" s="836"/>
      <c r="D810" s="837"/>
      <c r="E810" s="836"/>
      <c r="F810" s="836"/>
      <c r="G810" s="836"/>
      <c r="H810" s="836"/>
      <c r="I810" s="871"/>
      <c r="J810" s="872"/>
      <c r="K810" s="873"/>
      <c r="L810" s="874"/>
      <c r="M810" s="875"/>
      <c r="N810" s="876"/>
      <c r="O810" s="877"/>
      <c r="AB810" s="31"/>
      <c r="AC810" s="370" t="s">
        <v>3361</v>
      </c>
      <c r="AD810" s="371"/>
      <c r="AE810" s="370"/>
      <c r="AF810" s="371">
        <f>2158+98</f>
        <v>2256</v>
      </c>
      <c r="AG810" s="372">
        <f>3152+201</f>
        <v>3353</v>
      </c>
      <c r="AH810" s="373">
        <f>1065+43</f>
        <v>1108</v>
      </c>
      <c r="AI810" s="884"/>
      <c r="AJ810" s="263"/>
      <c r="AK810" s="263"/>
      <c r="AL810" s="263"/>
      <c r="AM810" s="263"/>
      <c r="AN810" s="263"/>
      <c r="AO810" s="263"/>
      <c r="AP810" s="263"/>
      <c r="AQ810" s="263"/>
      <c r="AR810" s="263"/>
    </row>
    <row r="811" spans="2:44" ht="18">
      <c r="AB811" s="31"/>
      <c r="AC811" s="263"/>
      <c r="AD811" s="258"/>
      <c r="AE811" s="263"/>
      <c r="AF811" s="258"/>
      <c r="AG811" s="364"/>
      <c r="AH811" s="357"/>
      <c r="AI811" s="884"/>
      <c r="AJ811" s="263"/>
      <c r="AK811" s="263"/>
      <c r="AL811" s="263"/>
      <c r="AM811" s="263"/>
      <c r="AN811" s="263"/>
      <c r="AO811" s="263"/>
      <c r="AP811" s="263"/>
      <c r="AQ811" s="263"/>
      <c r="AR811" s="263"/>
    </row>
    <row r="812" spans="2:44" ht="18">
      <c r="AB812" s="31"/>
      <c r="AC812" s="263"/>
      <c r="AD812" s="258"/>
      <c r="AE812" s="263"/>
      <c r="AF812" s="258"/>
      <c r="AG812" s="364"/>
      <c r="AH812" s="357"/>
      <c r="AI812" s="884"/>
      <c r="AJ812" s="263"/>
      <c r="AK812" s="263"/>
      <c r="AL812" s="263"/>
      <c r="AM812" s="263"/>
      <c r="AN812" s="263"/>
      <c r="AO812" s="263"/>
      <c r="AP812" s="263"/>
      <c r="AQ812" s="263"/>
      <c r="AR812" s="263"/>
    </row>
    <row r="813" spans="2:44" ht="18">
      <c r="AB813" s="31"/>
      <c r="AC813" s="263"/>
      <c r="AD813" s="258"/>
      <c r="AE813" s="263"/>
      <c r="AF813" s="258"/>
      <c r="AG813" s="364"/>
      <c r="AH813" s="357"/>
      <c r="AI813" s="884"/>
      <c r="AJ813" s="263"/>
      <c r="AK813" s="263"/>
      <c r="AL813" s="263"/>
      <c r="AM813" s="263"/>
      <c r="AN813" s="263"/>
      <c r="AO813" s="263"/>
      <c r="AP813" s="263"/>
      <c r="AQ813" s="263"/>
      <c r="AR813" s="263"/>
    </row>
    <row r="814" spans="2:44" ht="23.25">
      <c r="B814" s="3100"/>
      <c r="C814" s="3101"/>
      <c r="D814" s="3101"/>
      <c r="E814" s="3101"/>
      <c r="F814" s="3101"/>
      <c r="G814" s="3101"/>
      <c r="H814" s="3101"/>
      <c r="I814" s="3101"/>
      <c r="J814" s="3102"/>
      <c r="K814" s="867"/>
      <c r="L814" s="867"/>
      <c r="M814" s="852"/>
      <c r="N814" s="852"/>
      <c r="O814" s="868"/>
      <c r="AB814" s="7"/>
      <c r="AC814" s="365"/>
      <c r="AD814" s="366"/>
      <c r="AE814" s="365"/>
      <c r="AF814" s="366"/>
      <c r="AG814" s="367"/>
      <c r="AH814" s="368"/>
      <c r="AI814" s="884"/>
      <c r="AJ814" s="263"/>
      <c r="AK814" s="263"/>
      <c r="AL814" s="263"/>
      <c r="AM814" s="263"/>
      <c r="AN814" s="263"/>
      <c r="AO814" s="263"/>
      <c r="AP814" s="263"/>
      <c r="AQ814" s="263"/>
      <c r="AR814" s="263"/>
    </row>
    <row r="815" spans="2:44" ht="23.25">
      <c r="B815" s="830"/>
      <c r="C815" s="831"/>
      <c r="D815" s="831"/>
      <c r="E815" s="831"/>
      <c r="F815" s="831"/>
      <c r="G815" s="831"/>
      <c r="H815" s="832"/>
      <c r="I815" s="832"/>
      <c r="J815" s="869"/>
      <c r="K815" s="858"/>
      <c r="L815" s="858"/>
      <c r="M815" s="858"/>
      <c r="N815" s="870"/>
      <c r="O815" s="860"/>
      <c r="AC815" s="262"/>
      <c r="AD815" s="363"/>
      <c r="AE815" s="262"/>
      <c r="AF815" s="363"/>
      <c r="AG815" s="262"/>
      <c r="AH815" s="262"/>
      <c r="AI815" s="263"/>
      <c r="AJ815" s="263"/>
      <c r="AK815" s="263"/>
      <c r="AL815" s="263"/>
      <c r="AM815" s="263"/>
      <c r="AN815" s="263"/>
      <c r="AO815" s="263"/>
      <c r="AP815" s="263"/>
      <c r="AQ815" s="263"/>
      <c r="AR815" s="263"/>
    </row>
    <row r="816" spans="2:44" ht="23.25">
      <c r="B816" s="390"/>
      <c r="C816" s="833"/>
      <c r="D816" s="833"/>
      <c r="E816" s="833"/>
      <c r="F816" s="833"/>
      <c r="G816" s="833"/>
      <c r="H816" s="833"/>
      <c r="I816" s="833"/>
      <c r="J816" s="833"/>
      <c r="K816" s="833"/>
      <c r="L816" s="833"/>
      <c r="M816" s="833"/>
      <c r="N816" s="833"/>
      <c r="O816" s="860"/>
      <c r="AC816" s="258"/>
      <c r="AD816" s="258"/>
      <c r="AE816" s="263"/>
      <c r="AF816" s="258"/>
      <c r="AG816" s="263"/>
      <c r="AH816" s="263"/>
      <c r="AI816" s="263"/>
      <c r="AJ816" s="263"/>
      <c r="AK816" s="263"/>
      <c r="AL816" s="263"/>
      <c r="AM816" s="263"/>
      <c r="AN816" s="263"/>
      <c r="AO816" s="263"/>
      <c r="AP816" s="263"/>
      <c r="AQ816" s="263"/>
      <c r="AR816" s="263"/>
    </row>
    <row r="817" spans="2:44" ht="21.75">
      <c r="B817" s="834"/>
      <c r="C817" s="833"/>
      <c r="D817" s="833"/>
      <c r="E817" s="833"/>
      <c r="F817" s="833"/>
      <c r="G817" s="833"/>
      <c r="H817" s="833"/>
      <c r="I817" s="833"/>
      <c r="J817" s="833"/>
      <c r="K817" s="833"/>
      <c r="L817" s="833"/>
      <c r="M817" s="833"/>
      <c r="N817" s="833"/>
      <c r="O817" s="860"/>
      <c r="AC817" s="258"/>
      <c r="AD817" s="258"/>
      <c r="AE817" s="263"/>
      <c r="AF817" s="258"/>
      <c r="AG817" s="263"/>
      <c r="AH817" s="263"/>
      <c r="AI817" s="263"/>
      <c r="AJ817" s="263"/>
      <c r="AK817" s="263"/>
      <c r="AL817" s="263"/>
      <c r="AM817" s="263"/>
      <c r="AN817" s="263"/>
      <c r="AO817" s="263"/>
      <c r="AP817" s="263"/>
      <c r="AQ817" s="263"/>
      <c r="AR817" s="263"/>
    </row>
    <row r="818" spans="2:44" ht="21.75">
      <c r="B818" s="835"/>
      <c r="C818" s="833"/>
      <c r="D818" s="833"/>
      <c r="E818" s="833"/>
      <c r="F818" s="833"/>
      <c r="G818" s="833"/>
      <c r="H818" s="833"/>
      <c r="I818" s="833"/>
      <c r="J818" s="833"/>
      <c r="K818" s="833"/>
      <c r="L818" s="833"/>
      <c r="M818" s="833"/>
      <c r="N818" s="833"/>
      <c r="O818" s="860"/>
      <c r="AC818" s="258"/>
      <c r="AD818" s="258"/>
      <c r="AE818" s="263"/>
      <c r="AF818" s="258"/>
      <c r="AG818" s="263"/>
      <c r="AH818" s="263"/>
      <c r="AI818" s="263"/>
      <c r="AJ818" s="263"/>
      <c r="AK818" s="263"/>
      <c r="AL818" s="263"/>
      <c r="AM818" s="263"/>
      <c r="AN818" s="263"/>
      <c r="AO818" s="263"/>
      <c r="AP818" s="263"/>
      <c r="AQ818" s="263"/>
      <c r="AR818" s="263"/>
    </row>
    <row r="819" spans="2:44" ht="23.25">
      <c r="B819" s="395"/>
      <c r="C819" s="833"/>
      <c r="D819" s="833"/>
      <c r="E819" s="833"/>
      <c r="F819" s="833"/>
      <c r="G819" s="833"/>
      <c r="H819" s="833"/>
      <c r="I819" s="833"/>
      <c r="J819" s="833"/>
      <c r="K819" s="833"/>
      <c r="L819" s="833"/>
      <c r="M819" s="833"/>
      <c r="N819" s="833"/>
      <c r="O819" s="877"/>
      <c r="AC819" s="258"/>
      <c r="AD819" s="258"/>
      <c r="AE819" s="263"/>
      <c r="AF819" s="258"/>
      <c r="AG819" s="263"/>
      <c r="AH819" s="263"/>
      <c r="AI819" s="263"/>
      <c r="AJ819" s="263"/>
      <c r="AK819" s="263"/>
      <c r="AL819" s="263"/>
      <c r="AM819" s="263"/>
      <c r="AN819" s="263"/>
      <c r="AO819" s="263"/>
      <c r="AP819" s="263"/>
      <c r="AQ819" s="263"/>
      <c r="AR819" s="263"/>
    </row>
    <row r="820" spans="2:44" ht="18">
      <c r="AC820" s="369"/>
      <c r="AD820" s="4"/>
      <c r="AE820" s="11"/>
      <c r="AF820" s="4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</row>
    <row r="821" spans="2:44" ht="18">
      <c r="AC821" s="4"/>
      <c r="AD821" s="4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</row>
    <row r="822" spans="2:44" ht="20.25">
      <c r="B822" s="84" t="s">
        <v>3362</v>
      </c>
      <c r="C822" s="84"/>
      <c r="D822" s="84"/>
      <c r="E822" s="84"/>
      <c r="F822" s="84"/>
      <c r="L822" s="308"/>
      <c r="M822" s="3047" t="s">
        <v>3363</v>
      </c>
      <c r="N822" s="3047"/>
      <c r="O822" s="3048"/>
      <c r="AC822" s="369"/>
      <c r="AD822" s="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</row>
    <row r="823" spans="2:44" ht="18">
      <c r="B823" s="55"/>
      <c r="C823" s="55" t="s">
        <v>2807</v>
      </c>
      <c r="D823" s="55" t="s">
        <v>3188</v>
      </c>
      <c r="E823" s="55" t="s">
        <v>3328</v>
      </c>
      <c r="F823" s="55" t="s">
        <v>3329</v>
      </c>
      <c r="G823" s="55" t="s">
        <v>3330</v>
      </c>
      <c r="L823" s="637"/>
      <c r="M823" s="547" t="s">
        <v>3364</v>
      </c>
      <c r="N823" s="547" t="s">
        <v>3365</v>
      </c>
      <c r="O823" s="646" t="s">
        <v>3366</v>
      </c>
      <c r="AC823" s="369"/>
      <c r="AD823" s="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</row>
    <row r="824" spans="2:44" ht="18">
      <c r="B824" s="55" t="s">
        <v>3367</v>
      </c>
      <c r="C824" s="55"/>
      <c r="D824" s="55">
        <v>261</v>
      </c>
      <c r="E824" s="55">
        <v>1371</v>
      </c>
      <c r="F824" s="55">
        <v>616</v>
      </c>
      <c r="G824" s="55">
        <v>129.32</v>
      </c>
      <c r="H824" t="s">
        <v>3368</v>
      </c>
      <c r="L824" s="637"/>
      <c r="M824" s="547"/>
      <c r="N824" s="547"/>
      <c r="O824" s="646"/>
      <c r="AC824" s="369"/>
      <c r="AD824" s="4"/>
      <c r="AM824" s="84"/>
      <c r="AN824" s="84"/>
      <c r="AO824" s="84"/>
      <c r="AP824" s="84"/>
      <c r="AQ824" s="84"/>
      <c r="AR824" s="84"/>
    </row>
    <row r="825" spans="2:44" ht="20.25">
      <c r="B825" s="55" t="s">
        <v>3184</v>
      </c>
      <c r="C825" s="55">
        <v>4227</v>
      </c>
      <c r="D825" s="55">
        <v>1248</v>
      </c>
      <c r="E825" s="55">
        <v>0</v>
      </c>
      <c r="F825" s="55">
        <v>0</v>
      </c>
      <c r="G825" s="13">
        <v>0</v>
      </c>
      <c r="L825" s="878" t="s">
        <v>532</v>
      </c>
      <c r="M825" s="343">
        <v>4391040</v>
      </c>
      <c r="N825" s="343">
        <v>7701</v>
      </c>
      <c r="O825" s="879">
        <f>+M825/N825</f>
        <v>570.19088430074021</v>
      </c>
      <c r="AM825" s="84"/>
      <c r="AN825" s="84"/>
      <c r="AO825" s="84"/>
      <c r="AP825" s="84"/>
      <c r="AQ825" s="84"/>
      <c r="AR825" s="84"/>
    </row>
    <row r="826" spans="2:44" ht="20.25">
      <c r="B826" s="55" t="s">
        <v>3185</v>
      </c>
      <c r="C826" s="55">
        <v>4227</v>
      </c>
      <c r="D826" s="55">
        <f>1033+313</f>
        <v>1346</v>
      </c>
      <c r="E826" s="55">
        <f>1075+296</f>
        <v>1371</v>
      </c>
      <c r="F826" s="55">
        <f>433+111</f>
        <v>544</v>
      </c>
      <c r="G826" s="13">
        <v>0</v>
      </c>
      <c r="L826" s="878" t="s">
        <v>540</v>
      </c>
      <c r="M826" s="343">
        <v>670700</v>
      </c>
      <c r="N826" s="343">
        <v>6111</v>
      </c>
      <c r="O826" s="879">
        <f>+M826/N826</f>
        <v>109.75290459826542</v>
      </c>
      <c r="AM826" s="84"/>
      <c r="AN826" s="84"/>
      <c r="AO826" s="84"/>
      <c r="AP826" s="84"/>
      <c r="AQ826" s="84"/>
      <c r="AR826" s="84"/>
    </row>
    <row r="827" spans="2:44" ht="20.25">
      <c r="B827" s="55" t="s">
        <v>3369</v>
      </c>
      <c r="C827" s="55">
        <f>+C825-C826</f>
        <v>0</v>
      </c>
      <c r="D827" s="55">
        <f>+D824+D825-D826</f>
        <v>163</v>
      </c>
      <c r="E827" s="55">
        <f>+E824+E825-E826</f>
        <v>0</v>
      </c>
      <c r="F827" s="55">
        <f>+F824+F825-F826</f>
        <v>72</v>
      </c>
      <c r="G827" s="55">
        <f>+G824+G825-G826</f>
        <v>129.32</v>
      </c>
      <c r="L827" s="878" t="s">
        <v>111</v>
      </c>
      <c r="M827" s="343">
        <v>945100</v>
      </c>
      <c r="N827" s="343">
        <v>3841</v>
      </c>
      <c r="O827" s="879">
        <f>+M827/N827</f>
        <v>246.05571465764123</v>
      </c>
      <c r="AM827" s="84"/>
      <c r="AN827" s="84"/>
      <c r="AO827" s="84"/>
      <c r="AP827" s="84"/>
      <c r="AQ827" s="84"/>
      <c r="AR827" s="84"/>
    </row>
    <row r="828" spans="2:44" ht="20.25">
      <c r="B828" s="84"/>
      <c r="C828" s="84"/>
      <c r="D828" s="84">
        <f>163-476</f>
        <v>-313</v>
      </c>
      <c r="E828" s="84"/>
      <c r="F828" s="84"/>
      <c r="L828" s="880" t="s">
        <v>3370</v>
      </c>
      <c r="M828" s="345">
        <v>1313900</v>
      </c>
      <c r="N828" s="345">
        <v>6827</v>
      </c>
      <c r="O828" s="881">
        <f>+M828/N828</f>
        <v>192.45642302621943</v>
      </c>
      <c r="AD828" s="257"/>
      <c r="AE828" s="257"/>
      <c r="AF828" s="14"/>
      <c r="AG828" s="14"/>
      <c r="AJ828" s="3023" t="s">
        <v>3371</v>
      </c>
      <c r="AK828" s="3023"/>
      <c r="AL828" s="3023"/>
      <c r="AM828" s="3023"/>
      <c r="AN828" s="84"/>
      <c r="AO828" s="84"/>
      <c r="AP828" s="84"/>
      <c r="AQ828" s="84"/>
      <c r="AR828" s="84"/>
    </row>
    <row r="829" spans="2:44" ht="18">
      <c r="L829" s="374"/>
      <c r="M829" s="374"/>
      <c r="N829" s="374"/>
      <c r="O829" s="374"/>
      <c r="AD829" s="3023" t="s">
        <v>2420</v>
      </c>
      <c r="AE829" s="3023"/>
      <c r="AF829" s="3023"/>
      <c r="AG829" s="3023"/>
      <c r="AJ829" s="133"/>
      <c r="AK829" s="133"/>
      <c r="AL829" s="133"/>
      <c r="AM829" s="133"/>
      <c r="AN829" s="84"/>
      <c r="AO829" s="84"/>
      <c r="AP829" s="84"/>
      <c r="AQ829" s="84"/>
      <c r="AR829" s="84"/>
    </row>
    <row r="830" spans="2:44" ht="18">
      <c r="L830" s="374"/>
      <c r="M830" s="374"/>
      <c r="N830" s="374"/>
      <c r="O830" s="374"/>
      <c r="AD830" s="133"/>
      <c r="AE830" s="133"/>
      <c r="AF830" s="133"/>
      <c r="AG830" s="133"/>
      <c r="AJ830" s="258" t="s">
        <v>300</v>
      </c>
      <c r="AK830" s="259" t="s">
        <v>2423</v>
      </c>
      <c r="AL830" s="258" t="s">
        <v>532</v>
      </c>
      <c r="AM830" s="258" t="s">
        <v>2424</v>
      </c>
      <c r="AN830" s="84"/>
      <c r="AO830" s="258" t="s">
        <v>532</v>
      </c>
      <c r="AP830" s="258" t="s">
        <v>2424</v>
      </c>
      <c r="AQ830" s="84"/>
      <c r="AR830" s="84"/>
    </row>
    <row r="831" spans="2:44" ht="18">
      <c r="AD831" s="258" t="s">
        <v>300</v>
      </c>
      <c r="AE831" s="259" t="s">
        <v>2423</v>
      </c>
      <c r="AF831" s="258" t="s">
        <v>532</v>
      </c>
      <c r="AG831" s="258" t="s">
        <v>2424</v>
      </c>
      <c r="AJ831" s="260">
        <v>42067</v>
      </c>
      <c r="AK831" s="258">
        <v>198</v>
      </c>
      <c r="AL831" s="258">
        <v>10</v>
      </c>
      <c r="AM831" s="258">
        <v>0</v>
      </c>
      <c r="AN831" s="287">
        <v>45713</v>
      </c>
      <c r="AO831" s="84">
        <v>10</v>
      </c>
      <c r="AP831" s="84">
        <v>0</v>
      </c>
      <c r="AQ831" s="84">
        <v>216</v>
      </c>
      <c r="AR831" s="84"/>
    </row>
    <row r="832" spans="2:44" ht="18">
      <c r="AD832" s="260">
        <v>43653</v>
      </c>
      <c r="AE832" s="258">
        <v>198</v>
      </c>
      <c r="AF832" s="258">
        <v>9</v>
      </c>
      <c r="AG832" s="258"/>
      <c r="AJ832" s="260">
        <v>41902</v>
      </c>
      <c r="AK832" s="258">
        <v>212</v>
      </c>
      <c r="AL832" s="258">
        <v>10</v>
      </c>
      <c r="AM832" s="258">
        <v>0</v>
      </c>
      <c r="AN832" s="287">
        <v>45728</v>
      </c>
      <c r="AO832" s="84">
        <v>10</v>
      </c>
      <c r="AP832" s="84">
        <v>3</v>
      </c>
      <c r="AQ832" s="84"/>
      <c r="AR832" s="84"/>
    </row>
    <row r="833" spans="1:57" ht="18">
      <c r="B833" t="s">
        <v>3372</v>
      </c>
      <c r="AD833" s="260">
        <v>43668</v>
      </c>
      <c r="AE833" s="258"/>
      <c r="AF833" s="258">
        <v>6</v>
      </c>
      <c r="AG833" s="258">
        <v>3</v>
      </c>
      <c r="AJ833" s="260">
        <v>41903</v>
      </c>
      <c r="AK833" s="258">
        <v>212</v>
      </c>
      <c r="AL833" s="258">
        <v>10</v>
      </c>
      <c r="AM833" s="258">
        <v>0</v>
      </c>
      <c r="AN833" s="287">
        <v>45881</v>
      </c>
      <c r="AO833" s="84">
        <v>10</v>
      </c>
      <c r="AP833" s="84">
        <v>2</v>
      </c>
      <c r="AQ833" s="84"/>
      <c r="AR833" s="84"/>
    </row>
    <row r="834" spans="1:57" ht="18">
      <c r="B834" t="s">
        <v>2047</v>
      </c>
      <c r="C834" t="s">
        <v>41</v>
      </c>
      <c r="D834" t="s">
        <v>170</v>
      </c>
      <c r="E834" t="s">
        <v>171</v>
      </c>
      <c r="F834" t="s">
        <v>807</v>
      </c>
      <c r="G834" t="s">
        <v>808</v>
      </c>
      <c r="H834" t="s">
        <v>3373</v>
      </c>
      <c r="AD834" s="260">
        <v>43694</v>
      </c>
      <c r="AE834" s="258">
        <v>200</v>
      </c>
      <c r="AF834" s="258">
        <v>6</v>
      </c>
      <c r="AG834" s="258">
        <v>3</v>
      </c>
      <c r="AJ834" s="260">
        <v>41904</v>
      </c>
      <c r="AK834" s="258">
        <v>212</v>
      </c>
      <c r="AL834" s="258">
        <v>10</v>
      </c>
      <c r="AM834" s="258">
        <v>0</v>
      </c>
      <c r="AN834" s="84"/>
      <c r="AO834" s="84"/>
      <c r="AP834" s="84"/>
      <c r="AQ834" s="84"/>
      <c r="AR834" s="84"/>
    </row>
    <row r="835" spans="1:57" ht="18">
      <c r="B835" t="s">
        <v>2337</v>
      </c>
      <c r="C835">
        <v>455.565</v>
      </c>
      <c r="D835">
        <v>967.36599999999999</v>
      </c>
      <c r="E835">
        <v>692.91700000000003</v>
      </c>
      <c r="F835">
        <v>291.72300000000001</v>
      </c>
      <c r="G835">
        <v>595.21600000000001</v>
      </c>
      <c r="H835">
        <v>482.53</v>
      </c>
      <c r="AD835" s="260">
        <v>43707</v>
      </c>
      <c r="AE835" s="258"/>
      <c r="AF835" s="258">
        <v>6</v>
      </c>
      <c r="AG835" s="258">
        <v>3</v>
      </c>
      <c r="AJ835" s="260">
        <v>41906</v>
      </c>
      <c r="AK835" s="258">
        <v>212</v>
      </c>
      <c r="AL835" s="258">
        <v>9</v>
      </c>
      <c r="AM835" s="258">
        <v>1</v>
      </c>
      <c r="AT835" s="232"/>
      <c r="AU835" s="233"/>
      <c r="AV835" s="3054"/>
      <c r="AW835" s="3054"/>
      <c r="AX835" s="3054"/>
      <c r="AY835" s="3054"/>
      <c r="AZ835" s="3054"/>
      <c r="BA835" s="233"/>
      <c r="BB835" s="233"/>
      <c r="BC835" s="233"/>
      <c r="BD835" s="233"/>
      <c r="BE835" s="247"/>
    </row>
    <row r="836" spans="1:57" ht="18">
      <c r="AD836" s="260">
        <v>43708</v>
      </c>
      <c r="AE836" s="258"/>
      <c r="AF836" s="258">
        <v>6</v>
      </c>
      <c r="AG836" s="258">
        <v>3</v>
      </c>
      <c r="AJ836" s="260">
        <v>41786</v>
      </c>
      <c r="AK836" s="258">
        <v>210</v>
      </c>
      <c r="AL836" s="258">
        <v>10</v>
      </c>
      <c r="AM836" s="258">
        <v>0</v>
      </c>
      <c r="AT836" s="235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248"/>
    </row>
    <row r="837" spans="1:57" ht="18">
      <c r="B837" s="84" t="s">
        <v>3374</v>
      </c>
      <c r="C837" s="84"/>
      <c r="D837" s="84"/>
      <c r="E837" s="84"/>
      <c r="F837" s="84"/>
      <c r="AD837" s="260">
        <v>43738</v>
      </c>
      <c r="AE837" s="258">
        <v>190</v>
      </c>
      <c r="AF837" s="258">
        <v>6</v>
      </c>
      <c r="AG837" s="258">
        <v>3</v>
      </c>
      <c r="AJ837" s="84" t="s">
        <v>3375</v>
      </c>
      <c r="AK837" s="84"/>
      <c r="AT837" s="235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248"/>
    </row>
    <row r="838" spans="1:57" ht="20.25">
      <c r="B838" s="55"/>
      <c r="C838" s="55" t="s">
        <v>2807</v>
      </c>
      <c r="D838" s="55" t="s">
        <v>3188</v>
      </c>
      <c r="E838" s="55" t="s">
        <v>3328</v>
      </c>
      <c r="F838" s="55" t="s">
        <v>3329</v>
      </c>
      <c r="G838" s="55" t="s">
        <v>3330</v>
      </c>
      <c r="AD838" s="133"/>
      <c r="AE838" s="133"/>
      <c r="AF838" s="133"/>
      <c r="AG838" s="133"/>
      <c r="AJ838" s="84" t="s">
        <v>3376</v>
      </c>
      <c r="AK838" s="84" t="s">
        <v>3377</v>
      </c>
      <c r="AL838" s="264">
        <v>45745</v>
      </c>
      <c r="AM838" s="288" t="s">
        <v>3378</v>
      </c>
      <c r="AN838" t="s">
        <v>3379</v>
      </c>
      <c r="AO838" t="s">
        <v>3380</v>
      </c>
      <c r="AT838" s="235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248"/>
    </row>
    <row r="839" spans="1:57" ht="18">
      <c r="B839" s="55" t="s">
        <v>3367</v>
      </c>
      <c r="C839" s="55">
        <v>0</v>
      </c>
      <c r="D839" s="55">
        <v>195</v>
      </c>
      <c r="E839" s="55">
        <v>1194</v>
      </c>
      <c r="F839" s="55">
        <v>1698</v>
      </c>
      <c r="G839" s="55">
        <v>129.32</v>
      </c>
      <c r="AJ839" s="84" t="s">
        <v>3381</v>
      </c>
      <c r="AK839" s="84" t="s">
        <v>3382</v>
      </c>
      <c r="AL839" s="289">
        <v>45766</v>
      </c>
      <c r="AM839" s="290" t="s">
        <v>3383</v>
      </c>
      <c r="AN839" s="289">
        <v>45878</v>
      </c>
      <c r="AO839" t="s">
        <v>3384</v>
      </c>
      <c r="AT839" s="235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248"/>
    </row>
    <row r="840" spans="1:57" ht="18">
      <c r="B840" s="55" t="s">
        <v>3184</v>
      </c>
      <c r="C840" s="55">
        <v>3251</v>
      </c>
      <c r="D840" s="55">
        <v>874</v>
      </c>
      <c r="E840" s="55">
        <v>959</v>
      </c>
      <c r="F840" s="55">
        <v>0</v>
      </c>
      <c r="G840" s="13">
        <v>0</v>
      </c>
      <c r="AJ840" s="84" t="s">
        <v>3385</v>
      </c>
      <c r="AK840" s="84" t="s">
        <v>3386</v>
      </c>
      <c r="AL840" s="289">
        <v>45768</v>
      </c>
      <c r="AM840" s="290" t="s">
        <v>3387</v>
      </c>
      <c r="AN840" s="289">
        <v>45880</v>
      </c>
      <c r="AO840" s="290" t="s">
        <v>3388</v>
      </c>
      <c r="AT840" s="235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248"/>
    </row>
    <row r="841" spans="1:57" ht="18">
      <c r="B841" s="55" t="s">
        <v>3185</v>
      </c>
      <c r="C841" s="55">
        <v>3251</v>
      </c>
      <c r="D841" s="508">
        <f>1041.34-159.5</f>
        <v>881.83999999999992</v>
      </c>
      <c r="E841" s="508">
        <f>1039.89+175</f>
        <v>1214.8900000000001</v>
      </c>
      <c r="F841" s="55">
        <v>454</v>
      </c>
      <c r="G841" s="13">
        <v>0</v>
      </c>
      <c r="AJ841" s="261" t="s">
        <v>3389</v>
      </c>
      <c r="AK841" s="84" t="s">
        <v>3390</v>
      </c>
      <c r="AL841" s="289">
        <v>45773</v>
      </c>
      <c r="AM841" s="290" t="s">
        <v>3391</v>
      </c>
      <c r="AN841" s="289">
        <v>45885</v>
      </c>
      <c r="AO841" s="290" t="s">
        <v>3392</v>
      </c>
      <c r="AT841" s="235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248"/>
    </row>
    <row r="842" spans="1:57" ht="18">
      <c r="A842" s="18"/>
      <c r="B842" s="55" t="s">
        <v>3369</v>
      </c>
      <c r="C842" s="55">
        <f>+C840-C841</f>
        <v>0</v>
      </c>
      <c r="D842" s="508">
        <f>+D839+D840-D841</f>
        <v>187.16000000000008</v>
      </c>
      <c r="E842" s="508">
        <f>+E839+E840-E841</f>
        <v>938.1099999999999</v>
      </c>
      <c r="F842" s="55">
        <f>+F839+F840-F841</f>
        <v>1244</v>
      </c>
      <c r="G842" s="55">
        <f>+G839+G840-G841</f>
        <v>129.32</v>
      </c>
      <c r="AC842" s="262" t="s">
        <v>3393</v>
      </c>
      <c r="AD842" s="262"/>
      <c r="AE842" s="262"/>
      <c r="AF842" s="262"/>
      <c r="AG842" s="262"/>
      <c r="AH842" s="262"/>
      <c r="AI842" s="84"/>
      <c r="AJ842" s="84" t="s">
        <v>3394</v>
      </c>
      <c r="AK842" s="84" t="s">
        <v>3395</v>
      </c>
      <c r="AL842" s="287">
        <v>45780</v>
      </c>
      <c r="AM842" s="290" t="s">
        <v>3396</v>
      </c>
      <c r="AN842" s="289">
        <v>45887</v>
      </c>
      <c r="AO842" s="290" t="s">
        <v>3397</v>
      </c>
      <c r="AT842" s="235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248"/>
    </row>
    <row r="843" spans="1:57" ht="18">
      <c r="A843" t="s">
        <v>3398</v>
      </c>
      <c r="B843" s="84" t="s">
        <v>3399</v>
      </c>
      <c r="C843" s="84">
        <v>0</v>
      </c>
      <c r="D843" s="84">
        <f>48*3.9</f>
        <v>187.2</v>
      </c>
      <c r="E843" s="84"/>
      <c r="F843" s="84"/>
      <c r="AC843" s="258" t="s">
        <v>3400</v>
      </c>
      <c r="AD843" s="258" t="s">
        <v>3401</v>
      </c>
      <c r="AE843" s="263"/>
      <c r="AF843" s="263"/>
      <c r="AG843" s="263"/>
      <c r="AH843" s="263"/>
      <c r="AI843" s="84"/>
      <c r="AJ843" s="84" t="s">
        <v>3402</v>
      </c>
      <c r="AK843" s="84" t="s">
        <v>3403</v>
      </c>
      <c r="AL843" s="287">
        <v>45782</v>
      </c>
      <c r="AM843" s="290" t="s">
        <v>3404</v>
      </c>
      <c r="AN843" s="289">
        <v>45892</v>
      </c>
      <c r="AO843" s="290" t="s">
        <v>3405</v>
      </c>
      <c r="AT843" s="235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248"/>
    </row>
    <row r="844" spans="1:57" ht="18">
      <c r="A844" t="s">
        <v>3406</v>
      </c>
      <c r="D844" t="s">
        <v>3398</v>
      </c>
      <c r="E844">
        <v>938</v>
      </c>
      <c r="AC844" s="258" t="s">
        <v>3407</v>
      </c>
      <c r="AD844" s="258" t="s">
        <v>3408</v>
      </c>
      <c r="AE844" s="263"/>
      <c r="AF844" s="263"/>
      <c r="AG844" s="263"/>
      <c r="AH844" s="263"/>
      <c r="AI844" s="84"/>
      <c r="AJ844" s="84" t="s">
        <v>3409</v>
      </c>
      <c r="AK844" s="84" t="s">
        <v>3410</v>
      </c>
      <c r="AL844" s="287">
        <v>45787</v>
      </c>
      <c r="AM844" s="290" t="s">
        <v>3411</v>
      </c>
      <c r="AN844" s="289">
        <v>67809</v>
      </c>
      <c r="AO844" s="290" t="s">
        <v>3412</v>
      </c>
      <c r="AT844" s="235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248"/>
    </row>
    <row r="845" spans="1:57" ht="23.25">
      <c r="A845" t="s">
        <v>3329</v>
      </c>
      <c r="B845">
        <f>1476+16</f>
        <v>1492</v>
      </c>
      <c r="E845">
        <f>1113-938</f>
        <v>175</v>
      </c>
      <c r="AC845" s="258" t="s">
        <v>3413</v>
      </c>
      <c r="AD845" s="258" t="s">
        <v>3414</v>
      </c>
      <c r="AE845" s="263"/>
      <c r="AF845" s="263"/>
      <c r="AG845" s="263"/>
      <c r="AH845" s="263"/>
      <c r="AI845" s="84"/>
      <c r="AJ845" s="84" t="s">
        <v>3415</v>
      </c>
      <c r="AK845" s="84" t="s">
        <v>3416</v>
      </c>
      <c r="AL845" s="264">
        <v>45801</v>
      </c>
      <c r="AM845" s="288" t="s">
        <v>3417</v>
      </c>
      <c r="AN845" s="291">
        <v>45899</v>
      </c>
      <c r="AO845" s="292" t="s">
        <v>3418</v>
      </c>
      <c r="AT845" s="235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248"/>
    </row>
    <row r="846" spans="1:57" ht="18">
      <c r="A846" t="s">
        <v>3328</v>
      </c>
      <c r="B846">
        <f>703+234</f>
        <v>937</v>
      </c>
      <c r="AC846" s="258" t="s">
        <v>3400</v>
      </c>
      <c r="AD846" s="258" t="s">
        <v>3419</v>
      </c>
      <c r="AE846" s="263"/>
      <c r="AF846" s="263"/>
      <c r="AG846" s="263"/>
      <c r="AH846" s="263"/>
      <c r="AI846" s="84"/>
      <c r="AJ846" s="84" t="s">
        <v>3420</v>
      </c>
      <c r="AK846" s="293" t="s">
        <v>3421</v>
      </c>
      <c r="AL846" s="287">
        <v>45803</v>
      </c>
      <c r="AM846" s="290" t="s">
        <v>3422</v>
      </c>
      <c r="AN846" s="289">
        <v>45901</v>
      </c>
      <c r="AO846" s="290" t="s">
        <v>3423</v>
      </c>
      <c r="AT846" s="235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248"/>
    </row>
    <row r="847" spans="1:57" ht="18">
      <c r="AC847" s="369">
        <v>45442</v>
      </c>
      <c r="AD847" s="4" t="s">
        <v>3424</v>
      </c>
      <c r="AE847" s="11"/>
      <c r="AF847" s="11"/>
      <c r="AG847" s="11"/>
      <c r="AH847" s="11"/>
      <c r="AI847" s="84"/>
      <c r="AJ847" s="84" t="s">
        <v>3425</v>
      </c>
      <c r="AK847" s="84" t="s">
        <v>3426</v>
      </c>
      <c r="AL847" s="287">
        <v>45822</v>
      </c>
      <c r="AM847" s="290" t="s">
        <v>3427</v>
      </c>
      <c r="AN847" s="289">
        <v>45902</v>
      </c>
      <c r="AO847" s="290" t="s">
        <v>3428</v>
      </c>
      <c r="AT847" s="235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248"/>
    </row>
    <row r="848" spans="1:57" ht="20.25">
      <c r="AC848" s="369">
        <v>45500</v>
      </c>
      <c r="AD848" s="4" t="s">
        <v>3429</v>
      </c>
      <c r="AE848" s="11"/>
      <c r="AF848" s="11"/>
      <c r="AG848" s="11"/>
      <c r="AH848" s="11"/>
      <c r="AI848" s="84"/>
      <c r="AJ848" s="264">
        <v>45710</v>
      </c>
      <c r="AK848" s="288" t="s">
        <v>3430</v>
      </c>
      <c r="AL848" s="287">
        <v>45829</v>
      </c>
      <c r="AM848" s="290" t="s">
        <v>3431</v>
      </c>
      <c r="AT848" s="235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248"/>
    </row>
    <row r="849" spans="1:57" ht="18">
      <c r="AC849" s="84"/>
      <c r="AD849" s="84"/>
      <c r="AE849" s="84"/>
      <c r="AF849" s="84"/>
      <c r="AG849" s="84"/>
      <c r="AH849" s="84"/>
      <c r="AJ849" s="84" t="s">
        <v>3432</v>
      </c>
      <c r="AK849" s="84" t="s">
        <v>3433</v>
      </c>
      <c r="AL849" s="289">
        <v>45831</v>
      </c>
      <c r="AM849" t="s">
        <v>3434</v>
      </c>
      <c r="AT849" s="235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248"/>
    </row>
    <row r="850" spans="1:57" ht="18">
      <c r="A850" s="290" t="s">
        <v>3435</v>
      </c>
      <c r="B850" s="290" t="s">
        <v>3436</v>
      </c>
      <c r="AJ850" s="84" t="s">
        <v>3437</v>
      </c>
      <c r="AK850" t="s">
        <v>3438</v>
      </c>
      <c r="AL850" s="289">
        <v>45843</v>
      </c>
      <c r="AM850" t="s">
        <v>3439</v>
      </c>
      <c r="AT850" s="235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248"/>
    </row>
    <row r="851" spans="1:57" ht="18">
      <c r="AJ851" s="84" t="s">
        <v>3440</v>
      </c>
      <c r="AK851" s="84" t="s">
        <v>3441</v>
      </c>
      <c r="AT851" s="235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248"/>
    </row>
    <row r="852" spans="1:57" ht="48.75" customHeight="1">
      <c r="B852" s="84" t="s">
        <v>3442</v>
      </c>
      <c r="C852" s="84"/>
      <c r="D852" s="84"/>
      <c r="E852" s="84"/>
      <c r="F852" s="84"/>
      <c r="AC852" s="266" t="s">
        <v>2421</v>
      </c>
      <c r="AD852" s="265"/>
      <c r="AE852" s="265"/>
      <c r="AF852" s="265"/>
      <c r="AG852" s="265" t="s">
        <v>3443</v>
      </c>
      <c r="AH852" s="265"/>
      <c r="AI852" s="265"/>
      <c r="AJ852" s="265"/>
      <c r="AK852" s="127"/>
      <c r="AL852" s="127"/>
      <c r="AM852" s="244" t="s">
        <v>867</v>
      </c>
      <c r="AN852" s="294"/>
      <c r="AO852" s="295" t="s">
        <v>3444</v>
      </c>
      <c r="AP852" s="296"/>
      <c r="AT852" s="235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248"/>
    </row>
    <row r="853" spans="1:57" ht="18">
      <c r="B853" s="55"/>
      <c r="C853" s="55" t="s">
        <v>2807</v>
      </c>
      <c r="D853" s="55" t="s">
        <v>3188</v>
      </c>
      <c r="E853" s="55" t="s">
        <v>3328</v>
      </c>
      <c r="F853" s="55" t="s">
        <v>3329</v>
      </c>
      <c r="G853" s="55" t="s">
        <v>3330</v>
      </c>
      <c r="AC853" s="266" t="s">
        <v>150</v>
      </c>
      <c r="AD853" s="265" t="s">
        <v>2425</v>
      </c>
      <c r="AE853" s="266"/>
      <c r="AF853" s="267"/>
      <c r="AG853" s="266" t="s">
        <v>150</v>
      </c>
      <c r="AH853" s="265" t="s">
        <v>2425</v>
      </c>
      <c r="AI853" s="266"/>
      <c r="AJ853" s="267"/>
      <c r="AM853" s="297" t="s">
        <v>3445</v>
      </c>
      <c r="AN853" s="268" t="s">
        <v>3446</v>
      </c>
      <c r="AO853" s="298" t="s">
        <v>3447</v>
      </c>
      <c r="AP853" s="299"/>
      <c r="AR853" t="s">
        <v>3448</v>
      </c>
      <c r="AT853" s="235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248"/>
    </row>
    <row r="854" spans="1:57" ht="37.5" customHeight="1">
      <c r="B854" s="55" t="s">
        <v>3367</v>
      </c>
      <c r="C854" s="55">
        <v>0</v>
      </c>
      <c r="D854" s="55">
        <v>187.16000000000008</v>
      </c>
      <c r="E854" s="55">
        <v>938.1099999999999</v>
      </c>
      <c r="F854" s="55">
        <v>1244</v>
      </c>
      <c r="G854" s="55">
        <v>129.32</v>
      </c>
      <c r="AC854" s="268" t="s">
        <v>2260</v>
      </c>
      <c r="AD854" s="267" t="s">
        <v>2426</v>
      </c>
      <c r="AE854" s="14"/>
      <c r="AF854" s="268"/>
      <c r="AG854" s="268" t="s">
        <v>2260</v>
      </c>
      <c r="AH854" s="23" t="s">
        <v>2427</v>
      </c>
      <c r="AI854" s="14" t="s">
        <v>3449</v>
      </c>
      <c r="AJ854" s="268" t="s">
        <v>3450</v>
      </c>
      <c r="AL854" s="300"/>
      <c r="AM854" s="297" t="s">
        <v>3451</v>
      </c>
      <c r="AN854" s="301" t="s">
        <v>3448</v>
      </c>
      <c r="AO854" s="298" t="s">
        <v>3452</v>
      </c>
      <c r="AP854" s="299"/>
      <c r="AT854" s="235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248"/>
    </row>
    <row r="855" spans="1:57" ht="18">
      <c r="B855" s="55" t="s">
        <v>3184</v>
      </c>
      <c r="C855" s="55">
        <v>2404</v>
      </c>
      <c r="D855" s="55">
        <v>1279</v>
      </c>
      <c r="E855" s="55">
        <v>0</v>
      </c>
      <c r="F855" s="55">
        <v>1284</v>
      </c>
      <c r="G855" s="13">
        <v>0</v>
      </c>
      <c r="Y855" s="290" t="s">
        <v>3453</v>
      </c>
      <c r="AC855" s="272" t="s">
        <v>2147</v>
      </c>
      <c r="AD855" s="269" t="s">
        <v>2428</v>
      </c>
      <c r="AE855" s="265"/>
      <c r="AF855" s="270"/>
      <c r="AG855" s="14" t="s">
        <v>723</v>
      </c>
      <c r="AH855" s="257">
        <v>21</v>
      </c>
      <c r="AI855" s="265"/>
      <c r="AJ855" s="270" t="s">
        <v>3454</v>
      </c>
      <c r="AK855" s="298" t="s">
        <v>3447</v>
      </c>
      <c r="AM855" s="297" t="s">
        <v>3455</v>
      </c>
      <c r="AN855" s="84">
        <v>31</v>
      </c>
      <c r="AO855" s="84"/>
      <c r="AP855" s="299"/>
      <c r="AT855" s="235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248"/>
    </row>
    <row r="856" spans="1:57" ht="18">
      <c r="B856" s="55" t="s">
        <v>3185</v>
      </c>
      <c r="C856" s="55">
        <v>2404</v>
      </c>
      <c r="D856" s="508">
        <f>737+366</f>
        <v>1103</v>
      </c>
      <c r="E856" s="508">
        <f>788+72</f>
        <v>860</v>
      </c>
      <c r="F856" s="55">
        <f>1188+148</f>
        <v>1336</v>
      </c>
      <c r="G856" s="13">
        <v>0</v>
      </c>
      <c r="AC856" s="272"/>
      <c r="AD856" s="271" t="s">
        <v>2429</v>
      </c>
      <c r="AE856" s="14"/>
      <c r="AF856" s="270"/>
      <c r="AG856" s="272" t="s">
        <v>2147</v>
      </c>
      <c r="AH856" s="269" t="s">
        <v>2430</v>
      </c>
      <c r="AI856" s="14"/>
      <c r="AJ856" s="270" t="s">
        <v>3456</v>
      </c>
      <c r="AK856" s="298"/>
      <c r="AM856" s="302" t="s">
        <v>868</v>
      </c>
      <c r="AP856" s="299"/>
      <c r="AT856" s="235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248"/>
    </row>
    <row r="857" spans="1:57" ht="18">
      <c r="B857" s="885" t="s">
        <v>3457</v>
      </c>
      <c r="C857" s="55">
        <f>+C855-C856</f>
        <v>0</v>
      </c>
      <c r="D857" s="508">
        <f>+D854+D855-D856</f>
        <v>363.16000000000008</v>
      </c>
      <c r="E857" s="508">
        <f>+E854+E855-E856</f>
        <v>78.1099999999999</v>
      </c>
      <c r="F857" s="55">
        <f>+F854+F855-F856</f>
        <v>1192</v>
      </c>
      <c r="G857" s="55">
        <f>+G854+G855-G856</f>
        <v>129.32</v>
      </c>
      <c r="AC857" s="272" t="s">
        <v>1993</v>
      </c>
      <c r="AD857" s="271" t="s">
        <v>2431</v>
      </c>
      <c r="AE857" s="14"/>
      <c r="AF857" s="270"/>
      <c r="AG857" s="272"/>
      <c r="AH857" s="271"/>
      <c r="AI857" s="14"/>
      <c r="AJ857" s="270" t="s">
        <v>3458</v>
      </c>
      <c r="AK857" s="298" t="s">
        <v>3452</v>
      </c>
      <c r="AM857" s="14" t="s">
        <v>3445</v>
      </c>
      <c r="AN857" s="14" t="s">
        <v>3459</v>
      </c>
      <c r="AP857" s="299"/>
      <c r="AT857" s="236"/>
      <c r="AU857" s="237"/>
      <c r="AV857" s="237"/>
      <c r="AW857" s="237"/>
      <c r="AX857" s="237"/>
      <c r="AY857" s="237"/>
      <c r="AZ857" s="237"/>
      <c r="BA857" s="237"/>
      <c r="BB857" s="237"/>
      <c r="BC857" s="237"/>
      <c r="BD857" s="237"/>
      <c r="BE857" s="248"/>
    </row>
    <row r="858" spans="1:57" ht="18">
      <c r="B858" s="885"/>
      <c r="AC858" s="272" t="s">
        <v>2148</v>
      </c>
      <c r="AD858" s="271">
        <v>25</v>
      </c>
      <c r="AE858" s="14"/>
      <c r="AF858" s="270"/>
      <c r="AG858" s="272"/>
      <c r="AH858" s="271"/>
      <c r="AI858" s="14"/>
      <c r="AJ858" s="270" t="s">
        <v>3460</v>
      </c>
      <c r="AK858" s="298"/>
      <c r="AM858" s="14" t="s">
        <v>3451</v>
      </c>
      <c r="AN858" s="281" t="s">
        <v>3461</v>
      </c>
      <c r="AP858" s="299"/>
    </row>
    <row r="859" spans="1:57" ht="36">
      <c r="AC859" s="272" t="s">
        <v>1994</v>
      </c>
      <c r="AD859" s="271">
        <v>6</v>
      </c>
      <c r="AE859" s="14"/>
      <c r="AF859" s="270"/>
      <c r="AG859" s="272" t="s">
        <v>2148</v>
      </c>
      <c r="AH859" s="271" t="s">
        <v>2432</v>
      </c>
      <c r="AI859" s="14" t="s">
        <v>863</v>
      </c>
      <c r="AJ859" s="270" t="s">
        <v>3462</v>
      </c>
      <c r="AK859" s="298" t="s">
        <v>3447</v>
      </c>
      <c r="AM859" s="14" t="s">
        <v>3455</v>
      </c>
      <c r="AN859" s="304" t="s">
        <v>3463</v>
      </c>
      <c r="AP859" s="299"/>
    </row>
    <row r="860" spans="1:57" ht="18">
      <c r="AC860" s="272" t="s">
        <v>729</v>
      </c>
      <c r="AD860" s="271">
        <v>5</v>
      </c>
      <c r="AE860" s="273"/>
      <c r="AF860" s="270"/>
      <c r="AG860" s="272" t="s">
        <v>1994</v>
      </c>
      <c r="AH860" s="271" t="s">
        <v>2433</v>
      </c>
      <c r="AI860" s="273"/>
      <c r="AJ860" s="270" t="s">
        <v>3464</v>
      </c>
      <c r="AK860" s="298" t="s">
        <v>3452</v>
      </c>
      <c r="AM860" s="14" t="s">
        <v>3465</v>
      </c>
      <c r="AN860" s="14">
        <v>28</v>
      </c>
      <c r="AO860" s="286"/>
      <c r="AP860" s="28"/>
    </row>
    <row r="861" spans="1:57" ht="18">
      <c r="AC861" s="272" t="s">
        <v>730</v>
      </c>
      <c r="AD861" s="271" t="s">
        <v>2436</v>
      </c>
      <c r="AE861" s="14"/>
      <c r="AF861" s="270"/>
      <c r="AG861" s="14" t="s">
        <v>2437</v>
      </c>
      <c r="AH861" s="271" t="s">
        <v>2438</v>
      </c>
      <c r="AI861" s="14"/>
      <c r="AJ861" s="270" t="s">
        <v>3466</v>
      </c>
      <c r="AK861" s="298"/>
      <c r="AL861" s="63"/>
      <c r="AM861" s="14" t="s">
        <v>3467</v>
      </c>
      <c r="AN861" s="305">
        <v>31</v>
      </c>
    </row>
    <row r="862" spans="1:57" ht="18">
      <c r="AC862" s="272" t="s">
        <v>731</v>
      </c>
      <c r="AD862" s="271">
        <v>3</v>
      </c>
      <c r="AE862" s="14"/>
      <c r="AF862" s="270"/>
      <c r="AG862" s="14" t="s">
        <v>729</v>
      </c>
      <c r="AH862" s="271" t="s">
        <v>2440</v>
      </c>
      <c r="AI862" s="14"/>
      <c r="AJ862" s="270" t="s">
        <v>3468</v>
      </c>
      <c r="AK862" s="298"/>
      <c r="AL862" s="63"/>
      <c r="AM862" s="14" t="s">
        <v>2633</v>
      </c>
      <c r="AN862" s="305"/>
    </row>
    <row r="863" spans="1:57" ht="23.25">
      <c r="B863" s="84" t="s">
        <v>3442</v>
      </c>
      <c r="C863" s="84"/>
      <c r="D863" s="84"/>
      <c r="E863" s="84"/>
      <c r="F863" s="84"/>
      <c r="S863" s="84" t="s">
        <v>3469</v>
      </c>
      <c r="T863" s="84"/>
      <c r="U863" s="84"/>
      <c r="V863" s="84"/>
      <c r="W863" s="84"/>
      <c r="X863" s="84"/>
      <c r="AC863" s="272" t="s">
        <v>732</v>
      </c>
      <c r="AD863" s="270">
        <v>31</v>
      </c>
      <c r="AE863" s="14"/>
      <c r="AF863" s="270"/>
      <c r="AG863" s="14"/>
      <c r="AH863" s="271" t="s">
        <v>2442</v>
      </c>
      <c r="AI863" s="2791" t="s">
        <v>274</v>
      </c>
      <c r="AJ863" s="2792"/>
      <c r="AK863" s="2792"/>
      <c r="AL863" s="2792"/>
      <c r="AM863" s="14" t="s">
        <v>3470</v>
      </c>
      <c r="AN863">
        <v>2</v>
      </c>
    </row>
    <row r="864" spans="1:57" ht="18">
      <c r="B864" s="55"/>
      <c r="C864" s="55" t="s">
        <v>2807</v>
      </c>
      <c r="D864" s="55" t="s">
        <v>3188</v>
      </c>
      <c r="E864" s="55" t="s">
        <v>3328</v>
      </c>
      <c r="F864" s="55" t="s">
        <v>3329</v>
      </c>
      <c r="G864" s="55" t="s">
        <v>3330</v>
      </c>
      <c r="S864" s="55"/>
      <c r="T864" s="55" t="s">
        <v>2807</v>
      </c>
      <c r="U864" s="55" t="s">
        <v>3188</v>
      </c>
      <c r="V864" s="55" t="s">
        <v>3328</v>
      </c>
      <c r="W864" s="55" t="s">
        <v>3329</v>
      </c>
      <c r="X864" s="55"/>
      <c r="Y864" s="55" t="s">
        <v>3330</v>
      </c>
      <c r="AC864" s="272" t="s">
        <v>733</v>
      </c>
      <c r="AD864" s="270" t="s">
        <v>2444</v>
      </c>
      <c r="AE864" s="14"/>
      <c r="AF864" s="270"/>
      <c r="AG864" s="272" t="s">
        <v>730</v>
      </c>
      <c r="AH864" s="275" t="s">
        <v>2445</v>
      </c>
      <c r="AI864" s="254" t="s">
        <v>864</v>
      </c>
      <c r="AJ864" s="255"/>
      <c r="AK864" s="306" t="s">
        <v>3447</v>
      </c>
      <c r="AL864" s="296"/>
      <c r="AM864" s="14" t="s">
        <v>3471</v>
      </c>
      <c r="AN864" s="14" t="s">
        <v>3472</v>
      </c>
    </row>
    <row r="865" spans="2:38" ht="18">
      <c r="B865" s="55" t="s">
        <v>3367</v>
      </c>
      <c r="C865" s="55">
        <v>0</v>
      </c>
      <c r="D865" s="55">
        <v>187.16000000000008</v>
      </c>
      <c r="E865" s="55">
        <v>938.1099999999999</v>
      </c>
      <c r="F865" s="55">
        <v>1244</v>
      </c>
      <c r="G865" s="55">
        <v>129.32</v>
      </c>
      <c r="S865" s="55" t="s">
        <v>3367</v>
      </c>
      <c r="T865" s="55">
        <v>0</v>
      </c>
      <c r="U865" s="55">
        <v>363</v>
      </c>
      <c r="V865" s="55">
        <v>78</v>
      </c>
      <c r="W865" s="55">
        <v>1192</v>
      </c>
      <c r="X865" s="55"/>
      <c r="Y865" s="55">
        <v>129.32</v>
      </c>
      <c r="AC865" s="272" t="s">
        <v>2447</v>
      </c>
      <c r="AD865" s="270" t="s">
        <v>43</v>
      </c>
      <c r="AE865" s="14"/>
      <c r="AF865" s="270"/>
      <c r="AG865" s="272" t="s">
        <v>2448</v>
      </c>
      <c r="AH865" s="275" t="s">
        <v>2449</v>
      </c>
      <c r="AI865" s="276" t="s">
        <v>3445</v>
      </c>
      <c r="AJ865" s="270" t="s">
        <v>3473</v>
      </c>
      <c r="AK865" s="298" t="s">
        <v>3447</v>
      </c>
      <c r="AL865" s="299"/>
    </row>
    <row r="866" spans="2:38" ht="18">
      <c r="B866" s="55" t="s">
        <v>3184</v>
      </c>
      <c r="C866" s="55">
        <v>2404</v>
      </c>
      <c r="D866" s="55">
        <v>1279</v>
      </c>
      <c r="E866" s="55">
        <v>0</v>
      </c>
      <c r="F866" s="55">
        <v>1284</v>
      </c>
      <c r="G866" s="13">
        <v>0</v>
      </c>
      <c r="S866" s="55" t="s">
        <v>3184</v>
      </c>
      <c r="T866" s="55">
        <v>3199</v>
      </c>
      <c r="U866" s="55">
        <v>803</v>
      </c>
      <c r="V866" s="55">
        <f>575+128</f>
        <v>703</v>
      </c>
      <c r="W866" s="55">
        <v>54</v>
      </c>
      <c r="X866" s="55"/>
      <c r="Y866" s="13">
        <v>0</v>
      </c>
      <c r="AC866" s="888"/>
      <c r="AD866" s="277"/>
      <c r="AE866" s="14"/>
      <c r="AF866" s="270"/>
      <c r="AG866" s="14" t="s">
        <v>3474</v>
      </c>
      <c r="AH866" s="257" t="s">
        <v>3475</v>
      </c>
      <c r="AI866" s="276" t="s">
        <v>3476</v>
      </c>
      <c r="AJ866" s="270" t="s">
        <v>3477</v>
      </c>
      <c r="AK866" s="298"/>
      <c r="AL866" s="299"/>
    </row>
    <row r="867" spans="2:38" ht="36">
      <c r="B867" s="55" t="s">
        <v>3185</v>
      </c>
      <c r="C867" s="55">
        <v>2404</v>
      </c>
      <c r="D867" s="508">
        <v>1103</v>
      </c>
      <c r="E867" s="508">
        <v>860</v>
      </c>
      <c r="F867" s="55">
        <v>1336</v>
      </c>
      <c r="G867" s="13">
        <v>0</v>
      </c>
      <c r="S867" s="55" t="s">
        <v>3185</v>
      </c>
      <c r="T867" s="55">
        <v>3199</v>
      </c>
      <c r="U867" s="508">
        <v>878</v>
      </c>
      <c r="V867" s="508">
        <v>177</v>
      </c>
      <c r="W867" s="55">
        <f>1008-120</f>
        <v>888</v>
      </c>
      <c r="X867" s="55"/>
      <c r="Y867" s="13">
        <v>0</v>
      </c>
      <c r="AC867" s="279"/>
      <c r="AD867" s="278"/>
      <c r="AE867" s="273"/>
      <c r="AF867" s="278"/>
      <c r="AG867" s="279"/>
      <c r="AH867" s="280" t="s">
        <v>3478</v>
      </c>
      <c r="AI867" s="14" t="s">
        <v>3455</v>
      </c>
      <c r="AL867" s="299"/>
    </row>
    <row r="868" spans="2:38" ht="18">
      <c r="B868" s="885" t="s">
        <v>3457</v>
      </c>
      <c r="C868" s="55">
        <v>0</v>
      </c>
      <c r="D868" s="508">
        <v>363.16000000000008</v>
      </c>
      <c r="E868" s="508">
        <v>78.1099999999999</v>
      </c>
      <c r="F868" s="55">
        <v>1192</v>
      </c>
      <c r="G868" s="55">
        <v>129.32</v>
      </c>
      <c r="S868" s="885" t="s">
        <v>3479</v>
      </c>
      <c r="T868" s="55">
        <f>+T866-T867</f>
        <v>0</v>
      </c>
      <c r="U868" s="508">
        <f>+U865+U866-U867</f>
        <v>288</v>
      </c>
      <c r="V868" s="508">
        <f>+V865+V866-V867</f>
        <v>604</v>
      </c>
      <c r="W868" s="55">
        <f>+W865+W866-W867</f>
        <v>358</v>
      </c>
      <c r="X868" s="55"/>
      <c r="Y868" s="55">
        <f>+Y865+Y866-Y867</f>
        <v>129.32</v>
      </c>
      <c r="AC868" s="31"/>
      <c r="AG868" s="14" t="s">
        <v>861</v>
      </c>
      <c r="AH868" s="257" t="s">
        <v>3480</v>
      </c>
      <c r="AI868" s="276" t="s">
        <v>865</v>
      </c>
      <c r="AJ868" s="281"/>
      <c r="AK868" s="298" t="s">
        <v>3447</v>
      </c>
      <c r="AL868" s="299"/>
    </row>
    <row r="869" spans="2:38" ht="72">
      <c r="AC869" s="31"/>
      <c r="AH869" s="257" t="s">
        <v>3481</v>
      </c>
      <c r="AI869" s="282" t="s">
        <v>3445</v>
      </c>
      <c r="AJ869" s="283" t="s">
        <v>3482</v>
      </c>
      <c r="AL869" s="299"/>
    </row>
    <row r="870" spans="2:38" ht="18">
      <c r="AC870" s="31"/>
      <c r="AH870" s="257" t="s">
        <v>3483</v>
      </c>
      <c r="AI870" s="276" t="s">
        <v>3476</v>
      </c>
      <c r="AJ870" s="270" t="s">
        <v>3484</v>
      </c>
      <c r="AL870" s="299"/>
    </row>
    <row r="871" spans="2:38" ht="36">
      <c r="S871" s="84" t="s">
        <v>3485</v>
      </c>
      <c r="T871" s="84"/>
      <c r="U871" s="84"/>
      <c r="V871" s="84"/>
      <c r="W871" s="84"/>
      <c r="X871" s="84"/>
      <c r="AC871" s="31"/>
      <c r="AH871" s="257" t="s">
        <v>3486</v>
      </c>
      <c r="AI871" s="284" t="s">
        <v>3487</v>
      </c>
      <c r="AJ871" s="285" t="s">
        <v>3488</v>
      </c>
      <c r="AL871" s="299"/>
    </row>
    <row r="872" spans="2:38" ht="18">
      <c r="S872" s="55"/>
      <c r="T872" s="55" t="s">
        <v>2807</v>
      </c>
      <c r="U872" s="55" t="s">
        <v>3188</v>
      </c>
      <c r="V872" s="55" t="s">
        <v>3489</v>
      </c>
      <c r="W872" s="55" t="s">
        <v>3329</v>
      </c>
      <c r="X872" s="55"/>
      <c r="Y872" s="55" t="s">
        <v>3330</v>
      </c>
      <c r="AC872" s="31"/>
      <c r="AI872" s="284" t="s">
        <v>3451</v>
      </c>
      <c r="AJ872" s="285" t="s">
        <v>3490</v>
      </c>
      <c r="AK872" s="298" t="s">
        <v>3447</v>
      </c>
      <c r="AL872" s="299"/>
    </row>
    <row r="873" spans="2:38">
      <c r="B873" s="84"/>
      <c r="C873" s="84"/>
      <c r="D873" s="84"/>
      <c r="E873" s="84"/>
      <c r="F873" s="84"/>
      <c r="S873" s="55" t="s">
        <v>3367</v>
      </c>
      <c r="T873" s="55">
        <v>0</v>
      </c>
      <c r="U873" s="55">
        <v>288</v>
      </c>
      <c r="V873" s="55">
        <v>604</v>
      </c>
      <c r="W873" s="55">
        <v>358</v>
      </c>
      <c r="X873" s="55"/>
      <c r="Y873" s="55">
        <v>0</v>
      </c>
      <c r="AC873" s="7"/>
      <c r="AD873" s="8"/>
      <c r="AE873" s="8"/>
      <c r="AF873" s="8"/>
      <c r="AG873" s="8"/>
      <c r="AH873" s="8"/>
      <c r="AI873" s="29"/>
      <c r="AJ873" s="286"/>
      <c r="AK873" s="286"/>
      <c r="AL873" s="28"/>
    </row>
    <row r="874" spans="2:38">
      <c r="B874" s="55"/>
      <c r="C874" s="55"/>
      <c r="D874" s="55"/>
      <c r="E874" s="55"/>
      <c r="F874" s="55"/>
      <c r="G874" s="55"/>
      <c r="S874" s="55" t="s">
        <v>3184</v>
      </c>
      <c r="T874" s="55">
        <v>3709</v>
      </c>
      <c r="U874" s="55">
        <v>601</v>
      </c>
      <c r="V874" s="55">
        <v>3401</v>
      </c>
      <c r="W874" s="55">
        <v>894</v>
      </c>
      <c r="X874" s="55"/>
      <c r="Y874" s="13"/>
    </row>
    <row r="875" spans="2:38">
      <c r="B875" s="55"/>
      <c r="C875" s="55"/>
      <c r="D875" s="55"/>
      <c r="E875" s="55"/>
      <c r="F875" s="55"/>
      <c r="G875" s="55"/>
      <c r="S875" s="55" t="s">
        <v>3185</v>
      </c>
      <c r="T875" s="55">
        <v>3709</v>
      </c>
      <c r="U875" s="508">
        <f>963-74-148-210</f>
        <v>531</v>
      </c>
      <c r="V875" s="508">
        <v>2166</v>
      </c>
      <c r="W875" s="55">
        <v>204</v>
      </c>
      <c r="X875" s="55"/>
      <c r="Y875" s="13"/>
    </row>
    <row r="876" spans="2:38">
      <c r="B876" s="55"/>
      <c r="C876" s="55"/>
      <c r="D876" s="55"/>
      <c r="E876" s="55"/>
      <c r="F876" s="55"/>
      <c r="G876" s="13"/>
      <c r="S876" s="55" t="s">
        <v>3331</v>
      </c>
      <c r="T876" s="55">
        <f>+T874-T875</f>
        <v>0</v>
      </c>
      <c r="U876" s="508">
        <f>+U873+U874-U875</f>
        <v>358</v>
      </c>
      <c r="V876" s="508">
        <f>+V873+V874-V875</f>
        <v>1839</v>
      </c>
      <c r="W876" s="55">
        <f>+W873+W874-W875</f>
        <v>1048</v>
      </c>
      <c r="X876" s="55"/>
      <c r="Y876" s="55">
        <f>+Y873+Y874-Y875</f>
        <v>0</v>
      </c>
    </row>
    <row r="877" spans="2:38">
      <c r="B877" s="55"/>
      <c r="C877" s="55"/>
      <c r="D877" s="508"/>
      <c r="E877" s="508"/>
      <c r="F877" s="55"/>
      <c r="G877" s="13"/>
      <c r="K877" t="s">
        <v>3491</v>
      </c>
      <c r="S877" s="13"/>
      <c r="T877" s="13"/>
      <c r="U877" s="13"/>
      <c r="V877" s="140" t="s">
        <v>3492</v>
      </c>
      <c r="W877" s="13"/>
      <c r="X877" s="13"/>
      <c r="Y877" s="13"/>
      <c r="AA877">
        <f>288/3.9</f>
        <v>73.846153846153854</v>
      </c>
    </row>
    <row r="878" spans="2:38">
      <c r="B878" s="885"/>
      <c r="C878" s="55"/>
      <c r="D878" s="508"/>
      <c r="E878" s="508"/>
      <c r="F878" s="508"/>
      <c r="G878" s="55"/>
      <c r="V878" s="84" t="s">
        <v>3493</v>
      </c>
    </row>
    <row r="879" spans="2:38">
      <c r="V879" s="84" t="s">
        <v>3494</v>
      </c>
    </row>
    <row r="884" spans="2:7">
      <c r="B884" s="84" t="s">
        <v>3495</v>
      </c>
      <c r="C884" s="84"/>
      <c r="D884" s="84"/>
      <c r="E884" s="84"/>
      <c r="F884" s="84"/>
    </row>
    <row r="885" spans="2:7">
      <c r="B885" s="55"/>
      <c r="C885" s="55" t="s">
        <v>2807</v>
      </c>
      <c r="D885" s="55" t="s">
        <v>3188</v>
      </c>
      <c r="E885" s="55" t="s">
        <v>3328</v>
      </c>
      <c r="F885" s="55" t="s">
        <v>3329</v>
      </c>
      <c r="G885" s="55" t="s">
        <v>3330</v>
      </c>
    </row>
    <row r="886" spans="2:7">
      <c r="B886" s="55" t="s">
        <v>3367</v>
      </c>
      <c r="C886" s="55">
        <v>0</v>
      </c>
      <c r="D886" s="55">
        <v>195</v>
      </c>
      <c r="E886" s="55">
        <v>1476</v>
      </c>
      <c r="F886" s="55">
        <v>780</v>
      </c>
      <c r="G886" s="55">
        <v>0</v>
      </c>
    </row>
    <row r="887" spans="2:7">
      <c r="B887" s="55" t="s">
        <v>3184</v>
      </c>
      <c r="C887" s="55">
        <v>37278</v>
      </c>
      <c r="D887" s="55">
        <v>12219</v>
      </c>
      <c r="E887" s="55">
        <v>12762</v>
      </c>
      <c r="F887" s="55">
        <v>6649</v>
      </c>
      <c r="G887" s="13">
        <v>340</v>
      </c>
    </row>
    <row r="888" spans="2:7">
      <c r="B888" s="55" t="s">
        <v>3185</v>
      </c>
      <c r="C888" s="55">
        <v>8312</v>
      </c>
      <c r="D888" s="508">
        <f>578+658+718</f>
        <v>1954</v>
      </c>
      <c r="E888" s="508">
        <f>628+293+810</f>
        <v>1731</v>
      </c>
      <c r="F888" s="55">
        <f>429+646+248</f>
        <v>1323</v>
      </c>
      <c r="G888" s="13">
        <v>340</v>
      </c>
    </row>
    <row r="889" spans="2:7">
      <c r="B889" s="885" t="s">
        <v>3457</v>
      </c>
      <c r="C889" s="508">
        <f>+C886+C887+-C888</f>
        <v>28966</v>
      </c>
      <c r="D889" s="508">
        <f>+D886+D887+-D888</f>
        <v>10460</v>
      </c>
      <c r="E889" s="508">
        <f>+E886+E887+-E888</f>
        <v>12507</v>
      </c>
      <c r="F889" s="508">
        <f>+F886+F887+-F888</f>
        <v>6106</v>
      </c>
      <c r="G889" s="55">
        <v>0</v>
      </c>
    </row>
    <row r="894" spans="2:7">
      <c r="B894" s="84" t="s">
        <v>3496</v>
      </c>
      <c r="C894" s="84"/>
      <c r="D894" s="84"/>
      <c r="E894" s="84"/>
      <c r="F894" s="84"/>
    </row>
    <row r="895" spans="2:7">
      <c r="B895" s="55"/>
      <c r="C895" s="55" t="s">
        <v>2807</v>
      </c>
      <c r="D895" s="55" t="s">
        <v>3188</v>
      </c>
      <c r="E895" s="55" t="s">
        <v>3328</v>
      </c>
      <c r="F895" s="55" t="s">
        <v>3329</v>
      </c>
      <c r="G895" s="55" t="s">
        <v>3330</v>
      </c>
    </row>
    <row r="896" spans="2:7">
      <c r="B896" s="55" t="s">
        <v>3367</v>
      </c>
      <c r="C896" s="55">
        <v>0</v>
      </c>
      <c r="D896" s="55">
        <v>195</v>
      </c>
      <c r="E896" s="55">
        <v>1476</v>
      </c>
      <c r="F896" s="55">
        <v>780</v>
      </c>
      <c r="G896" s="55">
        <v>0</v>
      </c>
    </row>
    <row r="897" spans="2:10">
      <c r="B897" s="55" t="s">
        <v>3184</v>
      </c>
      <c r="C897" s="55">
        <v>46576</v>
      </c>
      <c r="D897" s="55">
        <f>+D887+D866+U866+U874</f>
        <v>14902</v>
      </c>
      <c r="E897" s="55">
        <f>+E887+E866+V866+V874+1278+959</f>
        <v>19103</v>
      </c>
      <c r="F897" s="55">
        <f>F887+F866+W866+W874</f>
        <v>8881</v>
      </c>
      <c r="G897" s="13">
        <v>340</v>
      </c>
    </row>
    <row r="898" spans="2:10">
      <c r="B898" s="55" t="s">
        <v>3185</v>
      </c>
      <c r="C898" s="55">
        <v>46576</v>
      </c>
      <c r="D898" s="508">
        <v>14264</v>
      </c>
      <c r="E898" s="508">
        <f>24785-8013</f>
        <v>16772</v>
      </c>
      <c r="F898" s="55">
        <v>8613</v>
      </c>
      <c r="G898" s="13">
        <v>340</v>
      </c>
      <c r="I898">
        <v>1048</v>
      </c>
      <c r="J898">
        <f>1048-9661</f>
        <v>-8613</v>
      </c>
    </row>
    <row r="899" spans="2:10">
      <c r="B899" s="885" t="s">
        <v>3331</v>
      </c>
      <c r="C899" s="508">
        <f>+C896+C897+-C898</f>
        <v>0</v>
      </c>
      <c r="D899" s="508">
        <f>+D896+D897+-D898</f>
        <v>833</v>
      </c>
      <c r="E899" s="508">
        <f>+E896+E897+-E898</f>
        <v>3807</v>
      </c>
      <c r="F899" s="508">
        <f>+F896+F897+-F898</f>
        <v>1048</v>
      </c>
      <c r="G899" s="55">
        <v>0</v>
      </c>
    </row>
    <row r="902" spans="2:10">
      <c r="B902" s="111"/>
      <c r="C902" s="121"/>
      <c r="D902" s="121"/>
      <c r="E902" s="121"/>
      <c r="F902" s="121"/>
      <c r="G902" s="122"/>
    </row>
    <row r="903" spans="2:10">
      <c r="B903" s="139" t="s">
        <v>3497</v>
      </c>
      <c r="C903" s="140"/>
      <c r="D903" s="140"/>
      <c r="E903" s="13"/>
      <c r="F903" s="13"/>
      <c r="G903" s="43"/>
    </row>
    <row r="904" spans="2:10">
      <c r="B904" s="309"/>
      <c r="C904" s="13" t="s">
        <v>2807</v>
      </c>
      <c r="D904" s="13" t="s">
        <v>3188</v>
      </c>
      <c r="E904" s="13" t="s">
        <v>3328</v>
      </c>
      <c r="F904" s="13" t="s">
        <v>3329</v>
      </c>
      <c r="G904" s="43" t="s">
        <v>3330</v>
      </c>
    </row>
    <row r="905" spans="2:10">
      <c r="B905" s="40" t="s">
        <v>3367</v>
      </c>
      <c r="C905" s="41">
        <v>0</v>
      </c>
      <c r="D905" s="41">
        <v>833</v>
      </c>
      <c r="E905" s="41">
        <v>3807</v>
      </c>
      <c r="F905" s="41">
        <v>1048</v>
      </c>
      <c r="G905" s="64">
        <v>0</v>
      </c>
    </row>
    <row r="906" spans="2:10">
      <c r="B906" s="40" t="s">
        <v>3184</v>
      </c>
      <c r="C906" s="41">
        <v>4293</v>
      </c>
      <c r="D906" s="41">
        <v>480</v>
      </c>
      <c r="E906" s="41">
        <f>1278+1463</f>
        <v>2741</v>
      </c>
      <c r="F906" s="41">
        <v>0</v>
      </c>
      <c r="G906" s="64">
        <v>0</v>
      </c>
    </row>
    <row r="907" spans="2:10">
      <c r="B907" s="40" t="s">
        <v>3185</v>
      </c>
      <c r="C907" s="41">
        <v>4293</v>
      </c>
      <c r="D907" s="41">
        <v>600.6</v>
      </c>
      <c r="E907" s="41">
        <v>1768</v>
      </c>
      <c r="F907" s="41">
        <v>718</v>
      </c>
      <c r="G907" s="64">
        <v>0</v>
      </c>
    </row>
    <row r="908" spans="2:10">
      <c r="B908" s="473" t="s">
        <v>3498</v>
      </c>
      <c r="C908" s="886">
        <v>0</v>
      </c>
      <c r="D908" s="886">
        <f>+D905+D906-D907</f>
        <v>712.4</v>
      </c>
      <c r="E908" s="886">
        <f>+E905+E906-E907</f>
        <v>4780</v>
      </c>
      <c r="F908" s="886">
        <f>+F905+F906-F907</f>
        <v>330</v>
      </c>
      <c r="G908" s="887">
        <v>0</v>
      </c>
    </row>
    <row r="911" spans="2:10">
      <c r="B911" s="111"/>
      <c r="C911" s="121"/>
      <c r="D911" s="121"/>
      <c r="E911" s="121"/>
      <c r="F911" s="121"/>
      <c r="G911" s="122"/>
    </row>
    <row r="912" spans="2:10">
      <c r="B912" s="139" t="s">
        <v>3499</v>
      </c>
      <c r="C912" s="140"/>
      <c r="D912" s="140"/>
      <c r="E912" s="13"/>
      <c r="F912" s="13"/>
      <c r="G912" s="43"/>
    </row>
    <row r="913" spans="2:7">
      <c r="B913" s="309"/>
      <c r="C913" s="13" t="s">
        <v>2807</v>
      </c>
      <c r="D913" s="13" t="s">
        <v>3188</v>
      </c>
      <c r="E913" s="13" t="s">
        <v>3328</v>
      </c>
      <c r="F913" s="13" t="s">
        <v>3329</v>
      </c>
      <c r="G913" s="43" t="s">
        <v>3330</v>
      </c>
    </row>
    <row r="914" spans="2:7">
      <c r="B914" s="40" t="s">
        <v>3367</v>
      </c>
      <c r="C914" s="41">
        <v>0</v>
      </c>
      <c r="D914" s="41">
        <v>712.4</v>
      </c>
      <c r="E914" s="41">
        <v>4780</v>
      </c>
      <c r="F914" s="41">
        <v>330</v>
      </c>
      <c r="G914" s="64">
        <v>0</v>
      </c>
    </row>
    <row r="915" spans="2:7">
      <c r="B915" s="40" t="s">
        <v>3184</v>
      </c>
      <c r="C915" s="41">
        <v>4889</v>
      </c>
      <c r="D915" s="41">
        <v>468</v>
      </c>
      <c r="E915" s="41">
        <f>1278+1463</f>
        <v>2741</v>
      </c>
      <c r="F915" s="41">
        <v>0</v>
      </c>
      <c r="G915" s="64">
        <v>0</v>
      </c>
    </row>
    <row r="916" spans="2:7">
      <c r="B916" s="40" t="s">
        <v>3185</v>
      </c>
      <c r="C916" s="41">
        <v>4889</v>
      </c>
      <c r="D916" s="41">
        <v>354</v>
      </c>
      <c r="E916" s="41">
        <f>1570.1+1938</f>
        <v>3508.1</v>
      </c>
      <c r="F916" s="41">
        <v>218</v>
      </c>
      <c r="G916" s="64">
        <v>0</v>
      </c>
    </row>
    <row r="917" spans="2:7">
      <c r="B917" s="473" t="s">
        <v>3498</v>
      </c>
      <c r="C917" s="886">
        <v>0</v>
      </c>
      <c r="D917" s="886">
        <f>+D914+D915-D916</f>
        <v>826.40000000000009</v>
      </c>
      <c r="E917" s="886">
        <f>+E914+E915-E916</f>
        <v>4012.9</v>
      </c>
      <c r="F917" s="886">
        <f>+F914+F915-F916</f>
        <v>112</v>
      </c>
      <c r="G917" s="887">
        <v>0</v>
      </c>
    </row>
    <row r="920" spans="2:7">
      <c r="B920" s="111"/>
      <c r="C920" s="121"/>
      <c r="D920" s="121"/>
      <c r="E920" s="121"/>
      <c r="F920" s="121"/>
      <c r="G920" s="122"/>
    </row>
    <row r="921" spans="2:7">
      <c r="B921" s="139" t="s">
        <v>3500</v>
      </c>
      <c r="C921" s="140"/>
      <c r="D921" s="140"/>
      <c r="E921" s="13"/>
      <c r="F921" s="13"/>
      <c r="G921" s="43"/>
    </row>
    <row r="922" spans="2:7">
      <c r="B922" s="309"/>
      <c r="C922" s="13" t="s">
        <v>2807</v>
      </c>
      <c r="D922" s="13" t="s">
        <v>3188</v>
      </c>
      <c r="E922" s="13" t="s">
        <v>3328</v>
      </c>
      <c r="F922" s="13" t="s">
        <v>3329</v>
      </c>
      <c r="G922" s="43" t="s">
        <v>3330</v>
      </c>
    </row>
    <row r="923" spans="2:7">
      <c r="B923" s="40" t="s">
        <v>3367</v>
      </c>
      <c r="C923" s="41">
        <v>0</v>
      </c>
      <c r="D923" s="41">
        <v>826.4</v>
      </c>
      <c r="E923" s="41">
        <v>4012.9</v>
      </c>
      <c r="F923" s="41">
        <v>112</v>
      </c>
      <c r="G923" s="64">
        <v>0</v>
      </c>
    </row>
    <row r="924" spans="2:7">
      <c r="B924" s="40" t="s">
        <v>3184</v>
      </c>
      <c r="C924" s="41">
        <v>4351</v>
      </c>
      <c r="D924" s="41">
        <v>803</v>
      </c>
      <c r="E924" s="41">
        <v>1022</v>
      </c>
      <c r="F924" s="41">
        <v>0</v>
      </c>
      <c r="G924" s="64">
        <v>0</v>
      </c>
    </row>
    <row r="925" spans="2:7">
      <c r="B925" s="40" t="s">
        <v>3185</v>
      </c>
      <c r="C925" s="41">
        <v>4351</v>
      </c>
      <c r="D925" s="41">
        <v>1434</v>
      </c>
      <c r="E925" s="89">
        <v>2243.9</v>
      </c>
      <c r="F925" s="41">
        <v>112</v>
      </c>
      <c r="G925" s="64">
        <v>0</v>
      </c>
    </row>
    <row r="926" spans="2:7">
      <c r="B926" s="473" t="s">
        <v>3498</v>
      </c>
      <c r="C926" s="886">
        <v>0</v>
      </c>
      <c r="D926" s="889">
        <f>+D923+D924-D925</f>
        <v>195.40000000000009</v>
      </c>
      <c r="E926" s="886">
        <f>+E923+E924-E925</f>
        <v>2790.9999999999995</v>
      </c>
      <c r="F926" s="886">
        <f>+F923+F924-F925</f>
        <v>0</v>
      </c>
      <c r="G926" s="887">
        <v>0</v>
      </c>
    </row>
    <row r="929" spans="2:151" ht="15.75">
      <c r="B929" s="111"/>
      <c r="C929" s="121"/>
      <c r="D929" s="121"/>
      <c r="E929" s="121"/>
      <c r="F929" s="121"/>
      <c r="G929" s="122"/>
      <c r="CC929" s="2803" t="s">
        <v>3501</v>
      </c>
      <c r="CD929" s="2803"/>
      <c r="CE929" s="2803"/>
      <c r="CF929" s="2803"/>
      <c r="CG929" s="2803"/>
      <c r="CH929" s="2803"/>
      <c r="CI929" s="2803"/>
      <c r="CJ929" s="2803"/>
      <c r="CK929" s="2803"/>
      <c r="CM929" s="2803" t="s">
        <v>3502</v>
      </c>
      <c r="CN929" s="2803"/>
      <c r="CO929" s="2803"/>
      <c r="CP929" s="2803"/>
      <c r="CQ929" s="2803"/>
      <c r="CR929" s="2803"/>
      <c r="CS929" s="2803"/>
      <c r="CT929" s="2803"/>
      <c r="CU929" s="2803"/>
      <c r="CW929" s="2803" t="s">
        <v>3503</v>
      </c>
      <c r="CX929" s="2803"/>
      <c r="CY929" s="2803"/>
      <c r="CZ929" s="2803"/>
      <c r="DA929" s="2803"/>
      <c r="DB929" s="2803"/>
      <c r="DC929" s="2803"/>
      <c r="DD929" s="2803"/>
      <c r="DE929" s="2803"/>
      <c r="DG929" s="2803" t="s">
        <v>3504</v>
      </c>
      <c r="DH929" s="2803"/>
      <c r="DI929" s="2803"/>
      <c r="DJ929" s="2803"/>
      <c r="DK929" s="2803"/>
      <c r="DL929" s="2803"/>
      <c r="DM929" s="2803"/>
      <c r="DN929" s="2803"/>
      <c r="DO929" s="2803"/>
      <c r="DQ929" s="2803" t="s">
        <v>3505</v>
      </c>
      <c r="DR929" s="2803"/>
      <c r="DS929" s="2803"/>
      <c r="DT929" s="2803"/>
      <c r="DU929" s="2803"/>
      <c r="DV929" s="2803"/>
      <c r="DW929" s="2803"/>
      <c r="DX929" s="2803"/>
      <c r="DY929" s="2803"/>
      <c r="EC929" s="2803" t="s">
        <v>3506</v>
      </c>
      <c r="ED929" s="2803"/>
      <c r="EE929" s="2803"/>
      <c r="EF929" s="2803"/>
      <c r="EG929" s="2803"/>
      <c r="EH929" s="2803"/>
      <c r="EI929" s="2803"/>
      <c r="EJ929" s="2803"/>
      <c r="EK929" s="2803"/>
      <c r="EM929" s="2803" t="s">
        <v>3506</v>
      </c>
      <c r="EN929" s="2803"/>
      <c r="EO929" s="2803"/>
      <c r="EP929" s="2803"/>
      <c r="EQ929" s="2803"/>
      <c r="ER929" s="2803"/>
      <c r="ES929" s="2803"/>
      <c r="ET929" s="2803"/>
      <c r="EU929" s="2803"/>
    </row>
    <row r="930" spans="2:151">
      <c r="B930" s="139" t="s">
        <v>3507</v>
      </c>
      <c r="C930" s="140"/>
      <c r="D930" s="140"/>
      <c r="E930" s="13"/>
      <c r="F930" s="13"/>
      <c r="G930" s="43"/>
    </row>
    <row r="931" spans="2:151">
      <c r="B931" s="309"/>
      <c r="C931" s="13" t="s">
        <v>2807</v>
      </c>
      <c r="D931" s="13" t="s">
        <v>3188</v>
      </c>
      <c r="E931" s="13" t="s">
        <v>3328</v>
      </c>
      <c r="F931" s="13" t="s">
        <v>3329</v>
      </c>
      <c r="G931" s="43" t="s">
        <v>3330</v>
      </c>
      <c r="AB931" s="3110" t="s">
        <v>3508</v>
      </c>
      <c r="AC931" s="3111"/>
      <c r="AD931" s="3112"/>
      <c r="AE931" s="3110" t="s">
        <v>3509</v>
      </c>
      <c r="AF931" s="3111"/>
      <c r="AG931" s="3111"/>
      <c r="AH931" s="3113" t="s">
        <v>3510</v>
      </c>
      <c r="AI931" s="3113"/>
      <c r="AJ931" s="3113"/>
      <c r="AK931" s="3113" t="s">
        <v>3511</v>
      </c>
      <c r="AL931" s="3113"/>
      <c r="AM931" s="3113"/>
      <c r="AN931" s="3113" t="s">
        <v>3512</v>
      </c>
      <c r="AO931" s="3113"/>
      <c r="AP931" s="3113"/>
      <c r="AQ931" t="s">
        <v>351</v>
      </c>
      <c r="AR931" s="3113" t="s">
        <v>3513</v>
      </c>
      <c r="AS931" s="3113"/>
      <c r="AT931" s="3113"/>
      <c r="AU931" s="27" t="s">
        <v>351</v>
      </c>
      <c r="AV931" s="3113" t="s">
        <v>3514</v>
      </c>
      <c r="AW931" s="3113"/>
      <c r="AX931" s="3113"/>
      <c r="BA931" s="3114" t="s">
        <v>3515</v>
      </c>
      <c r="BB931" s="3114"/>
      <c r="BC931" s="3114"/>
      <c r="BD931" s="3114" t="s">
        <v>3516</v>
      </c>
      <c r="BE931" s="3114"/>
      <c r="BF931" s="3114"/>
      <c r="BH931" s="3114" t="s">
        <v>3517</v>
      </c>
      <c r="BI931" s="3114"/>
      <c r="BJ931" s="3114"/>
      <c r="BK931" s="3114"/>
      <c r="BL931" t="s">
        <v>356</v>
      </c>
      <c r="BM931" t="s">
        <v>351</v>
      </c>
      <c r="BN931" s="325" t="s">
        <v>3518</v>
      </c>
      <c r="BO931" s="2913" t="s">
        <v>3519</v>
      </c>
      <c r="BP931" s="2913"/>
      <c r="BQ931" s="2913"/>
      <c r="BR931" s="2913" t="s">
        <v>785</v>
      </c>
      <c r="BS931" s="2913"/>
      <c r="BT931" s="2913"/>
      <c r="BU931" s="2913"/>
      <c r="BX931" s="3114"/>
      <c r="BY931" s="3114"/>
      <c r="BZ931" s="3114"/>
      <c r="CC931" s="325" t="s">
        <v>3520</v>
      </c>
      <c r="CD931" s="2913" t="s">
        <v>3519</v>
      </c>
      <c r="CE931" s="2913"/>
      <c r="CF931" s="2913"/>
      <c r="CG931" s="2913" t="s">
        <v>785</v>
      </c>
      <c r="CH931" s="2913"/>
      <c r="CI931" s="2913"/>
      <c r="CJ931" s="2913"/>
      <c r="CM931" s="325" t="s">
        <v>3520</v>
      </c>
      <c r="CN931" s="2913" t="s">
        <v>3519</v>
      </c>
      <c r="CO931" s="2913"/>
      <c r="CP931" s="2913"/>
      <c r="CQ931" s="2913" t="s">
        <v>785</v>
      </c>
      <c r="CR931" s="2913"/>
      <c r="CS931" s="2913"/>
      <c r="CT931" s="2913"/>
      <c r="CW931" s="325" t="s">
        <v>3520</v>
      </c>
      <c r="CX931" s="2913" t="s">
        <v>3519</v>
      </c>
      <c r="CY931" s="2913"/>
      <c r="CZ931" s="2913"/>
      <c r="DA931" s="2913" t="s">
        <v>785</v>
      </c>
      <c r="DB931" s="2913"/>
      <c r="DC931" s="2913"/>
      <c r="DD931" s="2913"/>
      <c r="DG931" s="325" t="s">
        <v>3520</v>
      </c>
      <c r="DH931" s="2913" t="s">
        <v>3519</v>
      </c>
      <c r="DI931" s="2913"/>
      <c r="DJ931" s="2913"/>
      <c r="DK931" s="2913" t="s">
        <v>785</v>
      </c>
      <c r="DL931" s="2913"/>
      <c r="DM931" s="2913"/>
      <c r="DN931" s="2913"/>
      <c r="DQ931" s="325" t="s">
        <v>3520</v>
      </c>
      <c r="DR931" s="2913" t="s">
        <v>3519</v>
      </c>
      <c r="DS931" s="2913"/>
      <c r="DT931" s="2913"/>
      <c r="DU931" s="2913" t="s">
        <v>785</v>
      </c>
      <c r="DV931" s="2913"/>
      <c r="DW931" s="2913"/>
      <c r="DX931" s="2913"/>
      <c r="EC931" s="325" t="s">
        <v>3520</v>
      </c>
      <c r="ED931" s="2913" t="s">
        <v>3519</v>
      </c>
      <c r="EE931" s="2913"/>
      <c r="EF931" s="2913"/>
      <c r="EG931" s="2913" t="s">
        <v>785</v>
      </c>
      <c r="EH931" s="2913"/>
      <c r="EI931" s="2913"/>
      <c r="EJ931" s="2913"/>
      <c r="EM931" s="325" t="s">
        <v>3520</v>
      </c>
      <c r="EN931" s="2913" t="s">
        <v>3519</v>
      </c>
      <c r="EO931" s="2913"/>
      <c r="EP931" s="2913"/>
      <c r="EQ931" s="2913" t="s">
        <v>785</v>
      </c>
      <c r="ER931" s="2913"/>
      <c r="ES931" s="2913"/>
      <c r="ET931" s="2913"/>
    </row>
    <row r="932" spans="2:151">
      <c r="B932" s="40" t="s">
        <v>3367</v>
      </c>
      <c r="C932" s="41">
        <v>0</v>
      </c>
      <c r="D932" s="41">
        <v>833</v>
      </c>
      <c r="E932" s="41">
        <v>3807</v>
      </c>
      <c r="F932" s="41">
        <v>1048</v>
      </c>
      <c r="G932" s="64">
        <v>0</v>
      </c>
      <c r="AB932" s="41" t="s">
        <v>300</v>
      </c>
      <c r="AC932" s="41" t="s">
        <v>785</v>
      </c>
      <c r="AD932" s="41" t="s">
        <v>3519</v>
      </c>
      <c r="AE932" s="41" t="s">
        <v>300</v>
      </c>
      <c r="AF932" s="41" t="s">
        <v>785</v>
      </c>
      <c r="AG932" s="320" t="s">
        <v>3519</v>
      </c>
      <c r="AH932" s="41" t="s">
        <v>300</v>
      </c>
      <c r="AI932" s="41" t="s">
        <v>785</v>
      </c>
      <c r="AJ932" s="41" t="s">
        <v>3519</v>
      </c>
      <c r="AK932" s="41" t="s">
        <v>300</v>
      </c>
      <c r="AL932" s="41" t="s">
        <v>785</v>
      </c>
      <c r="AM932" s="41" t="s">
        <v>3519</v>
      </c>
      <c r="AN932" s="41" t="s">
        <v>300</v>
      </c>
      <c r="AO932" s="41" t="s">
        <v>785</v>
      </c>
      <c r="AP932" s="41" t="s">
        <v>3519</v>
      </c>
      <c r="AR932" s="41" t="s">
        <v>300</v>
      </c>
      <c r="AS932" s="41" t="s">
        <v>785</v>
      </c>
      <c r="AT932" s="41" t="s">
        <v>3519</v>
      </c>
      <c r="AV932" s="41" t="s">
        <v>300</v>
      </c>
      <c r="AW932" s="41" t="s">
        <v>785</v>
      </c>
      <c r="AX932" s="41" t="s">
        <v>3519</v>
      </c>
      <c r="AY932" s="322" t="s">
        <v>351</v>
      </c>
      <c r="BA932" s="41" t="s">
        <v>300</v>
      </c>
      <c r="BB932" s="41" t="s">
        <v>785</v>
      </c>
      <c r="BC932" s="41" t="s">
        <v>3519</v>
      </c>
      <c r="BD932" s="41" t="s">
        <v>300</v>
      </c>
      <c r="BE932" s="41" t="s">
        <v>785</v>
      </c>
      <c r="BF932" s="41" t="s">
        <v>3519</v>
      </c>
      <c r="BH932" s="41" t="s">
        <v>300</v>
      </c>
      <c r="BI932" s="41"/>
      <c r="BJ932" s="41" t="s">
        <v>785</v>
      </c>
      <c r="BK932" s="41" t="s">
        <v>3519</v>
      </c>
      <c r="BL932" s="3115" t="s">
        <v>785</v>
      </c>
      <c r="BM932" s="2793"/>
      <c r="BN932" s="41" t="s">
        <v>300</v>
      </c>
      <c r="BO932" s="13" t="s">
        <v>356</v>
      </c>
      <c r="BP932" s="322" t="s">
        <v>351</v>
      </c>
      <c r="BQ932" s="13" t="s">
        <v>185</v>
      </c>
      <c r="BR932" s="13" t="s">
        <v>23</v>
      </c>
      <c r="BS932" s="13" t="s">
        <v>356</v>
      </c>
      <c r="BT932" s="13" t="s">
        <v>351</v>
      </c>
      <c r="BU932" s="13" t="s">
        <v>185</v>
      </c>
      <c r="BV932" s="13" t="s">
        <v>23</v>
      </c>
      <c r="BX932" s="41"/>
      <c r="BY932" s="41"/>
      <c r="BZ932" s="41"/>
      <c r="CA932" s="3115"/>
      <c r="CB932" s="2793"/>
      <c r="CC932" s="41" t="s">
        <v>300</v>
      </c>
      <c r="CD932" s="13" t="s">
        <v>356</v>
      </c>
      <c r="CE932" s="322" t="s">
        <v>3521</v>
      </c>
      <c r="CF932" s="13" t="s">
        <v>185</v>
      </c>
      <c r="CG932" s="13" t="s">
        <v>23</v>
      </c>
      <c r="CH932" s="13" t="s">
        <v>356</v>
      </c>
      <c r="CI932" s="322" t="s">
        <v>3521</v>
      </c>
      <c r="CJ932" s="13" t="s">
        <v>185</v>
      </c>
      <c r="CK932" s="13" t="s">
        <v>23</v>
      </c>
      <c r="CM932" s="41" t="s">
        <v>300</v>
      </c>
      <c r="CN932" s="328" t="s">
        <v>356</v>
      </c>
      <c r="CO932" s="322" t="s">
        <v>3521</v>
      </c>
      <c r="CP932" s="328" t="s">
        <v>185</v>
      </c>
      <c r="CQ932" s="328" t="s">
        <v>23</v>
      </c>
      <c r="CR932" s="328" t="s">
        <v>356</v>
      </c>
      <c r="CS932" s="322" t="s">
        <v>3521</v>
      </c>
      <c r="CT932" s="328" t="s">
        <v>185</v>
      </c>
      <c r="CU932" s="13" t="s">
        <v>23</v>
      </c>
      <c r="CW932" s="41" t="s">
        <v>300</v>
      </c>
      <c r="CX932" s="328" t="s">
        <v>356</v>
      </c>
      <c r="CY932" s="322" t="s">
        <v>3521</v>
      </c>
      <c r="CZ932" s="328" t="s">
        <v>185</v>
      </c>
      <c r="DA932" s="328" t="s">
        <v>23</v>
      </c>
      <c r="DB932" s="328" t="s">
        <v>356</v>
      </c>
      <c r="DC932" s="322" t="s">
        <v>3521</v>
      </c>
      <c r="DD932" s="328" t="s">
        <v>185</v>
      </c>
      <c r="DE932" s="13" t="s">
        <v>23</v>
      </c>
      <c r="DG932" s="329" t="s">
        <v>300</v>
      </c>
      <c r="DH932" s="328" t="s">
        <v>356</v>
      </c>
      <c r="DI932" s="322" t="s">
        <v>3521</v>
      </c>
      <c r="DJ932" s="328" t="s">
        <v>185</v>
      </c>
      <c r="DK932" s="328" t="s">
        <v>23</v>
      </c>
      <c r="DL932" s="328" t="s">
        <v>356</v>
      </c>
      <c r="DM932" s="322" t="s">
        <v>3521</v>
      </c>
      <c r="DN932" s="328" t="s">
        <v>185</v>
      </c>
      <c r="DO932" s="13" t="s">
        <v>23</v>
      </c>
      <c r="DQ932" s="329" t="s">
        <v>300</v>
      </c>
      <c r="DR932" s="328" t="s">
        <v>356</v>
      </c>
      <c r="DS932" s="322" t="s">
        <v>3521</v>
      </c>
      <c r="DT932" s="328" t="s">
        <v>185</v>
      </c>
      <c r="DU932" s="328" t="s">
        <v>23</v>
      </c>
      <c r="DV932" s="328" t="s">
        <v>356</v>
      </c>
      <c r="DW932" s="322" t="s">
        <v>3521</v>
      </c>
      <c r="DX932" s="328" t="s">
        <v>185</v>
      </c>
      <c r="DY932" s="13" t="s">
        <v>23</v>
      </c>
      <c r="EC932" s="329" t="s">
        <v>300</v>
      </c>
      <c r="ED932" s="328" t="s">
        <v>356</v>
      </c>
      <c r="EE932" s="322" t="s">
        <v>3521</v>
      </c>
      <c r="EF932" s="328" t="s">
        <v>185</v>
      </c>
      <c r="EG932" s="328" t="s">
        <v>23</v>
      </c>
      <c r="EH932" s="328" t="s">
        <v>356</v>
      </c>
      <c r="EI932" s="322" t="s">
        <v>3521</v>
      </c>
      <c r="EJ932" s="328" t="s">
        <v>185</v>
      </c>
      <c r="EK932" s="13" t="s">
        <v>23</v>
      </c>
      <c r="EM932" s="329" t="s">
        <v>300</v>
      </c>
      <c r="EN932" s="328" t="s">
        <v>356</v>
      </c>
      <c r="EO932" s="322" t="s">
        <v>3521</v>
      </c>
      <c r="EP932" s="328" t="s">
        <v>185</v>
      </c>
      <c r="EQ932" s="328" t="s">
        <v>23</v>
      </c>
      <c r="ER932" s="328" t="s">
        <v>356</v>
      </c>
      <c r="ES932" s="322" t="s">
        <v>3521</v>
      </c>
      <c r="ET932" s="328" t="s">
        <v>185</v>
      </c>
      <c r="EU932" s="13" t="s">
        <v>23</v>
      </c>
    </row>
    <row r="933" spans="2:151">
      <c r="B933" s="40" t="s">
        <v>3184</v>
      </c>
      <c r="C933" s="41">
        <v>13634</v>
      </c>
      <c r="D933" s="41">
        <v>1890</v>
      </c>
      <c r="E933" s="41">
        <v>3899</v>
      </c>
      <c r="F933" s="41">
        <v>0</v>
      </c>
      <c r="G933" s="64">
        <v>0</v>
      </c>
      <c r="AB933" s="321">
        <v>45383</v>
      </c>
      <c r="AC933" s="41">
        <v>32</v>
      </c>
      <c r="AD933" s="41">
        <v>42</v>
      </c>
      <c r="AE933" s="321">
        <v>45413</v>
      </c>
      <c r="AF933" s="41">
        <v>23</v>
      </c>
      <c r="AG933" s="320">
        <v>92</v>
      </c>
      <c r="AH933" s="321">
        <v>45444</v>
      </c>
      <c r="AI933" s="41">
        <v>101</v>
      </c>
      <c r="AJ933" s="41">
        <v>88</v>
      </c>
      <c r="AK933" s="321">
        <v>45474</v>
      </c>
      <c r="AL933" s="41">
        <v>91</v>
      </c>
      <c r="AM933" s="41">
        <v>86</v>
      </c>
      <c r="AN933" s="321">
        <v>45505</v>
      </c>
      <c r="AO933" s="41">
        <v>43</v>
      </c>
      <c r="AP933" s="41">
        <v>69</v>
      </c>
      <c r="AR933" s="321">
        <v>45536</v>
      </c>
      <c r="AS933" s="41" t="s">
        <v>3522</v>
      </c>
      <c r="AT933" s="41">
        <v>80</v>
      </c>
      <c r="AV933" s="321">
        <v>45566</v>
      </c>
      <c r="AW933" s="41">
        <v>111</v>
      </c>
      <c r="AX933" s="41">
        <v>87</v>
      </c>
      <c r="AY933" s="322">
        <v>29</v>
      </c>
      <c r="BA933" s="321">
        <v>45597</v>
      </c>
      <c r="BB933" s="41">
        <v>108</v>
      </c>
      <c r="BC933" s="41">
        <v>81</v>
      </c>
      <c r="BD933" s="321">
        <v>45627</v>
      </c>
      <c r="BE933" s="13">
        <v>86</v>
      </c>
      <c r="BF933" s="13" t="s">
        <v>3522</v>
      </c>
      <c r="BH933" s="321">
        <v>45658</v>
      </c>
      <c r="BI933" s="321"/>
      <c r="BJ933" s="13">
        <v>52</v>
      </c>
      <c r="BK933" s="13">
        <v>81</v>
      </c>
      <c r="BL933" s="13">
        <v>52</v>
      </c>
      <c r="BM933" s="13"/>
      <c r="BN933" s="321">
        <v>45689</v>
      </c>
      <c r="BO933" s="13">
        <v>82</v>
      </c>
      <c r="BP933" s="13"/>
      <c r="BQ933" s="13">
        <v>12</v>
      </c>
      <c r="BR933" s="13">
        <f t="shared" ref="BR933:BR943" si="168">+BO933+BQ933</f>
        <v>94</v>
      </c>
      <c r="BS933" s="30">
        <v>101</v>
      </c>
      <c r="BT933" s="30"/>
      <c r="BU933" s="30">
        <v>19</v>
      </c>
      <c r="BV933" s="30">
        <f t="shared" ref="BV933:BV963" si="169">+BS933+BT933+BU933</f>
        <v>120</v>
      </c>
      <c r="BX933" s="321"/>
      <c r="BY933" s="13"/>
      <c r="BZ933" s="13"/>
      <c r="CA933" s="13"/>
      <c r="CB933" s="13"/>
      <c r="CC933" s="321">
        <v>45717</v>
      </c>
      <c r="CD933" s="13">
        <v>90</v>
      </c>
      <c r="CE933" s="13">
        <v>18</v>
      </c>
      <c r="CF933" s="13"/>
      <c r="CG933" s="13">
        <f>+CD933+CF933+CE933</f>
        <v>108</v>
      </c>
      <c r="CH933" s="13">
        <v>85</v>
      </c>
      <c r="CI933" s="13">
        <v>30</v>
      </c>
      <c r="CJ933" s="13">
        <v>22</v>
      </c>
      <c r="CK933" s="30">
        <f t="shared" ref="CK933:CK963" si="170">+CH933+CI933+CJ933</f>
        <v>137</v>
      </c>
      <c r="CM933" s="321">
        <v>45748</v>
      </c>
      <c r="CN933" s="13">
        <v>72</v>
      </c>
      <c r="CO933" s="13"/>
      <c r="CP933" s="13">
        <v>23</v>
      </c>
      <c r="CQ933" s="13">
        <f>+CN933+CP933+CO933</f>
        <v>95</v>
      </c>
      <c r="CR933" s="13">
        <v>61</v>
      </c>
      <c r="CS933" s="13">
        <v>12</v>
      </c>
      <c r="CT933" s="13">
        <v>20</v>
      </c>
      <c r="CU933" s="30">
        <f t="shared" ref="CU933:CU963" si="171">+CR933+CS933+CT933</f>
        <v>93</v>
      </c>
      <c r="CW933" s="321">
        <v>45778</v>
      </c>
      <c r="CX933" s="13">
        <v>95</v>
      </c>
      <c r="CY933" s="13"/>
      <c r="CZ933" s="13">
        <v>6</v>
      </c>
      <c r="DA933" s="13">
        <f>+CX933+CZ933+CY933</f>
        <v>101</v>
      </c>
      <c r="DB933" s="13">
        <v>93</v>
      </c>
      <c r="DC933" s="13">
        <v>45</v>
      </c>
      <c r="DD933" s="13">
        <v>9</v>
      </c>
      <c r="DE933" s="30">
        <f t="shared" ref="DE933:DE963" si="172">+DB933+DC933+DD933</f>
        <v>147</v>
      </c>
      <c r="DG933" s="329">
        <v>45809</v>
      </c>
      <c r="DH933" s="13"/>
      <c r="DI933" s="13"/>
      <c r="DJ933" s="13"/>
      <c r="DK933" s="13">
        <f>+DH933+DJ933+DI933</f>
        <v>0</v>
      </c>
      <c r="DL933" s="13">
        <v>60</v>
      </c>
      <c r="DM933" s="13">
        <v>59</v>
      </c>
      <c r="DN933" s="13">
        <v>23</v>
      </c>
      <c r="DO933" s="30">
        <f t="shared" ref="DO933:DO963" si="173">+DL933+DM933+DN933</f>
        <v>142</v>
      </c>
      <c r="DQ933" s="329">
        <v>45839</v>
      </c>
      <c r="DR933" s="13">
        <v>87</v>
      </c>
      <c r="DS933" s="13">
        <v>0</v>
      </c>
      <c r="DT933" s="13">
        <v>23</v>
      </c>
      <c r="DU933" s="13">
        <f>+DR933+DT933+DS933</f>
        <v>110</v>
      </c>
      <c r="DV933" s="13">
        <v>79</v>
      </c>
      <c r="DW933" s="13">
        <v>36</v>
      </c>
      <c r="DX933" s="13">
        <v>23</v>
      </c>
      <c r="DY933" s="30">
        <f t="shared" ref="DY933:DY963" si="174">+DV933+DW933+DX933</f>
        <v>138</v>
      </c>
      <c r="EC933" s="321">
        <v>45870</v>
      </c>
      <c r="ED933" s="13">
        <v>69</v>
      </c>
      <c r="EE933" s="13">
        <v>0</v>
      </c>
      <c r="EF933" s="13">
        <v>21</v>
      </c>
      <c r="EG933" s="13">
        <f>+ED933+EF933+EE933</f>
        <v>90</v>
      </c>
      <c r="EH933" s="13">
        <v>68</v>
      </c>
      <c r="EI933" s="13">
        <v>63</v>
      </c>
      <c r="EJ933" s="13">
        <v>20</v>
      </c>
      <c r="EK933" s="30">
        <f t="shared" ref="EK933:EK963" si="175">+EH933+EI933+EJ933</f>
        <v>151</v>
      </c>
      <c r="EM933" s="321">
        <v>45901</v>
      </c>
      <c r="EN933" s="89">
        <v>85</v>
      </c>
      <c r="EO933" s="69">
        <v>0</v>
      </c>
      <c r="EP933" s="69">
        <v>14</v>
      </c>
      <c r="EQ933" s="13">
        <f>+EN933+EP933+EO933</f>
        <v>99</v>
      </c>
      <c r="ER933" s="89">
        <v>122</v>
      </c>
      <c r="ES933" s="89">
        <v>0</v>
      </c>
      <c r="ET933" s="89">
        <v>12</v>
      </c>
      <c r="EU933" s="30">
        <f t="shared" ref="EU933:EU963" si="176">+ER933+ES933+ET933</f>
        <v>134</v>
      </c>
    </row>
    <row r="934" spans="2:151">
      <c r="B934" s="40" t="s">
        <v>3185</v>
      </c>
      <c r="C934" s="41">
        <v>13634</v>
      </c>
      <c r="D934" s="41">
        <v>1742</v>
      </c>
      <c r="E934" s="89">
        <v>6505</v>
      </c>
      <c r="F934" s="41">
        <v>1048</v>
      </c>
      <c r="G934" s="64">
        <v>0</v>
      </c>
      <c r="AB934" s="321">
        <v>45384</v>
      </c>
      <c r="AC934" s="41" t="s">
        <v>3522</v>
      </c>
      <c r="AD934" s="41" t="s">
        <v>3522</v>
      </c>
      <c r="AE934" s="321">
        <v>45414</v>
      </c>
      <c r="AF934" s="41" t="s">
        <v>3522</v>
      </c>
      <c r="AG934" s="320" t="s">
        <v>3522</v>
      </c>
      <c r="AH934" s="321">
        <v>45445</v>
      </c>
      <c r="AI934" s="41">
        <v>108</v>
      </c>
      <c r="AJ934" s="41">
        <v>87</v>
      </c>
      <c r="AK934" s="321">
        <v>45475</v>
      </c>
      <c r="AL934" s="41">
        <v>78</v>
      </c>
      <c r="AM934" s="41">
        <v>91</v>
      </c>
      <c r="AN934" s="321">
        <v>45506</v>
      </c>
      <c r="AO934" s="41">
        <v>65</v>
      </c>
      <c r="AP934" s="41">
        <v>59</v>
      </c>
      <c r="AR934" s="321">
        <v>45537</v>
      </c>
      <c r="AS934" s="41">
        <v>75</v>
      </c>
      <c r="AT934" s="41">
        <v>77</v>
      </c>
      <c r="AV934" s="321">
        <v>45567</v>
      </c>
      <c r="AW934" s="13">
        <v>111</v>
      </c>
      <c r="AX934" s="13">
        <v>89</v>
      </c>
      <c r="AY934" s="323">
        <v>15</v>
      </c>
      <c r="BA934" s="321">
        <v>45598</v>
      </c>
      <c r="BB934" s="13">
        <v>119</v>
      </c>
      <c r="BC934" s="13">
        <v>83</v>
      </c>
      <c r="BD934" s="321">
        <v>45628</v>
      </c>
      <c r="BE934" s="13">
        <v>82</v>
      </c>
      <c r="BF934" s="13">
        <v>90</v>
      </c>
      <c r="BH934" s="321">
        <v>45659</v>
      </c>
      <c r="BI934" s="321"/>
      <c r="BJ934" s="13">
        <v>82</v>
      </c>
      <c r="BK934" s="13">
        <v>95</v>
      </c>
      <c r="BL934" s="13">
        <v>82</v>
      </c>
      <c r="BM934" s="13"/>
      <c r="BN934" s="321">
        <v>45690</v>
      </c>
      <c r="BO934" s="13">
        <v>95</v>
      </c>
      <c r="BP934" s="13"/>
      <c r="BQ934" s="13">
        <v>4</v>
      </c>
      <c r="BR934" s="13">
        <f t="shared" si="168"/>
        <v>99</v>
      </c>
      <c r="BS934" s="30">
        <v>87</v>
      </c>
      <c r="BT934" s="30"/>
      <c r="BU934" s="30">
        <v>0</v>
      </c>
      <c r="BV934" s="30">
        <f t="shared" si="169"/>
        <v>87</v>
      </c>
      <c r="BX934" s="321"/>
      <c r="BY934" s="13"/>
      <c r="BZ934" s="13"/>
      <c r="CA934" s="13"/>
      <c r="CB934" s="13"/>
      <c r="CC934" s="321">
        <v>45718</v>
      </c>
      <c r="CD934" s="13">
        <v>96</v>
      </c>
      <c r="CE934" s="13">
        <v>3</v>
      </c>
      <c r="CF934" s="13"/>
      <c r="CG934" s="13">
        <f t="shared" ref="CG934:CG963" si="177">+CD934+CF934+CE934</f>
        <v>99</v>
      </c>
      <c r="CH934" s="13">
        <v>91</v>
      </c>
      <c r="CI934" s="13">
        <v>16</v>
      </c>
      <c r="CJ934" s="13">
        <v>31</v>
      </c>
      <c r="CK934" s="30">
        <f t="shared" si="170"/>
        <v>138</v>
      </c>
      <c r="CM934" s="329">
        <v>45749</v>
      </c>
      <c r="CN934" s="330">
        <v>0</v>
      </c>
      <c r="CO934" s="330">
        <v>0</v>
      </c>
      <c r="CP934" s="330"/>
      <c r="CQ934" s="330">
        <f t="shared" ref="CQ934:CQ963" si="178">+CN934+CP934+CO934</f>
        <v>0</v>
      </c>
      <c r="CR934" s="330">
        <v>0</v>
      </c>
      <c r="CS934" s="330">
        <v>0</v>
      </c>
      <c r="CT934" s="330">
        <v>0</v>
      </c>
      <c r="CU934" s="331">
        <f t="shared" si="171"/>
        <v>0</v>
      </c>
      <c r="CW934" s="321">
        <v>45779</v>
      </c>
      <c r="CX934" s="13">
        <v>74</v>
      </c>
      <c r="CY934" s="13">
        <v>0</v>
      </c>
      <c r="CZ934" s="13">
        <v>18</v>
      </c>
      <c r="DA934" s="330">
        <f t="shared" ref="DA934:DA963" si="179">+CX934+CZ934+CY934</f>
        <v>92</v>
      </c>
      <c r="DB934" s="13">
        <v>66</v>
      </c>
      <c r="DC934" s="13">
        <v>32</v>
      </c>
      <c r="DD934" s="13">
        <v>6</v>
      </c>
      <c r="DE934" s="331">
        <f t="shared" si="172"/>
        <v>104</v>
      </c>
      <c r="DG934" s="321">
        <v>45810</v>
      </c>
      <c r="DH934" s="13">
        <v>85</v>
      </c>
      <c r="DI934" s="13">
        <v>0</v>
      </c>
      <c r="DJ934" s="13">
        <v>19</v>
      </c>
      <c r="DK934" s="330">
        <f t="shared" ref="DK934:DK963" si="180">+DH934+DJ934+DI934</f>
        <v>104</v>
      </c>
      <c r="DL934" s="13"/>
      <c r="DM934" s="13"/>
      <c r="DN934" s="13"/>
      <c r="DO934" s="331">
        <f t="shared" si="173"/>
        <v>0</v>
      </c>
      <c r="DQ934" s="321">
        <v>45840</v>
      </c>
      <c r="DR934" s="13">
        <v>0</v>
      </c>
      <c r="DS934" s="13">
        <v>0</v>
      </c>
      <c r="DT934" s="13">
        <v>0</v>
      </c>
      <c r="DU934" s="330">
        <f t="shared" ref="DU934:DU943" si="181">+DR934+DT934+DS934</f>
        <v>0</v>
      </c>
      <c r="DV934" s="13">
        <v>0</v>
      </c>
      <c r="DW934" s="13">
        <v>0</v>
      </c>
      <c r="DX934" s="13">
        <v>0</v>
      </c>
      <c r="DY934" s="331">
        <f t="shared" si="174"/>
        <v>0</v>
      </c>
      <c r="EC934" s="321">
        <v>45871</v>
      </c>
      <c r="ED934" s="13">
        <v>80</v>
      </c>
      <c r="EE934" s="13">
        <v>0</v>
      </c>
      <c r="EF934" s="13">
        <v>16</v>
      </c>
      <c r="EG934" s="330">
        <f>+ED934+EF934+EE934</f>
        <v>96</v>
      </c>
      <c r="EH934" s="13">
        <v>45</v>
      </c>
      <c r="EI934" s="13">
        <v>61</v>
      </c>
      <c r="EJ934" s="13">
        <v>24</v>
      </c>
      <c r="EK934" s="331">
        <f t="shared" si="175"/>
        <v>130</v>
      </c>
      <c r="EM934" s="321">
        <v>45902</v>
      </c>
      <c r="EN934" s="89">
        <v>85</v>
      </c>
      <c r="EO934" s="89">
        <v>0</v>
      </c>
      <c r="EP934" s="89">
        <v>16</v>
      </c>
      <c r="EQ934" s="330">
        <f>+EN934+EP934+EO934</f>
        <v>101</v>
      </c>
      <c r="ER934" s="89">
        <v>119</v>
      </c>
      <c r="ES934" s="89">
        <v>10</v>
      </c>
      <c r="ET934" s="89">
        <v>6</v>
      </c>
      <c r="EU934" s="331">
        <f t="shared" si="176"/>
        <v>135</v>
      </c>
    </row>
    <row r="935" spans="2:151">
      <c r="B935" s="473" t="s">
        <v>3523</v>
      </c>
      <c r="C935" s="886">
        <v>0</v>
      </c>
      <c r="D935" s="889">
        <f>+D932+D933-D934</f>
        <v>981</v>
      </c>
      <c r="E935" s="886">
        <f>+E932+E933-E934</f>
        <v>1201</v>
      </c>
      <c r="F935" s="886">
        <f>+F932+F933-F934</f>
        <v>0</v>
      </c>
      <c r="G935" s="887">
        <v>0</v>
      </c>
      <c r="AB935" s="321">
        <v>45385</v>
      </c>
      <c r="AC935" s="41">
        <v>70</v>
      </c>
      <c r="AD935" s="41">
        <v>85</v>
      </c>
      <c r="AE935" s="321">
        <v>45415</v>
      </c>
      <c r="AF935" s="41">
        <v>11</v>
      </c>
      <c r="AG935" s="320">
        <v>39</v>
      </c>
      <c r="AH935" s="321">
        <v>45446</v>
      </c>
      <c r="AI935" s="41">
        <v>0</v>
      </c>
      <c r="AJ935" s="41">
        <v>65</v>
      </c>
      <c r="AK935" s="321">
        <v>45476</v>
      </c>
      <c r="AL935" s="41" t="s">
        <v>3522</v>
      </c>
      <c r="AM935" s="41">
        <v>66</v>
      </c>
      <c r="AN935" s="321">
        <v>45507</v>
      </c>
      <c r="AO935" s="41">
        <v>54</v>
      </c>
      <c r="AP935" s="41">
        <v>81</v>
      </c>
      <c r="AR935" s="321">
        <v>45538</v>
      </c>
      <c r="AS935" s="41">
        <v>62</v>
      </c>
      <c r="AT935" s="41">
        <v>84</v>
      </c>
      <c r="AV935" s="321">
        <v>45568</v>
      </c>
      <c r="AW935" s="13">
        <v>98</v>
      </c>
      <c r="AX935" s="13">
        <v>88</v>
      </c>
      <c r="BA935" s="321">
        <v>45599</v>
      </c>
      <c r="BB935" s="13">
        <v>88</v>
      </c>
      <c r="BC935" s="13" t="s">
        <v>3522</v>
      </c>
      <c r="BD935" s="321">
        <v>45629</v>
      </c>
      <c r="BE935" s="13">
        <v>89</v>
      </c>
      <c r="BF935" s="13">
        <v>89</v>
      </c>
      <c r="BH935" s="321">
        <v>45660</v>
      </c>
      <c r="BI935" s="321"/>
      <c r="BJ935" s="13">
        <v>41</v>
      </c>
      <c r="BK935" s="13">
        <v>75</v>
      </c>
      <c r="BL935" s="13">
        <v>41</v>
      </c>
      <c r="BM935" s="13"/>
      <c r="BN935" s="321">
        <v>45691</v>
      </c>
      <c r="BO935" s="13">
        <v>84</v>
      </c>
      <c r="BP935" s="13"/>
      <c r="BQ935" s="13">
        <v>14</v>
      </c>
      <c r="BR935" s="13">
        <f t="shared" si="168"/>
        <v>98</v>
      </c>
      <c r="BS935" s="30">
        <v>102</v>
      </c>
      <c r="BT935" s="30"/>
      <c r="BU935" s="30">
        <v>31</v>
      </c>
      <c r="BV935" s="30">
        <f t="shared" si="169"/>
        <v>133</v>
      </c>
      <c r="BX935" s="321"/>
      <c r="BY935" s="13"/>
      <c r="BZ935" s="13"/>
      <c r="CA935" s="13"/>
      <c r="CB935" s="13"/>
      <c r="CC935" s="321">
        <v>45719</v>
      </c>
      <c r="CD935" s="13">
        <v>85</v>
      </c>
      <c r="CE935" s="13">
        <v>12</v>
      </c>
      <c r="CF935" s="13"/>
      <c r="CG935" s="13">
        <f t="shared" si="177"/>
        <v>97</v>
      </c>
      <c r="CH935" s="13">
        <v>87</v>
      </c>
      <c r="CI935" s="13">
        <v>30</v>
      </c>
      <c r="CJ935" s="13">
        <v>20</v>
      </c>
      <c r="CK935" s="30">
        <f t="shared" si="170"/>
        <v>137</v>
      </c>
      <c r="CM935" s="321">
        <v>45750</v>
      </c>
      <c r="CN935" s="13">
        <v>67</v>
      </c>
      <c r="CO935" s="13">
        <v>16</v>
      </c>
      <c r="CP935" s="13">
        <v>12</v>
      </c>
      <c r="CQ935" s="13">
        <f t="shared" si="178"/>
        <v>95</v>
      </c>
      <c r="CR935" s="13">
        <v>25</v>
      </c>
      <c r="CS935" s="13">
        <v>65</v>
      </c>
      <c r="CT935" s="13">
        <v>13</v>
      </c>
      <c r="CU935" s="30">
        <f t="shared" si="171"/>
        <v>103</v>
      </c>
      <c r="CW935" s="321">
        <v>45780</v>
      </c>
      <c r="CX935" s="13">
        <v>82</v>
      </c>
      <c r="CY935" s="13">
        <v>12</v>
      </c>
      <c r="CZ935" s="13">
        <v>6</v>
      </c>
      <c r="DA935" s="13">
        <f t="shared" si="179"/>
        <v>100</v>
      </c>
      <c r="DB935" s="13">
        <v>93</v>
      </c>
      <c r="DC935" s="13">
        <v>40</v>
      </c>
      <c r="DD935" s="13">
        <v>6</v>
      </c>
      <c r="DE935" s="30">
        <f t="shared" si="172"/>
        <v>139</v>
      </c>
      <c r="DG935" s="321">
        <v>45811</v>
      </c>
      <c r="DH935" s="13">
        <v>78</v>
      </c>
      <c r="DI935" s="13"/>
      <c r="DJ935" s="13">
        <v>14</v>
      </c>
      <c r="DK935" s="13">
        <f t="shared" si="180"/>
        <v>92</v>
      </c>
      <c r="DL935" s="13">
        <v>24</v>
      </c>
      <c r="DM935" s="13">
        <v>67</v>
      </c>
      <c r="DN935" s="13">
        <v>47</v>
      </c>
      <c r="DO935" s="30">
        <f t="shared" si="173"/>
        <v>138</v>
      </c>
      <c r="DQ935" s="321">
        <v>45841</v>
      </c>
      <c r="DR935" s="13">
        <v>73</v>
      </c>
      <c r="DS935" s="13">
        <v>0</v>
      </c>
      <c r="DT935" s="13">
        <v>42</v>
      </c>
      <c r="DU935" s="330">
        <f t="shared" si="181"/>
        <v>115</v>
      </c>
      <c r="DV935" s="13">
        <v>53</v>
      </c>
      <c r="DW935" s="13">
        <v>74</v>
      </c>
      <c r="DX935" s="13">
        <v>15</v>
      </c>
      <c r="DY935" s="30">
        <f t="shared" si="174"/>
        <v>142</v>
      </c>
      <c r="EC935" s="329">
        <v>45872</v>
      </c>
      <c r="ED935" s="13">
        <v>0</v>
      </c>
      <c r="EE935" s="13">
        <v>0</v>
      </c>
      <c r="EF935" s="13">
        <v>0</v>
      </c>
      <c r="EG935" s="330">
        <f>+ED935+EF935+EE935</f>
        <v>0</v>
      </c>
      <c r="EH935" s="13">
        <v>62</v>
      </c>
      <c r="EI935" s="13">
        <v>36</v>
      </c>
      <c r="EJ935" s="13">
        <v>24</v>
      </c>
      <c r="EK935" s="30">
        <f t="shared" si="175"/>
        <v>122</v>
      </c>
      <c r="EM935" s="321">
        <v>45903</v>
      </c>
      <c r="EN935" s="89">
        <v>49</v>
      </c>
      <c r="EO935" s="89">
        <v>0</v>
      </c>
      <c r="EP935" s="89">
        <v>30</v>
      </c>
      <c r="EQ935" s="89">
        <f>+EN935+EP935+EO935</f>
        <v>79</v>
      </c>
      <c r="ER935" s="89">
        <v>114</v>
      </c>
      <c r="ES935" s="89">
        <v>10</v>
      </c>
      <c r="ET935" s="89">
        <v>6</v>
      </c>
      <c r="EU935" s="30">
        <f t="shared" si="176"/>
        <v>130</v>
      </c>
    </row>
    <row r="936" spans="2:151">
      <c r="AB936" s="321">
        <v>45386</v>
      </c>
      <c r="AC936" s="41">
        <v>85</v>
      </c>
      <c r="AD936" s="41">
        <v>92</v>
      </c>
      <c r="AE936" s="321">
        <v>45416</v>
      </c>
      <c r="AF936" s="41">
        <v>11</v>
      </c>
      <c r="AG936" s="320">
        <v>23</v>
      </c>
      <c r="AH936" s="321">
        <v>45447</v>
      </c>
      <c r="AI936" s="41">
        <v>88</v>
      </c>
      <c r="AJ936" s="41">
        <v>84</v>
      </c>
      <c r="AK936" s="321">
        <v>45477</v>
      </c>
      <c r="AL936" s="41">
        <v>81</v>
      </c>
      <c r="AM936" s="41">
        <v>79</v>
      </c>
      <c r="AN936" s="321">
        <v>45508</v>
      </c>
      <c r="AO936" s="41" t="s">
        <v>3522</v>
      </c>
      <c r="AP936" s="41" t="s">
        <v>3522</v>
      </c>
      <c r="AR936" s="321">
        <v>45539</v>
      </c>
      <c r="AS936" s="41">
        <v>51</v>
      </c>
      <c r="AT936" s="41">
        <v>72</v>
      </c>
      <c r="AV936" s="321">
        <v>45569</v>
      </c>
      <c r="AW936" s="13">
        <v>96</v>
      </c>
      <c r="AX936" s="13">
        <v>93</v>
      </c>
      <c r="AY936" s="323">
        <v>18</v>
      </c>
      <c r="BA936" s="321">
        <v>45600</v>
      </c>
      <c r="BB936" s="13">
        <v>84</v>
      </c>
      <c r="BC936" s="13">
        <v>78</v>
      </c>
      <c r="BD936" s="321">
        <v>45630</v>
      </c>
      <c r="BE936" s="13">
        <v>89</v>
      </c>
      <c r="BF936" s="13">
        <v>87</v>
      </c>
      <c r="BH936" s="321">
        <v>45661</v>
      </c>
      <c r="BI936" s="321"/>
      <c r="BJ936" s="13">
        <v>20</v>
      </c>
      <c r="BK936" s="13">
        <v>69</v>
      </c>
      <c r="BL936" s="314"/>
      <c r="BM936" s="13">
        <v>20</v>
      </c>
      <c r="BN936" s="321">
        <v>45692</v>
      </c>
      <c r="BO936" s="13">
        <v>88</v>
      </c>
      <c r="BP936" s="13"/>
      <c r="BQ936" s="13">
        <v>10</v>
      </c>
      <c r="BR936" s="13">
        <f t="shared" si="168"/>
        <v>98</v>
      </c>
      <c r="BS936" s="327">
        <v>104</v>
      </c>
      <c r="BT936" s="327">
        <v>37</v>
      </c>
      <c r="BU936" s="30">
        <v>3</v>
      </c>
      <c r="BV936" s="30">
        <f t="shared" si="169"/>
        <v>144</v>
      </c>
      <c r="BX936" s="321"/>
      <c r="BY936" s="13"/>
      <c r="BZ936" s="13"/>
      <c r="CA936" s="314"/>
      <c r="CB936" s="13"/>
      <c r="CC936" s="321">
        <v>45720</v>
      </c>
      <c r="CD936" s="13">
        <v>94</v>
      </c>
      <c r="CE936" s="13">
        <v>8</v>
      </c>
      <c r="CF936" s="13"/>
      <c r="CG936" s="13">
        <f t="shared" si="177"/>
        <v>102</v>
      </c>
      <c r="CH936" s="13">
        <v>66</v>
      </c>
      <c r="CI936" s="13">
        <v>32</v>
      </c>
      <c r="CJ936" s="13">
        <v>22</v>
      </c>
      <c r="CK936" s="30">
        <f t="shared" si="170"/>
        <v>120</v>
      </c>
      <c r="CM936" s="321">
        <v>45751</v>
      </c>
      <c r="CN936" s="13">
        <v>92</v>
      </c>
      <c r="CO936" s="13"/>
      <c r="CP936" s="13">
        <v>7</v>
      </c>
      <c r="CQ936" s="13">
        <f t="shared" si="178"/>
        <v>99</v>
      </c>
      <c r="CR936" s="13">
        <v>86</v>
      </c>
      <c r="CS936" s="13">
        <v>39</v>
      </c>
      <c r="CT936" s="13">
        <v>3</v>
      </c>
      <c r="CU936" s="30">
        <f t="shared" si="171"/>
        <v>128</v>
      </c>
      <c r="CW936" s="321">
        <v>45781</v>
      </c>
      <c r="CX936" s="13">
        <v>98</v>
      </c>
      <c r="CY936" s="13"/>
      <c r="CZ936" s="13"/>
      <c r="DA936" s="13">
        <f t="shared" si="179"/>
        <v>98</v>
      </c>
      <c r="DB936" s="13">
        <v>115</v>
      </c>
      <c r="DC936" s="13">
        <v>4</v>
      </c>
      <c r="DD936" s="13">
        <v>24</v>
      </c>
      <c r="DE936" s="30">
        <f t="shared" si="172"/>
        <v>143</v>
      </c>
      <c r="DG936" s="321">
        <v>45812</v>
      </c>
      <c r="DH936" s="13">
        <v>49</v>
      </c>
      <c r="DI936" s="13">
        <v>0</v>
      </c>
      <c r="DJ936" s="13">
        <v>69</v>
      </c>
      <c r="DK936" s="13">
        <f t="shared" si="180"/>
        <v>118</v>
      </c>
      <c r="DL936" s="13"/>
      <c r="DM936" s="13">
        <v>86</v>
      </c>
      <c r="DN936" s="13">
        <v>42</v>
      </c>
      <c r="DO936" s="30">
        <f t="shared" si="173"/>
        <v>128</v>
      </c>
      <c r="DQ936" s="321">
        <v>45842</v>
      </c>
      <c r="DR936" s="13">
        <v>96</v>
      </c>
      <c r="DS936" s="13">
        <v>0</v>
      </c>
      <c r="DT936" s="13">
        <v>24</v>
      </c>
      <c r="DU936" s="13">
        <f t="shared" si="181"/>
        <v>120</v>
      </c>
      <c r="DV936" s="13">
        <v>76</v>
      </c>
      <c r="DW936" s="13">
        <v>55</v>
      </c>
      <c r="DX936" s="13">
        <v>11</v>
      </c>
      <c r="DY936" s="30">
        <f t="shared" si="174"/>
        <v>142</v>
      </c>
      <c r="EC936" s="321">
        <v>45873</v>
      </c>
      <c r="ED936" s="13">
        <v>88</v>
      </c>
      <c r="EE936" s="13">
        <v>0</v>
      </c>
      <c r="EF936" s="13">
        <v>19</v>
      </c>
      <c r="EG936" s="13">
        <f t="shared" ref="EG936:EG943" si="182">+ED936+EF936+EE936</f>
        <v>107</v>
      </c>
      <c r="EH936" s="13">
        <v>46</v>
      </c>
      <c r="EI936" s="13">
        <v>89</v>
      </c>
      <c r="EJ936" s="13">
        <v>24</v>
      </c>
      <c r="EK936" s="30">
        <f t="shared" si="175"/>
        <v>159</v>
      </c>
      <c r="EM936" s="321">
        <v>45904</v>
      </c>
      <c r="EN936" s="89">
        <v>64</v>
      </c>
      <c r="EO936" s="89">
        <v>0</v>
      </c>
      <c r="EP936" s="89">
        <v>28</v>
      </c>
      <c r="EQ936" s="89">
        <f t="shared" ref="EQ936:EQ943" si="183">+EN936+EP936+EO936</f>
        <v>92</v>
      </c>
      <c r="ER936" s="89">
        <v>91</v>
      </c>
      <c r="ES936" s="89">
        <v>29</v>
      </c>
      <c r="ET936" s="89">
        <v>14</v>
      </c>
      <c r="EU936" s="30">
        <f t="shared" si="176"/>
        <v>134</v>
      </c>
    </row>
    <row r="937" spans="2:151">
      <c r="AB937" s="321">
        <v>45387</v>
      </c>
      <c r="AC937" s="41">
        <v>87</v>
      </c>
      <c r="AD937" s="41">
        <v>77</v>
      </c>
      <c r="AE937" s="321">
        <v>45417</v>
      </c>
      <c r="AF937" s="41" t="s">
        <v>3522</v>
      </c>
      <c r="AG937" s="320" t="s">
        <v>3522</v>
      </c>
      <c r="AH937" s="321">
        <v>45448</v>
      </c>
      <c r="AI937" s="41">
        <v>112</v>
      </c>
      <c r="AJ937" s="41">
        <v>71</v>
      </c>
      <c r="AK937" s="321">
        <v>45478</v>
      </c>
      <c r="AL937" s="41">
        <v>89</v>
      </c>
      <c r="AM937" s="41">
        <v>83</v>
      </c>
      <c r="AN937" s="321">
        <v>45509</v>
      </c>
      <c r="AO937" s="41">
        <v>94</v>
      </c>
      <c r="AP937" s="41">
        <v>72</v>
      </c>
      <c r="AR937" s="321">
        <v>45540</v>
      </c>
      <c r="AS937" s="41">
        <v>59</v>
      </c>
      <c r="AT937" s="41">
        <v>76</v>
      </c>
      <c r="AV937" s="321">
        <v>45570</v>
      </c>
      <c r="AW937" s="13">
        <v>89</v>
      </c>
      <c r="AX937" s="13">
        <v>93</v>
      </c>
      <c r="AY937" s="323">
        <v>18</v>
      </c>
      <c r="BA937" s="321">
        <v>45601</v>
      </c>
      <c r="BB937" s="13">
        <v>123</v>
      </c>
      <c r="BC937" s="13">
        <v>88</v>
      </c>
      <c r="BD937" s="321">
        <v>45631</v>
      </c>
      <c r="BE937" s="13">
        <v>88</v>
      </c>
      <c r="BF937" s="13">
        <v>56</v>
      </c>
      <c r="BH937" s="321">
        <v>45662</v>
      </c>
      <c r="BI937" s="321"/>
      <c r="BJ937" s="13">
        <v>58</v>
      </c>
      <c r="BK937" s="13">
        <v>64</v>
      </c>
      <c r="BL937" s="314"/>
      <c r="BM937" s="13">
        <v>58</v>
      </c>
      <c r="BN937" s="321">
        <v>45693</v>
      </c>
      <c r="BO937" s="13">
        <v>91</v>
      </c>
      <c r="BP937" s="13"/>
      <c r="BQ937" s="13">
        <v>0</v>
      </c>
      <c r="BR937" s="13">
        <f t="shared" si="168"/>
        <v>91</v>
      </c>
      <c r="BS937" s="30">
        <v>149</v>
      </c>
      <c r="BT937" s="30"/>
      <c r="BU937" s="30">
        <v>0</v>
      </c>
      <c r="BV937" s="30">
        <f t="shared" si="169"/>
        <v>149</v>
      </c>
      <c r="BX937" s="321"/>
      <c r="BY937" s="13"/>
      <c r="BZ937" s="13"/>
      <c r="CA937" s="314"/>
      <c r="CB937" s="13"/>
      <c r="CC937" s="321">
        <v>45721</v>
      </c>
      <c r="CD937" s="13">
        <v>97</v>
      </c>
      <c r="CE937" s="13">
        <v>1</v>
      </c>
      <c r="CF937" s="13"/>
      <c r="CG937" s="13">
        <f t="shared" si="177"/>
        <v>98</v>
      </c>
      <c r="CH937" s="13">
        <v>50</v>
      </c>
      <c r="CI937" s="13">
        <v>74</v>
      </c>
      <c r="CJ937" s="13">
        <v>17</v>
      </c>
      <c r="CK937" s="30">
        <f t="shared" si="170"/>
        <v>141</v>
      </c>
      <c r="CM937" s="321">
        <v>45752</v>
      </c>
      <c r="CN937" s="13">
        <v>80</v>
      </c>
      <c r="CO937" s="13"/>
      <c r="CP937" s="13">
        <v>2</v>
      </c>
      <c r="CQ937" s="13">
        <f t="shared" si="178"/>
        <v>82</v>
      </c>
      <c r="CR937" s="13">
        <v>87</v>
      </c>
      <c r="CS937" s="13">
        <v>22</v>
      </c>
      <c r="CT937" s="13">
        <v>22</v>
      </c>
      <c r="CU937" s="30">
        <f t="shared" si="171"/>
        <v>131</v>
      </c>
      <c r="CW937" s="321">
        <v>45782</v>
      </c>
      <c r="CX937" s="13">
        <v>99</v>
      </c>
      <c r="CY937" s="13">
        <v>0</v>
      </c>
      <c r="CZ937" s="13">
        <v>0</v>
      </c>
      <c r="DA937" s="13">
        <f t="shared" si="179"/>
        <v>99</v>
      </c>
      <c r="DB937" s="13">
        <v>90</v>
      </c>
      <c r="DC937" s="13">
        <v>23</v>
      </c>
      <c r="DD937" s="13">
        <v>25</v>
      </c>
      <c r="DE937" s="30">
        <f t="shared" si="172"/>
        <v>138</v>
      </c>
      <c r="DG937" s="321">
        <v>45813</v>
      </c>
      <c r="DH937" s="13">
        <v>82</v>
      </c>
      <c r="DI937" s="13">
        <v>0</v>
      </c>
      <c r="DJ937" s="13">
        <v>8</v>
      </c>
      <c r="DK937" s="13">
        <f t="shared" si="180"/>
        <v>90</v>
      </c>
      <c r="DL937" s="13">
        <v>0</v>
      </c>
      <c r="DM937" s="13">
        <v>78</v>
      </c>
      <c r="DN937" s="13">
        <v>39</v>
      </c>
      <c r="DO937" s="30">
        <f t="shared" si="173"/>
        <v>117</v>
      </c>
      <c r="DQ937" s="321">
        <v>45843</v>
      </c>
      <c r="DR937" s="13">
        <v>93</v>
      </c>
      <c r="DS937" s="13">
        <v>0</v>
      </c>
      <c r="DT937" s="13">
        <v>3</v>
      </c>
      <c r="DU937" s="13">
        <f t="shared" si="181"/>
        <v>96</v>
      </c>
      <c r="DV937" s="13">
        <v>85</v>
      </c>
      <c r="DW937" s="13">
        <v>42</v>
      </c>
      <c r="DX937" s="13">
        <v>26</v>
      </c>
      <c r="DY937" s="30">
        <f t="shared" si="174"/>
        <v>153</v>
      </c>
      <c r="EC937" s="321">
        <v>45874</v>
      </c>
      <c r="ED937" s="13">
        <v>90</v>
      </c>
      <c r="EE937" s="13">
        <v>0</v>
      </c>
      <c r="EF937" s="13">
        <v>23</v>
      </c>
      <c r="EG937" s="13">
        <f t="shared" si="182"/>
        <v>113</v>
      </c>
      <c r="EH937" s="13">
        <v>81</v>
      </c>
      <c r="EI937" s="13">
        <v>57</v>
      </c>
      <c r="EJ937" s="13">
        <v>7</v>
      </c>
      <c r="EK937" s="30">
        <f t="shared" si="175"/>
        <v>145</v>
      </c>
      <c r="EM937" s="321">
        <v>45905</v>
      </c>
      <c r="EN937" s="89">
        <v>63</v>
      </c>
      <c r="EO937" s="89">
        <v>0</v>
      </c>
      <c r="EP937" s="89">
        <v>33</v>
      </c>
      <c r="EQ937" s="89">
        <f t="shared" si="183"/>
        <v>96</v>
      </c>
      <c r="ER937" s="89">
        <v>85</v>
      </c>
      <c r="ES937" s="89">
        <v>40</v>
      </c>
      <c r="ET937" s="89">
        <v>12</v>
      </c>
      <c r="EU937" s="30">
        <f t="shared" si="176"/>
        <v>137</v>
      </c>
    </row>
    <row r="938" spans="2:151">
      <c r="B938" s="111"/>
      <c r="C938" s="121"/>
      <c r="D938" s="121"/>
      <c r="E938" s="121"/>
      <c r="F938" s="121"/>
      <c r="G938" s="122"/>
      <c r="AB938" s="321">
        <v>45388</v>
      </c>
      <c r="AC938" s="41">
        <v>63</v>
      </c>
      <c r="AD938" s="41">
        <v>48</v>
      </c>
      <c r="AE938" s="321">
        <v>45418</v>
      </c>
      <c r="AF938" s="41">
        <v>0</v>
      </c>
      <c r="AG938" s="320">
        <v>4</v>
      </c>
      <c r="AH938" s="321">
        <v>45449</v>
      </c>
      <c r="AI938" s="41">
        <v>116</v>
      </c>
      <c r="AJ938" s="41">
        <v>77</v>
      </c>
      <c r="AK938" s="321">
        <v>45479</v>
      </c>
      <c r="AL938" s="41">
        <v>89</v>
      </c>
      <c r="AM938" s="41">
        <v>83</v>
      </c>
      <c r="AN938" s="321">
        <v>45510</v>
      </c>
      <c r="AO938" s="41">
        <v>78</v>
      </c>
      <c r="AP938" s="41">
        <v>81</v>
      </c>
      <c r="AR938" s="321">
        <v>45541</v>
      </c>
      <c r="AS938" s="41">
        <v>79</v>
      </c>
      <c r="AT938" s="41">
        <v>77</v>
      </c>
      <c r="AV938" s="321">
        <v>45571</v>
      </c>
      <c r="AW938" s="13">
        <v>124</v>
      </c>
      <c r="AX938" s="13">
        <v>80</v>
      </c>
      <c r="AY938" s="324">
        <v>58</v>
      </c>
      <c r="BA938" s="321">
        <v>45602</v>
      </c>
      <c r="BB938" s="13">
        <v>118</v>
      </c>
      <c r="BC938" s="13">
        <v>95</v>
      </c>
      <c r="BD938" s="321">
        <v>45632</v>
      </c>
      <c r="BE938" s="13">
        <v>89</v>
      </c>
      <c r="BF938" s="13">
        <v>82</v>
      </c>
      <c r="BH938" s="321">
        <v>45663</v>
      </c>
      <c r="BI938" s="321"/>
      <c r="BJ938" s="13">
        <v>95</v>
      </c>
      <c r="BK938" s="13">
        <v>84</v>
      </c>
      <c r="BL938" s="314"/>
      <c r="BM938" s="13">
        <v>95</v>
      </c>
      <c r="BN938" s="321">
        <v>45694</v>
      </c>
      <c r="BO938" s="13">
        <v>94</v>
      </c>
      <c r="BP938" s="13"/>
      <c r="BQ938" s="13">
        <v>5</v>
      </c>
      <c r="BR938" s="13">
        <f t="shared" si="168"/>
        <v>99</v>
      </c>
      <c r="BS938" s="327">
        <v>119</v>
      </c>
      <c r="BT938" s="327">
        <v>28</v>
      </c>
      <c r="BU938" s="30">
        <v>0</v>
      </c>
      <c r="BV938" s="30">
        <f t="shared" si="169"/>
        <v>147</v>
      </c>
      <c r="BX938" s="321"/>
      <c r="BY938" s="13"/>
      <c r="BZ938" s="13"/>
      <c r="CA938" s="314"/>
      <c r="CB938" s="13"/>
      <c r="CC938" s="321">
        <v>45722</v>
      </c>
      <c r="CD938" s="13">
        <v>89</v>
      </c>
      <c r="CE938" s="13">
        <v>8</v>
      </c>
      <c r="CF938" s="13"/>
      <c r="CG938" s="13">
        <f t="shared" si="177"/>
        <v>97</v>
      </c>
      <c r="CH938" s="13">
        <v>74</v>
      </c>
      <c r="CI938" s="13">
        <v>17</v>
      </c>
      <c r="CJ938" s="13">
        <v>48</v>
      </c>
      <c r="CK938" s="30">
        <f t="shared" si="170"/>
        <v>139</v>
      </c>
      <c r="CM938" s="329">
        <v>45753</v>
      </c>
      <c r="CN938" s="330">
        <v>0</v>
      </c>
      <c r="CO938" s="330">
        <v>0</v>
      </c>
      <c r="CP938" s="330"/>
      <c r="CQ938" s="330">
        <f t="shared" si="178"/>
        <v>0</v>
      </c>
      <c r="CR938" s="330">
        <v>0</v>
      </c>
      <c r="CS938" s="330">
        <v>0</v>
      </c>
      <c r="CT938" s="330">
        <v>0</v>
      </c>
      <c r="CU938" s="331">
        <f t="shared" si="171"/>
        <v>0</v>
      </c>
      <c r="CW938" s="329">
        <v>45783</v>
      </c>
      <c r="CX938" s="13">
        <v>84</v>
      </c>
      <c r="CY938" s="13">
        <v>0</v>
      </c>
      <c r="CZ938" s="13">
        <v>2</v>
      </c>
      <c r="DA938" s="330">
        <f t="shared" si="179"/>
        <v>86</v>
      </c>
      <c r="DB938" s="13">
        <v>93</v>
      </c>
      <c r="DC938" s="13">
        <v>27</v>
      </c>
      <c r="DD938" s="13">
        <v>22</v>
      </c>
      <c r="DE938" s="331">
        <f t="shared" si="172"/>
        <v>142</v>
      </c>
      <c r="DG938" s="321">
        <v>45814</v>
      </c>
      <c r="DH938" s="13">
        <v>69</v>
      </c>
      <c r="DI938" s="13"/>
      <c r="DJ938" s="13">
        <v>8</v>
      </c>
      <c r="DK938" s="330">
        <f t="shared" si="180"/>
        <v>77</v>
      </c>
      <c r="DL938" s="13">
        <v>13</v>
      </c>
      <c r="DM938" s="13">
        <v>41</v>
      </c>
      <c r="DN938" s="13">
        <v>45</v>
      </c>
      <c r="DO938" s="331">
        <f t="shared" si="173"/>
        <v>99</v>
      </c>
      <c r="DQ938" s="321">
        <v>45844</v>
      </c>
      <c r="DR938" s="13">
        <v>95</v>
      </c>
      <c r="DS938" s="13">
        <v>0</v>
      </c>
      <c r="DT938" s="13">
        <v>0</v>
      </c>
      <c r="DU938" s="330">
        <f t="shared" si="181"/>
        <v>95</v>
      </c>
      <c r="DV938" s="13">
        <v>22</v>
      </c>
      <c r="DW938" s="13">
        <v>64</v>
      </c>
      <c r="DX938" s="13">
        <v>0</v>
      </c>
      <c r="DY938" s="331">
        <f t="shared" si="174"/>
        <v>86</v>
      </c>
      <c r="EC938" s="321">
        <v>45875</v>
      </c>
      <c r="ED938" s="13">
        <v>61</v>
      </c>
      <c r="EE938" s="13">
        <v>18</v>
      </c>
      <c r="EF938" s="13">
        <v>20</v>
      </c>
      <c r="EG938" s="330">
        <f t="shared" si="182"/>
        <v>99</v>
      </c>
      <c r="EH938" s="13">
        <v>105</v>
      </c>
      <c r="EI938" s="13">
        <v>37</v>
      </c>
      <c r="EJ938" s="13">
        <v>0</v>
      </c>
      <c r="EK938" s="331">
        <f t="shared" si="175"/>
        <v>142</v>
      </c>
      <c r="EM938" s="321">
        <v>45906</v>
      </c>
      <c r="EN938" s="89">
        <v>96</v>
      </c>
      <c r="EO938" s="89">
        <v>0</v>
      </c>
      <c r="EP938" s="89">
        <v>0</v>
      </c>
      <c r="EQ938" s="89">
        <f t="shared" si="183"/>
        <v>96</v>
      </c>
      <c r="ER938" s="89">
        <v>86</v>
      </c>
      <c r="ES938" s="89">
        <v>49</v>
      </c>
      <c r="ET938" s="89">
        <v>3</v>
      </c>
      <c r="EU938" s="331">
        <f t="shared" si="176"/>
        <v>138</v>
      </c>
    </row>
    <row r="939" spans="2:151">
      <c r="B939" s="139" t="s">
        <v>3524</v>
      </c>
      <c r="C939" s="140"/>
      <c r="D939" s="140"/>
      <c r="E939" s="13"/>
      <c r="F939" s="13"/>
      <c r="G939" s="43"/>
      <c r="AB939" s="321">
        <v>45389</v>
      </c>
      <c r="AC939" s="41" t="s">
        <v>3522</v>
      </c>
      <c r="AD939" s="41" t="s">
        <v>3522</v>
      </c>
      <c r="AE939" s="321">
        <v>45419</v>
      </c>
      <c r="AF939" s="41">
        <v>0</v>
      </c>
      <c r="AG939" s="320">
        <v>2</v>
      </c>
      <c r="AH939" s="321">
        <v>45450</v>
      </c>
      <c r="AI939" s="41">
        <v>95</v>
      </c>
      <c r="AJ939" s="41">
        <v>90</v>
      </c>
      <c r="AK939" s="321">
        <v>45480</v>
      </c>
      <c r="AL939" s="41">
        <v>84</v>
      </c>
      <c r="AM939" s="41">
        <v>36</v>
      </c>
      <c r="AN939" s="321">
        <v>45511</v>
      </c>
      <c r="AO939" s="41">
        <v>62</v>
      </c>
      <c r="AP939" s="41">
        <v>82</v>
      </c>
      <c r="AR939" s="321">
        <v>45542</v>
      </c>
      <c r="AS939" s="41">
        <v>77</v>
      </c>
      <c r="AT939" s="41">
        <v>94</v>
      </c>
      <c r="AV939" s="321">
        <v>45572</v>
      </c>
      <c r="AW939" s="13">
        <v>141</v>
      </c>
      <c r="AX939" s="13">
        <v>70</v>
      </c>
      <c r="AY939" s="324">
        <v>16</v>
      </c>
      <c r="BA939" s="321">
        <v>45603</v>
      </c>
      <c r="BB939" s="13">
        <v>126</v>
      </c>
      <c r="BC939" s="13">
        <v>65</v>
      </c>
      <c r="BD939" s="321">
        <v>45633</v>
      </c>
      <c r="BE939" s="13">
        <v>107</v>
      </c>
      <c r="BF939" s="13">
        <v>95</v>
      </c>
      <c r="BH939" s="321">
        <v>45664</v>
      </c>
      <c r="BI939" s="321"/>
      <c r="BJ939" s="13">
        <v>113</v>
      </c>
      <c r="BK939" s="13">
        <v>97</v>
      </c>
      <c r="BL939" s="314"/>
      <c r="BM939" s="13">
        <v>113</v>
      </c>
      <c r="BN939" s="321">
        <v>45695</v>
      </c>
      <c r="BO939" s="13">
        <v>74</v>
      </c>
      <c r="BP939" s="13"/>
      <c r="BQ939" s="13">
        <v>22</v>
      </c>
      <c r="BR939" s="13">
        <f t="shared" si="168"/>
        <v>96</v>
      </c>
      <c r="BS939" s="327">
        <v>113</v>
      </c>
      <c r="BT939" s="327">
        <v>26</v>
      </c>
      <c r="BU939" s="30">
        <v>6</v>
      </c>
      <c r="BV939" s="30">
        <f t="shared" si="169"/>
        <v>145</v>
      </c>
      <c r="BX939" s="321"/>
      <c r="BY939" s="13"/>
      <c r="BZ939" s="13"/>
      <c r="CA939" s="314"/>
      <c r="CB939" s="13"/>
      <c r="CC939" s="321">
        <v>45723</v>
      </c>
      <c r="CD939" s="13">
        <v>35</v>
      </c>
      <c r="CE939" s="13">
        <v>30</v>
      </c>
      <c r="CF939" s="13">
        <v>23</v>
      </c>
      <c r="CG939" s="13">
        <f t="shared" si="177"/>
        <v>88</v>
      </c>
      <c r="CH939" s="13">
        <v>99</v>
      </c>
      <c r="CI939" s="13">
        <v>8</v>
      </c>
      <c r="CJ939" s="13">
        <v>46</v>
      </c>
      <c r="CK939" s="30">
        <f t="shared" si="170"/>
        <v>153</v>
      </c>
      <c r="CM939" s="321">
        <v>45754</v>
      </c>
      <c r="CN939" s="13">
        <v>0</v>
      </c>
      <c r="CO939" s="13">
        <v>0</v>
      </c>
      <c r="CP939" s="13">
        <v>0</v>
      </c>
      <c r="CQ939" s="13">
        <f t="shared" si="178"/>
        <v>0</v>
      </c>
      <c r="CR939" s="13">
        <v>3</v>
      </c>
      <c r="CS939" s="13">
        <v>41</v>
      </c>
      <c r="CT939" s="13">
        <v>19</v>
      </c>
      <c r="CU939" s="30">
        <f t="shared" si="171"/>
        <v>63</v>
      </c>
      <c r="CW939" s="321">
        <v>45784</v>
      </c>
      <c r="CX939" s="13">
        <v>67</v>
      </c>
      <c r="CY939" s="13">
        <v>0</v>
      </c>
      <c r="CZ939" s="13">
        <v>13</v>
      </c>
      <c r="DA939" s="13">
        <f t="shared" si="179"/>
        <v>80</v>
      </c>
      <c r="DB939" s="13">
        <v>118</v>
      </c>
      <c r="DC939" s="13">
        <v>21</v>
      </c>
      <c r="DD939" s="13">
        <v>1</v>
      </c>
      <c r="DE939" s="30">
        <f t="shared" si="172"/>
        <v>140</v>
      </c>
      <c r="DG939" s="321">
        <v>45815</v>
      </c>
      <c r="DH939" s="13">
        <v>18</v>
      </c>
      <c r="DI939" s="13"/>
      <c r="DJ939" s="13">
        <v>34</v>
      </c>
      <c r="DK939" s="13">
        <f t="shared" si="180"/>
        <v>52</v>
      </c>
      <c r="DL939" s="13">
        <v>0</v>
      </c>
      <c r="DM939" s="13">
        <v>62</v>
      </c>
      <c r="DN939" s="13">
        <v>41</v>
      </c>
      <c r="DO939" s="30">
        <f t="shared" si="173"/>
        <v>103</v>
      </c>
      <c r="DQ939" s="321">
        <v>45845</v>
      </c>
      <c r="DR939" s="13">
        <v>71</v>
      </c>
      <c r="DS939" s="13">
        <v>0</v>
      </c>
      <c r="DT939" s="13">
        <v>33</v>
      </c>
      <c r="DU939" s="13">
        <f t="shared" si="181"/>
        <v>104</v>
      </c>
      <c r="DV939" s="13">
        <v>37</v>
      </c>
      <c r="DW939" s="13">
        <v>76</v>
      </c>
      <c r="DX939" s="13">
        <v>35</v>
      </c>
      <c r="DY939" s="30">
        <f t="shared" si="174"/>
        <v>148</v>
      </c>
      <c r="EC939" s="321">
        <v>45876</v>
      </c>
      <c r="ED939" s="13">
        <v>87</v>
      </c>
      <c r="EE939" s="13">
        <v>0</v>
      </c>
      <c r="EF939" s="13">
        <v>14</v>
      </c>
      <c r="EG939" s="13">
        <f t="shared" si="182"/>
        <v>101</v>
      </c>
      <c r="EH939" s="13">
        <v>5</v>
      </c>
      <c r="EI939" s="13">
        <v>114</v>
      </c>
      <c r="EJ939" s="13">
        <v>11</v>
      </c>
      <c r="EK939" s="30">
        <f t="shared" si="175"/>
        <v>130</v>
      </c>
      <c r="EM939" s="321">
        <v>45907</v>
      </c>
      <c r="EN939" s="89">
        <v>93</v>
      </c>
      <c r="EO939" s="89">
        <v>12</v>
      </c>
      <c r="EP939" s="89">
        <v>0</v>
      </c>
      <c r="EQ939" s="89">
        <f t="shared" si="183"/>
        <v>105</v>
      </c>
      <c r="ER939" s="89">
        <v>90</v>
      </c>
      <c r="ES939" s="89">
        <v>31</v>
      </c>
      <c r="ET939" s="89">
        <v>20</v>
      </c>
      <c r="EU939" s="30">
        <f t="shared" si="176"/>
        <v>141</v>
      </c>
    </row>
    <row r="940" spans="2:151">
      <c r="B940" s="309"/>
      <c r="C940" s="13" t="s">
        <v>2807</v>
      </c>
      <c r="D940" s="13" t="s">
        <v>3188</v>
      </c>
      <c r="E940" s="13" t="s">
        <v>3328</v>
      </c>
      <c r="F940" s="13" t="s">
        <v>3329</v>
      </c>
      <c r="G940" s="43" t="s">
        <v>3330</v>
      </c>
      <c r="AB940" s="321">
        <v>45390</v>
      </c>
      <c r="AC940" s="41">
        <v>70</v>
      </c>
      <c r="AD940" s="41">
        <v>67</v>
      </c>
      <c r="AE940" s="321">
        <v>45420</v>
      </c>
      <c r="AF940" s="41">
        <v>0</v>
      </c>
      <c r="AG940" s="320">
        <v>0</v>
      </c>
      <c r="AH940" s="321">
        <v>45451</v>
      </c>
      <c r="AI940" s="41">
        <v>97</v>
      </c>
      <c r="AJ940" s="41">
        <v>95</v>
      </c>
      <c r="AK940" s="321">
        <v>45481</v>
      </c>
      <c r="AL940" s="41">
        <v>86</v>
      </c>
      <c r="AM940" s="41">
        <v>56</v>
      </c>
      <c r="AN940" s="321">
        <v>45512</v>
      </c>
      <c r="AO940" s="41">
        <v>28</v>
      </c>
      <c r="AP940" s="41">
        <v>84</v>
      </c>
      <c r="AR940" s="321">
        <v>45543</v>
      </c>
      <c r="AS940" s="41" t="s">
        <v>3522</v>
      </c>
      <c r="AT940" s="41">
        <v>88</v>
      </c>
      <c r="AV940" s="321">
        <v>45573</v>
      </c>
      <c r="AW940" s="13">
        <v>135</v>
      </c>
      <c r="AX940" s="13">
        <v>81</v>
      </c>
      <c r="BA940" s="321">
        <v>45604</v>
      </c>
      <c r="BB940" s="13">
        <v>104</v>
      </c>
      <c r="BC940" s="13">
        <v>93</v>
      </c>
      <c r="BD940" s="321">
        <v>45634</v>
      </c>
      <c r="BE940" s="13">
        <v>89</v>
      </c>
      <c r="BF940" s="13">
        <v>89</v>
      </c>
      <c r="BH940" s="321">
        <v>45665</v>
      </c>
      <c r="BI940" s="321"/>
      <c r="BJ940" s="13">
        <v>120</v>
      </c>
      <c r="BK940" s="13">
        <v>79</v>
      </c>
      <c r="BL940" s="13">
        <v>120</v>
      </c>
      <c r="BM940" s="13"/>
      <c r="BN940" s="321">
        <v>45696</v>
      </c>
      <c r="BO940" s="13">
        <v>90</v>
      </c>
      <c r="BP940" s="13"/>
      <c r="BQ940" s="13">
        <v>13</v>
      </c>
      <c r="BR940" s="13">
        <f t="shared" si="168"/>
        <v>103</v>
      </c>
      <c r="BS940" s="327">
        <v>102</v>
      </c>
      <c r="BT940" s="327">
        <v>44</v>
      </c>
      <c r="BU940" s="30">
        <v>5</v>
      </c>
      <c r="BV940" s="30">
        <f t="shared" si="169"/>
        <v>151</v>
      </c>
      <c r="BX940" s="321"/>
      <c r="BY940" s="13"/>
      <c r="BZ940" s="13"/>
      <c r="CA940" s="13"/>
      <c r="CB940" s="13"/>
      <c r="CC940" s="321">
        <v>45724</v>
      </c>
      <c r="CD940" s="13">
        <v>73</v>
      </c>
      <c r="CE940" s="13">
        <v>25</v>
      </c>
      <c r="CF940" s="13"/>
      <c r="CG940" s="13">
        <f t="shared" si="177"/>
        <v>98</v>
      </c>
      <c r="CH940" s="13">
        <v>96</v>
      </c>
      <c r="CI940" s="13">
        <v>16</v>
      </c>
      <c r="CJ940" s="13">
        <v>35</v>
      </c>
      <c r="CK940" s="30">
        <f t="shared" si="170"/>
        <v>147</v>
      </c>
      <c r="CM940" s="321">
        <v>45755</v>
      </c>
      <c r="CN940" s="13">
        <v>0</v>
      </c>
      <c r="CO940" s="13">
        <v>0</v>
      </c>
      <c r="CP940" s="13">
        <v>10</v>
      </c>
      <c r="CQ940" s="13">
        <f t="shared" si="178"/>
        <v>10</v>
      </c>
      <c r="CR940" s="13">
        <v>0</v>
      </c>
      <c r="CS940" s="13">
        <v>0</v>
      </c>
      <c r="CT940" s="13">
        <v>34</v>
      </c>
      <c r="CU940" s="30">
        <f t="shared" si="171"/>
        <v>34</v>
      </c>
      <c r="CW940" s="321">
        <v>45785</v>
      </c>
      <c r="CX940" s="13">
        <v>73</v>
      </c>
      <c r="CY940" s="13"/>
      <c r="CZ940" s="13">
        <v>30</v>
      </c>
      <c r="DA940" s="13">
        <f t="shared" si="179"/>
        <v>103</v>
      </c>
      <c r="DB940" s="13">
        <v>112</v>
      </c>
      <c r="DC940" s="13">
        <v>34</v>
      </c>
      <c r="DD940" s="13">
        <v>3</v>
      </c>
      <c r="DE940" s="30">
        <f t="shared" si="172"/>
        <v>149</v>
      </c>
      <c r="DG940" s="329">
        <v>45816</v>
      </c>
      <c r="DH940" s="13"/>
      <c r="DI940" s="13"/>
      <c r="DJ940" s="13"/>
      <c r="DK940" s="13">
        <f t="shared" si="180"/>
        <v>0</v>
      </c>
      <c r="DL940" s="13"/>
      <c r="DM940" s="13"/>
      <c r="DN940" s="13"/>
      <c r="DO940" s="30">
        <f t="shared" si="173"/>
        <v>0</v>
      </c>
      <c r="DQ940" s="329">
        <v>45846</v>
      </c>
      <c r="DR940" s="13">
        <v>81</v>
      </c>
      <c r="DS940" s="13">
        <v>0</v>
      </c>
      <c r="DT940" s="13">
        <v>16</v>
      </c>
      <c r="DU940" s="13">
        <f t="shared" si="181"/>
        <v>97</v>
      </c>
      <c r="DV940" s="13">
        <v>18</v>
      </c>
      <c r="DW940" s="13">
        <v>98</v>
      </c>
      <c r="DX940" s="13">
        <v>21</v>
      </c>
      <c r="DY940" s="30">
        <f t="shared" si="174"/>
        <v>137</v>
      </c>
      <c r="EC940" s="321">
        <v>45877</v>
      </c>
      <c r="ED940" s="13">
        <v>89</v>
      </c>
      <c r="EE940" s="13">
        <v>0</v>
      </c>
      <c r="EF940" s="13">
        <v>8</v>
      </c>
      <c r="EG940" s="13">
        <f t="shared" si="182"/>
        <v>97</v>
      </c>
      <c r="EH940" s="13">
        <v>42</v>
      </c>
      <c r="EI940" s="13">
        <v>46</v>
      </c>
      <c r="EJ940" s="13">
        <v>33</v>
      </c>
      <c r="EK940" s="30">
        <f t="shared" si="175"/>
        <v>121</v>
      </c>
      <c r="EM940" s="321">
        <v>45908</v>
      </c>
      <c r="EN940" s="89">
        <v>86</v>
      </c>
      <c r="EO940" s="89">
        <v>0</v>
      </c>
      <c r="EP940" s="89">
        <v>10</v>
      </c>
      <c r="EQ940" s="89">
        <f t="shared" si="183"/>
        <v>96</v>
      </c>
      <c r="ER940" s="89">
        <v>94</v>
      </c>
      <c r="ES940" s="89">
        <v>13</v>
      </c>
      <c r="ET940" s="89">
        <v>32</v>
      </c>
      <c r="EU940" s="30">
        <f t="shared" si="176"/>
        <v>139</v>
      </c>
    </row>
    <row r="941" spans="2:151">
      <c r="B941" s="40" t="s">
        <v>3367</v>
      </c>
      <c r="C941" s="41">
        <v>0</v>
      </c>
      <c r="D941" s="41">
        <v>981</v>
      </c>
      <c r="E941" s="41">
        <v>1201</v>
      </c>
      <c r="F941" s="41">
        <v>0</v>
      </c>
      <c r="G941" s="64">
        <v>0</v>
      </c>
      <c r="AB941" s="321">
        <v>45391</v>
      </c>
      <c r="AC941" s="41">
        <v>90</v>
      </c>
      <c r="AD941" s="41">
        <v>94</v>
      </c>
      <c r="AE941" s="321">
        <v>45421</v>
      </c>
      <c r="AF941" s="41">
        <v>0</v>
      </c>
      <c r="AG941" s="320">
        <v>14</v>
      </c>
      <c r="AH941" s="321">
        <v>45452</v>
      </c>
      <c r="AI941" s="41">
        <v>85</v>
      </c>
      <c r="AJ941" s="41">
        <v>89</v>
      </c>
      <c r="AK941" s="321">
        <v>45482</v>
      </c>
      <c r="AL941" s="41">
        <v>91</v>
      </c>
      <c r="AM941" s="41">
        <v>94</v>
      </c>
      <c r="AN941" s="321">
        <v>45513</v>
      </c>
      <c r="AO941" s="41">
        <v>28</v>
      </c>
      <c r="AP941" s="41">
        <v>71</v>
      </c>
      <c r="AR941" s="321">
        <v>45544</v>
      </c>
      <c r="AS941" s="41">
        <v>100</v>
      </c>
      <c r="AT941" s="41">
        <v>93</v>
      </c>
      <c r="AV941" s="321">
        <v>45574</v>
      </c>
      <c r="AW941" s="13">
        <v>129</v>
      </c>
      <c r="AX941" s="13">
        <v>91</v>
      </c>
      <c r="BA941" s="321">
        <v>45605</v>
      </c>
      <c r="BB941" s="13">
        <v>87</v>
      </c>
      <c r="BC941" s="13">
        <v>92</v>
      </c>
      <c r="BD941" s="321">
        <v>45635</v>
      </c>
      <c r="BE941" s="13">
        <v>96</v>
      </c>
      <c r="BF941" s="13">
        <v>83</v>
      </c>
      <c r="BH941" s="321">
        <v>45666</v>
      </c>
      <c r="BI941" s="321"/>
      <c r="BJ941" s="13">
        <v>123</v>
      </c>
      <c r="BK941" s="13">
        <v>83</v>
      </c>
      <c r="BL941" s="13">
        <v>123</v>
      </c>
      <c r="BM941" s="13"/>
      <c r="BN941" s="321">
        <v>45697</v>
      </c>
      <c r="BO941" s="13">
        <v>90</v>
      </c>
      <c r="BP941" s="13"/>
      <c r="BQ941" s="13">
        <v>0</v>
      </c>
      <c r="BR941" s="13">
        <f t="shared" si="168"/>
        <v>90</v>
      </c>
      <c r="BS941" s="30">
        <v>148</v>
      </c>
      <c r="BT941" s="327">
        <v>1</v>
      </c>
      <c r="BU941" s="30">
        <v>0</v>
      </c>
      <c r="BV941" s="30">
        <f t="shared" si="169"/>
        <v>149</v>
      </c>
      <c r="BX941" s="321"/>
      <c r="BY941" s="13"/>
      <c r="BZ941" s="13"/>
      <c r="CA941" s="13"/>
      <c r="CB941" s="13"/>
      <c r="CC941" s="321">
        <v>45725</v>
      </c>
      <c r="CD941" s="13">
        <v>35</v>
      </c>
      <c r="CE941" s="13">
        <v>26</v>
      </c>
      <c r="CF941" s="13"/>
      <c r="CG941" s="13">
        <f t="shared" si="177"/>
        <v>61</v>
      </c>
      <c r="CH941" s="13">
        <v>85</v>
      </c>
      <c r="CI941" s="13">
        <v>25</v>
      </c>
      <c r="CJ941" s="13">
        <v>0</v>
      </c>
      <c r="CK941" s="30">
        <f t="shared" si="170"/>
        <v>110</v>
      </c>
      <c r="CM941" s="321">
        <v>45756</v>
      </c>
      <c r="CN941" s="13">
        <v>0</v>
      </c>
      <c r="CO941" s="13">
        <v>0</v>
      </c>
      <c r="CP941" s="13">
        <v>24</v>
      </c>
      <c r="CQ941" s="13">
        <f t="shared" si="178"/>
        <v>24</v>
      </c>
      <c r="CR941" s="13">
        <v>0</v>
      </c>
      <c r="CS941" s="13">
        <v>0</v>
      </c>
      <c r="CT941" s="13">
        <v>29</v>
      </c>
      <c r="CU941" s="30">
        <f t="shared" si="171"/>
        <v>29</v>
      </c>
      <c r="CW941" s="321">
        <v>45786</v>
      </c>
      <c r="CX941" s="13">
        <v>84</v>
      </c>
      <c r="CY941" s="13">
        <v>0</v>
      </c>
      <c r="CZ941" s="13">
        <v>12</v>
      </c>
      <c r="DA941" s="13">
        <f t="shared" si="179"/>
        <v>96</v>
      </c>
      <c r="DB941" s="13">
        <v>119</v>
      </c>
      <c r="DC941" s="13">
        <v>18</v>
      </c>
      <c r="DD941" s="13">
        <v>16</v>
      </c>
      <c r="DE941" s="30">
        <f t="shared" si="172"/>
        <v>153</v>
      </c>
      <c r="DG941" s="321">
        <v>45817</v>
      </c>
      <c r="DH941" s="13">
        <v>72</v>
      </c>
      <c r="DI941" s="13">
        <v>3</v>
      </c>
      <c r="DJ941" s="13">
        <v>15</v>
      </c>
      <c r="DK941" s="13">
        <f t="shared" si="180"/>
        <v>90</v>
      </c>
      <c r="DL941" s="13">
        <v>0</v>
      </c>
      <c r="DM941" s="13">
        <v>72</v>
      </c>
      <c r="DN941" s="13">
        <v>2</v>
      </c>
      <c r="DO941" s="30">
        <f t="shared" si="173"/>
        <v>74</v>
      </c>
      <c r="DQ941" s="321">
        <v>45847</v>
      </c>
      <c r="DR941" s="13">
        <v>61</v>
      </c>
      <c r="DS941" s="13">
        <v>0</v>
      </c>
      <c r="DT941" s="13">
        <v>23</v>
      </c>
      <c r="DU941" s="13">
        <f t="shared" si="181"/>
        <v>84</v>
      </c>
      <c r="DV941" s="13">
        <v>0</v>
      </c>
      <c r="DW941" s="13">
        <v>88</v>
      </c>
      <c r="DX941" s="13">
        <v>56</v>
      </c>
      <c r="DY941" s="30">
        <f t="shared" si="174"/>
        <v>144</v>
      </c>
      <c r="EC941" s="321">
        <v>45878</v>
      </c>
      <c r="ED941" s="13">
        <v>96</v>
      </c>
      <c r="EE941" s="13">
        <v>0</v>
      </c>
      <c r="EF941" s="13">
        <v>6</v>
      </c>
      <c r="EG941" s="13">
        <f t="shared" si="182"/>
        <v>102</v>
      </c>
      <c r="EH941" s="13">
        <v>30</v>
      </c>
      <c r="EI941" s="13">
        <v>102</v>
      </c>
      <c r="EJ941" s="13">
        <v>16</v>
      </c>
      <c r="EK941" s="30">
        <f t="shared" si="175"/>
        <v>148</v>
      </c>
      <c r="EM941" s="321">
        <v>45909</v>
      </c>
      <c r="EN941" s="89">
        <v>93</v>
      </c>
      <c r="EO941" s="89">
        <v>0</v>
      </c>
      <c r="EP941" s="89">
        <v>6</v>
      </c>
      <c r="EQ941" s="89">
        <f t="shared" si="183"/>
        <v>99</v>
      </c>
      <c r="ER941" s="89">
        <v>101</v>
      </c>
      <c r="ES941" s="89">
        <v>0</v>
      </c>
      <c r="ET941" s="89">
        <v>57</v>
      </c>
      <c r="EU941" s="30">
        <f t="shared" si="176"/>
        <v>158</v>
      </c>
    </row>
    <row r="942" spans="2:151">
      <c r="B942" s="40" t="s">
        <v>3184</v>
      </c>
      <c r="C942" s="41">
        <v>6308</v>
      </c>
      <c r="D942" s="41">
        <v>800</v>
      </c>
      <c r="E942" s="41">
        <v>0</v>
      </c>
      <c r="F942" s="41">
        <v>1066</v>
      </c>
      <c r="G942" s="64">
        <v>0</v>
      </c>
      <c r="AB942" s="321">
        <v>45392</v>
      </c>
      <c r="AC942" s="41">
        <v>89</v>
      </c>
      <c r="AD942" s="41">
        <v>97</v>
      </c>
      <c r="AE942" s="321">
        <v>45422</v>
      </c>
      <c r="AF942" s="41">
        <v>0</v>
      </c>
      <c r="AG942" s="320">
        <v>16</v>
      </c>
      <c r="AH942" s="321">
        <v>45453</v>
      </c>
      <c r="AI942" s="41">
        <v>97</v>
      </c>
      <c r="AJ942" s="41">
        <v>122</v>
      </c>
      <c r="AK942" s="321">
        <v>45483</v>
      </c>
      <c r="AL942" s="41">
        <v>90</v>
      </c>
      <c r="AM942" s="41">
        <v>84</v>
      </c>
      <c r="AN942" s="321">
        <v>45514</v>
      </c>
      <c r="AO942" s="41">
        <v>30</v>
      </c>
      <c r="AP942" s="41">
        <v>77</v>
      </c>
      <c r="AR942" s="321">
        <v>45545</v>
      </c>
      <c r="AS942" s="41">
        <v>107</v>
      </c>
      <c r="AT942" s="41">
        <v>81</v>
      </c>
      <c r="AV942" s="321">
        <v>45575</v>
      </c>
      <c r="AW942" s="13">
        <v>108</v>
      </c>
      <c r="AX942" s="13">
        <v>91</v>
      </c>
      <c r="BA942" s="2447" t="s">
        <v>3525</v>
      </c>
      <c r="BB942" s="41" t="s">
        <v>3522</v>
      </c>
      <c r="BC942" s="13">
        <v>92</v>
      </c>
      <c r="BD942" s="2447" t="s">
        <v>3526</v>
      </c>
      <c r="BE942" s="13">
        <v>103</v>
      </c>
      <c r="BF942" s="13">
        <v>87</v>
      </c>
      <c r="BH942" s="321">
        <v>45667</v>
      </c>
      <c r="BI942" s="321"/>
      <c r="BJ942" s="13">
        <v>124</v>
      </c>
      <c r="BK942" s="13">
        <v>94</v>
      </c>
      <c r="BL942" s="13">
        <v>124</v>
      </c>
      <c r="BM942" s="13"/>
      <c r="BN942" s="321">
        <v>45698</v>
      </c>
      <c r="BO942" s="13">
        <v>88</v>
      </c>
      <c r="BP942" s="13"/>
      <c r="BQ942" s="13">
        <v>12</v>
      </c>
      <c r="BR942" s="13">
        <f t="shared" si="168"/>
        <v>100</v>
      </c>
      <c r="BS942" s="30">
        <v>100</v>
      </c>
      <c r="BT942" s="327">
        <v>28</v>
      </c>
      <c r="BU942" s="30">
        <v>16</v>
      </c>
      <c r="BV942" s="30">
        <f t="shared" si="169"/>
        <v>144</v>
      </c>
      <c r="BX942" s="321"/>
      <c r="BY942" s="13"/>
      <c r="BZ942" s="13"/>
      <c r="CA942" s="13"/>
      <c r="CB942" s="13"/>
      <c r="CC942" s="321">
        <v>45726</v>
      </c>
      <c r="CD942" s="13">
        <v>75</v>
      </c>
      <c r="CE942" s="13">
        <v>13</v>
      </c>
      <c r="CF942" s="13">
        <v>12</v>
      </c>
      <c r="CG942" s="13">
        <f t="shared" si="177"/>
        <v>100</v>
      </c>
      <c r="CH942" s="13">
        <v>67</v>
      </c>
      <c r="CI942" s="13">
        <v>16</v>
      </c>
      <c r="CJ942" s="13">
        <v>39</v>
      </c>
      <c r="CK942" s="30">
        <f t="shared" si="170"/>
        <v>122</v>
      </c>
      <c r="CM942" s="321">
        <v>45757</v>
      </c>
      <c r="CN942" s="13">
        <v>3</v>
      </c>
      <c r="CO942" s="13">
        <v>0</v>
      </c>
      <c r="CP942" s="13">
        <v>20</v>
      </c>
      <c r="CQ942" s="13">
        <f t="shared" si="178"/>
        <v>23</v>
      </c>
      <c r="CR942" s="13">
        <v>0</v>
      </c>
      <c r="CS942" s="13">
        <v>0</v>
      </c>
      <c r="CT942" s="13">
        <v>25</v>
      </c>
      <c r="CU942" s="30">
        <f t="shared" si="171"/>
        <v>25</v>
      </c>
      <c r="CW942" s="321">
        <v>45787</v>
      </c>
      <c r="CX942" s="13">
        <v>93</v>
      </c>
      <c r="CY942" s="13">
        <v>0</v>
      </c>
      <c r="CZ942" s="13">
        <v>5</v>
      </c>
      <c r="DA942" s="13">
        <f t="shared" si="179"/>
        <v>98</v>
      </c>
      <c r="DB942" s="13">
        <v>64</v>
      </c>
      <c r="DC942" s="13">
        <v>70</v>
      </c>
      <c r="DD942" s="13">
        <v>6</v>
      </c>
      <c r="DE942" s="30">
        <f t="shared" si="172"/>
        <v>140</v>
      </c>
      <c r="DG942" s="321">
        <v>45818</v>
      </c>
      <c r="DH942" s="13">
        <v>70</v>
      </c>
      <c r="DI942" s="13">
        <v>22</v>
      </c>
      <c r="DJ942" s="13">
        <v>12</v>
      </c>
      <c r="DK942" s="13">
        <f t="shared" si="180"/>
        <v>104</v>
      </c>
      <c r="DL942" s="13">
        <v>0</v>
      </c>
      <c r="DM942" s="13">
        <v>72</v>
      </c>
      <c r="DN942" s="13">
        <v>2</v>
      </c>
      <c r="DO942" s="30">
        <f t="shared" si="173"/>
        <v>74</v>
      </c>
      <c r="DQ942" s="321">
        <v>45848</v>
      </c>
      <c r="DR942" s="13">
        <v>62</v>
      </c>
      <c r="DS942" s="13">
        <v>0</v>
      </c>
      <c r="DT942" s="13">
        <v>4</v>
      </c>
      <c r="DU942" s="13">
        <f t="shared" si="181"/>
        <v>66</v>
      </c>
      <c r="DV942" s="13">
        <v>0</v>
      </c>
      <c r="DW942" s="13">
        <v>80</v>
      </c>
      <c r="DX942" s="13">
        <v>35</v>
      </c>
      <c r="DY942" s="30">
        <f t="shared" si="174"/>
        <v>115</v>
      </c>
      <c r="EC942" s="329">
        <v>45879</v>
      </c>
      <c r="ED942" s="13">
        <v>93</v>
      </c>
      <c r="EE942" s="13">
        <v>0</v>
      </c>
      <c r="EF942" s="13">
        <v>0</v>
      </c>
      <c r="EG942" s="13">
        <f t="shared" si="182"/>
        <v>93</v>
      </c>
      <c r="EH942" s="13">
        <v>27</v>
      </c>
      <c r="EI942" s="13">
        <v>77</v>
      </c>
      <c r="EJ942" s="13">
        <v>45</v>
      </c>
      <c r="EK942" s="30">
        <f t="shared" si="175"/>
        <v>149</v>
      </c>
      <c r="EM942" s="321">
        <v>45910</v>
      </c>
      <c r="EN942" s="89">
        <v>100</v>
      </c>
      <c r="EO942" s="89">
        <v>0</v>
      </c>
      <c r="EP942" s="89">
        <v>0</v>
      </c>
      <c r="EQ942" s="89">
        <f t="shared" si="183"/>
        <v>100</v>
      </c>
      <c r="ER942" s="89">
        <v>121</v>
      </c>
      <c r="ES942" s="89">
        <v>6</v>
      </c>
      <c r="ET942" s="89">
        <v>21</v>
      </c>
      <c r="EU942" s="30">
        <f t="shared" si="176"/>
        <v>148</v>
      </c>
    </row>
    <row r="943" spans="2:151">
      <c r="B943" s="40" t="s">
        <v>3185</v>
      </c>
      <c r="C943" s="41">
        <v>6308</v>
      </c>
      <c r="D943" s="41">
        <v>1633</v>
      </c>
      <c r="E943" s="89">
        <v>0</v>
      </c>
      <c r="F943" s="41">
        <v>1048</v>
      </c>
      <c r="G943" s="64">
        <v>0</v>
      </c>
      <c r="AB943" s="321">
        <v>45393</v>
      </c>
      <c r="AC943" s="41">
        <v>85</v>
      </c>
      <c r="AD943" s="41">
        <v>82</v>
      </c>
      <c r="AE943" s="321">
        <v>45423</v>
      </c>
      <c r="AF943" s="41" t="s">
        <v>3522</v>
      </c>
      <c r="AG943" s="320" t="s">
        <v>3522</v>
      </c>
      <c r="AH943" s="321">
        <v>45454</v>
      </c>
      <c r="AI943" s="41">
        <v>112</v>
      </c>
      <c r="AJ943" s="41">
        <v>74</v>
      </c>
      <c r="AK943" s="321">
        <v>45484</v>
      </c>
      <c r="AL943" s="41">
        <v>88</v>
      </c>
      <c r="AM943" s="41">
        <v>80</v>
      </c>
      <c r="AN943" s="321">
        <v>45515</v>
      </c>
      <c r="AO943" s="41">
        <v>79</v>
      </c>
      <c r="AP943" s="41">
        <v>80</v>
      </c>
      <c r="AR943" s="321">
        <v>45546</v>
      </c>
      <c r="AS943" s="41">
        <v>95</v>
      </c>
      <c r="AT943" s="41">
        <v>89</v>
      </c>
      <c r="AV943" s="321">
        <v>45576</v>
      </c>
      <c r="AW943" s="41" t="s">
        <v>3522</v>
      </c>
      <c r="AX943" s="41" t="s">
        <v>3522</v>
      </c>
      <c r="BA943" s="321">
        <v>45607</v>
      </c>
      <c r="BB943" s="13">
        <v>88</v>
      </c>
      <c r="BC943" s="13">
        <v>90</v>
      </c>
      <c r="BD943" s="321">
        <v>45637</v>
      </c>
      <c r="BE943" s="13">
        <v>106</v>
      </c>
      <c r="BF943" s="13">
        <v>86</v>
      </c>
      <c r="BH943" s="321">
        <v>45668</v>
      </c>
      <c r="BI943" s="321"/>
      <c r="BJ943" s="13">
        <v>87</v>
      </c>
      <c r="BK943" s="13">
        <v>87</v>
      </c>
      <c r="BL943" s="13">
        <v>87</v>
      </c>
      <c r="BM943" s="13"/>
      <c r="BN943" s="321">
        <v>45699</v>
      </c>
      <c r="BO943" s="13">
        <v>72</v>
      </c>
      <c r="BP943" s="13"/>
      <c r="BQ943" s="13">
        <v>24</v>
      </c>
      <c r="BR943" s="13">
        <f t="shared" si="168"/>
        <v>96</v>
      </c>
      <c r="BS943" s="327">
        <v>88</v>
      </c>
      <c r="BT943" s="327">
        <v>47</v>
      </c>
      <c r="BU943" s="30">
        <v>12</v>
      </c>
      <c r="BV943" s="30">
        <f t="shared" si="169"/>
        <v>147</v>
      </c>
      <c r="BX943" s="321"/>
      <c r="BY943" s="13"/>
      <c r="BZ943" s="13"/>
      <c r="CA943" s="13"/>
      <c r="CB943" s="13"/>
      <c r="CC943" s="321">
        <v>45727</v>
      </c>
      <c r="CD943" s="13">
        <v>88</v>
      </c>
      <c r="CE943" s="13">
        <v>14</v>
      </c>
      <c r="CF943" s="13"/>
      <c r="CG943" s="13">
        <f t="shared" si="177"/>
        <v>102</v>
      </c>
      <c r="CH943" s="13">
        <v>89</v>
      </c>
      <c r="CI943" s="13">
        <v>0</v>
      </c>
      <c r="CJ943" s="13">
        <v>37</v>
      </c>
      <c r="CK943" s="30">
        <f t="shared" si="170"/>
        <v>126</v>
      </c>
      <c r="CM943" s="321">
        <v>45758</v>
      </c>
      <c r="CN943" s="13">
        <v>3</v>
      </c>
      <c r="CO943" s="13">
        <v>0</v>
      </c>
      <c r="CP943" s="13">
        <v>32</v>
      </c>
      <c r="CQ943" s="13">
        <f t="shared" si="178"/>
        <v>35</v>
      </c>
      <c r="CR943" s="13">
        <v>0</v>
      </c>
      <c r="CS943" s="13">
        <v>0</v>
      </c>
      <c r="CT943" s="13">
        <v>38</v>
      </c>
      <c r="CU943" s="30">
        <f t="shared" si="171"/>
        <v>38</v>
      </c>
      <c r="CW943" s="329">
        <v>45788</v>
      </c>
      <c r="CX943" s="13">
        <v>99</v>
      </c>
      <c r="CY943" s="13">
        <v>0</v>
      </c>
      <c r="CZ943" s="13">
        <v>0</v>
      </c>
      <c r="DA943" s="13">
        <f t="shared" si="179"/>
        <v>99</v>
      </c>
      <c r="DB943" s="13">
        <v>74</v>
      </c>
      <c r="DC943" s="13">
        <v>49</v>
      </c>
      <c r="DD943" s="13">
        <v>11</v>
      </c>
      <c r="DE943" s="30">
        <f t="shared" si="172"/>
        <v>134</v>
      </c>
      <c r="DG943" s="321">
        <v>45819</v>
      </c>
      <c r="DH943" s="13">
        <v>81</v>
      </c>
      <c r="DI943" s="13">
        <v>0</v>
      </c>
      <c r="DJ943" s="13">
        <v>22</v>
      </c>
      <c r="DK943" s="13">
        <f t="shared" si="180"/>
        <v>103</v>
      </c>
      <c r="DL943" s="13">
        <v>67</v>
      </c>
      <c r="DM943" s="13">
        <v>35</v>
      </c>
      <c r="DN943" s="13">
        <v>3</v>
      </c>
      <c r="DO943" s="30">
        <f t="shared" si="173"/>
        <v>105</v>
      </c>
      <c r="DQ943" s="321">
        <v>45849</v>
      </c>
      <c r="DR943" s="13">
        <v>81</v>
      </c>
      <c r="DS943" s="13">
        <v>0</v>
      </c>
      <c r="DT943" s="13">
        <v>10</v>
      </c>
      <c r="DU943" s="13">
        <f t="shared" si="181"/>
        <v>91</v>
      </c>
      <c r="DV943" s="13">
        <v>0</v>
      </c>
      <c r="DW943" s="13">
        <v>81</v>
      </c>
      <c r="DX943" s="13">
        <v>42</v>
      </c>
      <c r="DY943" s="30">
        <f t="shared" si="174"/>
        <v>123</v>
      </c>
      <c r="EC943" s="321">
        <v>45880</v>
      </c>
      <c r="ED943" s="13">
        <v>91</v>
      </c>
      <c r="EE943" s="13">
        <v>0</v>
      </c>
      <c r="EF943" s="13">
        <v>8</v>
      </c>
      <c r="EG943" s="13">
        <f t="shared" si="182"/>
        <v>99</v>
      </c>
      <c r="EH943" s="13">
        <v>75</v>
      </c>
      <c r="EI943" s="13">
        <v>41</v>
      </c>
      <c r="EJ943" s="13">
        <v>13</v>
      </c>
      <c r="EK943" s="30">
        <f t="shared" si="175"/>
        <v>129</v>
      </c>
      <c r="EM943" s="321">
        <v>45911</v>
      </c>
      <c r="EN943" s="89"/>
      <c r="EO943" s="89"/>
      <c r="EP943" s="89"/>
      <c r="EQ943" s="89">
        <f t="shared" si="183"/>
        <v>0</v>
      </c>
      <c r="ER943" s="89"/>
      <c r="ES943" s="89"/>
      <c r="ET943" s="89"/>
      <c r="EU943" s="30">
        <f t="shared" si="176"/>
        <v>0</v>
      </c>
    </row>
    <row r="944" spans="2:151">
      <c r="B944" s="473" t="s">
        <v>3523</v>
      </c>
      <c r="C944" s="886">
        <f>+C942-C943</f>
        <v>0</v>
      </c>
      <c r="D944" s="889">
        <f>+D941+D942-D943</f>
        <v>148</v>
      </c>
      <c r="E944" s="886">
        <f>+E941+E942-E943</f>
        <v>1201</v>
      </c>
      <c r="F944" s="886">
        <f>+F941+F942-F943</f>
        <v>18</v>
      </c>
      <c r="G944" s="887">
        <v>0</v>
      </c>
      <c r="AB944" s="321">
        <v>45394</v>
      </c>
      <c r="AC944" s="41">
        <v>88</v>
      </c>
      <c r="AD944" s="41">
        <v>96</v>
      </c>
      <c r="AE944" s="321">
        <v>45424</v>
      </c>
      <c r="AF944" s="41" t="s">
        <v>3522</v>
      </c>
      <c r="AG944" s="320" t="s">
        <v>3522</v>
      </c>
      <c r="AH944" s="321">
        <v>45455</v>
      </c>
      <c r="AI944" s="41">
        <v>105</v>
      </c>
      <c r="AJ944" s="41">
        <v>90</v>
      </c>
      <c r="AK944" s="321">
        <v>45485</v>
      </c>
      <c r="AL944" s="41">
        <v>74</v>
      </c>
      <c r="AM944" s="41">
        <v>76</v>
      </c>
      <c r="AN944" s="321">
        <v>45516</v>
      </c>
      <c r="AO944" s="41">
        <v>73</v>
      </c>
      <c r="AP944" s="41">
        <v>78</v>
      </c>
      <c r="AR944" s="321">
        <v>45547</v>
      </c>
      <c r="AS944" s="41">
        <v>97</v>
      </c>
      <c r="AT944" s="41">
        <v>81</v>
      </c>
      <c r="AV944" s="321">
        <v>45577</v>
      </c>
      <c r="AW944" s="41" t="s">
        <v>3522</v>
      </c>
      <c r="AX944" s="41" t="s">
        <v>3522</v>
      </c>
      <c r="BA944" s="321">
        <v>45608</v>
      </c>
      <c r="BB944" s="13">
        <v>66</v>
      </c>
      <c r="BC944" s="13">
        <v>80</v>
      </c>
      <c r="BD944" s="321">
        <v>45638</v>
      </c>
      <c r="BE944" s="13">
        <v>116</v>
      </c>
      <c r="BF944" s="13">
        <v>88</v>
      </c>
      <c r="BH944" s="321">
        <v>45669</v>
      </c>
      <c r="BI944" s="321"/>
      <c r="BJ944" s="13">
        <v>82</v>
      </c>
      <c r="BK944" s="13">
        <v>103</v>
      </c>
      <c r="BL944" s="13">
        <v>82</v>
      </c>
      <c r="BM944" s="13"/>
      <c r="BN944" s="321">
        <v>45700</v>
      </c>
      <c r="BO944" s="13">
        <v>86</v>
      </c>
      <c r="BP944" s="13"/>
      <c r="BQ944" s="13">
        <v>19</v>
      </c>
      <c r="BR944" s="13">
        <f>+BO944+BQ944+BP944</f>
        <v>105</v>
      </c>
      <c r="BS944" s="327">
        <v>87</v>
      </c>
      <c r="BT944" s="327">
        <v>56</v>
      </c>
      <c r="BU944" s="30">
        <v>0</v>
      </c>
      <c r="BV944" s="30">
        <f t="shared" si="169"/>
        <v>143</v>
      </c>
      <c r="BX944" s="321"/>
      <c r="BY944" s="13"/>
      <c r="BZ944" s="13"/>
      <c r="CA944" s="13"/>
      <c r="CB944" s="13"/>
      <c r="CC944" s="321">
        <v>45728</v>
      </c>
      <c r="CD944" s="13">
        <v>89</v>
      </c>
      <c r="CE944" s="13">
        <v>2</v>
      </c>
      <c r="CF944" s="13">
        <v>2</v>
      </c>
      <c r="CG944" s="13">
        <f t="shared" si="177"/>
        <v>93</v>
      </c>
      <c r="CH944" s="13">
        <v>69</v>
      </c>
      <c r="CI944" s="13">
        <v>0</v>
      </c>
      <c r="CJ944" s="13">
        <v>54</v>
      </c>
      <c r="CK944" s="30">
        <f t="shared" si="170"/>
        <v>123</v>
      </c>
      <c r="CM944" s="321">
        <v>45759</v>
      </c>
      <c r="CN944" s="13">
        <v>3</v>
      </c>
      <c r="CO944" s="13">
        <v>0</v>
      </c>
      <c r="CP944" s="13">
        <v>32</v>
      </c>
      <c r="CQ944" s="13">
        <f t="shared" si="178"/>
        <v>35</v>
      </c>
      <c r="CR944" s="13">
        <v>0</v>
      </c>
      <c r="CS944" s="13">
        <v>0</v>
      </c>
      <c r="CT944" s="13">
        <v>38</v>
      </c>
      <c r="CU944" s="30">
        <f t="shared" si="171"/>
        <v>38</v>
      </c>
      <c r="CW944" s="321">
        <v>45789</v>
      </c>
      <c r="CX944" s="13">
        <v>78</v>
      </c>
      <c r="CY944" s="13">
        <v>0</v>
      </c>
      <c r="CZ944" s="13"/>
      <c r="DA944" s="13">
        <f t="shared" si="179"/>
        <v>78</v>
      </c>
      <c r="DB944" s="13">
        <v>72</v>
      </c>
      <c r="DC944" s="13">
        <v>43</v>
      </c>
      <c r="DD944" s="13">
        <v>20</v>
      </c>
      <c r="DE944" s="30">
        <f t="shared" si="172"/>
        <v>135</v>
      </c>
      <c r="DG944" s="321">
        <v>45820</v>
      </c>
      <c r="DH944" s="13">
        <v>18</v>
      </c>
      <c r="DI944" s="13">
        <v>0</v>
      </c>
      <c r="DJ944" s="13">
        <v>27</v>
      </c>
      <c r="DK944" s="13">
        <f t="shared" si="180"/>
        <v>45</v>
      </c>
      <c r="DL944" s="13">
        <v>0</v>
      </c>
      <c r="DM944" s="13">
        <v>41</v>
      </c>
      <c r="DN944" s="13">
        <v>22</v>
      </c>
      <c r="DO944" s="30">
        <f t="shared" si="173"/>
        <v>63</v>
      </c>
      <c r="DQ944" s="332">
        <v>45850</v>
      </c>
      <c r="DR944" s="13">
        <v>38</v>
      </c>
      <c r="DS944" s="13">
        <v>0</v>
      </c>
      <c r="DT944" s="13">
        <v>9</v>
      </c>
      <c r="DU944" s="13">
        <f t="shared" ref="DU944:DU963" si="184">+DR944+DT944+DS944</f>
        <v>47</v>
      </c>
      <c r="DV944" s="13">
        <v>38</v>
      </c>
      <c r="DW944" s="13">
        <v>22</v>
      </c>
      <c r="DX944" s="13">
        <v>35</v>
      </c>
      <c r="DY944" s="30">
        <f t="shared" si="174"/>
        <v>95</v>
      </c>
      <c r="EC944" s="332">
        <v>45881</v>
      </c>
      <c r="ED944" s="13">
        <v>58</v>
      </c>
      <c r="EE944" s="13">
        <v>16</v>
      </c>
      <c r="EF944" s="13">
        <v>0</v>
      </c>
      <c r="EG944" s="13">
        <f t="shared" ref="EG944:EG963" si="185">+ED944+EF944+EE944</f>
        <v>74</v>
      </c>
      <c r="EH944" s="13">
        <v>50</v>
      </c>
      <c r="EI944" s="13">
        <v>74</v>
      </c>
      <c r="EJ944" s="13">
        <v>12</v>
      </c>
      <c r="EK944" s="30">
        <f t="shared" si="175"/>
        <v>136</v>
      </c>
      <c r="EM944" s="321">
        <v>45881</v>
      </c>
      <c r="EN944" s="89"/>
      <c r="EO944" s="89"/>
      <c r="EP944" s="89"/>
      <c r="EQ944" s="89">
        <f t="shared" ref="EQ944:EQ963" si="186">+EN944+EP944+EO944</f>
        <v>0</v>
      </c>
      <c r="ER944" s="89"/>
      <c r="ES944" s="89"/>
      <c r="ET944" s="89"/>
      <c r="EU944" s="30">
        <f t="shared" si="176"/>
        <v>0</v>
      </c>
    </row>
    <row r="945" spans="2:151">
      <c r="AB945" s="321">
        <v>45395</v>
      </c>
      <c r="AC945" s="41">
        <v>85</v>
      </c>
      <c r="AD945" s="41">
        <v>81</v>
      </c>
      <c r="AE945" s="321">
        <v>45425</v>
      </c>
      <c r="AF945" s="41">
        <v>0</v>
      </c>
      <c r="AG945" s="320">
        <v>30</v>
      </c>
      <c r="AH945" s="321">
        <v>45456</v>
      </c>
      <c r="AI945" s="41">
        <v>115</v>
      </c>
      <c r="AJ945" s="41">
        <v>82</v>
      </c>
      <c r="AK945" s="321">
        <v>45486</v>
      </c>
      <c r="AL945" s="41">
        <v>2</v>
      </c>
      <c r="AM945" s="41">
        <v>67</v>
      </c>
      <c r="AN945" s="321">
        <v>45517</v>
      </c>
      <c r="AO945" s="41">
        <v>91</v>
      </c>
      <c r="AP945" s="41">
        <v>78</v>
      </c>
      <c r="AR945" s="321">
        <v>45548</v>
      </c>
      <c r="AS945" s="41">
        <v>83</v>
      </c>
      <c r="AT945" s="41">
        <v>77</v>
      </c>
      <c r="AV945" s="321">
        <v>45578</v>
      </c>
      <c r="AW945" s="13">
        <v>50</v>
      </c>
      <c r="AX945" s="13">
        <v>65</v>
      </c>
      <c r="BA945" s="321">
        <v>45609</v>
      </c>
      <c r="BB945" s="13">
        <v>52</v>
      </c>
      <c r="BC945" s="13">
        <v>68</v>
      </c>
      <c r="BD945" s="321">
        <v>45639</v>
      </c>
      <c r="BE945" s="13">
        <v>103</v>
      </c>
      <c r="BF945" s="13">
        <v>86</v>
      </c>
      <c r="BH945" s="321">
        <v>45670</v>
      </c>
      <c r="BI945" s="321"/>
      <c r="BJ945" s="13">
        <v>79</v>
      </c>
      <c r="BK945" s="13">
        <v>74</v>
      </c>
      <c r="BL945" s="13">
        <v>79</v>
      </c>
      <c r="BM945" s="13"/>
      <c r="BN945" s="321">
        <v>45701</v>
      </c>
      <c r="BO945" s="13">
        <v>83</v>
      </c>
      <c r="BP945" s="13"/>
      <c r="BQ945" s="13">
        <v>6</v>
      </c>
      <c r="BR945" s="13">
        <f t="shared" ref="BR945:BR963" si="187">+BO945+BQ945+BP945</f>
        <v>89</v>
      </c>
      <c r="BS945" s="327">
        <v>85</v>
      </c>
      <c r="BT945" s="327">
        <v>49</v>
      </c>
      <c r="BU945" s="30">
        <v>3</v>
      </c>
      <c r="BV945" s="30">
        <f t="shared" si="169"/>
        <v>137</v>
      </c>
      <c r="BX945" s="321"/>
      <c r="BY945" s="13"/>
      <c r="BZ945" s="13"/>
      <c r="CA945" s="13"/>
      <c r="CB945" s="13"/>
      <c r="CC945" s="321">
        <v>45729</v>
      </c>
      <c r="CD945" s="13">
        <v>39</v>
      </c>
      <c r="CE945" s="13">
        <v>41</v>
      </c>
      <c r="CF945" s="13">
        <v>8</v>
      </c>
      <c r="CG945" s="13">
        <f t="shared" si="177"/>
        <v>88</v>
      </c>
      <c r="CH945" s="13">
        <v>50</v>
      </c>
      <c r="CI945" s="13">
        <v>41</v>
      </c>
      <c r="CJ945" s="13">
        <v>66</v>
      </c>
      <c r="CK945" s="30">
        <f t="shared" si="170"/>
        <v>157</v>
      </c>
      <c r="CM945" s="329">
        <v>45760</v>
      </c>
      <c r="CN945" s="330">
        <v>0</v>
      </c>
      <c r="CO945" s="330">
        <v>0</v>
      </c>
      <c r="CP945" s="330">
        <v>0</v>
      </c>
      <c r="CQ945" s="330">
        <f t="shared" si="178"/>
        <v>0</v>
      </c>
      <c r="CR945" s="330">
        <v>0</v>
      </c>
      <c r="CS945" s="330">
        <v>0</v>
      </c>
      <c r="CT945" s="330">
        <v>0</v>
      </c>
      <c r="CU945" s="331">
        <f t="shared" si="171"/>
        <v>0</v>
      </c>
      <c r="CW945" s="321">
        <v>45790</v>
      </c>
      <c r="CX945" s="13">
        <v>39</v>
      </c>
      <c r="CY945" s="13">
        <v>57</v>
      </c>
      <c r="CZ945" s="13">
        <v>8</v>
      </c>
      <c r="DA945" s="330">
        <f t="shared" si="179"/>
        <v>104</v>
      </c>
      <c r="DB945" s="13">
        <v>90</v>
      </c>
      <c r="DC945" s="13">
        <v>33</v>
      </c>
      <c r="DD945" s="13">
        <v>21</v>
      </c>
      <c r="DE945" s="331">
        <f t="shared" si="172"/>
        <v>144</v>
      </c>
      <c r="DG945" s="321">
        <v>45821</v>
      </c>
      <c r="DH945" s="13">
        <v>51</v>
      </c>
      <c r="DI945" s="13">
        <v>0</v>
      </c>
      <c r="DJ945" s="13">
        <v>24</v>
      </c>
      <c r="DK945" s="330">
        <f t="shared" si="180"/>
        <v>75</v>
      </c>
      <c r="DL945" s="13">
        <v>0</v>
      </c>
      <c r="DM945" s="13">
        <v>35</v>
      </c>
      <c r="DN945" s="13">
        <v>33</v>
      </c>
      <c r="DO945" s="331">
        <f t="shared" si="173"/>
        <v>68</v>
      </c>
      <c r="DQ945" s="332">
        <v>45851</v>
      </c>
      <c r="DR945" s="13">
        <v>38</v>
      </c>
      <c r="DS945" s="13">
        <v>0</v>
      </c>
      <c r="DT945" s="13">
        <v>9</v>
      </c>
      <c r="DU945" s="330">
        <f t="shared" si="184"/>
        <v>47</v>
      </c>
      <c r="DV945" s="13">
        <v>0</v>
      </c>
      <c r="DW945" s="13">
        <v>0</v>
      </c>
      <c r="DX945" s="13">
        <v>0</v>
      </c>
      <c r="DY945" s="30">
        <f t="shared" si="174"/>
        <v>0</v>
      </c>
      <c r="EC945" s="332">
        <v>45882</v>
      </c>
      <c r="ED945" s="13">
        <v>89</v>
      </c>
      <c r="EE945" s="13">
        <v>0</v>
      </c>
      <c r="EF945" s="13">
        <v>10</v>
      </c>
      <c r="EG945" s="330">
        <f t="shared" si="185"/>
        <v>99</v>
      </c>
      <c r="EH945" s="13">
        <v>52</v>
      </c>
      <c r="EI945" s="13">
        <v>79</v>
      </c>
      <c r="EJ945" s="13">
        <v>6</v>
      </c>
      <c r="EK945" s="30">
        <f t="shared" si="175"/>
        <v>137</v>
      </c>
      <c r="EM945" s="321">
        <v>45882</v>
      </c>
      <c r="EN945" s="89"/>
      <c r="EO945" s="89"/>
      <c r="EP945" s="89"/>
      <c r="EQ945" s="89">
        <f t="shared" si="186"/>
        <v>0</v>
      </c>
      <c r="ER945" s="89"/>
      <c r="ES945" s="89"/>
      <c r="ET945" s="89"/>
      <c r="EU945" s="30">
        <f t="shared" si="176"/>
        <v>0</v>
      </c>
    </row>
    <row r="946" spans="2:151">
      <c r="D946" s="890"/>
      <c r="AB946" s="321">
        <v>45396</v>
      </c>
      <c r="AC946" s="41" t="s">
        <v>3522</v>
      </c>
      <c r="AD946" s="41" t="s">
        <v>3522</v>
      </c>
      <c r="AE946" s="321">
        <v>45426</v>
      </c>
      <c r="AF946" s="41">
        <v>0</v>
      </c>
      <c r="AG946" s="320">
        <v>5</v>
      </c>
      <c r="AH946" s="321">
        <v>45457</v>
      </c>
      <c r="AI946" s="41">
        <v>88</v>
      </c>
      <c r="AJ946" s="41">
        <v>84</v>
      </c>
      <c r="AK946" s="321">
        <v>45487</v>
      </c>
      <c r="AL946" s="41">
        <v>56</v>
      </c>
      <c r="AM946" s="41">
        <v>46</v>
      </c>
      <c r="AN946" s="321">
        <v>45518</v>
      </c>
      <c r="AO946" s="41">
        <v>102</v>
      </c>
      <c r="AP946" s="41">
        <v>91</v>
      </c>
      <c r="AR946" s="321">
        <v>45549</v>
      </c>
      <c r="AS946" s="41">
        <v>26</v>
      </c>
      <c r="AT946" s="41">
        <v>72</v>
      </c>
      <c r="AV946" s="321">
        <v>45579</v>
      </c>
      <c r="AW946" s="13">
        <v>118</v>
      </c>
      <c r="AX946" s="13">
        <v>90</v>
      </c>
      <c r="BA946" s="321">
        <v>45610</v>
      </c>
      <c r="BB946" s="13">
        <v>89</v>
      </c>
      <c r="BC946" s="13">
        <v>88</v>
      </c>
      <c r="BD946" s="321">
        <v>45640</v>
      </c>
      <c r="BE946" s="13">
        <v>35</v>
      </c>
      <c r="BF946" s="13">
        <v>79</v>
      </c>
      <c r="BH946" s="321">
        <v>45671</v>
      </c>
      <c r="BI946" s="321"/>
      <c r="BJ946" s="13">
        <v>103</v>
      </c>
      <c r="BK946" s="13">
        <v>89</v>
      </c>
      <c r="BL946" s="314">
        <v>95</v>
      </c>
      <c r="BM946" s="314">
        <v>8</v>
      </c>
      <c r="BN946" s="321">
        <v>45702</v>
      </c>
      <c r="BO946" s="13">
        <v>83</v>
      </c>
      <c r="BP946" s="13"/>
      <c r="BQ946" s="13">
        <v>11</v>
      </c>
      <c r="BR946" s="13">
        <f t="shared" si="187"/>
        <v>94</v>
      </c>
      <c r="BS946" s="30">
        <v>91</v>
      </c>
      <c r="BT946" s="30">
        <v>42</v>
      </c>
      <c r="BU946" s="30">
        <v>20</v>
      </c>
      <c r="BV946" s="30">
        <f t="shared" si="169"/>
        <v>153</v>
      </c>
      <c r="BX946" s="321"/>
      <c r="BY946" s="13"/>
      <c r="BZ946" s="13"/>
      <c r="CA946" s="314"/>
      <c r="CB946" s="314"/>
      <c r="CC946" s="321">
        <v>45730</v>
      </c>
      <c r="CD946" s="13">
        <v>32</v>
      </c>
      <c r="CE946" s="13">
        <v>0</v>
      </c>
      <c r="CF946" s="13">
        <v>2</v>
      </c>
      <c r="CG946" s="13">
        <f t="shared" si="177"/>
        <v>34</v>
      </c>
      <c r="CH946" s="13">
        <v>45</v>
      </c>
      <c r="CI946" s="13">
        <v>14</v>
      </c>
      <c r="CJ946" s="13">
        <v>0</v>
      </c>
      <c r="CK946" s="30">
        <f t="shared" si="170"/>
        <v>59</v>
      </c>
      <c r="CM946" s="321">
        <v>45761</v>
      </c>
      <c r="CN946" s="13">
        <v>0</v>
      </c>
      <c r="CO946" s="13">
        <v>0</v>
      </c>
      <c r="CP946" s="13">
        <v>0</v>
      </c>
      <c r="CQ946" s="13">
        <f t="shared" si="178"/>
        <v>0</v>
      </c>
      <c r="CR946" s="13">
        <v>0</v>
      </c>
      <c r="CS946" s="13">
        <v>0</v>
      </c>
      <c r="CT946" s="13">
        <v>24</v>
      </c>
      <c r="CU946" s="30">
        <f t="shared" si="171"/>
        <v>24</v>
      </c>
      <c r="CW946" s="321">
        <v>45791</v>
      </c>
      <c r="CX946" s="13">
        <v>38</v>
      </c>
      <c r="CY946" s="13">
        <v>54</v>
      </c>
      <c r="CZ946" s="13">
        <v>14</v>
      </c>
      <c r="DA946" s="13">
        <f t="shared" si="179"/>
        <v>106</v>
      </c>
      <c r="DB946" s="13">
        <v>91</v>
      </c>
      <c r="DC946" s="13">
        <v>41</v>
      </c>
      <c r="DD946" s="13">
        <v>9</v>
      </c>
      <c r="DE946" s="30">
        <f t="shared" si="172"/>
        <v>141</v>
      </c>
      <c r="DG946" s="321">
        <v>45822</v>
      </c>
      <c r="DH946" s="13">
        <v>60</v>
      </c>
      <c r="DI946" s="13">
        <v>0</v>
      </c>
      <c r="DJ946" s="13">
        <v>1</v>
      </c>
      <c r="DK946" s="13">
        <f t="shared" si="180"/>
        <v>61</v>
      </c>
      <c r="DL946" s="13">
        <v>44</v>
      </c>
      <c r="DM946" s="13">
        <v>0</v>
      </c>
      <c r="DN946" s="13">
        <v>44</v>
      </c>
      <c r="DO946" s="30">
        <f t="shared" si="173"/>
        <v>88</v>
      </c>
      <c r="DQ946" s="332">
        <v>45852</v>
      </c>
      <c r="DR946" s="13">
        <v>57</v>
      </c>
      <c r="DS946" s="13">
        <v>0</v>
      </c>
      <c r="DT946" s="13">
        <v>15</v>
      </c>
      <c r="DU946" s="13">
        <f t="shared" si="184"/>
        <v>72</v>
      </c>
      <c r="DV946" s="13">
        <v>12</v>
      </c>
      <c r="DW946" s="13">
        <v>67</v>
      </c>
      <c r="DX946" s="13">
        <v>38</v>
      </c>
      <c r="DY946" s="30">
        <f t="shared" si="174"/>
        <v>117</v>
      </c>
      <c r="EC946" s="332">
        <v>45883</v>
      </c>
      <c r="ED946" s="13">
        <v>82</v>
      </c>
      <c r="EE946" s="13">
        <v>0</v>
      </c>
      <c r="EF946" s="13">
        <v>16</v>
      </c>
      <c r="EG946" s="13">
        <f t="shared" si="185"/>
        <v>98</v>
      </c>
      <c r="EH946" s="13">
        <v>15</v>
      </c>
      <c r="EI946" s="13">
        <v>116</v>
      </c>
      <c r="EJ946" s="13">
        <v>6</v>
      </c>
      <c r="EK946" s="30">
        <f t="shared" si="175"/>
        <v>137</v>
      </c>
      <c r="EM946" s="321">
        <v>45883</v>
      </c>
      <c r="EN946" s="89"/>
      <c r="EO946" s="89"/>
      <c r="EP946" s="89"/>
      <c r="EQ946" s="89">
        <f t="shared" si="186"/>
        <v>0</v>
      </c>
      <c r="ER946" s="89"/>
      <c r="ES946" s="89"/>
      <c r="ET946" s="89"/>
      <c r="EU946" s="30">
        <f t="shared" si="176"/>
        <v>0</v>
      </c>
    </row>
    <row r="947" spans="2:151" ht="18">
      <c r="B947" s="139" t="s">
        <v>3527</v>
      </c>
      <c r="C947" s="140"/>
      <c r="D947" s="140"/>
      <c r="E947" s="13"/>
      <c r="F947" s="13"/>
      <c r="G947" s="43"/>
      <c r="AB947" s="321">
        <v>45397</v>
      </c>
      <c r="AC947" s="41">
        <v>73</v>
      </c>
      <c r="AD947" s="41">
        <v>78</v>
      </c>
      <c r="AE947" s="321">
        <v>45427</v>
      </c>
      <c r="AF947" s="41">
        <v>0</v>
      </c>
      <c r="AG947" s="320">
        <v>0</v>
      </c>
      <c r="AH947" s="321">
        <v>45458</v>
      </c>
      <c r="AI947" s="41">
        <v>88</v>
      </c>
      <c r="AJ947" s="41">
        <v>94</v>
      </c>
      <c r="AK947" s="321">
        <v>45488</v>
      </c>
      <c r="AL947" s="41">
        <v>47</v>
      </c>
      <c r="AM947" s="41">
        <v>42</v>
      </c>
      <c r="AN947" s="321">
        <v>45519</v>
      </c>
      <c r="AO947" s="41">
        <v>118</v>
      </c>
      <c r="AP947" s="41">
        <v>88</v>
      </c>
      <c r="AR947" s="321">
        <v>45550</v>
      </c>
      <c r="AS947" s="41" t="s">
        <v>3522</v>
      </c>
      <c r="AT947" s="41">
        <v>52</v>
      </c>
      <c r="AV947" s="321">
        <v>45580</v>
      </c>
      <c r="AW947" s="13">
        <v>127</v>
      </c>
      <c r="AX947" s="13">
        <v>90</v>
      </c>
      <c r="BA947" s="321">
        <v>45611</v>
      </c>
      <c r="BB947" s="13">
        <v>94</v>
      </c>
      <c r="BC947" s="13">
        <v>88</v>
      </c>
      <c r="BD947" s="321">
        <v>45641</v>
      </c>
      <c r="BE947" s="13">
        <v>56</v>
      </c>
      <c r="BF947" s="13">
        <v>75</v>
      </c>
      <c r="BH947" s="321">
        <v>45672</v>
      </c>
      <c r="BI947" s="321"/>
      <c r="BJ947" s="13">
        <v>95</v>
      </c>
      <c r="BK947" s="13">
        <v>89</v>
      </c>
      <c r="BL947" s="314">
        <v>92</v>
      </c>
      <c r="BM947" s="314">
        <v>3</v>
      </c>
      <c r="BN947" s="321">
        <v>45703</v>
      </c>
      <c r="BO947" s="13">
        <v>98</v>
      </c>
      <c r="BP947" s="13"/>
      <c r="BQ947" s="13">
        <v>1</v>
      </c>
      <c r="BR947" s="13">
        <f t="shared" si="187"/>
        <v>99</v>
      </c>
      <c r="BS947" s="30">
        <v>91</v>
      </c>
      <c r="BT947" s="30">
        <v>56</v>
      </c>
      <c r="BU947" s="30">
        <v>0</v>
      </c>
      <c r="BV947" s="30">
        <f t="shared" si="169"/>
        <v>147</v>
      </c>
      <c r="BX947" s="321"/>
      <c r="BY947" s="13"/>
      <c r="BZ947" s="13"/>
      <c r="CA947" s="314"/>
      <c r="CB947" s="314"/>
      <c r="CC947" s="321">
        <v>45731</v>
      </c>
      <c r="CD947" s="13">
        <v>39</v>
      </c>
      <c r="CE947" s="13">
        <v>51</v>
      </c>
      <c r="CF947" s="13">
        <v>8</v>
      </c>
      <c r="CG947" s="13">
        <f t="shared" si="177"/>
        <v>98</v>
      </c>
      <c r="CH947" s="13">
        <v>107</v>
      </c>
      <c r="CI947" s="13">
        <v>0</v>
      </c>
      <c r="CJ947" s="13">
        <v>42</v>
      </c>
      <c r="CK947" s="30">
        <f t="shared" si="170"/>
        <v>149</v>
      </c>
      <c r="CM947" s="321">
        <v>45762</v>
      </c>
      <c r="CN947" s="13">
        <v>0</v>
      </c>
      <c r="CO947" s="13">
        <v>0</v>
      </c>
      <c r="CP947" s="13">
        <v>0</v>
      </c>
      <c r="CQ947" s="13">
        <f t="shared" si="178"/>
        <v>0</v>
      </c>
      <c r="CR947" s="13">
        <v>0</v>
      </c>
      <c r="CS947" s="13">
        <v>0</v>
      </c>
      <c r="CT947" s="13">
        <v>16</v>
      </c>
      <c r="CU947" s="30">
        <f t="shared" si="171"/>
        <v>16</v>
      </c>
      <c r="CW947" s="321">
        <v>45792</v>
      </c>
      <c r="CX947" s="13">
        <v>28</v>
      </c>
      <c r="CY947" s="13">
        <v>72</v>
      </c>
      <c r="CZ947" s="13"/>
      <c r="DA947" s="13">
        <f t="shared" si="179"/>
        <v>100</v>
      </c>
      <c r="DB947" s="13">
        <v>71</v>
      </c>
      <c r="DC947" s="13">
        <v>53</v>
      </c>
      <c r="DD947" s="13">
        <v>16</v>
      </c>
      <c r="DE947" s="30">
        <f t="shared" si="172"/>
        <v>140</v>
      </c>
      <c r="DG947" s="329">
        <v>45823</v>
      </c>
      <c r="DH947" s="13"/>
      <c r="DI947" s="13"/>
      <c r="DJ947" s="13"/>
      <c r="DK947" s="13">
        <f t="shared" si="180"/>
        <v>0</v>
      </c>
      <c r="DL947" s="13"/>
      <c r="DM947" s="13"/>
      <c r="DN947" s="13"/>
      <c r="DO947" s="30">
        <f t="shared" si="173"/>
        <v>0</v>
      </c>
      <c r="DQ947" s="333">
        <v>45853</v>
      </c>
      <c r="DR947" s="13">
        <v>36</v>
      </c>
      <c r="DS947" s="334">
        <v>15</v>
      </c>
      <c r="DT947" s="13">
        <v>3</v>
      </c>
      <c r="DU947" s="13">
        <f t="shared" si="184"/>
        <v>54</v>
      </c>
      <c r="DV947" s="13">
        <v>0</v>
      </c>
      <c r="DW947" s="13">
        <v>85</v>
      </c>
      <c r="DX947" s="13">
        <v>37</v>
      </c>
      <c r="DY947" s="30">
        <f t="shared" si="174"/>
        <v>122</v>
      </c>
      <c r="DZ947" t="s">
        <v>3528</v>
      </c>
      <c r="EC947" s="321">
        <v>45884</v>
      </c>
      <c r="ED947" s="13">
        <v>83</v>
      </c>
      <c r="EE947" s="13">
        <v>0</v>
      </c>
      <c r="EF947" s="13">
        <v>12</v>
      </c>
      <c r="EG947" s="13">
        <f t="shared" si="185"/>
        <v>95</v>
      </c>
      <c r="EH947" s="13">
        <v>80</v>
      </c>
      <c r="EI947" s="13">
        <v>48</v>
      </c>
      <c r="EJ947" s="13">
        <v>8</v>
      </c>
      <c r="EK947" s="30">
        <f t="shared" si="175"/>
        <v>136</v>
      </c>
      <c r="EM947" s="321">
        <v>45884</v>
      </c>
      <c r="EN947" s="89"/>
      <c r="EO947" s="89"/>
      <c r="EP947" s="89"/>
      <c r="EQ947" s="89">
        <f t="shared" si="186"/>
        <v>0</v>
      </c>
      <c r="ER947" s="89"/>
      <c r="ES947" s="89"/>
      <c r="ET947" s="89"/>
      <c r="EU947" s="30">
        <f t="shared" si="176"/>
        <v>0</v>
      </c>
    </row>
    <row r="948" spans="2:151" ht="18">
      <c r="B948" s="309"/>
      <c r="C948" s="13" t="s">
        <v>2807</v>
      </c>
      <c r="D948" s="13" t="s">
        <v>3188</v>
      </c>
      <c r="E948" s="13" t="s">
        <v>3328</v>
      </c>
      <c r="F948" s="13" t="s">
        <v>3329</v>
      </c>
      <c r="G948" s="43" t="s">
        <v>3330</v>
      </c>
      <c r="AB948" s="321">
        <v>45398</v>
      </c>
      <c r="AC948" s="41">
        <v>87</v>
      </c>
      <c r="AD948" s="41">
        <v>91</v>
      </c>
      <c r="AE948" s="321">
        <v>45428</v>
      </c>
      <c r="AF948" s="41">
        <v>0</v>
      </c>
      <c r="AG948" s="320">
        <v>0</v>
      </c>
      <c r="AH948" s="321">
        <v>45459</v>
      </c>
      <c r="AI948" s="41">
        <v>88</v>
      </c>
      <c r="AJ948" s="41">
        <v>92</v>
      </c>
      <c r="AK948" s="321">
        <v>45489</v>
      </c>
      <c r="AL948" s="41">
        <v>61</v>
      </c>
      <c r="AM948" s="41">
        <v>60</v>
      </c>
      <c r="AN948" s="321">
        <v>45520</v>
      </c>
      <c r="AO948" s="41">
        <v>75</v>
      </c>
      <c r="AP948" s="41">
        <v>75</v>
      </c>
      <c r="AR948" s="321">
        <v>45551</v>
      </c>
      <c r="AS948" s="41">
        <v>0</v>
      </c>
      <c r="AT948" s="41">
        <v>0</v>
      </c>
      <c r="AV948" s="321">
        <v>45581</v>
      </c>
      <c r="AW948" s="13">
        <v>125</v>
      </c>
      <c r="AX948" s="13">
        <v>93</v>
      </c>
      <c r="BA948" s="321">
        <v>45612</v>
      </c>
      <c r="BB948" s="13">
        <v>73</v>
      </c>
      <c r="BC948" s="13">
        <v>94</v>
      </c>
      <c r="BD948" s="321">
        <v>45642</v>
      </c>
      <c r="BE948" s="13">
        <v>86</v>
      </c>
      <c r="BF948" s="13">
        <v>79</v>
      </c>
      <c r="BG948" t="s">
        <v>3529</v>
      </c>
      <c r="BH948" s="321">
        <v>45673</v>
      </c>
      <c r="BI948" s="321"/>
      <c r="BJ948" s="13">
        <v>99</v>
      </c>
      <c r="BK948" s="13">
        <v>85</v>
      </c>
      <c r="BL948" s="314">
        <v>96</v>
      </c>
      <c r="BM948" s="314">
        <v>3</v>
      </c>
      <c r="BN948" s="321">
        <v>45704</v>
      </c>
      <c r="BO948" s="13">
        <v>95</v>
      </c>
      <c r="BP948" s="13"/>
      <c r="BQ948" s="13">
        <v>0</v>
      </c>
      <c r="BR948" s="13">
        <f t="shared" si="187"/>
        <v>95</v>
      </c>
      <c r="BS948" s="30">
        <v>90</v>
      </c>
      <c r="BT948" s="30">
        <v>13</v>
      </c>
      <c r="BU948" s="30">
        <v>46</v>
      </c>
      <c r="BV948" s="30">
        <f t="shared" si="169"/>
        <v>149</v>
      </c>
      <c r="BX948" s="321"/>
      <c r="BY948" s="13"/>
      <c r="BZ948" s="13"/>
      <c r="CA948" s="314"/>
      <c r="CB948" s="314"/>
      <c r="CC948" s="321">
        <v>45732</v>
      </c>
      <c r="CD948" s="13">
        <v>95</v>
      </c>
      <c r="CE948" s="13">
        <v>0</v>
      </c>
      <c r="CF948" s="13">
        <v>2</v>
      </c>
      <c r="CG948" s="13">
        <f t="shared" si="177"/>
        <v>97</v>
      </c>
      <c r="CH948" s="13">
        <v>118</v>
      </c>
      <c r="CI948" s="13"/>
      <c r="CJ948" s="13">
        <v>19</v>
      </c>
      <c r="CK948" s="30">
        <f t="shared" si="170"/>
        <v>137</v>
      </c>
      <c r="CM948" s="321">
        <v>45763</v>
      </c>
      <c r="CN948" s="13">
        <v>39</v>
      </c>
      <c r="CO948" s="13">
        <v>0</v>
      </c>
      <c r="CP948" s="13">
        <v>12</v>
      </c>
      <c r="CQ948" s="13">
        <f t="shared" si="178"/>
        <v>51</v>
      </c>
      <c r="CR948" s="13">
        <v>28</v>
      </c>
      <c r="CS948" s="13">
        <v>0</v>
      </c>
      <c r="CT948" s="13">
        <v>18</v>
      </c>
      <c r="CU948" s="30">
        <f t="shared" si="171"/>
        <v>46</v>
      </c>
      <c r="CW948" s="321">
        <v>45793</v>
      </c>
      <c r="CX948" s="13">
        <v>36</v>
      </c>
      <c r="CY948" s="13">
        <v>59</v>
      </c>
      <c r="CZ948" s="13">
        <v>8</v>
      </c>
      <c r="DA948" s="13">
        <f t="shared" si="179"/>
        <v>103</v>
      </c>
      <c r="DB948" s="13">
        <v>89</v>
      </c>
      <c r="DC948" s="13">
        <v>22</v>
      </c>
      <c r="DD948" s="13">
        <v>38</v>
      </c>
      <c r="DE948" s="30">
        <f t="shared" si="172"/>
        <v>149</v>
      </c>
      <c r="DG948" s="332" t="s">
        <v>3530</v>
      </c>
      <c r="DH948" s="13">
        <v>74</v>
      </c>
      <c r="DI948" s="13">
        <v>0</v>
      </c>
      <c r="DJ948" s="13">
        <v>23</v>
      </c>
      <c r="DK948" s="13">
        <f t="shared" si="180"/>
        <v>97</v>
      </c>
      <c r="DL948" s="13">
        <v>12</v>
      </c>
      <c r="DM948" s="13">
        <v>41</v>
      </c>
      <c r="DN948" s="13">
        <v>43</v>
      </c>
      <c r="DO948" s="30">
        <f t="shared" si="173"/>
        <v>96</v>
      </c>
      <c r="DQ948" s="332">
        <v>45854</v>
      </c>
      <c r="DR948" s="13">
        <v>0</v>
      </c>
      <c r="DS948" s="334">
        <v>86</v>
      </c>
      <c r="DT948" s="13">
        <v>26</v>
      </c>
      <c r="DU948" s="13">
        <f t="shared" si="184"/>
        <v>112</v>
      </c>
      <c r="DV948" s="13">
        <v>12</v>
      </c>
      <c r="DW948" s="13">
        <v>58</v>
      </c>
      <c r="DX948" s="13">
        <v>44</v>
      </c>
      <c r="DY948" s="30">
        <f t="shared" si="174"/>
        <v>114</v>
      </c>
      <c r="DZ948" t="s">
        <v>3528</v>
      </c>
      <c r="EC948" s="332">
        <v>45885</v>
      </c>
      <c r="ED948" s="13">
        <v>0</v>
      </c>
      <c r="EE948" s="13">
        <v>0</v>
      </c>
      <c r="EF948" s="13">
        <v>0</v>
      </c>
      <c r="EG948" s="13">
        <f t="shared" si="185"/>
        <v>0</v>
      </c>
      <c r="EH948" s="13">
        <v>0</v>
      </c>
      <c r="EI948" s="13">
        <v>33</v>
      </c>
      <c r="EJ948" s="13">
        <v>20</v>
      </c>
      <c r="EK948" s="30">
        <f t="shared" si="175"/>
        <v>53</v>
      </c>
      <c r="EM948" s="321">
        <v>45885</v>
      </c>
      <c r="EN948" s="89"/>
      <c r="EO948" s="89"/>
      <c r="EP948" s="89"/>
      <c r="EQ948" s="89">
        <f t="shared" si="186"/>
        <v>0</v>
      </c>
      <c r="ER948" s="89"/>
      <c r="ES948" s="89"/>
      <c r="ET948" s="89"/>
      <c r="EU948" s="30">
        <f t="shared" si="176"/>
        <v>0</v>
      </c>
    </row>
    <row r="949" spans="2:151">
      <c r="B949" s="40" t="s">
        <v>3367</v>
      </c>
      <c r="C949" s="41">
        <v>0</v>
      </c>
      <c r="D949" s="41">
        <f>27*3.9</f>
        <v>105.3</v>
      </c>
      <c r="E949" s="41">
        <f>1044+795</f>
        <v>1839</v>
      </c>
      <c r="F949" s="41">
        <v>1048</v>
      </c>
      <c r="G949" s="64">
        <v>0</v>
      </c>
      <c r="AB949" s="321">
        <v>45399</v>
      </c>
      <c r="AC949" s="41">
        <v>126</v>
      </c>
      <c r="AD949" s="41">
        <v>95</v>
      </c>
      <c r="AE949" s="321">
        <v>45429</v>
      </c>
      <c r="AF949" s="41">
        <v>77</v>
      </c>
      <c r="AG949" s="320">
        <v>69</v>
      </c>
      <c r="AH949" s="321">
        <v>45460</v>
      </c>
      <c r="AI949" s="41">
        <v>101</v>
      </c>
      <c r="AJ949" s="41">
        <v>71</v>
      </c>
      <c r="AK949" s="321">
        <v>45490</v>
      </c>
      <c r="AL949" s="41">
        <v>99</v>
      </c>
      <c r="AM949" s="41">
        <v>90</v>
      </c>
      <c r="AN949" s="321">
        <v>45521</v>
      </c>
      <c r="AO949" s="41">
        <v>90</v>
      </c>
      <c r="AP949" s="41">
        <v>75</v>
      </c>
      <c r="AR949" s="321">
        <v>45552</v>
      </c>
      <c r="AS949" s="41">
        <v>0</v>
      </c>
      <c r="AT949" s="41">
        <v>0</v>
      </c>
      <c r="AV949" s="321">
        <v>45582</v>
      </c>
      <c r="AW949" s="13">
        <v>100</v>
      </c>
      <c r="AX949" s="13">
        <v>77</v>
      </c>
      <c r="BA949" s="321">
        <v>45613</v>
      </c>
      <c r="BB949" s="13"/>
      <c r="BC949" s="13"/>
      <c r="BD949" s="321">
        <v>45643</v>
      </c>
      <c r="BE949" s="13">
        <v>104</v>
      </c>
      <c r="BF949" s="13">
        <v>88</v>
      </c>
      <c r="BG949" t="s">
        <v>3531</v>
      </c>
      <c r="BH949" s="321">
        <v>45674</v>
      </c>
      <c r="BI949" s="321"/>
      <c r="BJ949" s="13">
        <v>108</v>
      </c>
      <c r="BK949" s="13">
        <v>85</v>
      </c>
      <c r="BL949" s="314">
        <v>105</v>
      </c>
      <c r="BM949" s="314">
        <v>3</v>
      </c>
      <c r="BN949" s="321">
        <v>45705</v>
      </c>
      <c r="BO949" s="13">
        <v>89</v>
      </c>
      <c r="BP949" s="13"/>
      <c r="BQ949" s="13">
        <v>0</v>
      </c>
      <c r="BR949" s="13">
        <f t="shared" si="187"/>
        <v>89</v>
      </c>
      <c r="BS949" s="30">
        <v>87</v>
      </c>
      <c r="BT949" s="30">
        <v>50</v>
      </c>
      <c r="BU949" s="30">
        <v>12</v>
      </c>
      <c r="BV949" s="30">
        <f t="shared" si="169"/>
        <v>149</v>
      </c>
      <c r="BX949" s="321"/>
      <c r="BY949" s="13"/>
      <c r="BZ949" s="13"/>
      <c r="CA949" s="314"/>
      <c r="CB949" s="314"/>
      <c r="CC949" s="321">
        <v>45733</v>
      </c>
      <c r="CD949" s="13">
        <v>96</v>
      </c>
      <c r="CE949" s="13"/>
      <c r="CF949" s="13">
        <v>7</v>
      </c>
      <c r="CG949" s="13">
        <f t="shared" si="177"/>
        <v>103</v>
      </c>
      <c r="CH949" s="13">
        <v>107</v>
      </c>
      <c r="CI949" s="13"/>
      <c r="CJ949" s="13">
        <v>34</v>
      </c>
      <c r="CK949" s="30">
        <f t="shared" si="170"/>
        <v>141</v>
      </c>
      <c r="CM949" s="321">
        <v>45764</v>
      </c>
      <c r="CN949" s="13">
        <v>87</v>
      </c>
      <c r="CO949" s="13">
        <v>0</v>
      </c>
      <c r="CP949" s="13">
        <v>4</v>
      </c>
      <c r="CQ949" s="13">
        <f t="shared" si="178"/>
        <v>91</v>
      </c>
      <c r="CR949" s="13">
        <v>89</v>
      </c>
      <c r="CS949" s="13">
        <v>26</v>
      </c>
      <c r="CT949" s="13">
        <v>12</v>
      </c>
      <c r="CU949" s="30">
        <f t="shared" si="171"/>
        <v>127</v>
      </c>
      <c r="CW949" s="321">
        <v>45794</v>
      </c>
      <c r="CX949" s="13">
        <v>29</v>
      </c>
      <c r="CY949" s="13">
        <v>54</v>
      </c>
      <c r="CZ949" s="13">
        <v>14</v>
      </c>
      <c r="DA949" s="13">
        <f t="shared" si="179"/>
        <v>97</v>
      </c>
      <c r="DB949" s="13">
        <v>52</v>
      </c>
      <c r="DC949" s="13">
        <v>40</v>
      </c>
      <c r="DD949" s="13">
        <v>30</v>
      </c>
      <c r="DE949" s="30">
        <f t="shared" si="172"/>
        <v>122</v>
      </c>
      <c r="DG949" s="332">
        <v>45825</v>
      </c>
      <c r="DH949" s="13">
        <v>82</v>
      </c>
      <c r="DI949" s="13">
        <v>0</v>
      </c>
      <c r="DJ949" s="13">
        <v>7</v>
      </c>
      <c r="DK949" s="13">
        <f t="shared" si="180"/>
        <v>89</v>
      </c>
      <c r="DL949" s="13">
        <v>65</v>
      </c>
      <c r="DM949" s="13">
        <v>21</v>
      </c>
      <c r="DN949" s="13">
        <v>36</v>
      </c>
      <c r="DO949" s="30">
        <f t="shared" si="173"/>
        <v>122</v>
      </c>
      <c r="DQ949" s="332">
        <v>45855</v>
      </c>
      <c r="DR949" s="13">
        <v>98</v>
      </c>
      <c r="DS949" s="13">
        <v>0</v>
      </c>
      <c r="DT949" s="13">
        <v>2</v>
      </c>
      <c r="DU949" s="13">
        <f t="shared" si="184"/>
        <v>100</v>
      </c>
      <c r="DV949" s="13">
        <v>65</v>
      </c>
      <c r="DW949" s="13">
        <v>14</v>
      </c>
      <c r="DX949" s="13">
        <v>33</v>
      </c>
      <c r="DY949" s="30">
        <f t="shared" si="174"/>
        <v>112</v>
      </c>
      <c r="EC949" s="329">
        <v>45886</v>
      </c>
      <c r="ED949" s="13">
        <v>93</v>
      </c>
      <c r="EE949" s="13">
        <v>0</v>
      </c>
      <c r="EF949" s="13">
        <v>6</v>
      </c>
      <c r="EG949" s="13">
        <f t="shared" si="185"/>
        <v>99</v>
      </c>
      <c r="EH949" s="13">
        <v>79</v>
      </c>
      <c r="EI949" s="13">
        <v>6</v>
      </c>
      <c r="EJ949" s="13">
        <v>0</v>
      </c>
      <c r="EK949" s="30">
        <f t="shared" si="175"/>
        <v>85</v>
      </c>
      <c r="EM949" s="321">
        <v>45886</v>
      </c>
      <c r="EN949" s="89"/>
      <c r="EO949" s="89"/>
      <c r="EP949" s="89"/>
      <c r="EQ949" s="89">
        <f t="shared" si="186"/>
        <v>0</v>
      </c>
      <c r="ER949" s="89"/>
      <c r="ES949" s="89"/>
      <c r="ET949" s="89"/>
      <c r="EU949" s="30">
        <f t="shared" si="176"/>
        <v>0</v>
      </c>
    </row>
    <row r="950" spans="2:151">
      <c r="B950" s="40" t="s">
        <v>3184</v>
      </c>
      <c r="C950" s="41">
        <v>26985</v>
      </c>
      <c r="D950" s="41">
        <v>3721</v>
      </c>
      <c r="E950" s="41">
        <f>2599+6675</f>
        <v>9274</v>
      </c>
      <c r="F950" s="41">
        <v>3890</v>
      </c>
      <c r="G950" s="64">
        <v>0</v>
      </c>
      <c r="AB950" s="321">
        <v>45400</v>
      </c>
      <c r="AC950" s="41">
        <v>147</v>
      </c>
      <c r="AD950" s="41">
        <v>97</v>
      </c>
      <c r="AE950" s="321">
        <v>45430</v>
      </c>
      <c r="AF950" s="41">
        <v>115</v>
      </c>
      <c r="AG950" s="320">
        <v>69</v>
      </c>
      <c r="AH950" s="321">
        <v>45461</v>
      </c>
      <c r="AI950" s="41">
        <v>106</v>
      </c>
      <c r="AJ950" s="41">
        <v>90</v>
      </c>
      <c r="AK950" s="321">
        <v>45491</v>
      </c>
      <c r="AL950" s="41">
        <v>93</v>
      </c>
      <c r="AM950" s="41">
        <v>77</v>
      </c>
      <c r="AN950" s="321">
        <v>45522</v>
      </c>
      <c r="AO950" s="41">
        <v>86</v>
      </c>
      <c r="AP950" s="41">
        <v>91</v>
      </c>
      <c r="AR950" s="321">
        <v>45553</v>
      </c>
      <c r="AS950" s="41">
        <v>0</v>
      </c>
      <c r="AT950" s="41">
        <v>0</v>
      </c>
      <c r="AV950" s="321">
        <v>45583</v>
      </c>
      <c r="AW950" s="13">
        <v>128</v>
      </c>
      <c r="AX950" s="13">
        <v>75</v>
      </c>
      <c r="BA950" s="321">
        <v>45614</v>
      </c>
      <c r="BB950" s="13">
        <v>91</v>
      </c>
      <c r="BC950" s="13">
        <v>88</v>
      </c>
      <c r="BD950" s="321">
        <v>45644</v>
      </c>
      <c r="BE950" s="13">
        <v>87</v>
      </c>
      <c r="BF950" s="13">
        <v>94</v>
      </c>
      <c r="BG950" t="s">
        <v>3532</v>
      </c>
      <c r="BH950" s="321">
        <v>45675</v>
      </c>
      <c r="BI950" s="321"/>
      <c r="BJ950" s="13">
        <v>117</v>
      </c>
      <c r="BK950" s="13">
        <v>81</v>
      </c>
      <c r="BL950" s="314">
        <v>114</v>
      </c>
      <c r="BM950" s="314">
        <v>3</v>
      </c>
      <c r="BN950" s="321">
        <v>45706</v>
      </c>
      <c r="BO950" s="13">
        <v>86</v>
      </c>
      <c r="BP950" s="13"/>
      <c r="BQ950" s="13">
        <v>0</v>
      </c>
      <c r="BR950" s="13">
        <f t="shared" si="187"/>
        <v>86</v>
      </c>
      <c r="BS950" s="30">
        <v>89</v>
      </c>
      <c r="BT950" s="30">
        <v>52</v>
      </c>
      <c r="BU950" s="30">
        <v>6</v>
      </c>
      <c r="BV950" s="30">
        <f t="shared" si="169"/>
        <v>147</v>
      </c>
      <c r="BX950" s="321"/>
      <c r="BY950" s="13"/>
      <c r="BZ950" s="13"/>
      <c r="CA950" s="314"/>
      <c r="CB950" s="314"/>
      <c r="CC950" s="321">
        <v>45734</v>
      </c>
      <c r="CD950" s="13">
        <v>66</v>
      </c>
      <c r="CE950" s="13">
        <v>39</v>
      </c>
      <c r="CF950" s="13">
        <v>2</v>
      </c>
      <c r="CG950" s="13">
        <f t="shared" si="177"/>
        <v>107</v>
      </c>
      <c r="CH950" s="13">
        <v>135</v>
      </c>
      <c r="CI950" s="13"/>
      <c r="CJ950" s="13">
        <v>13</v>
      </c>
      <c r="CK950" s="30">
        <f t="shared" si="170"/>
        <v>148</v>
      </c>
      <c r="CM950" s="321">
        <v>45765</v>
      </c>
      <c r="CN950" s="13">
        <v>92</v>
      </c>
      <c r="CO950" s="13">
        <v>0</v>
      </c>
      <c r="CP950" s="13">
        <v>4</v>
      </c>
      <c r="CQ950" s="13">
        <f t="shared" si="178"/>
        <v>96</v>
      </c>
      <c r="CR950" s="13">
        <v>100</v>
      </c>
      <c r="CS950" s="13">
        <v>42</v>
      </c>
      <c r="CT950" s="13">
        <v>2</v>
      </c>
      <c r="CU950" s="30">
        <f t="shared" si="171"/>
        <v>144</v>
      </c>
      <c r="CW950" s="329">
        <v>45795</v>
      </c>
      <c r="CX950" s="13">
        <v>0</v>
      </c>
      <c r="CY950" s="13">
        <v>0</v>
      </c>
      <c r="CZ950" s="13">
        <v>0</v>
      </c>
      <c r="DA950" s="13">
        <f t="shared" si="179"/>
        <v>0</v>
      </c>
      <c r="DB950" s="13">
        <v>0</v>
      </c>
      <c r="DC950" s="13">
        <v>0</v>
      </c>
      <c r="DD950" s="13">
        <v>0</v>
      </c>
      <c r="DE950" s="30">
        <f t="shared" si="172"/>
        <v>0</v>
      </c>
      <c r="DG950" s="332">
        <v>45826</v>
      </c>
      <c r="DH950" s="13">
        <v>58</v>
      </c>
      <c r="DI950" s="13">
        <v>0</v>
      </c>
      <c r="DJ950" s="13">
        <v>35</v>
      </c>
      <c r="DK950" s="13">
        <f t="shared" si="180"/>
        <v>93</v>
      </c>
      <c r="DL950" s="13">
        <v>46</v>
      </c>
      <c r="DM950" s="13">
        <v>74</v>
      </c>
      <c r="DN950" s="13">
        <v>9</v>
      </c>
      <c r="DO950" s="30">
        <f t="shared" si="173"/>
        <v>129</v>
      </c>
      <c r="DQ950" s="332">
        <v>45856</v>
      </c>
      <c r="DR950" s="13">
        <v>62</v>
      </c>
      <c r="DS950" s="13">
        <v>0</v>
      </c>
      <c r="DT950" s="13">
        <v>53</v>
      </c>
      <c r="DU950" s="13">
        <f t="shared" si="184"/>
        <v>115</v>
      </c>
      <c r="DV950" s="13">
        <v>40</v>
      </c>
      <c r="DW950" s="13">
        <v>30</v>
      </c>
      <c r="DX950" s="13">
        <v>45</v>
      </c>
      <c r="DY950" s="30">
        <f t="shared" si="174"/>
        <v>115</v>
      </c>
      <c r="EC950" s="332">
        <v>45887</v>
      </c>
      <c r="ED950" s="13">
        <v>87</v>
      </c>
      <c r="EE950" s="13">
        <v>0</v>
      </c>
      <c r="EF950" s="13">
        <v>11</v>
      </c>
      <c r="EG950" s="13">
        <f t="shared" si="185"/>
        <v>98</v>
      </c>
      <c r="EH950" s="13">
        <v>55</v>
      </c>
      <c r="EI950" s="13">
        <v>55</v>
      </c>
      <c r="EJ950" s="13">
        <v>15</v>
      </c>
      <c r="EK950" s="30">
        <f t="shared" si="175"/>
        <v>125</v>
      </c>
      <c r="EM950" s="321">
        <v>45887</v>
      </c>
      <c r="EN950" s="89"/>
      <c r="EO950" s="89"/>
      <c r="EP950" s="89"/>
      <c r="EQ950" s="89">
        <f t="shared" si="186"/>
        <v>0</v>
      </c>
      <c r="ER950" s="89"/>
      <c r="ES950" s="89"/>
      <c r="ET950" s="89"/>
      <c r="EU950" s="30">
        <f t="shared" si="176"/>
        <v>0</v>
      </c>
    </row>
    <row r="951" spans="2:151">
      <c r="B951" s="40" t="s">
        <v>3185</v>
      </c>
      <c r="C951" s="41">
        <v>26985</v>
      </c>
      <c r="D951" s="41">
        <f>3970-147-102</f>
        <v>3721</v>
      </c>
      <c r="E951" s="89">
        <v>8587</v>
      </c>
      <c r="F951" s="41">
        <v>4456</v>
      </c>
      <c r="G951" s="64">
        <v>0</v>
      </c>
      <c r="AB951" s="321">
        <v>45401</v>
      </c>
      <c r="AC951" s="41">
        <v>112</v>
      </c>
      <c r="AD951" s="41">
        <v>93</v>
      </c>
      <c r="AE951" s="321">
        <v>45431</v>
      </c>
      <c r="AF951" s="41">
        <v>107</v>
      </c>
      <c r="AG951" s="320">
        <v>88</v>
      </c>
      <c r="AH951" s="321">
        <v>45462</v>
      </c>
      <c r="AI951" s="41">
        <v>106</v>
      </c>
      <c r="AJ951" s="41">
        <v>86</v>
      </c>
      <c r="AK951" s="321">
        <v>45492</v>
      </c>
      <c r="AL951" s="41">
        <v>99</v>
      </c>
      <c r="AM951" s="41">
        <v>89</v>
      </c>
      <c r="AN951" s="321">
        <v>45523</v>
      </c>
      <c r="AO951" s="41">
        <v>125</v>
      </c>
      <c r="AP951" s="41">
        <v>91</v>
      </c>
      <c r="AR951" s="321">
        <v>45554</v>
      </c>
      <c r="AS951" s="41">
        <v>37</v>
      </c>
      <c r="AT951" s="41">
        <v>42</v>
      </c>
      <c r="AV951" s="321">
        <v>45584</v>
      </c>
      <c r="AW951" s="13">
        <v>112</v>
      </c>
      <c r="AX951" s="13">
        <v>90</v>
      </c>
      <c r="BA951" s="321">
        <v>45615</v>
      </c>
      <c r="BB951" s="13">
        <v>87</v>
      </c>
      <c r="BC951" s="13">
        <v>86</v>
      </c>
      <c r="BD951" s="321">
        <v>45645</v>
      </c>
      <c r="BE951" s="13">
        <f>79+46</f>
        <v>125</v>
      </c>
      <c r="BF951" s="13">
        <v>89</v>
      </c>
      <c r="BG951" t="s">
        <v>3533</v>
      </c>
      <c r="BH951" s="321">
        <v>45676</v>
      </c>
      <c r="BI951" s="321"/>
      <c r="BJ951" s="13">
        <v>69</v>
      </c>
      <c r="BK951" s="13">
        <v>73</v>
      </c>
      <c r="BL951" s="13">
        <v>69</v>
      </c>
      <c r="BM951" s="13"/>
      <c r="BN951" s="321">
        <v>45707</v>
      </c>
      <c r="BO951" s="13">
        <v>97</v>
      </c>
      <c r="BP951" s="13"/>
      <c r="BQ951" s="13">
        <v>0</v>
      </c>
      <c r="BR951" s="13">
        <f t="shared" si="187"/>
        <v>97</v>
      </c>
      <c r="BS951" s="30">
        <v>88</v>
      </c>
      <c r="BT951" s="30">
        <v>46</v>
      </c>
      <c r="BU951" s="30">
        <v>11</v>
      </c>
      <c r="BV951" s="30">
        <f t="shared" si="169"/>
        <v>145</v>
      </c>
      <c r="BX951" s="321"/>
      <c r="BY951" s="13"/>
      <c r="BZ951" s="13"/>
      <c r="CA951" s="13"/>
      <c r="CB951" s="13"/>
      <c r="CC951" s="321">
        <v>45735</v>
      </c>
      <c r="CD951" s="13">
        <v>43</v>
      </c>
      <c r="CE951" s="13">
        <v>42</v>
      </c>
      <c r="CF951" s="13">
        <v>14</v>
      </c>
      <c r="CG951" s="13">
        <f t="shared" si="177"/>
        <v>99</v>
      </c>
      <c r="CH951" s="13">
        <v>101</v>
      </c>
      <c r="CI951" s="13">
        <v>34</v>
      </c>
      <c r="CJ951" s="13">
        <v>16</v>
      </c>
      <c r="CK951" s="30">
        <f t="shared" si="170"/>
        <v>151</v>
      </c>
      <c r="CM951" s="321">
        <v>45766</v>
      </c>
      <c r="CN951" s="13">
        <v>76</v>
      </c>
      <c r="CO951" s="13">
        <v>0</v>
      </c>
      <c r="CP951" s="13">
        <v>19</v>
      </c>
      <c r="CQ951" s="13">
        <f t="shared" si="178"/>
        <v>95</v>
      </c>
      <c r="CR951" s="13">
        <v>92</v>
      </c>
      <c r="CS951" s="13">
        <v>55</v>
      </c>
      <c r="CT951" s="13">
        <v>2</v>
      </c>
      <c r="CU951" s="30">
        <f t="shared" si="171"/>
        <v>149</v>
      </c>
      <c r="CW951" s="321">
        <v>45796</v>
      </c>
      <c r="CX951" s="13">
        <v>85</v>
      </c>
      <c r="CY951" s="13">
        <v>0</v>
      </c>
      <c r="CZ951" s="13">
        <v>12</v>
      </c>
      <c r="DA951" s="13">
        <f t="shared" si="179"/>
        <v>97</v>
      </c>
      <c r="DB951" s="13">
        <v>81</v>
      </c>
      <c r="DC951" s="13">
        <v>24</v>
      </c>
      <c r="DD951" s="13">
        <v>27</v>
      </c>
      <c r="DE951" s="30">
        <f t="shared" si="172"/>
        <v>132</v>
      </c>
      <c r="DG951" s="332">
        <v>45827</v>
      </c>
      <c r="DH951" s="13">
        <v>65</v>
      </c>
      <c r="DI951" s="13">
        <v>0</v>
      </c>
      <c r="DJ951" s="13">
        <v>23</v>
      </c>
      <c r="DK951" s="13">
        <f t="shared" si="180"/>
        <v>88</v>
      </c>
      <c r="DL951" s="13">
        <v>52</v>
      </c>
      <c r="DM951" s="13">
        <v>60</v>
      </c>
      <c r="DN951" s="13">
        <v>7</v>
      </c>
      <c r="DO951" s="30">
        <f t="shared" si="173"/>
        <v>119</v>
      </c>
      <c r="DQ951" s="332">
        <v>45857</v>
      </c>
      <c r="DR951" s="13">
        <v>69</v>
      </c>
      <c r="DS951" s="13">
        <v>0</v>
      </c>
      <c r="DT951" s="13">
        <v>30</v>
      </c>
      <c r="DU951" s="13">
        <f t="shared" si="184"/>
        <v>99</v>
      </c>
      <c r="DV951" s="13">
        <v>47</v>
      </c>
      <c r="DW951" s="13">
        <v>0</v>
      </c>
      <c r="DX951" s="13">
        <v>32</v>
      </c>
      <c r="DY951" s="30">
        <f t="shared" si="174"/>
        <v>79</v>
      </c>
      <c r="EC951" s="332">
        <v>45888</v>
      </c>
      <c r="ED951" s="13">
        <v>85</v>
      </c>
      <c r="EE951" s="13">
        <v>0</v>
      </c>
      <c r="EF951" s="13">
        <v>14</v>
      </c>
      <c r="EG951" s="13">
        <f t="shared" si="185"/>
        <v>99</v>
      </c>
      <c r="EH951" s="13">
        <v>34</v>
      </c>
      <c r="EI951" s="13">
        <v>95</v>
      </c>
      <c r="EJ951" s="13">
        <v>6</v>
      </c>
      <c r="EK951" s="30">
        <f t="shared" si="175"/>
        <v>135</v>
      </c>
      <c r="EM951" s="321">
        <v>45888</v>
      </c>
      <c r="EN951" s="89"/>
      <c r="EO951" s="89"/>
      <c r="EP951" s="89"/>
      <c r="EQ951" s="89">
        <f t="shared" si="186"/>
        <v>0</v>
      </c>
      <c r="ER951" s="89"/>
      <c r="ES951" s="89"/>
      <c r="ET951" s="89"/>
      <c r="EU951" s="30">
        <f t="shared" si="176"/>
        <v>0</v>
      </c>
    </row>
    <row r="952" spans="2:151">
      <c r="B952" s="891" t="s">
        <v>3534</v>
      </c>
      <c r="C952" s="886">
        <f>+C950-C951</f>
        <v>0</v>
      </c>
      <c r="D952" s="889">
        <f>+D949+D950-D951</f>
        <v>105.30000000000018</v>
      </c>
      <c r="E952" s="886">
        <f>+E949+E950-E951</f>
        <v>2526</v>
      </c>
      <c r="F952" s="886">
        <f>+F949+F950-F951</f>
        <v>482</v>
      </c>
      <c r="G952" s="887">
        <v>0</v>
      </c>
      <c r="AB952" s="321">
        <v>45402</v>
      </c>
      <c r="AC952" s="41">
        <v>112</v>
      </c>
      <c r="AD952" s="41">
        <v>89</v>
      </c>
      <c r="AE952" s="321">
        <v>45432</v>
      </c>
      <c r="AF952" s="41">
        <v>114</v>
      </c>
      <c r="AG952" s="320">
        <v>77</v>
      </c>
      <c r="AH952" s="321">
        <v>45463</v>
      </c>
      <c r="AI952" s="41">
        <v>87</v>
      </c>
      <c r="AJ952" s="41">
        <v>73</v>
      </c>
      <c r="AK952" s="321">
        <v>45493</v>
      </c>
      <c r="AL952" s="41">
        <v>94</v>
      </c>
      <c r="AM952" s="41">
        <v>55</v>
      </c>
      <c r="AN952" s="321">
        <v>45524</v>
      </c>
      <c r="AO952" s="41">
        <v>110</v>
      </c>
      <c r="AP952" s="41">
        <v>91</v>
      </c>
      <c r="AR952" s="321">
        <v>45555</v>
      </c>
      <c r="AS952" s="41">
        <v>66</v>
      </c>
      <c r="AT952" s="41">
        <v>60</v>
      </c>
      <c r="AV952" s="321">
        <v>45585</v>
      </c>
      <c r="AW952" s="13">
        <v>87</v>
      </c>
      <c r="AX952" s="13">
        <v>96</v>
      </c>
      <c r="BA952" s="321">
        <v>45616</v>
      </c>
      <c r="BB952" s="13">
        <v>86</v>
      </c>
      <c r="BC952" s="13">
        <v>85</v>
      </c>
      <c r="BD952" s="321">
        <v>45646</v>
      </c>
      <c r="BE952" s="13">
        <v>121</v>
      </c>
      <c r="BF952" s="13">
        <v>93</v>
      </c>
      <c r="BG952" t="s">
        <v>3535</v>
      </c>
      <c r="BH952" s="321">
        <v>45677</v>
      </c>
      <c r="BI952" s="321"/>
      <c r="BJ952" s="13">
        <v>94</v>
      </c>
      <c r="BK952" s="13">
        <v>77</v>
      </c>
      <c r="BL952" s="13">
        <v>94</v>
      </c>
      <c r="BM952" s="13"/>
      <c r="BN952" s="321">
        <v>45708</v>
      </c>
      <c r="BO952" s="13">
        <v>74</v>
      </c>
      <c r="BP952" s="13">
        <v>16</v>
      </c>
      <c r="BQ952" s="13">
        <v>2</v>
      </c>
      <c r="BR952" s="13">
        <f t="shared" si="187"/>
        <v>92</v>
      </c>
      <c r="BS952" s="30">
        <v>91</v>
      </c>
      <c r="BT952" s="30">
        <v>46</v>
      </c>
      <c r="BU952" s="30">
        <v>13</v>
      </c>
      <c r="BV952" s="30">
        <f t="shared" si="169"/>
        <v>150</v>
      </c>
      <c r="BX952" s="321"/>
      <c r="BY952" s="13"/>
      <c r="BZ952" s="13"/>
      <c r="CA952" s="13"/>
      <c r="CB952" s="13"/>
      <c r="CC952" s="321">
        <v>45736</v>
      </c>
      <c r="CD952" s="13">
        <v>62</v>
      </c>
      <c r="CE952" s="13">
        <v>31</v>
      </c>
      <c r="CF952" s="13">
        <v>10</v>
      </c>
      <c r="CG952" s="13">
        <f t="shared" si="177"/>
        <v>103</v>
      </c>
      <c r="CH952" s="13">
        <v>95</v>
      </c>
      <c r="CI952" s="13">
        <v>43</v>
      </c>
      <c r="CJ952" s="13">
        <v>9</v>
      </c>
      <c r="CK952" s="30">
        <f t="shared" si="170"/>
        <v>147</v>
      </c>
      <c r="CM952" s="329">
        <v>45767</v>
      </c>
      <c r="CN952" s="314">
        <v>94</v>
      </c>
      <c r="CO952" s="314">
        <v>0</v>
      </c>
      <c r="CP952" s="314">
        <v>0</v>
      </c>
      <c r="CQ952" s="314">
        <f t="shared" si="178"/>
        <v>94</v>
      </c>
      <c r="CR952" s="314">
        <v>90</v>
      </c>
      <c r="CS952" s="314">
        <v>51</v>
      </c>
      <c r="CT952" s="314">
        <v>6</v>
      </c>
      <c r="CU952" s="327">
        <f t="shared" si="171"/>
        <v>147</v>
      </c>
      <c r="CW952" s="321">
        <v>45797</v>
      </c>
      <c r="CX952" s="13">
        <v>82</v>
      </c>
      <c r="CY952" s="13">
        <v>0</v>
      </c>
      <c r="CZ952" s="13">
        <v>15</v>
      </c>
      <c r="DA952" s="314">
        <f t="shared" si="179"/>
        <v>97</v>
      </c>
      <c r="DB952" s="13">
        <v>77</v>
      </c>
      <c r="DC952" s="13">
        <v>39</v>
      </c>
      <c r="DD952" s="13">
        <v>14</v>
      </c>
      <c r="DE952" s="327">
        <f t="shared" si="172"/>
        <v>130</v>
      </c>
      <c r="DG952" s="332">
        <v>45828</v>
      </c>
      <c r="DH952" s="13">
        <v>85</v>
      </c>
      <c r="DI952" s="13">
        <v>0</v>
      </c>
      <c r="DJ952" s="13">
        <v>14</v>
      </c>
      <c r="DK952" s="314">
        <f t="shared" si="180"/>
        <v>99</v>
      </c>
      <c r="DL952" s="13">
        <v>0</v>
      </c>
      <c r="DM952" s="13">
        <v>57</v>
      </c>
      <c r="DN952" s="13">
        <v>48</v>
      </c>
      <c r="DO952" s="327">
        <f t="shared" si="173"/>
        <v>105</v>
      </c>
      <c r="DQ952" s="332">
        <v>45858</v>
      </c>
      <c r="DR952" s="13">
        <v>0</v>
      </c>
      <c r="DS952" s="13">
        <v>0</v>
      </c>
      <c r="DT952" s="13">
        <v>0</v>
      </c>
      <c r="DU952" s="314">
        <f t="shared" si="184"/>
        <v>0</v>
      </c>
      <c r="DV952" s="13">
        <v>0</v>
      </c>
      <c r="DW952" s="13">
        <v>0</v>
      </c>
      <c r="DX952" s="13">
        <v>0</v>
      </c>
      <c r="DY952" s="327">
        <f t="shared" si="174"/>
        <v>0</v>
      </c>
      <c r="EC952" s="332" t="s">
        <v>3536</v>
      </c>
      <c r="ED952" s="13">
        <v>80</v>
      </c>
      <c r="EE952" s="13">
        <v>0</v>
      </c>
      <c r="EF952" s="13">
        <v>17</v>
      </c>
      <c r="EG952" s="314">
        <f t="shared" si="185"/>
        <v>97</v>
      </c>
      <c r="EH952" s="13">
        <v>47</v>
      </c>
      <c r="EI952" s="13">
        <v>78</v>
      </c>
      <c r="EJ952" s="13">
        <v>11</v>
      </c>
      <c r="EK952" s="327">
        <f t="shared" si="175"/>
        <v>136</v>
      </c>
      <c r="EM952" s="321" t="s">
        <v>3536</v>
      </c>
      <c r="EN952" s="89"/>
      <c r="EO952" s="89"/>
      <c r="EP952" s="89"/>
      <c r="EQ952" s="89">
        <f t="shared" si="186"/>
        <v>0</v>
      </c>
      <c r="ER952" s="89"/>
      <c r="ES952" s="89"/>
      <c r="ET952" s="89"/>
      <c r="EU952" s="327">
        <f t="shared" si="176"/>
        <v>0</v>
      </c>
    </row>
    <row r="953" spans="2:151">
      <c r="D953" s="890"/>
      <c r="AB953" s="321">
        <v>45403</v>
      </c>
      <c r="AC953" s="41">
        <v>90</v>
      </c>
      <c r="AD953" s="41">
        <v>45</v>
      </c>
      <c r="AE953" s="321">
        <v>45433</v>
      </c>
      <c r="AF953" s="41">
        <v>88</v>
      </c>
      <c r="AG953" s="320">
        <v>81</v>
      </c>
      <c r="AH953" s="321">
        <v>45464</v>
      </c>
      <c r="AI953" s="41">
        <v>88</v>
      </c>
      <c r="AJ953" s="41">
        <v>89</v>
      </c>
      <c r="AK953" s="321">
        <v>45494</v>
      </c>
      <c r="AL953" s="41">
        <v>58</v>
      </c>
      <c r="AM953" s="41">
        <v>52</v>
      </c>
      <c r="AN953" s="321">
        <v>45525</v>
      </c>
      <c r="AO953" s="41">
        <v>99</v>
      </c>
      <c r="AP953" s="41">
        <v>80</v>
      </c>
      <c r="AR953" s="321">
        <v>45556</v>
      </c>
      <c r="AS953" s="41">
        <v>93</v>
      </c>
      <c r="AT953" s="41">
        <v>75</v>
      </c>
      <c r="AV953" s="321">
        <v>45586</v>
      </c>
      <c r="AW953" s="13">
        <v>83</v>
      </c>
      <c r="AX953" s="13">
        <v>65</v>
      </c>
      <c r="BA953" s="321">
        <v>45617</v>
      </c>
      <c r="BB953" s="13">
        <v>85</v>
      </c>
      <c r="BC953" s="13">
        <v>83</v>
      </c>
      <c r="BD953" s="321">
        <v>45647</v>
      </c>
      <c r="BE953" s="13">
        <v>117</v>
      </c>
      <c r="BF953" s="13">
        <v>83</v>
      </c>
      <c r="BG953" t="s">
        <v>3537</v>
      </c>
      <c r="BH953" s="321">
        <v>45678</v>
      </c>
      <c r="BI953" s="321"/>
      <c r="BJ953" s="13">
        <v>119</v>
      </c>
      <c r="BK953" s="13">
        <v>86</v>
      </c>
      <c r="BL953" s="13">
        <v>119</v>
      </c>
      <c r="BM953" s="13"/>
      <c r="BN953" s="321">
        <v>45709</v>
      </c>
      <c r="BO953" s="13">
        <v>75</v>
      </c>
      <c r="BP953" s="13">
        <v>16</v>
      </c>
      <c r="BQ953" s="13"/>
      <c r="BR953" s="13">
        <f t="shared" si="187"/>
        <v>91</v>
      </c>
      <c r="BS953" s="30">
        <v>113</v>
      </c>
      <c r="BT953" s="30">
        <v>18</v>
      </c>
      <c r="BU953" s="30">
        <v>21</v>
      </c>
      <c r="BV953" s="30">
        <f t="shared" si="169"/>
        <v>152</v>
      </c>
      <c r="BX953" s="321"/>
      <c r="BY953" s="13"/>
      <c r="BZ953" s="13"/>
      <c r="CA953" s="13"/>
      <c r="CB953" s="13"/>
      <c r="CC953" s="321">
        <v>45737</v>
      </c>
      <c r="CD953" s="13">
        <v>84</v>
      </c>
      <c r="CE953" s="13"/>
      <c r="CF953" s="13">
        <v>13</v>
      </c>
      <c r="CG953" s="13">
        <f t="shared" si="177"/>
        <v>97</v>
      </c>
      <c r="CH953" s="13">
        <v>105</v>
      </c>
      <c r="CI953" s="13">
        <v>44</v>
      </c>
      <c r="CJ953" s="13"/>
      <c r="CK953" s="30">
        <f t="shared" si="170"/>
        <v>149</v>
      </c>
      <c r="CM953" s="321">
        <v>45768</v>
      </c>
      <c r="CN953" s="13">
        <v>78</v>
      </c>
      <c r="CO953" s="13">
        <v>0</v>
      </c>
      <c r="CP953" s="13">
        <v>17</v>
      </c>
      <c r="CQ953" s="13">
        <f t="shared" si="178"/>
        <v>95</v>
      </c>
      <c r="CR953" s="13">
        <v>89</v>
      </c>
      <c r="CS953" s="13">
        <v>53</v>
      </c>
      <c r="CT953" s="13">
        <v>1</v>
      </c>
      <c r="CU953" s="30">
        <f t="shared" si="171"/>
        <v>143</v>
      </c>
      <c r="CW953" s="321">
        <v>45798</v>
      </c>
      <c r="CX953" s="13">
        <v>87</v>
      </c>
      <c r="CY953" s="13">
        <v>0</v>
      </c>
      <c r="CZ953" s="13">
        <v>14</v>
      </c>
      <c r="DA953" s="13">
        <f t="shared" si="179"/>
        <v>101</v>
      </c>
      <c r="DB953" s="13">
        <v>85</v>
      </c>
      <c r="DC953" s="13">
        <v>42</v>
      </c>
      <c r="DD953" s="13">
        <v>10</v>
      </c>
      <c r="DE953" s="30">
        <f t="shared" si="172"/>
        <v>137</v>
      </c>
      <c r="DG953" s="332">
        <v>45829</v>
      </c>
      <c r="DH953" s="13">
        <v>80</v>
      </c>
      <c r="DI953" s="13">
        <v>0</v>
      </c>
      <c r="DJ953" s="13">
        <v>17</v>
      </c>
      <c r="DK953" s="13">
        <f t="shared" si="180"/>
        <v>97</v>
      </c>
      <c r="DL953" s="13">
        <v>43</v>
      </c>
      <c r="DM953" s="13">
        <v>41</v>
      </c>
      <c r="DN953" s="13">
        <v>40</v>
      </c>
      <c r="DO953" s="30">
        <f t="shared" si="173"/>
        <v>124</v>
      </c>
      <c r="DQ953" s="332">
        <v>45859</v>
      </c>
      <c r="DR953" s="13">
        <v>80</v>
      </c>
      <c r="DS953" s="13">
        <v>0</v>
      </c>
      <c r="DT953" s="13">
        <v>19</v>
      </c>
      <c r="DU953" s="13">
        <f t="shared" si="184"/>
        <v>99</v>
      </c>
      <c r="DV953" s="13">
        <v>78</v>
      </c>
      <c r="DW953" s="13">
        <v>0</v>
      </c>
      <c r="DX953" s="13">
        <v>38</v>
      </c>
      <c r="DY953" s="30">
        <f t="shared" si="174"/>
        <v>116</v>
      </c>
      <c r="EC953" s="332">
        <v>45890</v>
      </c>
      <c r="ED953" s="13">
        <v>91</v>
      </c>
      <c r="EE953" s="13">
        <v>0</v>
      </c>
      <c r="EF953" s="13">
        <v>8</v>
      </c>
      <c r="EG953" s="13">
        <f t="shared" si="185"/>
        <v>99</v>
      </c>
      <c r="EH953" s="13">
        <v>111</v>
      </c>
      <c r="EI953" s="13">
        <v>17</v>
      </c>
      <c r="EJ953" s="13">
        <v>14</v>
      </c>
      <c r="EK953" s="30">
        <f t="shared" si="175"/>
        <v>142</v>
      </c>
      <c r="EM953" s="321">
        <v>45890</v>
      </c>
      <c r="EN953" s="89"/>
      <c r="EO953" s="89"/>
      <c r="EP953" s="89"/>
      <c r="EQ953" s="89">
        <f t="shared" si="186"/>
        <v>0</v>
      </c>
      <c r="ER953" s="89"/>
      <c r="ES953" s="89"/>
      <c r="ET953" s="89"/>
      <c r="EU953" s="30">
        <f t="shared" si="176"/>
        <v>0</v>
      </c>
    </row>
    <row r="954" spans="2:151">
      <c r="D954" s="890"/>
      <c r="AB954" s="321">
        <v>45404</v>
      </c>
      <c r="AC954" s="41">
        <v>62</v>
      </c>
      <c r="AD954" s="41">
        <v>88</v>
      </c>
      <c r="AE954" s="321">
        <v>45434</v>
      </c>
      <c r="AF954" s="41">
        <v>117</v>
      </c>
      <c r="AG954" s="320">
        <v>90</v>
      </c>
      <c r="AH954" s="321">
        <v>45465</v>
      </c>
      <c r="AI954" s="41">
        <v>69</v>
      </c>
      <c r="AJ954" s="41">
        <v>89</v>
      </c>
      <c r="AK954" s="321">
        <v>45495</v>
      </c>
      <c r="AL954" s="41">
        <v>93</v>
      </c>
      <c r="AM954" s="41">
        <v>78</v>
      </c>
      <c r="AN954" s="321">
        <v>45526</v>
      </c>
      <c r="AO954" s="41">
        <v>115</v>
      </c>
      <c r="AP954" s="41">
        <v>84</v>
      </c>
      <c r="AR954" s="321">
        <v>45557</v>
      </c>
      <c r="AS954" s="41">
        <v>48</v>
      </c>
      <c r="AT954" s="41">
        <v>73</v>
      </c>
      <c r="AV954" s="321">
        <v>45587</v>
      </c>
      <c r="AW954" s="13">
        <v>85</v>
      </c>
      <c r="AX954" s="13">
        <v>84</v>
      </c>
      <c r="BA954" s="321">
        <v>45618</v>
      </c>
      <c r="BB954" s="13">
        <v>85</v>
      </c>
      <c r="BC954" s="13">
        <v>75</v>
      </c>
      <c r="BD954" s="321" t="s">
        <v>3538</v>
      </c>
      <c r="BE954" s="13">
        <f>82+16</f>
        <v>98</v>
      </c>
      <c r="BF954" s="13"/>
      <c r="BG954" t="s">
        <v>3539</v>
      </c>
      <c r="BH954" s="321">
        <v>45679</v>
      </c>
      <c r="BI954" s="321"/>
      <c r="BJ954" s="13">
        <v>114</v>
      </c>
      <c r="BK954" s="13">
        <v>89</v>
      </c>
      <c r="BL954" s="13">
        <v>114</v>
      </c>
      <c r="BM954" s="13"/>
      <c r="BN954" s="321">
        <v>45710</v>
      </c>
      <c r="BO954" s="13">
        <v>80</v>
      </c>
      <c r="BP954" s="13">
        <v>0</v>
      </c>
      <c r="BQ954" s="13">
        <v>46</v>
      </c>
      <c r="BR954" s="13">
        <f t="shared" si="187"/>
        <v>126</v>
      </c>
      <c r="BS954" s="30">
        <v>136</v>
      </c>
      <c r="BT954" s="30">
        <v>0</v>
      </c>
      <c r="BU954" s="30">
        <v>17</v>
      </c>
      <c r="BV954" s="30">
        <f t="shared" si="169"/>
        <v>153</v>
      </c>
      <c r="BX954" s="321"/>
      <c r="BY954" s="13"/>
      <c r="BZ954" s="13"/>
      <c r="CA954" s="13"/>
      <c r="CB954" s="13"/>
      <c r="CC954" s="321">
        <v>45738</v>
      </c>
      <c r="CD954" s="13">
        <v>66</v>
      </c>
      <c r="CE954" s="13">
        <v>6</v>
      </c>
      <c r="CF954" s="13">
        <v>24</v>
      </c>
      <c r="CG954" s="13">
        <f t="shared" si="177"/>
        <v>96</v>
      </c>
      <c r="CH954" s="13">
        <v>76</v>
      </c>
      <c r="CI954" s="13">
        <v>38</v>
      </c>
      <c r="CJ954" s="13">
        <v>26</v>
      </c>
      <c r="CK954" s="30">
        <f t="shared" si="170"/>
        <v>140</v>
      </c>
      <c r="CM954" s="321">
        <v>45769</v>
      </c>
      <c r="CN954" s="13">
        <v>94</v>
      </c>
      <c r="CO954" s="13">
        <v>0</v>
      </c>
      <c r="CP954" s="13">
        <v>13</v>
      </c>
      <c r="CQ954" s="13">
        <f t="shared" si="178"/>
        <v>107</v>
      </c>
      <c r="CR954" s="13">
        <v>140</v>
      </c>
      <c r="CS954" s="13">
        <v>6</v>
      </c>
      <c r="CT954" s="13">
        <v>0</v>
      </c>
      <c r="CU954" s="30">
        <f t="shared" si="171"/>
        <v>146</v>
      </c>
      <c r="CW954" s="321">
        <v>45799</v>
      </c>
      <c r="CX954" s="13">
        <v>86</v>
      </c>
      <c r="CY954" s="13">
        <v>43</v>
      </c>
      <c r="CZ954" s="13">
        <v>24</v>
      </c>
      <c r="DA954" s="13">
        <f t="shared" si="179"/>
        <v>153</v>
      </c>
      <c r="DB954" s="13">
        <v>90</v>
      </c>
      <c r="DC954" s="13">
        <v>40</v>
      </c>
      <c r="DD954" s="13">
        <v>10</v>
      </c>
      <c r="DE954" s="30">
        <f t="shared" si="172"/>
        <v>140</v>
      </c>
      <c r="DG954" s="332">
        <v>45830</v>
      </c>
      <c r="DH954" s="13">
        <v>74</v>
      </c>
      <c r="DI954" s="13">
        <v>0</v>
      </c>
      <c r="DJ954" s="13">
        <v>17</v>
      </c>
      <c r="DK954" s="13">
        <f t="shared" si="180"/>
        <v>91</v>
      </c>
      <c r="DL954" s="13">
        <v>84</v>
      </c>
      <c r="DM954" s="13">
        <v>2</v>
      </c>
      <c r="DN954" s="13">
        <v>30</v>
      </c>
      <c r="DO954" s="30">
        <f t="shared" si="173"/>
        <v>116</v>
      </c>
      <c r="DQ954" s="332">
        <v>45860</v>
      </c>
      <c r="DR954" s="13">
        <v>78</v>
      </c>
      <c r="DS954" s="13">
        <v>0</v>
      </c>
      <c r="DT954" s="13">
        <v>18</v>
      </c>
      <c r="DU954" s="13">
        <f t="shared" si="184"/>
        <v>96</v>
      </c>
      <c r="DV954" s="13">
        <v>87</v>
      </c>
      <c r="DW954" s="13">
        <v>0</v>
      </c>
      <c r="DX954" s="13">
        <v>33</v>
      </c>
      <c r="DY954" s="30">
        <f t="shared" si="174"/>
        <v>120</v>
      </c>
      <c r="EC954" s="332">
        <v>45891</v>
      </c>
      <c r="ED954" s="13">
        <v>85</v>
      </c>
      <c r="EE954" s="13">
        <v>0</v>
      </c>
      <c r="EF954" s="13">
        <v>14</v>
      </c>
      <c r="EG954" s="13">
        <f t="shared" si="185"/>
        <v>99</v>
      </c>
      <c r="EH954" s="13">
        <v>95</v>
      </c>
      <c r="EI954" s="13">
        <v>36</v>
      </c>
      <c r="EJ954" s="13">
        <v>12</v>
      </c>
      <c r="EK954" s="30">
        <f t="shared" si="175"/>
        <v>143</v>
      </c>
      <c r="EM954" s="321">
        <v>45891</v>
      </c>
      <c r="EN954" s="89"/>
      <c r="EO954" s="89"/>
      <c r="EP954" s="89"/>
      <c r="EQ954" s="89">
        <f t="shared" si="186"/>
        <v>0</v>
      </c>
      <c r="ER954" s="89"/>
      <c r="ES954" s="89"/>
      <c r="ET954" s="89"/>
      <c r="EU954" s="30">
        <f t="shared" si="176"/>
        <v>0</v>
      </c>
    </row>
    <row r="955" spans="2:151">
      <c r="B955" s="139" t="s">
        <v>3540</v>
      </c>
      <c r="C955" s="140"/>
      <c r="D955" s="140"/>
      <c r="E955" s="13"/>
      <c r="F955" s="13"/>
      <c r="G955" s="43"/>
      <c r="AB955" s="321">
        <v>45405</v>
      </c>
      <c r="AC955" s="41">
        <v>94</v>
      </c>
      <c r="AD955" s="41">
        <v>94</v>
      </c>
      <c r="AE955" s="321">
        <v>45435</v>
      </c>
      <c r="AF955" s="41">
        <v>117</v>
      </c>
      <c r="AG955" s="320">
        <v>79</v>
      </c>
      <c r="AH955" s="321">
        <v>45466</v>
      </c>
      <c r="AI955" s="41">
        <v>0</v>
      </c>
      <c r="AJ955" s="41">
        <v>64</v>
      </c>
      <c r="AK955" s="321">
        <v>45496</v>
      </c>
      <c r="AL955" s="41">
        <v>91</v>
      </c>
      <c r="AM955" s="41">
        <v>85</v>
      </c>
      <c r="AN955" s="321">
        <v>45527</v>
      </c>
      <c r="AO955" s="41">
        <v>108</v>
      </c>
      <c r="AP955" s="41">
        <v>84</v>
      </c>
      <c r="AR955" s="321">
        <v>45558</v>
      </c>
      <c r="AS955" s="41">
        <v>92</v>
      </c>
      <c r="AT955" s="41">
        <v>74</v>
      </c>
      <c r="AV955" s="321">
        <v>45588</v>
      </c>
      <c r="AW955" s="13">
        <v>79</v>
      </c>
      <c r="AX955" s="13">
        <v>82</v>
      </c>
      <c r="BA955" s="321">
        <v>45619</v>
      </c>
      <c r="BB955" s="13">
        <v>87</v>
      </c>
      <c r="BC955" s="13">
        <v>90</v>
      </c>
      <c r="BD955" s="321">
        <v>45649</v>
      </c>
      <c r="BE955" s="13">
        <f>85+16</f>
        <v>101</v>
      </c>
      <c r="BF955" s="13">
        <v>77</v>
      </c>
      <c r="BG955" t="s">
        <v>3541</v>
      </c>
      <c r="BH955" s="321">
        <v>45680</v>
      </c>
      <c r="BI955" s="321"/>
      <c r="BJ955" s="13">
        <v>111</v>
      </c>
      <c r="BK955" s="13">
        <v>95</v>
      </c>
      <c r="BL955" s="13">
        <v>111</v>
      </c>
      <c r="BM955" s="13"/>
      <c r="BN955" s="321">
        <v>45711</v>
      </c>
      <c r="BO955" s="13">
        <v>90</v>
      </c>
      <c r="BP955" s="13">
        <v>0</v>
      </c>
      <c r="BQ955" s="13">
        <v>13</v>
      </c>
      <c r="BR955" s="13">
        <f t="shared" si="187"/>
        <v>103</v>
      </c>
      <c r="BS955" s="30">
        <v>128</v>
      </c>
      <c r="BT955" s="30">
        <v>0</v>
      </c>
      <c r="BU955" s="30">
        <v>22</v>
      </c>
      <c r="BV955" s="30">
        <f t="shared" si="169"/>
        <v>150</v>
      </c>
      <c r="BX955" s="321"/>
      <c r="BY955" s="13"/>
      <c r="BZ955" s="13"/>
      <c r="CA955" s="13"/>
      <c r="CB955" s="13"/>
      <c r="CC955" s="321">
        <v>45739</v>
      </c>
      <c r="CD955" s="13">
        <v>87</v>
      </c>
      <c r="CE955" s="13">
        <v>0</v>
      </c>
      <c r="CF955" s="13">
        <v>0</v>
      </c>
      <c r="CG955" s="13">
        <f t="shared" si="177"/>
        <v>87</v>
      </c>
      <c r="CH955" s="13">
        <v>0</v>
      </c>
      <c r="CI955" s="13">
        <v>76</v>
      </c>
      <c r="CJ955" s="13">
        <v>19</v>
      </c>
      <c r="CK955" s="30">
        <f t="shared" si="170"/>
        <v>95</v>
      </c>
      <c r="CM955" s="321">
        <v>45770</v>
      </c>
      <c r="CN955" s="13">
        <v>83</v>
      </c>
      <c r="CO955" s="13">
        <v>0</v>
      </c>
      <c r="CP955" s="13">
        <v>18</v>
      </c>
      <c r="CQ955" s="13">
        <f t="shared" si="178"/>
        <v>101</v>
      </c>
      <c r="CR955" s="13">
        <v>90</v>
      </c>
      <c r="CS955" s="13">
        <v>36</v>
      </c>
      <c r="CT955" s="13">
        <v>6</v>
      </c>
      <c r="CU955" s="30">
        <f t="shared" si="171"/>
        <v>132</v>
      </c>
      <c r="CW955" s="321">
        <v>45800</v>
      </c>
      <c r="CX955" s="13">
        <v>87</v>
      </c>
      <c r="CY955" s="13">
        <v>0</v>
      </c>
      <c r="CZ955" s="13">
        <v>16</v>
      </c>
      <c r="DA955" s="13">
        <f t="shared" si="179"/>
        <v>103</v>
      </c>
      <c r="DB955" s="13">
        <v>82</v>
      </c>
      <c r="DC955" s="13">
        <v>45</v>
      </c>
      <c r="DD955" s="13">
        <v>8</v>
      </c>
      <c r="DE955" s="30">
        <f t="shared" si="172"/>
        <v>135</v>
      </c>
      <c r="DG955" s="332">
        <v>45831</v>
      </c>
      <c r="DH955" s="13">
        <v>89</v>
      </c>
      <c r="DI955" s="13">
        <v>0</v>
      </c>
      <c r="DJ955" s="13">
        <v>13</v>
      </c>
      <c r="DK955" s="13">
        <f t="shared" si="180"/>
        <v>102</v>
      </c>
      <c r="DL955" s="13">
        <v>64</v>
      </c>
      <c r="DM955" s="13">
        <v>35</v>
      </c>
      <c r="DN955" s="13">
        <v>24</v>
      </c>
      <c r="DO955" s="30">
        <f t="shared" si="173"/>
        <v>123</v>
      </c>
      <c r="DQ955" s="332">
        <v>45861</v>
      </c>
      <c r="DR955" s="13">
        <v>58</v>
      </c>
      <c r="DS955" s="13">
        <v>0</v>
      </c>
      <c r="DT955" s="13">
        <v>39</v>
      </c>
      <c r="DU955" s="13">
        <f t="shared" si="184"/>
        <v>97</v>
      </c>
      <c r="DV955" s="13">
        <v>67</v>
      </c>
      <c r="DW955" s="13">
        <v>9</v>
      </c>
      <c r="DX955" s="13">
        <v>40</v>
      </c>
      <c r="DY955" s="30">
        <f t="shared" si="174"/>
        <v>116</v>
      </c>
      <c r="EC955" s="332">
        <v>45892</v>
      </c>
      <c r="ED955" s="13">
        <v>91</v>
      </c>
      <c r="EE955" s="13">
        <v>0</v>
      </c>
      <c r="EF955" s="13">
        <v>17</v>
      </c>
      <c r="EG955" s="13">
        <f t="shared" si="185"/>
        <v>108</v>
      </c>
      <c r="EH955" s="13">
        <v>81</v>
      </c>
      <c r="EI955" s="13">
        <v>36</v>
      </c>
      <c r="EJ955" s="13">
        <v>18</v>
      </c>
      <c r="EK955" s="30">
        <f t="shared" si="175"/>
        <v>135</v>
      </c>
      <c r="EM955" s="321">
        <v>45892</v>
      </c>
      <c r="EN955" s="89"/>
      <c r="EO955" s="89"/>
      <c r="EP955" s="89"/>
      <c r="EQ955" s="89">
        <f t="shared" si="186"/>
        <v>0</v>
      </c>
      <c r="ER955" s="89"/>
      <c r="ES955" s="89"/>
      <c r="ET955" s="89"/>
      <c r="EU955" s="30">
        <f t="shared" si="176"/>
        <v>0</v>
      </c>
    </row>
    <row r="956" spans="2:151">
      <c r="B956" s="309"/>
      <c r="C956" s="13" t="s">
        <v>2807</v>
      </c>
      <c r="D956" s="13" t="s">
        <v>3188</v>
      </c>
      <c r="E956" s="13" t="s">
        <v>3328</v>
      </c>
      <c r="F956" s="13" t="s">
        <v>3329</v>
      </c>
      <c r="G956" s="43" t="s">
        <v>3330</v>
      </c>
      <c r="AB956" s="321">
        <v>45406</v>
      </c>
      <c r="AC956" s="41">
        <v>80</v>
      </c>
      <c r="AD956" s="41">
        <v>79</v>
      </c>
      <c r="AE956" s="321">
        <v>45436</v>
      </c>
      <c r="AF956" s="41">
        <v>119</v>
      </c>
      <c r="AG956" s="320">
        <v>90</v>
      </c>
      <c r="AH956" s="321">
        <v>45467</v>
      </c>
      <c r="AI956" s="41">
        <v>59</v>
      </c>
      <c r="AJ956" s="41">
        <v>61</v>
      </c>
      <c r="AK956" s="321">
        <v>45497</v>
      </c>
      <c r="AL956" s="41">
        <v>105</v>
      </c>
      <c r="AM956" s="41">
        <v>91</v>
      </c>
      <c r="AN956" s="321">
        <v>45528</v>
      </c>
      <c r="AO956" s="41">
        <v>113</v>
      </c>
      <c r="AP956" s="41">
        <v>72</v>
      </c>
      <c r="AR956" s="321">
        <v>45559</v>
      </c>
      <c r="AS956" s="41">
        <v>117</v>
      </c>
      <c r="AT956" s="41">
        <v>87</v>
      </c>
      <c r="AV956" s="321">
        <v>45589</v>
      </c>
      <c r="AW956" s="13">
        <v>31</v>
      </c>
      <c r="AX956" s="13">
        <v>38</v>
      </c>
      <c r="BA956" s="321">
        <v>45620</v>
      </c>
      <c r="BB956" s="13">
        <v>60</v>
      </c>
      <c r="BC956" s="13" t="s">
        <v>3522</v>
      </c>
      <c r="BD956" s="321">
        <v>45650</v>
      </c>
      <c r="BE956" s="13">
        <v>94</v>
      </c>
      <c r="BF956" s="13">
        <v>73</v>
      </c>
      <c r="BH956" s="321">
        <v>45681</v>
      </c>
      <c r="BI956" s="321"/>
      <c r="BJ956" s="13">
        <v>124</v>
      </c>
      <c r="BK956" s="13">
        <v>83</v>
      </c>
      <c r="BL956" s="13">
        <v>124</v>
      </c>
      <c r="BM956" s="13"/>
      <c r="BN956" s="321">
        <v>45712</v>
      </c>
      <c r="BO956" s="13">
        <v>86</v>
      </c>
      <c r="BP956" s="13"/>
      <c r="BQ956" s="13">
        <v>12</v>
      </c>
      <c r="BR956" s="13">
        <f t="shared" si="187"/>
        <v>98</v>
      </c>
      <c r="BS956" s="30">
        <v>118</v>
      </c>
      <c r="BT956" s="30">
        <v>20</v>
      </c>
      <c r="BU956" s="30">
        <v>12</v>
      </c>
      <c r="BV956" s="30">
        <f t="shared" si="169"/>
        <v>150</v>
      </c>
      <c r="BX956" s="321"/>
      <c r="BY956" s="13"/>
      <c r="BZ956" s="13"/>
      <c r="CA956" s="13"/>
      <c r="CB956" s="13"/>
      <c r="CC956" s="321">
        <v>45740</v>
      </c>
      <c r="CD956" s="13">
        <v>85</v>
      </c>
      <c r="CE956" s="13"/>
      <c r="CF956" s="13">
        <v>5</v>
      </c>
      <c r="CG956" s="13">
        <f t="shared" si="177"/>
        <v>90</v>
      </c>
      <c r="CH956" s="13">
        <v>22</v>
      </c>
      <c r="CI956" s="13">
        <v>90</v>
      </c>
      <c r="CJ956" s="13">
        <v>15</v>
      </c>
      <c r="CK956" s="30">
        <f t="shared" si="170"/>
        <v>127</v>
      </c>
      <c r="CM956" s="321">
        <v>45771</v>
      </c>
      <c r="CN956" s="13">
        <v>98</v>
      </c>
      <c r="CO956" s="13">
        <v>0</v>
      </c>
      <c r="CP956" s="13">
        <v>0</v>
      </c>
      <c r="CQ956" s="13">
        <f t="shared" si="178"/>
        <v>98</v>
      </c>
      <c r="CR956" s="13">
        <v>91</v>
      </c>
      <c r="CS956" s="13">
        <v>45</v>
      </c>
      <c r="CT956" s="13">
        <v>2</v>
      </c>
      <c r="CU956" s="30">
        <f t="shared" si="171"/>
        <v>138</v>
      </c>
      <c r="CW956" s="321">
        <v>45801</v>
      </c>
      <c r="CX956" s="13">
        <v>95</v>
      </c>
      <c r="CY956" s="13">
        <v>0</v>
      </c>
      <c r="CZ956" s="13">
        <v>6</v>
      </c>
      <c r="DA956" s="13">
        <f t="shared" si="179"/>
        <v>101</v>
      </c>
      <c r="DB956" s="13">
        <v>87</v>
      </c>
      <c r="DC956" s="13">
        <v>41</v>
      </c>
      <c r="DD956" s="13">
        <v>6</v>
      </c>
      <c r="DE956" s="30">
        <f t="shared" si="172"/>
        <v>134</v>
      </c>
      <c r="DG956" s="332">
        <v>45832</v>
      </c>
      <c r="DH956" s="13">
        <v>92</v>
      </c>
      <c r="DI956" s="13">
        <v>0</v>
      </c>
      <c r="DJ956" s="13">
        <v>12</v>
      </c>
      <c r="DK956" s="13">
        <f t="shared" si="180"/>
        <v>104</v>
      </c>
      <c r="DL956" s="13">
        <v>56</v>
      </c>
      <c r="DM956" s="13">
        <v>39</v>
      </c>
      <c r="DN956" s="13">
        <v>10</v>
      </c>
      <c r="DO956" s="30">
        <f t="shared" si="173"/>
        <v>105</v>
      </c>
      <c r="DQ956" s="332">
        <v>45862</v>
      </c>
      <c r="DR956" s="13">
        <v>44</v>
      </c>
      <c r="DS956" s="13">
        <v>0</v>
      </c>
      <c r="DT956" s="13">
        <v>61</v>
      </c>
      <c r="DU956" s="13">
        <f t="shared" si="184"/>
        <v>105</v>
      </c>
      <c r="DV956" s="13">
        <v>0</v>
      </c>
      <c r="DW956" s="13">
        <v>84</v>
      </c>
      <c r="DX956" s="13">
        <v>33</v>
      </c>
      <c r="DY956" s="30">
        <f t="shared" si="174"/>
        <v>117</v>
      </c>
      <c r="EC956" s="329">
        <v>45893</v>
      </c>
      <c r="ED956" s="13">
        <v>79</v>
      </c>
      <c r="EE956" s="13">
        <v>0</v>
      </c>
      <c r="EF956" s="13">
        <v>32</v>
      </c>
      <c r="EG956" s="13">
        <f t="shared" si="185"/>
        <v>111</v>
      </c>
      <c r="EH956" s="13">
        <v>59</v>
      </c>
      <c r="EI956" s="13">
        <v>25</v>
      </c>
      <c r="EJ956" s="13">
        <v>66</v>
      </c>
      <c r="EK956" s="30">
        <f t="shared" si="175"/>
        <v>150</v>
      </c>
      <c r="EM956" s="321">
        <v>45893</v>
      </c>
      <c r="EN956" s="89"/>
      <c r="EO956" s="89"/>
      <c r="EP956" s="89"/>
      <c r="EQ956" s="89">
        <f t="shared" si="186"/>
        <v>0</v>
      </c>
      <c r="ER956" s="89"/>
      <c r="ES956" s="89"/>
      <c r="ET956" s="89"/>
      <c r="EU956" s="30">
        <f t="shared" si="176"/>
        <v>0</v>
      </c>
    </row>
    <row r="957" spans="2:151">
      <c r="B957" s="40" t="s">
        <v>3367</v>
      </c>
      <c r="C957" s="41">
        <v>0</v>
      </c>
      <c r="D957" s="41">
        <f>27*3.9</f>
        <v>105.3</v>
      </c>
      <c r="E957" s="41">
        <v>3807</v>
      </c>
      <c r="F957" s="41">
        <v>1048</v>
      </c>
      <c r="G957" s="64">
        <v>0</v>
      </c>
      <c r="AB957" s="321">
        <v>45407</v>
      </c>
      <c r="AC957" s="41">
        <v>90</v>
      </c>
      <c r="AD957" s="41">
        <v>70</v>
      </c>
      <c r="AE957" s="321">
        <v>45437</v>
      </c>
      <c r="AF957" s="41">
        <v>109</v>
      </c>
      <c r="AG957" s="320">
        <v>93</v>
      </c>
      <c r="AH957" s="321">
        <v>45468</v>
      </c>
      <c r="AI957" s="41">
        <v>55</v>
      </c>
      <c r="AJ957" s="41">
        <v>67</v>
      </c>
      <c r="AK957" s="321">
        <v>45498</v>
      </c>
      <c r="AL957" s="41">
        <v>117</v>
      </c>
      <c r="AM957" s="41">
        <v>84</v>
      </c>
      <c r="AN957" s="321">
        <v>45529</v>
      </c>
      <c r="AO957" s="41">
        <v>90</v>
      </c>
      <c r="AP957" s="41">
        <v>84</v>
      </c>
      <c r="AR957" s="321">
        <v>45560</v>
      </c>
      <c r="AS957" s="41">
        <v>128</v>
      </c>
      <c r="AT957" s="41">
        <v>89</v>
      </c>
      <c r="AV957" s="321">
        <v>45590</v>
      </c>
      <c r="AW957" s="13">
        <v>0</v>
      </c>
      <c r="AX957" s="13">
        <v>0</v>
      </c>
      <c r="BA957" s="321">
        <v>45621</v>
      </c>
      <c r="BB957" s="13">
        <v>85</v>
      </c>
      <c r="BC957" s="13">
        <v>82</v>
      </c>
      <c r="BD957" s="321">
        <v>45651</v>
      </c>
      <c r="BE957" s="13">
        <v>70</v>
      </c>
      <c r="BF957" s="13">
        <v>71</v>
      </c>
      <c r="BH957" s="2469" t="s">
        <v>3542</v>
      </c>
      <c r="BI957" s="321"/>
      <c r="BJ957" s="13">
        <v>116</v>
      </c>
      <c r="BK957" s="13">
        <v>91</v>
      </c>
      <c r="BL957" s="13">
        <v>116</v>
      </c>
      <c r="BM957" s="13"/>
      <c r="BN957" s="2469" t="s">
        <v>3543</v>
      </c>
      <c r="BO957" s="13">
        <v>89</v>
      </c>
      <c r="BP957" s="13"/>
      <c r="BQ957" s="13">
        <v>8</v>
      </c>
      <c r="BR957" s="13">
        <f t="shared" si="187"/>
        <v>97</v>
      </c>
      <c r="BS957" s="30">
        <v>98</v>
      </c>
      <c r="BT957" s="30">
        <v>49</v>
      </c>
      <c r="BU957" s="30">
        <v>0</v>
      </c>
      <c r="BV957" s="30">
        <f t="shared" si="169"/>
        <v>147</v>
      </c>
      <c r="BX957" s="321"/>
      <c r="BY957" s="13"/>
      <c r="BZ957" s="13"/>
      <c r="CA957" s="13"/>
      <c r="CB957" s="13"/>
      <c r="CC957" s="2469" t="s">
        <v>3544</v>
      </c>
      <c r="CD957" s="13">
        <v>84</v>
      </c>
      <c r="CE957" s="13">
        <v>0</v>
      </c>
      <c r="CF957" s="13">
        <v>23</v>
      </c>
      <c r="CG957" s="13">
        <f t="shared" si="177"/>
        <v>107</v>
      </c>
      <c r="CH957" s="13">
        <v>94</v>
      </c>
      <c r="CI957" s="13">
        <v>44</v>
      </c>
      <c r="CJ957" s="13">
        <v>0</v>
      </c>
      <c r="CK957" s="30">
        <f t="shared" si="170"/>
        <v>138</v>
      </c>
      <c r="CM957" s="2469" t="s">
        <v>3545</v>
      </c>
      <c r="CN957" s="13">
        <v>98</v>
      </c>
      <c r="CO957" s="13">
        <v>0</v>
      </c>
      <c r="CP957" s="13">
        <v>0</v>
      </c>
      <c r="CQ957" s="13">
        <f t="shared" si="178"/>
        <v>98</v>
      </c>
      <c r="CR957" s="13">
        <v>124</v>
      </c>
      <c r="CS957" s="13">
        <v>35</v>
      </c>
      <c r="CT957" s="13">
        <v>0</v>
      </c>
      <c r="CU957" s="30">
        <f t="shared" si="171"/>
        <v>159</v>
      </c>
      <c r="CW957" s="329" t="s">
        <v>3546</v>
      </c>
      <c r="CX957" s="13">
        <v>87</v>
      </c>
      <c r="CY957" s="13">
        <v>0</v>
      </c>
      <c r="CZ957" s="13">
        <v>0</v>
      </c>
      <c r="DA957" s="13">
        <f t="shared" si="179"/>
        <v>87</v>
      </c>
      <c r="DB957" s="13">
        <v>36</v>
      </c>
      <c r="DC957" s="13">
        <v>73</v>
      </c>
      <c r="DD957" s="13">
        <v>14</v>
      </c>
      <c r="DE957" s="30">
        <f t="shared" si="172"/>
        <v>123</v>
      </c>
      <c r="DG957" s="332" t="s">
        <v>3547</v>
      </c>
      <c r="DH957" s="13">
        <v>84</v>
      </c>
      <c r="DI957" s="13">
        <v>0</v>
      </c>
      <c r="DJ957" s="13">
        <v>12</v>
      </c>
      <c r="DK957" s="13">
        <f t="shared" si="180"/>
        <v>96</v>
      </c>
      <c r="DL957" s="13">
        <v>60</v>
      </c>
      <c r="DM957" s="13">
        <v>72</v>
      </c>
      <c r="DN957" s="13">
        <v>2</v>
      </c>
      <c r="DO957" s="30">
        <f t="shared" si="173"/>
        <v>134</v>
      </c>
      <c r="DQ957" s="332">
        <v>45863</v>
      </c>
      <c r="DR957" s="13">
        <v>58</v>
      </c>
      <c r="DS957" s="13">
        <v>0</v>
      </c>
      <c r="DT957" s="13">
        <v>39</v>
      </c>
      <c r="DU957" s="13">
        <f t="shared" si="184"/>
        <v>97</v>
      </c>
      <c r="DV957" s="13">
        <v>49</v>
      </c>
      <c r="DW957" s="13">
        <v>33</v>
      </c>
      <c r="DX957" s="13">
        <v>38</v>
      </c>
      <c r="DY957" s="30">
        <f t="shared" si="174"/>
        <v>120</v>
      </c>
      <c r="EC957" s="332">
        <v>45894</v>
      </c>
      <c r="ED957" s="13">
        <v>87</v>
      </c>
      <c r="EE957" s="13">
        <v>0</v>
      </c>
      <c r="EF957" s="13">
        <v>19</v>
      </c>
      <c r="EG957" s="13">
        <f t="shared" si="185"/>
        <v>106</v>
      </c>
      <c r="EH957" s="13">
        <v>71</v>
      </c>
      <c r="EI957" s="13">
        <v>17</v>
      </c>
      <c r="EJ957" s="13">
        <v>52</v>
      </c>
      <c r="EK957" s="30">
        <f t="shared" si="175"/>
        <v>140</v>
      </c>
      <c r="EM957" s="321">
        <v>45894</v>
      </c>
      <c r="EN957" s="89"/>
      <c r="EO957" s="89"/>
      <c r="EP957" s="89"/>
      <c r="EQ957" s="89">
        <f t="shared" si="186"/>
        <v>0</v>
      </c>
      <c r="ER957" s="89"/>
      <c r="ES957" s="89"/>
      <c r="ET957" s="89"/>
      <c r="EU957" s="30">
        <f t="shared" si="176"/>
        <v>0</v>
      </c>
    </row>
    <row r="958" spans="2:151">
      <c r="B958" s="40" t="s">
        <v>3184</v>
      </c>
      <c r="C958" s="41">
        <v>2187</v>
      </c>
      <c r="D958" s="41">
        <v>308</v>
      </c>
      <c r="E958" s="41">
        <f>2599+6675</f>
        <v>9274</v>
      </c>
      <c r="F958" s="41">
        <v>3890</v>
      </c>
      <c r="G958" s="64">
        <v>0</v>
      </c>
      <c r="AB958" s="321">
        <v>45408</v>
      </c>
      <c r="AC958" s="41">
        <v>72</v>
      </c>
      <c r="AD958" s="41">
        <v>66</v>
      </c>
      <c r="AE958" s="321">
        <v>45438</v>
      </c>
      <c r="AF958" s="41">
        <v>89</v>
      </c>
      <c r="AG958" s="320">
        <v>0</v>
      </c>
      <c r="AH958" s="321">
        <v>45469</v>
      </c>
      <c r="AI958" s="41">
        <v>84</v>
      </c>
      <c r="AJ958" s="41">
        <v>88</v>
      </c>
      <c r="AK958" s="321">
        <v>45499</v>
      </c>
      <c r="AL958" s="41">
        <v>115</v>
      </c>
      <c r="AM958" s="41">
        <v>81</v>
      </c>
      <c r="AN958" s="321">
        <v>45530</v>
      </c>
      <c r="AO958" s="41">
        <v>119</v>
      </c>
      <c r="AP958" s="41">
        <v>81</v>
      </c>
      <c r="AR958" s="321">
        <v>45561</v>
      </c>
      <c r="AS958" s="41">
        <v>133</v>
      </c>
      <c r="AT958" s="41">
        <v>88</v>
      </c>
      <c r="AV958" s="321">
        <v>45591</v>
      </c>
      <c r="AW958" s="13"/>
      <c r="AX958" s="13"/>
      <c r="BA958" s="321">
        <v>45622</v>
      </c>
      <c r="BB958" s="13">
        <v>84</v>
      </c>
      <c r="BC958" s="13">
        <v>90</v>
      </c>
      <c r="BD958" s="321">
        <v>45652</v>
      </c>
      <c r="BE958" s="13">
        <v>85</v>
      </c>
      <c r="BF958" s="13">
        <v>83</v>
      </c>
      <c r="BH958" s="321">
        <v>45683</v>
      </c>
      <c r="BI958" s="321"/>
      <c r="BJ958" s="13">
        <v>89</v>
      </c>
      <c r="BK958" s="13">
        <v>93</v>
      </c>
      <c r="BL958" s="13">
        <v>89</v>
      </c>
      <c r="BM958" s="13"/>
      <c r="BN958" s="321">
        <v>45714</v>
      </c>
      <c r="BO958" s="13">
        <v>94</v>
      </c>
      <c r="BP958" s="13"/>
      <c r="BQ958" s="13">
        <v>11</v>
      </c>
      <c r="BR958" s="13">
        <f t="shared" si="187"/>
        <v>105</v>
      </c>
      <c r="BS958" s="30">
        <v>90</v>
      </c>
      <c r="BT958" s="30">
        <v>56</v>
      </c>
      <c r="BU958" s="30"/>
      <c r="BV958" s="30">
        <f t="shared" si="169"/>
        <v>146</v>
      </c>
      <c r="BX958" s="321"/>
      <c r="BY958" s="13"/>
      <c r="BZ958" s="13"/>
      <c r="CA958" s="13"/>
      <c r="CB958" s="13"/>
      <c r="CC958" s="321">
        <v>45742</v>
      </c>
      <c r="CD958" s="13">
        <v>84</v>
      </c>
      <c r="CE958" s="13">
        <v>19</v>
      </c>
      <c r="CF958" s="13">
        <v>0</v>
      </c>
      <c r="CG958" s="13">
        <f t="shared" si="177"/>
        <v>103</v>
      </c>
      <c r="CH958" s="13">
        <v>89</v>
      </c>
      <c r="CI958" s="13">
        <v>53</v>
      </c>
      <c r="CJ958" s="13">
        <v>6</v>
      </c>
      <c r="CK958" s="30">
        <f t="shared" si="170"/>
        <v>148</v>
      </c>
      <c r="CM958" s="321">
        <v>45773</v>
      </c>
      <c r="CN958" s="13">
        <v>87</v>
      </c>
      <c r="CO958" s="13">
        <v>0</v>
      </c>
      <c r="CP958" s="13">
        <v>4</v>
      </c>
      <c r="CQ958" s="13">
        <f t="shared" si="178"/>
        <v>91</v>
      </c>
      <c r="CR958" s="13">
        <v>98</v>
      </c>
      <c r="CS958" s="13">
        <v>45</v>
      </c>
      <c r="CT958" s="13">
        <v>12</v>
      </c>
      <c r="CU958" s="30">
        <f t="shared" si="171"/>
        <v>155</v>
      </c>
      <c r="CW958" s="321">
        <v>45803</v>
      </c>
      <c r="CX958" s="13">
        <v>91</v>
      </c>
      <c r="CY958" s="13">
        <v>0</v>
      </c>
      <c r="CZ958" s="13">
        <v>10</v>
      </c>
      <c r="DA958" s="13">
        <f t="shared" si="179"/>
        <v>101</v>
      </c>
      <c r="DB958" s="13">
        <v>45</v>
      </c>
      <c r="DC958" s="13">
        <v>82</v>
      </c>
      <c r="DD958" s="13">
        <v>6</v>
      </c>
      <c r="DE958" s="30">
        <f t="shared" si="172"/>
        <v>133</v>
      </c>
      <c r="DG958" s="332">
        <v>45834</v>
      </c>
      <c r="DH958" s="13">
        <v>60</v>
      </c>
      <c r="DI958" s="13">
        <v>0</v>
      </c>
      <c r="DJ958" s="13">
        <v>43</v>
      </c>
      <c r="DK958" s="13">
        <f t="shared" si="180"/>
        <v>103</v>
      </c>
      <c r="DL958" s="13">
        <v>80</v>
      </c>
      <c r="DM958" s="13">
        <v>58</v>
      </c>
      <c r="DN958" s="13">
        <v>4</v>
      </c>
      <c r="DO958" s="30">
        <f t="shared" si="173"/>
        <v>142</v>
      </c>
      <c r="DQ958" s="332">
        <v>45864</v>
      </c>
      <c r="DR958" s="13">
        <v>42</v>
      </c>
      <c r="DS958" s="13">
        <v>28</v>
      </c>
      <c r="DT958" s="13">
        <v>0</v>
      </c>
      <c r="DU958" s="13">
        <f t="shared" si="184"/>
        <v>70</v>
      </c>
      <c r="DV958" s="13">
        <v>71</v>
      </c>
      <c r="DW958" s="13">
        <v>18</v>
      </c>
      <c r="DX958" s="13">
        <v>46</v>
      </c>
      <c r="DY958" s="30">
        <f t="shared" si="174"/>
        <v>135</v>
      </c>
      <c r="DZ958" t="s">
        <v>3528</v>
      </c>
      <c r="EC958" s="332">
        <v>45895</v>
      </c>
      <c r="ED958" s="13">
        <v>93</v>
      </c>
      <c r="EE958" s="13">
        <v>0</v>
      </c>
      <c r="EF958" s="13">
        <v>4</v>
      </c>
      <c r="EG958" s="13">
        <f t="shared" si="185"/>
        <v>97</v>
      </c>
      <c r="EH958" s="13">
        <v>100</v>
      </c>
      <c r="EI958" s="13">
        <v>2</v>
      </c>
      <c r="EJ958" s="13">
        <v>26</v>
      </c>
      <c r="EK958" s="30">
        <f t="shared" si="175"/>
        <v>128</v>
      </c>
      <c r="EM958" s="321">
        <v>45895</v>
      </c>
      <c r="EN958" s="89"/>
      <c r="EO958" s="89"/>
      <c r="EP958" s="89"/>
      <c r="EQ958" s="89">
        <f t="shared" si="186"/>
        <v>0</v>
      </c>
      <c r="ER958" s="89"/>
      <c r="ES958" s="89"/>
      <c r="ET958" s="89"/>
      <c r="EU958" s="30">
        <f t="shared" si="176"/>
        <v>0</v>
      </c>
    </row>
    <row r="959" spans="2:151">
      <c r="B959" s="40" t="s">
        <v>3185</v>
      </c>
      <c r="C959" s="41">
        <v>2187</v>
      </c>
      <c r="D959" s="41">
        <v>631</v>
      </c>
      <c r="E959" s="89">
        <v>8583</v>
      </c>
      <c r="F959" s="41">
        <v>4454</v>
      </c>
      <c r="G959" s="64">
        <v>0</v>
      </c>
      <c r="AB959" s="321">
        <v>45409</v>
      </c>
      <c r="AC959" s="41">
        <v>64</v>
      </c>
      <c r="AD959" s="41">
        <v>86</v>
      </c>
      <c r="AE959" s="321">
        <v>45439</v>
      </c>
      <c r="AF959" s="41">
        <v>109</v>
      </c>
      <c r="AG959" s="320">
        <v>71</v>
      </c>
      <c r="AH959" s="321">
        <v>45470</v>
      </c>
      <c r="AI959" s="41">
        <v>103</v>
      </c>
      <c r="AJ959" s="41">
        <v>65</v>
      </c>
      <c r="AK959" s="321">
        <v>45500</v>
      </c>
      <c r="AL959" s="41">
        <v>99</v>
      </c>
      <c r="AM959" s="41">
        <v>91</v>
      </c>
      <c r="AN959" s="321">
        <v>45531</v>
      </c>
      <c r="AO959" s="41">
        <v>125</v>
      </c>
      <c r="AP959" s="41">
        <v>84</v>
      </c>
      <c r="AR959" s="321">
        <v>45562</v>
      </c>
      <c r="AS959" s="41">
        <v>138</v>
      </c>
      <c r="AT959" s="41">
        <v>90</v>
      </c>
      <c r="AV959" s="321">
        <v>45592</v>
      </c>
      <c r="AW959" s="13"/>
      <c r="AX959" s="13"/>
      <c r="BA959" s="321">
        <v>45623</v>
      </c>
      <c r="BB959" s="13">
        <v>88</v>
      </c>
      <c r="BC959" s="13">
        <v>88</v>
      </c>
      <c r="BD959" s="321">
        <v>45653</v>
      </c>
      <c r="BE959" s="13">
        <v>64</v>
      </c>
      <c r="BF959" s="13">
        <v>49</v>
      </c>
      <c r="BH959" s="321">
        <v>45684</v>
      </c>
      <c r="BI959" s="321"/>
      <c r="BJ959" s="13">
        <v>111</v>
      </c>
      <c r="BK959" s="13">
        <v>72</v>
      </c>
      <c r="BL959" s="13">
        <v>111</v>
      </c>
      <c r="BM959" s="13"/>
      <c r="BN959" s="321">
        <v>45715</v>
      </c>
      <c r="BO959" s="13">
        <v>60</v>
      </c>
      <c r="BP959" s="13"/>
      <c r="BQ959" s="13">
        <v>37</v>
      </c>
      <c r="BR959" s="13">
        <f t="shared" si="187"/>
        <v>97</v>
      </c>
      <c r="BS959" s="30">
        <v>97</v>
      </c>
      <c r="BT959" s="30">
        <v>46</v>
      </c>
      <c r="BU959" s="30">
        <v>5</v>
      </c>
      <c r="BV959" s="30">
        <f t="shared" si="169"/>
        <v>148</v>
      </c>
      <c r="BX959" s="321"/>
      <c r="BY959" s="13"/>
      <c r="BZ959" s="13"/>
      <c r="CA959" s="13"/>
      <c r="CB959" s="13"/>
      <c r="CC959" s="321">
        <v>45743</v>
      </c>
      <c r="CD959" s="13">
        <v>74</v>
      </c>
      <c r="CE959" s="13"/>
      <c r="CF959" s="13">
        <v>22</v>
      </c>
      <c r="CG959" s="13">
        <f t="shared" si="177"/>
        <v>96</v>
      </c>
      <c r="CH959" s="13">
        <v>102</v>
      </c>
      <c r="CI959" s="13">
        <v>33</v>
      </c>
      <c r="CJ959" s="13">
        <v>9</v>
      </c>
      <c r="CK959" s="30">
        <f t="shared" si="170"/>
        <v>144</v>
      </c>
      <c r="CM959" s="321">
        <v>45774</v>
      </c>
      <c r="CN959" s="13">
        <v>86</v>
      </c>
      <c r="CO959" s="13">
        <v>0</v>
      </c>
      <c r="CP959" s="13">
        <v>3</v>
      </c>
      <c r="CQ959" s="13">
        <f t="shared" si="178"/>
        <v>89</v>
      </c>
      <c r="CR959" s="13">
        <v>86</v>
      </c>
      <c r="CS959" s="13">
        <v>57</v>
      </c>
      <c r="CT959" s="13">
        <v>0</v>
      </c>
      <c r="CU959" s="30">
        <f t="shared" si="171"/>
        <v>143</v>
      </c>
      <c r="CW959" s="321">
        <v>45804</v>
      </c>
      <c r="CX959" s="13">
        <v>85</v>
      </c>
      <c r="CY959" s="13">
        <v>0</v>
      </c>
      <c r="CZ959" s="13">
        <v>4</v>
      </c>
      <c r="DA959" s="13">
        <f t="shared" si="179"/>
        <v>89</v>
      </c>
      <c r="DB959" s="13">
        <v>102</v>
      </c>
      <c r="DC959" s="13">
        <v>30</v>
      </c>
      <c r="DD959" s="13">
        <v>6</v>
      </c>
      <c r="DE959" s="30">
        <f t="shared" si="172"/>
        <v>138</v>
      </c>
      <c r="DG959" s="332">
        <v>45835</v>
      </c>
      <c r="DH959" s="13">
        <v>85</v>
      </c>
      <c r="DI959" s="13">
        <v>0</v>
      </c>
      <c r="DJ959" s="13">
        <v>24</v>
      </c>
      <c r="DK959" s="13">
        <f t="shared" si="180"/>
        <v>109</v>
      </c>
      <c r="DL959" s="13">
        <v>69</v>
      </c>
      <c r="DM959" s="13">
        <v>64</v>
      </c>
      <c r="DN959" s="13">
        <v>12</v>
      </c>
      <c r="DO959" s="30">
        <f t="shared" si="173"/>
        <v>145</v>
      </c>
      <c r="DQ959" s="332">
        <v>45865</v>
      </c>
      <c r="DR959" s="13">
        <v>0</v>
      </c>
      <c r="DS959" s="13">
        <v>0</v>
      </c>
      <c r="DT959" s="13">
        <v>0</v>
      </c>
      <c r="DU959" s="13">
        <f t="shared" si="184"/>
        <v>0</v>
      </c>
      <c r="DV959" s="13">
        <v>75</v>
      </c>
      <c r="DW959" s="13">
        <v>0</v>
      </c>
      <c r="DX959" s="13">
        <v>0</v>
      </c>
      <c r="DY959" s="30">
        <f t="shared" si="174"/>
        <v>75</v>
      </c>
      <c r="EC959" s="332">
        <v>45896</v>
      </c>
      <c r="ED959" s="13">
        <v>91</v>
      </c>
      <c r="EE959" s="13">
        <v>0</v>
      </c>
      <c r="EF959" s="13">
        <v>13</v>
      </c>
      <c r="EG959" s="13">
        <f t="shared" si="185"/>
        <v>104</v>
      </c>
      <c r="EH959" s="13">
        <v>116</v>
      </c>
      <c r="EI959" s="13">
        <v>0</v>
      </c>
      <c r="EJ959" s="13">
        <v>16</v>
      </c>
      <c r="EK959" s="30">
        <f t="shared" si="175"/>
        <v>132</v>
      </c>
      <c r="EM959" s="321">
        <v>45896</v>
      </c>
      <c r="EN959" s="89"/>
      <c r="EO959" s="89"/>
      <c r="EP959" s="89"/>
      <c r="EQ959" s="89">
        <f t="shared" si="186"/>
        <v>0</v>
      </c>
      <c r="ER959" s="89"/>
      <c r="ES959" s="89"/>
      <c r="ET959" s="89"/>
      <c r="EU959" s="30">
        <f t="shared" si="176"/>
        <v>0</v>
      </c>
    </row>
    <row r="960" spans="2:151">
      <c r="B960" s="891" t="s">
        <v>3534</v>
      </c>
      <c r="C960" s="886">
        <f>+C958-C959</f>
        <v>0</v>
      </c>
      <c r="D960" s="889">
        <f>+D957+D958-D959</f>
        <v>-217.7</v>
      </c>
      <c r="E960" s="886">
        <f>+E957+E958-E959</f>
        <v>4498</v>
      </c>
      <c r="F960" s="886">
        <f>+F957+F958-F959</f>
        <v>484</v>
      </c>
      <c r="G960" s="887">
        <v>0</v>
      </c>
      <c r="AB960" s="321">
        <v>45410</v>
      </c>
      <c r="AC960" s="41">
        <v>61</v>
      </c>
      <c r="AD960" s="41">
        <v>67</v>
      </c>
      <c r="AE960" s="321">
        <v>45440</v>
      </c>
      <c r="AF960" s="41">
        <v>111</v>
      </c>
      <c r="AG960" s="320">
        <v>84</v>
      </c>
      <c r="AH960" s="321">
        <v>45471</v>
      </c>
      <c r="AI960" s="41">
        <v>100</v>
      </c>
      <c r="AJ960" s="41">
        <v>86</v>
      </c>
      <c r="AK960" s="321">
        <v>45501</v>
      </c>
      <c r="AL960" s="41">
        <v>0</v>
      </c>
      <c r="AM960" s="41">
        <v>0</v>
      </c>
      <c r="AN960" s="321">
        <v>45532</v>
      </c>
      <c r="AO960" s="41">
        <v>111</v>
      </c>
      <c r="AP960" s="41">
        <v>63</v>
      </c>
      <c r="AR960" s="321">
        <v>45563</v>
      </c>
      <c r="AS960" s="41">
        <v>122</v>
      </c>
      <c r="AT960" s="41">
        <v>93</v>
      </c>
      <c r="AV960" s="321">
        <v>45593</v>
      </c>
      <c r="AW960" s="13">
        <v>70</v>
      </c>
      <c r="AX960" s="13">
        <v>64</v>
      </c>
      <c r="BA960" s="321">
        <v>45624</v>
      </c>
      <c r="BB960" s="13">
        <v>91</v>
      </c>
      <c r="BC960" s="13">
        <v>95</v>
      </c>
      <c r="BD960" s="321">
        <v>45654</v>
      </c>
      <c r="BE960" s="13">
        <v>56</v>
      </c>
      <c r="BF960" s="13">
        <v>76</v>
      </c>
      <c r="BH960" s="2469" t="s">
        <v>3548</v>
      </c>
      <c r="BI960" s="321"/>
      <c r="BJ960" s="13">
        <v>108</v>
      </c>
      <c r="BK960" s="13">
        <v>84</v>
      </c>
      <c r="BL960" s="13">
        <v>108</v>
      </c>
      <c r="BM960" s="13"/>
      <c r="BN960" s="2469" t="s">
        <v>3549</v>
      </c>
      <c r="BO960" s="13">
        <v>55</v>
      </c>
      <c r="BP960" s="13">
        <v>34</v>
      </c>
      <c r="BQ960" s="13">
        <v>8</v>
      </c>
      <c r="BR960" s="13">
        <f t="shared" si="187"/>
        <v>97</v>
      </c>
      <c r="BS960" s="30">
        <v>80</v>
      </c>
      <c r="BT960" s="30">
        <v>76</v>
      </c>
      <c r="BU960" s="30">
        <v>0</v>
      </c>
      <c r="BV960" s="30">
        <f t="shared" si="169"/>
        <v>156</v>
      </c>
      <c r="BX960" s="321"/>
      <c r="BY960" s="13"/>
      <c r="BZ960" s="13"/>
      <c r="CA960" s="13"/>
      <c r="CB960" s="13"/>
      <c r="CC960" s="2469" t="s">
        <v>3550</v>
      </c>
      <c r="CD960" s="13">
        <v>80</v>
      </c>
      <c r="CE960" s="13">
        <v>20</v>
      </c>
      <c r="CF960" s="13"/>
      <c r="CG960" s="13">
        <f t="shared" si="177"/>
        <v>100</v>
      </c>
      <c r="CH960" s="13">
        <v>101</v>
      </c>
      <c r="CI960" s="13">
        <v>45</v>
      </c>
      <c r="CJ960" s="13"/>
      <c r="CK960" s="30">
        <f t="shared" si="170"/>
        <v>146</v>
      </c>
      <c r="CM960" s="2469" t="s">
        <v>3551</v>
      </c>
      <c r="CN960" s="13">
        <v>88</v>
      </c>
      <c r="CO960" s="13">
        <v>0</v>
      </c>
      <c r="CP960" s="13">
        <v>8</v>
      </c>
      <c r="CQ960" s="13">
        <f t="shared" si="178"/>
        <v>96</v>
      </c>
      <c r="CR960" s="13">
        <v>117</v>
      </c>
      <c r="CS960" s="13">
        <v>27</v>
      </c>
      <c r="CT960" s="13"/>
      <c r="CU960" s="30">
        <f t="shared" si="171"/>
        <v>144</v>
      </c>
      <c r="CW960" s="2469" t="s">
        <v>3552</v>
      </c>
      <c r="CX960" s="13">
        <v>92</v>
      </c>
      <c r="CY960" s="13">
        <v>0</v>
      </c>
      <c r="CZ960" s="13">
        <v>4</v>
      </c>
      <c r="DA960" s="13">
        <f t="shared" si="179"/>
        <v>96</v>
      </c>
      <c r="DB960" s="13">
        <v>41</v>
      </c>
      <c r="DC960" s="13">
        <v>86</v>
      </c>
      <c r="DD960" s="13">
        <v>12</v>
      </c>
      <c r="DE960" s="30">
        <f t="shared" si="172"/>
        <v>139</v>
      </c>
      <c r="DG960" s="332">
        <v>45836</v>
      </c>
      <c r="DH960" s="13">
        <v>91</v>
      </c>
      <c r="DI960" s="13">
        <v>0</v>
      </c>
      <c r="DJ960" s="13">
        <v>10</v>
      </c>
      <c r="DK960" s="13">
        <f t="shared" si="180"/>
        <v>101</v>
      </c>
      <c r="DL960" s="13">
        <v>69</v>
      </c>
      <c r="DM960" s="13">
        <v>72</v>
      </c>
      <c r="DN960" s="13">
        <v>6</v>
      </c>
      <c r="DO960" s="30">
        <f t="shared" si="173"/>
        <v>147</v>
      </c>
      <c r="DQ960" s="332">
        <v>45866</v>
      </c>
      <c r="DR960" s="13">
        <v>92</v>
      </c>
      <c r="DS960" s="13">
        <v>0</v>
      </c>
      <c r="DT960" s="13">
        <v>4</v>
      </c>
      <c r="DU960" s="13">
        <f t="shared" si="184"/>
        <v>96</v>
      </c>
      <c r="DV960" s="13">
        <v>55</v>
      </c>
      <c r="DW960" s="13">
        <v>44</v>
      </c>
      <c r="DX960" s="13">
        <v>30</v>
      </c>
      <c r="DY960" s="30">
        <f t="shared" si="174"/>
        <v>129</v>
      </c>
      <c r="EC960" s="332">
        <v>45897</v>
      </c>
      <c r="ED960" s="13">
        <v>95</v>
      </c>
      <c r="EE960" s="13">
        <v>0</v>
      </c>
      <c r="EF960" s="13">
        <v>4</v>
      </c>
      <c r="EG960" s="13">
        <f t="shared" si="185"/>
        <v>99</v>
      </c>
      <c r="EH960" s="13">
        <v>126</v>
      </c>
      <c r="EI960" s="13">
        <v>0</v>
      </c>
      <c r="EJ960" s="13">
        <v>7</v>
      </c>
      <c r="EK960" s="30">
        <f t="shared" si="175"/>
        <v>133</v>
      </c>
      <c r="EM960" s="321">
        <v>45897</v>
      </c>
      <c r="EN960" s="89"/>
      <c r="EO960" s="89"/>
      <c r="EP960" s="89"/>
      <c r="EQ960" s="89">
        <f t="shared" si="186"/>
        <v>0</v>
      </c>
      <c r="ER960" s="89"/>
      <c r="ES960" s="89"/>
      <c r="ET960" s="89"/>
      <c r="EU960" s="30">
        <f t="shared" si="176"/>
        <v>0</v>
      </c>
    </row>
    <row r="961" spans="2:151" ht="20.25">
      <c r="D961" s="890"/>
      <c r="K961" s="3046" t="s">
        <v>3553</v>
      </c>
      <c r="L961" s="3048"/>
      <c r="AB961" s="321">
        <v>45411</v>
      </c>
      <c r="AC961" s="41">
        <v>41</v>
      </c>
      <c r="AD961" s="41">
        <v>65</v>
      </c>
      <c r="AE961" s="321">
        <v>45441</v>
      </c>
      <c r="AF961" s="41">
        <v>110</v>
      </c>
      <c r="AG961" s="320">
        <v>86</v>
      </c>
      <c r="AH961" s="321">
        <v>45472</v>
      </c>
      <c r="AI961" s="41">
        <v>80</v>
      </c>
      <c r="AJ961" s="41">
        <v>70</v>
      </c>
      <c r="AK961" s="321">
        <v>45502</v>
      </c>
      <c r="AL961" s="41">
        <v>75</v>
      </c>
      <c r="AM961" s="41">
        <v>70</v>
      </c>
      <c r="AN961" s="321">
        <v>45533</v>
      </c>
      <c r="AO961" s="41">
        <v>110</v>
      </c>
      <c r="AP961" s="41">
        <v>84</v>
      </c>
      <c r="AQ961">
        <v>65</v>
      </c>
      <c r="AR961" s="321">
        <v>45564</v>
      </c>
      <c r="AS961" s="41">
        <v>93</v>
      </c>
      <c r="AT961" s="41">
        <v>79</v>
      </c>
      <c r="AU961" s="322">
        <v>41</v>
      </c>
      <c r="AV961" s="321">
        <v>45594</v>
      </c>
      <c r="AW961" s="13">
        <v>123</v>
      </c>
      <c r="AX961" s="13">
        <v>88</v>
      </c>
      <c r="BA961" s="321">
        <v>45625</v>
      </c>
      <c r="BB961" s="13">
        <v>89</v>
      </c>
      <c r="BC961" s="13">
        <v>84</v>
      </c>
      <c r="BD961" s="321">
        <v>45655</v>
      </c>
      <c r="BE961" s="13">
        <v>76</v>
      </c>
      <c r="BF961" s="13">
        <v>94</v>
      </c>
      <c r="BH961" s="2469" t="s">
        <v>3554</v>
      </c>
      <c r="BI961" s="321"/>
      <c r="BJ961" s="13">
        <v>106</v>
      </c>
      <c r="BK961" s="13">
        <v>81</v>
      </c>
      <c r="BL961" s="13">
        <v>106</v>
      </c>
      <c r="BM961" s="13"/>
      <c r="BN961" s="321"/>
      <c r="BO961" s="13"/>
      <c r="BP961" s="13"/>
      <c r="BQ961" s="13"/>
      <c r="BR961" s="13">
        <f t="shared" si="187"/>
        <v>0</v>
      </c>
      <c r="BS961" s="30"/>
      <c r="BT961" s="30"/>
      <c r="BU961" s="30"/>
      <c r="BV961" s="30">
        <f t="shared" si="169"/>
        <v>0</v>
      </c>
      <c r="BX961" s="321"/>
      <c r="BY961" s="13"/>
      <c r="BZ961" s="13"/>
      <c r="CA961" s="13"/>
      <c r="CB961" s="13"/>
      <c r="CC961" s="321">
        <v>45745</v>
      </c>
      <c r="CD961" s="13">
        <v>66</v>
      </c>
      <c r="CE961" s="13">
        <v>27</v>
      </c>
      <c r="CF961" s="13"/>
      <c r="CG961" s="13">
        <f t="shared" si="177"/>
        <v>93</v>
      </c>
      <c r="CH961" s="30">
        <v>71</v>
      </c>
      <c r="CI961" s="30">
        <v>75</v>
      </c>
      <c r="CJ961" s="30"/>
      <c r="CK961" s="30">
        <f t="shared" si="170"/>
        <v>146</v>
      </c>
      <c r="CM961" s="321">
        <v>45776</v>
      </c>
      <c r="CN961" s="13">
        <v>83</v>
      </c>
      <c r="CO961" s="13">
        <v>0</v>
      </c>
      <c r="CP961" s="13">
        <v>8</v>
      </c>
      <c r="CQ961" s="13">
        <f t="shared" si="178"/>
        <v>91</v>
      </c>
      <c r="CR961" s="13">
        <v>104</v>
      </c>
      <c r="CS961" s="13">
        <v>40</v>
      </c>
      <c r="CT961" s="13">
        <v>10</v>
      </c>
      <c r="CU961" s="30">
        <f t="shared" si="171"/>
        <v>154</v>
      </c>
      <c r="CW961" s="321">
        <v>45806</v>
      </c>
      <c r="CX961" s="13">
        <v>76</v>
      </c>
      <c r="CY961" s="13">
        <v>0</v>
      </c>
      <c r="CZ961" s="13">
        <v>32</v>
      </c>
      <c r="DA961" s="13">
        <f t="shared" si="179"/>
        <v>108</v>
      </c>
      <c r="DB961" s="13">
        <v>80</v>
      </c>
      <c r="DC961" s="13">
        <v>43</v>
      </c>
      <c r="DD961" s="13">
        <v>19</v>
      </c>
      <c r="DE961" s="30">
        <f t="shared" si="172"/>
        <v>142</v>
      </c>
      <c r="DG961" s="332">
        <v>45837</v>
      </c>
      <c r="DH961" s="13">
        <v>83</v>
      </c>
      <c r="DI961" s="13">
        <v>0</v>
      </c>
      <c r="DJ961" s="13">
        <v>19</v>
      </c>
      <c r="DK961" s="13">
        <f t="shared" si="180"/>
        <v>102</v>
      </c>
      <c r="DL961" s="13">
        <v>71</v>
      </c>
      <c r="DM961" s="13">
        <v>50</v>
      </c>
      <c r="DN961" s="13">
        <v>19</v>
      </c>
      <c r="DO961" s="30">
        <f t="shared" si="173"/>
        <v>140</v>
      </c>
      <c r="DQ961" s="332">
        <v>45867</v>
      </c>
      <c r="DR961" s="13">
        <v>89</v>
      </c>
      <c r="DS961" s="13">
        <v>0</v>
      </c>
      <c r="DT961" s="13">
        <v>13</v>
      </c>
      <c r="DU961" s="13">
        <f t="shared" si="184"/>
        <v>102</v>
      </c>
      <c r="DV961" s="13">
        <v>37</v>
      </c>
      <c r="DW961" s="13">
        <v>74</v>
      </c>
      <c r="DX961" s="13">
        <v>10</v>
      </c>
      <c r="DY961" s="30">
        <f t="shared" si="174"/>
        <v>121</v>
      </c>
      <c r="EC961" s="332">
        <v>45898</v>
      </c>
      <c r="ED961" s="13">
        <v>84</v>
      </c>
      <c r="EE961" s="13">
        <v>0</v>
      </c>
      <c r="EF961" s="13">
        <v>23</v>
      </c>
      <c r="EG961" s="13">
        <f t="shared" si="185"/>
        <v>107</v>
      </c>
      <c r="EH961" s="13">
        <v>108</v>
      </c>
      <c r="EI961" s="13">
        <v>0</v>
      </c>
      <c r="EJ961" s="13">
        <v>21</v>
      </c>
      <c r="EK961" s="30">
        <f t="shared" si="175"/>
        <v>129</v>
      </c>
      <c r="EM961" s="321">
        <v>45898</v>
      </c>
      <c r="EN961" s="89"/>
      <c r="EO961" s="89"/>
      <c r="EP961" s="89"/>
      <c r="EQ961" s="89">
        <f t="shared" si="186"/>
        <v>0</v>
      </c>
      <c r="ER961" s="89"/>
      <c r="ES961" s="89"/>
      <c r="ET961" s="89"/>
      <c r="EU961" s="30">
        <f t="shared" si="176"/>
        <v>0</v>
      </c>
    </row>
    <row r="962" spans="2:151" ht="20.25">
      <c r="D962" s="890">
        <f>510-1141</f>
        <v>-631</v>
      </c>
      <c r="K962" s="834" t="s">
        <v>3555</v>
      </c>
      <c r="L962" s="892">
        <v>118655</v>
      </c>
      <c r="AB962" s="321">
        <v>45412</v>
      </c>
      <c r="AC962" s="41">
        <v>56</v>
      </c>
      <c r="AD962" s="41">
        <v>84</v>
      </c>
      <c r="AE962" s="321">
        <v>45442</v>
      </c>
      <c r="AF962" s="41">
        <v>106</v>
      </c>
      <c r="AG962" s="320">
        <v>84</v>
      </c>
      <c r="AH962" s="321">
        <v>45473</v>
      </c>
      <c r="AI962" s="41">
        <v>87</v>
      </c>
      <c r="AJ962" s="41">
        <v>77</v>
      </c>
      <c r="AK962" s="321">
        <v>45503</v>
      </c>
      <c r="AL962" s="41">
        <v>48</v>
      </c>
      <c r="AM962" s="41">
        <v>80</v>
      </c>
      <c r="AN962" s="321">
        <v>45534</v>
      </c>
      <c r="AO962" s="41">
        <v>104</v>
      </c>
      <c r="AP962" s="41">
        <v>86</v>
      </c>
      <c r="AQ962">
        <v>60</v>
      </c>
      <c r="AR962" s="321">
        <v>45565</v>
      </c>
      <c r="AS962" s="41">
        <v>89</v>
      </c>
      <c r="AT962" s="41">
        <v>78</v>
      </c>
      <c r="AU962" s="322">
        <v>83</v>
      </c>
      <c r="AV962" s="321">
        <v>45595</v>
      </c>
      <c r="AW962" s="13">
        <v>116</v>
      </c>
      <c r="AX962" s="13">
        <v>91</v>
      </c>
      <c r="BA962" s="321">
        <v>45626</v>
      </c>
      <c r="BB962" s="13">
        <v>83</v>
      </c>
      <c r="BC962" s="13">
        <v>85</v>
      </c>
      <c r="BD962" s="321">
        <v>45656</v>
      </c>
      <c r="BE962" s="13">
        <v>96</v>
      </c>
      <c r="BF962" s="13">
        <v>72</v>
      </c>
      <c r="BH962" s="2469" t="s">
        <v>3556</v>
      </c>
      <c r="BI962" s="321"/>
      <c r="BJ962" s="13">
        <v>117</v>
      </c>
      <c r="BK962" s="13">
        <v>90</v>
      </c>
      <c r="BL962" s="13">
        <v>117</v>
      </c>
      <c r="BM962" s="13"/>
      <c r="BN962" s="321"/>
      <c r="BO962" s="13"/>
      <c r="BP962" s="13"/>
      <c r="BQ962" s="13"/>
      <c r="BR962" s="13">
        <f t="shared" si="187"/>
        <v>0</v>
      </c>
      <c r="BS962" s="30"/>
      <c r="BT962" s="30"/>
      <c r="BU962" s="30"/>
      <c r="BV962" s="30">
        <f t="shared" si="169"/>
        <v>0</v>
      </c>
      <c r="BX962" s="321"/>
      <c r="BY962" s="13"/>
      <c r="BZ962" s="13"/>
      <c r="CA962" s="13"/>
      <c r="CB962" s="13"/>
      <c r="CC962" s="321">
        <v>45746</v>
      </c>
      <c r="CD962" s="13">
        <v>55</v>
      </c>
      <c r="CE962" s="13">
        <v>30</v>
      </c>
      <c r="CF962" s="13"/>
      <c r="CG962" s="13">
        <f t="shared" si="177"/>
        <v>85</v>
      </c>
      <c r="CH962" s="30">
        <v>91</v>
      </c>
      <c r="CI962" s="30">
        <v>52</v>
      </c>
      <c r="CJ962" s="30">
        <v>6</v>
      </c>
      <c r="CK962" s="30">
        <f t="shared" si="170"/>
        <v>149</v>
      </c>
      <c r="CM962" s="321">
        <v>45777</v>
      </c>
      <c r="CN962" s="13">
        <v>80</v>
      </c>
      <c r="CO962" s="13"/>
      <c r="CP962" s="13">
        <v>10</v>
      </c>
      <c r="CQ962" s="13">
        <f t="shared" si="178"/>
        <v>90</v>
      </c>
      <c r="CR962" s="13">
        <v>90</v>
      </c>
      <c r="CS962" s="13">
        <v>30</v>
      </c>
      <c r="CT962" s="13">
        <v>14</v>
      </c>
      <c r="CU962" s="30">
        <f t="shared" si="171"/>
        <v>134</v>
      </c>
      <c r="CW962" s="321">
        <v>45807</v>
      </c>
      <c r="CX962" s="13">
        <v>80</v>
      </c>
      <c r="CY962" s="13">
        <v>0</v>
      </c>
      <c r="CZ962" s="13">
        <v>19</v>
      </c>
      <c r="DA962" s="13">
        <f t="shared" si="179"/>
        <v>99</v>
      </c>
      <c r="DB962" s="13">
        <v>92</v>
      </c>
      <c r="DC962" s="13">
        <v>52</v>
      </c>
      <c r="DD962" s="13">
        <v>2</v>
      </c>
      <c r="DE962" s="30">
        <f t="shared" si="172"/>
        <v>146</v>
      </c>
      <c r="DG962" s="332">
        <v>45838</v>
      </c>
      <c r="DH962" s="13">
        <v>56</v>
      </c>
      <c r="DI962" s="13">
        <v>0</v>
      </c>
      <c r="DJ962" s="13">
        <v>37</v>
      </c>
      <c r="DK962" s="13">
        <f t="shared" si="180"/>
        <v>93</v>
      </c>
      <c r="DL962" s="13">
        <v>27</v>
      </c>
      <c r="DM962" s="13">
        <v>106</v>
      </c>
      <c r="DN962" s="13">
        <v>15</v>
      </c>
      <c r="DO962" s="30">
        <f t="shared" si="173"/>
        <v>148</v>
      </c>
      <c r="DQ962" s="332">
        <v>45868</v>
      </c>
      <c r="DR962" s="13">
        <v>89</v>
      </c>
      <c r="DS962" s="13">
        <v>0</v>
      </c>
      <c r="DT962" s="13">
        <v>13</v>
      </c>
      <c r="DU962" s="13">
        <f t="shared" si="184"/>
        <v>102</v>
      </c>
      <c r="DV962" s="13">
        <v>71</v>
      </c>
      <c r="DW962" s="13">
        <v>41</v>
      </c>
      <c r="DX962" s="13">
        <v>33</v>
      </c>
      <c r="DY962" s="30">
        <f t="shared" si="174"/>
        <v>145</v>
      </c>
      <c r="EC962" s="332">
        <v>45899</v>
      </c>
      <c r="ED962" s="13">
        <v>91</v>
      </c>
      <c r="EE962" s="13">
        <v>0</v>
      </c>
      <c r="EF962" s="13">
        <v>5</v>
      </c>
      <c r="EG962" s="13">
        <f t="shared" si="185"/>
        <v>96</v>
      </c>
      <c r="EH962" s="13">
        <v>95</v>
      </c>
      <c r="EI962" s="13">
        <v>0</v>
      </c>
      <c r="EJ962" s="13">
        <v>32</v>
      </c>
      <c r="EK962" s="30">
        <f t="shared" si="175"/>
        <v>127</v>
      </c>
      <c r="EM962" s="321">
        <v>45899</v>
      </c>
      <c r="EN962" s="89"/>
      <c r="EO962" s="89"/>
      <c r="EP962" s="89"/>
      <c r="EQ962" s="89">
        <f t="shared" si="186"/>
        <v>0</v>
      </c>
      <c r="ER962" s="89"/>
      <c r="ES962" s="89"/>
      <c r="ET962" s="89"/>
      <c r="EU962" s="30">
        <f t="shared" si="176"/>
        <v>0</v>
      </c>
    </row>
    <row r="963" spans="2:151" ht="20.25">
      <c r="D963" s="890"/>
      <c r="K963" s="834" t="s">
        <v>3557</v>
      </c>
      <c r="L963" s="892">
        <v>107000</v>
      </c>
      <c r="AB963" s="321"/>
      <c r="AC963" s="41"/>
      <c r="AD963" s="41"/>
      <c r="AE963" s="321">
        <v>45443</v>
      </c>
      <c r="AF963" s="41">
        <v>90</v>
      </c>
      <c r="AG963" s="320">
        <v>72</v>
      </c>
      <c r="AH963" s="321"/>
      <c r="AI963" s="41"/>
      <c r="AJ963" s="41"/>
      <c r="AK963" s="321">
        <v>45504</v>
      </c>
      <c r="AL963" s="41">
        <v>45</v>
      </c>
      <c r="AM963" s="41">
        <v>65</v>
      </c>
      <c r="AN963" s="321">
        <v>45535</v>
      </c>
      <c r="AO963" s="41">
        <v>93</v>
      </c>
      <c r="AP963" s="41">
        <v>76</v>
      </c>
      <c r="AR963" s="321"/>
      <c r="AS963" s="41">
        <v>0</v>
      </c>
      <c r="AT963" s="41">
        <v>0</v>
      </c>
      <c r="AV963" s="321">
        <v>45596</v>
      </c>
      <c r="AW963" s="13">
        <v>93</v>
      </c>
      <c r="AX963" s="13">
        <v>67</v>
      </c>
      <c r="BA963" s="321"/>
      <c r="BB963" s="41">
        <f>SUM(BB932:BB962)</f>
        <v>2520</v>
      </c>
      <c r="BC963" s="41">
        <f>SUM(BC932:BC962)</f>
        <v>2306</v>
      </c>
      <c r="BD963" s="321">
        <v>45657</v>
      </c>
      <c r="BE963" s="13">
        <v>69</v>
      </c>
      <c r="BF963" s="13">
        <v>87</v>
      </c>
      <c r="BH963" s="2469" t="s">
        <v>3558</v>
      </c>
      <c r="BI963" s="321"/>
      <c r="BJ963" s="13">
        <v>101</v>
      </c>
      <c r="BK963" s="13">
        <v>73</v>
      </c>
      <c r="BL963" s="13">
        <v>101</v>
      </c>
      <c r="BM963" s="13"/>
      <c r="BN963" s="321"/>
      <c r="BO963" s="13"/>
      <c r="BQ963" s="13"/>
      <c r="BR963" s="13">
        <f t="shared" si="187"/>
        <v>0</v>
      </c>
      <c r="BS963" s="30"/>
      <c r="BT963" s="30"/>
      <c r="BU963" s="30"/>
      <c r="BV963" s="30">
        <f t="shared" si="169"/>
        <v>0</v>
      </c>
      <c r="BX963" s="321"/>
      <c r="BY963" s="13"/>
      <c r="BZ963" s="13"/>
      <c r="CA963" s="13"/>
      <c r="CB963" s="13"/>
      <c r="CC963" s="321">
        <v>45747</v>
      </c>
      <c r="CD963" s="13">
        <v>48</v>
      </c>
      <c r="CF963" s="13">
        <v>42</v>
      </c>
      <c r="CG963" s="13">
        <f t="shared" si="177"/>
        <v>90</v>
      </c>
      <c r="CH963" s="30">
        <v>99</v>
      </c>
      <c r="CI963" s="30">
        <v>27</v>
      </c>
      <c r="CJ963" s="30">
        <v>4</v>
      </c>
      <c r="CK963" s="30">
        <f t="shared" si="170"/>
        <v>130</v>
      </c>
      <c r="CM963" s="321"/>
      <c r="CN963" s="13"/>
      <c r="CO963" s="13"/>
      <c r="CP963" s="13"/>
      <c r="CQ963" s="13">
        <f t="shared" si="178"/>
        <v>0</v>
      </c>
      <c r="CR963" s="13"/>
      <c r="CS963" s="13"/>
      <c r="CT963" s="13"/>
      <c r="CU963" s="30">
        <f t="shared" si="171"/>
        <v>0</v>
      </c>
      <c r="CW963" s="321">
        <v>45808</v>
      </c>
      <c r="CX963" s="13">
        <v>74</v>
      </c>
      <c r="CY963" s="13">
        <v>0</v>
      </c>
      <c r="CZ963" s="13">
        <v>20</v>
      </c>
      <c r="DA963" s="13">
        <f t="shared" si="179"/>
        <v>94</v>
      </c>
      <c r="DB963" s="13">
        <v>88</v>
      </c>
      <c r="DC963" s="13">
        <v>57</v>
      </c>
      <c r="DD963" s="13">
        <v>0</v>
      </c>
      <c r="DE963" s="30">
        <f t="shared" si="172"/>
        <v>145</v>
      </c>
      <c r="DG963" s="321"/>
      <c r="DH963" s="13"/>
      <c r="DI963" s="13"/>
      <c r="DJ963" s="13"/>
      <c r="DK963" s="13">
        <f t="shared" si="180"/>
        <v>0</v>
      </c>
      <c r="DL963" s="13"/>
      <c r="DM963" s="13"/>
      <c r="DN963" s="13"/>
      <c r="DO963" s="30">
        <f t="shared" si="173"/>
        <v>0</v>
      </c>
      <c r="DQ963" s="321">
        <v>45869</v>
      </c>
      <c r="DR963" s="13">
        <v>56</v>
      </c>
      <c r="DS963" s="13">
        <v>0</v>
      </c>
      <c r="DT963" s="13">
        <v>33</v>
      </c>
      <c r="DU963" s="13">
        <f t="shared" si="184"/>
        <v>89</v>
      </c>
      <c r="DV963" s="13">
        <v>76</v>
      </c>
      <c r="DW963" s="13">
        <v>43</v>
      </c>
      <c r="DX963" s="13">
        <v>25</v>
      </c>
      <c r="DY963" s="30">
        <f t="shared" si="174"/>
        <v>144</v>
      </c>
      <c r="EC963" s="329">
        <v>45900</v>
      </c>
      <c r="ED963" s="13">
        <v>90</v>
      </c>
      <c r="EE963" s="13">
        <v>0</v>
      </c>
      <c r="EF963" s="13">
        <v>11</v>
      </c>
      <c r="EG963" s="13">
        <f t="shared" si="185"/>
        <v>101</v>
      </c>
      <c r="EH963" s="13">
        <v>91</v>
      </c>
      <c r="EI963" s="13">
        <v>0</v>
      </c>
      <c r="EJ963" s="13">
        <v>32</v>
      </c>
      <c r="EK963" s="30">
        <f t="shared" si="175"/>
        <v>123</v>
      </c>
      <c r="EM963" s="321">
        <v>45900</v>
      </c>
      <c r="EN963" s="89"/>
      <c r="EO963" s="89"/>
      <c r="EP963" s="89"/>
      <c r="EQ963" s="89">
        <f t="shared" si="186"/>
        <v>0</v>
      </c>
      <c r="ER963" s="89"/>
      <c r="ES963" s="89"/>
      <c r="ET963" s="89"/>
      <c r="EU963" s="30">
        <f t="shared" si="176"/>
        <v>0</v>
      </c>
    </row>
    <row r="964" spans="2:151" ht="20.25">
      <c r="D964" s="890"/>
      <c r="K964" s="834" t="s">
        <v>3559</v>
      </c>
      <c r="L964" s="892">
        <v>11655</v>
      </c>
      <c r="AB964" s="321" t="s">
        <v>23</v>
      </c>
      <c r="AC964" s="41">
        <f>SUM(AC933:AC963)</f>
        <v>2211</v>
      </c>
      <c r="AD964" s="41">
        <f t="shared" ref="AD964:AX964" si="188">SUM(AD933:AD963)</f>
        <v>2148</v>
      </c>
      <c r="AE964" s="41">
        <f t="shared" si="188"/>
        <v>1408268</v>
      </c>
      <c r="AF964" s="41">
        <f t="shared" si="188"/>
        <v>1623</v>
      </c>
      <c r="AG964" s="41">
        <f t="shared" si="188"/>
        <v>1358</v>
      </c>
      <c r="AH964" s="41">
        <f t="shared" si="188"/>
        <v>1363755</v>
      </c>
      <c r="AI964" s="41">
        <f t="shared" si="188"/>
        <v>2620</v>
      </c>
      <c r="AJ964" s="41">
        <f t="shared" si="188"/>
        <v>2460</v>
      </c>
      <c r="AK964" s="41">
        <f t="shared" si="188"/>
        <v>1410159</v>
      </c>
      <c r="AL964" s="41">
        <f t="shared" si="188"/>
        <v>2338</v>
      </c>
      <c r="AM964" s="41">
        <f t="shared" si="188"/>
        <v>2217</v>
      </c>
      <c r="AN964" s="41">
        <f t="shared" si="188"/>
        <v>1411120</v>
      </c>
      <c r="AO964" s="41">
        <f t="shared" si="188"/>
        <v>2618</v>
      </c>
      <c r="AP964" s="41">
        <f t="shared" si="188"/>
        <v>2392</v>
      </c>
      <c r="AQ964" s="41">
        <f t="shared" si="188"/>
        <v>125</v>
      </c>
      <c r="AR964" s="41">
        <f t="shared" si="188"/>
        <v>1366515</v>
      </c>
      <c r="AS964" s="41">
        <f t="shared" si="188"/>
        <v>2067</v>
      </c>
      <c r="AT964" s="41">
        <f t="shared" si="188"/>
        <v>2121</v>
      </c>
      <c r="AU964" s="41">
        <f t="shared" si="188"/>
        <v>124</v>
      </c>
      <c r="AV964" s="41">
        <f t="shared" si="188"/>
        <v>1413011</v>
      </c>
      <c r="AW964" s="41">
        <f t="shared" si="188"/>
        <v>2669</v>
      </c>
      <c r="AX964" s="41">
        <f t="shared" si="188"/>
        <v>2118</v>
      </c>
      <c r="BD964" s="289" t="s">
        <v>23</v>
      </c>
      <c r="BE964" s="41">
        <f>SUM(BE932:BE963)</f>
        <v>2783</v>
      </c>
      <c r="BF964" s="41">
        <f>SUM(BF932:BF963)</f>
        <v>2380</v>
      </c>
      <c r="BH964" s="289" t="s">
        <v>23</v>
      </c>
      <c r="BI964" s="289"/>
      <c r="BJ964" s="41">
        <f>SUM(BJ932:BJ963)</f>
        <v>2977</v>
      </c>
      <c r="BK964" s="41">
        <f>SUM(BK932:BK963)</f>
        <v>2601</v>
      </c>
      <c r="BL964" s="41">
        <f>SUM(BL932:BL963)</f>
        <v>2671</v>
      </c>
      <c r="BM964" s="41">
        <f>SUM(BM932:BM963)</f>
        <v>306</v>
      </c>
      <c r="BN964" s="289" t="s">
        <v>23</v>
      </c>
      <c r="BO964" s="41">
        <f>SUM(BO932:BO963)</f>
        <v>2368</v>
      </c>
      <c r="BP964" s="41">
        <f>SUM(BP932:BP963)</f>
        <v>66</v>
      </c>
      <c r="BQ964" s="41">
        <f>SUM(BQ932:BQ963)</f>
        <v>290</v>
      </c>
      <c r="BR964" s="41">
        <f>SUM(BR932:BR963)</f>
        <v>2724</v>
      </c>
      <c r="BS964" s="41">
        <f>SUM(BR932:BR963)</f>
        <v>2724</v>
      </c>
      <c r="BT964" s="41">
        <f>SUM(BT933:BT963)</f>
        <v>886</v>
      </c>
      <c r="BU964" s="41">
        <f>SUM(BU933:BU963)</f>
        <v>280</v>
      </c>
      <c r="BV964" s="41">
        <f>SUM(BV933:BV963)</f>
        <v>4038</v>
      </c>
      <c r="BX964" s="289"/>
      <c r="BY964" s="41"/>
      <c r="BZ964" s="41"/>
      <c r="CA964" s="41"/>
      <c r="CB964" s="41"/>
      <c r="CC964" s="289" t="s">
        <v>23</v>
      </c>
      <c r="CD964" s="41">
        <f>SUM(CD932:CD963)</f>
        <v>2231</v>
      </c>
      <c r="CE964" s="41">
        <f>SUM(CE932:CE963)</f>
        <v>466</v>
      </c>
      <c r="CF964" s="41">
        <f>SUM(CF932:CF963)</f>
        <v>219</v>
      </c>
      <c r="CG964" s="41">
        <f>SUM(CG932:CG963)</f>
        <v>2916</v>
      </c>
      <c r="CH964" s="41">
        <f>SUM(CG932:CG963)</f>
        <v>2916</v>
      </c>
      <c r="CI964" s="41">
        <f>SUM(CI933:CI963)</f>
        <v>973</v>
      </c>
      <c r="CJ964" s="41">
        <f>SUM(CJ933:CJ963)</f>
        <v>655</v>
      </c>
      <c r="CK964" s="41">
        <f>SUM(CK933:CK963)</f>
        <v>4194</v>
      </c>
      <c r="CM964" s="289" t="s">
        <v>23</v>
      </c>
      <c r="CN964" s="41">
        <f>SUM(CN932:CN963)</f>
        <v>1583</v>
      </c>
      <c r="CO964" s="41">
        <f>SUM(CO932:CO963)</f>
        <v>16</v>
      </c>
      <c r="CP964" s="41">
        <f>SUM(CP932:CP963)</f>
        <v>282</v>
      </c>
      <c r="CQ964" s="41">
        <f>SUM(CQ932:CQ963)</f>
        <v>1881</v>
      </c>
      <c r="CR964" s="41">
        <f>SUM(CQ932:CQ963)</f>
        <v>1881</v>
      </c>
      <c r="CS964" s="41">
        <f>SUM(CS933:CS963)</f>
        <v>727</v>
      </c>
      <c r="CT964" s="41">
        <f>SUM(CT933:CT963)</f>
        <v>366</v>
      </c>
      <c r="CU964" s="41">
        <f>SUM(CU933:CU963)</f>
        <v>2783</v>
      </c>
      <c r="CW964" s="289" t="s">
        <v>23</v>
      </c>
      <c r="CX964" s="41">
        <f>SUM(CX932:CX963)</f>
        <v>2303</v>
      </c>
      <c r="CY964" s="41">
        <f>SUM(CY932:CY963)</f>
        <v>351</v>
      </c>
      <c r="CZ964" s="41">
        <f>SUM(CZ932:CZ963)</f>
        <v>312</v>
      </c>
      <c r="DA964" s="41">
        <f>SUM(DA932:DA963)</f>
        <v>2966</v>
      </c>
      <c r="DB964" s="41">
        <f>SUM(DA932:DA963)</f>
        <v>2966</v>
      </c>
      <c r="DC964" s="41">
        <f>SUM(DC933:DC963)</f>
        <v>1249</v>
      </c>
      <c r="DD964" s="41">
        <f>SUM(DD933:DD963)</f>
        <v>397</v>
      </c>
      <c r="DE964" s="41">
        <f>SUM(DE933:DE963)</f>
        <v>4134</v>
      </c>
      <c r="DG964" s="289" t="s">
        <v>23</v>
      </c>
      <c r="DH964" s="41">
        <f>SUM(DH932:DH963)</f>
        <v>1891</v>
      </c>
      <c r="DI964" s="41">
        <f>SUM(DI932:DI963)</f>
        <v>25</v>
      </c>
      <c r="DJ964" s="41">
        <f>SUM(DJ932:DJ963)</f>
        <v>559</v>
      </c>
      <c r="DK964" s="41">
        <f>SUM(DK932:DK963)</f>
        <v>2475</v>
      </c>
      <c r="DL964" s="41">
        <f>SUM(DK932:DK963)</f>
        <v>2475</v>
      </c>
      <c r="DM964" s="41">
        <f>SUM(DM933:DM963)</f>
        <v>1440</v>
      </c>
      <c r="DN964" s="41">
        <f>SUM(DN933:DN963)</f>
        <v>648</v>
      </c>
      <c r="DO964" s="41">
        <f>SUM(DO933:DO963)</f>
        <v>3094</v>
      </c>
      <c r="DQ964" s="289" t="s">
        <v>23</v>
      </c>
      <c r="DR964" s="41">
        <f>SUM(DR932:DR963)</f>
        <v>1884</v>
      </c>
      <c r="DS964" s="41">
        <f>SUM(DS932:DS963)</f>
        <v>129</v>
      </c>
      <c r="DT964" s="41">
        <f>SUM(DT932:DT963)</f>
        <v>564</v>
      </c>
      <c r="DU964" s="41">
        <f>SUM(DU932:DU963)</f>
        <v>2577</v>
      </c>
      <c r="DV964" s="41">
        <f>SUM(DU932:DU963)</f>
        <v>2577</v>
      </c>
      <c r="DW964" s="41">
        <f>SUM(DW933:DW963)</f>
        <v>1316</v>
      </c>
      <c r="DX964" s="41">
        <f>SUM(DX933:DX963)</f>
        <v>854</v>
      </c>
      <c r="DY964" s="41">
        <f>SUM(DY933:DY963)</f>
        <v>3420</v>
      </c>
      <c r="EC964" s="289" t="s">
        <v>23</v>
      </c>
      <c r="ED964" s="41">
        <f>SUM(ED932:ED963)</f>
        <v>2478</v>
      </c>
      <c r="EE964" s="41">
        <f>SUM(EE932:EE963)</f>
        <v>34</v>
      </c>
      <c r="EF964" s="41">
        <f>SUM(EF932:EF963)</f>
        <v>371</v>
      </c>
      <c r="EG964" s="41">
        <f>SUM(EG932:EG963)</f>
        <v>2883</v>
      </c>
      <c r="EH964" s="41">
        <f>SUM(EG932:EG963)</f>
        <v>2883</v>
      </c>
      <c r="EI964" s="41">
        <f>SUM(EI933:EI963)</f>
        <v>1440</v>
      </c>
      <c r="EJ964" s="41">
        <f>SUM(EJ933:EJ963)</f>
        <v>597</v>
      </c>
      <c r="EK964" s="41">
        <f>SUM(EK933:EK963)</f>
        <v>4088</v>
      </c>
      <c r="EM964" s="289" t="s">
        <v>23</v>
      </c>
      <c r="EN964" s="41">
        <f>SUM(EN932:EN963)</f>
        <v>814</v>
      </c>
      <c r="EO964" s="41">
        <f>SUM(EO932:EO963)</f>
        <v>12</v>
      </c>
      <c r="EP964" s="41">
        <f>SUM(EP932:EP963)</f>
        <v>137</v>
      </c>
      <c r="EQ964" s="41">
        <f>SUM(EQ932:EQ963)</f>
        <v>963</v>
      </c>
      <c r="ER964" s="41">
        <f>SUM(EQ932:EQ963)</f>
        <v>963</v>
      </c>
      <c r="ES964" s="41">
        <f>SUM(ES933:ES963)</f>
        <v>188</v>
      </c>
      <c r="ET964" s="41">
        <f>SUM(ET933:ET963)</f>
        <v>183</v>
      </c>
      <c r="EU964" s="41">
        <f>SUM(EU933:EU963)</f>
        <v>1394</v>
      </c>
    </row>
    <row r="965" spans="2:151" ht="20.25">
      <c r="D965" s="890"/>
      <c r="K965" s="834" t="s">
        <v>3560</v>
      </c>
      <c r="L965" s="892">
        <v>5040</v>
      </c>
      <c r="AB965" s="321"/>
      <c r="AC965" s="41"/>
      <c r="AD965" s="41"/>
      <c r="AE965" s="321"/>
      <c r="AF965" s="41"/>
      <c r="AG965" s="320"/>
      <c r="AH965" s="321"/>
      <c r="AI965" s="41"/>
      <c r="AJ965" s="41"/>
      <c r="AK965" s="321"/>
      <c r="AL965" s="41"/>
      <c r="AM965" s="41"/>
      <c r="AN965" s="321"/>
      <c r="AO965" s="41"/>
      <c r="AP965" s="41"/>
      <c r="AR965" s="321"/>
      <c r="AS965" s="41"/>
      <c r="AT965" s="41"/>
      <c r="AV965" s="321"/>
      <c r="AW965" s="13"/>
      <c r="AX965" s="13"/>
    </row>
    <row r="966" spans="2:151" ht="20.25">
      <c r="D966" s="890"/>
      <c r="K966" s="834" t="s">
        <v>3561</v>
      </c>
      <c r="L966" s="892">
        <v>45970</v>
      </c>
      <c r="AB966" s="321"/>
      <c r="AC966" s="41"/>
      <c r="AD966" s="41"/>
      <c r="AE966" s="321"/>
      <c r="AF966" s="41"/>
      <c r="AG966" s="320"/>
      <c r="AH966" s="321"/>
      <c r="AI966" s="41"/>
      <c r="AJ966" s="41"/>
      <c r="AK966" s="321"/>
      <c r="AL966" s="41"/>
      <c r="AM966" s="41"/>
      <c r="AN966" s="321"/>
      <c r="AO966" s="41"/>
      <c r="AP966" s="41"/>
      <c r="AR966" s="321"/>
      <c r="AS966" s="41"/>
      <c r="AT966" s="41"/>
      <c r="AV966" s="321"/>
      <c r="AW966" s="13"/>
      <c r="AX966" s="13"/>
    </row>
    <row r="967" spans="2:151" ht="20.25">
      <c r="D967" s="890"/>
      <c r="K967" s="834" t="s">
        <v>3562</v>
      </c>
      <c r="L967" s="892">
        <v>24905</v>
      </c>
      <c r="AB967" s="321"/>
      <c r="AC967" s="41"/>
      <c r="AD967" s="41"/>
      <c r="AE967" s="321"/>
      <c r="AF967" s="41"/>
      <c r="AG967" s="320"/>
      <c r="AH967" s="321"/>
      <c r="AI967" s="41"/>
      <c r="AJ967" s="41"/>
      <c r="AK967" s="321"/>
      <c r="AL967" s="41"/>
      <c r="AM967" s="41"/>
      <c r="AN967" s="321"/>
      <c r="AO967" s="41"/>
      <c r="AP967" s="41"/>
      <c r="AR967" s="321"/>
      <c r="AS967" s="41"/>
      <c r="AT967" s="41"/>
      <c r="AV967" s="321"/>
      <c r="AW967" s="13"/>
      <c r="AX967" s="13"/>
    </row>
    <row r="968" spans="2:151" ht="20.25">
      <c r="D968" s="890"/>
      <c r="K968" s="834" t="s">
        <v>3563</v>
      </c>
      <c r="L968" s="892">
        <v>21060</v>
      </c>
      <c r="AB968" s="321"/>
      <c r="AC968" s="41"/>
      <c r="AD968" s="41"/>
      <c r="AE968" s="321"/>
      <c r="AF968" s="41"/>
      <c r="AG968" s="320"/>
      <c r="AH968" s="321"/>
      <c r="AI968" s="41"/>
      <c r="AJ968" s="41"/>
      <c r="AK968" s="321"/>
      <c r="AL968" s="41"/>
      <c r="AM968" s="41"/>
      <c r="AN968" s="321"/>
      <c r="AO968" s="41"/>
      <c r="AP968" s="41"/>
      <c r="AR968" s="321"/>
      <c r="AS968" s="41"/>
      <c r="AT968" s="41"/>
      <c r="AV968" s="321"/>
      <c r="AW968" s="13"/>
      <c r="AX968" s="13"/>
    </row>
    <row r="969" spans="2:151" ht="20.25">
      <c r="K969" s="835" t="s">
        <v>500</v>
      </c>
      <c r="L969" s="893">
        <v>21622</v>
      </c>
      <c r="AW969" s="13"/>
      <c r="AX969" s="13"/>
    </row>
    <row r="970" spans="2:151">
      <c r="AW970" s="13"/>
      <c r="AX970" s="13"/>
    </row>
    <row r="971" spans="2:151">
      <c r="AW971" s="13"/>
      <c r="AX971" s="13"/>
    </row>
    <row r="972" spans="2:151">
      <c r="AW972" s="13"/>
      <c r="AX972" s="13"/>
    </row>
    <row r="973" spans="2:151" ht="27">
      <c r="B973" s="3034" t="s">
        <v>3564</v>
      </c>
      <c r="C973" s="3034"/>
      <c r="D973" s="3034"/>
      <c r="E973" s="3034"/>
      <c r="F973" s="3034"/>
      <c r="G973" s="3034"/>
      <c r="H973" s="3034"/>
      <c r="I973" s="3034"/>
      <c r="J973" s="3034"/>
      <c r="K973" s="3034"/>
      <c r="L973" s="3034"/>
      <c r="M973" s="3034"/>
      <c r="N973" s="3034"/>
      <c r="O973" s="3034"/>
      <c r="P973" s="3034"/>
      <c r="Q973" s="3034"/>
      <c r="AW973" s="13"/>
      <c r="AX973" s="13"/>
    </row>
    <row r="974" spans="2:151">
      <c r="AW974" s="13"/>
      <c r="AX974" s="13"/>
    </row>
    <row r="975" spans="2:151" ht="23.25">
      <c r="B975" s="894" t="s">
        <v>721</v>
      </c>
      <c r="C975" s="895" t="s">
        <v>735</v>
      </c>
      <c r="D975" s="896" t="s">
        <v>722</v>
      </c>
      <c r="E975" s="896" t="s">
        <v>723</v>
      </c>
      <c r="F975" s="896" t="s">
        <v>724</v>
      </c>
      <c r="G975" s="896" t="s">
        <v>725</v>
      </c>
      <c r="H975" s="896" t="s">
        <v>726</v>
      </c>
      <c r="I975" s="896" t="s">
        <v>727</v>
      </c>
      <c r="J975" s="911" t="s">
        <v>3031</v>
      </c>
      <c r="K975" s="896" t="s">
        <v>729</v>
      </c>
      <c r="L975" s="896" t="s">
        <v>730</v>
      </c>
      <c r="M975" s="896" t="s">
        <v>731</v>
      </c>
      <c r="N975" s="896" t="s">
        <v>732</v>
      </c>
      <c r="O975" s="896" t="s">
        <v>733</v>
      </c>
      <c r="P975" s="896" t="s">
        <v>734</v>
      </c>
      <c r="Q975" s="915" t="s">
        <v>808</v>
      </c>
      <c r="AW975" s="13"/>
      <c r="AX975" s="13"/>
    </row>
    <row r="976" spans="2:151" ht="23.25">
      <c r="B976" s="897" t="s">
        <v>3565</v>
      </c>
      <c r="C976" s="895">
        <v>36000</v>
      </c>
      <c r="D976" s="898">
        <v>0</v>
      </c>
      <c r="E976" s="711">
        <v>732</v>
      </c>
      <c r="F976" s="711">
        <v>0</v>
      </c>
      <c r="G976" s="711">
        <v>0</v>
      </c>
      <c r="H976" s="711">
        <v>1038</v>
      </c>
      <c r="I976" s="711">
        <v>576</v>
      </c>
      <c r="J976" s="711">
        <f>+I976+H976+G976+F976+E976+D976</f>
        <v>2346</v>
      </c>
      <c r="K976" s="711">
        <v>1770</v>
      </c>
      <c r="L976" s="711">
        <v>834</v>
      </c>
      <c r="M976" s="711">
        <v>1956</v>
      </c>
      <c r="N976" s="711">
        <v>1374</v>
      </c>
      <c r="O976" s="711">
        <v>0</v>
      </c>
      <c r="P976" s="711">
        <f>L895</f>
        <v>0</v>
      </c>
      <c r="Q976" s="916">
        <f>+K976+L976+M976+N976+J976+O976+P976</f>
        <v>8280</v>
      </c>
      <c r="AW976" s="13"/>
      <c r="AX976" s="13"/>
    </row>
    <row r="977" spans="2:85" ht="23.25">
      <c r="B977" s="897" t="s">
        <v>3566</v>
      </c>
      <c r="C977" s="895"/>
      <c r="D977" s="899">
        <v>2101.6</v>
      </c>
      <c r="E977" s="899">
        <v>0</v>
      </c>
      <c r="F977" s="900">
        <v>0</v>
      </c>
      <c r="G977" s="899">
        <v>1121.8</v>
      </c>
      <c r="H977" s="900">
        <v>89.7</v>
      </c>
      <c r="I977" s="899">
        <v>972.7</v>
      </c>
      <c r="J977" s="711">
        <f>+I977+H977+G977+F977+E977+D977</f>
        <v>4285.7999999999993</v>
      </c>
      <c r="K977" s="900">
        <f>639</f>
        <v>639</v>
      </c>
      <c r="L977" s="900">
        <f>639</f>
        <v>639</v>
      </c>
      <c r="M977" s="900">
        <v>639</v>
      </c>
      <c r="N977" s="899">
        <f>4923</f>
        <v>4923</v>
      </c>
      <c r="O977" s="899">
        <v>767</v>
      </c>
      <c r="P977" s="899">
        <v>0</v>
      </c>
      <c r="Q977" s="916">
        <f>+K977+L977+M977+N977+J977+O977+P977</f>
        <v>11892.8</v>
      </c>
      <c r="AW977" s="13"/>
      <c r="AX977" s="13"/>
    </row>
    <row r="978" spans="2:85" ht="23.25">
      <c r="B978" s="897" t="s">
        <v>745</v>
      </c>
      <c r="C978" s="895">
        <v>24000</v>
      </c>
      <c r="D978" s="898">
        <v>901</v>
      </c>
      <c r="E978" s="711">
        <v>1143</v>
      </c>
      <c r="F978" s="711">
        <v>476</v>
      </c>
      <c r="G978" s="711">
        <v>390</v>
      </c>
      <c r="H978" s="711">
        <v>526.5</v>
      </c>
      <c r="I978" s="711">
        <v>862</v>
      </c>
      <c r="J978" s="711">
        <f>+I978+H978+G978+F978+E978+D978</f>
        <v>4298.5</v>
      </c>
      <c r="K978" s="711">
        <v>963.1</v>
      </c>
      <c r="L978" s="711">
        <v>702</v>
      </c>
      <c r="M978" s="711">
        <v>1111.5</v>
      </c>
      <c r="N978" s="711">
        <v>1544</v>
      </c>
      <c r="O978" s="711">
        <v>1068.5999999999999</v>
      </c>
      <c r="P978" s="711">
        <f>G880</f>
        <v>0</v>
      </c>
      <c r="Q978" s="916">
        <f>+K978+L978+M978+N978+J978+O978+P978</f>
        <v>9687.7000000000007</v>
      </c>
      <c r="AW978" s="13"/>
      <c r="AX978" s="13"/>
    </row>
    <row r="979" spans="2:85">
      <c r="AW979" s="13"/>
      <c r="AX979" s="13"/>
    </row>
    <row r="980" spans="2:85">
      <c r="AW980" s="13"/>
      <c r="AX980" s="13"/>
    </row>
    <row r="981" spans="2:85" ht="27">
      <c r="B981" s="3034" t="s">
        <v>3038</v>
      </c>
      <c r="C981" s="3034"/>
      <c r="D981" s="3034"/>
      <c r="E981" s="3034"/>
      <c r="F981" s="3034"/>
      <c r="G981" s="3034"/>
      <c r="H981" s="3034"/>
      <c r="I981" s="3034"/>
      <c r="J981" s="3034"/>
      <c r="K981" s="3034"/>
      <c r="L981" s="3034"/>
      <c r="M981" s="3034"/>
      <c r="N981" s="3034"/>
      <c r="O981" s="3034"/>
      <c r="P981" s="3034"/>
      <c r="Q981" s="3034"/>
      <c r="AW981" s="13"/>
      <c r="AX981" s="13"/>
    </row>
    <row r="982" spans="2:85">
      <c r="AW982" s="13"/>
      <c r="AX982" s="13"/>
    </row>
    <row r="983" spans="2:85" ht="23.25">
      <c r="B983" s="894" t="s">
        <v>721</v>
      </c>
      <c r="C983" s="895" t="s">
        <v>735</v>
      </c>
      <c r="D983" s="896" t="s">
        <v>722</v>
      </c>
      <c r="E983" s="896" t="s">
        <v>723</v>
      </c>
      <c r="F983" s="896" t="s">
        <v>724</v>
      </c>
      <c r="G983" s="896" t="s">
        <v>725</v>
      </c>
      <c r="H983" s="896" t="s">
        <v>726</v>
      </c>
      <c r="I983" s="896" t="s">
        <v>727</v>
      </c>
      <c r="J983" s="911" t="s">
        <v>3031</v>
      </c>
      <c r="K983" s="896" t="s">
        <v>729</v>
      </c>
      <c r="L983" s="896" t="s">
        <v>730</v>
      </c>
      <c r="M983" s="896" t="s">
        <v>731</v>
      </c>
      <c r="N983" s="896" t="s">
        <v>732</v>
      </c>
      <c r="O983" s="896" t="s">
        <v>733</v>
      </c>
      <c r="P983" s="896" t="s">
        <v>734</v>
      </c>
      <c r="Q983" s="915" t="s">
        <v>2351</v>
      </c>
      <c r="AW983" s="13"/>
      <c r="AX983" s="13"/>
    </row>
    <row r="984" spans="2:85" ht="23.25">
      <c r="B984" s="901" t="s">
        <v>3042</v>
      </c>
      <c r="C984" s="895">
        <v>36000</v>
      </c>
      <c r="D984" s="898">
        <v>0</v>
      </c>
      <c r="E984" s="898">
        <v>0</v>
      </c>
      <c r="F984" s="898">
        <v>0</v>
      </c>
      <c r="G984" s="898">
        <v>0</v>
      </c>
      <c r="H984" s="898">
        <v>4.05</v>
      </c>
      <c r="I984" s="898">
        <v>554</v>
      </c>
      <c r="J984" s="898">
        <f>+I984+H984+G984+F984+E984+D984</f>
        <v>558.04999999999995</v>
      </c>
      <c r="K984" s="898">
        <v>0</v>
      </c>
      <c r="L984" s="898">
        <v>334.64</v>
      </c>
      <c r="M984" s="898">
        <v>346.99</v>
      </c>
      <c r="N984" s="898">
        <v>567.35</v>
      </c>
      <c r="O984" s="898">
        <v>0</v>
      </c>
      <c r="P984" s="898">
        <v>35</v>
      </c>
      <c r="Q984" s="916">
        <f>+K984+L984+M984+N984+J984+O984+P984</f>
        <v>1842.03</v>
      </c>
      <c r="AW984" s="13"/>
      <c r="AX984" s="13"/>
    </row>
    <row r="985" spans="2:85" ht="23.25">
      <c r="B985" s="901" t="s">
        <v>3043</v>
      </c>
      <c r="C985" s="895"/>
      <c r="D985" s="898">
        <v>1263</v>
      </c>
      <c r="E985" s="898">
        <v>321.91000000000003</v>
      </c>
      <c r="F985" s="898">
        <v>487.71</v>
      </c>
      <c r="G985" s="898">
        <v>1068.04</v>
      </c>
      <c r="H985" s="898">
        <v>1220.4100000000001</v>
      </c>
      <c r="I985" s="898">
        <v>0</v>
      </c>
      <c r="J985" s="898">
        <f>+I985+H985+G985+F985+E985+D985</f>
        <v>4361.07</v>
      </c>
      <c r="K985" s="898">
        <v>1094.53</v>
      </c>
      <c r="L985" s="898">
        <v>170.91</v>
      </c>
      <c r="M985" s="898">
        <v>486.74</v>
      </c>
      <c r="N985" s="898">
        <v>737</v>
      </c>
      <c r="O985" s="898">
        <v>470.1</v>
      </c>
      <c r="P985" s="898">
        <v>988.77</v>
      </c>
      <c r="Q985" s="916">
        <f>+K985+L985+M985+N985+J985+O985+P985</f>
        <v>8309.1200000000008</v>
      </c>
      <c r="AW985" s="13"/>
      <c r="AX985" s="13"/>
    </row>
    <row r="986" spans="2:85" ht="23.25">
      <c r="B986" s="901" t="s">
        <v>3039</v>
      </c>
      <c r="C986" s="895">
        <v>24000</v>
      </c>
      <c r="D986" s="898">
        <v>363.8</v>
      </c>
      <c r="E986" s="898">
        <v>1415.82</v>
      </c>
      <c r="F986" s="898">
        <v>507.46</v>
      </c>
      <c r="G986" s="898">
        <v>26.27</v>
      </c>
      <c r="H986" s="898">
        <v>385.91899999999998</v>
      </c>
      <c r="I986" s="898">
        <v>490.57</v>
      </c>
      <c r="J986" s="898">
        <f>+I986+H986+G986+F986+E986+D986</f>
        <v>3189.8389999999999</v>
      </c>
      <c r="K986" s="898">
        <v>321.64</v>
      </c>
      <c r="L986" s="898">
        <v>794.67</v>
      </c>
      <c r="M986" s="898">
        <v>766.67</v>
      </c>
      <c r="N986" s="898">
        <v>998.65</v>
      </c>
      <c r="O986" s="898">
        <v>954.54</v>
      </c>
      <c r="P986" s="898">
        <v>859.45</v>
      </c>
      <c r="Q986" s="916">
        <f>+K986+L986+M986+N986+J986+O986+P986</f>
        <v>7885.4589999999998</v>
      </c>
      <c r="AB986" s="290" t="s">
        <v>103</v>
      </c>
      <c r="AC986">
        <f>SUM(AC933:AC968)</f>
        <v>4422</v>
      </c>
      <c r="AD986">
        <f>SUM(AD933:AD968)</f>
        <v>4296</v>
      </c>
      <c r="AE986" s="290" t="s">
        <v>103</v>
      </c>
      <c r="AF986">
        <f>SUM(AF933:AF968)</f>
        <v>3246</v>
      </c>
      <c r="AG986">
        <f>SUM(AG933:AG968)</f>
        <v>2716</v>
      </c>
      <c r="AH986" s="290" t="s">
        <v>103</v>
      </c>
      <c r="AI986" s="41">
        <f>SUM(AI933:AI968)</f>
        <v>5240</v>
      </c>
      <c r="AJ986" s="41">
        <f>SUM(AJ933:AJ968)</f>
        <v>4920</v>
      </c>
      <c r="AK986" s="290" t="s">
        <v>103</v>
      </c>
      <c r="AL986" s="41">
        <f>SUM(AL933:AL968)</f>
        <v>4676</v>
      </c>
      <c r="AM986" s="41">
        <f>SUM(AM933:AM968)</f>
        <v>4434</v>
      </c>
      <c r="AN986" s="290" t="s">
        <v>103</v>
      </c>
      <c r="AO986" s="41">
        <f>SUM(AO933:AO968)</f>
        <v>5236</v>
      </c>
      <c r="AP986" s="41">
        <f>SUM(AP933:AP968)</f>
        <v>4784</v>
      </c>
      <c r="AQ986" s="41">
        <f>SUM(AQ933:AQ968)</f>
        <v>250</v>
      </c>
      <c r="AR986" s="290" t="s">
        <v>103</v>
      </c>
      <c r="AS986" s="41">
        <f>SUM(AS933:AS968)</f>
        <v>4134</v>
      </c>
      <c r="AT986" s="41">
        <f>SUM(AT933:AT968)</f>
        <v>4242</v>
      </c>
      <c r="AU986" s="41">
        <f>SUM(AU933:AU968)</f>
        <v>248</v>
      </c>
      <c r="AV986" s="290" t="s">
        <v>103</v>
      </c>
      <c r="AW986" s="41">
        <f>SUM(AW933:AW985)</f>
        <v>5338</v>
      </c>
      <c r="AX986" s="41">
        <f>SUM(AX933:AX985)</f>
        <v>4236</v>
      </c>
      <c r="AY986" s="41">
        <f>SUM(AY933:AY985)</f>
        <v>154</v>
      </c>
    </row>
    <row r="992" spans="2:85" ht="20.25">
      <c r="CC992" s="3049" t="s">
        <v>3107</v>
      </c>
      <c r="CD992" s="3050"/>
      <c r="CE992" s="3050"/>
      <c r="CF992" s="3050"/>
      <c r="CG992" s="3051"/>
    </row>
    <row r="993" spans="2:85" ht="27">
      <c r="B993" s="3034" t="s">
        <v>3030</v>
      </c>
      <c r="C993" s="3034"/>
      <c r="D993" s="3034"/>
      <c r="E993" s="3034"/>
      <c r="F993" s="3034"/>
      <c r="G993" s="3034"/>
      <c r="H993" s="3034"/>
      <c r="I993" s="3034"/>
      <c r="J993" s="3034"/>
      <c r="K993" s="3034"/>
      <c r="L993" s="3034"/>
      <c r="M993" s="3034"/>
      <c r="N993" s="3034"/>
      <c r="O993" s="3034"/>
      <c r="P993" s="3034"/>
      <c r="Q993" s="3034"/>
      <c r="CC993" s="6" t="s">
        <v>704</v>
      </c>
      <c r="CD993" s="6" t="s">
        <v>809</v>
      </c>
      <c r="CE993" s="6" t="s">
        <v>2363</v>
      </c>
      <c r="CF993" s="6" t="s">
        <v>2410</v>
      </c>
      <c r="CG993" s="6" t="s">
        <v>3567</v>
      </c>
    </row>
    <row r="994" spans="2:85" ht="23.25">
      <c r="CC994" s="6"/>
      <c r="CD994" s="6"/>
      <c r="CE994" s="6"/>
      <c r="CF994" s="6"/>
      <c r="CG994" s="6"/>
    </row>
    <row r="995" spans="2:85" ht="23.25">
      <c r="B995" s="894" t="s">
        <v>721</v>
      </c>
      <c r="C995" s="895" t="s">
        <v>735</v>
      </c>
      <c r="D995" s="896" t="s">
        <v>722</v>
      </c>
      <c r="E995" s="896" t="s">
        <v>723</v>
      </c>
      <c r="F995" s="896" t="s">
        <v>724</v>
      </c>
      <c r="G995" s="896" t="s">
        <v>725</v>
      </c>
      <c r="H995" s="896" t="s">
        <v>726</v>
      </c>
      <c r="I995" s="896" t="s">
        <v>727</v>
      </c>
      <c r="J995" s="911" t="s">
        <v>3031</v>
      </c>
      <c r="K995" s="896" t="s">
        <v>729</v>
      </c>
      <c r="L995" s="896" t="s">
        <v>730</v>
      </c>
      <c r="M995" s="896" t="s">
        <v>731</v>
      </c>
      <c r="N995" s="896" t="s">
        <v>732</v>
      </c>
      <c r="O995" s="896" t="s">
        <v>733</v>
      </c>
      <c r="P995" s="896" t="s">
        <v>734</v>
      </c>
      <c r="Q995" s="915" t="str">
        <f>+Q975</f>
        <v>2021-22</v>
      </c>
      <c r="CC995" s="6" t="s">
        <v>325</v>
      </c>
      <c r="CD995" s="6">
        <v>626.14200000000005</v>
      </c>
      <c r="CE995" s="6">
        <v>2474.712</v>
      </c>
      <c r="CF995" s="6">
        <v>4195</v>
      </c>
      <c r="CG995" s="6">
        <v>1649.23</v>
      </c>
    </row>
    <row r="996" spans="2:85" ht="23.25">
      <c r="B996" s="901" t="s">
        <v>3042</v>
      </c>
      <c r="C996" s="895">
        <v>36000</v>
      </c>
      <c r="D996" s="898">
        <v>1.49</v>
      </c>
      <c r="E996" s="898">
        <v>0</v>
      </c>
      <c r="F996" s="898">
        <v>0</v>
      </c>
      <c r="G996" s="898">
        <v>0</v>
      </c>
      <c r="H996" s="898">
        <v>8.9600000000000009</v>
      </c>
      <c r="I996" s="898">
        <v>315.8</v>
      </c>
      <c r="J996" s="898">
        <f>+I996+H996+G996+F996+E996+D996</f>
        <v>326.25</v>
      </c>
      <c r="K996" s="898">
        <v>0</v>
      </c>
      <c r="L996" s="898">
        <v>109.36</v>
      </c>
      <c r="M996" s="898">
        <v>746.9</v>
      </c>
      <c r="N996" s="898">
        <v>262.33</v>
      </c>
      <c r="O996" s="898">
        <v>127.97</v>
      </c>
      <c r="P996" s="898">
        <v>0</v>
      </c>
      <c r="Q996" s="916">
        <f>+K996+L996+M996+N996+J996+O996+P996</f>
        <v>1572.81</v>
      </c>
      <c r="CC996" s="6" t="s">
        <v>339</v>
      </c>
      <c r="CD996" s="6">
        <v>159.26</v>
      </c>
      <c r="CE996" s="6">
        <v>459.9</v>
      </c>
      <c r="CF996" s="6">
        <v>614.80999999999995</v>
      </c>
      <c r="CG996" s="6">
        <v>297.77999999999997</v>
      </c>
    </row>
    <row r="997" spans="2:85" ht="23.25">
      <c r="B997" s="901" t="s">
        <v>3043</v>
      </c>
      <c r="C997" s="895"/>
      <c r="D997" s="899">
        <v>435.54</v>
      </c>
      <c r="E997" s="898">
        <v>0</v>
      </c>
      <c r="F997" s="898">
        <v>580.05999999999995</v>
      </c>
      <c r="G997" s="898">
        <v>1704</v>
      </c>
      <c r="H997" s="898">
        <v>884.57</v>
      </c>
      <c r="I997" s="898">
        <v>999</v>
      </c>
      <c r="J997" s="898">
        <f>+I997+H997+G997+F997+E997+D997</f>
        <v>4603.17</v>
      </c>
      <c r="K997" s="898">
        <v>288.27</v>
      </c>
      <c r="L997" s="898">
        <v>890.44</v>
      </c>
      <c r="M997" s="898">
        <v>310.20999999999998</v>
      </c>
      <c r="N997" s="898">
        <v>137.33000000000001</v>
      </c>
      <c r="O997" s="898">
        <v>871.36</v>
      </c>
      <c r="P997" s="898">
        <v>955.5</v>
      </c>
      <c r="Q997" s="916">
        <f>+K997+L997+M997+N997+J997+O997+P997</f>
        <v>8056.28</v>
      </c>
      <c r="CC997" s="6" t="s">
        <v>123</v>
      </c>
      <c r="CD997" s="6">
        <v>288.06700000000001</v>
      </c>
      <c r="CE997" s="6">
        <v>140.56</v>
      </c>
      <c r="CF997" s="6">
        <v>92.73</v>
      </c>
      <c r="CG997" s="6">
        <v>251.66</v>
      </c>
    </row>
    <row r="998" spans="2:85" ht="23.25">
      <c r="B998" s="901" t="s">
        <v>3039</v>
      </c>
      <c r="C998" s="895">
        <v>24000</v>
      </c>
      <c r="D998" s="898">
        <v>559.21</v>
      </c>
      <c r="E998" s="898">
        <v>591.75</v>
      </c>
      <c r="F998" s="898">
        <v>947.41</v>
      </c>
      <c r="G998" s="898">
        <v>373.61</v>
      </c>
      <c r="H998" s="898">
        <v>470.32</v>
      </c>
      <c r="I998" s="898">
        <v>465.37</v>
      </c>
      <c r="J998" s="898">
        <f>+I998+H998+G998+F998+E998+D998</f>
        <v>3407.67</v>
      </c>
      <c r="K998" s="898">
        <v>363.62</v>
      </c>
      <c r="L998" s="898">
        <v>506.84</v>
      </c>
      <c r="M998" s="898">
        <v>651.79999999999995</v>
      </c>
      <c r="N998" s="898">
        <v>691.68</v>
      </c>
      <c r="O998" s="898">
        <v>627.42999999999995</v>
      </c>
      <c r="P998" s="898">
        <v>1070.8</v>
      </c>
      <c r="Q998" s="916">
        <f>+K998+L998+M998+N998+J998+O998+P998</f>
        <v>7319.8400000000011</v>
      </c>
      <c r="CC998" s="6" t="s">
        <v>470</v>
      </c>
      <c r="CD998" s="6">
        <v>163.048</v>
      </c>
      <c r="CE998" s="6"/>
      <c r="CF998" s="6"/>
      <c r="CG998" s="6">
        <v>34.784999999999997</v>
      </c>
    </row>
    <row r="999" spans="2:85" ht="23.25">
      <c r="B999" s="902"/>
      <c r="C999" s="903"/>
      <c r="D999" s="904"/>
      <c r="E999" s="904"/>
      <c r="F999" s="904"/>
      <c r="G999" s="904"/>
      <c r="H999" s="904"/>
      <c r="I999" s="904"/>
      <c r="J999" s="904"/>
      <c r="K999" s="904"/>
      <c r="L999" s="904"/>
      <c r="M999" s="904"/>
      <c r="N999" s="904"/>
      <c r="O999" s="904"/>
      <c r="P999" s="904"/>
      <c r="Q999" s="917"/>
      <c r="CC999" s="6" t="s">
        <v>332</v>
      </c>
      <c r="CD999" s="6">
        <v>37</v>
      </c>
      <c r="CE999" s="6">
        <f>99.49+76.169</f>
        <v>175.65899999999999</v>
      </c>
      <c r="CF999" s="6"/>
      <c r="CG999" s="6"/>
    </row>
    <row r="1000" spans="2:85" ht="27">
      <c r="B1000" s="3037" t="s">
        <v>3568</v>
      </c>
      <c r="C1000" s="3037"/>
      <c r="D1000" s="3037"/>
      <c r="E1000" s="3037"/>
      <c r="F1000" s="3037"/>
      <c r="G1000" s="3037"/>
      <c r="H1000" s="3037"/>
      <c r="I1000" s="3037"/>
      <c r="J1000" s="3037"/>
      <c r="K1000" s="3037"/>
      <c r="L1000" s="3037"/>
      <c r="M1000" s="3037"/>
      <c r="N1000" s="3037"/>
      <c r="O1000" s="3037"/>
      <c r="P1000" s="3037"/>
      <c r="Q1000" s="3037"/>
      <c r="CC1000" s="6" t="s">
        <v>23</v>
      </c>
      <c r="CD1000" s="6">
        <f>SUM(CD995:CD999)</f>
        <v>1273.5170000000001</v>
      </c>
      <c r="CE1000" s="6">
        <f>SUM(CE995:CE999)</f>
        <v>3250.8310000000001</v>
      </c>
      <c r="CF1000" s="6">
        <f>SUM(CF995:CF999)</f>
        <v>4902.5399999999991</v>
      </c>
      <c r="CG1000" s="6">
        <f>SUM(CG995:CG999)</f>
        <v>2233.4549999999999</v>
      </c>
    </row>
    <row r="1001" spans="2:85" ht="23.25">
      <c r="B1001" s="894" t="s">
        <v>721</v>
      </c>
      <c r="C1001" s="895" t="s">
        <v>735</v>
      </c>
      <c r="D1001" s="896" t="s">
        <v>722</v>
      </c>
      <c r="E1001" s="896" t="s">
        <v>723</v>
      </c>
      <c r="F1001" s="896" t="s">
        <v>724</v>
      </c>
      <c r="G1001" s="896" t="s">
        <v>725</v>
      </c>
      <c r="H1001" s="896" t="s">
        <v>726</v>
      </c>
      <c r="I1001" s="896" t="s">
        <v>727</v>
      </c>
      <c r="J1001" s="911" t="s">
        <v>3031</v>
      </c>
      <c r="K1001" s="896" t="s">
        <v>729</v>
      </c>
      <c r="L1001" s="896" t="s">
        <v>730</v>
      </c>
      <c r="M1001" s="896" t="s">
        <v>731</v>
      </c>
      <c r="N1001" s="896" t="s">
        <v>732</v>
      </c>
      <c r="O1001" s="896" t="s">
        <v>733</v>
      </c>
      <c r="P1001" s="896" t="s">
        <v>734</v>
      </c>
      <c r="Q1001" s="915" t="s">
        <v>809</v>
      </c>
      <c r="CC1001" s="7"/>
      <c r="CD1001" s="8"/>
      <c r="CE1001" s="8"/>
      <c r="CF1001" s="8"/>
      <c r="CG1001" s="9"/>
    </row>
    <row r="1002" spans="2:85" ht="23.25">
      <c r="B1002" s="905" t="s">
        <v>3565</v>
      </c>
      <c r="C1002" s="906">
        <v>24000</v>
      </c>
      <c r="D1002" s="907">
        <v>684</v>
      </c>
      <c r="E1002" s="908">
        <v>2748</v>
      </c>
      <c r="F1002" s="908">
        <v>450</v>
      </c>
      <c r="G1002" s="908">
        <v>120</v>
      </c>
      <c r="H1002" s="908">
        <v>102</v>
      </c>
      <c r="I1002" s="908">
        <v>1380</v>
      </c>
      <c r="J1002" s="912">
        <v>5484</v>
      </c>
      <c r="K1002" s="908">
        <v>0</v>
      </c>
      <c r="L1002" s="908">
        <v>0</v>
      </c>
      <c r="M1002" s="908">
        <v>954</v>
      </c>
      <c r="N1002" s="908">
        <v>660</v>
      </c>
      <c r="O1002" s="908">
        <v>0</v>
      </c>
      <c r="P1002" s="908">
        <v>1086</v>
      </c>
      <c r="Q1002" s="918">
        <v>8184</v>
      </c>
    </row>
    <row r="1003" spans="2:85" ht="23.25">
      <c r="B1003" s="905" t="s">
        <v>3566</v>
      </c>
      <c r="C1003" s="906">
        <v>10000</v>
      </c>
      <c r="D1003" s="909">
        <v>0</v>
      </c>
      <c r="E1003" s="909">
        <v>963</v>
      </c>
      <c r="F1003" s="909">
        <v>1661</v>
      </c>
      <c r="G1003" s="909">
        <v>0</v>
      </c>
      <c r="H1003" s="909">
        <v>1017</v>
      </c>
      <c r="I1003" s="909">
        <v>0</v>
      </c>
      <c r="J1003" s="912">
        <v>3641</v>
      </c>
      <c r="K1003" s="909">
        <v>0</v>
      </c>
      <c r="L1003" s="909">
        <v>1037</v>
      </c>
      <c r="M1003" s="909">
        <v>1086</v>
      </c>
      <c r="N1003" s="909">
        <v>1284</v>
      </c>
      <c r="O1003" s="908">
        <v>0</v>
      </c>
      <c r="P1003" s="909">
        <v>2908</v>
      </c>
      <c r="Q1003" s="918">
        <v>9956</v>
      </c>
    </row>
    <row r="1004" spans="2:85" ht="23.25">
      <c r="B1004" s="905" t="s">
        <v>745</v>
      </c>
      <c r="C1004" s="906">
        <v>18000</v>
      </c>
      <c r="D1004" s="907">
        <v>846.29999999999984</v>
      </c>
      <c r="E1004" s="908">
        <v>2102</v>
      </c>
      <c r="F1004" s="908">
        <v>1100</v>
      </c>
      <c r="G1004" s="908">
        <v>955.49999999999989</v>
      </c>
      <c r="H1004" s="908">
        <v>870</v>
      </c>
      <c r="I1004" s="908">
        <v>717.6</v>
      </c>
      <c r="J1004" s="912">
        <v>6591.4</v>
      </c>
      <c r="K1004" s="908">
        <v>822.9</v>
      </c>
      <c r="L1004" s="908">
        <v>1087.8</v>
      </c>
      <c r="M1004" s="908">
        <v>858</v>
      </c>
      <c r="N1004" s="908">
        <v>678</v>
      </c>
      <c r="O1004" s="909">
        <v>581.1</v>
      </c>
      <c r="P1004" s="908">
        <v>1969.9999999999998</v>
      </c>
      <c r="Q1004" s="918">
        <v>12589.2</v>
      </c>
    </row>
    <row r="1009" spans="2:21" ht="27">
      <c r="B1009" s="3034" t="s">
        <v>3041</v>
      </c>
      <c r="C1009" s="3034"/>
      <c r="D1009" s="3034"/>
      <c r="E1009" s="3034"/>
      <c r="F1009" s="3034"/>
      <c r="G1009" s="3034"/>
      <c r="H1009" s="3034"/>
      <c r="I1009" s="3034"/>
      <c r="J1009" s="3034"/>
      <c r="K1009" s="3034"/>
      <c r="L1009" s="3034"/>
      <c r="M1009" s="3034"/>
      <c r="N1009" s="3034"/>
      <c r="O1009" s="3034"/>
      <c r="P1009" s="3034"/>
      <c r="Q1009" s="3034"/>
    </row>
    <row r="1011" spans="2:21" ht="23.25">
      <c r="B1011" s="894" t="s">
        <v>721</v>
      </c>
      <c r="C1011" s="895" t="s">
        <v>735</v>
      </c>
      <c r="D1011" s="896" t="s">
        <v>722</v>
      </c>
      <c r="E1011" s="896" t="s">
        <v>723</v>
      </c>
      <c r="F1011" s="896" t="s">
        <v>724</v>
      </c>
      <c r="G1011" s="896" t="s">
        <v>725</v>
      </c>
      <c r="H1011" s="896" t="s">
        <v>726</v>
      </c>
      <c r="I1011" s="896" t="s">
        <v>727</v>
      </c>
      <c r="J1011" s="911" t="s">
        <v>3031</v>
      </c>
      <c r="K1011" s="896" t="s">
        <v>729</v>
      </c>
      <c r="L1011" s="896" t="s">
        <v>730</v>
      </c>
      <c r="M1011" s="896" t="s">
        <v>731</v>
      </c>
      <c r="N1011" s="896" t="s">
        <v>732</v>
      </c>
      <c r="O1011" s="896" t="s">
        <v>733</v>
      </c>
      <c r="P1011" s="896" t="s">
        <v>734</v>
      </c>
      <c r="Q1011" s="915" t="s">
        <v>2412</v>
      </c>
    </row>
    <row r="1012" spans="2:21" ht="23.25">
      <c r="B1012" s="901" t="s">
        <v>3042</v>
      </c>
      <c r="C1012" s="895">
        <v>36000</v>
      </c>
      <c r="D1012" s="898">
        <v>3.75</v>
      </c>
      <c r="E1012" s="898">
        <v>0</v>
      </c>
      <c r="F1012" s="898">
        <v>1.88</v>
      </c>
      <c r="G1012" s="898">
        <v>0</v>
      </c>
      <c r="H1012" s="898">
        <v>0</v>
      </c>
      <c r="I1012" s="898">
        <v>0</v>
      </c>
      <c r="J1012" s="898">
        <f>+I1012+H1012+G1012+F1012+E1012+D1012</f>
        <v>5.63</v>
      </c>
      <c r="K1012" s="898">
        <v>0</v>
      </c>
      <c r="L1012" s="898">
        <v>0</v>
      </c>
      <c r="M1012" s="898">
        <v>208.69</v>
      </c>
      <c r="N1012" s="898">
        <v>2.8</v>
      </c>
      <c r="O1012" s="898">
        <v>0</v>
      </c>
      <c r="P1012" s="898">
        <v>3.57</v>
      </c>
      <c r="Q1012" s="916">
        <f>+K1012+L1012+M1012+N1012+J1012+O1012+P1012</f>
        <v>220.69</v>
      </c>
    </row>
    <row r="1013" spans="2:21" ht="23.25">
      <c r="B1013" s="901" t="s">
        <v>3043</v>
      </c>
      <c r="C1013" s="895"/>
      <c r="D1013" s="898">
        <v>0</v>
      </c>
      <c r="E1013" s="898">
        <v>203.66</v>
      </c>
      <c r="F1013" s="898">
        <v>0</v>
      </c>
      <c r="G1013" s="898">
        <v>300.58999999999997</v>
      </c>
      <c r="H1013" s="898">
        <v>531.22</v>
      </c>
      <c r="I1013" s="898">
        <v>329.95</v>
      </c>
      <c r="J1013" s="898">
        <f>+I1013+H1013+G1013+F1013+E1013+D1013</f>
        <v>1365.42</v>
      </c>
      <c r="K1013" s="898">
        <v>336.95</v>
      </c>
      <c r="L1013" s="898">
        <v>0</v>
      </c>
      <c r="M1013" s="898">
        <v>203.48</v>
      </c>
      <c r="N1013" s="898">
        <v>414.65</v>
      </c>
      <c r="O1013" s="898">
        <v>86.74</v>
      </c>
      <c r="P1013" s="898">
        <v>900.97</v>
      </c>
      <c r="Q1013" s="916">
        <f>+K1013+L1013+M1013+N1013+J1013+O1013+P1013</f>
        <v>3308.21</v>
      </c>
      <c r="U1013">
        <f>7320/3.9</f>
        <v>1876.9230769230769</v>
      </c>
    </row>
    <row r="1014" spans="2:21" ht="23.25">
      <c r="B1014" s="901" t="s">
        <v>3039</v>
      </c>
      <c r="C1014" s="895">
        <v>24000</v>
      </c>
      <c r="D1014" s="898">
        <v>396.23</v>
      </c>
      <c r="E1014" s="898">
        <v>707.38</v>
      </c>
      <c r="F1014" s="898">
        <v>678.7</v>
      </c>
      <c r="G1014" s="898">
        <v>1167.74</v>
      </c>
      <c r="H1014" s="898">
        <v>158.75</v>
      </c>
      <c r="I1014" s="898">
        <v>1384.41</v>
      </c>
      <c r="J1014" s="898">
        <f>+I1014+H1014+G1014+F1014+E1014+D1014</f>
        <v>4493.2100000000009</v>
      </c>
      <c r="K1014" s="898">
        <v>855.51</v>
      </c>
      <c r="L1014" s="898">
        <v>676.84</v>
      </c>
      <c r="M1014" s="898">
        <v>628.56600000000003</v>
      </c>
      <c r="N1014" s="898">
        <v>506.67</v>
      </c>
      <c r="O1014" s="898">
        <v>611.87</v>
      </c>
      <c r="P1014" s="898">
        <v>953.06899999999996</v>
      </c>
      <c r="Q1014" s="916">
        <f>+K1014+L1014+M1014+N1014+J1014+O1014+P1014</f>
        <v>8725.7350000000006</v>
      </c>
    </row>
    <row r="1016" spans="2:21" ht="27">
      <c r="B1016" s="3034" t="s">
        <v>3034</v>
      </c>
      <c r="C1016" s="3034"/>
      <c r="D1016" s="3034"/>
      <c r="E1016" s="3034"/>
      <c r="F1016" s="3034"/>
      <c r="G1016" s="3034"/>
      <c r="H1016" s="3034"/>
      <c r="I1016" s="3034"/>
      <c r="J1016" s="3034"/>
      <c r="K1016" s="3034"/>
      <c r="L1016" s="3034"/>
      <c r="M1016" s="3034"/>
      <c r="N1016" s="3034"/>
      <c r="O1016" s="3034"/>
      <c r="P1016" s="3034"/>
      <c r="Q1016" s="3034"/>
    </row>
    <row r="1018" spans="2:21" ht="23.25">
      <c r="B1018" s="894" t="s">
        <v>721</v>
      </c>
      <c r="C1018" s="895" t="s">
        <v>735</v>
      </c>
      <c r="D1018" s="896" t="s">
        <v>722</v>
      </c>
      <c r="E1018" s="896" t="s">
        <v>723</v>
      </c>
      <c r="F1018" s="896" t="s">
        <v>724</v>
      </c>
      <c r="G1018" s="896" t="s">
        <v>725</v>
      </c>
      <c r="H1018" s="896" t="s">
        <v>726</v>
      </c>
      <c r="I1018" s="896" t="s">
        <v>727</v>
      </c>
      <c r="J1018" s="911" t="s">
        <v>3031</v>
      </c>
      <c r="K1018" s="896" t="s">
        <v>729</v>
      </c>
      <c r="L1018" s="896" t="s">
        <v>730</v>
      </c>
      <c r="M1018" s="896" t="s">
        <v>731</v>
      </c>
      <c r="N1018" s="896" t="s">
        <v>732</v>
      </c>
      <c r="O1018" s="896" t="s">
        <v>733</v>
      </c>
      <c r="P1018" s="896" t="s">
        <v>734</v>
      </c>
      <c r="Q1018" s="915" t="s">
        <v>2412</v>
      </c>
    </row>
    <row r="1019" spans="2:21" ht="23.25">
      <c r="B1019" s="901" t="s">
        <v>3042</v>
      </c>
      <c r="C1019" s="895">
        <v>36000</v>
      </c>
      <c r="D1019" s="898">
        <v>0</v>
      </c>
      <c r="E1019" s="898">
        <v>0</v>
      </c>
      <c r="F1019" s="898">
        <v>0</v>
      </c>
      <c r="G1019" s="898">
        <v>54.07</v>
      </c>
      <c r="H1019" s="898">
        <v>207.91</v>
      </c>
      <c r="I1019" s="898">
        <v>0</v>
      </c>
      <c r="J1019" s="898">
        <f>+I1019+H1019+G1019+F1019+E1019+D1019</f>
        <v>261.98</v>
      </c>
      <c r="K1019" s="898">
        <v>0</v>
      </c>
      <c r="L1019" s="898">
        <v>0</v>
      </c>
      <c r="M1019" s="898">
        <v>39.86</v>
      </c>
      <c r="N1019" s="898">
        <v>0</v>
      </c>
      <c r="O1019" s="898">
        <v>0</v>
      </c>
      <c r="P1019" s="898">
        <v>95.5</v>
      </c>
      <c r="Q1019" s="916">
        <f>+K1019+L1019+M1019+N1019+J1019+O1019+P1019</f>
        <v>397.34000000000003</v>
      </c>
    </row>
    <row r="1020" spans="2:21" ht="23.25">
      <c r="B1020" s="901" t="s">
        <v>3043</v>
      </c>
      <c r="C1020" s="895"/>
      <c r="D1020" s="899">
        <v>0</v>
      </c>
      <c r="E1020" s="899">
        <v>161.68</v>
      </c>
      <c r="F1020" s="899">
        <v>63.6</v>
      </c>
      <c r="G1020" s="899">
        <v>340.66</v>
      </c>
      <c r="H1020" s="899">
        <v>947.39</v>
      </c>
      <c r="I1020" s="899">
        <v>159.36000000000001</v>
      </c>
      <c r="J1020" s="898">
        <f>+I1020+H1020+G1020+F1020+E1020+D1020</f>
        <v>1672.69</v>
      </c>
      <c r="K1020" s="899">
        <v>249.11</v>
      </c>
      <c r="L1020" s="899">
        <v>115.84</v>
      </c>
      <c r="M1020" s="899">
        <v>613.22</v>
      </c>
      <c r="N1020" s="899">
        <v>0</v>
      </c>
      <c r="O1020" s="899">
        <v>123.61</v>
      </c>
      <c r="P1020" s="899">
        <v>895.96</v>
      </c>
      <c r="Q1020" s="916">
        <f>+K1020+L1020+M1020+N1020+J1020+O1020+P1020</f>
        <v>3670.4300000000003</v>
      </c>
    </row>
    <row r="1021" spans="2:21" ht="23.25">
      <c r="B1021" s="901" t="s">
        <v>3039</v>
      </c>
      <c r="C1021" s="895">
        <v>24000</v>
      </c>
      <c r="D1021" s="898">
        <v>525.13</v>
      </c>
      <c r="E1021" s="898">
        <v>307.27</v>
      </c>
      <c r="F1021" s="898">
        <v>989.2</v>
      </c>
      <c r="G1021" s="898">
        <v>832.61</v>
      </c>
      <c r="H1021" s="898">
        <v>228.67</v>
      </c>
      <c r="I1021" s="898">
        <v>1219.27</v>
      </c>
      <c r="J1021" s="898">
        <f>+I1021+H1021+G1021+F1021+E1021+D1021</f>
        <v>4102.1499999999996</v>
      </c>
      <c r="K1021" s="898">
        <v>875.27</v>
      </c>
      <c r="L1021" s="898">
        <v>831.13</v>
      </c>
      <c r="M1021" s="898">
        <v>689.48</v>
      </c>
      <c r="N1021" s="898">
        <v>587.46</v>
      </c>
      <c r="O1021" s="898">
        <v>785.43</v>
      </c>
      <c r="P1021" s="898">
        <v>880.76</v>
      </c>
      <c r="Q1021" s="916">
        <f>+K1021+L1021+M1021+N1021+J1021+O1021+P1021</f>
        <v>8751.68</v>
      </c>
    </row>
    <row r="1023" spans="2:21" ht="27">
      <c r="B1023" s="3034" t="s">
        <v>3569</v>
      </c>
      <c r="C1023" s="3034"/>
      <c r="D1023" s="3034"/>
      <c r="E1023" s="3034"/>
      <c r="F1023" s="3034"/>
      <c r="G1023" s="3034"/>
      <c r="H1023" s="3034"/>
      <c r="I1023" s="3034"/>
      <c r="J1023" s="3034"/>
      <c r="K1023" s="3034"/>
      <c r="L1023" s="3034"/>
      <c r="M1023" s="3034"/>
      <c r="N1023" s="3034"/>
      <c r="O1023" s="3034"/>
      <c r="P1023" s="3034"/>
      <c r="Q1023" s="3034"/>
      <c r="R1023" s="3034"/>
    </row>
    <row r="1026" spans="2:17" ht="23.25">
      <c r="B1026" s="894" t="s">
        <v>721</v>
      </c>
      <c r="C1026" s="910" t="s">
        <v>735</v>
      </c>
      <c r="D1026" s="896" t="s">
        <v>722</v>
      </c>
      <c r="E1026" s="896" t="s">
        <v>723</v>
      </c>
      <c r="F1026" s="896" t="s">
        <v>724</v>
      </c>
      <c r="G1026" s="896" t="s">
        <v>725</v>
      </c>
      <c r="H1026" s="896" t="s">
        <v>726</v>
      </c>
      <c r="I1026" s="896" t="s">
        <v>727</v>
      </c>
      <c r="J1026" s="913" t="s">
        <v>3031</v>
      </c>
      <c r="K1026" s="896" t="s">
        <v>729</v>
      </c>
      <c r="L1026" s="896" t="s">
        <v>730</v>
      </c>
      <c r="M1026" s="896" t="s">
        <v>731</v>
      </c>
      <c r="N1026" s="896" t="s">
        <v>732</v>
      </c>
      <c r="O1026" s="896" t="s">
        <v>733</v>
      </c>
      <c r="P1026" s="896" t="s">
        <v>734</v>
      </c>
      <c r="Q1026" s="915" t="s">
        <v>2411</v>
      </c>
    </row>
    <row r="1027" spans="2:17" ht="23.25">
      <c r="B1027" s="901" t="s">
        <v>3565</v>
      </c>
      <c r="C1027" s="910">
        <v>24000</v>
      </c>
      <c r="D1027" s="898">
        <v>1338</v>
      </c>
      <c r="E1027" s="711">
        <v>894</v>
      </c>
      <c r="F1027" s="711">
        <v>1050</v>
      </c>
      <c r="G1027" s="711">
        <v>1002</v>
      </c>
      <c r="H1027" s="711">
        <v>0</v>
      </c>
      <c r="I1027" s="711">
        <v>918</v>
      </c>
      <c r="J1027" s="914">
        <f>SUM(D1027:I1027)</f>
        <v>5202</v>
      </c>
      <c r="K1027" s="711">
        <v>0</v>
      </c>
      <c r="L1027" s="711">
        <v>2616</v>
      </c>
      <c r="M1027" s="711" t="s">
        <v>271</v>
      </c>
      <c r="N1027" s="711">
        <v>1284</v>
      </c>
      <c r="O1027" s="711">
        <v>54</v>
      </c>
      <c r="P1027" s="711">
        <v>894</v>
      </c>
      <c r="Q1027" s="916">
        <v>11348.5</v>
      </c>
    </row>
    <row r="1028" spans="2:17" ht="23.25">
      <c r="B1028" s="897" t="s">
        <v>3570</v>
      </c>
      <c r="C1028" s="910">
        <v>10000</v>
      </c>
      <c r="D1028" s="899">
        <v>1980</v>
      </c>
      <c r="E1028" s="711">
        <v>2883</v>
      </c>
      <c r="F1028" s="711">
        <v>56</v>
      </c>
      <c r="G1028" s="711">
        <v>1733</v>
      </c>
      <c r="H1028" s="711">
        <v>0</v>
      </c>
      <c r="I1028" s="711">
        <v>1022</v>
      </c>
      <c r="J1028" s="914">
        <f>SUM(D1028:I1028)</f>
        <v>7674</v>
      </c>
      <c r="K1028" s="711" t="s">
        <v>271</v>
      </c>
      <c r="L1028" s="711">
        <f>657+1611</f>
        <v>2268</v>
      </c>
      <c r="M1028" s="711">
        <v>959</v>
      </c>
      <c r="N1028" s="711" t="s">
        <v>271</v>
      </c>
      <c r="O1028" s="711">
        <f>575+128</f>
        <v>703</v>
      </c>
      <c r="P1028" s="711">
        <f>1484+1917</f>
        <v>3401</v>
      </c>
      <c r="Q1028" s="916">
        <f>SUM(J1028:P1028)</f>
        <v>15005</v>
      </c>
    </row>
    <row r="1029" spans="2:17" ht="23.25">
      <c r="B1029" s="897" t="s">
        <v>3571</v>
      </c>
      <c r="C1029" s="910"/>
      <c r="D1029" s="899"/>
      <c r="E1029" s="711">
        <v>103</v>
      </c>
      <c r="F1029" s="711"/>
      <c r="G1029" s="711"/>
      <c r="H1029" s="711">
        <v>237</v>
      </c>
      <c r="I1029" s="711"/>
      <c r="J1029" s="914">
        <f>SUM(D1029:I1029)</f>
        <v>340</v>
      </c>
      <c r="K1029" s="711"/>
      <c r="L1029" s="711"/>
      <c r="M1029" s="711"/>
      <c r="N1029" s="711"/>
      <c r="O1029" s="711"/>
      <c r="P1029" s="711"/>
      <c r="Q1029" s="916">
        <f>SUM(J1029:P1029)</f>
        <v>340</v>
      </c>
    </row>
    <row r="1030" spans="2:17" ht="23.25">
      <c r="B1030" s="901" t="s">
        <v>3039</v>
      </c>
      <c r="C1030" s="895">
        <v>24000</v>
      </c>
      <c r="D1030" s="899">
        <v>2106</v>
      </c>
      <c r="E1030" s="711">
        <v>1415</v>
      </c>
      <c r="F1030" s="711">
        <v>1119</v>
      </c>
      <c r="G1030" s="711">
        <v>1790</v>
      </c>
      <c r="H1030" s="711">
        <v>1946</v>
      </c>
      <c r="I1030" s="711">
        <v>628</v>
      </c>
      <c r="J1030" s="914">
        <f>SUM(D1030:I1030)</f>
        <v>9004</v>
      </c>
      <c r="K1030" s="711">
        <v>1248</v>
      </c>
      <c r="L1030" s="711">
        <v>737</v>
      </c>
      <c r="M1030" s="711">
        <v>874</v>
      </c>
      <c r="N1030" s="711">
        <v>1279</v>
      </c>
      <c r="O1030" s="711">
        <v>803</v>
      </c>
      <c r="P1030" s="711">
        <v>617</v>
      </c>
      <c r="Q1030" s="916">
        <f>SUM(J1030:P1030)</f>
        <v>14562</v>
      </c>
    </row>
    <row r="1033" spans="2:17" ht="27">
      <c r="B1033" s="3034" t="s">
        <v>3572</v>
      </c>
      <c r="C1033" s="3034"/>
      <c r="D1033" s="3034"/>
      <c r="E1033" s="3034"/>
      <c r="F1033" s="3034"/>
      <c r="G1033" s="3034"/>
      <c r="H1033" s="3034"/>
      <c r="I1033" s="3034"/>
      <c r="J1033" s="3034"/>
      <c r="K1033" s="3034"/>
      <c r="L1033" s="3034"/>
      <c r="M1033" s="3034"/>
      <c r="N1033" s="3034"/>
      <c r="O1033" s="3034"/>
      <c r="P1033" s="3034"/>
      <c r="Q1033" s="3034"/>
    </row>
    <row r="1035" spans="2:17" ht="23.25">
      <c r="B1035" s="894" t="s">
        <v>721</v>
      </c>
      <c r="C1035" s="895" t="s">
        <v>735</v>
      </c>
      <c r="D1035" s="896" t="s">
        <v>722</v>
      </c>
      <c r="E1035" s="896" t="s">
        <v>723</v>
      </c>
      <c r="F1035" s="896" t="s">
        <v>724</v>
      </c>
      <c r="G1035" s="896" t="s">
        <v>725</v>
      </c>
      <c r="H1035" s="896" t="s">
        <v>726</v>
      </c>
      <c r="I1035" s="896" t="s">
        <v>727</v>
      </c>
      <c r="J1035" s="911" t="s">
        <v>3031</v>
      </c>
      <c r="K1035" s="896" t="s">
        <v>729</v>
      </c>
      <c r="L1035" s="896" t="s">
        <v>730</v>
      </c>
      <c r="M1035" s="896" t="s">
        <v>731</v>
      </c>
      <c r="N1035" s="896" t="s">
        <v>732</v>
      </c>
      <c r="O1035" s="896" t="s">
        <v>733</v>
      </c>
      <c r="P1035" s="896" t="s">
        <v>734</v>
      </c>
      <c r="Q1035" s="915" t="s">
        <v>2411</v>
      </c>
    </row>
    <row r="1036" spans="2:17" ht="23.25">
      <c r="B1036" s="901" t="s">
        <v>3042</v>
      </c>
      <c r="C1036" s="895">
        <v>36000</v>
      </c>
      <c r="D1036" s="898">
        <v>0</v>
      </c>
      <c r="E1036" s="898">
        <v>0</v>
      </c>
      <c r="F1036" s="898">
        <v>0</v>
      </c>
      <c r="G1036" s="898">
        <v>0</v>
      </c>
      <c r="H1036" s="898">
        <v>0</v>
      </c>
      <c r="I1036" s="898">
        <v>0</v>
      </c>
      <c r="J1036" s="898">
        <f>+I1036+H1036+G1036+F1036+E1036+D1036</f>
        <v>0</v>
      </c>
      <c r="K1036" s="898">
        <v>155.27000000000001</v>
      </c>
      <c r="L1036" s="898">
        <v>282.73</v>
      </c>
      <c r="M1036" s="898">
        <v>0</v>
      </c>
      <c r="N1036" s="898">
        <v>483.48</v>
      </c>
      <c r="O1036" s="898">
        <v>316.05</v>
      </c>
      <c r="P1036" s="898">
        <v>0</v>
      </c>
      <c r="Q1036" s="916">
        <f>+K1036+L1036+M1036+N1036+J1036+O1036+P1036</f>
        <v>1237.53</v>
      </c>
    </row>
    <row r="1037" spans="2:17" ht="23.25">
      <c r="B1037" s="901" t="s">
        <v>3043</v>
      </c>
      <c r="C1037" s="895"/>
      <c r="D1037" s="898">
        <v>0</v>
      </c>
      <c r="E1037" s="898">
        <v>872.91</v>
      </c>
      <c r="F1037" s="898">
        <v>1267.23</v>
      </c>
      <c r="G1037" s="898">
        <v>812.48</v>
      </c>
      <c r="H1037" s="898">
        <v>20.309999999999999</v>
      </c>
      <c r="I1037" s="898">
        <v>291.05</v>
      </c>
      <c r="J1037" s="898">
        <f>+I1037+H1037+G1037+F1037+E1037+D1037</f>
        <v>3263.98</v>
      </c>
      <c r="K1037" s="898">
        <v>177.63</v>
      </c>
      <c r="L1037" s="898">
        <v>250.74</v>
      </c>
      <c r="M1037" s="898">
        <v>548.69000000000005</v>
      </c>
      <c r="N1037" s="898">
        <v>6.88</v>
      </c>
      <c r="O1037" s="898">
        <v>3.7</v>
      </c>
      <c r="P1037" s="898">
        <v>288.62</v>
      </c>
      <c r="Q1037" s="916">
        <f>+K1037+L1037+M1037+N1037+J1037+O1037+P1037</f>
        <v>4540.24</v>
      </c>
    </row>
    <row r="1038" spans="2:17" ht="23.25">
      <c r="B1038" s="901" t="s">
        <v>3573</v>
      </c>
      <c r="C1038" s="895"/>
      <c r="D1038" s="898"/>
      <c r="E1038" s="898"/>
      <c r="F1038" s="898"/>
      <c r="G1038" s="898"/>
      <c r="H1038" s="898"/>
      <c r="I1038" s="898"/>
      <c r="J1038" s="898"/>
      <c r="K1038" s="898"/>
      <c r="L1038" s="898"/>
      <c r="M1038" s="898"/>
      <c r="N1038" s="898"/>
      <c r="O1038" s="898"/>
      <c r="P1038" s="898"/>
      <c r="Q1038" s="916"/>
    </row>
    <row r="1039" spans="2:17" ht="23.25">
      <c r="B1039" s="901" t="s">
        <v>3039</v>
      </c>
      <c r="C1039" s="895">
        <v>24000</v>
      </c>
      <c r="D1039" s="898">
        <v>986.86</v>
      </c>
      <c r="E1039" s="898">
        <v>933.57</v>
      </c>
      <c r="F1039" s="898">
        <v>1044.1300000000001</v>
      </c>
      <c r="G1039" s="898">
        <v>906.77</v>
      </c>
      <c r="H1039" s="898">
        <v>1443.12</v>
      </c>
      <c r="I1039" s="898">
        <v>542.91999999999996</v>
      </c>
      <c r="J1039" s="898">
        <f>+I1039+H1039+G1039+F1039+E1039+D1039</f>
        <v>5857.37</v>
      </c>
      <c r="K1039" s="898">
        <v>767.92</v>
      </c>
      <c r="L1039" s="898">
        <v>678.49</v>
      </c>
      <c r="M1039" s="898">
        <v>713.47</v>
      </c>
      <c r="N1039" s="898">
        <v>651.19899999999996</v>
      </c>
      <c r="O1039" s="898">
        <v>657.7</v>
      </c>
      <c r="P1039" s="898">
        <v>717.99900000000002</v>
      </c>
      <c r="Q1039" s="916">
        <f>+K1039+L1039+M1039+N1039+J1039+O1039+P1039</f>
        <v>10044.148000000001</v>
      </c>
    </row>
    <row r="1046" spans="2:17" ht="27">
      <c r="B1046" s="3034" t="s">
        <v>3035</v>
      </c>
      <c r="C1046" s="3034"/>
      <c r="D1046" s="3034"/>
      <c r="E1046" s="3034"/>
      <c r="F1046" s="3034"/>
      <c r="G1046" s="3034"/>
      <c r="H1046" s="3034"/>
      <c r="I1046" s="3034"/>
      <c r="J1046" s="3034"/>
      <c r="K1046" s="3034"/>
      <c r="L1046" s="3034"/>
      <c r="M1046" s="3034"/>
      <c r="N1046" s="3034"/>
      <c r="O1046" s="3034"/>
      <c r="P1046" s="3034"/>
      <c r="Q1046" s="3034"/>
    </row>
    <row r="1048" spans="2:17" ht="23.25">
      <c r="B1048" s="894" t="s">
        <v>721</v>
      </c>
      <c r="C1048" s="895" t="s">
        <v>735</v>
      </c>
      <c r="D1048" s="896" t="s">
        <v>722</v>
      </c>
      <c r="E1048" s="896" t="s">
        <v>723</v>
      </c>
      <c r="F1048" s="896" t="s">
        <v>724</v>
      </c>
      <c r="G1048" s="896" t="s">
        <v>725</v>
      </c>
      <c r="H1048" s="896" t="s">
        <v>726</v>
      </c>
      <c r="I1048" s="896" t="s">
        <v>727</v>
      </c>
      <c r="J1048" s="913" t="s">
        <v>3036</v>
      </c>
      <c r="K1048" s="896" t="s">
        <v>729</v>
      </c>
      <c r="L1048" s="896" t="s">
        <v>730</v>
      </c>
      <c r="M1048" s="896" t="s">
        <v>731</v>
      </c>
      <c r="N1048" s="896" t="s">
        <v>732</v>
      </c>
      <c r="O1048" s="896" t="s">
        <v>733</v>
      </c>
      <c r="P1048" s="896" t="s">
        <v>734</v>
      </c>
      <c r="Q1048" s="915">
        <f>+Q1023</f>
        <v>0</v>
      </c>
    </row>
    <row r="1049" spans="2:17" ht="23.25">
      <c r="B1049" s="901" t="s">
        <v>3042</v>
      </c>
      <c r="C1049" s="895">
        <v>36000</v>
      </c>
      <c r="D1049" s="898">
        <v>0</v>
      </c>
      <c r="E1049" s="898">
        <v>41.9</v>
      </c>
      <c r="F1049" s="898">
        <v>0</v>
      </c>
      <c r="G1049" s="898">
        <v>0</v>
      </c>
      <c r="H1049" s="898">
        <v>0</v>
      </c>
      <c r="I1049" s="898">
        <v>0</v>
      </c>
      <c r="J1049" s="898">
        <f>+I1049+H1049+G1049+F1049+E1049+D1049</f>
        <v>41.9</v>
      </c>
      <c r="K1049" s="898">
        <v>0</v>
      </c>
      <c r="L1049" s="898">
        <v>130.36000000000001</v>
      </c>
      <c r="M1049" s="898">
        <v>287.08600000000001</v>
      </c>
      <c r="N1049" s="898">
        <v>38.69</v>
      </c>
      <c r="O1049" s="898">
        <v>233.09</v>
      </c>
      <c r="P1049" s="898">
        <v>472.3</v>
      </c>
      <c r="Q1049" s="916">
        <f>+K1049+L1049+M1049+N1049+J1049+O1049+P1049</f>
        <v>1203.4259999999999</v>
      </c>
    </row>
    <row r="1050" spans="2:17" ht="23.25">
      <c r="B1050" s="901" t="s">
        <v>3043</v>
      </c>
      <c r="C1050" s="895"/>
      <c r="D1050" s="899">
        <v>863.83</v>
      </c>
      <c r="E1050" s="899">
        <v>1396</v>
      </c>
      <c r="F1050" s="899">
        <v>665.65</v>
      </c>
      <c r="G1050" s="899">
        <v>313.51</v>
      </c>
      <c r="H1050" s="899">
        <v>706.8</v>
      </c>
      <c r="I1050" s="899">
        <v>0</v>
      </c>
      <c r="J1050" s="898">
        <f>+I1050+H1050+G1050+F1050+E1050+D1050</f>
        <v>3945.79</v>
      </c>
      <c r="K1050" s="899">
        <v>316.33999999999997</v>
      </c>
      <c r="L1050" s="899">
        <v>297.27</v>
      </c>
      <c r="M1050" s="899">
        <v>547.57000000000005</v>
      </c>
      <c r="N1050" s="899">
        <v>332.69</v>
      </c>
      <c r="O1050" s="899">
        <v>0</v>
      </c>
      <c r="P1050" s="899">
        <v>24.2</v>
      </c>
      <c r="Q1050" s="916">
        <f>+K1050+L1050+M1050+N1050+J1050+O1050+P1050</f>
        <v>5463.86</v>
      </c>
    </row>
    <row r="1051" spans="2:17" ht="23.25">
      <c r="B1051" s="901" t="s">
        <v>3039</v>
      </c>
      <c r="C1051" s="895">
        <v>24000</v>
      </c>
      <c r="D1051" s="900">
        <v>517.79999999999995</v>
      </c>
      <c r="E1051" s="900">
        <v>772</v>
      </c>
      <c r="F1051" s="900">
        <v>938.06</v>
      </c>
      <c r="G1051" s="919">
        <v>1054</v>
      </c>
      <c r="H1051" s="920">
        <v>893</v>
      </c>
      <c r="I1051" s="919">
        <v>579.79</v>
      </c>
      <c r="J1051" s="898">
        <f>+I1051+H1051+G1051+F1051+E1051+D1051</f>
        <v>4754.6500000000005</v>
      </c>
      <c r="K1051" s="920">
        <v>370</v>
      </c>
      <c r="L1051" s="724">
        <v>279.52999999999997</v>
      </c>
      <c r="M1051" s="895">
        <v>289.94</v>
      </c>
      <c r="N1051" s="895">
        <v>419</v>
      </c>
      <c r="O1051" s="937">
        <v>406.14</v>
      </c>
      <c r="P1051" s="937">
        <v>1387.67</v>
      </c>
      <c r="Q1051" s="916">
        <f>+K1051+L1051+M1051+N1051+J1051+O1051+P1051</f>
        <v>7906.9300000000012</v>
      </c>
    </row>
    <row r="1064" spans="2:13" ht="26.25" customHeight="1">
      <c r="B1064" s="3107" t="s">
        <v>3574</v>
      </c>
      <c r="C1064" s="3108"/>
      <c r="D1064" s="3108"/>
      <c r="E1064" s="3108"/>
      <c r="F1064" s="3108"/>
      <c r="G1064" s="3108"/>
      <c r="H1064" s="3108"/>
      <c r="I1064" s="3108"/>
      <c r="J1064" s="3108"/>
      <c r="K1064" s="3108"/>
      <c r="L1064" s="3109"/>
      <c r="M1064" s="354"/>
    </row>
    <row r="1065" spans="2:13" ht="13.5" customHeight="1">
      <c r="B1065" s="3118"/>
      <c r="C1065" s="3119"/>
      <c r="D1065" s="3119"/>
      <c r="E1065" s="3119"/>
      <c r="F1065" s="3119"/>
      <c r="G1065" s="3119"/>
      <c r="H1065" s="3119"/>
      <c r="I1065" s="3119"/>
      <c r="J1065" s="3119"/>
      <c r="K1065" s="3119"/>
      <c r="L1065" s="3120"/>
      <c r="M1065" s="63"/>
    </row>
    <row r="1066" spans="2:13" ht="23.25">
      <c r="B1066" s="922"/>
      <c r="C1066" s="896" t="s">
        <v>722</v>
      </c>
      <c r="D1066" s="896" t="s">
        <v>723</v>
      </c>
      <c r="E1066" s="896" t="s">
        <v>724</v>
      </c>
      <c r="F1066" s="896" t="s">
        <v>725</v>
      </c>
      <c r="G1066" s="896" t="s">
        <v>726</v>
      </c>
      <c r="H1066" s="896" t="s">
        <v>727</v>
      </c>
      <c r="I1066" s="938" t="s">
        <v>729</v>
      </c>
      <c r="J1066" s="939" t="s">
        <v>730</v>
      </c>
      <c r="K1066" s="939" t="s">
        <v>731</v>
      </c>
      <c r="L1066" s="940" t="s">
        <v>732</v>
      </c>
      <c r="M1066" s="941" t="s">
        <v>493</v>
      </c>
    </row>
    <row r="1067" spans="2:13" ht="23.25">
      <c r="B1067" s="746" t="s">
        <v>3575</v>
      </c>
      <c r="C1067" s="817">
        <v>10543</v>
      </c>
      <c r="D1067" s="817">
        <v>8503</v>
      </c>
      <c r="E1067" s="817">
        <v>11880</v>
      </c>
      <c r="F1067" s="817">
        <v>9917</v>
      </c>
      <c r="G1067" s="854">
        <v>11906</v>
      </c>
      <c r="H1067" s="923">
        <v>10415</v>
      </c>
      <c r="I1067" s="817">
        <v>12413</v>
      </c>
      <c r="J1067" s="817">
        <v>12084</v>
      </c>
      <c r="K1067" s="817">
        <v>12885</v>
      </c>
      <c r="L1067" s="854">
        <v>13086</v>
      </c>
      <c r="M1067" s="854">
        <f>SUM(C1067:L1067)</f>
        <v>113632</v>
      </c>
    </row>
    <row r="1068" spans="2:13" ht="23.25">
      <c r="B1068" s="746" t="s">
        <v>563</v>
      </c>
      <c r="C1068" s="720">
        <v>3665</v>
      </c>
      <c r="D1068" s="720">
        <v>3535</v>
      </c>
      <c r="E1068" s="720">
        <v>5131</v>
      </c>
      <c r="F1068" s="720">
        <v>4115</v>
      </c>
      <c r="G1068" s="924">
        <v>4067</v>
      </c>
      <c r="H1068" s="820">
        <v>4758</v>
      </c>
      <c r="I1068" s="729">
        <v>4722</v>
      </c>
      <c r="J1068" s="729">
        <v>3477</v>
      </c>
      <c r="K1068" s="816">
        <v>4631</v>
      </c>
      <c r="L1068" s="855">
        <v>5926</v>
      </c>
      <c r="M1068" s="854">
        <f>SUM(C1068:L1068)</f>
        <v>44027</v>
      </c>
    </row>
    <row r="1069" spans="2:13" ht="23.25">
      <c r="B1069" s="746" t="s">
        <v>462</v>
      </c>
      <c r="C1069" s="720">
        <v>1416</v>
      </c>
      <c r="D1069" s="720">
        <v>763</v>
      </c>
      <c r="E1069" s="720">
        <v>847</v>
      </c>
      <c r="F1069" s="720">
        <v>1033</v>
      </c>
      <c r="G1069" s="924">
        <v>1190</v>
      </c>
      <c r="H1069" s="740">
        <v>1223</v>
      </c>
      <c r="I1069" s="819">
        <v>1483</v>
      </c>
      <c r="J1069" s="819">
        <v>1533</v>
      </c>
      <c r="K1069" s="814">
        <v>1292</v>
      </c>
      <c r="L1069" s="814">
        <v>1650</v>
      </c>
      <c r="M1069" s="854">
        <f>SUM(C1069:L1069)</f>
        <v>12430</v>
      </c>
    </row>
    <row r="1070" spans="2:13" ht="23.25">
      <c r="B1070" s="746" t="s">
        <v>3576</v>
      </c>
      <c r="C1070" s="720">
        <v>2474</v>
      </c>
      <c r="D1070" s="720">
        <v>1233</v>
      </c>
      <c r="E1070" s="720">
        <v>2625</v>
      </c>
      <c r="F1070" s="720">
        <v>1824</v>
      </c>
      <c r="G1070" s="924">
        <v>2365</v>
      </c>
      <c r="H1070" s="925">
        <v>1823</v>
      </c>
      <c r="I1070" s="818">
        <v>1926</v>
      </c>
      <c r="J1070" s="818">
        <v>2342</v>
      </c>
      <c r="K1070" s="856">
        <v>2759</v>
      </c>
      <c r="L1070" s="856">
        <v>2681</v>
      </c>
      <c r="M1070" s="854">
        <f>SUM(C1070:L1070)</f>
        <v>22052</v>
      </c>
    </row>
    <row r="1071" spans="2:13" ht="23.25">
      <c r="B1071" s="747" t="s">
        <v>500</v>
      </c>
      <c r="C1071" s="926">
        <v>1154</v>
      </c>
      <c r="D1071" s="926">
        <v>979</v>
      </c>
      <c r="E1071" s="926">
        <v>462</v>
      </c>
      <c r="F1071" s="926">
        <v>764</v>
      </c>
      <c r="G1071" s="927">
        <v>1355</v>
      </c>
      <c r="H1071" s="928">
        <v>858</v>
      </c>
      <c r="I1071" s="861">
        <v>1768</v>
      </c>
      <c r="J1071" s="942">
        <v>764</v>
      </c>
      <c r="K1071" s="942">
        <v>941</v>
      </c>
      <c r="L1071" s="942">
        <v>466</v>
      </c>
      <c r="M1071" s="943">
        <f>SUM(C1071:L1071)</f>
        <v>9511</v>
      </c>
    </row>
    <row r="1072" spans="2:13" ht="23.25">
      <c r="B1072" s="830" t="s">
        <v>754</v>
      </c>
      <c r="C1072" s="831">
        <v>100.4</v>
      </c>
      <c r="D1072" s="831">
        <v>98.95</v>
      </c>
      <c r="E1072" s="831">
        <v>96.93</v>
      </c>
      <c r="F1072" s="831">
        <v>103</v>
      </c>
      <c r="G1072" s="929">
        <v>92.15</v>
      </c>
      <c r="H1072" s="718">
        <v>97.57</v>
      </c>
      <c r="I1072" s="718">
        <v>93.43</v>
      </c>
      <c r="J1072" s="858">
        <v>94.05</v>
      </c>
      <c r="K1072" s="858">
        <v>92.92</v>
      </c>
      <c r="L1072" s="944">
        <v>92.08</v>
      </c>
      <c r="M1072" s="945">
        <v>97.05</v>
      </c>
    </row>
    <row r="1073" spans="2:13" ht="23.25">
      <c r="B1073" s="395" t="s">
        <v>2316</v>
      </c>
      <c r="C1073" s="926">
        <v>0.434</v>
      </c>
      <c r="D1073" s="926">
        <v>0.54900000000000004</v>
      </c>
      <c r="E1073" s="926">
        <v>0.48399999999999999</v>
      </c>
      <c r="F1073" s="926">
        <v>0.438</v>
      </c>
      <c r="G1073" s="927">
        <v>0.443</v>
      </c>
      <c r="H1073" s="930">
        <v>0.48699999999999999</v>
      </c>
      <c r="I1073" s="930">
        <v>0.48699999999999999</v>
      </c>
      <c r="J1073" s="946">
        <v>0.47499999999999998</v>
      </c>
      <c r="K1073" s="946">
        <v>0.47899999999999998</v>
      </c>
      <c r="L1073" s="947">
        <v>0.47499999999999998</v>
      </c>
      <c r="M1073" s="947">
        <v>0.47399999999999998</v>
      </c>
    </row>
    <row r="1074" spans="2:13" ht="23.25">
      <c r="B1074" s="931"/>
      <c r="C1074" s="829"/>
      <c r="D1074" s="829"/>
      <c r="E1074" s="829"/>
      <c r="F1074" s="829"/>
      <c r="G1074" s="863"/>
      <c r="H1074" s="932"/>
      <c r="I1074" s="829"/>
      <c r="J1074" s="829"/>
      <c r="K1074" s="829"/>
      <c r="L1074" s="863"/>
    </row>
    <row r="1076" spans="2:13" ht="26.25">
      <c r="B1076" s="3076" t="s">
        <v>3577</v>
      </c>
      <c r="C1076" s="3077"/>
      <c r="D1076" s="3077"/>
      <c r="E1076" s="3077"/>
      <c r="F1076" s="3077"/>
      <c r="G1076" s="3116"/>
      <c r="H1076" s="933"/>
      <c r="I1076" s="933"/>
      <c r="J1076" s="933"/>
      <c r="K1076" s="933"/>
      <c r="L1076" s="948"/>
    </row>
    <row r="1077" spans="2:13">
      <c r="B1077" s="3078"/>
      <c r="C1077" s="3055"/>
      <c r="D1077" s="3055"/>
      <c r="E1077" s="3055"/>
      <c r="F1077" s="3055"/>
      <c r="G1077" s="3117"/>
      <c r="L1077" s="63"/>
    </row>
    <row r="1078" spans="2:13" ht="23.25">
      <c r="B1078" s="922"/>
      <c r="C1078" s="817" t="s">
        <v>2246</v>
      </c>
      <c r="D1078" s="817" t="s">
        <v>121</v>
      </c>
      <c r="E1078" s="817" t="s">
        <v>2351</v>
      </c>
      <c r="F1078" s="817" t="s">
        <v>2412</v>
      </c>
      <c r="G1078" s="854" t="s">
        <v>2411</v>
      </c>
      <c r="H1078" s="934" t="s">
        <v>3226</v>
      </c>
      <c r="I1078" s="2938"/>
      <c r="J1078" s="2939"/>
      <c r="K1078" s="2937"/>
      <c r="L1078" s="2939"/>
    </row>
    <row r="1079" spans="2:13" ht="23.25">
      <c r="B1079" s="922"/>
      <c r="C1079" s="817" t="s">
        <v>292</v>
      </c>
      <c r="D1079" s="817" t="s">
        <v>292</v>
      </c>
      <c r="E1079" s="817" t="s">
        <v>292</v>
      </c>
      <c r="F1079" s="817" t="s">
        <v>292</v>
      </c>
      <c r="G1079" s="854" t="s">
        <v>292</v>
      </c>
      <c r="H1079" s="854" t="s">
        <v>292</v>
      </c>
      <c r="I1079" s="817"/>
      <c r="J1079" s="817"/>
      <c r="K1079" s="817"/>
      <c r="L1079" s="854"/>
    </row>
    <row r="1080" spans="2:13" ht="23.25">
      <c r="B1080" s="390" t="s">
        <v>2272</v>
      </c>
      <c r="C1080" s="720">
        <f>321.32+168.87</f>
        <v>490.19</v>
      </c>
      <c r="D1080" s="720">
        <v>253.44</v>
      </c>
      <c r="E1080" s="720">
        <v>103.96</v>
      </c>
      <c r="F1080" s="720">
        <v>0</v>
      </c>
      <c r="G1080" s="924">
        <v>786.3</v>
      </c>
      <c r="H1080" s="820">
        <v>601.65</v>
      </c>
      <c r="I1080" s="729"/>
      <c r="J1080" s="729"/>
      <c r="K1080" s="816"/>
      <c r="L1080" s="855"/>
    </row>
    <row r="1081" spans="2:13" ht="25.5" customHeight="1">
      <c r="B1081" s="390">
        <v>9260</v>
      </c>
      <c r="C1081" s="720">
        <f>1108.77+5392.77</f>
        <v>6501.5400000000009</v>
      </c>
      <c r="D1081" s="720">
        <v>39.24</v>
      </c>
      <c r="E1081" s="720">
        <v>0</v>
      </c>
      <c r="F1081" s="720">
        <v>2393.6</v>
      </c>
      <c r="G1081" s="924">
        <v>1072.54</v>
      </c>
      <c r="H1081" s="740">
        <v>2734.8</v>
      </c>
      <c r="I1081" s="819"/>
      <c r="J1081" s="819"/>
      <c r="K1081" s="814"/>
      <c r="L1081" s="814"/>
    </row>
    <row r="1082" spans="2:13" ht="29.25" customHeight="1">
      <c r="B1082" s="390" t="s">
        <v>342</v>
      </c>
      <c r="C1082" s="720">
        <v>51.39</v>
      </c>
      <c r="D1082" s="720"/>
      <c r="E1082" s="720">
        <v>0</v>
      </c>
      <c r="F1082" s="720">
        <v>0</v>
      </c>
      <c r="G1082" s="924"/>
      <c r="H1082" s="925"/>
      <c r="I1082" s="818"/>
      <c r="J1082" s="818"/>
      <c r="K1082" s="856"/>
      <c r="L1082" s="856"/>
    </row>
    <row r="1083" spans="2:13" ht="23.25">
      <c r="B1083" s="390" t="s">
        <v>3578</v>
      </c>
      <c r="C1083" s="833">
        <v>20.149999999999999</v>
      </c>
      <c r="D1083" s="833">
        <v>0</v>
      </c>
      <c r="E1083" s="833">
        <v>0</v>
      </c>
      <c r="F1083" s="833">
        <v>0</v>
      </c>
      <c r="G1083" s="935"/>
      <c r="H1083" s="925"/>
      <c r="I1083" s="818"/>
      <c r="J1083" s="857"/>
      <c r="K1083" s="857"/>
      <c r="L1083" s="857"/>
    </row>
    <row r="1084" spans="2:13" ht="23.25">
      <c r="B1084" s="390" t="s">
        <v>349</v>
      </c>
      <c r="C1084" s="833"/>
      <c r="D1084" s="833">
        <f>479.12+206.65</f>
        <v>685.77</v>
      </c>
      <c r="E1084" s="833">
        <f>318.76+101.52</f>
        <v>420.28</v>
      </c>
      <c r="F1084" s="833">
        <v>1325.91</v>
      </c>
      <c r="G1084" s="935">
        <v>1204.1400000000001</v>
      </c>
      <c r="H1084" s="718">
        <f>1367.33</f>
        <v>1367.33</v>
      </c>
      <c r="I1084" s="718"/>
      <c r="J1084" s="858"/>
      <c r="K1084" s="858"/>
      <c r="L1084" s="944"/>
    </row>
    <row r="1085" spans="2:13" ht="23.25">
      <c r="B1085" s="390" t="s">
        <v>353</v>
      </c>
      <c r="C1085" s="833"/>
      <c r="D1085" s="833"/>
      <c r="E1085" s="833"/>
      <c r="F1085" s="833"/>
      <c r="G1085" s="935">
        <v>2090.8000000000002</v>
      </c>
      <c r="H1085" s="718">
        <v>1358.45</v>
      </c>
      <c r="I1085" s="718"/>
      <c r="J1085" s="858"/>
      <c r="K1085" s="858"/>
      <c r="L1085" s="944"/>
    </row>
    <row r="1086" spans="2:13" ht="23.25">
      <c r="B1086" s="395"/>
      <c r="C1086" s="926">
        <f t="shared" ref="C1086:H1086" si="189">SUM(C1080:C1085)</f>
        <v>7063.27</v>
      </c>
      <c r="D1086" s="926">
        <f t="shared" si="189"/>
        <v>978.45</v>
      </c>
      <c r="E1086" s="926">
        <f t="shared" si="189"/>
        <v>524.24</v>
      </c>
      <c r="F1086" s="926">
        <f t="shared" si="189"/>
        <v>3719.51</v>
      </c>
      <c r="G1086" s="927">
        <f t="shared" si="189"/>
        <v>5153.7800000000007</v>
      </c>
      <c r="H1086" s="927">
        <f t="shared" si="189"/>
        <v>6062.2300000000005</v>
      </c>
      <c r="I1086" s="829"/>
      <c r="J1086" s="829"/>
      <c r="K1086" s="829"/>
      <c r="L1086" s="863"/>
    </row>
    <row r="1093" spans="2:15">
      <c r="B1093" s="3076" t="s">
        <v>3579</v>
      </c>
      <c r="C1093" s="3077"/>
      <c r="D1093" s="3077"/>
      <c r="E1093" s="3077"/>
      <c r="F1093" s="3077"/>
      <c r="G1093" s="3116"/>
    </row>
    <row r="1094" spans="2:15">
      <c r="B1094" s="3078"/>
      <c r="C1094" s="3055"/>
      <c r="D1094" s="3055"/>
      <c r="E1094" s="3055"/>
      <c r="F1094" s="3055"/>
      <c r="G1094" s="3117"/>
    </row>
    <row r="1095" spans="2:15" ht="23.25">
      <c r="B1095" s="922"/>
      <c r="C1095" s="817" t="s">
        <v>2246</v>
      </c>
      <c r="D1095" s="817" t="s">
        <v>121</v>
      </c>
      <c r="E1095" s="817" t="s">
        <v>2351</v>
      </c>
      <c r="F1095" s="817" t="s">
        <v>2412</v>
      </c>
      <c r="G1095" s="854" t="s">
        <v>2411</v>
      </c>
      <c r="H1095" s="936" t="s">
        <v>3580</v>
      </c>
    </row>
    <row r="1096" spans="2:15" ht="23.25">
      <c r="B1096" s="922"/>
      <c r="C1096" s="817" t="s">
        <v>292</v>
      </c>
      <c r="D1096" s="817" t="s">
        <v>292</v>
      </c>
      <c r="E1096" s="817" t="s">
        <v>292</v>
      </c>
      <c r="F1096" s="817" t="s">
        <v>292</v>
      </c>
      <c r="G1096" s="854" t="s">
        <v>292</v>
      </c>
      <c r="H1096" s="854" t="s">
        <v>292</v>
      </c>
    </row>
    <row r="1097" spans="2:15" ht="23.25">
      <c r="B1097" s="390" t="s">
        <v>2272</v>
      </c>
      <c r="C1097" s="720"/>
      <c r="D1097" s="720"/>
      <c r="E1097" s="720"/>
      <c r="F1097" s="720"/>
      <c r="G1097" s="924">
        <v>933.06</v>
      </c>
      <c r="H1097" s="924">
        <v>80.459999999999994</v>
      </c>
    </row>
    <row r="1098" spans="2:15" ht="23.25">
      <c r="B1098" s="390">
        <v>9260</v>
      </c>
      <c r="C1098" s="720">
        <v>246.06</v>
      </c>
      <c r="D1098" s="720"/>
      <c r="E1098" s="720"/>
      <c r="F1098" s="720"/>
      <c r="G1098" s="924"/>
      <c r="H1098" s="924"/>
    </row>
    <row r="1099" spans="2:15" ht="23.25">
      <c r="B1099" s="390" t="s">
        <v>342</v>
      </c>
      <c r="C1099" s="720">
        <f>208.35+613.5</f>
        <v>821.85</v>
      </c>
      <c r="D1099" s="720"/>
      <c r="E1099" s="720"/>
      <c r="F1099" s="720"/>
      <c r="G1099" s="924">
        <v>316.52</v>
      </c>
      <c r="H1099" s="924">
        <v>1.2</v>
      </c>
    </row>
    <row r="1100" spans="2:15" ht="26.25">
      <c r="B1100" s="390" t="s">
        <v>3581</v>
      </c>
      <c r="C1100" s="833"/>
      <c r="D1100" s="833">
        <v>365.13</v>
      </c>
      <c r="E1100" s="833"/>
      <c r="F1100" s="720"/>
      <c r="G1100" s="935"/>
      <c r="H1100" s="924"/>
      <c r="M1100" s="449" t="s">
        <v>3582</v>
      </c>
      <c r="N1100" s="449" t="s">
        <v>482</v>
      </c>
      <c r="O1100" s="449" t="s">
        <v>3583</v>
      </c>
    </row>
    <row r="1101" spans="2:15" ht="26.25">
      <c r="B1101" s="390" t="s">
        <v>3584</v>
      </c>
      <c r="C1101" s="833"/>
      <c r="D1101" s="833">
        <f>55.99+108.54</f>
        <v>164.53</v>
      </c>
      <c r="E1101" s="833"/>
      <c r="F1101" s="720"/>
      <c r="G1101" s="935"/>
      <c r="H1101" s="924"/>
      <c r="M1101" s="449">
        <v>10449</v>
      </c>
      <c r="N1101" s="449">
        <f>+L1101-M1101</f>
        <v>-10449</v>
      </c>
      <c r="O1101" s="449">
        <v>1620</v>
      </c>
    </row>
    <row r="1102" spans="2:15" ht="26.25">
      <c r="B1102" s="390" t="s">
        <v>349</v>
      </c>
      <c r="C1102" s="833"/>
      <c r="D1102" s="833"/>
      <c r="E1102" s="833"/>
      <c r="F1102" s="833">
        <v>297.47000000000003</v>
      </c>
      <c r="G1102" s="924">
        <v>652.13</v>
      </c>
      <c r="H1102" s="924"/>
      <c r="M1102" s="449"/>
      <c r="N1102" s="449"/>
      <c r="O1102" s="949"/>
    </row>
    <row r="1103" spans="2:15" ht="26.25">
      <c r="B1103" s="390" t="s">
        <v>3101</v>
      </c>
      <c r="C1103" s="833"/>
      <c r="D1103" s="833"/>
      <c r="E1103" s="833"/>
      <c r="F1103" s="833"/>
      <c r="G1103" s="924">
        <v>166.55</v>
      </c>
      <c r="H1103" s="924">
        <v>1094.8</v>
      </c>
      <c r="M1103" s="449">
        <v>26800</v>
      </c>
      <c r="N1103" s="449">
        <f>+L1103-M1103</f>
        <v>-26800</v>
      </c>
      <c r="O1103" s="449">
        <v>735</v>
      </c>
    </row>
    <row r="1104" spans="2:15" ht="26.25">
      <c r="B1104" s="390" t="s">
        <v>2270</v>
      </c>
      <c r="C1104" s="833"/>
      <c r="D1104" s="833"/>
      <c r="E1104" s="833"/>
      <c r="F1104" s="833"/>
      <c r="G1104" s="924">
        <v>230.6</v>
      </c>
      <c r="H1104" s="924"/>
      <c r="M1104" s="449"/>
      <c r="N1104" s="449"/>
      <c r="O1104" s="949"/>
    </row>
    <row r="1105" spans="1:15" ht="26.25">
      <c r="B1105" s="390" t="s">
        <v>3100</v>
      </c>
      <c r="C1105" s="833"/>
      <c r="D1105" s="833"/>
      <c r="E1105" s="833"/>
      <c r="F1105" s="833"/>
      <c r="G1105" s="924">
        <v>288.66000000000003</v>
      </c>
      <c r="H1105" s="924"/>
      <c r="M1105" s="449"/>
      <c r="N1105" s="449"/>
      <c r="O1105" s="449"/>
    </row>
    <row r="1106" spans="1:15" ht="26.25">
      <c r="B1106" s="390" t="s">
        <v>353</v>
      </c>
      <c r="C1106" s="833"/>
      <c r="D1106" s="833"/>
      <c r="E1106" s="833"/>
      <c r="F1106" s="833"/>
      <c r="G1106" s="924"/>
      <c r="H1106" s="924"/>
      <c r="M1106" s="449">
        <v>2265</v>
      </c>
      <c r="N1106" s="449">
        <f>+L1106-M1106</f>
        <v>-2265</v>
      </c>
      <c r="O1106" s="558">
        <v>2700</v>
      </c>
    </row>
    <row r="1107" spans="1:15" ht="26.25">
      <c r="B1107" s="395"/>
      <c r="C1107" s="926">
        <f t="shared" ref="C1107:H1107" si="190">SUM(C1097:C1106)</f>
        <v>1067.9100000000001</v>
      </c>
      <c r="D1107" s="926">
        <f t="shared" si="190"/>
        <v>529.66</v>
      </c>
      <c r="E1107" s="926">
        <f t="shared" si="190"/>
        <v>0</v>
      </c>
      <c r="F1107" s="926">
        <f t="shared" si="190"/>
        <v>297.47000000000003</v>
      </c>
      <c r="G1107" s="927">
        <f t="shared" si="190"/>
        <v>2587.52</v>
      </c>
      <c r="H1107" s="927">
        <f t="shared" si="190"/>
        <v>1176.46</v>
      </c>
      <c r="M1107" s="449"/>
      <c r="N1107" s="449"/>
      <c r="O1107" s="449"/>
    </row>
    <row r="1108" spans="1:15" ht="26.25">
      <c r="I1108" s="449" t="s">
        <v>3095</v>
      </c>
      <c r="J1108" s="449" t="s">
        <v>3585</v>
      </c>
      <c r="K1108" s="449" t="s">
        <v>3586</v>
      </c>
      <c r="L1108" s="449">
        <v>2973</v>
      </c>
      <c r="M1108" s="449"/>
      <c r="N1108" s="449">
        <f>+L1108-M1108</f>
        <v>2973</v>
      </c>
      <c r="O1108" s="449"/>
    </row>
    <row r="1109" spans="1:15" ht="26.25">
      <c r="I1109" s="449"/>
      <c r="J1109" s="449"/>
      <c r="K1109" s="449"/>
      <c r="L1109" s="449"/>
      <c r="M1109" s="449"/>
      <c r="N1109" s="449"/>
      <c r="O1109" s="449"/>
    </row>
    <row r="1110" spans="1:15" ht="26.25">
      <c r="I1110" s="449" t="s">
        <v>3095</v>
      </c>
      <c r="J1110" s="449" t="s">
        <v>3587</v>
      </c>
      <c r="K1110" s="449" t="s">
        <v>3588</v>
      </c>
      <c r="L1110" s="449">
        <v>8688</v>
      </c>
      <c r="M1110" s="449"/>
      <c r="N1110" s="449">
        <f>+L1110-M1110</f>
        <v>8688</v>
      </c>
      <c r="O1110" s="449"/>
    </row>
    <row r="1111" spans="1:15" ht="18">
      <c r="A1111" s="2979" t="s">
        <v>759</v>
      </c>
      <c r="B1111" s="2945"/>
      <c r="C1111" s="2945"/>
      <c r="D1111" s="2945"/>
      <c r="E1111" s="2980"/>
    </row>
    <row r="1112" spans="1:15" ht="18">
      <c r="A1112" s="34"/>
      <c r="B1112" s="35" t="s">
        <v>2351</v>
      </c>
      <c r="C1112" s="35" t="s">
        <v>2412</v>
      </c>
      <c r="D1112" s="35" t="s">
        <v>2411</v>
      </c>
      <c r="E1112" s="950" t="s">
        <v>3589</v>
      </c>
    </row>
    <row r="1113" spans="1:15" ht="18">
      <c r="A1113" s="3" t="s">
        <v>3590</v>
      </c>
      <c r="B1113" s="4"/>
      <c r="C1113" s="4"/>
      <c r="D1113" s="4"/>
      <c r="E1113" s="5"/>
    </row>
    <row r="1114" spans="1:15" ht="18">
      <c r="A1114" s="3" t="s">
        <v>563</v>
      </c>
      <c r="B1114" s="4">
        <v>33868.81</v>
      </c>
      <c r="C1114" s="4">
        <v>38783.58</v>
      </c>
      <c r="D1114" s="4">
        <v>46326.79</v>
      </c>
      <c r="E1114" s="5">
        <v>15480.09</v>
      </c>
    </row>
    <row r="1115" spans="1:15" ht="18">
      <c r="A1115" s="3" t="s">
        <v>3591</v>
      </c>
      <c r="B1115" s="4">
        <v>1217.3499999999999</v>
      </c>
      <c r="C1115" s="4">
        <v>841.41</v>
      </c>
      <c r="D1115" s="4">
        <v>1315.37</v>
      </c>
      <c r="E1115" s="5">
        <v>359.38</v>
      </c>
    </row>
    <row r="1116" spans="1:15" ht="18">
      <c r="A1116" s="3" t="s">
        <v>3592</v>
      </c>
      <c r="B1116" s="4"/>
      <c r="C1116" s="4">
        <v>0</v>
      </c>
      <c r="D1116" s="4">
        <v>0</v>
      </c>
      <c r="E1116" s="5"/>
    </row>
    <row r="1117" spans="1:15" ht="18">
      <c r="A1117" s="3" t="s">
        <v>3593</v>
      </c>
      <c r="B1117" s="4">
        <v>917.47</v>
      </c>
      <c r="C1117" s="4">
        <v>1237.25</v>
      </c>
      <c r="D1117" s="4">
        <v>1329.91</v>
      </c>
      <c r="E1117" s="5">
        <v>623.63</v>
      </c>
    </row>
    <row r="1118" spans="1:15" ht="18">
      <c r="A1118" s="3" t="s">
        <v>3594</v>
      </c>
      <c r="B1118" s="4">
        <v>2665.16</v>
      </c>
      <c r="C1118" s="4">
        <v>828.78</v>
      </c>
      <c r="D1118" s="4">
        <v>937.66</v>
      </c>
      <c r="E1118" s="5">
        <v>150.57</v>
      </c>
    </row>
    <row r="1119" spans="1:15" ht="18">
      <c r="A1119" s="3" t="s">
        <v>3595</v>
      </c>
      <c r="B1119" s="4">
        <f>318.76+205.48</f>
        <v>524.24</v>
      </c>
      <c r="C1119" s="4">
        <v>3719.51</v>
      </c>
      <c r="D1119" s="4">
        <v>5153.4799999999996</v>
      </c>
      <c r="E1119" s="5">
        <v>2259.1999999999998</v>
      </c>
    </row>
    <row r="1120" spans="1:15" ht="18">
      <c r="A1120" s="3" t="s">
        <v>3596</v>
      </c>
      <c r="B1120" s="4">
        <f>567.44+0</f>
        <v>567.44000000000005</v>
      </c>
      <c r="C1120" s="4">
        <v>1125.99</v>
      </c>
      <c r="D1120" s="4">
        <v>1026.67</v>
      </c>
      <c r="E1120" s="5">
        <v>0</v>
      </c>
    </row>
    <row r="1121" spans="1:8" ht="18">
      <c r="A1121" s="3" t="s">
        <v>3597</v>
      </c>
      <c r="B1121" s="4">
        <v>646.42999999999995</v>
      </c>
      <c r="C1121" s="4">
        <v>4225.91</v>
      </c>
      <c r="D1121" s="4">
        <v>8533.92</v>
      </c>
      <c r="E1121" s="5">
        <v>2871.49</v>
      </c>
    </row>
    <row r="1122" spans="1:8" ht="18">
      <c r="A1122" s="3" t="s">
        <v>3598</v>
      </c>
      <c r="B1122" s="4">
        <v>0</v>
      </c>
      <c r="C1122" s="4">
        <v>0</v>
      </c>
      <c r="D1122" s="4">
        <v>862.16</v>
      </c>
      <c r="E1122" s="5">
        <v>317.89999999999998</v>
      </c>
    </row>
    <row r="1123" spans="1:8" ht="18">
      <c r="A1123" s="3" t="s">
        <v>3599</v>
      </c>
      <c r="B1123" s="4">
        <v>102.38</v>
      </c>
      <c r="C1123" s="4">
        <v>79.760000000000005</v>
      </c>
      <c r="D1123" s="4"/>
      <c r="E1123" s="5"/>
    </row>
    <row r="1124" spans="1:8" ht="18">
      <c r="A1124" s="3" t="s">
        <v>3600</v>
      </c>
      <c r="B1124" s="4">
        <v>74.44</v>
      </c>
      <c r="C1124" s="4">
        <v>191.93</v>
      </c>
      <c r="D1124" s="4">
        <v>79.2</v>
      </c>
      <c r="E1124" s="5"/>
    </row>
    <row r="1125" spans="1:8" ht="18">
      <c r="A1125" s="3" t="s">
        <v>3601</v>
      </c>
      <c r="B1125" s="4">
        <v>176.47</v>
      </c>
      <c r="C1125" s="4">
        <v>38.119999999999997</v>
      </c>
      <c r="D1125" s="4">
        <v>176.77</v>
      </c>
      <c r="E1125" s="5">
        <v>28.58</v>
      </c>
    </row>
    <row r="1126" spans="1:8" ht="18">
      <c r="A1126" s="3" t="s">
        <v>3602</v>
      </c>
      <c r="B1126" s="4">
        <v>123.13</v>
      </c>
      <c r="C1126" s="4">
        <v>106.44</v>
      </c>
      <c r="D1126" s="4">
        <v>143.99</v>
      </c>
      <c r="E1126" s="5"/>
    </row>
    <row r="1127" spans="1:8" ht="18">
      <c r="A1127" s="951" t="s">
        <v>3603</v>
      </c>
      <c r="B1127" s="952">
        <v>160.43</v>
      </c>
      <c r="C1127" s="952">
        <v>114.16</v>
      </c>
      <c r="D1127" s="952">
        <v>206.61</v>
      </c>
      <c r="E1127" s="953">
        <v>29.72</v>
      </c>
    </row>
    <row r="1128" spans="1:8">
      <c r="A1128" s="7"/>
      <c r="B1128" s="591">
        <f>SUM(B1114:B1127)</f>
        <v>41043.749999999993</v>
      </c>
      <c r="C1128" s="22">
        <f>SUM(C1114:C1127)</f>
        <v>51292.840000000018</v>
      </c>
      <c r="D1128" s="22">
        <f>SUM(D1114:D1127)</f>
        <v>66092.530000000013</v>
      </c>
      <c r="E1128" s="26">
        <f>SUM(E1114:E1127)</f>
        <v>22120.560000000005</v>
      </c>
    </row>
    <row r="1133" spans="1:8">
      <c r="A1133" s="41"/>
      <c r="B1133" s="41"/>
      <c r="C1133" s="2913" t="s">
        <v>2609</v>
      </c>
      <c r="D1133" s="2913"/>
      <c r="E1133" s="2913" t="s">
        <v>2610</v>
      </c>
      <c r="F1133" s="2913"/>
      <c r="G1133" s="2913" t="s">
        <v>2611</v>
      </c>
      <c r="H1133" s="2913"/>
    </row>
    <row r="1134" spans="1:8">
      <c r="A1134" s="41"/>
      <c r="B1134" s="41" t="s">
        <v>519</v>
      </c>
      <c r="C1134" s="41" t="s">
        <v>275</v>
      </c>
      <c r="D1134" s="41" t="s">
        <v>312</v>
      </c>
      <c r="E1134" s="41" t="s">
        <v>275</v>
      </c>
      <c r="F1134" s="41" t="s">
        <v>312</v>
      </c>
      <c r="G1134" s="41" t="s">
        <v>275</v>
      </c>
      <c r="H1134" s="41" t="s">
        <v>312</v>
      </c>
    </row>
    <row r="1135" spans="1:8">
      <c r="A1135" s="41" t="s">
        <v>36</v>
      </c>
      <c r="B1135" s="41" t="s">
        <v>634</v>
      </c>
      <c r="C1135" s="41">
        <v>29846</v>
      </c>
      <c r="D1135" s="41">
        <v>25513</v>
      </c>
      <c r="E1135" s="41">
        <f>59715-29846</f>
        <v>29869</v>
      </c>
      <c r="F1135" s="41">
        <f>50603-25513</f>
        <v>25090</v>
      </c>
      <c r="G1135" s="41">
        <f>89564-29869-29846</f>
        <v>29849</v>
      </c>
      <c r="H1135" s="41">
        <f>80155-F1135-D1135</f>
        <v>29552</v>
      </c>
    </row>
    <row r="1136" spans="1:8">
      <c r="A1136" s="41" t="s">
        <v>3305</v>
      </c>
      <c r="B1136" s="41" t="s">
        <v>634</v>
      </c>
      <c r="C1136" s="41">
        <v>36043</v>
      </c>
      <c r="D1136" s="41">
        <v>30941</v>
      </c>
      <c r="E1136" s="41">
        <f>72964-36043</f>
        <v>36921</v>
      </c>
      <c r="F1136" s="41">
        <f>63179-30941</f>
        <v>32238</v>
      </c>
      <c r="G1136" s="41">
        <f>109885-E1136-C1136</f>
        <v>36921</v>
      </c>
      <c r="H1136" s="41">
        <f>100562-F1136-D1136</f>
        <v>37383</v>
      </c>
    </row>
    <row r="1137" spans="1:8">
      <c r="A1137" s="41" t="s">
        <v>37</v>
      </c>
      <c r="B1137" s="41" t="s">
        <v>634</v>
      </c>
      <c r="C1137" s="41">
        <v>32668</v>
      </c>
      <c r="D1137" s="41">
        <v>27121</v>
      </c>
      <c r="E1137" s="41">
        <f>65478-32668</f>
        <v>32810</v>
      </c>
      <c r="F1137" s="41">
        <f>54746-27121</f>
        <v>27625</v>
      </c>
      <c r="G1137" s="41">
        <f>98183-32810-32668</f>
        <v>32705</v>
      </c>
      <c r="H1137" s="41">
        <f>85811-F1137-D1137</f>
        <v>31065</v>
      </c>
    </row>
    <row r="1138" spans="1:8">
      <c r="A1138" s="41" t="s">
        <v>142</v>
      </c>
      <c r="B1138" s="41" t="s">
        <v>634</v>
      </c>
      <c r="C1138" s="41">
        <v>33168</v>
      </c>
      <c r="D1138" s="41">
        <v>29389</v>
      </c>
      <c r="E1138" s="41">
        <f>66478-33168</f>
        <v>33310</v>
      </c>
      <c r="F1138" s="41">
        <f>54746-29389</f>
        <v>25357</v>
      </c>
      <c r="G1138" s="41">
        <f>99632-33310-33168</f>
        <v>33154</v>
      </c>
      <c r="H1138" s="41">
        <f>89756-F1138-D1138</f>
        <v>35010</v>
      </c>
    </row>
    <row r="1139" spans="1:8">
      <c r="A1139" s="30"/>
      <c r="B1139" s="30"/>
      <c r="C1139" s="30"/>
      <c r="D1139" s="30"/>
      <c r="E1139" s="30"/>
      <c r="F1139" s="30"/>
      <c r="G1139" s="30"/>
      <c r="H1139" s="30"/>
    </row>
    <row r="1145" spans="1:8" ht="23.25">
      <c r="A1145" s="3053" t="s">
        <v>3952</v>
      </c>
      <c r="B1145" s="3053"/>
      <c r="C1145" s="3053"/>
      <c r="D1145" s="3053"/>
      <c r="E1145" s="3053"/>
    </row>
    <row r="1146" spans="1:8" ht="20.25">
      <c r="A1146" s="450"/>
      <c r="B1146" s="450" t="s">
        <v>526</v>
      </c>
      <c r="C1146" s="450" t="s">
        <v>110</v>
      </c>
      <c r="D1146" s="450" t="s">
        <v>111</v>
      </c>
      <c r="E1146" s="450" t="s">
        <v>540</v>
      </c>
    </row>
    <row r="1147" spans="1:8" ht="20.25">
      <c r="A1147" s="450" t="s">
        <v>242</v>
      </c>
      <c r="B1147" s="450">
        <v>3704276</v>
      </c>
      <c r="C1147" s="450">
        <v>1187300</v>
      </c>
      <c r="D1147" s="450">
        <v>898512</v>
      </c>
      <c r="E1147" s="450">
        <v>632100</v>
      </c>
    </row>
    <row r="1148" spans="1:8" ht="20.25">
      <c r="A1148" s="450" t="s">
        <v>243</v>
      </c>
      <c r="B1148" s="450">
        <v>3851141</v>
      </c>
      <c r="C1148" s="450">
        <v>1298300</v>
      </c>
      <c r="D1148" s="450">
        <v>710693</v>
      </c>
      <c r="E1148" s="450">
        <v>744800</v>
      </c>
    </row>
    <row r="1149" spans="1:8" ht="20.25">
      <c r="A1149" s="450" t="s">
        <v>244</v>
      </c>
      <c r="B1149" s="450">
        <v>2974593</v>
      </c>
      <c r="C1149" s="450">
        <v>1177100</v>
      </c>
      <c r="D1149" s="450">
        <v>877723</v>
      </c>
      <c r="E1149" s="450">
        <v>488500</v>
      </c>
    </row>
    <row r="1150" spans="1:8" ht="20.25">
      <c r="A1150" s="450" t="s">
        <v>245</v>
      </c>
      <c r="B1150" s="450">
        <v>1623032</v>
      </c>
      <c r="C1150" s="450">
        <v>1026400</v>
      </c>
      <c r="D1150" s="450">
        <v>657410</v>
      </c>
      <c r="E1150" s="450">
        <v>623000</v>
      </c>
    </row>
    <row r="1151" spans="1:8" ht="20.25">
      <c r="A1151" s="450" t="s">
        <v>3951</v>
      </c>
      <c r="B1151" s="450">
        <v>3790219</v>
      </c>
      <c r="C1151" s="450">
        <v>1208200</v>
      </c>
      <c r="D1151" s="450">
        <v>879254</v>
      </c>
      <c r="E1151" s="450">
        <v>752200</v>
      </c>
    </row>
    <row r="1152" spans="1:8" ht="20.25">
      <c r="A1152" s="450" t="s">
        <v>247</v>
      </c>
      <c r="B1152" s="450">
        <v>4423913</v>
      </c>
      <c r="C1152" s="450">
        <v>681800</v>
      </c>
      <c r="D1152" s="450">
        <v>765543</v>
      </c>
      <c r="E1152" s="450">
        <v>659400</v>
      </c>
    </row>
    <row r="1153" spans="1:5" ht="20.25">
      <c r="A1153" s="450" t="s">
        <v>248</v>
      </c>
      <c r="B1153" s="450">
        <f>4343935+108122</f>
        <v>4452057</v>
      </c>
      <c r="C1153" s="450">
        <v>1160300</v>
      </c>
      <c r="D1153" s="450">
        <v>669714</v>
      </c>
      <c r="E1153" s="450">
        <v>650800</v>
      </c>
    </row>
    <row r="1154" spans="1:5" ht="20.25">
      <c r="A1154" s="450" t="s">
        <v>249</v>
      </c>
      <c r="B1154" s="450">
        <v>4143578</v>
      </c>
      <c r="C1154" s="450">
        <v>1385000</v>
      </c>
      <c r="D1154" s="450">
        <v>965141</v>
      </c>
      <c r="E1154" s="450">
        <v>697200</v>
      </c>
    </row>
    <row r="1155" spans="1:5" ht="20.25">
      <c r="A1155" s="450" t="s">
        <v>250</v>
      </c>
      <c r="B1155" s="450">
        <v>4226690</v>
      </c>
      <c r="C1155" s="450">
        <v>1313900</v>
      </c>
      <c r="D1155" s="450">
        <v>999782</v>
      </c>
      <c r="E1155" s="450">
        <v>724000</v>
      </c>
    </row>
    <row r="1156" spans="1:5" ht="20.25">
      <c r="A1156" s="450" t="s">
        <v>861</v>
      </c>
      <c r="B1156" s="450">
        <v>4420124</v>
      </c>
      <c r="C1156" s="450">
        <v>1461100</v>
      </c>
      <c r="D1156" s="450">
        <v>1075714</v>
      </c>
      <c r="E1156" s="450">
        <v>648100</v>
      </c>
    </row>
    <row r="1157" spans="1:5" ht="20.25">
      <c r="A1157" s="450" t="s">
        <v>862</v>
      </c>
      <c r="B1157" s="450">
        <v>4362278</v>
      </c>
      <c r="C1157" s="450">
        <v>1286100</v>
      </c>
      <c r="D1157" s="450">
        <v>920010</v>
      </c>
      <c r="E1157" s="450">
        <v>669900</v>
      </c>
    </row>
    <row r="1158" spans="1:5" ht="20.25">
      <c r="A1158" s="450" t="s">
        <v>863</v>
      </c>
      <c r="B1158" s="450">
        <v>4166757</v>
      </c>
      <c r="C1158" s="450">
        <v>1299200</v>
      </c>
      <c r="D1158" s="450">
        <v>999295</v>
      </c>
      <c r="E1158" s="450">
        <v>716600</v>
      </c>
    </row>
    <row r="1159" spans="1:5" ht="20.25">
      <c r="A1159" s="450"/>
      <c r="B1159" s="450">
        <f>SUM(B1147:B1158)</f>
        <v>46138658</v>
      </c>
      <c r="C1159" s="450">
        <f t="shared" ref="C1159:E1159" si="191">SUM(C1147:C1158)</f>
        <v>14484700</v>
      </c>
      <c r="D1159" s="450">
        <f t="shared" si="191"/>
        <v>10418791</v>
      </c>
      <c r="E1159" s="450">
        <f t="shared" si="191"/>
        <v>8006600</v>
      </c>
    </row>
    <row r="1166" spans="1:5" ht="23.25">
      <c r="A1166" s="3053" t="s">
        <v>3984</v>
      </c>
      <c r="B1166" s="3053"/>
      <c r="C1166" s="3053"/>
      <c r="D1166" s="3053"/>
      <c r="E1166" s="3053"/>
    </row>
    <row r="1167" spans="1:5" ht="20.25">
      <c r="A1167" s="450"/>
      <c r="B1167" s="450" t="s">
        <v>526</v>
      </c>
      <c r="C1167" s="450" t="s">
        <v>110</v>
      </c>
      <c r="D1167" s="450" t="s">
        <v>111</v>
      </c>
      <c r="E1167" s="450" t="s">
        <v>540</v>
      </c>
    </row>
    <row r="1168" spans="1:5" ht="20.25">
      <c r="A1168" s="450" t="s">
        <v>864</v>
      </c>
      <c r="B1168" s="450">
        <f>3157760+1862076</f>
        <v>5019836</v>
      </c>
      <c r="C1168" s="450">
        <v>1207000</v>
      </c>
      <c r="D1168" s="450">
        <f>651993+136360</f>
        <v>788353</v>
      </c>
      <c r="E1168" s="450">
        <v>600200</v>
      </c>
    </row>
    <row r="1169" spans="1:7" ht="20.25">
      <c r="A1169" s="450" t="s">
        <v>865</v>
      </c>
      <c r="B1169" s="450">
        <v>5004848</v>
      </c>
      <c r="C1169" s="450">
        <v>1318800</v>
      </c>
      <c r="D1169" s="450">
        <f>910836+205480</f>
        <v>1116316</v>
      </c>
      <c r="E1169" s="450">
        <v>743600</v>
      </c>
    </row>
    <row r="1170" spans="1:7" ht="20.25">
      <c r="A1170" s="450" t="s">
        <v>866</v>
      </c>
      <c r="B1170" s="450">
        <v>4673699</v>
      </c>
      <c r="C1170" s="450">
        <v>1229700</v>
      </c>
      <c r="D1170" s="450">
        <f>713684+139010</f>
        <v>852694</v>
      </c>
      <c r="E1170" s="450">
        <v>614900</v>
      </c>
    </row>
    <row r="1171" spans="1:7" ht="20.25">
      <c r="A1171" s="450" t="s">
        <v>867</v>
      </c>
      <c r="B1171" s="450">
        <f>41459+4844726</f>
        <v>4886185</v>
      </c>
      <c r="C1171" s="450">
        <v>1414400</v>
      </c>
      <c r="D1171" s="450">
        <f>1073978+188100</f>
        <v>1262078</v>
      </c>
      <c r="E1171" s="450">
        <v>691800</v>
      </c>
    </row>
    <row r="1172" spans="1:7" ht="20.25">
      <c r="A1172" s="450" t="s">
        <v>3985</v>
      </c>
      <c r="B1172" s="450">
        <f>4315675+3436020</f>
        <v>7751695</v>
      </c>
      <c r="C1172" s="450">
        <v>1510300</v>
      </c>
      <c r="D1172" s="450">
        <f>1267836+216550</f>
        <v>1484386</v>
      </c>
      <c r="E1172" s="450">
        <v>759300</v>
      </c>
    </row>
    <row r="1173" spans="1:7" ht="20.25">
      <c r="A1173" s="450" t="s">
        <v>315</v>
      </c>
      <c r="B1173" s="450">
        <f>2861700+3737007</f>
        <v>6598707</v>
      </c>
      <c r="C1173" s="450">
        <v>1342500</v>
      </c>
      <c r="D1173" s="450">
        <f>1633366+187800</f>
        <v>1821166</v>
      </c>
      <c r="E1173" s="450">
        <v>695600</v>
      </c>
      <c r="F1173">
        <f>112679+392534</f>
        <v>505213</v>
      </c>
    </row>
    <row r="1174" spans="1:7" ht="20.25">
      <c r="A1174" s="450" t="s">
        <v>305</v>
      </c>
      <c r="B1174" s="450">
        <f>4135867+1999785</f>
        <v>6135652</v>
      </c>
      <c r="C1174" s="450">
        <v>1279500</v>
      </c>
      <c r="D1174" s="450">
        <f>778964+183360</f>
        <v>962324</v>
      </c>
      <c r="E1174" s="450">
        <v>776600</v>
      </c>
    </row>
    <row r="1175" spans="1:7" ht="20.25">
      <c r="A1175" s="450" t="s">
        <v>3886</v>
      </c>
      <c r="B1175" s="450">
        <f>3678527+2206147</f>
        <v>5884674</v>
      </c>
      <c r="C1175" s="450">
        <v>1210500</v>
      </c>
      <c r="D1175" s="450">
        <f>417688+117090</f>
        <v>534778</v>
      </c>
      <c r="E1175" s="450">
        <v>632200</v>
      </c>
    </row>
    <row r="1176" spans="1:7" ht="20.25">
      <c r="A1176" s="450" t="s">
        <v>3941</v>
      </c>
      <c r="B1176" s="450">
        <f>2205797+2262699</f>
        <v>4468496</v>
      </c>
      <c r="C1176" s="450">
        <v>867700</v>
      </c>
      <c r="D1176" s="450">
        <f>308628+105160</f>
        <v>413788</v>
      </c>
      <c r="E1176" s="450">
        <v>662200</v>
      </c>
    </row>
    <row r="1177" spans="1:7" ht="20.25">
      <c r="A1177" s="450" t="s">
        <v>3949</v>
      </c>
      <c r="B1177" s="450">
        <f>249+4657951</f>
        <v>4658200</v>
      </c>
      <c r="C1177" s="450">
        <v>1424600</v>
      </c>
      <c r="D1177" s="450">
        <f>571884+127910</f>
        <v>699794</v>
      </c>
      <c r="E1177" s="450">
        <v>688400</v>
      </c>
    </row>
    <row r="1178" spans="1:7" ht="20.25">
      <c r="A1178" s="450" t="s">
        <v>3986</v>
      </c>
      <c r="B1178" s="450">
        <f>1420982+3581023</f>
        <v>5002005</v>
      </c>
      <c r="C1178" s="450">
        <v>1356500</v>
      </c>
      <c r="D1178" s="450">
        <f>825440+158120</f>
        <v>983560</v>
      </c>
      <c r="E1178" s="450">
        <v>633900</v>
      </c>
    </row>
    <row r="1179" spans="1:7" ht="20.25">
      <c r="A1179" s="450" t="s">
        <v>3987</v>
      </c>
      <c r="B1179" s="450">
        <f>2971566+2644437</f>
        <v>5616003</v>
      </c>
      <c r="C1179" s="450">
        <v>1375900</v>
      </c>
      <c r="D1179" s="450">
        <f>946148</f>
        <v>946148</v>
      </c>
      <c r="E1179" s="450">
        <v>866300</v>
      </c>
      <c r="F1179">
        <f>SUM(B1179:E1179)</f>
        <v>8804351</v>
      </c>
      <c r="G1179">
        <f>8804351-F1179</f>
        <v>0</v>
      </c>
    </row>
    <row r="1180" spans="1:7" ht="20.25">
      <c r="A1180" s="450"/>
      <c r="B1180" s="450">
        <f>SUM(B1168:B1179)</f>
        <v>65700000</v>
      </c>
      <c r="C1180" s="450">
        <f t="shared" ref="C1180:E1180" si="192">SUM(C1168:C1179)</f>
        <v>15537400</v>
      </c>
      <c r="D1180" s="450">
        <f t="shared" si="192"/>
        <v>11865385</v>
      </c>
      <c r="E1180" s="450">
        <f t="shared" si="192"/>
        <v>8365000</v>
      </c>
    </row>
    <row r="1194" spans="5:5">
      <c r="E1194" t="s">
        <v>3989</v>
      </c>
    </row>
  </sheetData>
  <mergeCells count="191">
    <mergeCell ref="A1111:E1111"/>
    <mergeCell ref="C1133:D1133"/>
    <mergeCell ref="E1133:F1133"/>
    <mergeCell ref="G1133:H1133"/>
    <mergeCell ref="B561:B562"/>
    <mergeCell ref="B584:B585"/>
    <mergeCell ref="B1093:G1094"/>
    <mergeCell ref="C601:C602"/>
    <mergeCell ref="B1016:Q1016"/>
    <mergeCell ref="B1023:R1023"/>
    <mergeCell ref="I584:I585"/>
    <mergeCell ref="L601:L602"/>
    <mergeCell ref="C583:L583"/>
    <mergeCell ref="B592:Q592"/>
    <mergeCell ref="N561:N562"/>
    <mergeCell ref="N565:N566"/>
    <mergeCell ref="Q584:Q585"/>
    <mergeCell ref="Q588:Q589"/>
    <mergeCell ref="F601:F602"/>
    <mergeCell ref="G561:G562"/>
    <mergeCell ref="G584:G585"/>
    <mergeCell ref="H561:H562"/>
    <mergeCell ref="H584:H585"/>
    <mergeCell ref="H601:H602"/>
    <mergeCell ref="B1033:Q1033"/>
    <mergeCell ref="B1046:Q1046"/>
    <mergeCell ref="I1078:J1078"/>
    <mergeCell ref="K1078:L1078"/>
    <mergeCell ref="B1076:G1077"/>
    <mergeCell ref="B973:Q973"/>
    <mergeCell ref="B981:Q981"/>
    <mergeCell ref="B1064:L1065"/>
    <mergeCell ref="E792:F792"/>
    <mergeCell ref="G792:H792"/>
    <mergeCell ref="I792:J792"/>
    <mergeCell ref="K792:L792"/>
    <mergeCell ref="M822:O822"/>
    <mergeCell ref="CC992:CG992"/>
    <mergeCell ref="B993:Q993"/>
    <mergeCell ref="B1000:Q1000"/>
    <mergeCell ref="B1009:Q1009"/>
    <mergeCell ref="EG931:EJ931"/>
    <mergeCell ref="EN931:EP931"/>
    <mergeCell ref="BX931:BZ931"/>
    <mergeCell ref="CD931:CF931"/>
    <mergeCell ref="CG931:CJ931"/>
    <mergeCell ref="CN931:CP931"/>
    <mergeCell ref="BL932:BM932"/>
    <mergeCell ref="CA932:CB932"/>
    <mergeCell ref="K961:L961"/>
    <mergeCell ref="DA931:DD931"/>
    <mergeCell ref="DH931:DJ931"/>
    <mergeCell ref="DK931:DN931"/>
    <mergeCell ref="DR931:DT931"/>
    <mergeCell ref="DU931:DX931"/>
    <mergeCell ref="ED931:EF931"/>
    <mergeCell ref="AI863:AL863"/>
    <mergeCell ref="CC929:CK929"/>
    <mergeCell ref="CM929:CU929"/>
    <mergeCell ref="CW929:DE929"/>
    <mergeCell ref="DG929:DO929"/>
    <mergeCell ref="DQ929:DY929"/>
    <mergeCell ref="EC929:EK929"/>
    <mergeCell ref="EM929:EU929"/>
    <mergeCell ref="AB931:AD931"/>
    <mergeCell ref="AE931:AG931"/>
    <mergeCell ref="AH931:AJ931"/>
    <mergeCell ref="AK931:AM931"/>
    <mergeCell ref="AN931:AP931"/>
    <mergeCell ref="AR931:AT931"/>
    <mergeCell ref="CQ931:CT931"/>
    <mergeCell ref="CX931:CZ931"/>
    <mergeCell ref="AV931:AX931"/>
    <mergeCell ref="BA931:BC931"/>
    <mergeCell ref="BD931:BF931"/>
    <mergeCell ref="BH931:BK931"/>
    <mergeCell ref="BO931:BQ931"/>
    <mergeCell ref="BR931:BU931"/>
    <mergeCell ref="EQ931:ET931"/>
    <mergeCell ref="AJ828:AM828"/>
    <mergeCell ref="A671:U671"/>
    <mergeCell ref="A686:U686"/>
    <mergeCell ref="B744:L744"/>
    <mergeCell ref="B790:L790"/>
    <mergeCell ref="C792:D792"/>
    <mergeCell ref="AD829:AG829"/>
    <mergeCell ref="AV835:AZ835"/>
    <mergeCell ref="AC801:AC803"/>
    <mergeCell ref="AC795:AD795"/>
    <mergeCell ref="CC615:CD615"/>
    <mergeCell ref="CE615:CF615"/>
    <mergeCell ref="A627:U627"/>
    <mergeCell ref="A636:U636"/>
    <mergeCell ref="A644:U644"/>
    <mergeCell ref="A657:U657"/>
    <mergeCell ref="AE795:AF795"/>
    <mergeCell ref="B805:J805"/>
    <mergeCell ref="B814:J814"/>
    <mergeCell ref="N728:Q728"/>
    <mergeCell ref="C600:I600"/>
    <mergeCell ref="B609:L609"/>
    <mergeCell ref="A615:U615"/>
    <mergeCell ref="CA615:CB615"/>
    <mergeCell ref="D584:D585"/>
    <mergeCell ref="D601:D602"/>
    <mergeCell ref="E584:E585"/>
    <mergeCell ref="E601:E602"/>
    <mergeCell ref="B601:B602"/>
    <mergeCell ref="C584:C585"/>
    <mergeCell ref="G601:G602"/>
    <mergeCell ref="M601:M602"/>
    <mergeCell ref="Y494:AC494"/>
    <mergeCell ref="B497:I497"/>
    <mergeCell ref="C498:D498"/>
    <mergeCell ref="E498:G498"/>
    <mergeCell ref="H498:I498"/>
    <mergeCell ref="A511:V511"/>
    <mergeCell ref="C560:L560"/>
    <mergeCell ref="B569:N569"/>
    <mergeCell ref="D561:D562"/>
    <mergeCell ref="E561:E562"/>
    <mergeCell ref="I561:I562"/>
    <mergeCell ref="C561:C562"/>
    <mergeCell ref="K531:K532"/>
    <mergeCell ref="K537:K538"/>
    <mergeCell ref="K541:K542"/>
    <mergeCell ref="K545:K546"/>
    <mergeCell ref="A335:V335"/>
    <mergeCell ref="A346:V346"/>
    <mergeCell ref="A463:U463"/>
    <mergeCell ref="A475:U475"/>
    <mergeCell ref="A486:E486"/>
    <mergeCell ref="B489:I489"/>
    <mergeCell ref="C490:D490"/>
    <mergeCell ref="E490:G490"/>
    <mergeCell ref="H490:I490"/>
    <mergeCell ref="A361:V361"/>
    <mergeCell ref="A374:V374"/>
    <mergeCell ref="A389:V389"/>
    <mergeCell ref="A402:V402"/>
    <mergeCell ref="A214:R214"/>
    <mergeCell ref="A230:R230"/>
    <mergeCell ref="A245:R245"/>
    <mergeCell ref="A256:R256"/>
    <mergeCell ref="A269:R269"/>
    <mergeCell ref="A283:V283"/>
    <mergeCell ref="A294:V294"/>
    <mergeCell ref="A307:V307"/>
    <mergeCell ref="A322:V322"/>
    <mergeCell ref="B191:R191"/>
    <mergeCell ref="B192:D192"/>
    <mergeCell ref="E192:H192"/>
    <mergeCell ref="I192:N192"/>
    <mergeCell ref="P192:R192"/>
    <mergeCell ref="U192:W192"/>
    <mergeCell ref="Y192:AA192"/>
    <mergeCell ref="AB192:AF192"/>
    <mergeCell ref="A199:R199"/>
    <mergeCell ref="W136:Y136"/>
    <mergeCell ref="Z136:AA136"/>
    <mergeCell ref="A154:P154"/>
    <mergeCell ref="B171:Q171"/>
    <mergeCell ref="B184:L184"/>
    <mergeCell ref="B185:C185"/>
    <mergeCell ref="D185:E185"/>
    <mergeCell ref="G185:H185"/>
    <mergeCell ref="I185:L185"/>
    <mergeCell ref="A1166:E1166"/>
    <mergeCell ref="A1145:E1145"/>
    <mergeCell ref="AE1:AI1"/>
    <mergeCell ref="AT1:BA1"/>
    <mergeCell ref="AE28:AI28"/>
    <mergeCell ref="A49:U49"/>
    <mergeCell ref="AE58:AI58"/>
    <mergeCell ref="A59:U59"/>
    <mergeCell ref="A67:U67"/>
    <mergeCell ref="A75:U75"/>
    <mergeCell ref="AY28:AZ28"/>
    <mergeCell ref="BA28:BB28"/>
    <mergeCell ref="AE82:AI82"/>
    <mergeCell ref="A86:B86"/>
    <mergeCell ref="B96:F96"/>
    <mergeCell ref="AC106:AG106"/>
    <mergeCell ref="AC107:AG107"/>
    <mergeCell ref="AC113:AG113"/>
    <mergeCell ref="AC114:AG114"/>
    <mergeCell ref="AC125:AF125"/>
    <mergeCell ref="B134:I134"/>
    <mergeCell ref="R135:AA135"/>
    <mergeCell ref="AC135:AF135"/>
    <mergeCell ref="U136:V136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T65"/>
  <sheetViews>
    <sheetView topLeftCell="A37" zoomScaleSheetLayoutView="100" workbookViewId="0">
      <selection activeCell="L20" sqref="L20"/>
    </sheetView>
  </sheetViews>
  <sheetFormatPr defaultColWidth="9" defaultRowHeight="12.75"/>
  <cols>
    <col min="3" max="3" width="19.140625" customWidth="1"/>
    <col min="4" max="4" width="16.42578125" customWidth="1"/>
    <col min="5" max="5" width="18.7109375" customWidth="1"/>
    <col min="6" max="6" width="19.42578125" style="27" customWidth="1"/>
    <col min="13" max="13" width="13.28515625" customWidth="1"/>
    <col min="14" max="14" width="11.85546875" customWidth="1"/>
    <col min="17" max="17" width="14.5703125" customWidth="1"/>
    <col min="18" max="18" width="20.140625" customWidth="1"/>
  </cols>
  <sheetData>
    <row r="2" spans="2:20" ht="13.5" thickBot="1"/>
    <row r="3" spans="2:20" ht="15.75">
      <c r="B3" s="2706" t="s">
        <v>4178</v>
      </c>
      <c r="C3" s="121"/>
      <c r="D3" s="121"/>
      <c r="E3" s="121"/>
      <c r="F3" s="2703"/>
      <c r="G3" s="121"/>
      <c r="H3" s="122"/>
      <c r="L3" s="550" t="s">
        <v>4179</v>
      </c>
      <c r="M3" s="13"/>
      <c r="N3" s="13"/>
      <c r="O3" s="13"/>
      <c r="P3" s="2704"/>
      <c r="Q3" s="13"/>
      <c r="R3" s="13"/>
      <c r="S3" s="13"/>
      <c r="T3" s="13"/>
    </row>
    <row r="4" spans="2:20" ht="15.75">
      <c r="B4" s="2523"/>
      <c r="C4" s="13"/>
      <c r="D4" s="13"/>
      <c r="E4" s="13"/>
      <c r="F4" s="2704"/>
      <c r="G4" s="13"/>
      <c r="H4" s="43"/>
      <c r="L4" s="13"/>
      <c r="M4" s="13"/>
      <c r="N4" s="13"/>
      <c r="O4" s="13"/>
      <c r="P4" s="13"/>
      <c r="Q4" s="13"/>
      <c r="R4" s="13"/>
      <c r="S4" s="13"/>
      <c r="T4" s="13"/>
    </row>
    <row r="5" spans="2:20">
      <c r="B5" s="309"/>
      <c r="C5" s="13"/>
      <c r="D5" s="13"/>
      <c r="E5" s="13"/>
      <c r="F5" s="2704"/>
      <c r="G5" s="13"/>
      <c r="H5" s="43"/>
      <c r="L5" s="13"/>
      <c r="M5" s="13"/>
      <c r="N5" s="13"/>
      <c r="O5" s="13"/>
      <c r="P5" s="13"/>
      <c r="Q5" s="13"/>
      <c r="R5" s="13"/>
      <c r="S5" s="13"/>
      <c r="T5" s="13"/>
    </row>
    <row r="6" spans="2:20">
      <c r="B6" s="309"/>
      <c r="C6" s="3068" t="s">
        <v>3604</v>
      </c>
      <c r="D6" s="3068"/>
      <c r="E6" s="3068" t="s">
        <v>3605</v>
      </c>
      <c r="F6" s="3068"/>
      <c r="G6" s="13"/>
      <c r="H6" s="43"/>
      <c r="L6" s="13"/>
      <c r="M6" s="3068" t="s">
        <v>4175</v>
      </c>
      <c r="N6" s="3068"/>
      <c r="O6" s="3068"/>
      <c r="P6" s="3068"/>
      <c r="Q6" s="1023" t="s">
        <v>4176</v>
      </c>
      <c r="R6" s="1023"/>
      <c r="S6" s="1023"/>
      <c r="T6" s="1023"/>
    </row>
    <row r="7" spans="2:20" ht="15">
      <c r="B7" s="309"/>
      <c r="C7" s="51" t="s">
        <v>308</v>
      </c>
      <c r="D7" s="51" t="s">
        <v>2337</v>
      </c>
      <c r="E7" s="51" t="s">
        <v>308</v>
      </c>
      <c r="F7" s="51" t="s">
        <v>2337</v>
      </c>
      <c r="G7" s="13"/>
      <c r="H7" s="43"/>
      <c r="L7" s="13"/>
      <c r="M7" s="13"/>
      <c r="N7" s="13"/>
      <c r="O7" s="13"/>
      <c r="P7" s="13"/>
      <c r="Q7" s="13"/>
      <c r="R7" s="13"/>
      <c r="S7" s="13"/>
      <c r="T7" s="13"/>
    </row>
    <row r="8" spans="2:20" ht="18">
      <c r="B8" s="309"/>
      <c r="C8" s="259" t="s">
        <v>3606</v>
      </c>
      <c r="D8" s="259">
        <v>11183</v>
      </c>
      <c r="E8" s="259" t="s">
        <v>2036</v>
      </c>
      <c r="F8" s="259">
        <v>10314</v>
      </c>
      <c r="G8" s="263"/>
      <c r="H8" s="364"/>
      <c r="L8" s="259"/>
      <c r="M8" s="259" t="s">
        <v>308</v>
      </c>
      <c r="N8" s="259" t="s">
        <v>2337</v>
      </c>
      <c r="O8" s="259"/>
      <c r="P8" s="259"/>
      <c r="Q8" s="259" t="s">
        <v>308</v>
      </c>
      <c r="R8" s="259" t="s">
        <v>2337</v>
      </c>
      <c r="S8" s="13"/>
      <c r="T8" s="13"/>
    </row>
    <row r="9" spans="2:20" ht="18">
      <c r="B9" s="309"/>
      <c r="C9" s="259" t="s">
        <v>3607</v>
      </c>
      <c r="D9" s="259">
        <v>10182</v>
      </c>
      <c r="E9" s="259" t="s">
        <v>3606</v>
      </c>
      <c r="F9" s="259">
        <v>11036</v>
      </c>
      <c r="G9" s="263"/>
      <c r="H9" s="364"/>
      <c r="L9" s="259"/>
      <c r="M9" s="259" t="s">
        <v>3986</v>
      </c>
      <c r="N9" s="259">
        <v>10047</v>
      </c>
      <c r="O9" s="259"/>
      <c r="P9" s="259"/>
      <c r="Q9" s="259" t="s">
        <v>3949</v>
      </c>
      <c r="R9" s="259">
        <v>10009</v>
      </c>
      <c r="S9" s="13"/>
      <c r="T9" s="13"/>
    </row>
    <row r="10" spans="2:20" ht="18">
      <c r="B10" s="309"/>
      <c r="C10" s="259" t="s">
        <v>69</v>
      </c>
      <c r="D10" s="259">
        <v>10032</v>
      </c>
      <c r="E10" s="259" t="s">
        <v>3608</v>
      </c>
      <c r="F10" s="259">
        <v>11305</v>
      </c>
      <c r="G10" s="263"/>
      <c r="H10" s="364"/>
      <c r="L10" s="259"/>
      <c r="M10" s="259" t="s">
        <v>86</v>
      </c>
      <c r="N10" s="259">
        <v>10209</v>
      </c>
      <c r="O10" s="259"/>
      <c r="P10" s="259"/>
      <c r="Q10" s="259" t="s">
        <v>88</v>
      </c>
      <c r="R10" s="259">
        <v>10014</v>
      </c>
      <c r="S10" s="13"/>
      <c r="T10" s="13"/>
    </row>
    <row r="11" spans="2:20" ht="18">
      <c r="B11" s="309"/>
      <c r="C11" s="259" t="s">
        <v>71</v>
      </c>
      <c r="D11" s="259">
        <v>10107</v>
      </c>
      <c r="E11" s="259" t="s">
        <v>68</v>
      </c>
      <c r="F11" s="259">
        <v>12118</v>
      </c>
      <c r="G11" s="263"/>
      <c r="H11" s="364"/>
      <c r="L11" s="259"/>
      <c r="M11" s="259" t="s">
        <v>250</v>
      </c>
      <c r="N11" s="259">
        <v>10248</v>
      </c>
      <c r="O11" s="259"/>
      <c r="P11" s="259"/>
      <c r="Q11" s="259" t="s">
        <v>198</v>
      </c>
      <c r="R11" s="259">
        <v>10041</v>
      </c>
      <c r="S11" s="13"/>
      <c r="T11" s="13"/>
    </row>
    <row r="12" spans="2:20" ht="18">
      <c r="B12" s="309"/>
      <c r="C12" s="259" t="s">
        <v>72</v>
      </c>
      <c r="D12" s="259">
        <v>10524</v>
      </c>
      <c r="E12" s="259" t="s">
        <v>72</v>
      </c>
      <c r="F12" s="259">
        <v>12424</v>
      </c>
      <c r="G12" s="263"/>
      <c r="H12" s="364"/>
      <c r="L12" s="259"/>
      <c r="M12" s="259" t="s">
        <v>305</v>
      </c>
      <c r="N12" s="259">
        <v>10248</v>
      </c>
      <c r="O12" s="259"/>
      <c r="P12" s="259"/>
      <c r="Q12" s="259" t="s">
        <v>204</v>
      </c>
      <c r="R12" s="259">
        <v>10075</v>
      </c>
      <c r="S12" s="13"/>
      <c r="T12" s="13"/>
    </row>
    <row r="13" spans="2:20" ht="18">
      <c r="B13" s="309"/>
      <c r="C13" s="259" t="s">
        <v>75</v>
      </c>
      <c r="D13" s="259">
        <v>10350</v>
      </c>
      <c r="E13" s="259" t="s">
        <v>73</v>
      </c>
      <c r="F13" s="259">
        <v>10124</v>
      </c>
      <c r="G13" s="263"/>
      <c r="H13" s="364"/>
      <c r="L13" s="259"/>
      <c r="M13" s="259" t="s">
        <v>87</v>
      </c>
      <c r="N13" s="259">
        <v>10298</v>
      </c>
      <c r="O13" s="259"/>
      <c r="P13" s="259"/>
      <c r="Q13" s="259" t="s">
        <v>91</v>
      </c>
      <c r="R13" s="259">
        <v>10183</v>
      </c>
      <c r="S13" s="13"/>
      <c r="T13" s="13"/>
    </row>
    <row r="14" spans="2:20" ht="18">
      <c r="B14" s="309"/>
      <c r="C14" s="259" t="s">
        <v>93</v>
      </c>
      <c r="D14" s="259">
        <v>10569</v>
      </c>
      <c r="E14" s="259" t="s">
        <v>77</v>
      </c>
      <c r="F14" s="259">
        <v>10320</v>
      </c>
      <c r="G14" s="263"/>
      <c r="H14" s="364"/>
      <c r="L14" s="259"/>
      <c r="M14" s="259" t="s">
        <v>4137</v>
      </c>
      <c r="N14" s="259">
        <v>10488</v>
      </c>
      <c r="O14" s="259"/>
      <c r="P14" s="259"/>
      <c r="Q14" s="259" t="s">
        <v>176</v>
      </c>
      <c r="R14" s="259">
        <v>10205</v>
      </c>
      <c r="S14" s="13"/>
      <c r="T14" s="13"/>
    </row>
    <row r="15" spans="2:20" ht="18">
      <c r="B15" s="309"/>
      <c r="C15" s="259" t="s">
        <v>86</v>
      </c>
      <c r="D15" s="259">
        <v>10079</v>
      </c>
      <c r="E15" s="259" t="s">
        <v>93</v>
      </c>
      <c r="F15" s="259">
        <v>13546</v>
      </c>
      <c r="G15" s="263"/>
      <c r="H15" s="364"/>
      <c r="L15" s="259"/>
      <c r="M15" s="259" t="s">
        <v>864</v>
      </c>
      <c r="N15" s="259">
        <v>10500</v>
      </c>
      <c r="O15" s="259"/>
      <c r="P15" s="259"/>
      <c r="Q15" s="259" t="s">
        <v>3607</v>
      </c>
      <c r="R15" s="259">
        <v>10216</v>
      </c>
      <c r="S15" s="13"/>
      <c r="T15" s="13"/>
    </row>
    <row r="16" spans="2:20" ht="18">
      <c r="B16" s="309"/>
      <c r="C16" s="259" t="s">
        <v>96</v>
      </c>
      <c r="D16" s="259">
        <v>10023</v>
      </c>
      <c r="E16" s="259" t="s">
        <v>86</v>
      </c>
      <c r="F16" s="259">
        <v>10245</v>
      </c>
      <c r="G16" s="263"/>
      <c r="H16" s="364"/>
      <c r="L16" s="259"/>
      <c r="M16" s="259" t="s">
        <v>2038</v>
      </c>
      <c r="N16" s="259">
        <v>10576</v>
      </c>
      <c r="O16" s="259"/>
      <c r="P16" s="259"/>
      <c r="Q16" s="259" t="s">
        <v>194</v>
      </c>
      <c r="R16" s="259">
        <v>10301</v>
      </c>
      <c r="S16" s="13"/>
      <c r="T16" s="13"/>
    </row>
    <row r="17" spans="2:20" ht="18">
      <c r="B17" s="309"/>
      <c r="C17" s="259" t="s">
        <v>218</v>
      </c>
      <c r="D17" s="259">
        <v>10633</v>
      </c>
      <c r="E17" s="259" t="s">
        <v>195</v>
      </c>
      <c r="F17" s="259">
        <v>10286</v>
      </c>
      <c r="G17" s="263"/>
      <c r="H17" s="364"/>
      <c r="L17" s="259"/>
      <c r="M17" s="259" t="s">
        <v>3987</v>
      </c>
      <c r="N17" s="259">
        <v>10668</v>
      </c>
      <c r="O17" s="259"/>
      <c r="P17" s="259"/>
      <c r="Q17" s="259" t="s">
        <v>240</v>
      </c>
      <c r="R17" s="259">
        <v>10310</v>
      </c>
      <c r="S17" s="13"/>
      <c r="T17" s="13"/>
    </row>
    <row r="18" spans="2:20" ht="18">
      <c r="B18" s="309"/>
      <c r="C18" s="259" t="s">
        <v>219</v>
      </c>
      <c r="D18" s="259">
        <v>10066</v>
      </c>
      <c r="E18" s="259" t="s">
        <v>208</v>
      </c>
      <c r="F18" s="259">
        <v>10357</v>
      </c>
      <c r="G18" s="263"/>
      <c r="H18" s="364"/>
      <c r="L18" s="259"/>
      <c r="M18" s="259" t="s">
        <v>2034</v>
      </c>
      <c r="N18" s="259">
        <v>10776</v>
      </c>
      <c r="O18" s="259"/>
      <c r="P18" s="259"/>
      <c r="Q18" s="259" t="s">
        <v>3886</v>
      </c>
      <c r="R18" s="259">
        <v>10340</v>
      </c>
      <c r="S18" s="13"/>
      <c r="T18" s="13"/>
    </row>
    <row r="19" spans="2:20" ht="18">
      <c r="B19" s="309"/>
      <c r="C19" s="259" t="s">
        <v>220</v>
      </c>
      <c r="D19" s="259">
        <v>10307</v>
      </c>
      <c r="E19" s="259" t="s">
        <v>210</v>
      </c>
      <c r="F19" s="259">
        <v>10019</v>
      </c>
      <c r="G19" s="263"/>
      <c r="H19" s="364"/>
      <c r="L19" s="259"/>
      <c r="M19" s="259" t="s">
        <v>865</v>
      </c>
      <c r="N19" s="259">
        <v>10786</v>
      </c>
      <c r="O19" s="259"/>
      <c r="P19" s="259"/>
      <c r="Q19" s="259" t="s">
        <v>3606</v>
      </c>
      <c r="R19" s="259">
        <v>10403</v>
      </c>
      <c r="S19" s="13"/>
      <c r="T19" s="13"/>
    </row>
    <row r="20" spans="2:20" ht="18">
      <c r="B20" s="309"/>
      <c r="C20" s="259" t="s">
        <v>221</v>
      </c>
      <c r="D20" s="259">
        <v>11216</v>
      </c>
      <c r="E20" s="259" t="s">
        <v>220</v>
      </c>
      <c r="F20" s="259">
        <v>10894</v>
      </c>
      <c r="G20" s="263"/>
      <c r="H20" s="364"/>
      <c r="L20" s="259"/>
      <c r="M20" s="259" t="s">
        <v>862</v>
      </c>
      <c r="N20" s="259">
        <v>10848</v>
      </c>
      <c r="O20" s="259"/>
      <c r="P20" s="259"/>
      <c r="Q20" s="259" t="s">
        <v>3608</v>
      </c>
      <c r="R20" s="259">
        <v>10404</v>
      </c>
      <c r="S20" s="13"/>
      <c r="T20" s="13"/>
    </row>
    <row r="21" spans="2:20" ht="18">
      <c r="B21" s="309"/>
      <c r="C21" s="263" t="s">
        <v>222</v>
      </c>
      <c r="D21" s="2705">
        <v>10222</v>
      </c>
      <c r="E21" s="263" t="s">
        <v>221</v>
      </c>
      <c r="F21" s="2705">
        <v>11279</v>
      </c>
      <c r="G21" s="263"/>
      <c r="H21" s="364"/>
      <c r="L21" s="259"/>
      <c r="M21" s="259" t="s">
        <v>867</v>
      </c>
      <c r="N21" s="259">
        <v>11073</v>
      </c>
      <c r="O21" s="259"/>
      <c r="P21" s="259"/>
      <c r="Q21" s="259" t="s">
        <v>247</v>
      </c>
      <c r="R21" s="259">
        <v>10415</v>
      </c>
      <c r="S21" s="13"/>
      <c r="T21" s="13"/>
    </row>
    <row r="22" spans="2:20" ht="18">
      <c r="B22" s="309"/>
      <c r="C22" s="263" t="s">
        <v>726</v>
      </c>
      <c r="D22" s="2705">
        <v>10670</v>
      </c>
      <c r="E22" s="263" t="s">
        <v>223</v>
      </c>
      <c r="F22" s="2705">
        <v>12500</v>
      </c>
      <c r="G22" s="263"/>
      <c r="H22" s="364"/>
      <c r="L22" s="259"/>
      <c r="M22" s="259" t="s">
        <v>861</v>
      </c>
      <c r="N22" s="259">
        <v>11258</v>
      </c>
      <c r="O22" s="259"/>
      <c r="P22" s="259"/>
      <c r="Q22" s="259" t="s">
        <v>248</v>
      </c>
      <c r="R22" s="259">
        <v>10433</v>
      </c>
      <c r="S22" s="13"/>
      <c r="T22" s="13"/>
    </row>
    <row r="23" spans="2:20" ht="18">
      <c r="B23" s="309"/>
      <c r="C23" s="263" t="s">
        <v>226</v>
      </c>
      <c r="D23" s="2705">
        <v>10002</v>
      </c>
      <c r="E23" s="263" t="s">
        <v>239</v>
      </c>
      <c r="F23" s="2705">
        <v>10347</v>
      </c>
      <c r="G23" s="263"/>
      <c r="H23" s="364"/>
      <c r="L23" s="259"/>
      <c r="M23" s="259" t="s">
        <v>863</v>
      </c>
      <c r="N23" s="259">
        <v>11947</v>
      </c>
      <c r="O23" s="259"/>
      <c r="P23" s="259"/>
      <c r="Q23" s="259" t="s">
        <v>213</v>
      </c>
      <c r="R23" s="259">
        <v>10571</v>
      </c>
      <c r="S23" s="13"/>
      <c r="T23" s="13"/>
    </row>
    <row r="24" spans="2:20" ht="18">
      <c r="B24" s="309"/>
      <c r="C24" s="263" t="s">
        <v>227</v>
      </c>
      <c r="D24" s="2705">
        <v>10004</v>
      </c>
      <c r="E24" s="263" t="s">
        <v>3609</v>
      </c>
      <c r="F24" s="2705">
        <v>11250</v>
      </c>
      <c r="G24" s="263"/>
      <c r="H24" s="364"/>
      <c r="L24" s="259"/>
      <c r="M24" s="259" t="s">
        <v>315</v>
      </c>
      <c r="N24" s="259">
        <v>12086</v>
      </c>
      <c r="O24" s="259"/>
      <c r="P24" s="259"/>
      <c r="Q24" s="259" t="s">
        <v>74</v>
      </c>
      <c r="R24" s="259">
        <v>10652</v>
      </c>
      <c r="S24" s="13"/>
      <c r="T24" s="13"/>
    </row>
    <row r="25" spans="2:20" ht="18">
      <c r="B25" s="309"/>
      <c r="C25" s="263" t="s">
        <v>239</v>
      </c>
      <c r="D25" s="2705">
        <v>10013</v>
      </c>
      <c r="E25" s="263" t="s">
        <v>242</v>
      </c>
      <c r="F25" s="2705">
        <v>10611</v>
      </c>
      <c r="G25" s="263"/>
      <c r="H25" s="364"/>
      <c r="L25" s="259"/>
      <c r="M25" s="259" t="s">
        <v>868</v>
      </c>
      <c r="N25" s="259">
        <v>13476</v>
      </c>
      <c r="O25" s="259"/>
      <c r="P25" s="259"/>
      <c r="Q25" s="259" t="s">
        <v>2035</v>
      </c>
      <c r="R25" s="259">
        <v>10661</v>
      </c>
      <c r="S25" s="13"/>
      <c r="T25" s="13"/>
    </row>
    <row r="26" spans="2:20" ht="18">
      <c r="B26" s="309"/>
      <c r="C26" s="263" t="s">
        <v>242</v>
      </c>
      <c r="D26" s="2705">
        <v>10001</v>
      </c>
      <c r="E26" s="263" t="s">
        <v>245</v>
      </c>
      <c r="F26" s="2705">
        <v>10085</v>
      </c>
      <c r="G26" s="263"/>
      <c r="H26" s="364"/>
      <c r="L26" s="259"/>
      <c r="M26" s="259"/>
      <c r="N26" s="259"/>
      <c r="O26" s="259"/>
      <c r="P26" s="259"/>
      <c r="Q26" s="259" t="s">
        <v>216</v>
      </c>
      <c r="R26" s="259">
        <v>10773</v>
      </c>
      <c r="S26" s="13"/>
      <c r="T26" s="13"/>
    </row>
    <row r="27" spans="2:20" ht="18">
      <c r="B27" s="309"/>
      <c r="C27" s="2705" t="s">
        <v>244</v>
      </c>
      <c r="D27" s="2705">
        <v>10370</v>
      </c>
      <c r="E27" s="263" t="s">
        <v>246</v>
      </c>
      <c r="F27" s="2705">
        <v>10198</v>
      </c>
      <c r="G27" s="263"/>
      <c r="H27" s="364"/>
      <c r="L27" s="259"/>
      <c r="M27" s="259"/>
      <c r="N27" s="259"/>
      <c r="O27" s="259"/>
      <c r="P27" s="259"/>
      <c r="Q27" s="259" t="s">
        <v>225</v>
      </c>
      <c r="R27" s="259">
        <v>10784</v>
      </c>
      <c r="S27" s="13"/>
      <c r="T27" s="13"/>
    </row>
    <row r="28" spans="2:20" ht="18">
      <c r="B28" s="309"/>
      <c r="C28" s="2705" t="s">
        <v>246</v>
      </c>
      <c r="D28" s="2705">
        <v>10030</v>
      </c>
      <c r="E28" s="263" t="s">
        <v>250</v>
      </c>
      <c r="F28" s="2705">
        <v>10950</v>
      </c>
      <c r="G28" s="263"/>
      <c r="H28" s="364"/>
      <c r="L28" s="259"/>
      <c r="M28" s="259"/>
      <c r="N28" s="259"/>
      <c r="O28" s="259"/>
      <c r="P28" s="259"/>
      <c r="Q28" s="259" t="s">
        <v>864</v>
      </c>
      <c r="R28" s="259">
        <v>10800</v>
      </c>
      <c r="S28" s="13"/>
      <c r="T28" s="13"/>
    </row>
    <row r="29" spans="2:20" ht="18">
      <c r="B29" s="309"/>
      <c r="C29" s="2705" t="s">
        <v>248</v>
      </c>
      <c r="D29" s="2705">
        <v>10482</v>
      </c>
      <c r="E29" s="263" t="s">
        <v>862</v>
      </c>
      <c r="F29" s="2705">
        <v>10233</v>
      </c>
      <c r="G29" s="263"/>
      <c r="H29" s="364"/>
      <c r="L29" s="259"/>
      <c r="M29" s="259"/>
      <c r="N29" s="259"/>
      <c r="O29" s="259"/>
      <c r="P29" s="259"/>
      <c r="Q29" s="259" t="s">
        <v>224</v>
      </c>
      <c r="R29" s="259">
        <v>10882</v>
      </c>
      <c r="S29" s="13"/>
      <c r="T29" s="13"/>
    </row>
    <row r="30" spans="2:20" ht="18">
      <c r="B30" s="309"/>
      <c r="C30" s="2705" t="s">
        <v>730</v>
      </c>
      <c r="D30" s="2705">
        <v>10138</v>
      </c>
      <c r="E30" s="263" t="s">
        <v>863</v>
      </c>
      <c r="F30" s="2705">
        <v>11910</v>
      </c>
      <c r="G30" s="263"/>
      <c r="H30" s="364"/>
      <c r="L30" s="259"/>
      <c r="M30" s="259"/>
      <c r="N30" s="259"/>
      <c r="O30" s="259"/>
      <c r="P30" s="259"/>
      <c r="Q30" s="259" t="s">
        <v>76</v>
      </c>
      <c r="R30" s="259">
        <v>10899</v>
      </c>
      <c r="S30" s="13"/>
      <c r="T30" s="13"/>
    </row>
    <row r="31" spans="2:20" ht="18">
      <c r="B31" s="309"/>
      <c r="C31" s="369" t="s">
        <v>250</v>
      </c>
      <c r="D31" s="2702">
        <v>10445</v>
      </c>
      <c r="E31" s="11" t="s">
        <v>865</v>
      </c>
      <c r="F31" s="2702">
        <v>10644</v>
      </c>
      <c r="G31" s="11"/>
      <c r="H31" s="248"/>
      <c r="L31" s="259"/>
      <c r="M31" s="259"/>
      <c r="N31" s="259"/>
      <c r="O31" s="259"/>
      <c r="P31" s="259"/>
      <c r="Q31" s="259" t="s">
        <v>202</v>
      </c>
      <c r="R31" s="259">
        <v>10919</v>
      </c>
      <c r="S31" s="13"/>
      <c r="T31" s="13"/>
    </row>
    <row r="32" spans="2:20" ht="18">
      <c r="B32" s="309"/>
      <c r="C32" s="2702" t="s">
        <v>861</v>
      </c>
      <c r="D32" s="2702">
        <v>10803</v>
      </c>
      <c r="E32" s="11" t="s">
        <v>867</v>
      </c>
      <c r="F32" s="2702">
        <v>10757</v>
      </c>
      <c r="G32" s="11"/>
      <c r="H32" s="248"/>
      <c r="L32" s="259"/>
      <c r="M32" s="259"/>
      <c r="N32" s="259"/>
      <c r="O32" s="259"/>
      <c r="P32" s="259"/>
      <c r="Q32" s="259" t="s">
        <v>4177</v>
      </c>
      <c r="R32" s="259">
        <v>11058</v>
      </c>
      <c r="S32" s="13"/>
      <c r="T32" s="13"/>
    </row>
    <row r="33" spans="2:20" ht="18">
      <c r="B33" s="309"/>
      <c r="C33" s="369" t="s">
        <v>862</v>
      </c>
      <c r="D33" s="2702">
        <v>10678</v>
      </c>
      <c r="E33" s="11" t="s">
        <v>868</v>
      </c>
      <c r="F33" s="2702">
        <v>11385</v>
      </c>
      <c r="G33" s="140"/>
      <c r="H33" s="169"/>
      <c r="L33" s="259"/>
      <c r="M33" s="259"/>
      <c r="N33" s="259"/>
      <c r="O33" s="259"/>
      <c r="P33" s="259"/>
      <c r="Q33" s="259" t="s">
        <v>77</v>
      </c>
      <c r="R33" s="259">
        <v>11106</v>
      </c>
      <c r="S33" s="13"/>
      <c r="T33" s="13"/>
    </row>
    <row r="34" spans="2:20" ht="18">
      <c r="B34" s="309"/>
      <c r="C34" s="369" t="s">
        <v>863</v>
      </c>
      <c r="D34" s="2702">
        <v>11364</v>
      </c>
      <c r="E34" s="11" t="s">
        <v>315</v>
      </c>
      <c r="F34" s="2702">
        <v>10288</v>
      </c>
      <c r="G34" s="140"/>
      <c r="H34" s="169"/>
      <c r="L34" s="259"/>
      <c r="M34" s="259"/>
      <c r="N34" s="259"/>
      <c r="O34" s="259"/>
      <c r="P34" s="259"/>
      <c r="Q34" s="259" t="s">
        <v>209</v>
      </c>
      <c r="R34" s="259">
        <v>11107</v>
      </c>
      <c r="S34" s="13"/>
      <c r="T34" s="13"/>
    </row>
    <row r="35" spans="2:20" ht="18">
      <c r="B35" s="309"/>
      <c r="C35" s="369" t="s">
        <v>865</v>
      </c>
      <c r="D35" s="2702">
        <v>10885</v>
      </c>
      <c r="E35" s="11" t="s">
        <v>3986</v>
      </c>
      <c r="F35" s="2702">
        <v>11791</v>
      </c>
      <c r="G35" s="13"/>
      <c r="H35" s="43"/>
      <c r="L35" s="259"/>
      <c r="M35" s="259"/>
      <c r="N35" s="259"/>
      <c r="O35" s="259"/>
      <c r="P35" s="259"/>
      <c r="Q35" s="259" t="s">
        <v>226</v>
      </c>
      <c r="R35" s="259">
        <v>11226</v>
      </c>
      <c r="S35" s="13"/>
      <c r="T35" s="13"/>
    </row>
    <row r="36" spans="2:20" ht="18">
      <c r="B36" s="309"/>
      <c r="C36" s="369" t="s">
        <v>867</v>
      </c>
      <c r="D36" s="2702">
        <v>10607</v>
      </c>
      <c r="E36" s="11" t="s">
        <v>3987</v>
      </c>
      <c r="F36" s="2702">
        <v>12533</v>
      </c>
      <c r="G36" s="13"/>
      <c r="H36" s="43"/>
      <c r="L36" s="259"/>
      <c r="M36" s="259"/>
      <c r="N36" s="259"/>
      <c r="O36" s="259"/>
      <c r="P36" s="259"/>
      <c r="Q36" s="259" t="s">
        <v>95</v>
      </c>
      <c r="R36" s="259">
        <v>11266</v>
      </c>
      <c r="S36" s="13"/>
      <c r="T36" s="13"/>
    </row>
    <row r="37" spans="2:20" ht="18">
      <c r="B37" s="309"/>
      <c r="C37" s="369" t="s">
        <v>868</v>
      </c>
      <c r="D37" s="2702">
        <v>12007</v>
      </c>
      <c r="E37" s="11" t="s">
        <v>4137</v>
      </c>
      <c r="F37" s="2702">
        <v>12026</v>
      </c>
      <c r="G37" s="13"/>
      <c r="H37" s="43"/>
      <c r="L37" s="259"/>
      <c r="M37" s="259"/>
      <c r="N37" s="259"/>
      <c r="O37" s="259"/>
      <c r="P37" s="259"/>
      <c r="Q37" s="259" t="s">
        <v>2038</v>
      </c>
      <c r="R37" s="259">
        <v>11361</v>
      </c>
      <c r="S37" s="13"/>
      <c r="T37" s="13"/>
    </row>
    <row r="38" spans="2:20" ht="18">
      <c r="B38" s="309"/>
      <c r="C38" s="369" t="s">
        <v>315</v>
      </c>
      <c r="D38" s="2702">
        <v>11781</v>
      </c>
      <c r="E38" s="11"/>
      <c r="F38" s="2702"/>
      <c r="G38" s="13"/>
      <c r="H38" s="43"/>
      <c r="L38" s="259"/>
      <c r="M38" s="259"/>
      <c r="N38" s="259"/>
      <c r="O38" s="259"/>
      <c r="P38" s="259"/>
      <c r="Q38" s="259" t="s">
        <v>87</v>
      </c>
      <c r="R38" s="259">
        <v>11416</v>
      </c>
      <c r="S38" s="13"/>
      <c r="T38" s="13"/>
    </row>
    <row r="39" spans="2:20" ht="18">
      <c r="B39" s="309"/>
      <c r="C39" s="369" t="s">
        <v>305</v>
      </c>
      <c r="D39" s="2702">
        <v>10764</v>
      </c>
      <c r="E39" s="13"/>
      <c r="F39" s="2704"/>
      <c r="G39" s="13"/>
      <c r="H39" s="43"/>
      <c r="L39" s="259"/>
      <c r="M39" s="259"/>
      <c r="N39" s="259"/>
      <c r="O39" s="259"/>
      <c r="P39" s="259"/>
      <c r="Q39" s="259" t="s">
        <v>75</v>
      </c>
      <c r="R39" s="259">
        <v>11457</v>
      </c>
      <c r="S39" s="13"/>
      <c r="T39" s="13"/>
    </row>
    <row r="40" spans="2:20" ht="18">
      <c r="B40" s="309"/>
      <c r="C40" s="369" t="s">
        <v>3987</v>
      </c>
      <c r="D40" s="2702">
        <v>10744</v>
      </c>
      <c r="E40" s="13"/>
      <c r="F40" s="2704"/>
      <c r="G40" s="13"/>
      <c r="H40" s="43"/>
      <c r="L40" s="259"/>
      <c r="M40" s="259"/>
      <c r="N40" s="259"/>
      <c r="O40" s="259"/>
      <c r="P40" s="259"/>
      <c r="Q40" s="259" t="s">
        <v>227</v>
      </c>
      <c r="R40" s="259">
        <v>11664</v>
      </c>
      <c r="S40" s="13"/>
      <c r="T40" s="13"/>
    </row>
    <row r="41" spans="2:20" ht="18.75" thickBot="1">
      <c r="B41" s="107"/>
      <c r="C41" s="2707" t="s">
        <v>4137</v>
      </c>
      <c r="D41" s="2708">
        <v>11218</v>
      </c>
      <c r="E41" s="109"/>
      <c r="F41" s="108"/>
      <c r="G41" s="109"/>
      <c r="H41" s="318"/>
      <c r="L41" s="259"/>
      <c r="M41" s="259"/>
      <c r="N41" s="259"/>
      <c r="O41" s="259"/>
      <c r="P41" s="259"/>
      <c r="Q41" s="259" t="s">
        <v>866</v>
      </c>
      <c r="R41" s="259">
        <v>11894</v>
      </c>
      <c r="S41" s="13"/>
      <c r="T41" s="13"/>
    </row>
    <row r="42" spans="2:20" ht="15.75">
      <c r="L42" s="259"/>
      <c r="M42" s="259"/>
      <c r="N42" s="259"/>
      <c r="O42" s="259"/>
      <c r="P42" s="259"/>
      <c r="Q42" s="259" t="s">
        <v>246</v>
      </c>
      <c r="R42" s="259">
        <v>11906</v>
      </c>
      <c r="S42" s="13"/>
      <c r="T42" s="13"/>
    </row>
    <row r="43" spans="2:20" ht="15.75">
      <c r="L43" s="259"/>
      <c r="M43" s="259"/>
      <c r="N43" s="259"/>
      <c r="O43" s="259"/>
      <c r="P43" s="259"/>
      <c r="Q43" s="259" t="s">
        <v>96</v>
      </c>
      <c r="R43" s="259">
        <v>11935</v>
      </c>
      <c r="S43" s="13"/>
      <c r="T43" s="13"/>
    </row>
    <row r="44" spans="2:20" ht="15.75">
      <c r="L44" s="259"/>
      <c r="M44" s="259"/>
      <c r="N44" s="259"/>
      <c r="O44" s="259"/>
      <c r="P44" s="259"/>
      <c r="Q44" s="259" t="s">
        <v>222</v>
      </c>
      <c r="R44" s="259">
        <v>12015</v>
      </c>
      <c r="S44" s="13"/>
      <c r="T44" s="13"/>
    </row>
    <row r="45" spans="2:20" ht="15.75">
      <c r="L45" s="259"/>
      <c r="M45" s="259"/>
      <c r="N45" s="259"/>
      <c r="O45" s="259"/>
      <c r="P45" s="259"/>
      <c r="Q45" s="259" t="s">
        <v>223</v>
      </c>
      <c r="R45" s="259">
        <v>12061</v>
      </c>
      <c r="S45" s="13"/>
      <c r="T45" s="13"/>
    </row>
    <row r="46" spans="2:20" ht="15.75">
      <c r="L46" s="259"/>
      <c r="M46" s="259"/>
      <c r="N46" s="259"/>
      <c r="O46" s="259"/>
      <c r="P46" s="259"/>
      <c r="Q46" s="259" t="s">
        <v>249</v>
      </c>
      <c r="R46" s="259">
        <v>12084</v>
      </c>
      <c r="S46" s="13"/>
      <c r="T46" s="13"/>
    </row>
    <row r="47" spans="2:20" ht="15.75">
      <c r="L47" s="259"/>
      <c r="M47" s="259"/>
      <c r="N47" s="259"/>
      <c r="O47" s="259"/>
      <c r="P47" s="259"/>
      <c r="Q47" s="259" t="s">
        <v>867</v>
      </c>
      <c r="R47" s="259">
        <v>12164</v>
      </c>
      <c r="S47" s="13"/>
      <c r="T47" s="13"/>
    </row>
    <row r="48" spans="2:20" ht="15.75">
      <c r="L48" s="259"/>
      <c r="M48" s="259"/>
      <c r="N48" s="259"/>
      <c r="O48" s="259"/>
      <c r="P48" s="259"/>
      <c r="Q48" s="259" t="s">
        <v>221</v>
      </c>
      <c r="R48" s="259">
        <v>12234</v>
      </c>
      <c r="S48" s="13"/>
      <c r="T48" s="13"/>
    </row>
    <row r="49" spans="12:20" ht="15.75">
      <c r="L49" s="259"/>
      <c r="M49" s="259"/>
      <c r="N49" s="259"/>
      <c r="O49" s="259"/>
      <c r="P49" s="259"/>
      <c r="Q49" s="259" t="s">
        <v>220</v>
      </c>
      <c r="R49" s="259">
        <v>12277</v>
      </c>
      <c r="S49" s="13"/>
      <c r="T49" s="13"/>
    </row>
    <row r="50" spans="12:20" ht="15.75">
      <c r="L50" s="259"/>
      <c r="M50" s="259"/>
      <c r="N50" s="259"/>
      <c r="O50" s="259"/>
      <c r="P50" s="259"/>
      <c r="Q50" s="259" t="s">
        <v>3986</v>
      </c>
      <c r="R50" s="259">
        <v>12343</v>
      </c>
      <c r="S50" s="13"/>
      <c r="T50" s="13"/>
    </row>
    <row r="51" spans="12:20" ht="15.75">
      <c r="L51" s="259"/>
      <c r="M51" s="259"/>
      <c r="N51" s="259"/>
      <c r="O51" s="259"/>
      <c r="P51" s="259"/>
      <c r="Q51" s="259" t="s">
        <v>86</v>
      </c>
      <c r="R51" s="259">
        <v>12360</v>
      </c>
      <c r="S51" s="13"/>
      <c r="T51" s="13"/>
    </row>
    <row r="52" spans="12:20" ht="15.75">
      <c r="L52" s="259"/>
      <c r="M52" s="259"/>
      <c r="N52" s="259"/>
      <c r="O52" s="259"/>
      <c r="P52" s="259"/>
      <c r="Q52" s="259" t="s">
        <v>218</v>
      </c>
      <c r="R52" s="259">
        <v>12407</v>
      </c>
      <c r="S52" s="13"/>
      <c r="T52" s="13"/>
    </row>
    <row r="53" spans="12:20" ht="15.75">
      <c r="L53" s="259"/>
      <c r="M53" s="259"/>
      <c r="N53" s="259"/>
      <c r="O53" s="259"/>
      <c r="P53" s="259"/>
      <c r="Q53" s="259" t="s">
        <v>93</v>
      </c>
      <c r="R53" s="259">
        <v>12520</v>
      </c>
      <c r="S53" s="13"/>
      <c r="T53" s="13"/>
    </row>
    <row r="54" spans="12:20" ht="15.75">
      <c r="L54" s="259"/>
      <c r="M54" s="259"/>
      <c r="N54" s="259"/>
      <c r="O54" s="259"/>
      <c r="P54" s="259"/>
      <c r="Q54" s="259" t="s">
        <v>865</v>
      </c>
      <c r="R54" s="259">
        <v>12737</v>
      </c>
      <c r="S54" s="13"/>
      <c r="T54" s="13"/>
    </row>
    <row r="55" spans="12:20" ht="15.75">
      <c r="L55" s="259"/>
      <c r="M55" s="259"/>
      <c r="N55" s="259"/>
      <c r="O55" s="259"/>
      <c r="P55" s="259"/>
      <c r="Q55" s="259" t="s">
        <v>250</v>
      </c>
      <c r="R55" s="259">
        <v>12885</v>
      </c>
      <c r="S55" s="13"/>
      <c r="T55" s="13"/>
    </row>
    <row r="56" spans="12:20" ht="15.75">
      <c r="L56" s="259"/>
      <c r="M56" s="259"/>
      <c r="N56" s="259"/>
      <c r="O56" s="259"/>
      <c r="P56" s="259"/>
      <c r="Q56" s="259" t="s">
        <v>862</v>
      </c>
      <c r="R56" s="259">
        <v>12896</v>
      </c>
      <c r="S56" s="13"/>
      <c r="T56" s="13"/>
    </row>
    <row r="57" spans="12:20" ht="15.75">
      <c r="L57" s="259"/>
      <c r="M57" s="259"/>
      <c r="N57" s="259"/>
      <c r="O57" s="259"/>
      <c r="P57" s="259"/>
      <c r="Q57" s="259" t="s">
        <v>861</v>
      </c>
      <c r="R57" s="259">
        <v>13096</v>
      </c>
      <c r="S57" s="13"/>
      <c r="T57" s="13"/>
    </row>
    <row r="58" spans="12:20" ht="15.75">
      <c r="L58" s="259"/>
      <c r="M58" s="259"/>
      <c r="N58" s="259"/>
      <c r="O58" s="259"/>
      <c r="P58" s="259"/>
      <c r="Q58" s="259" t="s">
        <v>305</v>
      </c>
      <c r="R58" s="259">
        <v>13227</v>
      </c>
      <c r="S58" s="13"/>
      <c r="T58" s="13"/>
    </row>
    <row r="59" spans="12:20" ht="15.75">
      <c r="L59" s="259"/>
      <c r="M59" s="259"/>
      <c r="N59" s="259"/>
      <c r="O59" s="259"/>
      <c r="P59" s="259"/>
      <c r="Q59" s="259" t="s">
        <v>3987</v>
      </c>
      <c r="R59" s="259">
        <v>14066</v>
      </c>
      <c r="S59" s="13"/>
      <c r="T59" s="13"/>
    </row>
    <row r="60" spans="12:20" ht="15.75">
      <c r="L60" s="259"/>
      <c r="M60" s="259"/>
      <c r="N60" s="259"/>
      <c r="O60" s="259"/>
      <c r="P60" s="259"/>
      <c r="Q60" s="259" t="s">
        <v>868</v>
      </c>
      <c r="R60" s="259">
        <v>14823</v>
      </c>
      <c r="S60" s="13"/>
      <c r="T60" s="13"/>
    </row>
    <row r="61" spans="12:20" ht="15.75">
      <c r="L61" s="259"/>
      <c r="M61" s="259"/>
      <c r="N61" s="259"/>
      <c r="O61" s="259"/>
      <c r="P61" s="259"/>
      <c r="Q61" s="259" t="s">
        <v>315</v>
      </c>
      <c r="R61" s="259">
        <v>14856</v>
      </c>
      <c r="S61" s="13"/>
      <c r="T61" s="13"/>
    </row>
    <row r="62" spans="12:20" ht="15.75">
      <c r="L62" s="259"/>
      <c r="M62" s="259"/>
      <c r="N62" s="259"/>
      <c r="O62" s="259"/>
      <c r="P62" s="259"/>
      <c r="Q62" s="259"/>
      <c r="R62" s="259"/>
      <c r="S62" s="13"/>
      <c r="T62" s="13"/>
    </row>
    <row r="63" spans="12:20">
      <c r="L63" s="13"/>
      <c r="M63" s="13"/>
      <c r="N63" s="13"/>
      <c r="O63" s="13"/>
      <c r="P63" s="13"/>
      <c r="Q63" s="13"/>
      <c r="R63" s="13"/>
      <c r="S63" s="13"/>
      <c r="T63" s="13"/>
    </row>
    <row r="64" spans="12:20">
      <c r="L64" s="13"/>
      <c r="M64" s="13"/>
      <c r="N64" s="13"/>
      <c r="O64" s="13"/>
      <c r="P64" s="13"/>
      <c r="Q64" s="13"/>
      <c r="R64" s="13"/>
      <c r="S64" s="13"/>
      <c r="T64" s="13"/>
    </row>
    <row r="65" spans="12:20">
      <c r="L65" s="13"/>
      <c r="M65" s="13"/>
      <c r="N65" s="13"/>
      <c r="O65" s="13"/>
      <c r="P65" s="13"/>
      <c r="Q65" s="13"/>
      <c r="R65" s="13"/>
      <c r="S65" s="13"/>
      <c r="T65" s="13"/>
    </row>
  </sheetData>
  <sortState ref="M9:N25">
    <sortCondition ref="N9:N25"/>
  </sortState>
  <mergeCells count="3">
    <mergeCell ref="C6:D6"/>
    <mergeCell ref="E6:F6"/>
    <mergeCell ref="M6:P6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O23"/>
  <sheetViews>
    <sheetView topLeftCell="A7" zoomScaleSheetLayoutView="100" workbookViewId="0">
      <selection activeCell="N23" sqref="N23"/>
    </sheetView>
  </sheetViews>
  <sheetFormatPr defaultColWidth="9" defaultRowHeight="12.75"/>
  <cols>
    <col min="4" max="4" width="32.28515625" customWidth="1"/>
    <col min="5" max="5" width="13.7109375" customWidth="1"/>
    <col min="6" max="7" width="13.42578125" customWidth="1"/>
    <col min="8" max="8" width="11.7109375" customWidth="1"/>
    <col min="9" max="9" width="16.28515625" customWidth="1"/>
    <col min="14" max="14" width="25.85546875" customWidth="1"/>
    <col min="15" max="15" width="25.28515625" customWidth="1"/>
  </cols>
  <sheetData>
    <row r="9" spans="4:15" ht="20.25">
      <c r="D9" s="337"/>
      <c r="F9" s="338"/>
      <c r="G9" s="338"/>
      <c r="H9" s="338"/>
      <c r="I9" s="338"/>
      <c r="J9" s="337"/>
      <c r="K9" s="337"/>
      <c r="L9" s="337"/>
      <c r="M9" s="337"/>
      <c r="N9" s="338"/>
      <c r="O9" s="337"/>
    </row>
    <row r="10" spans="4:15" ht="20.25">
      <c r="D10" s="2959" t="s">
        <v>3314</v>
      </c>
      <c r="E10" s="2960"/>
      <c r="F10" s="2960"/>
      <c r="G10" s="2960"/>
      <c r="H10" s="2960"/>
      <c r="I10" s="2960"/>
      <c r="J10" s="2960"/>
      <c r="K10" s="2960"/>
      <c r="L10" s="2960"/>
      <c r="M10" s="2960"/>
      <c r="N10" s="2961"/>
      <c r="O10" s="349"/>
    </row>
    <row r="11" spans="4:15" ht="20.25">
      <c r="D11" s="341" t="s">
        <v>3315</v>
      </c>
      <c r="E11" s="342">
        <v>500</v>
      </c>
      <c r="F11" s="342">
        <v>1194</v>
      </c>
      <c r="G11" s="342">
        <v>790</v>
      </c>
      <c r="H11" s="342">
        <v>603</v>
      </c>
      <c r="I11" s="342">
        <v>1605</v>
      </c>
      <c r="J11" s="343">
        <v>875</v>
      </c>
      <c r="K11" s="343">
        <v>1875</v>
      </c>
      <c r="L11" s="343">
        <v>9000</v>
      </c>
      <c r="M11" s="342">
        <v>1130</v>
      </c>
      <c r="N11" s="350" t="s">
        <v>23</v>
      </c>
      <c r="O11" s="349"/>
    </row>
    <row r="12" spans="4:15" ht="20.25">
      <c r="D12" s="341"/>
      <c r="E12" s="30"/>
      <c r="F12" s="342"/>
      <c r="G12" s="342"/>
      <c r="H12" s="342"/>
      <c r="I12" s="342"/>
      <c r="J12" s="343"/>
      <c r="K12" s="343"/>
      <c r="L12" s="343"/>
      <c r="M12" s="342"/>
      <c r="N12" s="350" t="s">
        <v>3316</v>
      </c>
      <c r="O12" s="349"/>
    </row>
    <row r="13" spans="4:15" ht="20.25">
      <c r="D13" s="341" t="s">
        <v>121</v>
      </c>
      <c r="E13" s="343">
        <v>985</v>
      </c>
      <c r="F13" s="342">
        <v>28</v>
      </c>
      <c r="G13" s="342">
        <v>43</v>
      </c>
      <c r="H13" s="342">
        <v>2014</v>
      </c>
      <c r="I13" s="342">
        <v>8446</v>
      </c>
      <c r="J13" s="343">
        <v>174</v>
      </c>
      <c r="K13" s="343">
        <v>60</v>
      </c>
      <c r="L13" s="343">
        <v>45</v>
      </c>
      <c r="M13" s="342">
        <v>44</v>
      </c>
      <c r="N13" s="350" t="s">
        <v>3317</v>
      </c>
      <c r="O13" s="349">
        <f>+E13+F13+G13+H13+I13+J13+K13+L13+M13</f>
        <v>11839</v>
      </c>
    </row>
    <row r="14" spans="4:15" ht="20.25">
      <c r="D14" s="341"/>
      <c r="E14" s="343"/>
      <c r="F14" s="342"/>
      <c r="G14" s="342"/>
      <c r="H14" s="342"/>
      <c r="I14" s="342"/>
      <c r="J14" s="343"/>
      <c r="K14" s="343"/>
      <c r="L14" s="343"/>
      <c r="M14" s="342"/>
      <c r="N14" s="350"/>
      <c r="O14" s="349">
        <f>+E14+F14+G14+H14+I14+J14+K14+L14</f>
        <v>0</v>
      </c>
    </row>
    <row r="15" spans="4:15" ht="20.25">
      <c r="D15" s="341" t="s">
        <v>2351</v>
      </c>
      <c r="E15" s="343">
        <v>1262</v>
      </c>
      <c r="F15" s="342">
        <v>40</v>
      </c>
      <c r="G15" s="342">
        <v>762</v>
      </c>
      <c r="H15" s="342">
        <v>5434</v>
      </c>
      <c r="I15" s="342">
        <v>13665</v>
      </c>
      <c r="J15" s="343">
        <v>136</v>
      </c>
      <c r="K15" s="343">
        <v>20</v>
      </c>
      <c r="L15" s="343">
        <v>10</v>
      </c>
      <c r="M15" s="342">
        <v>12</v>
      </c>
      <c r="N15" s="350" t="s">
        <v>3318</v>
      </c>
      <c r="O15" s="349">
        <f>+E15+F15+G15+H15+I15+J15+K15+L15+M15</f>
        <v>21341</v>
      </c>
    </row>
    <row r="16" spans="4:15" ht="20.25">
      <c r="D16" s="341"/>
      <c r="E16" s="343"/>
      <c r="F16" s="342"/>
      <c r="G16" s="342"/>
      <c r="H16" s="342"/>
      <c r="I16" s="342"/>
      <c r="J16" s="343"/>
      <c r="K16" s="343"/>
      <c r="L16" s="343"/>
      <c r="M16" s="342"/>
      <c r="N16" s="350"/>
      <c r="O16" s="349">
        <f>+E16+F16+G16+H16+I16+J16+K16+L16+M16</f>
        <v>0</v>
      </c>
    </row>
    <row r="17" spans="4:15" ht="20.25">
      <c r="D17" s="341" t="s">
        <v>2412</v>
      </c>
      <c r="E17" s="343">
        <v>864</v>
      </c>
      <c r="F17" s="342">
        <v>65</v>
      </c>
      <c r="G17" s="342">
        <v>201</v>
      </c>
      <c r="H17" s="342">
        <v>5658</v>
      </c>
      <c r="I17" s="342">
        <v>16683</v>
      </c>
      <c r="J17" s="343">
        <v>225</v>
      </c>
      <c r="K17" s="343">
        <v>35</v>
      </c>
      <c r="L17" s="343">
        <v>20</v>
      </c>
      <c r="M17" s="342">
        <v>0</v>
      </c>
      <c r="N17" s="350" t="s">
        <v>3319</v>
      </c>
      <c r="O17" s="349">
        <f>+E17+F17+G17+H17+I17+J17+K17+L17+M17</f>
        <v>23751</v>
      </c>
    </row>
    <row r="18" spans="4:15" ht="20.25">
      <c r="D18" s="341"/>
      <c r="E18" s="343"/>
      <c r="F18" s="342"/>
      <c r="G18" s="342"/>
      <c r="H18" s="342"/>
      <c r="I18" s="342"/>
      <c r="J18" s="343"/>
      <c r="K18" s="343"/>
      <c r="L18" s="343"/>
      <c r="M18" s="342"/>
      <c r="N18" s="350"/>
      <c r="O18" s="349">
        <f>+E18+F18+G18+H18+I18+J18+K18+L18+M18</f>
        <v>0</v>
      </c>
    </row>
    <row r="19" spans="4:15" ht="20.25">
      <c r="D19" s="341" t="s">
        <v>2411</v>
      </c>
      <c r="E19" s="343">
        <v>1050</v>
      </c>
      <c r="F19" s="342">
        <v>84</v>
      </c>
      <c r="G19" s="342">
        <v>132</v>
      </c>
      <c r="H19" s="342">
        <v>8265</v>
      </c>
      <c r="I19" s="342">
        <v>16910</v>
      </c>
      <c r="J19" s="343">
        <v>133</v>
      </c>
      <c r="K19" s="343">
        <v>48</v>
      </c>
      <c r="L19" s="343">
        <v>65</v>
      </c>
      <c r="M19" s="342">
        <v>0</v>
      </c>
      <c r="N19" s="350" t="s">
        <v>3320</v>
      </c>
      <c r="O19" s="349">
        <f>+E19+F19+G19+H19+I19+J19+K19+L19+M19</f>
        <v>26687</v>
      </c>
    </row>
    <row r="20" spans="4:15" ht="20.25">
      <c r="D20" s="341"/>
      <c r="E20" s="343"/>
      <c r="F20" s="342"/>
      <c r="G20" s="342"/>
      <c r="H20" s="342"/>
      <c r="I20" s="342"/>
      <c r="J20" s="343"/>
      <c r="K20" s="343"/>
      <c r="L20" s="343"/>
      <c r="M20" s="342"/>
      <c r="N20" s="350"/>
      <c r="O20" s="349"/>
    </row>
    <row r="21" spans="4:15" ht="20.25">
      <c r="D21" s="344" t="s">
        <v>3321</v>
      </c>
      <c r="E21" s="345">
        <v>958</v>
      </c>
      <c r="F21" s="346">
        <v>13</v>
      </c>
      <c r="G21" s="346">
        <v>75</v>
      </c>
      <c r="H21" s="346">
        <v>12639</v>
      </c>
      <c r="I21" s="346">
        <v>14378</v>
      </c>
      <c r="J21" s="345">
        <v>59</v>
      </c>
      <c r="K21" s="345">
        <v>27</v>
      </c>
      <c r="L21" s="345">
        <v>75</v>
      </c>
      <c r="M21" s="346">
        <v>0</v>
      </c>
      <c r="N21" s="2468" t="s">
        <v>3322</v>
      </c>
      <c r="O21" s="349">
        <f>+E21+F21+G21+H21+I21+J21+K21+L21</f>
        <v>28224</v>
      </c>
    </row>
    <row r="22" spans="4:15" ht="20.25">
      <c r="D22" s="337" t="s">
        <v>321</v>
      </c>
      <c r="E22" s="347">
        <v>1725</v>
      </c>
      <c r="F22" s="337">
        <v>24</v>
      </c>
      <c r="G22" s="337">
        <v>55</v>
      </c>
      <c r="H22" s="337">
        <v>18424</v>
      </c>
      <c r="I22" s="337">
        <v>11248</v>
      </c>
      <c r="J22" s="352">
        <v>58</v>
      </c>
      <c r="K22" s="349">
        <v>0</v>
      </c>
      <c r="L22" s="352">
        <v>123</v>
      </c>
      <c r="M22" s="337"/>
      <c r="N22" s="338" t="s">
        <v>4138</v>
      </c>
      <c r="O22" s="349">
        <f>+E22+F22+G22+H22+I22+J22+K22+L22+6</f>
        <v>31663</v>
      </c>
    </row>
    <row r="23" spans="4:15" ht="20.25">
      <c r="D23" s="337"/>
      <c r="F23" s="337"/>
      <c r="G23" s="337"/>
      <c r="H23" s="337"/>
      <c r="I23" s="337"/>
      <c r="J23" s="352"/>
      <c r="K23" s="349"/>
      <c r="L23" s="352"/>
      <c r="M23" s="337"/>
      <c r="N23" s="338"/>
      <c r="O23" s="349"/>
    </row>
  </sheetData>
  <mergeCells count="1">
    <mergeCell ref="D10:N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HB87"/>
  <sheetViews>
    <sheetView topLeftCell="GE16" zoomScaleSheetLayoutView="100" workbookViewId="0">
      <selection activeCell="HA48" sqref="HA48"/>
    </sheetView>
  </sheetViews>
  <sheetFormatPr defaultColWidth="9" defaultRowHeight="12.75"/>
  <cols>
    <col min="1" max="1" width="15.28515625" customWidth="1"/>
    <col min="3" max="4" width="15.85546875" customWidth="1"/>
    <col min="5" max="5" width="13.85546875" customWidth="1"/>
    <col min="8" max="8" width="16.28515625" customWidth="1"/>
    <col min="11" max="11" width="18.140625" customWidth="1"/>
    <col min="13" max="13" width="15.5703125" customWidth="1"/>
    <col min="14" max="14" width="14.5703125" customWidth="1"/>
    <col min="18" max="18" width="15.85546875" customWidth="1"/>
    <col min="22" max="22" width="10.42578125" customWidth="1"/>
    <col min="27" max="27" width="12.42578125" customWidth="1"/>
    <col min="30" max="30" width="15.42578125" customWidth="1"/>
    <col min="34" max="34" width="12.28515625" customWidth="1"/>
    <col min="37" max="37" width="9.7109375" customWidth="1"/>
    <col min="40" max="40" width="12" customWidth="1"/>
    <col min="55" max="55" width="11.5703125" customWidth="1"/>
    <col min="65" max="65" width="13.7109375" customWidth="1"/>
    <col min="75" max="75" width="11.42578125" customWidth="1"/>
    <col min="85" max="85" width="17.28515625" customWidth="1"/>
    <col min="95" max="95" width="14.42578125" customWidth="1"/>
    <col min="107" max="107" width="11.7109375" customWidth="1"/>
    <col min="117" max="118" width="12.140625" customWidth="1"/>
    <col min="119" max="119" width="14.7109375" customWidth="1"/>
    <col min="120" max="120" width="13" customWidth="1"/>
    <col min="128" max="128" width="14.42578125" customWidth="1"/>
    <col min="138" max="138" width="15.42578125" customWidth="1"/>
    <col min="148" max="148" width="13.7109375" customWidth="1"/>
    <col min="160" max="160" width="10.7109375" customWidth="1"/>
    <col min="171" max="171" width="11.28515625" customWidth="1"/>
    <col min="182" max="182" width="14.28515625" customWidth="1"/>
    <col min="192" max="192" width="11.42578125" customWidth="1"/>
    <col min="202" max="202" width="12" customWidth="1"/>
  </cols>
  <sheetData>
    <row r="11" spans="1:210">
      <c r="A11" s="3110" t="s">
        <v>3508</v>
      </c>
      <c r="B11" s="3111"/>
      <c r="C11" s="3112"/>
      <c r="D11" s="319"/>
      <c r="E11" s="3110" t="s">
        <v>3509</v>
      </c>
      <c r="F11" s="3111"/>
      <c r="G11" s="3111"/>
      <c r="H11" s="3113" t="s">
        <v>3510</v>
      </c>
      <c r="I11" s="3113"/>
      <c r="J11" s="3113"/>
      <c r="K11" s="3113" t="s">
        <v>3511</v>
      </c>
      <c r="L11" s="3113"/>
      <c r="M11" s="3113"/>
      <c r="N11" s="3113" t="s">
        <v>3512</v>
      </c>
      <c r="O11" s="3113"/>
      <c r="P11" s="3113"/>
      <c r="Q11" t="s">
        <v>351</v>
      </c>
      <c r="R11" s="3113" t="s">
        <v>3513</v>
      </c>
      <c r="S11" s="3113"/>
      <c r="T11" s="3113"/>
      <c r="U11" s="27" t="s">
        <v>351</v>
      </c>
      <c r="V11" s="3113" t="s">
        <v>3514</v>
      </c>
      <c r="W11" s="3113"/>
      <c r="X11" s="3113"/>
      <c r="AA11" s="3114" t="s">
        <v>3515</v>
      </c>
      <c r="AB11" s="3114"/>
      <c r="AC11" s="3114"/>
      <c r="AD11" s="3114" t="s">
        <v>3516</v>
      </c>
      <c r="AE11" s="3114"/>
      <c r="AF11" s="3114"/>
      <c r="AH11" s="3114" t="s">
        <v>3517</v>
      </c>
      <c r="AI11" s="3114"/>
      <c r="AJ11" s="3114"/>
      <c r="AK11" s="3114"/>
      <c r="AL11" t="s">
        <v>356</v>
      </c>
      <c r="AM11" t="s">
        <v>351</v>
      </c>
      <c r="AN11" s="325" t="s">
        <v>3518</v>
      </c>
      <c r="AO11" s="2913" t="s">
        <v>3519</v>
      </c>
      <c r="AP11" s="2913"/>
      <c r="AQ11" s="2913"/>
      <c r="AR11" s="2913" t="s">
        <v>785</v>
      </c>
      <c r="AS11" s="2913"/>
      <c r="AT11" s="2913"/>
      <c r="AU11" s="2913"/>
      <c r="AX11" s="3114"/>
      <c r="AY11" s="3114"/>
      <c r="AZ11" s="3114"/>
      <c r="BC11" s="325" t="s">
        <v>3520</v>
      </c>
      <c r="BD11" s="2913" t="s">
        <v>3519</v>
      </c>
      <c r="BE11" s="2913"/>
      <c r="BF11" s="2913"/>
      <c r="BG11" s="2913" t="s">
        <v>785</v>
      </c>
      <c r="BH11" s="2913"/>
      <c r="BI11" s="2913"/>
      <c r="BJ11" s="2913"/>
      <c r="BM11" s="325" t="s">
        <v>3520</v>
      </c>
      <c r="BN11" s="2913" t="s">
        <v>3519</v>
      </c>
      <c r="BO11" s="2913"/>
      <c r="BP11" s="2913"/>
      <c r="BQ11" s="2913" t="s">
        <v>785</v>
      </c>
      <c r="BR11" s="2913"/>
      <c r="BS11" s="2913"/>
      <c r="BT11" s="2913"/>
      <c r="BW11" s="325" t="s">
        <v>3520</v>
      </c>
      <c r="BX11" s="2913" t="s">
        <v>3519</v>
      </c>
      <c r="BY11" s="2913"/>
      <c r="BZ11" s="2913"/>
      <c r="CA11" s="2913" t="s">
        <v>785</v>
      </c>
      <c r="CB11" s="2913"/>
      <c r="CC11" s="2913"/>
      <c r="CD11" s="2913"/>
      <c r="CG11" s="325" t="s">
        <v>3520</v>
      </c>
      <c r="CH11" s="2913" t="s">
        <v>3519</v>
      </c>
      <c r="CI11" s="2913"/>
      <c r="CJ11" s="2913"/>
      <c r="CK11" s="2913" t="s">
        <v>785</v>
      </c>
      <c r="CL11" s="2913"/>
      <c r="CM11" s="2913"/>
      <c r="CN11" s="2913"/>
      <c r="CQ11" s="325" t="s">
        <v>3520</v>
      </c>
      <c r="CR11" s="2913" t="s">
        <v>3519</v>
      </c>
      <c r="CS11" s="2913"/>
      <c r="CT11" s="2913"/>
      <c r="CU11" s="2913" t="s">
        <v>785</v>
      </c>
      <c r="CV11" s="2913"/>
      <c r="CW11" s="2913"/>
      <c r="CX11" s="2913"/>
      <c r="DC11" s="325" t="s">
        <v>3520</v>
      </c>
      <c r="DD11" s="2913" t="s">
        <v>3519</v>
      </c>
      <c r="DE11" s="2913"/>
      <c r="DF11" s="2913"/>
      <c r="DG11" s="2913" t="s">
        <v>785</v>
      </c>
      <c r="DH11" s="2913"/>
      <c r="DI11" s="2913"/>
      <c r="DJ11" s="2913"/>
      <c r="DM11" s="325" t="s">
        <v>3520</v>
      </c>
      <c r="DN11" s="2913" t="s">
        <v>3519</v>
      </c>
      <c r="DO11" s="2913"/>
      <c r="DP11" s="2913"/>
      <c r="DQ11" s="2913" t="s">
        <v>785</v>
      </c>
      <c r="DR11" s="2913"/>
      <c r="DS11" s="2913"/>
      <c r="DT11" s="2913"/>
      <c r="DX11" s="325" t="s">
        <v>3520</v>
      </c>
      <c r="DY11" s="2913" t="s">
        <v>3519</v>
      </c>
      <c r="DZ11" s="2913"/>
      <c r="EA11" s="2913"/>
      <c r="EB11" s="2913" t="s">
        <v>785</v>
      </c>
      <c r="EC11" s="2913"/>
      <c r="ED11" s="2913"/>
      <c r="EE11" s="2913"/>
      <c r="EH11" s="325" t="s">
        <v>3520</v>
      </c>
      <c r="EI11" s="2913" t="s">
        <v>3519</v>
      </c>
      <c r="EJ11" s="2913"/>
      <c r="EK11" s="2913"/>
      <c r="EL11" s="2913" t="s">
        <v>785</v>
      </c>
      <c r="EM11" s="2913"/>
      <c r="EN11" s="2913"/>
      <c r="EO11" s="2913"/>
      <c r="ER11" s="325" t="s">
        <v>3520</v>
      </c>
      <c r="ES11" s="2913" t="s">
        <v>3519</v>
      </c>
      <c r="ET11" s="2913"/>
      <c r="EU11" s="2913"/>
      <c r="EV11" s="2913" t="s">
        <v>785</v>
      </c>
      <c r="EW11" s="2913"/>
      <c r="EX11" s="2913"/>
      <c r="EY11" s="2913"/>
      <c r="FD11" s="325" t="s">
        <v>3520</v>
      </c>
      <c r="FE11" s="2913" t="s">
        <v>3519</v>
      </c>
      <c r="FF11" s="2913"/>
      <c r="FG11" s="2913"/>
      <c r="FH11" s="2913" t="s">
        <v>785</v>
      </c>
      <c r="FI11" s="2913"/>
      <c r="FJ11" s="2913"/>
      <c r="FK11" s="2913"/>
      <c r="FO11" s="325" t="s">
        <v>3520</v>
      </c>
      <c r="FP11" s="2913" t="s">
        <v>3519</v>
      </c>
      <c r="FQ11" s="2913"/>
      <c r="FR11" s="2913"/>
      <c r="FS11" s="2913" t="s">
        <v>785</v>
      </c>
      <c r="FT11" s="2913"/>
      <c r="FU11" s="2913"/>
      <c r="FV11" s="2913"/>
      <c r="FZ11" s="325" t="s">
        <v>3520</v>
      </c>
      <c r="GA11" s="2913" t="s">
        <v>3519</v>
      </c>
      <c r="GB11" s="2913"/>
      <c r="GC11" s="2913"/>
      <c r="GD11" s="2913" t="s">
        <v>785</v>
      </c>
      <c r="GE11" s="2913"/>
      <c r="GF11" s="2913"/>
      <c r="GG11" s="2913"/>
      <c r="GJ11" s="325" t="s">
        <v>3520</v>
      </c>
      <c r="GK11" s="2913" t="s">
        <v>3519</v>
      </c>
      <c r="GL11" s="2913"/>
      <c r="GM11" s="2913"/>
      <c r="GN11" s="2913" t="s">
        <v>785</v>
      </c>
      <c r="GO11" s="2913"/>
      <c r="GP11" s="2913"/>
      <c r="GQ11" s="2913"/>
      <c r="GT11" s="325" t="s">
        <v>3520</v>
      </c>
      <c r="GU11" s="2913" t="s">
        <v>3519</v>
      </c>
      <c r="GV11" s="2913"/>
      <c r="GW11" s="2913"/>
      <c r="GX11" s="2913" t="s">
        <v>785</v>
      </c>
      <c r="GY11" s="2913"/>
      <c r="GZ11" s="2913"/>
      <c r="HA11" s="2913"/>
    </row>
    <row r="12" spans="1:210">
      <c r="A12" s="41" t="s">
        <v>300</v>
      </c>
      <c r="B12" s="41" t="s">
        <v>785</v>
      </c>
      <c r="C12" s="41" t="s">
        <v>3519</v>
      </c>
      <c r="D12" s="41"/>
      <c r="E12" s="41" t="s">
        <v>300</v>
      </c>
      <c r="F12" s="41" t="s">
        <v>785</v>
      </c>
      <c r="G12" s="320" t="s">
        <v>3519</v>
      </c>
      <c r="H12" s="41" t="s">
        <v>300</v>
      </c>
      <c r="I12" s="41" t="s">
        <v>785</v>
      </c>
      <c r="J12" s="41" t="s">
        <v>3519</v>
      </c>
      <c r="K12" s="41" t="s">
        <v>300</v>
      </c>
      <c r="L12" s="41" t="s">
        <v>785</v>
      </c>
      <c r="M12" s="41" t="s">
        <v>3519</v>
      </c>
      <c r="N12" s="41" t="s">
        <v>300</v>
      </c>
      <c r="O12" s="41" t="s">
        <v>785</v>
      </c>
      <c r="P12" s="41" t="s">
        <v>3519</v>
      </c>
      <c r="R12" s="41" t="s">
        <v>300</v>
      </c>
      <c r="S12" s="41" t="s">
        <v>785</v>
      </c>
      <c r="T12" s="41" t="s">
        <v>3519</v>
      </c>
      <c r="V12" s="41" t="s">
        <v>300</v>
      </c>
      <c r="W12" s="41" t="s">
        <v>785</v>
      </c>
      <c r="X12" s="41" t="s">
        <v>3519</v>
      </c>
      <c r="Y12" s="322" t="s">
        <v>351</v>
      </c>
      <c r="AA12" s="41" t="s">
        <v>300</v>
      </c>
      <c r="AB12" s="41" t="s">
        <v>785</v>
      </c>
      <c r="AC12" s="41" t="s">
        <v>3519</v>
      </c>
      <c r="AD12" s="41" t="s">
        <v>300</v>
      </c>
      <c r="AE12" s="41" t="s">
        <v>785</v>
      </c>
      <c r="AF12" s="41" t="s">
        <v>3519</v>
      </c>
      <c r="AH12" s="41" t="s">
        <v>300</v>
      </c>
      <c r="AI12" s="41"/>
      <c r="AJ12" s="41" t="s">
        <v>785</v>
      </c>
      <c r="AK12" s="41" t="s">
        <v>3519</v>
      </c>
      <c r="AL12" s="3115" t="s">
        <v>785</v>
      </c>
      <c r="AM12" s="2793"/>
      <c r="AN12" s="41" t="s">
        <v>300</v>
      </c>
      <c r="AO12" s="13" t="s">
        <v>356</v>
      </c>
      <c r="AP12" s="322" t="s">
        <v>351</v>
      </c>
      <c r="AQ12" s="13" t="s">
        <v>185</v>
      </c>
      <c r="AR12" s="13" t="s">
        <v>23</v>
      </c>
      <c r="AS12" s="13" t="s">
        <v>356</v>
      </c>
      <c r="AT12" s="13" t="s">
        <v>351</v>
      </c>
      <c r="AU12" s="13" t="s">
        <v>185</v>
      </c>
      <c r="AV12" s="13" t="s">
        <v>23</v>
      </c>
      <c r="AX12" s="41"/>
      <c r="AY12" s="41"/>
      <c r="AZ12" s="41"/>
      <c r="BA12" s="3115"/>
      <c r="BB12" s="2793"/>
      <c r="BC12" s="41" t="s">
        <v>300</v>
      </c>
      <c r="BD12" s="13" t="s">
        <v>356</v>
      </c>
      <c r="BE12" s="322" t="s">
        <v>3521</v>
      </c>
      <c r="BF12" s="13" t="s">
        <v>185</v>
      </c>
      <c r="BG12" s="13" t="s">
        <v>23</v>
      </c>
      <c r="BH12" s="13" t="s">
        <v>356</v>
      </c>
      <c r="BI12" s="322" t="s">
        <v>3521</v>
      </c>
      <c r="BJ12" s="13" t="s">
        <v>185</v>
      </c>
      <c r="BK12" s="13" t="s">
        <v>23</v>
      </c>
      <c r="BM12" s="41" t="s">
        <v>300</v>
      </c>
      <c r="BN12" s="328" t="s">
        <v>356</v>
      </c>
      <c r="BO12" s="322" t="s">
        <v>3521</v>
      </c>
      <c r="BP12" s="328" t="s">
        <v>185</v>
      </c>
      <c r="BQ12" s="328" t="s">
        <v>23</v>
      </c>
      <c r="BR12" s="328" t="s">
        <v>356</v>
      </c>
      <c r="BS12" s="322" t="s">
        <v>3521</v>
      </c>
      <c r="BT12" s="328" t="s">
        <v>185</v>
      </c>
      <c r="BU12" s="13" t="s">
        <v>23</v>
      </c>
      <c r="BW12" s="41" t="s">
        <v>300</v>
      </c>
      <c r="BX12" s="328" t="s">
        <v>356</v>
      </c>
      <c r="BY12" s="322" t="s">
        <v>3521</v>
      </c>
      <c r="BZ12" s="328" t="s">
        <v>185</v>
      </c>
      <c r="CA12" s="328" t="s">
        <v>23</v>
      </c>
      <c r="CB12" s="328" t="s">
        <v>356</v>
      </c>
      <c r="CC12" s="322" t="s">
        <v>3521</v>
      </c>
      <c r="CD12" s="328" t="s">
        <v>185</v>
      </c>
      <c r="CE12" s="13" t="s">
        <v>23</v>
      </c>
      <c r="CG12" s="329" t="s">
        <v>300</v>
      </c>
      <c r="CH12" s="328" t="s">
        <v>356</v>
      </c>
      <c r="CI12" s="322" t="s">
        <v>3521</v>
      </c>
      <c r="CJ12" s="328" t="s">
        <v>185</v>
      </c>
      <c r="CK12" s="328" t="s">
        <v>23</v>
      </c>
      <c r="CL12" s="328" t="s">
        <v>356</v>
      </c>
      <c r="CM12" s="322" t="s">
        <v>3521</v>
      </c>
      <c r="CN12" s="328" t="s">
        <v>185</v>
      </c>
      <c r="CO12" s="13" t="s">
        <v>23</v>
      </c>
      <c r="CQ12" s="329" t="s">
        <v>300</v>
      </c>
      <c r="CR12" s="328" t="s">
        <v>356</v>
      </c>
      <c r="CS12" s="322" t="s">
        <v>3521</v>
      </c>
      <c r="CT12" s="328" t="s">
        <v>185</v>
      </c>
      <c r="CU12" s="328" t="s">
        <v>23</v>
      </c>
      <c r="CV12" s="328" t="s">
        <v>356</v>
      </c>
      <c r="CW12" s="322" t="s">
        <v>3521</v>
      </c>
      <c r="CX12" s="328" t="s">
        <v>185</v>
      </c>
      <c r="CY12" s="13" t="s">
        <v>23</v>
      </c>
      <c r="DC12" s="329" t="s">
        <v>300</v>
      </c>
      <c r="DD12" s="328" t="s">
        <v>356</v>
      </c>
      <c r="DE12" s="322" t="s">
        <v>3521</v>
      </c>
      <c r="DF12" s="328" t="s">
        <v>185</v>
      </c>
      <c r="DG12" s="328" t="s">
        <v>23</v>
      </c>
      <c r="DH12" s="328" t="s">
        <v>356</v>
      </c>
      <c r="DI12" s="322" t="s">
        <v>3521</v>
      </c>
      <c r="DJ12" s="328" t="s">
        <v>185</v>
      </c>
      <c r="DK12" s="13" t="s">
        <v>23</v>
      </c>
      <c r="DM12" s="329" t="s">
        <v>300</v>
      </c>
      <c r="DN12" s="328" t="s">
        <v>356</v>
      </c>
      <c r="DO12" s="322" t="s">
        <v>3521</v>
      </c>
      <c r="DP12" s="328" t="s">
        <v>185</v>
      </c>
      <c r="DQ12" s="328" t="s">
        <v>23</v>
      </c>
      <c r="DR12" s="328" t="s">
        <v>356</v>
      </c>
      <c r="DS12" s="322" t="s">
        <v>3521</v>
      </c>
      <c r="DT12" s="328" t="s">
        <v>185</v>
      </c>
      <c r="DU12" s="13" t="s">
        <v>23</v>
      </c>
      <c r="DX12" s="329" t="s">
        <v>300</v>
      </c>
      <c r="DY12" s="328" t="s">
        <v>356</v>
      </c>
      <c r="DZ12" s="322" t="s">
        <v>3521</v>
      </c>
      <c r="EA12" s="328" t="s">
        <v>185</v>
      </c>
      <c r="EB12" s="328" t="s">
        <v>23</v>
      </c>
      <c r="EC12" s="328" t="s">
        <v>356</v>
      </c>
      <c r="ED12" s="322" t="s">
        <v>3521</v>
      </c>
      <c r="EE12" s="328" t="s">
        <v>185</v>
      </c>
      <c r="EF12" s="13" t="s">
        <v>23</v>
      </c>
      <c r="EH12" s="329" t="s">
        <v>300</v>
      </c>
      <c r="EI12" s="328" t="s">
        <v>356</v>
      </c>
      <c r="EJ12" s="322" t="s">
        <v>3521</v>
      </c>
      <c r="EK12" s="328" t="s">
        <v>185</v>
      </c>
      <c r="EL12" s="328" t="s">
        <v>23</v>
      </c>
      <c r="EM12" s="328" t="s">
        <v>356</v>
      </c>
      <c r="EN12" s="322" t="s">
        <v>3521</v>
      </c>
      <c r="EO12" s="328" t="s">
        <v>185</v>
      </c>
      <c r="EP12" s="13" t="s">
        <v>23</v>
      </c>
      <c r="ER12" s="329" t="s">
        <v>300</v>
      </c>
      <c r="ES12" s="328" t="s">
        <v>356</v>
      </c>
      <c r="ET12" s="322" t="s">
        <v>3521</v>
      </c>
      <c r="EU12" s="328" t="s">
        <v>185</v>
      </c>
      <c r="EV12" s="328" t="s">
        <v>23</v>
      </c>
      <c r="EW12" s="328" t="s">
        <v>356</v>
      </c>
      <c r="EX12" s="322" t="s">
        <v>3521</v>
      </c>
      <c r="EY12" s="328" t="s">
        <v>185</v>
      </c>
      <c r="EZ12" s="13" t="s">
        <v>23</v>
      </c>
      <c r="FD12" s="329" t="s">
        <v>300</v>
      </c>
      <c r="FE12" s="328" t="s">
        <v>356</v>
      </c>
      <c r="FF12" s="322" t="s">
        <v>3521</v>
      </c>
      <c r="FG12" s="328" t="s">
        <v>185</v>
      </c>
      <c r="FH12" s="328" t="s">
        <v>23</v>
      </c>
      <c r="FI12" s="328" t="s">
        <v>356</v>
      </c>
      <c r="FJ12" s="322" t="s">
        <v>3521</v>
      </c>
      <c r="FK12" s="328" t="s">
        <v>185</v>
      </c>
      <c r="FL12" s="13" t="s">
        <v>23</v>
      </c>
      <c r="FO12" s="329" t="s">
        <v>300</v>
      </c>
      <c r="FP12" s="328" t="s">
        <v>356</v>
      </c>
      <c r="FQ12" s="322" t="s">
        <v>3521</v>
      </c>
      <c r="FR12" s="328" t="s">
        <v>185</v>
      </c>
      <c r="FS12" s="328" t="s">
        <v>23</v>
      </c>
      <c r="FT12" s="328" t="s">
        <v>356</v>
      </c>
      <c r="FU12" s="322" t="s">
        <v>3521</v>
      </c>
      <c r="FV12" s="328" t="s">
        <v>185</v>
      </c>
      <c r="FW12" s="13" t="s">
        <v>23</v>
      </c>
      <c r="FZ12" s="329" t="s">
        <v>300</v>
      </c>
      <c r="GA12" s="328" t="s">
        <v>356</v>
      </c>
      <c r="GB12" s="322" t="s">
        <v>3521</v>
      </c>
      <c r="GC12" s="328" t="s">
        <v>185</v>
      </c>
      <c r="GD12" s="328" t="s">
        <v>23</v>
      </c>
      <c r="GE12" s="328" t="s">
        <v>356</v>
      </c>
      <c r="GF12" s="322" t="s">
        <v>3521</v>
      </c>
      <c r="GG12" s="328" t="s">
        <v>185</v>
      </c>
      <c r="GH12" s="13" t="s">
        <v>23</v>
      </c>
      <c r="GJ12" s="329" t="s">
        <v>300</v>
      </c>
      <c r="GK12" s="328" t="s">
        <v>356</v>
      </c>
      <c r="GL12" s="322" t="s">
        <v>3521</v>
      </c>
      <c r="GM12" s="328" t="s">
        <v>185</v>
      </c>
      <c r="GN12" s="328" t="s">
        <v>23</v>
      </c>
      <c r="GO12" s="328" t="s">
        <v>356</v>
      </c>
      <c r="GP12" s="322" t="s">
        <v>3521</v>
      </c>
      <c r="GQ12" s="328" t="s">
        <v>185</v>
      </c>
      <c r="GR12" s="13" t="s">
        <v>23</v>
      </c>
      <c r="GT12" s="329" t="s">
        <v>300</v>
      </c>
      <c r="GU12" s="89" t="s">
        <v>356</v>
      </c>
      <c r="GV12" s="89" t="s">
        <v>3521</v>
      </c>
      <c r="GW12" s="89" t="s">
        <v>185</v>
      </c>
      <c r="GX12" s="89" t="s">
        <v>23</v>
      </c>
      <c r="GY12" s="89" t="s">
        <v>356</v>
      </c>
      <c r="GZ12" s="89" t="s">
        <v>3521</v>
      </c>
      <c r="HA12" s="89" t="s">
        <v>185</v>
      </c>
      <c r="HB12" s="13" t="s">
        <v>23</v>
      </c>
    </row>
    <row r="13" spans="1:210">
      <c r="A13" s="321">
        <v>45383</v>
      </c>
      <c r="B13" s="41">
        <v>32</v>
      </c>
      <c r="C13" s="41">
        <v>42</v>
      </c>
      <c r="D13" s="41"/>
      <c r="E13" s="321">
        <v>45413</v>
      </c>
      <c r="F13" s="41">
        <v>23</v>
      </c>
      <c r="G13" s="320">
        <v>92</v>
      </c>
      <c r="H13" s="321">
        <v>45444</v>
      </c>
      <c r="I13" s="41">
        <v>101</v>
      </c>
      <c r="J13" s="41">
        <v>88</v>
      </c>
      <c r="K13" s="321">
        <v>45474</v>
      </c>
      <c r="L13" s="41">
        <v>91</v>
      </c>
      <c r="M13" s="41">
        <v>86</v>
      </c>
      <c r="N13" s="321">
        <v>45505</v>
      </c>
      <c r="O13" s="41">
        <v>43</v>
      </c>
      <c r="P13" s="41">
        <v>69</v>
      </c>
      <c r="R13" s="321">
        <v>45536</v>
      </c>
      <c r="S13" s="41" t="s">
        <v>3522</v>
      </c>
      <c r="T13" s="41">
        <v>80</v>
      </c>
      <c r="V13" s="321">
        <v>45566</v>
      </c>
      <c r="W13" s="41">
        <v>111</v>
      </c>
      <c r="X13" s="41">
        <v>87</v>
      </c>
      <c r="Y13" s="322">
        <v>29</v>
      </c>
      <c r="AA13" s="321">
        <v>45597</v>
      </c>
      <c r="AB13" s="41">
        <v>108</v>
      </c>
      <c r="AC13" s="41">
        <v>81</v>
      </c>
      <c r="AD13" s="321">
        <v>45627</v>
      </c>
      <c r="AE13" s="13">
        <v>86</v>
      </c>
      <c r="AF13" s="13" t="s">
        <v>3522</v>
      </c>
      <c r="AH13" s="321">
        <v>45658</v>
      </c>
      <c r="AI13" s="321"/>
      <c r="AJ13" s="13">
        <v>52</v>
      </c>
      <c r="AK13" s="13">
        <v>81</v>
      </c>
      <c r="AL13" s="13">
        <v>52</v>
      </c>
      <c r="AM13" s="13"/>
      <c r="AN13" s="321">
        <v>45689</v>
      </c>
      <c r="AO13" s="13">
        <v>82</v>
      </c>
      <c r="AP13" s="13"/>
      <c r="AQ13" s="13">
        <v>12</v>
      </c>
      <c r="AR13" s="13">
        <f t="shared" ref="AR13:AR23" si="0">+AO13+AQ13</f>
        <v>94</v>
      </c>
      <c r="AS13" s="30">
        <v>101</v>
      </c>
      <c r="AT13" s="30"/>
      <c r="AU13" s="30">
        <v>19</v>
      </c>
      <c r="AV13" s="30">
        <f t="shared" ref="AV13:AV43" si="1">+AS13+AT13+AU13</f>
        <v>120</v>
      </c>
      <c r="AX13" s="321"/>
      <c r="AY13" s="13"/>
      <c r="AZ13" s="13"/>
      <c r="BA13" s="13"/>
      <c r="BB13" s="13"/>
      <c r="BC13" s="321">
        <v>45717</v>
      </c>
      <c r="BD13" s="13">
        <v>90</v>
      </c>
      <c r="BE13" s="13">
        <v>18</v>
      </c>
      <c r="BF13" s="13"/>
      <c r="BG13" s="13">
        <f>+BD13+BF13+BE13</f>
        <v>108</v>
      </c>
      <c r="BH13" s="13">
        <v>85</v>
      </c>
      <c r="BI13" s="13">
        <v>30</v>
      </c>
      <c r="BJ13" s="13">
        <v>22</v>
      </c>
      <c r="BK13" s="30">
        <f t="shared" ref="BK13:BK43" si="2">+BH13+BI13+BJ13</f>
        <v>137</v>
      </c>
      <c r="BM13" s="321">
        <v>45748</v>
      </c>
      <c r="BN13" s="13">
        <v>72</v>
      </c>
      <c r="BO13" s="13"/>
      <c r="BP13" s="13">
        <v>23</v>
      </c>
      <c r="BQ13" s="13">
        <f>+BN13+BP13+BO13</f>
        <v>95</v>
      </c>
      <c r="BR13" s="13">
        <v>61</v>
      </c>
      <c r="BS13" s="13">
        <v>12</v>
      </c>
      <c r="BT13" s="13">
        <v>20</v>
      </c>
      <c r="BU13" s="30">
        <f t="shared" ref="BU13:BU43" si="3">+BR13+BS13+BT13</f>
        <v>93</v>
      </c>
      <c r="BW13" s="321">
        <v>45778</v>
      </c>
      <c r="BX13" s="13">
        <v>95</v>
      </c>
      <c r="BY13" s="13"/>
      <c r="BZ13" s="13">
        <v>6</v>
      </c>
      <c r="CA13" s="13">
        <f>+BX13+BZ13+BY13</f>
        <v>101</v>
      </c>
      <c r="CB13" s="13">
        <v>93</v>
      </c>
      <c r="CC13" s="13">
        <v>45</v>
      </c>
      <c r="CD13" s="13">
        <v>9</v>
      </c>
      <c r="CE13" s="30">
        <f t="shared" ref="CE13:CE43" si="4">+CB13+CC13+CD13</f>
        <v>147</v>
      </c>
      <c r="CG13" s="329">
        <v>45809</v>
      </c>
      <c r="CH13" s="13"/>
      <c r="CI13" s="13"/>
      <c r="CJ13" s="13"/>
      <c r="CK13" s="13">
        <f>+CH13+CJ13+CI13</f>
        <v>0</v>
      </c>
      <c r="CL13" s="13">
        <v>60</v>
      </c>
      <c r="CM13" s="13">
        <v>59</v>
      </c>
      <c r="CN13" s="13">
        <v>23</v>
      </c>
      <c r="CO13" s="30">
        <f t="shared" ref="CO13:CO43" si="5">+CL13+CM13+CN13</f>
        <v>142</v>
      </c>
      <c r="CQ13" s="329">
        <v>45839</v>
      </c>
      <c r="CR13" s="13">
        <v>87</v>
      </c>
      <c r="CS13" s="13">
        <v>0</v>
      </c>
      <c r="CT13" s="13">
        <v>23</v>
      </c>
      <c r="CU13" s="13">
        <f>+CR13+CT13+CS13</f>
        <v>110</v>
      </c>
      <c r="CV13" s="13">
        <v>79</v>
      </c>
      <c r="CW13" s="13">
        <v>36</v>
      </c>
      <c r="CX13" s="13">
        <v>23</v>
      </c>
      <c r="CY13" s="30">
        <f t="shared" ref="CY13:CY43" si="6">+CV13+CW13+CX13</f>
        <v>138</v>
      </c>
      <c r="DC13" s="321">
        <v>45870</v>
      </c>
      <c r="DD13" s="13">
        <v>69</v>
      </c>
      <c r="DE13" s="13">
        <v>0</v>
      </c>
      <c r="DF13" s="13">
        <v>21</v>
      </c>
      <c r="DG13" s="13">
        <f>+DD13+DF13+DE13</f>
        <v>90</v>
      </c>
      <c r="DH13" s="13">
        <v>68</v>
      </c>
      <c r="DI13" s="13">
        <v>63</v>
      </c>
      <c r="DJ13" s="13">
        <v>20</v>
      </c>
      <c r="DK13" s="30">
        <f t="shared" ref="DK13:DK43" si="7">+DH13+DI13+DJ13</f>
        <v>151</v>
      </c>
      <c r="DM13" s="321">
        <v>45901</v>
      </c>
      <c r="DN13" s="89">
        <v>85</v>
      </c>
      <c r="DO13" s="69">
        <v>0</v>
      </c>
      <c r="DP13" s="69">
        <v>14</v>
      </c>
      <c r="DQ13" s="13">
        <f>+DN13+DP13+DO13</f>
        <v>99</v>
      </c>
      <c r="DR13" s="89">
        <v>122</v>
      </c>
      <c r="DS13" s="89">
        <v>0</v>
      </c>
      <c r="DT13" s="89">
        <v>12</v>
      </c>
      <c r="DU13" s="30">
        <f t="shared" ref="DU13:DU43" si="8">+DR13+DS13+DT13</f>
        <v>134</v>
      </c>
      <c r="DX13" s="321">
        <v>45931</v>
      </c>
      <c r="DY13" s="89">
        <v>0</v>
      </c>
      <c r="DZ13" s="69">
        <v>0</v>
      </c>
      <c r="EA13" s="69">
        <v>0</v>
      </c>
      <c r="EB13" s="13">
        <f>+DY13+EA13+DZ13</f>
        <v>0</v>
      </c>
      <c r="EC13" s="89">
        <v>0</v>
      </c>
      <c r="ED13" s="69">
        <v>0</v>
      </c>
      <c r="EE13" s="69">
        <v>0</v>
      </c>
      <c r="EF13" s="30">
        <f t="shared" ref="EF13:EF43" si="9">+EC13+ED13+EE13</f>
        <v>0</v>
      </c>
      <c r="EH13" s="321">
        <v>45962</v>
      </c>
      <c r="EI13" s="89">
        <v>99</v>
      </c>
      <c r="EJ13" s="69">
        <v>0</v>
      </c>
      <c r="EK13" s="89">
        <v>0</v>
      </c>
      <c r="EL13" s="13">
        <f>+EI13+EK13+EJ13</f>
        <v>99</v>
      </c>
      <c r="EM13" s="89">
        <v>95</v>
      </c>
      <c r="EN13" s="89">
        <v>46</v>
      </c>
      <c r="EO13" s="89">
        <v>9</v>
      </c>
      <c r="EP13" s="30">
        <f t="shared" ref="EP13:EP43" si="10">+EM13+EN13+EO13</f>
        <v>150</v>
      </c>
      <c r="ER13" s="321">
        <v>45992</v>
      </c>
      <c r="ES13" s="89">
        <v>0</v>
      </c>
      <c r="ET13" s="89">
        <v>0</v>
      </c>
      <c r="EU13" s="89">
        <v>0</v>
      </c>
      <c r="EV13" s="13">
        <f>+ES13+EU13+ET13</f>
        <v>0</v>
      </c>
      <c r="EW13" s="89">
        <v>0</v>
      </c>
      <c r="EX13" s="89">
        <v>0</v>
      </c>
      <c r="EY13" s="89">
        <v>0</v>
      </c>
      <c r="EZ13" s="30">
        <f t="shared" ref="EZ13:EZ43" si="11">+EW13+EX13+EY13</f>
        <v>0</v>
      </c>
      <c r="FA13" t="s">
        <v>3522</v>
      </c>
      <c r="FD13" s="321">
        <v>46023</v>
      </c>
      <c r="FE13" s="89">
        <v>0</v>
      </c>
      <c r="FF13" s="89">
        <v>82</v>
      </c>
      <c r="FG13" s="89">
        <v>14</v>
      </c>
      <c r="FH13" s="13">
        <f>+FE13+FG13+FF13</f>
        <v>96</v>
      </c>
      <c r="FI13" s="89">
        <v>0</v>
      </c>
      <c r="FJ13" s="89">
        <v>69</v>
      </c>
      <c r="FK13" s="89">
        <v>32</v>
      </c>
      <c r="FL13" s="30">
        <f t="shared" ref="FL13:FL43" si="12">+FI13+FJ13+FK13</f>
        <v>101</v>
      </c>
      <c r="FM13" t="s">
        <v>3522</v>
      </c>
      <c r="FO13" s="321">
        <v>46054</v>
      </c>
      <c r="FP13" s="89"/>
      <c r="FQ13" s="89"/>
      <c r="FR13" s="89"/>
      <c r="FS13" s="89">
        <f>+FP13+FR13+FQ13</f>
        <v>0</v>
      </c>
      <c r="FT13" s="89">
        <v>12</v>
      </c>
      <c r="FU13" s="89">
        <v>72</v>
      </c>
      <c r="FV13" s="89"/>
      <c r="FW13" s="89">
        <f t="shared" ref="FW13:FW40" si="13">+FT13+FU13+FV13</f>
        <v>84</v>
      </c>
      <c r="FZ13" s="321">
        <v>46082</v>
      </c>
      <c r="GA13" s="89">
        <v>93</v>
      </c>
      <c r="GB13" s="89"/>
      <c r="GC13" s="89"/>
      <c r="GD13" s="89">
        <f>+GA13+GC13+GB13</f>
        <v>93</v>
      </c>
      <c r="GE13" s="89">
        <v>88</v>
      </c>
      <c r="GF13" s="89">
        <v>45</v>
      </c>
      <c r="GG13" s="89">
        <v>37</v>
      </c>
      <c r="GH13" s="89">
        <f t="shared" ref="GH13:GH43" si="14">+GE13+GF13+GG13</f>
        <v>170</v>
      </c>
      <c r="GJ13" s="321">
        <v>46113</v>
      </c>
      <c r="GK13" s="89">
        <v>0</v>
      </c>
      <c r="GL13" s="89">
        <v>0</v>
      </c>
      <c r="GM13" s="89">
        <v>0</v>
      </c>
      <c r="GN13" s="89">
        <f>+GK13+GM13+GL13</f>
        <v>0</v>
      </c>
      <c r="GO13" s="89">
        <v>86</v>
      </c>
      <c r="GP13" s="89">
        <v>40</v>
      </c>
      <c r="GQ13" s="89">
        <v>10</v>
      </c>
      <c r="GR13" s="89">
        <f t="shared" ref="GR13:GR43" si="15">+GO13+GP13+GQ13</f>
        <v>136</v>
      </c>
      <c r="GT13" s="321">
        <v>46143</v>
      </c>
      <c r="GU13" s="89">
        <v>95</v>
      </c>
      <c r="GV13" s="89">
        <v>0</v>
      </c>
      <c r="GW13" s="89">
        <v>9</v>
      </c>
      <c r="GX13" s="89">
        <f>+GU13+GW13+GV13</f>
        <v>104</v>
      </c>
      <c r="GY13" s="89">
        <v>123</v>
      </c>
      <c r="GZ13" s="89">
        <v>0</v>
      </c>
      <c r="HA13" s="89">
        <v>21</v>
      </c>
      <c r="HB13" s="89">
        <f t="shared" ref="HB13:HB43" si="16">+GY13+GZ13+HA13</f>
        <v>144</v>
      </c>
    </row>
    <row r="14" spans="1:210">
      <c r="A14" s="321">
        <v>45384</v>
      </c>
      <c r="B14" s="41" t="s">
        <v>3522</v>
      </c>
      <c r="C14" s="41" t="s">
        <v>3522</v>
      </c>
      <c r="D14" s="41"/>
      <c r="E14" s="321">
        <v>45414</v>
      </c>
      <c r="F14" s="41" t="s">
        <v>3522</v>
      </c>
      <c r="G14" s="320" t="s">
        <v>3522</v>
      </c>
      <c r="H14" s="321">
        <v>45445</v>
      </c>
      <c r="I14" s="41">
        <v>108</v>
      </c>
      <c r="J14" s="41">
        <v>87</v>
      </c>
      <c r="K14" s="321">
        <v>45475</v>
      </c>
      <c r="L14" s="41">
        <v>78</v>
      </c>
      <c r="M14" s="41">
        <v>91</v>
      </c>
      <c r="N14" s="321">
        <v>45506</v>
      </c>
      <c r="O14" s="41">
        <v>65</v>
      </c>
      <c r="P14" s="41">
        <v>59</v>
      </c>
      <c r="R14" s="321">
        <v>45537</v>
      </c>
      <c r="S14" s="41">
        <v>75</v>
      </c>
      <c r="T14" s="41">
        <v>77</v>
      </c>
      <c r="V14" s="321">
        <v>45567</v>
      </c>
      <c r="W14" s="13">
        <v>111</v>
      </c>
      <c r="X14" s="13">
        <v>89</v>
      </c>
      <c r="Y14" s="323">
        <v>15</v>
      </c>
      <c r="AA14" s="321">
        <v>45598</v>
      </c>
      <c r="AB14" s="13">
        <v>119</v>
      </c>
      <c r="AC14" s="13">
        <v>83</v>
      </c>
      <c r="AD14" s="321">
        <v>45628</v>
      </c>
      <c r="AE14" s="13">
        <v>82</v>
      </c>
      <c r="AF14" s="13">
        <v>90</v>
      </c>
      <c r="AH14" s="321">
        <v>45659</v>
      </c>
      <c r="AI14" s="321"/>
      <c r="AJ14" s="13">
        <v>82</v>
      </c>
      <c r="AK14" s="13">
        <v>95</v>
      </c>
      <c r="AL14" s="13">
        <v>82</v>
      </c>
      <c r="AM14" s="13"/>
      <c r="AN14" s="321">
        <v>45690</v>
      </c>
      <c r="AO14" s="13">
        <v>95</v>
      </c>
      <c r="AP14" s="13"/>
      <c r="AQ14" s="13">
        <v>4</v>
      </c>
      <c r="AR14" s="13">
        <f t="shared" si="0"/>
        <v>99</v>
      </c>
      <c r="AS14" s="30">
        <v>87</v>
      </c>
      <c r="AT14" s="30"/>
      <c r="AU14" s="30">
        <v>0</v>
      </c>
      <c r="AV14" s="30">
        <f t="shared" si="1"/>
        <v>87</v>
      </c>
      <c r="AX14" s="321"/>
      <c r="AY14" s="13"/>
      <c r="AZ14" s="13"/>
      <c r="BA14" s="13"/>
      <c r="BB14" s="13"/>
      <c r="BC14" s="321">
        <v>45718</v>
      </c>
      <c r="BD14" s="13">
        <v>96</v>
      </c>
      <c r="BE14" s="13">
        <v>3</v>
      </c>
      <c r="BF14" s="13"/>
      <c r="BG14" s="13">
        <f t="shared" ref="BG14:BG43" si="17">+BD14+BF14+BE14</f>
        <v>99</v>
      </c>
      <c r="BH14" s="13">
        <v>91</v>
      </c>
      <c r="BI14" s="13">
        <v>16</v>
      </c>
      <c r="BJ14" s="13">
        <v>31</v>
      </c>
      <c r="BK14" s="30">
        <f t="shared" si="2"/>
        <v>138</v>
      </c>
      <c r="BM14" s="329">
        <v>45749</v>
      </c>
      <c r="BN14" s="330">
        <v>0</v>
      </c>
      <c r="BO14" s="330">
        <v>0</v>
      </c>
      <c r="BP14" s="330"/>
      <c r="BQ14" s="330">
        <f t="shared" ref="BQ14:BQ43" si="18">+BN14+BP14+BO14</f>
        <v>0</v>
      </c>
      <c r="BR14" s="330">
        <v>0</v>
      </c>
      <c r="BS14" s="330">
        <v>0</v>
      </c>
      <c r="BT14" s="330">
        <v>0</v>
      </c>
      <c r="BU14" s="331">
        <f t="shared" si="3"/>
        <v>0</v>
      </c>
      <c r="BW14" s="321">
        <v>45779</v>
      </c>
      <c r="BX14" s="13">
        <v>74</v>
      </c>
      <c r="BY14" s="13">
        <v>0</v>
      </c>
      <c r="BZ14" s="13">
        <v>18</v>
      </c>
      <c r="CA14" s="330">
        <f t="shared" ref="CA14:CA43" si="19">+BX14+BZ14+BY14</f>
        <v>92</v>
      </c>
      <c r="CB14" s="13">
        <v>66</v>
      </c>
      <c r="CC14" s="13">
        <v>32</v>
      </c>
      <c r="CD14" s="13">
        <v>6</v>
      </c>
      <c r="CE14" s="331">
        <f t="shared" si="4"/>
        <v>104</v>
      </c>
      <c r="CG14" s="321">
        <v>45810</v>
      </c>
      <c r="CH14" s="13">
        <v>85</v>
      </c>
      <c r="CI14" s="13">
        <v>0</v>
      </c>
      <c r="CJ14" s="13">
        <v>19</v>
      </c>
      <c r="CK14" s="330">
        <f t="shared" ref="CK14:CK43" si="20">+CH14+CJ14+CI14</f>
        <v>104</v>
      </c>
      <c r="CL14" s="13"/>
      <c r="CM14" s="13"/>
      <c r="CN14" s="13"/>
      <c r="CO14" s="331">
        <f t="shared" si="5"/>
        <v>0</v>
      </c>
      <c r="CQ14" s="321">
        <v>45840</v>
      </c>
      <c r="CR14" s="13">
        <v>0</v>
      </c>
      <c r="CS14" s="13">
        <v>0</v>
      </c>
      <c r="CT14" s="13">
        <v>0</v>
      </c>
      <c r="CU14" s="330">
        <f t="shared" ref="CU14:CU23" si="21">+CR14+CT14+CS14</f>
        <v>0</v>
      </c>
      <c r="CV14" s="13">
        <v>0</v>
      </c>
      <c r="CW14" s="13">
        <v>0</v>
      </c>
      <c r="CX14" s="13">
        <v>0</v>
      </c>
      <c r="CY14" s="331">
        <f t="shared" si="6"/>
        <v>0</v>
      </c>
      <c r="DC14" s="321">
        <v>45871</v>
      </c>
      <c r="DD14" s="13">
        <v>80</v>
      </c>
      <c r="DE14" s="13">
        <v>0</v>
      </c>
      <c r="DF14" s="13">
        <v>16</v>
      </c>
      <c r="DG14" s="330">
        <f>+DD14+DF14+DE14</f>
        <v>96</v>
      </c>
      <c r="DH14" s="13">
        <v>45</v>
      </c>
      <c r="DI14" s="13">
        <v>61</v>
      </c>
      <c r="DJ14" s="13">
        <v>24</v>
      </c>
      <c r="DK14" s="331">
        <f t="shared" si="7"/>
        <v>130</v>
      </c>
      <c r="DM14" s="321">
        <v>45902</v>
      </c>
      <c r="DN14" s="89">
        <v>85</v>
      </c>
      <c r="DO14" s="89">
        <v>0</v>
      </c>
      <c r="DP14" s="89">
        <v>16</v>
      </c>
      <c r="DQ14" s="330">
        <f>+DN14+DP14+DO14</f>
        <v>101</v>
      </c>
      <c r="DR14" s="89">
        <v>119</v>
      </c>
      <c r="DS14" s="89">
        <v>10</v>
      </c>
      <c r="DT14" s="89">
        <v>6</v>
      </c>
      <c r="DU14" s="331">
        <f t="shared" si="8"/>
        <v>135</v>
      </c>
      <c r="DX14" s="321">
        <v>45932</v>
      </c>
      <c r="DY14" s="89">
        <v>86</v>
      </c>
      <c r="DZ14" s="69">
        <v>0</v>
      </c>
      <c r="EA14" s="69">
        <v>6</v>
      </c>
      <c r="EB14" s="330">
        <f>+DY14+EA14+DZ14</f>
        <v>92</v>
      </c>
      <c r="EC14" s="89">
        <v>100</v>
      </c>
      <c r="ED14" s="69">
        <v>29</v>
      </c>
      <c r="EE14" s="69">
        <v>6</v>
      </c>
      <c r="EF14" s="331">
        <f t="shared" si="9"/>
        <v>135</v>
      </c>
      <c r="EH14" s="321">
        <v>45963</v>
      </c>
      <c r="EI14" s="89">
        <v>97</v>
      </c>
      <c r="EJ14" s="89">
        <v>0</v>
      </c>
      <c r="EK14" s="89">
        <v>0</v>
      </c>
      <c r="EL14" s="330">
        <f>+EI14+EK14+EJ14</f>
        <v>97</v>
      </c>
      <c r="EM14" s="89">
        <v>50</v>
      </c>
      <c r="EN14" s="89">
        <v>60</v>
      </c>
      <c r="EO14" s="89">
        <v>22</v>
      </c>
      <c r="EP14" s="331">
        <f t="shared" si="10"/>
        <v>132</v>
      </c>
      <c r="ER14" s="321">
        <v>45993</v>
      </c>
      <c r="ES14" s="89">
        <v>0</v>
      </c>
      <c r="ET14" s="89">
        <v>7</v>
      </c>
      <c r="EU14" s="89">
        <v>53</v>
      </c>
      <c r="EV14" s="330">
        <f>+ES14+EU14+ET14</f>
        <v>60</v>
      </c>
      <c r="EW14" s="89">
        <v>0</v>
      </c>
      <c r="EX14" s="89">
        <v>0</v>
      </c>
      <c r="EY14" s="89">
        <v>53</v>
      </c>
      <c r="EZ14" s="331">
        <f t="shared" si="11"/>
        <v>53</v>
      </c>
      <c r="FD14" s="321">
        <v>46024</v>
      </c>
      <c r="FE14" s="89">
        <v>0</v>
      </c>
      <c r="FF14" s="89">
        <v>82</v>
      </c>
      <c r="FG14" s="89">
        <v>27</v>
      </c>
      <c r="FH14" s="330">
        <f>+FE14+FG14+FF14</f>
        <v>109</v>
      </c>
      <c r="FI14" s="89">
        <v>0</v>
      </c>
      <c r="FJ14" s="89">
        <v>46</v>
      </c>
      <c r="FK14" s="89">
        <v>32</v>
      </c>
      <c r="FL14" s="331">
        <f t="shared" si="12"/>
        <v>78</v>
      </c>
      <c r="FO14" s="321">
        <v>46055</v>
      </c>
      <c r="FP14" s="89">
        <v>81</v>
      </c>
      <c r="FQ14" s="89">
        <v>0</v>
      </c>
      <c r="FR14" s="89">
        <v>22</v>
      </c>
      <c r="FS14" s="89">
        <f>+FP14+FR14+FQ14</f>
        <v>103</v>
      </c>
      <c r="FT14" s="89">
        <v>22</v>
      </c>
      <c r="FU14" s="89">
        <v>66</v>
      </c>
      <c r="FV14" s="89">
        <v>51</v>
      </c>
      <c r="FW14" s="89">
        <f t="shared" si="13"/>
        <v>139</v>
      </c>
      <c r="FZ14" s="321">
        <v>46083</v>
      </c>
      <c r="GA14" s="89">
        <v>80</v>
      </c>
      <c r="GB14" s="89">
        <v>0</v>
      </c>
      <c r="GC14" s="89">
        <v>21</v>
      </c>
      <c r="GD14" s="89">
        <f>+GA14+GC14+GB14</f>
        <v>101</v>
      </c>
      <c r="GE14" s="89">
        <v>89</v>
      </c>
      <c r="GF14" s="89">
        <v>38</v>
      </c>
      <c r="GG14" s="89">
        <v>27</v>
      </c>
      <c r="GH14" s="89">
        <f t="shared" si="14"/>
        <v>154</v>
      </c>
      <c r="GJ14" s="321">
        <v>46114</v>
      </c>
      <c r="GK14" s="89">
        <v>83</v>
      </c>
      <c r="GL14" s="89">
        <v>0</v>
      </c>
      <c r="GM14" s="89">
        <v>18</v>
      </c>
      <c r="GN14" s="89">
        <f>+GK14+GM14+GL14</f>
        <v>101</v>
      </c>
      <c r="GO14" s="89">
        <v>87</v>
      </c>
      <c r="GP14" s="89">
        <v>37</v>
      </c>
      <c r="GQ14" s="89">
        <v>12</v>
      </c>
      <c r="GR14" s="89">
        <f t="shared" si="15"/>
        <v>136</v>
      </c>
      <c r="GT14" s="321">
        <v>46144</v>
      </c>
      <c r="GU14" s="89">
        <v>91</v>
      </c>
      <c r="GV14" s="89">
        <v>0</v>
      </c>
      <c r="GW14" s="89">
        <v>10</v>
      </c>
      <c r="GX14" s="89">
        <f>+GU14+GW14+GV14</f>
        <v>101</v>
      </c>
      <c r="GY14" s="89">
        <v>127</v>
      </c>
      <c r="GZ14" s="89">
        <v>0</v>
      </c>
      <c r="HA14" s="89">
        <v>12</v>
      </c>
      <c r="HB14" s="89">
        <f t="shared" si="16"/>
        <v>139</v>
      </c>
    </row>
    <row r="15" spans="1:210">
      <c r="A15" s="321">
        <v>45385</v>
      </c>
      <c r="B15" s="41">
        <v>70</v>
      </c>
      <c r="C15" s="41">
        <v>85</v>
      </c>
      <c r="D15" s="41"/>
      <c r="E15" s="321">
        <v>45415</v>
      </c>
      <c r="F15" s="41">
        <v>11</v>
      </c>
      <c r="G15" s="320">
        <v>39</v>
      </c>
      <c r="H15" s="321">
        <v>45446</v>
      </c>
      <c r="I15" s="41">
        <v>0</v>
      </c>
      <c r="J15" s="41">
        <v>65</v>
      </c>
      <c r="K15" s="321">
        <v>45476</v>
      </c>
      <c r="L15" s="41" t="s">
        <v>3522</v>
      </c>
      <c r="M15" s="41">
        <v>66</v>
      </c>
      <c r="N15" s="321">
        <v>45507</v>
      </c>
      <c r="O15" s="41">
        <v>54</v>
      </c>
      <c r="P15" s="41">
        <v>81</v>
      </c>
      <c r="R15" s="321">
        <v>45538</v>
      </c>
      <c r="S15" s="41">
        <v>62</v>
      </c>
      <c r="T15" s="41">
        <v>84</v>
      </c>
      <c r="V15" s="321">
        <v>45568</v>
      </c>
      <c r="W15" s="13">
        <v>98</v>
      </c>
      <c r="X15" s="13">
        <v>88</v>
      </c>
      <c r="AA15" s="321">
        <v>45599</v>
      </c>
      <c r="AB15" s="13">
        <v>88</v>
      </c>
      <c r="AC15" s="13" t="s">
        <v>3522</v>
      </c>
      <c r="AD15" s="321">
        <v>45629</v>
      </c>
      <c r="AE15" s="13">
        <v>89</v>
      </c>
      <c r="AF15" s="13">
        <v>89</v>
      </c>
      <c r="AH15" s="321">
        <v>45660</v>
      </c>
      <c r="AI15" s="321"/>
      <c r="AJ15" s="13">
        <v>41</v>
      </c>
      <c r="AK15" s="13">
        <v>75</v>
      </c>
      <c r="AL15" s="13">
        <v>41</v>
      </c>
      <c r="AM15" s="13"/>
      <c r="AN15" s="321">
        <v>45691</v>
      </c>
      <c r="AO15" s="13">
        <v>84</v>
      </c>
      <c r="AP15" s="13"/>
      <c r="AQ15" s="13">
        <v>14</v>
      </c>
      <c r="AR15" s="13">
        <f t="shared" si="0"/>
        <v>98</v>
      </c>
      <c r="AS15" s="30">
        <v>102</v>
      </c>
      <c r="AT15" s="30"/>
      <c r="AU15" s="30">
        <v>31</v>
      </c>
      <c r="AV15" s="30">
        <f t="shared" si="1"/>
        <v>133</v>
      </c>
      <c r="AX15" s="321"/>
      <c r="AY15" s="13"/>
      <c r="AZ15" s="13"/>
      <c r="BA15" s="13"/>
      <c r="BB15" s="13"/>
      <c r="BC15" s="321">
        <v>45719</v>
      </c>
      <c r="BD15" s="13">
        <v>85</v>
      </c>
      <c r="BE15" s="13">
        <v>12</v>
      </c>
      <c r="BF15" s="13"/>
      <c r="BG15" s="13">
        <f t="shared" si="17"/>
        <v>97</v>
      </c>
      <c r="BH15" s="13">
        <v>87</v>
      </c>
      <c r="BI15" s="13">
        <v>30</v>
      </c>
      <c r="BJ15" s="13">
        <v>20</v>
      </c>
      <c r="BK15" s="30">
        <f t="shared" si="2"/>
        <v>137</v>
      </c>
      <c r="BM15" s="321">
        <v>45750</v>
      </c>
      <c r="BN15" s="13">
        <v>67</v>
      </c>
      <c r="BO15" s="13">
        <v>16</v>
      </c>
      <c r="BP15" s="13">
        <v>12</v>
      </c>
      <c r="BQ15" s="13">
        <f t="shared" si="18"/>
        <v>95</v>
      </c>
      <c r="BR15" s="13">
        <v>25</v>
      </c>
      <c r="BS15" s="13">
        <v>65</v>
      </c>
      <c r="BT15" s="13">
        <v>13</v>
      </c>
      <c r="BU15" s="30">
        <f t="shared" si="3"/>
        <v>103</v>
      </c>
      <c r="BW15" s="321">
        <v>45780</v>
      </c>
      <c r="BX15" s="13">
        <v>82</v>
      </c>
      <c r="BY15" s="13">
        <v>12</v>
      </c>
      <c r="BZ15" s="13">
        <v>6</v>
      </c>
      <c r="CA15" s="13">
        <f t="shared" si="19"/>
        <v>100</v>
      </c>
      <c r="CB15" s="13">
        <v>93</v>
      </c>
      <c r="CC15" s="13">
        <v>40</v>
      </c>
      <c r="CD15" s="13">
        <v>6</v>
      </c>
      <c r="CE15" s="30">
        <f t="shared" si="4"/>
        <v>139</v>
      </c>
      <c r="CG15" s="321">
        <v>45811</v>
      </c>
      <c r="CH15" s="13">
        <v>78</v>
      </c>
      <c r="CI15" s="13"/>
      <c r="CJ15" s="13">
        <v>14</v>
      </c>
      <c r="CK15" s="13">
        <f t="shared" si="20"/>
        <v>92</v>
      </c>
      <c r="CL15" s="13">
        <v>24</v>
      </c>
      <c r="CM15" s="13">
        <v>67</v>
      </c>
      <c r="CN15" s="13">
        <v>47</v>
      </c>
      <c r="CO15" s="30">
        <f t="shared" si="5"/>
        <v>138</v>
      </c>
      <c r="CQ15" s="321">
        <v>45841</v>
      </c>
      <c r="CR15" s="13">
        <v>73</v>
      </c>
      <c r="CS15" s="13">
        <v>0</v>
      </c>
      <c r="CT15" s="13">
        <v>42</v>
      </c>
      <c r="CU15" s="330">
        <f t="shared" si="21"/>
        <v>115</v>
      </c>
      <c r="CV15" s="13">
        <v>53</v>
      </c>
      <c r="CW15" s="13">
        <v>74</v>
      </c>
      <c r="CX15" s="13">
        <v>15</v>
      </c>
      <c r="CY15" s="30">
        <f t="shared" si="6"/>
        <v>142</v>
      </c>
      <c r="DC15" s="329">
        <v>45872</v>
      </c>
      <c r="DD15" s="13">
        <v>0</v>
      </c>
      <c r="DE15" s="13">
        <v>0</v>
      </c>
      <c r="DF15" s="13">
        <v>0</v>
      </c>
      <c r="DG15" s="330">
        <f>+DD15+DF15+DE15</f>
        <v>0</v>
      </c>
      <c r="DH15" s="13">
        <v>62</v>
      </c>
      <c r="DI15" s="13">
        <v>36</v>
      </c>
      <c r="DJ15" s="13">
        <v>24</v>
      </c>
      <c r="DK15" s="30">
        <f t="shared" si="7"/>
        <v>122</v>
      </c>
      <c r="DM15" s="321">
        <v>45903</v>
      </c>
      <c r="DN15" s="89">
        <v>49</v>
      </c>
      <c r="DO15" s="89">
        <v>0</v>
      </c>
      <c r="DP15" s="89">
        <v>30</v>
      </c>
      <c r="DQ15" s="89">
        <f>+DN15+DP15+DO15</f>
        <v>79</v>
      </c>
      <c r="DR15" s="89">
        <v>114</v>
      </c>
      <c r="DS15" s="89">
        <v>10</v>
      </c>
      <c r="DT15" s="89">
        <v>6</v>
      </c>
      <c r="DU15" s="30">
        <f t="shared" si="8"/>
        <v>130</v>
      </c>
      <c r="DX15" s="321">
        <v>45933</v>
      </c>
      <c r="DY15" s="89">
        <v>96</v>
      </c>
      <c r="DZ15" s="69">
        <v>0</v>
      </c>
      <c r="EA15" s="69">
        <v>0</v>
      </c>
      <c r="EB15" s="89">
        <f>+DY15+EA15+DZ15</f>
        <v>96</v>
      </c>
      <c r="EC15" s="89">
        <v>113</v>
      </c>
      <c r="ED15" s="69">
        <v>0</v>
      </c>
      <c r="EE15" s="69">
        <v>18</v>
      </c>
      <c r="EF15" s="30">
        <f t="shared" si="9"/>
        <v>131</v>
      </c>
      <c r="EH15" s="321">
        <v>45964</v>
      </c>
      <c r="EI15" s="89">
        <v>25</v>
      </c>
      <c r="EJ15" s="89">
        <v>62</v>
      </c>
      <c r="EK15" s="89">
        <v>10</v>
      </c>
      <c r="EL15" s="89">
        <f>+EI15+EK15+EJ15</f>
        <v>97</v>
      </c>
      <c r="EM15" s="89">
        <v>0</v>
      </c>
      <c r="EN15" s="89">
        <v>129</v>
      </c>
      <c r="EO15" s="89">
        <v>18</v>
      </c>
      <c r="EP15" s="30">
        <f t="shared" si="10"/>
        <v>147</v>
      </c>
      <c r="ER15" s="321">
        <v>45994</v>
      </c>
      <c r="ES15" s="89">
        <v>0</v>
      </c>
      <c r="ET15" s="89">
        <v>7</v>
      </c>
      <c r="EU15" s="89">
        <v>13</v>
      </c>
      <c r="EV15" s="89">
        <f>+ES15+EU15+ET15</f>
        <v>20</v>
      </c>
      <c r="EW15" s="89">
        <v>0</v>
      </c>
      <c r="EX15" s="89">
        <v>0</v>
      </c>
      <c r="EY15" s="89">
        <v>28</v>
      </c>
      <c r="EZ15" s="30">
        <f t="shared" si="11"/>
        <v>28</v>
      </c>
      <c r="FD15" s="321">
        <v>46025</v>
      </c>
      <c r="FE15" s="89">
        <v>0</v>
      </c>
      <c r="FF15" s="89">
        <v>92</v>
      </c>
      <c r="FG15" s="89">
        <v>10</v>
      </c>
      <c r="FH15" s="89">
        <f>+FE15+FG15+FF15</f>
        <v>102</v>
      </c>
      <c r="FI15" s="89">
        <v>0</v>
      </c>
      <c r="FJ15" s="89">
        <v>58</v>
      </c>
      <c r="FK15" s="89">
        <v>31</v>
      </c>
      <c r="FL15" s="30">
        <f t="shared" si="12"/>
        <v>89</v>
      </c>
      <c r="FO15" s="321">
        <v>46056</v>
      </c>
      <c r="FP15" s="89">
        <v>80</v>
      </c>
      <c r="FQ15" s="89">
        <v>0</v>
      </c>
      <c r="FR15" s="89">
        <v>32</v>
      </c>
      <c r="FS15" s="89">
        <f>+FP15+FR15+FQ15</f>
        <v>112</v>
      </c>
      <c r="FT15" s="89">
        <v>86</v>
      </c>
      <c r="FU15" s="89">
        <v>24</v>
      </c>
      <c r="FV15" s="89">
        <v>21</v>
      </c>
      <c r="FW15" s="89">
        <f t="shared" si="13"/>
        <v>131</v>
      </c>
      <c r="FZ15" s="321">
        <v>46084</v>
      </c>
      <c r="GA15" s="89">
        <v>66</v>
      </c>
      <c r="GB15" s="89">
        <v>0</v>
      </c>
      <c r="GC15" s="89">
        <v>0</v>
      </c>
      <c r="GD15" s="89">
        <f>+GA15+GC15+GB15</f>
        <v>66</v>
      </c>
      <c r="GE15" s="89">
        <v>89</v>
      </c>
      <c r="GF15" s="89">
        <v>23</v>
      </c>
      <c r="GG15" s="89">
        <v>9</v>
      </c>
      <c r="GH15" s="89">
        <f t="shared" si="14"/>
        <v>121</v>
      </c>
      <c r="GJ15" s="321">
        <v>46115</v>
      </c>
      <c r="GK15" s="89">
        <v>91</v>
      </c>
      <c r="GL15" s="89">
        <v>0</v>
      </c>
      <c r="GM15" s="89">
        <v>13</v>
      </c>
      <c r="GN15" s="89">
        <f>+GK15+GM15+GL15</f>
        <v>104</v>
      </c>
      <c r="GO15" s="89">
        <v>129</v>
      </c>
      <c r="GP15" s="89">
        <v>17</v>
      </c>
      <c r="GQ15" s="89">
        <v>8</v>
      </c>
      <c r="GR15" s="89">
        <f t="shared" si="15"/>
        <v>154</v>
      </c>
      <c r="GT15" s="321">
        <v>46145</v>
      </c>
      <c r="GU15" s="89">
        <v>87</v>
      </c>
      <c r="GV15" s="89">
        <v>0</v>
      </c>
      <c r="GW15" s="89">
        <v>12</v>
      </c>
      <c r="GX15" s="89">
        <f>+GU15+GW15+GV15</f>
        <v>99</v>
      </c>
      <c r="GY15" s="89">
        <v>98</v>
      </c>
      <c r="GZ15" s="89">
        <v>0</v>
      </c>
      <c r="HA15" s="89">
        <v>26</v>
      </c>
      <c r="HB15" s="89">
        <f t="shared" si="16"/>
        <v>124</v>
      </c>
    </row>
    <row r="16" spans="1:210">
      <c r="A16" s="321">
        <v>45386</v>
      </c>
      <c r="B16" s="41">
        <v>85</v>
      </c>
      <c r="C16" s="41">
        <v>92</v>
      </c>
      <c r="D16" s="41"/>
      <c r="E16" s="321">
        <v>45416</v>
      </c>
      <c r="F16" s="41">
        <v>11</v>
      </c>
      <c r="G16" s="320">
        <v>23</v>
      </c>
      <c r="H16" s="321">
        <v>45447</v>
      </c>
      <c r="I16" s="41">
        <v>88</v>
      </c>
      <c r="J16" s="41">
        <v>84</v>
      </c>
      <c r="K16" s="321">
        <v>45477</v>
      </c>
      <c r="L16" s="41">
        <v>81</v>
      </c>
      <c r="M16" s="41">
        <v>79</v>
      </c>
      <c r="N16" s="321">
        <v>45508</v>
      </c>
      <c r="O16" s="41" t="s">
        <v>3522</v>
      </c>
      <c r="P16" s="41" t="s">
        <v>3522</v>
      </c>
      <c r="R16" s="321">
        <v>45539</v>
      </c>
      <c r="S16" s="41">
        <v>51</v>
      </c>
      <c r="T16" s="41">
        <v>72</v>
      </c>
      <c r="V16" s="321">
        <v>45569</v>
      </c>
      <c r="W16" s="13">
        <v>96</v>
      </c>
      <c r="X16" s="13">
        <v>93</v>
      </c>
      <c r="Y16" s="323">
        <v>18</v>
      </c>
      <c r="AA16" s="321">
        <v>45600</v>
      </c>
      <c r="AB16" s="13">
        <v>84</v>
      </c>
      <c r="AC16" s="13">
        <v>78</v>
      </c>
      <c r="AD16" s="321">
        <v>45630</v>
      </c>
      <c r="AE16" s="13">
        <v>89</v>
      </c>
      <c r="AF16" s="13">
        <v>87</v>
      </c>
      <c r="AH16" s="321">
        <v>45661</v>
      </c>
      <c r="AI16" s="321"/>
      <c r="AJ16" s="13">
        <v>20</v>
      </c>
      <c r="AK16" s="13">
        <v>69</v>
      </c>
      <c r="AL16" s="314"/>
      <c r="AM16" s="13">
        <v>20</v>
      </c>
      <c r="AN16" s="321">
        <v>45692</v>
      </c>
      <c r="AO16" s="13">
        <v>88</v>
      </c>
      <c r="AP16" s="13"/>
      <c r="AQ16" s="13">
        <v>10</v>
      </c>
      <c r="AR16" s="13">
        <f t="shared" si="0"/>
        <v>98</v>
      </c>
      <c r="AS16" s="327">
        <v>104</v>
      </c>
      <c r="AT16" s="327">
        <v>37</v>
      </c>
      <c r="AU16" s="30">
        <v>3</v>
      </c>
      <c r="AV16" s="30">
        <f t="shared" si="1"/>
        <v>144</v>
      </c>
      <c r="AX16" s="321"/>
      <c r="AY16" s="13"/>
      <c r="AZ16" s="13"/>
      <c r="BA16" s="314"/>
      <c r="BB16" s="13"/>
      <c r="BC16" s="321">
        <v>45720</v>
      </c>
      <c r="BD16" s="13">
        <v>94</v>
      </c>
      <c r="BE16" s="13">
        <v>8</v>
      </c>
      <c r="BF16" s="13"/>
      <c r="BG16" s="13">
        <f t="shared" si="17"/>
        <v>102</v>
      </c>
      <c r="BH16" s="13">
        <v>66</v>
      </c>
      <c r="BI16" s="13">
        <v>32</v>
      </c>
      <c r="BJ16" s="13">
        <v>22</v>
      </c>
      <c r="BK16" s="30">
        <f t="shared" si="2"/>
        <v>120</v>
      </c>
      <c r="BM16" s="321">
        <v>45751</v>
      </c>
      <c r="BN16" s="13">
        <v>92</v>
      </c>
      <c r="BO16" s="13"/>
      <c r="BP16" s="13">
        <v>7</v>
      </c>
      <c r="BQ16" s="13">
        <f t="shared" si="18"/>
        <v>99</v>
      </c>
      <c r="BR16" s="13">
        <v>86</v>
      </c>
      <c r="BS16" s="13">
        <v>39</v>
      </c>
      <c r="BT16" s="13">
        <v>3</v>
      </c>
      <c r="BU16" s="30">
        <f t="shared" si="3"/>
        <v>128</v>
      </c>
      <c r="BW16" s="321">
        <v>45781</v>
      </c>
      <c r="BX16" s="13">
        <v>98</v>
      </c>
      <c r="BY16" s="13"/>
      <c r="BZ16" s="13"/>
      <c r="CA16" s="13">
        <f t="shared" si="19"/>
        <v>98</v>
      </c>
      <c r="CB16" s="13">
        <v>115</v>
      </c>
      <c r="CC16" s="13">
        <v>4</v>
      </c>
      <c r="CD16" s="13">
        <v>24</v>
      </c>
      <c r="CE16" s="30">
        <f t="shared" si="4"/>
        <v>143</v>
      </c>
      <c r="CG16" s="321">
        <v>45812</v>
      </c>
      <c r="CH16" s="13">
        <v>49</v>
      </c>
      <c r="CI16" s="13">
        <v>0</v>
      </c>
      <c r="CJ16" s="13">
        <v>69</v>
      </c>
      <c r="CK16" s="13">
        <f t="shared" si="20"/>
        <v>118</v>
      </c>
      <c r="CL16" s="13"/>
      <c r="CM16" s="13">
        <v>86</v>
      </c>
      <c r="CN16" s="13">
        <v>42</v>
      </c>
      <c r="CO16" s="30">
        <f t="shared" si="5"/>
        <v>128</v>
      </c>
      <c r="CQ16" s="321">
        <v>45842</v>
      </c>
      <c r="CR16" s="13">
        <v>96</v>
      </c>
      <c r="CS16" s="13">
        <v>0</v>
      </c>
      <c r="CT16" s="13">
        <v>24</v>
      </c>
      <c r="CU16" s="13">
        <f t="shared" si="21"/>
        <v>120</v>
      </c>
      <c r="CV16" s="13">
        <v>76</v>
      </c>
      <c r="CW16" s="13">
        <v>55</v>
      </c>
      <c r="CX16" s="13">
        <v>11</v>
      </c>
      <c r="CY16" s="30">
        <f t="shared" si="6"/>
        <v>142</v>
      </c>
      <c r="DC16" s="321">
        <v>45873</v>
      </c>
      <c r="DD16" s="13">
        <v>88</v>
      </c>
      <c r="DE16" s="13">
        <v>0</v>
      </c>
      <c r="DF16" s="13">
        <v>19</v>
      </c>
      <c r="DG16" s="13">
        <f t="shared" ref="DG16:DG23" si="22">+DD16+DF16+DE16</f>
        <v>107</v>
      </c>
      <c r="DH16" s="13">
        <v>46</v>
      </c>
      <c r="DI16" s="13">
        <v>89</v>
      </c>
      <c r="DJ16" s="13">
        <v>24</v>
      </c>
      <c r="DK16" s="30">
        <f t="shared" si="7"/>
        <v>159</v>
      </c>
      <c r="DM16" s="321">
        <v>45904</v>
      </c>
      <c r="DN16" s="89">
        <v>64</v>
      </c>
      <c r="DO16" s="89">
        <v>0</v>
      </c>
      <c r="DP16" s="89">
        <v>28</v>
      </c>
      <c r="DQ16" s="89">
        <f t="shared" ref="DQ16:DQ23" si="23">+DN16+DP16+DO16</f>
        <v>92</v>
      </c>
      <c r="DR16" s="89">
        <v>91</v>
      </c>
      <c r="DS16" s="89">
        <v>29</v>
      </c>
      <c r="DT16" s="89">
        <v>14</v>
      </c>
      <c r="DU16" s="30">
        <f t="shared" si="8"/>
        <v>134</v>
      </c>
      <c r="DX16" s="321">
        <v>45934</v>
      </c>
      <c r="DY16" s="89">
        <v>92</v>
      </c>
      <c r="DZ16" s="69">
        <v>0</v>
      </c>
      <c r="EA16" s="69">
        <v>6</v>
      </c>
      <c r="EB16" s="89">
        <f t="shared" ref="EB16:EB23" si="24">+DY16+EA16+DZ16</f>
        <v>98</v>
      </c>
      <c r="EC16" s="89">
        <v>116</v>
      </c>
      <c r="ED16" s="69">
        <v>0</v>
      </c>
      <c r="EE16" s="69">
        <v>15</v>
      </c>
      <c r="EF16" s="30">
        <f t="shared" si="9"/>
        <v>131</v>
      </c>
      <c r="EH16" s="321">
        <v>45965</v>
      </c>
      <c r="EI16" s="89">
        <v>0</v>
      </c>
      <c r="EJ16" s="89">
        <v>95</v>
      </c>
      <c r="EK16" s="89">
        <v>6</v>
      </c>
      <c r="EL16" s="89">
        <f t="shared" ref="EL16:EL43" si="25">+EI16+EK16+EJ16</f>
        <v>101</v>
      </c>
      <c r="EM16" s="89">
        <v>0</v>
      </c>
      <c r="EN16" s="89">
        <v>118</v>
      </c>
      <c r="EO16" s="89">
        <v>25</v>
      </c>
      <c r="EP16" s="30">
        <f t="shared" si="10"/>
        <v>143</v>
      </c>
      <c r="ER16" s="321">
        <v>45995</v>
      </c>
      <c r="ES16" s="89">
        <v>0</v>
      </c>
      <c r="ET16" s="89">
        <v>0</v>
      </c>
      <c r="EU16" s="89">
        <v>56</v>
      </c>
      <c r="EV16" s="89">
        <f t="shared" ref="EV16:EV43" si="26">+ES16+EU16+ET16</f>
        <v>56</v>
      </c>
      <c r="EW16" s="89">
        <v>0</v>
      </c>
      <c r="EX16" s="89">
        <v>0</v>
      </c>
      <c r="EY16" s="89">
        <v>31</v>
      </c>
      <c r="EZ16" s="30">
        <f t="shared" si="11"/>
        <v>31</v>
      </c>
      <c r="FD16" s="321">
        <v>46026</v>
      </c>
      <c r="FE16" s="89">
        <v>0</v>
      </c>
      <c r="FF16" s="89">
        <v>0</v>
      </c>
      <c r="FG16" s="89">
        <v>0</v>
      </c>
      <c r="FH16" s="89">
        <f t="shared" ref="FH16:FH43" si="27">+FE16+FG16+FF16</f>
        <v>0</v>
      </c>
      <c r="FI16" s="89">
        <v>0</v>
      </c>
      <c r="FJ16" s="89">
        <v>0</v>
      </c>
      <c r="FK16" s="89">
        <v>0</v>
      </c>
      <c r="FL16" s="30">
        <f t="shared" si="12"/>
        <v>0</v>
      </c>
      <c r="FO16" s="321">
        <v>46057</v>
      </c>
      <c r="FP16" s="89">
        <v>95</v>
      </c>
      <c r="FQ16" s="89">
        <v>0</v>
      </c>
      <c r="FR16" s="89">
        <v>6</v>
      </c>
      <c r="FS16" s="89">
        <f t="shared" ref="FS16:FS40" si="28">+FP16+FR16+FQ16</f>
        <v>101</v>
      </c>
      <c r="FT16" s="89">
        <v>79</v>
      </c>
      <c r="FU16" s="89">
        <v>40</v>
      </c>
      <c r="FV16" s="89">
        <v>10</v>
      </c>
      <c r="FW16" s="89">
        <f t="shared" si="13"/>
        <v>129</v>
      </c>
      <c r="FZ16" s="321">
        <v>46085</v>
      </c>
      <c r="GA16" s="89">
        <v>99</v>
      </c>
      <c r="GB16" s="89">
        <v>0</v>
      </c>
      <c r="GC16" s="89">
        <v>0</v>
      </c>
      <c r="GD16" s="89">
        <f t="shared" ref="GD16:GD43" si="29">+GA16+GC16+GB16</f>
        <v>99</v>
      </c>
      <c r="GE16" s="89">
        <v>89</v>
      </c>
      <c r="GF16" s="89">
        <v>0</v>
      </c>
      <c r="GG16" s="89">
        <v>0</v>
      </c>
      <c r="GH16" s="89">
        <f t="shared" si="14"/>
        <v>89</v>
      </c>
      <c r="GJ16" s="321">
        <v>46116</v>
      </c>
      <c r="GK16" s="89">
        <v>80</v>
      </c>
      <c r="GL16" s="89">
        <v>0</v>
      </c>
      <c r="GM16" s="89">
        <v>31</v>
      </c>
      <c r="GN16" s="89">
        <f t="shared" ref="GN16:GN43" si="30">+GK16+GM16+GL16</f>
        <v>111</v>
      </c>
      <c r="GO16" s="89">
        <v>114</v>
      </c>
      <c r="GP16" s="89">
        <v>14</v>
      </c>
      <c r="GQ16" s="89">
        <v>15</v>
      </c>
      <c r="GR16" s="89">
        <f t="shared" si="15"/>
        <v>143</v>
      </c>
      <c r="GT16" s="321">
        <v>46146</v>
      </c>
      <c r="GU16" s="89">
        <v>78</v>
      </c>
      <c r="GV16" s="89">
        <v>0</v>
      </c>
      <c r="GW16" s="89">
        <v>16</v>
      </c>
      <c r="GX16" s="89">
        <f t="shared" ref="GX16:GX43" si="31">+GU16+GW16+GV16</f>
        <v>94</v>
      </c>
      <c r="GY16" s="89">
        <v>98</v>
      </c>
      <c r="GZ16" s="89">
        <v>0</v>
      </c>
      <c r="HA16" s="89">
        <v>26</v>
      </c>
      <c r="HB16" s="89">
        <f t="shared" si="16"/>
        <v>124</v>
      </c>
    </row>
    <row r="17" spans="1:210">
      <c r="A17" s="321">
        <v>45387</v>
      </c>
      <c r="B17" s="41">
        <v>87</v>
      </c>
      <c r="C17" s="41">
        <v>77</v>
      </c>
      <c r="D17" s="41"/>
      <c r="E17" s="321">
        <v>45417</v>
      </c>
      <c r="F17" s="41" t="s">
        <v>3522</v>
      </c>
      <c r="G17" s="320" t="s">
        <v>3522</v>
      </c>
      <c r="H17" s="321">
        <v>45448</v>
      </c>
      <c r="I17" s="41">
        <v>112</v>
      </c>
      <c r="J17" s="41">
        <v>71</v>
      </c>
      <c r="K17" s="321">
        <v>45478</v>
      </c>
      <c r="L17" s="41">
        <v>89</v>
      </c>
      <c r="M17" s="41">
        <v>83</v>
      </c>
      <c r="N17" s="321">
        <v>45509</v>
      </c>
      <c r="O17" s="41">
        <v>94</v>
      </c>
      <c r="P17" s="41">
        <v>72</v>
      </c>
      <c r="R17" s="321">
        <v>45540</v>
      </c>
      <c r="S17" s="41">
        <v>59</v>
      </c>
      <c r="T17" s="41">
        <v>76</v>
      </c>
      <c r="V17" s="321">
        <v>45570</v>
      </c>
      <c r="W17" s="13">
        <v>89</v>
      </c>
      <c r="X17" s="13">
        <v>93</v>
      </c>
      <c r="Y17" s="323">
        <v>18</v>
      </c>
      <c r="AA17" s="321">
        <v>45601</v>
      </c>
      <c r="AB17" s="13">
        <v>123</v>
      </c>
      <c r="AC17" s="13">
        <v>88</v>
      </c>
      <c r="AD17" s="321">
        <v>45631</v>
      </c>
      <c r="AE17" s="13">
        <v>88</v>
      </c>
      <c r="AF17" s="13">
        <v>56</v>
      </c>
      <c r="AH17" s="321">
        <v>45662</v>
      </c>
      <c r="AI17" s="321"/>
      <c r="AJ17" s="13">
        <v>58</v>
      </c>
      <c r="AK17" s="13">
        <v>64</v>
      </c>
      <c r="AL17" s="314"/>
      <c r="AM17" s="13">
        <v>58</v>
      </c>
      <c r="AN17" s="321">
        <v>45693</v>
      </c>
      <c r="AO17" s="13">
        <v>91</v>
      </c>
      <c r="AP17" s="13"/>
      <c r="AQ17" s="13">
        <v>0</v>
      </c>
      <c r="AR17" s="13">
        <f t="shared" si="0"/>
        <v>91</v>
      </c>
      <c r="AS17" s="30">
        <v>149</v>
      </c>
      <c r="AT17" s="30"/>
      <c r="AU17" s="30">
        <v>0</v>
      </c>
      <c r="AV17" s="30">
        <f t="shared" si="1"/>
        <v>149</v>
      </c>
      <c r="AX17" s="321"/>
      <c r="AY17" s="13"/>
      <c r="AZ17" s="13"/>
      <c r="BA17" s="314"/>
      <c r="BB17" s="13"/>
      <c r="BC17" s="321">
        <v>45721</v>
      </c>
      <c r="BD17" s="13">
        <v>97</v>
      </c>
      <c r="BE17" s="13">
        <v>1</v>
      </c>
      <c r="BF17" s="13"/>
      <c r="BG17" s="13">
        <f t="shared" si="17"/>
        <v>98</v>
      </c>
      <c r="BH17" s="13">
        <v>50</v>
      </c>
      <c r="BI17" s="13">
        <v>74</v>
      </c>
      <c r="BJ17" s="13">
        <v>17</v>
      </c>
      <c r="BK17" s="30">
        <f t="shared" si="2"/>
        <v>141</v>
      </c>
      <c r="BM17" s="321">
        <v>45752</v>
      </c>
      <c r="BN17" s="13">
        <v>80</v>
      </c>
      <c r="BO17" s="13"/>
      <c r="BP17" s="13">
        <v>2</v>
      </c>
      <c r="BQ17" s="13">
        <f t="shared" si="18"/>
        <v>82</v>
      </c>
      <c r="BR17" s="13">
        <v>87</v>
      </c>
      <c r="BS17" s="13">
        <v>22</v>
      </c>
      <c r="BT17" s="13">
        <v>22</v>
      </c>
      <c r="BU17" s="30">
        <f t="shared" si="3"/>
        <v>131</v>
      </c>
      <c r="BW17" s="321">
        <v>45782</v>
      </c>
      <c r="BX17" s="13">
        <v>99</v>
      </c>
      <c r="BY17" s="13">
        <v>0</v>
      </c>
      <c r="BZ17" s="13">
        <v>0</v>
      </c>
      <c r="CA17" s="13">
        <f t="shared" si="19"/>
        <v>99</v>
      </c>
      <c r="CB17" s="13">
        <v>90</v>
      </c>
      <c r="CC17" s="13">
        <v>23</v>
      </c>
      <c r="CD17" s="13">
        <v>25</v>
      </c>
      <c r="CE17" s="30">
        <f t="shared" si="4"/>
        <v>138</v>
      </c>
      <c r="CG17" s="321">
        <v>45813</v>
      </c>
      <c r="CH17" s="13">
        <v>82</v>
      </c>
      <c r="CI17" s="13">
        <v>0</v>
      </c>
      <c r="CJ17" s="13">
        <v>8</v>
      </c>
      <c r="CK17" s="13">
        <f t="shared" si="20"/>
        <v>90</v>
      </c>
      <c r="CL17" s="13">
        <v>0</v>
      </c>
      <c r="CM17" s="13">
        <v>78</v>
      </c>
      <c r="CN17" s="13">
        <v>39</v>
      </c>
      <c r="CO17" s="30">
        <f t="shared" si="5"/>
        <v>117</v>
      </c>
      <c r="CQ17" s="321">
        <v>45843</v>
      </c>
      <c r="CR17" s="13">
        <v>93</v>
      </c>
      <c r="CS17" s="13">
        <v>0</v>
      </c>
      <c r="CT17" s="13">
        <v>3</v>
      </c>
      <c r="CU17" s="13">
        <f t="shared" si="21"/>
        <v>96</v>
      </c>
      <c r="CV17" s="13">
        <v>85</v>
      </c>
      <c r="CW17" s="13">
        <v>42</v>
      </c>
      <c r="CX17" s="13">
        <v>26</v>
      </c>
      <c r="CY17" s="30">
        <f t="shared" si="6"/>
        <v>153</v>
      </c>
      <c r="DC17" s="321">
        <v>45874</v>
      </c>
      <c r="DD17" s="13">
        <v>90</v>
      </c>
      <c r="DE17" s="13">
        <v>0</v>
      </c>
      <c r="DF17" s="13">
        <v>23</v>
      </c>
      <c r="DG17" s="13">
        <f t="shared" si="22"/>
        <v>113</v>
      </c>
      <c r="DH17" s="13">
        <v>81</v>
      </c>
      <c r="DI17" s="13">
        <v>57</v>
      </c>
      <c r="DJ17" s="13">
        <v>7</v>
      </c>
      <c r="DK17" s="30">
        <f t="shared" si="7"/>
        <v>145</v>
      </c>
      <c r="DM17" s="321">
        <v>45905</v>
      </c>
      <c r="DN17" s="89">
        <v>63</v>
      </c>
      <c r="DO17" s="89">
        <v>0</v>
      </c>
      <c r="DP17" s="89">
        <v>33</v>
      </c>
      <c r="DQ17" s="89">
        <f t="shared" si="23"/>
        <v>96</v>
      </c>
      <c r="DR17" s="89">
        <v>85</v>
      </c>
      <c r="DS17" s="89">
        <v>40</v>
      </c>
      <c r="DT17" s="89">
        <v>12</v>
      </c>
      <c r="DU17" s="30">
        <f t="shared" si="8"/>
        <v>137</v>
      </c>
      <c r="DX17" s="321">
        <v>45935</v>
      </c>
      <c r="DY17" s="89">
        <v>96</v>
      </c>
      <c r="DZ17" s="69">
        <v>0</v>
      </c>
      <c r="EA17" s="69">
        <v>6</v>
      </c>
      <c r="EB17" s="89">
        <f t="shared" si="24"/>
        <v>102</v>
      </c>
      <c r="EC17" s="89">
        <v>114</v>
      </c>
      <c r="ED17" s="69">
        <v>0</v>
      </c>
      <c r="EE17" s="69">
        <v>12</v>
      </c>
      <c r="EF17" s="30">
        <f t="shared" si="9"/>
        <v>126</v>
      </c>
      <c r="EH17" s="321">
        <v>45966</v>
      </c>
      <c r="EI17" s="89">
        <v>0</v>
      </c>
      <c r="EJ17" s="89">
        <v>78</v>
      </c>
      <c r="EK17" s="89">
        <v>22</v>
      </c>
      <c r="EL17" s="89">
        <f t="shared" si="25"/>
        <v>100</v>
      </c>
      <c r="EM17" s="89">
        <v>0</v>
      </c>
      <c r="EN17" s="89">
        <v>134</v>
      </c>
      <c r="EO17" s="89">
        <v>18</v>
      </c>
      <c r="EP17" s="30">
        <f t="shared" si="10"/>
        <v>152</v>
      </c>
      <c r="ER17" s="321">
        <v>45996</v>
      </c>
      <c r="ES17" s="89">
        <v>0</v>
      </c>
      <c r="ET17" s="89">
        <v>43</v>
      </c>
      <c r="EU17" s="89">
        <v>16</v>
      </c>
      <c r="EV17" s="89">
        <f t="shared" si="26"/>
        <v>59</v>
      </c>
      <c r="EW17" s="89">
        <v>0</v>
      </c>
      <c r="EX17" s="89">
        <v>0</v>
      </c>
      <c r="EY17" s="89">
        <v>29</v>
      </c>
      <c r="EZ17" s="30">
        <f t="shared" si="11"/>
        <v>29</v>
      </c>
      <c r="FD17" s="321">
        <v>46027</v>
      </c>
      <c r="FE17" s="89">
        <v>0</v>
      </c>
      <c r="FF17" s="89">
        <v>55</v>
      </c>
      <c r="FG17" s="89">
        <v>63</v>
      </c>
      <c r="FH17" s="89">
        <f t="shared" si="27"/>
        <v>118</v>
      </c>
      <c r="FI17" s="89">
        <v>0</v>
      </c>
      <c r="FJ17" s="89">
        <v>48</v>
      </c>
      <c r="FK17" s="89">
        <v>28</v>
      </c>
      <c r="FL17" s="30">
        <f t="shared" si="12"/>
        <v>76</v>
      </c>
      <c r="FO17" s="321">
        <v>46058</v>
      </c>
      <c r="FP17" s="89">
        <v>92</v>
      </c>
      <c r="FQ17" s="89">
        <v>0</v>
      </c>
      <c r="FR17" s="89">
        <v>10</v>
      </c>
      <c r="FS17" s="89">
        <f t="shared" si="28"/>
        <v>102</v>
      </c>
      <c r="FT17" s="89">
        <v>86</v>
      </c>
      <c r="FU17" s="89">
        <v>37</v>
      </c>
      <c r="FV17" s="89">
        <v>12</v>
      </c>
      <c r="FW17" s="89">
        <f t="shared" si="13"/>
        <v>135</v>
      </c>
      <c r="FZ17" s="321">
        <v>46086</v>
      </c>
      <c r="GA17" s="89">
        <v>64</v>
      </c>
      <c r="GB17" s="89">
        <v>0</v>
      </c>
      <c r="GC17" s="89">
        <v>24</v>
      </c>
      <c r="GD17" s="89">
        <f t="shared" si="29"/>
        <v>88</v>
      </c>
      <c r="GE17" s="89">
        <v>86</v>
      </c>
      <c r="GF17" s="89">
        <v>46</v>
      </c>
      <c r="GG17" s="89">
        <v>28</v>
      </c>
      <c r="GH17" s="89">
        <f t="shared" si="14"/>
        <v>160</v>
      </c>
      <c r="GJ17" s="321">
        <v>46117</v>
      </c>
      <c r="GK17" s="89">
        <v>95</v>
      </c>
      <c r="GL17" s="89">
        <v>0</v>
      </c>
      <c r="GM17" s="89">
        <v>8</v>
      </c>
      <c r="GN17" s="89">
        <f t="shared" si="30"/>
        <v>103</v>
      </c>
      <c r="GO17" s="89">
        <v>147</v>
      </c>
      <c r="GP17" s="89">
        <v>0</v>
      </c>
      <c r="GQ17" s="89">
        <v>0</v>
      </c>
      <c r="GR17" s="89">
        <f t="shared" si="15"/>
        <v>147</v>
      </c>
      <c r="GT17" s="321">
        <v>46147</v>
      </c>
      <c r="GU17" s="89">
        <v>92</v>
      </c>
      <c r="GV17" s="89">
        <v>0</v>
      </c>
      <c r="GW17" s="89">
        <v>9</v>
      </c>
      <c r="GX17" s="89">
        <f t="shared" si="31"/>
        <v>101</v>
      </c>
      <c r="GY17" s="89">
        <v>107</v>
      </c>
      <c r="GZ17" s="89">
        <v>0</v>
      </c>
      <c r="HA17" s="89">
        <v>33</v>
      </c>
      <c r="HB17" s="89">
        <f t="shared" si="16"/>
        <v>140</v>
      </c>
    </row>
    <row r="18" spans="1:210">
      <c r="A18" s="321">
        <v>45388</v>
      </c>
      <c r="B18" s="41">
        <v>63</v>
      </c>
      <c r="C18" s="41">
        <v>48</v>
      </c>
      <c r="D18" s="41"/>
      <c r="E18" s="321">
        <v>45418</v>
      </c>
      <c r="F18" s="41">
        <v>0</v>
      </c>
      <c r="G18" s="320">
        <v>4</v>
      </c>
      <c r="H18" s="321">
        <v>45449</v>
      </c>
      <c r="I18" s="41">
        <v>116</v>
      </c>
      <c r="J18" s="41">
        <v>77</v>
      </c>
      <c r="K18" s="321">
        <v>45479</v>
      </c>
      <c r="L18" s="41">
        <v>89</v>
      </c>
      <c r="M18" s="41">
        <v>83</v>
      </c>
      <c r="N18" s="321">
        <v>45510</v>
      </c>
      <c r="O18" s="41">
        <v>78</v>
      </c>
      <c r="P18" s="41">
        <v>81</v>
      </c>
      <c r="R18" s="321">
        <v>45541</v>
      </c>
      <c r="S18" s="41">
        <v>79</v>
      </c>
      <c r="T18" s="41">
        <v>77</v>
      </c>
      <c r="V18" s="321">
        <v>45571</v>
      </c>
      <c r="W18" s="13">
        <v>124</v>
      </c>
      <c r="X18" s="13">
        <v>80</v>
      </c>
      <c r="Y18" s="324">
        <v>58</v>
      </c>
      <c r="AA18" s="321">
        <v>45602</v>
      </c>
      <c r="AB18" s="13">
        <v>118</v>
      </c>
      <c r="AC18" s="13">
        <v>95</v>
      </c>
      <c r="AD18" s="321">
        <v>45632</v>
      </c>
      <c r="AE18" s="13">
        <v>89</v>
      </c>
      <c r="AF18" s="13">
        <v>82</v>
      </c>
      <c r="AH18" s="321">
        <v>45663</v>
      </c>
      <c r="AI18" s="321"/>
      <c r="AJ18" s="13">
        <v>95</v>
      </c>
      <c r="AK18" s="13">
        <v>84</v>
      </c>
      <c r="AL18" s="314"/>
      <c r="AM18" s="13">
        <v>95</v>
      </c>
      <c r="AN18" s="321">
        <v>45694</v>
      </c>
      <c r="AO18" s="13">
        <v>94</v>
      </c>
      <c r="AP18" s="13"/>
      <c r="AQ18" s="13">
        <v>5</v>
      </c>
      <c r="AR18" s="13">
        <f t="shared" si="0"/>
        <v>99</v>
      </c>
      <c r="AS18" s="327">
        <v>119</v>
      </c>
      <c r="AT18" s="327">
        <v>28</v>
      </c>
      <c r="AU18" s="30">
        <v>0</v>
      </c>
      <c r="AV18" s="30">
        <f t="shared" si="1"/>
        <v>147</v>
      </c>
      <c r="AX18" s="321"/>
      <c r="AY18" s="13"/>
      <c r="AZ18" s="13"/>
      <c r="BA18" s="314"/>
      <c r="BB18" s="13"/>
      <c r="BC18" s="321">
        <v>45722</v>
      </c>
      <c r="BD18" s="13">
        <v>89</v>
      </c>
      <c r="BE18" s="13">
        <v>8</v>
      </c>
      <c r="BF18" s="13"/>
      <c r="BG18" s="13">
        <f t="shared" si="17"/>
        <v>97</v>
      </c>
      <c r="BH18" s="13">
        <v>74</v>
      </c>
      <c r="BI18" s="13">
        <v>17</v>
      </c>
      <c r="BJ18" s="13">
        <v>48</v>
      </c>
      <c r="BK18" s="30">
        <f t="shared" si="2"/>
        <v>139</v>
      </c>
      <c r="BM18" s="329">
        <v>45753</v>
      </c>
      <c r="BN18" s="330">
        <v>0</v>
      </c>
      <c r="BO18" s="330">
        <v>0</v>
      </c>
      <c r="BP18" s="330"/>
      <c r="BQ18" s="330">
        <f t="shared" si="18"/>
        <v>0</v>
      </c>
      <c r="BR18" s="330">
        <v>0</v>
      </c>
      <c r="BS18" s="330">
        <v>0</v>
      </c>
      <c r="BT18" s="330">
        <v>0</v>
      </c>
      <c r="BU18" s="331">
        <f t="shared" si="3"/>
        <v>0</v>
      </c>
      <c r="BW18" s="329">
        <v>45783</v>
      </c>
      <c r="BX18" s="13">
        <v>84</v>
      </c>
      <c r="BY18" s="13">
        <v>0</v>
      </c>
      <c r="BZ18" s="13">
        <v>2</v>
      </c>
      <c r="CA18" s="330">
        <f t="shared" si="19"/>
        <v>86</v>
      </c>
      <c r="CB18" s="13">
        <v>93</v>
      </c>
      <c r="CC18" s="13">
        <v>27</v>
      </c>
      <c r="CD18" s="13">
        <v>22</v>
      </c>
      <c r="CE18" s="331">
        <f t="shared" si="4"/>
        <v>142</v>
      </c>
      <c r="CG18" s="321">
        <v>45814</v>
      </c>
      <c r="CH18" s="13">
        <v>69</v>
      </c>
      <c r="CI18" s="13"/>
      <c r="CJ18" s="13">
        <v>8</v>
      </c>
      <c r="CK18" s="330">
        <f t="shared" si="20"/>
        <v>77</v>
      </c>
      <c r="CL18" s="13">
        <v>13</v>
      </c>
      <c r="CM18" s="13">
        <v>41</v>
      </c>
      <c r="CN18" s="13">
        <v>45</v>
      </c>
      <c r="CO18" s="331">
        <f t="shared" si="5"/>
        <v>99</v>
      </c>
      <c r="CQ18" s="321">
        <v>45844</v>
      </c>
      <c r="CR18" s="13">
        <v>95</v>
      </c>
      <c r="CS18" s="13">
        <v>0</v>
      </c>
      <c r="CT18" s="13">
        <v>0</v>
      </c>
      <c r="CU18" s="330">
        <f t="shared" si="21"/>
        <v>95</v>
      </c>
      <c r="CV18" s="13">
        <v>22</v>
      </c>
      <c r="CW18" s="13">
        <v>64</v>
      </c>
      <c r="CX18" s="13">
        <v>0</v>
      </c>
      <c r="CY18" s="331">
        <f t="shared" si="6"/>
        <v>86</v>
      </c>
      <c r="DC18" s="321">
        <v>45875</v>
      </c>
      <c r="DD18" s="13">
        <v>61</v>
      </c>
      <c r="DE18" s="13">
        <v>18</v>
      </c>
      <c r="DF18" s="13">
        <v>20</v>
      </c>
      <c r="DG18" s="330">
        <f t="shared" si="22"/>
        <v>99</v>
      </c>
      <c r="DH18" s="13">
        <v>105</v>
      </c>
      <c r="DI18" s="13">
        <v>37</v>
      </c>
      <c r="DJ18" s="13">
        <v>0</v>
      </c>
      <c r="DK18" s="331">
        <f t="shared" si="7"/>
        <v>142</v>
      </c>
      <c r="DM18" s="321">
        <v>45906</v>
      </c>
      <c r="DN18" s="89">
        <v>96</v>
      </c>
      <c r="DO18" s="89">
        <v>0</v>
      </c>
      <c r="DP18" s="89">
        <v>0</v>
      </c>
      <c r="DQ18" s="89">
        <f t="shared" si="23"/>
        <v>96</v>
      </c>
      <c r="DR18" s="89">
        <v>86</v>
      </c>
      <c r="DS18" s="89">
        <v>49</v>
      </c>
      <c r="DT18" s="89">
        <v>3</v>
      </c>
      <c r="DU18" s="331">
        <f t="shared" si="8"/>
        <v>138</v>
      </c>
      <c r="DX18" s="321">
        <v>45936</v>
      </c>
      <c r="DY18" s="89">
        <v>94</v>
      </c>
      <c r="DZ18" s="69">
        <v>0</v>
      </c>
      <c r="EA18" s="69">
        <v>0</v>
      </c>
      <c r="EB18" s="89">
        <f t="shared" si="24"/>
        <v>94</v>
      </c>
      <c r="EC18" s="89">
        <v>57</v>
      </c>
      <c r="ED18" s="69">
        <v>0</v>
      </c>
      <c r="EE18" s="69">
        <v>0</v>
      </c>
      <c r="EF18" s="331">
        <f t="shared" si="9"/>
        <v>57</v>
      </c>
      <c r="EH18" s="321">
        <v>45967</v>
      </c>
      <c r="EI18" s="89">
        <v>0</v>
      </c>
      <c r="EJ18" s="89">
        <v>70</v>
      </c>
      <c r="EK18" s="89">
        <v>32</v>
      </c>
      <c r="EL18" s="89">
        <f t="shared" si="25"/>
        <v>102</v>
      </c>
      <c r="EM18" s="89">
        <v>0</v>
      </c>
      <c r="EN18" s="89">
        <v>139</v>
      </c>
      <c r="EO18" s="89">
        <v>7</v>
      </c>
      <c r="EP18" s="331">
        <f t="shared" si="10"/>
        <v>146</v>
      </c>
      <c r="ER18" s="321">
        <v>45997</v>
      </c>
      <c r="ES18" s="89">
        <v>0</v>
      </c>
      <c r="ET18" s="89">
        <v>0</v>
      </c>
      <c r="EU18" s="89">
        <v>55</v>
      </c>
      <c r="EV18" s="89">
        <f t="shared" si="26"/>
        <v>55</v>
      </c>
      <c r="EW18" s="89">
        <v>0</v>
      </c>
      <c r="EX18" s="89">
        <v>0</v>
      </c>
      <c r="EY18" s="89">
        <v>30</v>
      </c>
      <c r="EZ18" s="331">
        <f t="shared" si="11"/>
        <v>30</v>
      </c>
      <c r="FD18" s="321">
        <v>46028</v>
      </c>
      <c r="FE18" s="89">
        <v>34</v>
      </c>
      <c r="FF18" s="89">
        <v>0</v>
      </c>
      <c r="FG18" s="89">
        <v>94</v>
      </c>
      <c r="FH18" s="89">
        <f t="shared" si="27"/>
        <v>128</v>
      </c>
      <c r="FI18" s="89">
        <v>17</v>
      </c>
      <c r="FJ18" s="89">
        <v>0</v>
      </c>
      <c r="FK18" s="89">
        <v>0</v>
      </c>
      <c r="FL18" s="331">
        <f t="shared" si="12"/>
        <v>17</v>
      </c>
      <c r="FO18" s="321">
        <v>46059</v>
      </c>
      <c r="FP18" s="89">
        <v>95</v>
      </c>
      <c r="FQ18" s="89">
        <v>0</v>
      </c>
      <c r="FR18" s="89">
        <v>7</v>
      </c>
      <c r="FS18" s="89">
        <f t="shared" si="28"/>
        <v>102</v>
      </c>
      <c r="FT18" s="89">
        <v>108</v>
      </c>
      <c r="FU18" s="89">
        <v>14</v>
      </c>
      <c r="FV18" s="89">
        <v>29</v>
      </c>
      <c r="FW18" s="89">
        <f t="shared" si="13"/>
        <v>151</v>
      </c>
      <c r="FZ18" s="321">
        <v>46087</v>
      </c>
      <c r="GA18" s="89">
        <v>95</v>
      </c>
      <c r="GB18" s="89">
        <v>0</v>
      </c>
      <c r="GC18" s="89">
        <v>0</v>
      </c>
      <c r="GD18" s="89">
        <f t="shared" si="29"/>
        <v>95</v>
      </c>
      <c r="GE18" s="89">
        <v>86</v>
      </c>
      <c r="GF18" s="89">
        <v>44</v>
      </c>
      <c r="GG18" s="89">
        <v>14</v>
      </c>
      <c r="GH18" s="89">
        <f t="shared" si="14"/>
        <v>144</v>
      </c>
      <c r="GJ18" s="321">
        <v>46118</v>
      </c>
      <c r="GK18" s="89">
        <v>91</v>
      </c>
      <c r="GL18" s="89">
        <v>0</v>
      </c>
      <c r="GM18" s="89">
        <v>13</v>
      </c>
      <c r="GN18" s="89">
        <f t="shared" si="30"/>
        <v>104</v>
      </c>
      <c r="GO18" s="89">
        <v>129</v>
      </c>
      <c r="GP18" s="89">
        <v>0</v>
      </c>
      <c r="GQ18" s="89">
        <v>12</v>
      </c>
      <c r="GR18" s="89">
        <f t="shared" si="15"/>
        <v>141</v>
      </c>
      <c r="GT18" s="321">
        <v>46148</v>
      </c>
      <c r="GU18" s="89">
        <v>88</v>
      </c>
      <c r="GV18" s="89">
        <v>0</v>
      </c>
      <c r="GW18" s="89">
        <v>2</v>
      </c>
      <c r="GX18" s="89">
        <f t="shared" si="31"/>
        <v>90</v>
      </c>
      <c r="GY18" s="89">
        <v>119</v>
      </c>
      <c r="GZ18" s="89">
        <v>0</v>
      </c>
      <c r="HA18" s="89">
        <v>35</v>
      </c>
      <c r="HB18" s="89">
        <f t="shared" si="16"/>
        <v>154</v>
      </c>
    </row>
    <row r="19" spans="1:210">
      <c r="A19" s="321">
        <v>45389</v>
      </c>
      <c r="B19" s="41" t="s">
        <v>3522</v>
      </c>
      <c r="C19" s="41" t="s">
        <v>3522</v>
      </c>
      <c r="D19" s="41"/>
      <c r="E19" s="321">
        <v>45419</v>
      </c>
      <c r="F19" s="41">
        <v>0</v>
      </c>
      <c r="G19" s="320">
        <v>2</v>
      </c>
      <c r="H19" s="321">
        <v>45450</v>
      </c>
      <c r="I19" s="41">
        <v>95</v>
      </c>
      <c r="J19" s="41">
        <v>90</v>
      </c>
      <c r="K19" s="321">
        <v>45480</v>
      </c>
      <c r="L19" s="41">
        <v>84</v>
      </c>
      <c r="M19" s="41">
        <v>36</v>
      </c>
      <c r="N19" s="321">
        <v>45511</v>
      </c>
      <c r="O19" s="41">
        <v>62</v>
      </c>
      <c r="P19" s="41">
        <v>82</v>
      </c>
      <c r="R19" s="321">
        <v>45542</v>
      </c>
      <c r="S19" s="41">
        <v>77</v>
      </c>
      <c r="T19" s="41">
        <v>94</v>
      </c>
      <c r="V19" s="321">
        <v>45572</v>
      </c>
      <c r="W19" s="13">
        <v>141</v>
      </c>
      <c r="X19" s="13">
        <v>70</v>
      </c>
      <c r="Y19" s="324">
        <v>16</v>
      </c>
      <c r="AA19" s="321">
        <v>45603</v>
      </c>
      <c r="AB19" s="13">
        <v>126</v>
      </c>
      <c r="AC19" s="13">
        <v>65</v>
      </c>
      <c r="AD19" s="321">
        <v>45633</v>
      </c>
      <c r="AE19" s="13">
        <v>107</v>
      </c>
      <c r="AF19" s="13">
        <v>95</v>
      </c>
      <c r="AH19" s="321">
        <v>45664</v>
      </c>
      <c r="AI19" s="321"/>
      <c r="AJ19" s="13">
        <v>113</v>
      </c>
      <c r="AK19" s="13">
        <v>97</v>
      </c>
      <c r="AL19" s="314"/>
      <c r="AM19" s="13">
        <v>113</v>
      </c>
      <c r="AN19" s="321">
        <v>45695</v>
      </c>
      <c r="AO19" s="13">
        <v>74</v>
      </c>
      <c r="AP19" s="13"/>
      <c r="AQ19" s="13">
        <v>22</v>
      </c>
      <c r="AR19" s="13">
        <f t="shared" si="0"/>
        <v>96</v>
      </c>
      <c r="AS19" s="327">
        <v>113</v>
      </c>
      <c r="AT19" s="327">
        <v>26</v>
      </c>
      <c r="AU19" s="30">
        <v>6</v>
      </c>
      <c r="AV19" s="30">
        <f t="shared" si="1"/>
        <v>145</v>
      </c>
      <c r="AX19" s="321"/>
      <c r="AY19" s="13"/>
      <c r="AZ19" s="13"/>
      <c r="BA19" s="314"/>
      <c r="BB19" s="13"/>
      <c r="BC19" s="321">
        <v>45723</v>
      </c>
      <c r="BD19" s="13">
        <v>35</v>
      </c>
      <c r="BE19" s="13">
        <v>30</v>
      </c>
      <c r="BF19" s="13">
        <v>23</v>
      </c>
      <c r="BG19" s="13">
        <f t="shared" si="17"/>
        <v>88</v>
      </c>
      <c r="BH19" s="13">
        <v>99</v>
      </c>
      <c r="BI19" s="13">
        <v>8</v>
      </c>
      <c r="BJ19" s="13">
        <v>46</v>
      </c>
      <c r="BK19" s="30">
        <f t="shared" si="2"/>
        <v>153</v>
      </c>
      <c r="BM19" s="321">
        <v>45754</v>
      </c>
      <c r="BN19" s="13">
        <v>0</v>
      </c>
      <c r="BO19" s="13">
        <v>0</v>
      </c>
      <c r="BP19" s="13">
        <v>0</v>
      </c>
      <c r="BQ19" s="13">
        <f t="shared" si="18"/>
        <v>0</v>
      </c>
      <c r="BR19" s="13">
        <v>3</v>
      </c>
      <c r="BS19" s="13">
        <v>41</v>
      </c>
      <c r="BT19" s="13">
        <v>19</v>
      </c>
      <c r="BU19" s="30">
        <f t="shared" si="3"/>
        <v>63</v>
      </c>
      <c r="BW19" s="321">
        <v>45784</v>
      </c>
      <c r="BX19" s="13">
        <v>67</v>
      </c>
      <c r="BY19" s="13">
        <v>0</v>
      </c>
      <c r="BZ19" s="13">
        <v>13</v>
      </c>
      <c r="CA19" s="13">
        <f t="shared" si="19"/>
        <v>80</v>
      </c>
      <c r="CB19" s="13">
        <v>118</v>
      </c>
      <c r="CC19" s="13">
        <v>21</v>
      </c>
      <c r="CD19" s="13">
        <v>1</v>
      </c>
      <c r="CE19" s="30">
        <f t="shared" si="4"/>
        <v>140</v>
      </c>
      <c r="CG19" s="321">
        <v>45815</v>
      </c>
      <c r="CH19" s="13">
        <v>18</v>
      </c>
      <c r="CI19" s="13"/>
      <c r="CJ19" s="13">
        <v>34</v>
      </c>
      <c r="CK19" s="13">
        <f t="shared" si="20"/>
        <v>52</v>
      </c>
      <c r="CL19" s="13">
        <v>0</v>
      </c>
      <c r="CM19" s="13">
        <v>62</v>
      </c>
      <c r="CN19" s="13">
        <v>41</v>
      </c>
      <c r="CO19" s="30">
        <f t="shared" si="5"/>
        <v>103</v>
      </c>
      <c r="CQ19" s="321">
        <v>45845</v>
      </c>
      <c r="CR19" s="13">
        <v>71</v>
      </c>
      <c r="CS19" s="13">
        <v>0</v>
      </c>
      <c r="CT19" s="13">
        <v>33</v>
      </c>
      <c r="CU19" s="13">
        <f t="shared" si="21"/>
        <v>104</v>
      </c>
      <c r="CV19" s="13">
        <v>37</v>
      </c>
      <c r="CW19" s="13">
        <v>76</v>
      </c>
      <c r="CX19" s="13">
        <v>35</v>
      </c>
      <c r="CY19" s="30">
        <f t="shared" si="6"/>
        <v>148</v>
      </c>
      <c r="DC19" s="321">
        <v>45876</v>
      </c>
      <c r="DD19" s="13">
        <v>87</v>
      </c>
      <c r="DE19" s="13">
        <v>0</v>
      </c>
      <c r="DF19" s="13">
        <v>14</v>
      </c>
      <c r="DG19" s="13">
        <f t="shared" si="22"/>
        <v>101</v>
      </c>
      <c r="DH19" s="13">
        <v>5</v>
      </c>
      <c r="DI19" s="13">
        <v>114</v>
      </c>
      <c r="DJ19" s="13">
        <v>11</v>
      </c>
      <c r="DK19" s="30">
        <f t="shared" si="7"/>
        <v>130</v>
      </c>
      <c r="DM19" s="321">
        <v>45907</v>
      </c>
      <c r="DN19" s="89">
        <v>93</v>
      </c>
      <c r="DO19" s="89">
        <v>12</v>
      </c>
      <c r="DP19" s="89">
        <v>0</v>
      </c>
      <c r="DQ19" s="89">
        <f t="shared" si="23"/>
        <v>105</v>
      </c>
      <c r="DR19" s="89">
        <v>90</v>
      </c>
      <c r="DS19" s="89">
        <v>31</v>
      </c>
      <c r="DT19" s="89">
        <v>20</v>
      </c>
      <c r="DU19" s="30">
        <f t="shared" si="8"/>
        <v>141</v>
      </c>
      <c r="DX19" s="321">
        <v>45937</v>
      </c>
      <c r="DY19" s="89">
        <v>87</v>
      </c>
      <c r="DZ19" s="69">
        <v>23</v>
      </c>
      <c r="EA19" s="69">
        <v>55</v>
      </c>
      <c r="EB19" s="89">
        <f t="shared" si="24"/>
        <v>165</v>
      </c>
      <c r="EC19" s="89">
        <v>57</v>
      </c>
      <c r="ED19" s="69">
        <v>0</v>
      </c>
      <c r="EE19" s="69">
        <v>0</v>
      </c>
      <c r="EF19" s="30">
        <f t="shared" si="9"/>
        <v>57</v>
      </c>
      <c r="EH19" s="321">
        <v>45968</v>
      </c>
      <c r="EI19" s="89">
        <v>0</v>
      </c>
      <c r="EJ19" s="89">
        <v>98</v>
      </c>
      <c r="EK19" s="89">
        <v>0</v>
      </c>
      <c r="EL19" s="89">
        <f t="shared" si="25"/>
        <v>98</v>
      </c>
      <c r="EM19" s="89">
        <v>0</v>
      </c>
      <c r="EN19" s="89">
        <v>126</v>
      </c>
      <c r="EO19" s="89">
        <v>19</v>
      </c>
      <c r="EP19" s="30">
        <f t="shared" si="10"/>
        <v>145</v>
      </c>
      <c r="ER19" s="321">
        <v>45998</v>
      </c>
      <c r="ES19" s="89">
        <v>0</v>
      </c>
      <c r="ET19" s="89">
        <v>0</v>
      </c>
      <c r="EU19" s="89">
        <v>0</v>
      </c>
      <c r="EV19" s="89">
        <f t="shared" si="26"/>
        <v>0</v>
      </c>
      <c r="EW19" s="89">
        <v>0</v>
      </c>
      <c r="EX19" s="89">
        <v>0</v>
      </c>
      <c r="EY19" s="89">
        <v>0</v>
      </c>
      <c r="EZ19" s="30">
        <f t="shared" si="11"/>
        <v>0</v>
      </c>
      <c r="FA19" t="s">
        <v>3522</v>
      </c>
      <c r="FD19" s="321">
        <v>46029</v>
      </c>
      <c r="FE19" s="89">
        <v>3</v>
      </c>
      <c r="FF19" s="89">
        <v>0</v>
      </c>
      <c r="FG19" s="89">
        <v>100</v>
      </c>
      <c r="FH19" s="89">
        <f t="shared" si="27"/>
        <v>103</v>
      </c>
      <c r="FI19" s="89">
        <v>16</v>
      </c>
      <c r="FJ19" s="89">
        <v>0</v>
      </c>
      <c r="FK19" s="89">
        <v>30</v>
      </c>
      <c r="FL19" s="30">
        <f t="shared" si="12"/>
        <v>46</v>
      </c>
      <c r="FM19" t="s">
        <v>3522</v>
      </c>
      <c r="FO19" s="321">
        <v>46060</v>
      </c>
      <c r="FP19" s="89">
        <v>78</v>
      </c>
      <c r="FQ19" s="89">
        <v>0</v>
      </c>
      <c r="FR19" s="89">
        <v>17</v>
      </c>
      <c r="FS19" s="89">
        <f t="shared" si="28"/>
        <v>95</v>
      </c>
      <c r="FT19" s="89">
        <v>111</v>
      </c>
      <c r="FU19" s="89">
        <v>12</v>
      </c>
      <c r="FV19" s="89">
        <v>20</v>
      </c>
      <c r="FW19" s="89">
        <f t="shared" si="13"/>
        <v>143</v>
      </c>
      <c r="FZ19" s="321">
        <v>46088</v>
      </c>
      <c r="GA19" s="89">
        <v>67</v>
      </c>
      <c r="GB19" s="89">
        <v>0</v>
      </c>
      <c r="GC19" s="89">
        <v>0</v>
      </c>
      <c r="GD19" s="89">
        <f t="shared" si="29"/>
        <v>67</v>
      </c>
      <c r="GE19" s="89">
        <v>87</v>
      </c>
      <c r="GF19" s="89">
        <v>51</v>
      </c>
      <c r="GG19" s="89">
        <v>15</v>
      </c>
      <c r="GH19" s="89">
        <f t="shared" si="14"/>
        <v>153</v>
      </c>
      <c r="GJ19" s="321">
        <v>46119</v>
      </c>
      <c r="GK19" s="89">
        <v>86</v>
      </c>
      <c r="GL19" s="89">
        <v>0</v>
      </c>
      <c r="GM19" s="89">
        <v>8</v>
      </c>
      <c r="GN19" s="89">
        <f t="shared" ref="GN19:GN20" si="32">+GK19+GM19+GL19</f>
        <v>94</v>
      </c>
      <c r="GO19" s="89">
        <v>132</v>
      </c>
      <c r="GP19" s="89">
        <v>0</v>
      </c>
      <c r="GQ19" s="89">
        <v>10</v>
      </c>
      <c r="GR19" s="89">
        <f t="shared" si="15"/>
        <v>142</v>
      </c>
      <c r="GT19" s="321">
        <v>46149</v>
      </c>
      <c r="GU19" s="89">
        <v>92</v>
      </c>
      <c r="GV19" s="89">
        <v>0</v>
      </c>
      <c r="GW19" s="89">
        <v>6</v>
      </c>
      <c r="GX19" s="89">
        <f t="shared" si="31"/>
        <v>98</v>
      </c>
      <c r="GY19" s="89">
        <v>124</v>
      </c>
      <c r="GZ19" s="89">
        <v>0</v>
      </c>
      <c r="HA19" s="89">
        <v>27</v>
      </c>
      <c r="HB19" s="89">
        <f t="shared" si="16"/>
        <v>151</v>
      </c>
    </row>
    <row r="20" spans="1:210">
      <c r="A20" s="321">
        <v>45390</v>
      </c>
      <c r="B20" s="41">
        <v>70</v>
      </c>
      <c r="C20" s="41">
        <v>67</v>
      </c>
      <c r="D20" s="41"/>
      <c r="E20" s="321">
        <v>45420</v>
      </c>
      <c r="F20" s="41">
        <v>0</v>
      </c>
      <c r="G20" s="320">
        <v>0</v>
      </c>
      <c r="H20" s="321">
        <v>45451</v>
      </c>
      <c r="I20" s="41">
        <v>97</v>
      </c>
      <c r="J20" s="41">
        <v>95</v>
      </c>
      <c r="K20" s="321">
        <v>45481</v>
      </c>
      <c r="L20" s="41">
        <v>86</v>
      </c>
      <c r="M20" s="41">
        <v>56</v>
      </c>
      <c r="N20" s="321">
        <v>45512</v>
      </c>
      <c r="O20" s="41">
        <v>28</v>
      </c>
      <c r="P20" s="41">
        <v>84</v>
      </c>
      <c r="R20" s="321">
        <v>45543</v>
      </c>
      <c r="S20" s="41" t="s">
        <v>3522</v>
      </c>
      <c r="T20" s="41">
        <v>88</v>
      </c>
      <c r="V20" s="321">
        <v>45573</v>
      </c>
      <c r="W20" s="13">
        <v>135</v>
      </c>
      <c r="X20" s="13">
        <v>81</v>
      </c>
      <c r="AA20" s="321">
        <v>45604</v>
      </c>
      <c r="AB20" s="13">
        <v>104</v>
      </c>
      <c r="AC20" s="13">
        <v>93</v>
      </c>
      <c r="AD20" s="321">
        <v>45634</v>
      </c>
      <c r="AE20" s="13">
        <v>89</v>
      </c>
      <c r="AF20" s="13">
        <v>89</v>
      </c>
      <c r="AH20" s="321">
        <v>45665</v>
      </c>
      <c r="AI20" s="321"/>
      <c r="AJ20" s="13">
        <v>120</v>
      </c>
      <c r="AK20" s="13">
        <v>79</v>
      </c>
      <c r="AL20" s="13">
        <v>120</v>
      </c>
      <c r="AM20" s="13"/>
      <c r="AN20" s="321">
        <v>45696</v>
      </c>
      <c r="AO20" s="13">
        <v>90</v>
      </c>
      <c r="AP20" s="13"/>
      <c r="AQ20" s="13">
        <v>13</v>
      </c>
      <c r="AR20" s="13">
        <f t="shared" si="0"/>
        <v>103</v>
      </c>
      <c r="AS20" s="327">
        <v>102</v>
      </c>
      <c r="AT20" s="327">
        <v>44</v>
      </c>
      <c r="AU20" s="30">
        <v>5</v>
      </c>
      <c r="AV20" s="30">
        <f t="shared" si="1"/>
        <v>151</v>
      </c>
      <c r="AX20" s="321"/>
      <c r="AY20" s="13"/>
      <c r="AZ20" s="13"/>
      <c r="BA20" s="13"/>
      <c r="BB20" s="13"/>
      <c r="BC20" s="321">
        <v>45724</v>
      </c>
      <c r="BD20" s="13">
        <v>73</v>
      </c>
      <c r="BE20" s="13">
        <v>25</v>
      </c>
      <c r="BF20" s="13"/>
      <c r="BG20" s="13">
        <f t="shared" si="17"/>
        <v>98</v>
      </c>
      <c r="BH20" s="13">
        <v>96</v>
      </c>
      <c r="BI20" s="13">
        <v>16</v>
      </c>
      <c r="BJ20" s="13">
        <v>35</v>
      </c>
      <c r="BK20" s="30">
        <f t="shared" si="2"/>
        <v>147</v>
      </c>
      <c r="BM20" s="321">
        <v>45755</v>
      </c>
      <c r="BN20" s="13">
        <v>0</v>
      </c>
      <c r="BO20" s="13">
        <v>0</v>
      </c>
      <c r="BP20" s="13">
        <v>10</v>
      </c>
      <c r="BQ20" s="13">
        <f t="shared" si="18"/>
        <v>10</v>
      </c>
      <c r="BR20" s="13">
        <v>0</v>
      </c>
      <c r="BS20" s="13">
        <v>0</v>
      </c>
      <c r="BT20" s="13">
        <v>34</v>
      </c>
      <c r="BU20" s="30">
        <f t="shared" si="3"/>
        <v>34</v>
      </c>
      <c r="BW20" s="321">
        <v>45785</v>
      </c>
      <c r="BX20" s="13">
        <v>73</v>
      </c>
      <c r="BY20" s="13"/>
      <c r="BZ20" s="13">
        <v>30</v>
      </c>
      <c r="CA20" s="13">
        <f t="shared" si="19"/>
        <v>103</v>
      </c>
      <c r="CB20" s="13">
        <v>112</v>
      </c>
      <c r="CC20" s="13">
        <v>34</v>
      </c>
      <c r="CD20" s="13">
        <v>3</v>
      </c>
      <c r="CE20" s="30">
        <f t="shared" si="4"/>
        <v>149</v>
      </c>
      <c r="CG20" s="329">
        <v>45816</v>
      </c>
      <c r="CH20" s="13"/>
      <c r="CI20" s="13"/>
      <c r="CJ20" s="13"/>
      <c r="CK20" s="13">
        <f t="shared" si="20"/>
        <v>0</v>
      </c>
      <c r="CL20" s="13"/>
      <c r="CM20" s="13"/>
      <c r="CN20" s="13"/>
      <c r="CO20" s="30">
        <f t="shared" si="5"/>
        <v>0</v>
      </c>
      <c r="CQ20" s="329">
        <v>45846</v>
      </c>
      <c r="CR20" s="13">
        <v>81</v>
      </c>
      <c r="CS20" s="13">
        <v>0</v>
      </c>
      <c r="CT20" s="13">
        <v>16</v>
      </c>
      <c r="CU20" s="13">
        <f t="shared" si="21"/>
        <v>97</v>
      </c>
      <c r="CV20" s="13">
        <v>18</v>
      </c>
      <c r="CW20" s="13">
        <v>98</v>
      </c>
      <c r="CX20" s="13">
        <v>21</v>
      </c>
      <c r="CY20" s="30">
        <f t="shared" si="6"/>
        <v>137</v>
      </c>
      <c r="DC20" s="321">
        <v>45877</v>
      </c>
      <c r="DD20" s="13">
        <v>89</v>
      </c>
      <c r="DE20" s="13">
        <v>0</v>
      </c>
      <c r="DF20" s="13">
        <v>8</v>
      </c>
      <c r="DG20" s="13">
        <f t="shared" si="22"/>
        <v>97</v>
      </c>
      <c r="DH20" s="13">
        <v>42</v>
      </c>
      <c r="DI20" s="13">
        <v>46</v>
      </c>
      <c r="DJ20" s="13">
        <v>33</v>
      </c>
      <c r="DK20" s="30">
        <f t="shared" si="7"/>
        <v>121</v>
      </c>
      <c r="DM20" s="321">
        <v>45908</v>
      </c>
      <c r="DN20" s="89">
        <v>86</v>
      </c>
      <c r="DO20" s="89">
        <v>0</v>
      </c>
      <c r="DP20" s="89">
        <v>10</v>
      </c>
      <c r="DQ20" s="89">
        <f t="shared" si="23"/>
        <v>96</v>
      </c>
      <c r="DR20" s="89">
        <v>94</v>
      </c>
      <c r="DS20" s="89">
        <v>13</v>
      </c>
      <c r="DT20" s="89">
        <v>32</v>
      </c>
      <c r="DU20" s="30">
        <f t="shared" si="8"/>
        <v>139</v>
      </c>
      <c r="DX20" s="321">
        <v>45938</v>
      </c>
      <c r="DY20" s="89">
        <v>91</v>
      </c>
      <c r="DZ20" s="69">
        <v>0</v>
      </c>
      <c r="EA20" s="69">
        <v>12</v>
      </c>
      <c r="EB20" s="89">
        <f t="shared" si="24"/>
        <v>103</v>
      </c>
      <c r="EC20" s="89">
        <v>86</v>
      </c>
      <c r="ED20" s="69">
        <v>20</v>
      </c>
      <c r="EE20" s="69">
        <v>52</v>
      </c>
      <c r="EF20" s="30">
        <f t="shared" si="9"/>
        <v>158</v>
      </c>
      <c r="EH20" s="321">
        <v>45969</v>
      </c>
      <c r="EI20" s="89">
        <v>0</v>
      </c>
      <c r="EJ20" s="89">
        <v>98</v>
      </c>
      <c r="EK20" s="89">
        <v>0</v>
      </c>
      <c r="EL20" s="89">
        <f t="shared" si="25"/>
        <v>98</v>
      </c>
      <c r="EM20" s="89">
        <v>0</v>
      </c>
      <c r="EN20" s="89">
        <v>88</v>
      </c>
      <c r="EO20" s="89">
        <v>39</v>
      </c>
      <c r="EP20" s="30">
        <f t="shared" si="10"/>
        <v>127</v>
      </c>
      <c r="ER20" s="321">
        <v>45999</v>
      </c>
      <c r="ES20" s="89">
        <v>0</v>
      </c>
      <c r="ET20" s="89">
        <v>0</v>
      </c>
      <c r="EU20" s="89">
        <v>14</v>
      </c>
      <c r="EV20" s="89">
        <f t="shared" si="26"/>
        <v>14</v>
      </c>
      <c r="EW20" s="89">
        <v>0</v>
      </c>
      <c r="EX20" s="89">
        <v>0</v>
      </c>
      <c r="EY20" s="89">
        <v>27</v>
      </c>
      <c r="EZ20" s="30">
        <f t="shared" si="11"/>
        <v>27</v>
      </c>
      <c r="FD20" s="321">
        <v>46030</v>
      </c>
      <c r="FE20" s="89">
        <v>12</v>
      </c>
      <c r="FF20" s="89">
        <v>0</v>
      </c>
      <c r="FG20" s="89">
        <v>109</v>
      </c>
      <c r="FH20" s="89">
        <f t="shared" si="27"/>
        <v>121</v>
      </c>
      <c r="FI20" s="89">
        <v>10</v>
      </c>
      <c r="FJ20" s="89">
        <v>0</v>
      </c>
      <c r="FK20" s="89">
        <v>27</v>
      </c>
      <c r="FL20" s="30">
        <f t="shared" si="12"/>
        <v>37</v>
      </c>
      <c r="FO20" s="321">
        <v>46061</v>
      </c>
      <c r="FP20" s="89">
        <v>95</v>
      </c>
      <c r="FQ20" s="89">
        <v>0</v>
      </c>
      <c r="FR20" s="89">
        <v>0</v>
      </c>
      <c r="FS20" s="89">
        <f t="shared" si="28"/>
        <v>95</v>
      </c>
      <c r="FT20" s="89">
        <v>117</v>
      </c>
      <c r="FU20" s="89">
        <v>14</v>
      </c>
      <c r="FV20" s="89">
        <v>6</v>
      </c>
      <c r="FW20" s="89">
        <f t="shared" si="13"/>
        <v>137</v>
      </c>
      <c r="FZ20" s="321">
        <v>46089</v>
      </c>
      <c r="GA20" s="89">
        <v>100</v>
      </c>
      <c r="GB20" s="89">
        <v>0</v>
      </c>
      <c r="GC20" s="89">
        <v>0</v>
      </c>
      <c r="GD20" s="89">
        <f t="shared" si="29"/>
        <v>100</v>
      </c>
      <c r="GE20" s="89">
        <v>87</v>
      </c>
      <c r="GF20" s="89">
        <v>50</v>
      </c>
      <c r="GG20" s="89">
        <v>24</v>
      </c>
      <c r="GH20" s="89">
        <f t="shared" si="14"/>
        <v>161</v>
      </c>
      <c r="GJ20" s="321">
        <v>46120</v>
      </c>
      <c r="GK20" s="89">
        <v>93</v>
      </c>
      <c r="GL20" s="89">
        <v>0</v>
      </c>
      <c r="GM20" s="89">
        <v>15</v>
      </c>
      <c r="GN20" s="89">
        <f t="shared" si="32"/>
        <v>108</v>
      </c>
      <c r="GO20" s="89">
        <v>129</v>
      </c>
      <c r="GP20" s="89">
        <v>0</v>
      </c>
      <c r="GQ20" s="89">
        <v>16</v>
      </c>
      <c r="GR20" s="89">
        <f t="shared" si="15"/>
        <v>145</v>
      </c>
      <c r="GT20" s="321">
        <v>46150</v>
      </c>
      <c r="GU20" s="89">
        <v>93</v>
      </c>
      <c r="GV20" s="89">
        <v>0</v>
      </c>
      <c r="GW20" s="89">
        <v>16</v>
      </c>
      <c r="GX20" s="89">
        <f t="shared" si="31"/>
        <v>109</v>
      </c>
      <c r="GY20" s="89">
        <v>122</v>
      </c>
      <c r="GZ20" s="89">
        <v>0</v>
      </c>
      <c r="HA20" s="89">
        <v>31</v>
      </c>
      <c r="HB20" s="89">
        <f t="shared" si="16"/>
        <v>153</v>
      </c>
    </row>
    <row r="21" spans="1:210">
      <c r="A21" s="321">
        <v>45391</v>
      </c>
      <c r="B21" s="41">
        <v>90</v>
      </c>
      <c r="C21" s="41">
        <v>94</v>
      </c>
      <c r="D21" s="41"/>
      <c r="E21" s="321">
        <v>45421</v>
      </c>
      <c r="F21" s="41">
        <v>0</v>
      </c>
      <c r="G21" s="320">
        <v>14</v>
      </c>
      <c r="H21" s="321">
        <v>45452</v>
      </c>
      <c r="I21" s="41">
        <v>85</v>
      </c>
      <c r="J21" s="41">
        <v>89</v>
      </c>
      <c r="K21" s="321">
        <v>45482</v>
      </c>
      <c r="L21" s="41">
        <v>91</v>
      </c>
      <c r="M21" s="41">
        <v>94</v>
      </c>
      <c r="N21" s="321">
        <v>45513</v>
      </c>
      <c r="O21" s="41">
        <v>28</v>
      </c>
      <c r="P21" s="41">
        <v>71</v>
      </c>
      <c r="R21" s="321">
        <v>45544</v>
      </c>
      <c r="S21" s="41">
        <v>100</v>
      </c>
      <c r="T21" s="41">
        <v>93</v>
      </c>
      <c r="V21" s="321">
        <v>45574</v>
      </c>
      <c r="W21" s="13">
        <v>129</v>
      </c>
      <c r="X21" s="13">
        <v>91</v>
      </c>
      <c r="AA21" s="321">
        <v>45605</v>
      </c>
      <c r="AB21" s="13">
        <v>87</v>
      </c>
      <c r="AC21" s="13">
        <v>92</v>
      </c>
      <c r="AD21" s="321">
        <v>45635</v>
      </c>
      <c r="AE21" s="13">
        <v>96</v>
      </c>
      <c r="AF21" s="13">
        <v>83</v>
      </c>
      <c r="AH21" s="321">
        <v>45666</v>
      </c>
      <c r="AI21" s="321"/>
      <c r="AJ21" s="13">
        <v>123</v>
      </c>
      <c r="AK21" s="13">
        <v>83</v>
      </c>
      <c r="AL21" s="13">
        <v>123</v>
      </c>
      <c r="AM21" s="13"/>
      <c r="AN21" s="321">
        <v>45697</v>
      </c>
      <c r="AO21" s="13">
        <v>90</v>
      </c>
      <c r="AP21" s="13"/>
      <c r="AQ21" s="13">
        <v>0</v>
      </c>
      <c r="AR21" s="13">
        <f t="shared" si="0"/>
        <v>90</v>
      </c>
      <c r="AS21" s="30">
        <v>148</v>
      </c>
      <c r="AT21" s="327">
        <v>1</v>
      </c>
      <c r="AU21" s="30">
        <v>0</v>
      </c>
      <c r="AV21" s="30">
        <f t="shared" si="1"/>
        <v>149</v>
      </c>
      <c r="AX21" s="321"/>
      <c r="AY21" s="13"/>
      <c r="AZ21" s="13"/>
      <c r="BA21" s="13"/>
      <c r="BB21" s="13"/>
      <c r="BC21" s="321">
        <v>45725</v>
      </c>
      <c r="BD21" s="13">
        <v>35</v>
      </c>
      <c r="BE21" s="13">
        <v>26</v>
      </c>
      <c r="BF21" s="13"/>
      <c r="BG21" s="13">
        <f t="shared" si="17"/>
        <v>61</v>
      </c>
      <c r="BH21" s="13">
        <v>85</v>
      </c>
      <c r="BI21" s="13">
        <v>25</v>
      </c>
      <c r="BJ21" s="13">
        <v>0</v>
      </c>
      <c r="BK21" s="30">
        <f t="shared" si="2"/>
        <v>110</v>
      </c>
      <c r="BM21" s="321">
        <v>45756</v>
      </c>
      <c r="BN21" s="13">
        <v>0</v>
      </c>
      <c r="BO21" s="13">
        <v>0</v>
      </c>
      <c r="BP21" s="13">
        <v>24</v>
      </c>
      <c r="BQ21" s="13">
        <f t="shared" si="18"/>
        <v>24</v>
      </c>
      <c r="BR21" s="13">
        <v>0</v>
      </c>
      <c r="BS21" s="13">
        <v>0</v>
      </c>
      <c r="BT21" s="13">
        <v>29</v>
      </c>
      <c r="BU21" s="30">
        <f t="shared" si="3"/>
        <v>29</v>
      </c>
      <c r="BW21" s="321">
        <v>45786</v>
      </c>
      <c r="BX21" s="13">
        <v>84</v>
      </c>
      <c r="BY21" s="13">
        <v>0</v>
      </c>
      <c r="BZ21" s="13">
        <v>12</v>
      </c>
      <c r="CA21" s="13">
        <f t="shared" si="19"/>
        <v>96</v>
      </c>
      <c r="CB21" s="13">
        <v>119</v>
      </c>
      <c r="CC21" s="13">
        <v>18</v>
      </c>
      <c r="CD21" s="13">
        <v>16</v>
      </c>
      <c r="CE21" s="30">
        <f t="shared" si="4"/>
        <v>153</v>
      </c>
      <c r="CG21" s="321">
        <v>45817</v>
      </c>
      <c r="CH21" s="13">
        <v>72</v>
      </c>
      <c r="CI21" s="13">
        <v>3</v>
      </c>
      <c r="CJ21" s="13">
        <v>15</v>
      </c>
      <c r="CK21" s="13">
        <f t="shared" si="20"/>
        <v>90</v>
      </c>
      <c r="CL21" s="13">
        <v>0</v>
      </c>
      <c r="CM21" s="13">
        <v>72</v>
      </c>
      <c r="CN21" s="13">
        <v>2</v>
      </c>
      <c r="CO21" s="30">
        <f t="shared" si="5"/>
        <v>74</v>
      </c>
      <c r="CQ21" s="321">
        <v>45847</v>
      </c>
      <c r="CR21" s="13">
        <v>61</v>
      </c>
      <c r="CS21" s="13">
        <v>0</v>
      </c>
      <c r="CT21" s="13">
        <v>23</v>
      </c>
      <c r="CU21" s="13">
        <f t="shared" si="21"/>
        <v>84</v>
      </c>
      <c r="CV21" s="13">
        <v>0</v>
      </c>
      <c r="CW21" s="13">
        <v>88</v>
      </c>
      <c r="CX21" s="13">
        <v>56</v>
      </c>
      <c r="CY21" s="30">
        <f t="shared" si="6"/>
        <v>144</v>
      </c>
      <c r="DC21" s="321">
        <v>45878</v>
      </c>
      <c r="DD21" s="13">
        <v>96</v>
      </c>
      <c r="DE21" s="13">
        <v>0</v>
      </c>
      <c r="DF21" s="13">
        <v>6</v>
      </c>
      <c r="DG21" s="13">
        <f t="shared" si="22"/>
        <v>102</v>
      </c>
      <c r="DH21" s="13">
        <v>30</v>
      </c>
      <c r="DI21" s="13">
        <v>102</v>
      </c>
      <c r="DJ21" s="13">
        <v>16</v>
      </c>
      <c r="DK21" s="30">
        <f t="shared" si="7"/>
        <v>148</v>
      </c>
      <c r="DM21" s="321">
        <v>45909</v>
      </c>
      <c r="DN21" s="89">
        <v>93</v>
      </c>
      <c r="DO21" s="89">
        <v>0</v>
      </c>
      <c r="DP21" s="89">
        <v>6</v>
      </c>
      <c r="DQ21" s="89">
        <f t="shared" si="23"/>
        <v>99</v>
      </c>
      <c r="DR21" s="89">
        <v>101</v>
      </c>
      <c r="DS21" s="89">
        <v>0</v>
      </c>
      <c r="DT21" s="89">
        <v>57</v>
      </c>
      <c r="DU21" s="30">
        <f t="shared" si="8"/>
        <v>158</v>
      </c>
      <c r="DX21" s="321">
        <v>45939</v>
      </c>
      <c r="DY21" s="89">
        <v>99</v>
      </c>
      <c r="DZ21" s="69">
        <v>0</v>
      </c>
      <c r="EA21" s="69">
        <v>0</v>
      </c>
      <c r="EB21" s="89">
        <f t="shared" si="24"/>
        <v>99</v>
      </c>
      <c r="EC21" s="89">
        <v>87</v>
      </c>
      <c r="ED21" s="69">
        <v>23</v>
      </c>
      <c r="EE21" s="69">
        <v>0</v>
      </c>
      <c r="EF21" s="30">
        <f t="shared" si="9"/>
        <v>110</v>
      </c>
      <c r="EH21" s="321">
        <v>45970</v>
      </c>
      <c r="EI21" s="89">
        <v>0</v>
      </c>
      <c r="EJ21" s="89">
        <v>94</v>
      </c>
      <c r="EK21" s="89">
        <v>0</v>
      </c>
      <c r="EL21" s="89">
        <f t="shared" si="25"/>
        <v>94</v>
      </c>
      <c r="EM21" s="89">
        <v>0</v>
      </c>
      <c r="EN21" s="89">
        <v>116</v>
      </c>
      <c r="EO21" s="89">
        <v>22</v>
      </c>
      <c r="EP21" s="30">
        <f t="shared" si="10"/>
        <v>138</v>
      </c>
      <c r="ER21" s="321">
        <v>46000</v>
      </c>
      <c r="ES21" s="89">
        <v>0</v>
      </c>
      <c r="ET21" s="89">
        <v>0</v>
      </c>
      <c r="EU21" s="89">
        <v>26</v>
      </c>
      <c r="EV21" s="89">
        <f t="shared" si="26"/>
        <v>26</v>
      </c>
      <c r="EW21" s="89">
        <v>0</v>
      </c>
      <c r="EX21" s="89">
        <v>0</v>
      </c>
      <c r="EY21" s="89">
        <v>44</v>
      </c>
      <c r="EZ21" s="30">
        <f t="shared" si="11"/>
        <v>44</v>
      </c>
      <c r="FD21" s="321">
        <v>46031</v>
      </c>
      <c r="FE21" s="89">
        <v>42</v>
      </c>
      <c r="FF21" s="89">
        <v>0</v>
      </c>
      <c r="FG21" s="89">
        <v>63</v>
      </c>
      <c r="FH21" s="89">
        <f t="shared" si="27"/>
        <v>105</v>
      </c>
      <c r="FI21" s="89">
        <v>16</v>
      </c>
      <c r="FJ21" s="89">
        <v>0</v>
      </c>
      <c r="FK21" s="89">
        <v>30</v>
      </c>
      <c r="FL21" s="30">
        <f t="shared" si="12"/>
        <v>46</v>
      </c>
      <c r="FO21" s="321">
        <v>46062</v>
      </c>
      <c r="FP21" s="89">
        <v>62</v>
      </c>
      <c r="FQ21" s="89">
        <v>0</v>
      </c>
      <c r="FR21" s="89">
        <v>6</v>
      </c>
      <c r="FS21" s="89">
        <f t="shared" si="28"/>
        <v>68</v>
      </c>
      <c r="FT21" s="89">
        <v>69</v>
      </c>
      <c r="FU21" s="89">
        <v>6</v>
      </c>
      <c r="FV21" s="89">
        <v>34</v>
      </c>
      <c r="FW21" s="89">
        <f t="shared" si="13"/>
        <v>109</v>
      </c>
      <c r="FZ21" s="321">
        <v>46090</v>
      </c>
      <c r="GA21" s="89">
        <v>97</v>
      </c>
      <c r="GB21" s="89">
        <v>0</v>
      </c>
      <c r="GC21" s="89">
        <v>0</v>
      </c>
      <c r="GD21" s="89">
        <f t="shared" si="29"/>
        <v>97</v>
      </c>
      <c r="GE21" s="89">
        <v>89</v>
      </c>
      <c r="GF21" s="89">
        <v>50</v>
      </c>
      <c r="GG21" s="89">
        <v>23</v>
      </c>
      <c r="GH21" s="89">
        <f t="shared" si="14"/>
        <v>162</v>
      </c>
      <c r="GJ21" s="321">
        <v>46121</v>
      </c>
      <c r="GK21" s="89">
        <v>95</v>
      </c>
      <c r="GL21" s="89">
        <v>0</v>
      </c>
      <c r="GM21" s="89">
        <v>8</v>
      </c>
      <c r="GN21" s="89">
        <f t="shared" si="30"/>
        <v>103</v>
      </c>
      <c r="GO21" s="89">
        <v>129</v>
      </c>
      <c r="GP21" s="89">
        <v>0</v>
      </c>
      <c r="GQ21" s="89">
        <v>24</v>
      </c>
      <c r="GR21" s="89">
        <f t="shared" si="15"/>
        <v>153</v>
      </c>
      <c r="GT21" s="321">
        <v>46151</v>
      </c>
      <c r="GU21" s="89">
        <v>94</v>
      </c>
      <c r="GV21" s="89">
        <v>0</v>
      </c>
      <c r="GW21" s="89">
        <v>14</v>
      </c>
      <c r="GX21" s="89">
        <f t="shared" si="31"/>
        <v>108</v>
      </c>
      <c r="GY21" s="89">
        <v>124</v>
      </c>
      <c r="GZ21" s="89">
        <v>0</v>
      </c>
      <c r="HA21" s="89">
        <v>20</v>
      </c>
      <c r="HB21" s="89">
        <f t="shared" si="16"/>
        <v>144</v>
      </c>
    </row>
    <row r="22" spans="1:210">
      <c r="A22" s="321">
        <v>45392</v>
      </c>
      <c r="B22" s="41">
        <v>89</v>
      </c>
      <c r="C22" s="41">
        <v>97</v>
      </c>
      <c r="D22" s="41"/>
      <c r="E22" s="321">
        <v>45422</v>
      </c>
      <c r="F22" s="41">
        <v>0</v>
      </c>
      <c r="G22" s="320">
        <v>16</v>
      </c>
      <c r="H22" s="321">
        <v>45453</v>
      </c>
      <c r="I22" s="41">
        <v>97</v>
      </c>
      <c r="J22" s="41">
        <v>122</v>
      </c>
      <c r="K22" s="321">
        <v>45483</v>
      </c>
      <c r="L22" s="41">
        <v>90</v>
      </c>
      <c r="M22" s="41">
        <v>84</v>
      </c>
      <c r="N22" s="321">
        <v>45514</v>
      </c>
      <c r="O22" s="41">
        <v>30</v>
      </c>
      <c r="P22" s="41">
        <v>77</v>
      </c>
      <c r="R22" s="321">
        <v>45545</v>
      </c>
      <c r="S22" s="41">
        <v>107</v>
      </c>
      <c r="T22" s="41">
        <v>81</v>
      </c>
      <c r="V22" s="321">
        <v>45575</v>
      </c>
      <c r="W22" s="13">
        <v>108</v>
      </c>
      <c r="X22" s="13">
        <v>91</v>
      </c>
      <c r="AA22" s="2447" t="s">
        <v>3525</v>
      </c>
      <c r="AB22" s="41" t="s">
        <v>3522</v>
      </c>
      <c r="AC22" s="13">
        <v>92</v>
      </c>
      <c r="AD22" s="2447" t="s">
        <v>3526</v>
      </c>
      <c r="AE22" s="13">
        <v>103</v>
      </c>
      <c r="AF22" s="13">
        <v>87</v>
      </c>
      <c r="AH22" s="321">
        <v>45667</v>
      </c>
      <c r="AI22" s="321"/>
      <c r="AJ22" s="13">
        <v>124</v>
      </c>
      <c r="AK22" s="13">
        <v>94</v>
      </c>
      <c r="AL22" s="13">
        <v>124</v>
      </c>
      <c r="AM22" s="13"/>
      <c r="AN22" s="321">
        <v>45698</v>
      </c>
      <c r="AO22" s="13">
        <v>88</v>
      </c>
      <c r="AP22" s="13"/>
      <c r="AQ22" s="13">
        <v>12</v>
      </c>
      <c r="AR22" s="13">
        <f t="shared" si="0"/>
        <v>100</v>
      </c>
      <c r="AS22" s="30">
        <v>100</v>
      </c>
      <c r="AT22" s="327">
        <v>28</v>
      </c>
      <c r="AU22" s="30">
        <v>16</v>
      </c>
      <c r="AV22" s="30">
        <f t="shared" si="1"/>
        <v>144</v>
      </c>
      <c r="AX22" s="321"/>
      <c r="AY22" s="13"/>
      <c r="AZ22" s="13"/>
      <c r="BA22" s="13"/>
      <c r="BB22" s="13"/>
      <c r="BC22" s="321">
        <v>45726</v>
      </c>
      <c r="BD22" s="13">
        <v>75</v>
      </c>
      <c r="BE22" s="13">
        <v>13</v>
      </c>
      <c r="BF22" s="13">
        <v>12</v>
      </c>
      <c r="BG22" s="13">
        <f t="shared" si="17"/>
        <v>100</v>
      </c>
      <c r="BH22" s="13">
        <v>67</v>
      </c>
      <c r="BI22" s="13">
        <v>16</v>
      </c>
      <c r="BJ22" s="13">
        <v>39</v>
      </c>
      <c r="BK22" s="30">
        <f t="shared" si="2"/>
        <v>122</v>
      </c>
      <c r="BM22" s="321">
        <v>45757</v>
      </c>
      <c r="BN22" s="13">
        <v>3</v>
      </c>
      <c r="BO22" s="13">
        <v>0</v>
      </c>
      <c r="BP22" s="13">
        <v>20</v>
      </c>
      <c r="BQ22" s="13">
        <f t="shared" si="18"/>
        <v>23</v>
      </c>
      <c r="BR22" s="13">
        <v>0</v>
      </c>
      <c r="BS22" s="13">
        <v>0</v>
      </c>
      <c r="BT22" s="13">
        <v>25</v>
      </c>
      <c r="BU22" s="30">
        <f t="shared" si="3"/>
        <v>25</v>
      </c>
      <c r="BW22" s="321">
        <v>45787</v>
      </c>
      <c r="BX22" s="13">
        <v>93</v>
      </c>
      <c r="BY22" s="13">
        <v>0</v>
      </c>
      <c r="BZ22" s="13">
        <v>5</v>
      </c>
      <c r="CA22" s="13">
        <f t="shared" si="19"/>
        <v>98</v>
      </c>
      <c r="CB22" s="13">
        <v>64</v>
      </c>
      <c r="CC22" s="13">
        <v>70</v>
      </c>
      <c r="CD22" s="13">
        <v>6</v>
      </c>
      <c r="CE22" s="30">
        <f t="shared" si="4"/>
        <v>140</v>
      </c>
      <c r="CG22" s="321">
        <v>45818</v>
      </c>
      <c r="CH22" s="13">
        <v>70</v>
      </c>
      <c r="CI22" s="13">
        <v>22</v>
      </c>
      <c r="CJ22" s="13">
        <v>12</v>
      </c>
      <c r="CK22" s="13">
        <f t="shared" si="20"/>
        <v>104</v>
      </c>
      <c r="CL22" s="13">
        <v>0</v>
      </c>
      <c r="CM22" s="13">
        <v>72</v>
      </c>
      <c r="CN22" s="13">
        <v>2</v>
      </c>
      <c r="CO22" s="30">
        <f t="shared" si="5"/>
        <v>74</v>
      </c>
      <c r="CQ22" s="321">
        <v>45848</v>
      </c>
      <c r="CR22" s="13">
        <v>62</v>
      </c>
      <c r="CS22" s="13">
        <v>0</v>
      </c>
      <c r="CT22" s="13">
        <v>4</v>
      </c>
      <c r="CU22" s="13">
        <f t="shared" si="21"/>
        <v>66</v>
      </c>
      <c r="CV22" s="13">
        <v>0</v>
      </c>
      <c r="CW22" s="13">
        <v>80</v>
      </c>
      <c r="CX22" s="13">
        <v>35</v>
      </c>
      <c r="CY22" s="30">
        <f t="shared" si="6"/>
        <v>115</v>
      </c>
      <c r="DC22" s="329">
        <v>45879</v>
      </c>
      <c r="DD22" s="13">
        <v>93</v>
      </c>
      <c r="DE22" s="13">
        <v>0</v>
      </c>
      <c r="DF22" s="13">
        <v>0</v>
      </c>
      <c r="DG22" s="13">
        <f t="shared" si="22"/>
        <v>93</v>
      </c>
      <c r="DH22" s="13">
        <v>27</v>
      </c>
      <c r="DI22" s="13">
        <v>77</v>
      </c>
      <c r="DJ22" s="13">
        <v>45</v>
      </c>
      <c r="DK22" s="30">
        <f t="shared" si="7"/>
        <v>149</v>
      </c>
      <c r="DM22" s="321">
        <v>45910</v>
      </c>
      <c r="DN22" s="89">
        <v>100</v>
      </c>
      <c r="DO22" s="89">
        <v>0</v>
      </c>
      <c r="DP22" s="89">
        <v>0</v>
      </c>
      <c r="DQ22" s="89">
        <f t="shared" si="23"/>
        <v>100</v>
      </c>
      <c r="DR22" s="89">
        <v>121</v>
      </c>
      <c r="DS22" s="89">
        <v>6</v>
      </c>
      <c r="DT22" s="89">
        <v>21</v>
      </c>
      <c r="DU22" s="30">
        <f t="shared" si="8"/>
        <v>148</v>
      </c>
      <c r="DX22" s="321">
        <v>45940</v>
      </c>
      <c r="DY22" s="89">
        <v>94</v>
      </c>
      <c r="DZ22" s="69">
        <v>0</v>
      </c>
      <c r="EA22" s="69">
        <v>4</v>
      </c>
      <c r="EB22" s="89">
        <f t="shared" si="24"/>
        <v>98</v>
      </c>
      <c r="EC22" s="89">
        <v>85</v>
      </c>
      <c r="ED22" s="69">
        <v>19</v>
      </c>
      <c r="EE22" s="69">
        <v>52</v>
      </c>
      <c r="EF22" s="30">
        <f t="shared" si="9"/>
        <v>156</v>
      </c>
      <c r="EH22" s="321">
        <v>45971</v>
      </c>
      <c r="EI22" s="89">
        <v>0</v>
      </c>
      <c r="EJ22" s="89">
        <v>88</v>
      </c>
      <c r="EK22" s="89">
        <v>10</v>
      </c>
      <c r="EL22" s="89">
        <f t="shared" si="25"/>
        <v>98</v>
      </c>
      <c r="EM22" s="89">
        <v>0</v>
      </c>
      <c r="EN22" s="89">
        <v>87</v>
      </c>
      <c r="EO22" s="89">
        <v>40</v>
      </c>
      <c r="EP22" s="30">
        <f t="shared" si="10"/>
        <v>127</v>
      </c>
      <c r="ER22" s="321">
        <v>46001</v>
      </c>
      <c r="ES22" s="89">
        <v>0</v>
      </c>
      <c r="ET22" s="89">
        <v>0</v>
      </c>
      <c r="EU22" s="89">
        <v>26</v>
      </c>
      <c r="EV22" s="89">
        <f t="shared" si="26"/>
        <v>26</v>
      </c>
      <c r="EW22" s="89">
        <v>0</v>
      </c>
      <c r="EX22" s="89">
        <v>0</v>
      </c>
      <c r="EY22" s="89">
        <v>33</v>
      </c>
      <c r="EZ22" s="30">
        <f t="shared" si="11"/>
        <v>33</v>
      </c>
      <c r="FD22" s="321">
        <v>46032</v>
      </c>
      <c r="FE22" s="89">
        <v>42</v>
      </c>
      <c r="FF22" s="89">
        <v>0</v>
      </c>
      <c r="FG22" s="89">
        <v>63</v>
      </c>
      <c r="FH22" s="89">
        <f t="shared" si="27"/>
        <v>105</v>
      </c>
      <c r="FI22" s="89">
        <v>12</v>
      </c>
      <c r="FJ22" s="89">
        <v>4</v>
      </c>
      <c r="FK22" s="89">
        <v>32</v>
      </c>
      <c r="FL22" s="30">
        <f t="shared" si="12"/>
        <v>48</v>
      </c>
      <c r="FO22" s="321">
        <v>46063</v>
      </c>
      <c r="FP22" s="89">
        <v>91</v>
      </c>
      <c r="FQ22" s="89">
        <v>0</v>
      </c>
      <c r="FR22" s="89">
        <v>12</v>
      </c>
      <c r="FS22" s="89">
        <f t="shared" si="28"/>
        <v>103</v>
      </c>
      <c r="FT22" s="89">
        <v>105</v>
      </c>
      <c r="FU22" s="89">
        <v>0</v>
      </c>
      <c r="FV22" s="89">
        <v>47</v>
      </c>
      <c r="FW22" s="89">
        <f t="shared" si="13"/>
        <v>152</v>
      </c>
      <c r="FZ22" s="321">
        <v>46091</v>
      </c>
      <c r="GA22" s="89">
        <v>91</v>
      </c>
      <c r="GB22" s="89">
        <v>0</v>
      </c>
      <c r="GC22" s="89">
        <v>2</v>
      </c>
      <c r="GD22" s="89">
        <f t="shared" ref="GD22" si="33">+GA22+GC22+GB22</f>
        <v>93</v>
      </c>
      <c r="GE22" s="89">
        <v>89</v>
      </c>
      <c r="GF22" s="89">
        <v>43</v>
      </c>
      <c r="GG22" s="89">
        <v>41</v>
      </c>
      <c r="GH22" s="89">
        <f t="shared" ref="GH22" si="34">+GE22+GF22+GG22</f>
        <v>173</v>
      </c>
      <c r="GJ22" s="321">
        <v>46122</v>
      </c>
      <c r="GK22" s="89">
        <v>84</v>
      </c>
      <c r="GL22" s="89">
        <v>0</v>
      </c>
      <c r="GM22" s="89">
        <v>12</v>
      </c>
      <c r="GN22" s="89">
        <f t="shared" si="30"/>
        <v>96</v>
      </c>
      <c r="GO22" s="89">
        <v>132</v>
      </c>
      <c r="GP22" s="89">
        <v>16</v>
      </c>
      <c r="GQ22" s="89">
        <v>14</v>
      </c>
      <c r="GR22" s="89">
        <f t="shared" si="15"/>
        <v>162</v>
      </c>
      <c r="GT22" s="321">
        <v>46152</v>
      </c>
      <c r="GU22" s="89">
        <v>100</v>
      </c>
      <c r="GV22" s="89">
        <v>0</v>
      </c>
      <c r="GW22" s="89">
        <v>3</v>
      </c>
      <c r="GX22" s="89">
        <f t="shared" si="31"/>
        <v>103</v>
      </c>
      <c r="GY22" s="89">
        <v>95</v>
      </c>
      <c r="GZ22" s="89">
        <v>0</v>
      </c>
      <c r="HA22" s="89">
        <v>40</v>
      </c>
      <c r="HB22" s="89">
        <f t="shared" si="16"/>
        <v>135</v>
      </c>
    </row>
    <row r="23" spans="1:210">
      <c r="A23" s="321">
        <v>45393</v>
      </c>
      <c r="B23" s="41">
        <v>85</v>
      </c>
      <c r="C23" s="41">
        <v>82</v>
      </c>
      <c r="D23" s="41"/>
      <c r="E23" s="321">
        <v>45423</v>
      </c>
      <c r="F23" s="41" t="s">
        <v>3522</v>
      </c>
      <c r="G23" s="320" t="s">
        <v>3522</v>
      </c>
      <c r="H23" s="321">
        <v>45454</v>
      </c>
      <c r="I23" s="41">
        <v>112</v>
      </c>
      <c r="J23" s="41">
        <v>74</v>
      </c>
      <c r="K23" s="321">
        <v>45484</v>
      </c>
      <c r="L23" s="41">
        <v>88</v>
      </c>
      <c r="M23" s="41">
        <v>80</v>
      </c>
      <c r="N23" s="321">
        <v>45515</v>
      </c>
      <c r="O23" s="41">
        <v>79</v>
      </c>
      <c r="P23" s="41">
        <v>80</v>
      </c>
      <c r="R23" s="321">
        <v>45546</v>
      </c>
      <c r="S23" s="41">
        <v>95</v>
      </c>
      <c r="T23" s="41">
        <v>89</v>
      </c>
      <c r="V23" s="321">
        <v>45576</v>
      </c>
      <c r="W23" s="41" t="s">
        <v>3522</v>
      </c>
      <c r="X23" s="41" t="s">
        <v>3522</v>
      </c>
      <c r="AA23" s="321">
        <v>45607</v>
      </c>
      <c r="AB23" s="13">
        <v>88</v>
      </c>
      <c r="AC23" s="13">
        <v>90</v>
      </c>
      <c r="AD23" s="321">
        <v>45637</v>
      </c>
      <c r="AE23" s="13">
        <v>106</v>
      </c>
      <c r="AF23" s="13">
        <v>86</v>
      </c>
      <c r="AH23" s="321">
        <v>45668</v>
      </c>
      <c r="AI23" s="321"/>
      <c r="AJ23" s="13">
        <v>87</v>
      </c>
      <c r="AK23" s="13">
        <v>87</v>
      </c>
      <c r="AL23" s="13">
        <v>87</v>
      </c>
      <c r="AM23" s="13"/>
      <c r="AN23" s="321">
        <v>45699</v>
      </c>
      <c r="AO23" s="13">
        <v>72</v>
      </c>
      <c r="AP23" s="13"/>
      <c r="AQ23" s="13">
        <v>24</v>
      </c>
      <c r="AR23" s="13">
        <f t="shared" si="0"/>
        <v>96</v>
      </c>
      <c r="AS23" s="327">
        <v>88</v>
      </c>
      <c r="AT23" s="327">
        <v>47</v>
      </c>
      <c r="AU23" s="30">
        <v>12</v>
      </c>
      <c r="AV23" s="30">
        <f t="shared" si="1"/>
        <v>147</v>
      </c>
      <c r="AX23" s="321"/>
      <c r="AY23" s="13"/>
      <c r="AZ23" s="13"/>
      <c r="BA23" s="13"/>
      <c r="BB23" s="13"/>
      <c r="BC23" s="321">
        <v>45727</v>
      </c>
      <c r="BD23" s="13">
        <v>88</v>
      </c>
      <c r="BE23" s="13">
        <v>14</v>
      </c>
      <c r="BF23" s="13"/>
      <c r="BG23" s="13">
        <f t="shared" si="17"/>
        <v>102</v>
      </c>
      <c r="BH23" s="13">
        <v>89</v>
      </c>
      <c r="BI23" s="13">
        <v>0</v>
      </c>
      <c r="BJ23" s="13">
        <v>37</v>
      </c>
      <c r="BK23" s="30">
        <f t="shared" si="2"/>
        <v>126</v>
      </c>
      <c r="BM23" s="321">
        <v>45758</v>
      </c>
      <c r="BN23" s="13">
        <v>3</v>
      </c>
      <c r="BO23" s="13">
        <v>0</v>
      </c>
      <c r="BP23" s="13">
        <v>32</v>
      </c>
      <c r="BQ23" s="13">
        <f t="shared" si="18"/>
        <v>35</v>
      </c>
      <c r="BR23" s="13">
        <v>0</v>
      </c>
      <c r="BS23" s="13">
        <v>0</v>
      </c>
      <c r="BT23" s="13">
        <v>38</v>
      </c>
      <c r="BU23" s="30">
        <f t="shared" si="3"/>
        <v>38</v>
      </c>
      <c r="BW23" s="329">
        <v>45788</v>
      </c>
      <c r="BX23" s="13">
        <v>99</v>
      </c>
      <c r="BY23" s="13">
        <v>0</v>
      </c>
      <c r="BZ23" s="13">
        <v>0</v>
      </c>
      <c r="CA23" s="13">
        <f t="shared" si="19"/>
        <v>99</v>
      </c>
      <c r="CB23" s="13">
        <v>74</v>
      </c>
      <c r="CC23" s="13">
        <v>49</v>
      </c>
      <c r="CD23" s="13">
        <v>11</v>
      </c>
      <c r="CE23" s="30">
        <f t="shared" si="4"/>
        <v>134</v>
      </c>
      <c r="CG23" s="321">
        <v>45819</v>
      </c>
      <c r="CH23" s="13">
        <v>81</v>
      </c>
      <c r="CI23" s="13">
        <v>0</v>
      </c>
      <c r="CJ23" s="13">
        <v>22</v>
      </c>
      <c r="CK23" s="13">
        <f t="shared" si="20"/>
        <v>103</v>
      </c>
      <c r="CL23" s="13">
        <v>67</v>
      </c>
      <c r="CM23" s="13">
        <v>35</v>
      </c>
      <c r="CN23" s="13">
        <v>3</v>
      </c>
      <c r="CO23" s="30">
        <f t="shared" si="5"/>
        <v>105</v>
      </c>
      <c r="CQ23" s="321">
        <v>45849</v>
      </c>
      <c r="CR23" s="13">
        <v>81</v>
      </c>
      <c r="CS23" s="13">
        <v>0</v>
      </c>
      <c r="CT23" s="13">
        <v>10</v>
      </c>
      <c r="CU23" s="13">
        <f t="shared" si="21"/>
        <v>91</v>
      </c>
      <c r="CV23" s="13">
        <v>0</v>
      </c>
      <c r="CW23" s="13">
        <v>81</v>
      </c>
      <c r="CX23" s="13">
        <v>42</v>
      </c>
      <c r="CY23" s="30">
        <f t="shared" si="6"/>
        <v>123</v>
      </c>
      <c r="DC23" s="321">
        <v>45880</v>
      </c>
      <c r="DD23" s="13">
        <v>91</v>
      </c>
      <c r="DE23" s="13">
        <v>0</v>
      </c>
      <c r="DF23" s="13">
        <v>8</v>
      </c>
      <c r="DG23" s="13">
        <f t="shared" si="22"/>
        <v>99</v>
      </c>
      <c r="DH23" s="13">
        <v>75</v>
      </c>
      <c r="DI23" s="13">
        <v>41</v>
      </c>
      <c r="DJ23" s="13">
        <v>13</v>
      </c>
      <c r="DK23" s="30">
        <f t="shared" si="7"/>
        <v>129</v>
      </c>
      <c r="DM23" s="321">
        <v>45911</v>
      </c>
      <c r="DN23" s="89">
        <v>89</v>
      </c>
      <c r="DO23" s="89">
        <v>0</v>
      </c>
      <c r="DP23" s="89">
        <v>6</v>
      </c>
      <c r="DQ23" s="89">
        <f t="shared" si="23"/>
        <v>95</v>
      </c>
      <c r="DR23" s="89">
        <v>137</v>
      </c>
      <c r="DS23" s="89">
        <v>0</v>
      </c>
      <c r="DT23" s="89">
        <v>14</v>
      </c>
      <c r="DU23" s="30">
        <f t="shared" si="8"/>
        <v>151</v>
      </c>
      <c r="DX23" s="321">
        <v>45941</v>
      </c>
      <c r="DY23" s="89">
        <v>99</v>
      </c>
      <c r="DZ23" s="69">
        <v>0</v>
      </c>
      <c r="EA23" s="69">
        <v>0</v>
      </c>
      <c r="EB23" s="89">
        <f t="shared" si="24"/>
        <v>99</v>
      </c>
      <c r="EC23" s="89">
        <v>87</v>
      </c>
      <c r="ED23" s="69">
        <v>13</v>
      </c>
      <c r="EE23" s="69">
        <v>63</v>
      </c>
      <c r="EF23" s="30">
        <f t="shared" si="9"/>
        <v>163</v>
      </c>
      <c r="EH23" s="321">
        <v>45972</v>
      </c>
      <c r="EI23" s="89">
        <v>0</v>
      </c>
      <c r="EJ23" s="89">
        <v>53</v>
      </c>
      <c r="EK23" s="89">
        <v>47</v>
      </c>
      <c r="EL23" s="89">
        <f t="shared" si="25"/>
        <v>100</v>
      </c>
      <c r="EM23" s="89">
        <v>0</v>
      </c>
      <c r="EN23" s="89">
        <v>122</v>
      </c>
      <c r="EO23" s="89">
        <v>22</v>
      </c>
      <c r="EP23" s="30">
        <f t="shared" si="10"/>
        <v>144</v>
      </c>
      <c r="ER23" s="321">
        <v>46002</v>
      </c>
      <c r="ES23" s="89">
        <v>0</v>
      </c>
      <c r="ET23" s="89">
        <v>0</v>
      </c>
      <c r="EU23" s="89">
        <v>25</v>
      </c>
      <c r="EV23" s="89">
        <f t="shared" si="26"/>
        <v>25</v>
      </c>
      <c r="EW23" s="89">
        <v>0</v>
      </c>
      <c r="EX23" s="89">
        <v>0</v>
      </c>
      <c r="EY23" s="89">
        <v>34</v>
      </c>
      <c r="EZ23" s="30">
        <f t="shared" si="11"/>
        <v>34</v>
      </c>
      <c r="FD23" s="321">
        <v>46033</v>
      </c>
      <c r="FE23" s="89">
        <v>0</v>
      </c>
      <c r="FF23" s="89">
        <v>0</v>
      </c>
      <c r="FG23" s="89">
        <v>0</v>
      </c>
      <c r="FH23" s="89">
        <f t="shared" si="27"/>
        <v>0</v>
      </c>
      <c r="FI23" s="89">
        <v>0</v>
      </c>
      <c r="FJ23" s="89">
        <v>0</v>
      </c>
      <c r="FK23" s="89">
        <v>0</v>
      </c>
      <c r="FL23" s="30">
        <f t="shared" si="12"/>
        <v>0</v>
      </c>
      <c r="FM23" t="s">
        <v>3522</v>
      </c>
      <c r="FO23" s="321">
        <v>46064</v>
      </c>
      <c r="FP23" s="89">
        <v>89</v>
      </c>
      <c r="FQ23" s="89">
        <v>0</v>
      </c>
      <c r="FR23" s="89">
        <v>17</v>
      </c>
      <c r="FS23" s="89">
        <f t="shared" si="28"/>
        <v>106</v>
      </c>
      <c r="FT23" s="89">
        <v>108</v>
      </c>
      <c r="FU23" s="89">
        <v>0</v>
      </c>
      <c r="FV23" s="89">
        <v>48</v>
      </c>
      <c r="FW23" s="89">
        <f t="shared" si="13"/>
        <v>156</v>
      </c>
      <c r="FZ23" s="321">
        <v>46092</v>
      </c>
      <c r="GA23" s="89">
        <v>69</v>
      </c>
      <c r="GB23" s="89">
        <v>0</v>
      </c>
      <c r="GC23" s="89">
        <v>30</v>
      </c>
      <c r="GD23" s="89">
        <f t="shared" si="29"/>
        <v>99</v>
      </c>
      <c r="GE23" s="89">
        <v>87</v>
      </c>
      <c r="GF23" s="89">
        <v>48</v>
      </c>
      <c r="GG23" s="89">
        <v>12</v>
      </c>
      <c r="GH23" s="89">
        <f t="shared" si="14"/>
        <v>147</v>
      </c>
      <c r="GJ23" s="321">
        <v>46123</v>
      </c>
      <c r="GK23" s="89">
        <v>95</v>
      </c>
      <c r="GL23" s="89">
        <v>0</v>
      </c>
      <c r="GM23" s="89">
        <v>8</v>
      </c>
      <c r="GN23" s="89">
        <f t="shared" si="30"/>
        <v>103</v>
      </c>
      <c r="GO23" s="89">
        <v>128</v>
      </c>
      <c r="GP23" s="89">
        <v>0</v>
      </c>
      <c r="GQ23" s="89">
        <v>11</v>
      </c>
      <c r="GR23" s="89">
        <f t="shared" si="15"/>
        <v>139</v>
      </c>
      <c r="GT23" s="321">
        <v>46153</v>
      </c>
      <c r="GU23" s="89">
        <v>109</v>
      </c>
      <c r="GV23" s="89">
        <v>0</v>
      </c>
      <c r="GW23" s="89">
        <v>10</v>
      </c>
      <c r="GX23" s="89">
        <f t="shared" ref="GX23" si="35">+GU23+GW23+GV23</f>
        <v>119</v>
      </c>
      <c r="GY23" s="89">
        <v>126</v>
      </c>
      <c r="GZ23" s="89">
        <v>0</v>
      </c>
      <c r="HA23" s="89">
        <v>15</v>
      </c>
      <c r="HB23" s="89">
        <f t="shared" si="16"/>
        <v>141</v>
      </c>
    </row>
    <row r="24" spans="1:210">
      <c r="A24" s="321">
        <v>45394</v>
      </c>
      <c r="B24" s="41">
        <v>88</v>
      </c>
      <c r="C24" s="41">
        <v>96</v>
      </c>
      <c r="D24" s="41"/>
      <c r="E24" s="321">
        <v>45424</v>
      </c>
      <c r="F24" s="41" t="s">
        <v>3522</v>
      </c>
      <c r="G24" s="320" t="s">
        <v>3522</v>
      </c>
      <c r="H24" s="321">
        <v>45455</v>
      </c>
      <c r="I24" s="41">
        <v>105</v>
      </c>
      <c r="J24" s="41">
        <v>90</v>
      </c>
      <c r="K24" s="321">
        <v>45485</v>
      </c>
      <c r="L24" s="41">
        <v>74</v>
      </c>
      <c r="M24" s="41">
        <v>76</v>
      </c>
      <c r="N24" s="321">
        <v>45516</v>
      </c>
      <c r="O24" s="41">
        <v>73</v>
      </c>
      <c r="P24" s="41">
        <v>78</v>
      </c>
      <c r="R24" s="321">
        <v>45547</v>
      </c>
      <c r="S24" s="41">
        <v>97</v>
      </c>
      <c r="T24" s="41">
        <v>81</v>
      </c>
      <c r="V24" s="321">
        <v>45577</v>
      </c>
      <c r="W24" s="41" t="s">
        <v>3522</v>
      </c>
      <c r="X24" s="41" t="s">
        <v>3522</v>
      </c>
      <c r="AA24" s="321">
        <v>45608</v>
      </c>
      <c r="AB24" s="13">
        <v>66</v>
      </c>
      <c r="AC24" s="13">
        <v>80</v>
      </c>
      <c r="AD24" s="321">
        <v>45638</v>
      </c>
      <c r="AE24" s="13">
        <v>116</v>
      </c>
      <c r="AF24" s="13">
        <v>88</v>
      </c>
      <c r="AH24" s="321">
        <v>45669</v>
      </c>
      <c r="AI24" s="321"/>
      <c r="AJ24" s="13">
        <v>82</v>
      </c>
      <c r="AK24" s="13">
        <v>103</v>
      </c>
      <c r="AL24" s="13">
        <v>82</v>
      </c>
      <c r="AM24" s="13"/>
      <c r="AN24" s="321">
        <v>45700</v>
      </c>
      <c r="AO24" s="13">
        <v>86</v>
      </c>
      <c r="AP24" s="13"/>
      <c r="AQ24" s="13">
        <v>19</v>
      </c>
      <c r="AR24" s="13">
        <f>+AO24+AQ24+AP24</f>
        <v>105</v>
      </c>
      <c r="AS24" s="327">
        <v>87</v>
      </c>
      <c r="AT24" s="327">
        <v>56</v>
      </c>
      <c r="AU24" s="30">
        <v>0</v>
      </c>
      <c r="AV24" s="30">
        <f t="shared" si="1"/>
        <v>143</v>
      </c>
      <c r="AX24" s="321"/>
      <c r="AY24" s="13"/>
      <c r="AZ24" s="13"/>
      <c r="BA24" s="13"/>
      <c r="BB24" s="13"/>
      <c r="BC24" s="321">
        <v>45728</v>
      </c>
      <c r="BD24" s="13">
        <v>89</v>
      </c>
      <c r="BE24" s="13">
        <v>2</v>
      </c>
      <c r="BF24" s="13">
        <v>2</v>
      </c>
      <c r="BG24" s="13">
        <f t="shared" si="17"/>
        <v>93</v>
      </c>
      <c r="BH24" s="13">
        <v>69</v>
      </c>
      <c r="BI24" s="13">
        <v>0</v>
      </c>
      <c r="BJ24" s="13">
        <v>54</v>
      </c>
      <c r="BK24" s="30">
        <f t="shared" si="2"/>
        <v>123</v>
      </c>
      <c r="BM24" s="321">
        <v>45759</v>
      </c>
      <c r="BN24" s="13">
        <v>3</v>
      </c>
      <c r="BO24" s="13">
        <v>0</v>
      </c>
      <c r="BP24" s="13">
        <v>32</v>
      </c>
      <c r="BQ24" s="13">
        <f t="shared" si="18"/>
        <v>35</v>
      </c>
      <c r="BR24" s="13">
        <v>0</v>
      </c>
      <c r="BS24" s="13">
        <v>0</v>
      </c>
      <c r="BT24" s="13">
        <v>38</v>
      </c>
      <c r="BU24" s="30">
        <f t="shared" si="3"/>
        <v>38</v>
      </c>
      <c r="BW24" s="321">
        <v>45789</v>
      </c>
      <c r="BX24" s="13">
        <v>78</v>
      </c>
      <c r="BY24" s="13">
        <v>0</v>
      </c>
      <c r="BZ24" s="13"/>
      <c r="CA24" s="13">
        <f t="shared" si="19"/>
        <v>78</v>
      </c>
      <c r="CB24" s="13">
        <v>72</v>
      </c>
      <c r="CC24" s="13">
        <v>43</v>
      </c>
      <c r="CD24" s="13">
        <v>20</v>
      </c>
      <c r="CE24" s="30">
        <f t="shared" si="4"/>
        <v>135</v>
      </c>
      <c r="CG24" s="321">
        <v>45820</v>
      </c>
      <c r="CH24" s="13">
        <v>18</v>
      </c>
      <c r="CI24" s="13">
        <v>0</v>
      </c>
      <c r="CJ24" s="13">
        <v>27</v>
      </c>
      <c r="CK24" s="13">
        <f t="shared" si="20"/>
        <v>45</v>
      </c>
      <c r="CL24" s="13">
        <v>0</v>
      </c>
      <c r="CM24" s="13">
        <v>41</v>
      </c>
      <c r="CN24" s="13">
        <v>22</v>
      </c>
      <c r="CO24" s="30">
        <f t="shared" si="5"/>
        <v>63</v>
      </c>
      <c r="CQ24" s="332">
        <v>45850</v>
      </c>
      <c r="CR24" s="13">
        <v>38</v>
      </c>
      <c r="CS24" s="13">
        <v>0</v>
      </c>
      <c r="CT24" s="13">
        <v>9</v>
      </c>
      <c r="CU24" s="13">
        <f t="shared" ref="CU24:CU43" si="36">+CR24+CT24+CS24</f>
        <v>47</v>
      </c>
      <c r="CV24" s="13">
        <v>38</v>
      </c>
      <c r="CW24" s="13">
        <v>22</v>
      </c>
      <c r="CX24" s="13">
        <v>35</v>
      </c>
      <c r="CY24" s="30">
        <f t="shared" si="6"/>
        <v>95</v>
      </c>
      <c r="DC24" s="332">
        <v>45881</v>
      </c>
      <c r="DD24" s="13">
        <v>58</v>
      </c>
      <c r="DE24" s="13">
        <v>16</v>
      </c>
      <c r="DF24" s="13">
        <v>0</v>
      </c>
      <c r="DG24" s="13">
        <f t="shared" ref="DG24:DG43" si="37">+DD24+DF24+DE24</f>
        <v>74</v>
      </c>
      <c r="DH24" s="13">
        <v>50</v>
      </c>
      <c r="DI24" s="13">
        <v>74</v>
      </c>
      <c r="DJ24" s="13">
        <v>12</v>
      </c>
      <c r="DK24" s="30">
        <f t="shared" si="7"/>
        <v>136</v>
      </c>
      <c r="DM24" s="321">
        <v>45912</v>
      </c>
      <c r="DN24" s="89">
        <v>91</v>
      </c>
      <c r="DO24" s="89">
        <v>0</v>
      </c>
      <c r="DP24" s="89">
        <v>9</v>
      </c>
      <c r="DQ24" s="89">
        <f t="shared" ref="DQ24:DQ43" si="38">+DN24+DP24+DO24</f>
        <v>100</v>
      </c>
      <c r="DR24" s="89">
        <v>132</v>
      </c>
      <c r="DS24" s="89">
        <v>0</v>
      </c>
      <c r="DT24" s="89">
        <v>21</v>
      </c>
      <c r="DU24" s="30">
        <f t="shared" si="8"/>
        <v>153</v>
      </c>
      <c r="DX24" s="321">
        <v>45942</v>
      </c>
      <c r="DY24" s="89">
        <v>95</v>
      </c>
      <c r="DZ24" s="69">
        <v>0</v>
      </c>
      <c r="EA24" s="69">
        <v>0</v>
      </c>
      <c r="EB24" s="89">
        <f t="shared" ref="EB24:EB43" si="39">+DY24+EA24+DZ24</f>
        <v>95</v>
      </c>
      <c r="EC24" s="89">
        <v>83</v>
      </c>
      <c r="ED24" s="69">
        <v>20</v>
      </c>
      <c r="EE24" s="69">
        <v>27</v>
      </c>
      <c r="EF24" s="30">
        <f t="shared" si="9"/>
        <v>130</v>
      </c>
      <c r="EH24" s="321">
        <v>45973</v>
      </c>
      <c r="EI24" s="89">
        <v>0</v>
      </c>
      <c r="EJ24" s="89">
        <v>74</v>
      </c>
      <c r="EK24" s="89">
        <v>40</v>
      </c>
      <c r="EL24" s="89">
        <f t="shared" si="25"/>
        <v>114</v>
      </c>
      <c r="EM24" s="89">
        <v>0</v>
      </c>
      <c r="EN24" s="89">
        <v>112</v>
      </c>
      <c r="EO24" s="89">
        <v>29</v>
      </c>
      <c r="EP24" s="30">
        <f t="shared" si="10"/>
        <v>141</v>
      </c>
      <c r="ER24" s="321">
        <v>46003</v>
      </c>
      <c r="ES24" s="89">
        <v>0</v>
      </c>
      <c r="ET24" s="89">
        <v>0</v>
      </c>
      <c r="EU24" s="89">
        <v>48</v>
      </c>
      <c r="EV24" s="89">
        <f t="shared" si="26"/>
        <v>48</v>
      </c>
      <c r="EW24" s="89">
        <v>0</v>
      </c>
      <c r="EX24" s="89">
        <v>0</v>
      </c>
      <c r="EY24" s="89">
        <v>43</v>
      </c>
      <c r="EZ24" s="30">
        <f t="shared" si="11"/>
        <v>43</v>
      </c>
      <c r="FD24" s="321">
        <v>46034</v>
      </c>
      <c r="FE24" s="89">
        <v>0</v>
      </c>
      <c r="FF24" s="89">
        <v>34</v>
      </c>
      <c r="FG24" s="89">
        <v>84</v>
      </c>
      <c r="FH24" s="89">
        <f t="shared" si="27"/>
        <v>118</v>
      </c>
      <c r="FI24" s="89">
        <v>0</v>
      </c>
      <c r="FJ24" s="89">
        <v>0</v>
      </c>
      <c r="FK24" s="89">
        <v>46</v>
      </c>
      <c r="FL24" s="30">
        <f t="shared" si="12"/>
        <v>46</v>
      </c>
      <c r="FO24" s="321">
        <v>46065</v>
      </c>
      <c r="FP24" s="89">
        <v>91</v>
      </c>
      <c r="FQ24" s="89">
        <v>0</v>
      </c>
      <c r="FR24" s="89">
        <v>20</v>
      </c>
      <c r="FS24" s="89">
        <f t="shared" si="28"/>
        <v>111</v>
      </c>
      <c r="FT24" s="89">
        <v>119</v>
      </c>
      <c r="FU24" s="89">
        <v>0</v>
      </c>
      <c r="FV24" s="89">
        <v>34</v>
      </c>
      <c r="FW24" s="89">
        <f t="shared" si="13"/>
        <v>153</v>
      </c>
      <c r="FZ24" s="321">
        <v>46093</v>
      </c>
      <c r="GA24" s="89">
        <v>65</v>
      </c>
      <c r="GB24" s="89">
        <v>0</v>
      </c>
      <c r="GC24" s="89">
        <v>38</v>
      </c>
      <c r="GD24" s="89">
        <f t="shared" si="29"/>
        <v>103</v>
      </c>
      <c r="GE24" s="89">
        <v>87</v>
      </c>
      <c r="GF24" s="89">
        <v>44</v>
      </c>
      <c r="GG24" s="89">
        <v>7</v>
      </c>
      <c r="GH24" s="89">
        <f t="shared" si="14"/>
        <v>138</v>
      </c>
      <c r="GJ24" s="321">
        <v>46124</v>
      </c>
      <c r="GK24" s="89">
        <v>83</v>
      </c>
      <c r="GL24" s="89">
        <v>0</v>
      </c>
      <c r="GM24" s="89">
        <v>12</v>
      </c>
      <c r="GN24" s="89">
        <f t="shared" si="30"/>
        <v>95</v>
      </c>
      <c r="GO24" s="89">
        <v>112</v>
      </c>
      <c r="GP24" s="89">
        <v>29</v>
      </c>
      <c r="GQ24" s="89">
        <v>8</v>
      </c>
      <c r="GR24" s="89">
        <f t="shared" si="15"/>
        <v>149</v>
      </c>
      <c r="GT24" s="321">
        <v>46154</v>
      </c>
      <c r="GU24" s="89">
        <v>95</v>
      </c>
      <c r="GV24" s="89">
        <v>0</v>
      </c>
      <c r="GW24" s="89">
        <v>18</v>
      </c>
      <c r="GX24" s="89">
        <f t="shared" si="31"/>
        <v>113</v>
      </c>
      <c r="GY24" s="89">
        <v>119</v>
      </c>
      <c r="GZ24" s="89">
        <v>0</v>
      </c>
      <c r="HA24" s="89">
        <v>14</v>
      </c>
      <c r="HB24" s="89">
        <f t="shared" si="16"/>
        <v>133</v>
      </c>
    </row>
    <row r="25" spans="1:210">
      <c r="A25" s="321">
        <v>45395</v>
      </c>
      <c r="B25" s="41">
        <v>85</v>
      </c>
      <c r="C25" s="41">
        <v>81</v>
      </c>
      <c r="D25" s="41"/>
      <c r="E25" s="321">
        <v>45425</v>
      </c>
      <c r="F25" s="41">
        <v>0</v>
      </c>
      <c r="G25" s="320">
        <v>30</v>
      </c>
      <c r="H25" s="321">
        <v>45456</v>
      </c>
      <c r="I25" s="41">
        <v>115</v>
      </c>
      <c r="J25" s="41">
        <v>82</v>
      </c>
      <c r="K25" s="321">
        <v>45486</v>
      </c>
      <c r="L25" s="41">
        <v>2</v>
      </c>
      <c r="M25" s="41">
        <v>67</v>
      </c>
      <c r="N25" s="321">
        <v>45517</v>
      </c>
      <c r="O25" s="41">
        <v>91</v>
      </c>
      <c r="P25" s="41">
        <v>78</v>
      </c>
      <c r="R25" s="321">
        <v>45548</v>
      </c>
      <c r="S25" s="41">
        <v>83</v>
      </c>
      <c r="T25" s="41">
        <v>77</v>
      </c>
      <c r="V25" s="321">
        <v>45578</v>
      </c>
      <c r="W25" s="13">
        <v>50</v>
      </c>
      <c r="X25" s="13">
        <v>65</v>
      </c>
      <c r="AA25" s="321">
        <v>45609</v>
      </c>
      <c r="AB25" s="13">
        <v>52</v>
      </c>
      <c r="AC25" s="13">
        <v>68</v>
      </c>
      <c r="AD25" s="321">
        <v>45639</v>
      </c>
      <c r="AE25" s="13">
        <v>103</v>
      </c>
      <c r="AF25" s="13">
        <v>86</v>
      </c>
      <c r="AH25" s="321">
        <v>45670</v>
      </c>
      <c r="AI25" s="321"/>
      <c r="AJ25" s="13">
        <v>79</v>
      </c>
      <c r="AK25" s="13">
        <v>74</v>
      </c>
      <c r="AL25" s="13">
        <v>79</v>
      </c>
      <c r="AM25" s="13"/>
      <c r="AN25" s="321">
        <v>45701</v>
      </c>
      <c r="AO25" s="13">
        <v>83</v>
      </c>
      <c r="AP25" s="13"/>
      <c r="AQ25" s="13">
        <v>6</v>
      </c>
      <c r="AR25" s="13">
        <f t="shared" ref="AR25:AR43" si="40">+AO25+AQ25+AP25</f>
        <v>89</v>
      </c>
      <c r="AS25" s="327">
        <v>85</v>
      </c>
      <c r="AT25" s="327">
        <v>49</v>
      </c>
      <c r="AU25" s="30">
        <v>3</v>
      </c>
      <c r="AV25" s="30">
        <f t="shared" si="1"/>
        <v>137</v>
      </c>
      <c r="AX25" s="321"/>
      <c r="AY25" s="13"/>
      <c r="AZ25" s="13"/>
      <c r="BA25" s="13"/>
      <c r="BB25" s="13"/>
      <c r="BC25" s="321">
        <v>45729</v>
      </c>
      <c r="BD25" s="13">
        <v>39</v>
      </c>
      <c r="BE25" s="13">
        <v>41</v>
      </c>
      <c r="BF25" s="13">
        <v>8</v>
      </c>
      <c r="BG25" s="13">
        <f t="shared" si="17"/>
        <v>88</v>
      </c>
      <c r="BH25" s="13">
        <v>50</v>
      </c>
      <c r="BI25" s="13">
        <v>41</v>
      </c>
      <c r="BJ25" s="13">
        <v>66</v>
      </c>
      <c r="BK25" s="30">
        <f t="shared" si="2"/>
        <v>157</v>
      </c>
      <c r="BM25" s="329">
        <v>45760</v>
      </c>
      <c r="BN25" s="330">
        <v>0</v>
      </c>
      <c r="BO25" s="330">
        <v>0</v>
      </c>
      <c r="BP25" s="330">
        <v>0</v>
      </c>
      <c r="BQ25" s="330">
        <f t="shared" si="18"/>
        <v>0</v>
      </c>
      <c r="BR25" s="330">
        <v>0</v>
      </c>
      <c r="BS25" s="330">
        <v>0</v>
      </c>
      <c r="BT25" s="330">
        <v>0</v>
      </c>
      <c r="BU25" s="331">
        <f t="shared" si="3"/>
        <v>0</v>
      </c>
      <c r="BW25" s="321">
        <v>45790</v>
      </c>
      <c r="BX25" s="13">
        <v>39</v>
      </c>
      <c r="BY25" s="13">
        <v>57</v>
      </c>
      <c r="BZ25" s="13">
        <v>8</v>
      </c>
      <c r="CA25" s="330">
        <f t="shared" si="19"/>
        <v>104</v>
      </c>
      <c r="CB25" s="13">
        <v>90</v>
      </c>
      <c r="CC25" s="13">
        <v>33</v>
      </c>
      <c r="CD25" s="13">
        <v>21</v>
      </c>
      <c r="CE25" s="331">
        <f t="shared" si="4"/>
        <v>144</v>
      </c>
      <c r="CG25" s="321">
        <v>45821</v>
      </c>
      <c r="CH25" s="13">
        <v>51</v>
      </c>
      <c r="CI25" s="13">
        <v>0</v>
      </c>
      <c r="CJ25" s="13">
        <v>24</v>
      </c>
      <c r="CK25" s="330">
        <f t="shared" si="20"/>
        <v>75</v>
      </c>
      <c r="CL25" s="13">
        <v>0</v>
      </c>
      <c r="CM25" s="13">
        <v>35</v>
      </c>
      <c r="CN25" s="13">
        <v>33</v>
      </c>
      <c r="CO25" s="331">
        <f t="shared" si="5"/>
        <v>68</v>
      </c>
      <c r="CQ25" s="332">
        <v>45851</v>
      </c>
      <c r="CR25" s="13">
        <v>38</v>
      </c>
      <c r="CS25" s="13">
        <v>0</v>
      </c>
      <c r="CT25" s="13">
        <v>9</v>
      </c>
      <c r="CU25" s="330">
        <f t="shared" si="36"/>
        <v>47</v>
      </c>
      <c r="CV25" s="13">
        <v>0</v>
      </c>
      <c r="CW25" s="13">
        <v>0</v>
      </c>
      <c r="CX25" s="13">
        <v>0</v>
      </c>
      <c r="CY25" s="30">
        <f t="shared" si="6"/>
        <v>0</v>
      </c>
      <c r="DC25" s="332">
        <v>45882</v>
      </c>
      <c r="DD25" s="13">
        <v>89</v>
      </c>
      <c r="DE25" s="13">
        <v>0</v>
      </c>
      <c r="DF25" s="13">
        <v>10</v>
      </c>
      <c r="DG25" s="330">
        <f t="shared" si="37"/>
        <v>99</v>
      </c>
      <c r="DH25" s="13">
        <v>52</v>
      </c>
      <c r="DI25" s="13">
        <v>79</v>
      </c>
      <c r="DJ25" s="13">
        <v>6</v>
      </c>
      <c r="DK25" s="30">
        <f t="shared" si="7"/>
        <v>137</v>
      </c>
      <c r="DM25" s="321">
        <v>45913</v>
      </c>
      <c r="DN25" s="89">
        <v>91</v>
      </c>
      <c r="DO25" s="89">
        <v>0</v>
      </c>
      <c r="DP25" s="89">
        <v>11</v>
      </c>
      <c r="DQ25" s="89">
        <f t="shared" si="38"/>
        <v>102</v>
      </c>
      <c r="DR25" s="89">
        <v>118</v>
      </c>
      <c r="DS25" s="89">
        <v>11</v>
      </c>
      <c r="DT25" s="89">
        <v>29</v>
      </c>
      <c r="DU25" s="30">
        <f t="shared" si="8"/>
        <v>158</v>
      </c>
      <c r="DX25" s="321">
        <v>45943</v>
      </c>
      <c r="DY25" s="89">
        <v>94</v>
      </c>
      <c r="DZ25" s="69">
        <v>0</v>
      </c>
      <c r="EA25" s="69">
        <v>0</v>
      </c>
      <c r="EB25" s="89">
        <f t="shared" si="39"/>
        <v>94</v>
      </c>
      <c r="EC25" s="89">
        <v>85</v>
      </c>
      <c r="ED25" s="69">
        <v>10</v>
      </c>
      <c r="EE25" s="69">
        <v>38</v>
      </c>
      <c r="EF25" s="30">
        <f t="shared" si="9"/>
        <v>133</v>
      </c>
      <c r="EH25" s="321">
        <v>45974</v>
      </c>
      <c r="EI25" s="89">
        <v>0</v>
      </c>
      <c r="EJ25" s="89">
        <v>35</v>
      </c>
      <c r="EK25" s="89">
        <v>77</v>
      </c>
      <c r="EL25" s="89">
        <f t="shared" si="25"/>
        <v>112</v>
      </c>
      <c r="EM25" s="89">
        <v>0</v>
      </c>
      <c r="EN25" s="89">
        <v>87</v>
      </c>
      <c r="EO25" s="89">
        <v>54</v>
      </c>
      <c r="EP25" s="30">
        <f t="shared" si="10"/>
        <v>141</v>
      </c>
      <c r="ER25" s="321">
        <v>46004</v>
      </c>
      <c r="ES25" s="89">
        <v>0</v>
      </c>
      <c r="ET25" s="89">
        <v>0</v>
      </c>
      <c r="EU25" s="89">
        <v>49</v>
      </c>
      <c r="EV25" s="89">
        <f t="shared" si="26"/>
        <v>49</v>
      </c>
      <c r="EW25" s="89">
        <v>0</v>
      </c>
      <c r="EX25" s="89">
        <v>0</v>
      </c>
      <c r="EY25" s="89">
        <v>35</v>
      </c>
      <c r="EZ25" s="30">
        <f t="shared" si="11"/>
        <v>35</v>
      </c>
      <c r="FD25" s="321">
        <v>46035</v>
      </c>
      <c r="FE25" s="89">
        <v>78</v>
      </c>
      <c r="FF25" s="89">
        <v>0</v>
      </c>
      <c r="FG25" s="89">
        <v>29</v>
      </c>
      <c r="FH25" s="89">
        <f t="shared" si="27"/>
        <v>107</v>
      </c>
      <c r="FI25" s="89">
        <v>0</v>
      </c>
      <c r="FJ25" s="89">
        <v>59</v>
      </c>
      <c r="FK25" s="89">
        <v>40</v>
      </c>
      <c r="FL25" s="30">
        <f t="shared" si="12"/>
        <v>99</v>
      </c>
      <c r="FO25" s="321">
        <v>46066</v>
      </c>
      <c r="FP25" s="89">
        <v>90</v>
      </c>
      <c r="FQ25" s="89"/>
      <c r="FR25" s="89">
        <v>8</v>
      </c>
      <c r="FS25" s="89">
        <f t="shared" si="28"/>
        <v>98</v>
      </c>
      <c r="FT25" s="89">
        <v>127</v>
      </c>
      <c r="FU25" s="89"/>
      <c r="FV25" s="89">
        <v>42</v>
      </c>
      <c r="FW25" s="89">
        <f t="shared" si="13"/>
        <v>169</v>
      </c>
      <c r="FZ25" s="321">
        <v>46094</v>
      </c>
      <c r="GA25" s="89">
        <v>49</v>
      </c>
      <c r="GB25" s="89">
        <v>0</v>
      </c>
      <c r="GC25" s="89">
        <v>53</v>
      </c>
      <c r="GD25" s="89">
        <f t="shared" si="29"/>
        <v>102</v>
      </c>
      <c r="GE25" s="89">
        <v>88</v>
      </c>
      <c r="GF25" s="89">
        <v>44</v>
      </c>
      <c r="GG25" s="89">
        <v>6</v>
      </c>
      <c r="GH25" s="89">
        <f t="shared" si="14"/>
        <v>138</v>
      </c>
      <c r="GJ25" s="321">
        <v>46125</v>
      </c>
      <c r="GK25" s="89">
        <v>74</v>
      </c>
      <c r="GL25" s="89">
        <v>0</v>
      </c>
      <c r="GM25" s="89">
        <v>30</v>
      </c>
      <c r="GN25" s="89">
        <f t="shared" si="30"/>
        <v>104</v>
      </c>
      <c r="GO25" s="89">
        <v>84</v>
      </c>
      <c r="GP25" s="89">
        <v>24</v>
      </c>
      <c r="GQ25" s="89">
        <v>31</v>
      </c>
      <c r="GR25" s="89">
        <f t="shared" si="15"/>
        <v>139</v>
      </c>
      <c r="GT25" s="321">
        <v>46155</v>
      </c>
      <c r="GU25" s="89">
        <v>102</v>
      </c>
      <c r="GV25" s="89">
        <v>0</v>
      </c>
      <c r="GW25" s="89">
        <v>6</v>
      </c>
      <c r="GX25" s="89">
        <f t="shared" si="31"/>
        <v>108</v>
      </c>
      <c r="GY25" s="89">
        <v>99</v>
      </c>
      <c r="GZ25" s="89">
        <v>0</v>
      </c>
      <c r="HA25" s="89">
        <v>28</v>
      </c>
      <c r="HB25" s="89">
        <f t="shared" si="16"/>
        <v>127</v>
      </c>
    </row>
    <row r="26" spans="1:210">
      <c r="A26" s="321">
        <v>45396</v>
      </c>
      <c r="B26" s="41" t="s">
        <v>3522</v>
      </c>
      <c r="C26" s="41" t="s">
        <v>3522</v>
      </c>
      <c r="D26" s="41"/>
      <c r="E26" s="321">
        <v>45426</v>
      </c>
      <c r="F26" s="41">
        <v>0</v>
      </c>
      <c r="G26" s="320">
        <v>5</v>
      </c>
      <c r="H26" s="321">
        <v>45457</v>
      </c>
      <c r="I26" s="41">
        <v>88</v>
      </c>
      <c r="J26" s="41">
        <v>84</v>
      </c>
      <c r="K26" s="321">
        <v>45487</v>
      </c>
      <c r="L26" s="41">
        <v>56</v>
      </c>
      <c r="M26" s="41">
        <v>46</v>
      </c>
      <c r="N26" s="321">
        <v>45518</v>
      </c>
      <c r="O26" s="41">
        <v>102</v>
      </c>
      <c r="P26" s="41">
        <v>91</v>
      </c>
      <c r="R26" s="321">
        <v>45549</v>
      </c>
      <c r="S26" s="41">
        <v>26</v>
      </c>
      <c r="T26" s="41">
        <v>72</v>
      </c>
      <c r="V26" s="321">
        <v>45579</v>
      </c>
      <c r="W26" s="13">
        <v>118</v>
      </c>
      <c r="X26" s="13">
        <v>90</v>
      </c>
      <c r="AA26" s="321">
        <v>45610</v>
      </c>
      <c r="AB26" s="13">
        <v>89</v>
      </c>
      <c r="AC26" s="13">
        <v>88</v>
      </c>
      <c r="AD26" s="321">
        <v>45640</v>
      </c>
      <c r="AE26" s="13">
        <v>35</v>
      </c>
      <c r="AF26" s="13">
        <v>79</v>
      </c>
      <c r="AH26" s="321">
        <v>45671</v>
      </c>
      <c r="AI26" s="321"/>
      <c r="AJ26" s="13">
        <v>103</v>
      </c>
      <c r="AK26" s="13">
        <v>89</v>
      </c>
      <c r="AL26" s="314">
        <v>95</v>
      </c>
      <c r="AM26" s="314">
        <v>8</v>
      </c>
      <c r="AN26" s="321">
        <v>45702</v>
      </c>
      <c r="AO26" s="13">
        <v>83</v>
      </c>
      <c r="AP26" s="13"/>
      <c r="AQ26" s="13">
        <v>11</v>
      </c>
      <c r="AR26" s="13">
        <f t="shared" si="40"/>
        <v>94</v>
      </c>
      <c r="AS26" s="30">
        <v>91</v>
      </c>
      <c r="AT26" s="30">
        <v>42</v>
      </c>
      <c r="AU26" s="30">
        <v>20</v>
      </c>
      <c r="AV26" s="30">
        <f t="shared" si="1"/>
        <v>153</v>
      </c>
      <c r="AX26" s="321"/>
      <c r="AY26" s="13"/>
      <c r="AZ26" s="13"/>
      <c r="BA26" s="314"/>
      <c r="BB26" s="314"/>
      <c r="BC26" s="321">
        <v>45730</v>
      </c>
      <c r="BD26" s="13">
        <v>32</v>
      </c>
      <c r="BE26" s="13">
        <v>0</v>
      </c>
      <c r="BF26" s="13">
        <v>2</v>
      </c>
      <c r="BG26" s="13">
        <f t="shared" si="17"/>
        <v>34</v>
      </c>
      <c r="BH26" s="13">
        <v>45</v>
      </c>
      <c r="BI26" s="13">
        <v>14</v>
      </c>
      <c r="BJ26" s="13">
        <v>0</v>
      </c>
      <c r="BK26" s="30">
        <f t="shared" si="2"/>
        <v>59</v>
      </c>
      <c r="BM26" s="321">
        <v>45761</v>
      </c>
      <c r="BN26" s="13">
        <v>0</v>
      </c>
      <c r="BO26" s="13">
        <v>0</v>
      </c>
      <c r="BP26" s="13">
        <v>0</v>
      </c>
      <c r="BQ26" s="13">
        <f t="shared" si="18"/>
        <v>0</v>
      </c>
      <c r="BR26" s="13">
        <v>0</v>
      </c>
      <c r="BS26" s="13">
        <v>0</v>
      </c>
      <c r="BT26" s="13">
        <v>24</v>
      </c>
      <c r="BU26" s="30">
        <f t="shared" si="3"/>
        <v>24</v>
      </c>
      <c r="BW26" s="321">
        <v>45791</v>
      </c>
      <c r="BX26" s="13">
        <v>38</v>
      </c>
      <c r="BY26" s="13">
        <v>54</v>
      </c>
      <c r="BZ26" s="13">
        <v>14</v>
      </c>
      <c r="CA26" s="13">
        <f t="shared" si="19"/>
        <v>106</v>
      </c>
      <c r="CB26" s="13">
        <v>91</v>
      </c>
      <c r="CC26" s="13">
        <v>41</v>
      </c>
      <c r="CD26" s="13">
        <v>9</v>
      </c>
      <c r="CE26" s="30">
        <f t="shared" si="4"/>
        <v>141</v>
      </c>
      <c r="CG26" s="321">
        <v>45822</v>
      </c>
      <c r="CH26" s="13">
        <v>60</v>
      </c>
      <c r="CI26" s="13">
        <v>0</v>
      </c>
      <c r="CJ26" s="13">
        <v>1</v>
      </c>
      <c r="CK26" s="13">
        <f t="shared" si="20"/>
        <v>61</v>
      </c>
      <c r="CL26" s="13">
        <v>44</v>
      </c>
      <c r="CM26" s="13">
        <v>0</v>
      </c>
      <c r="CN26" s="13">
        <v>44</v>
      </c>
      <c r="CO26" s="30">
        <f t="shared" si="5"/>
        <v>88</v>
      </c>
      <c r="CQ26" s="332">
        <v>45852</v>
      </c>
      <c r="CR26" s="13">
        <v>57</v>
      </c>
      <c r="CS26" s="13">
        <v>0</v>
      </c>
      <c r="CT26" s="13">
        <v>15</v>
      </c>
      <c r="CU26" s="13">
        <f t="shared" si="36"/>
        <v>72</v>
      </c>
      <c r="CV26" s="13">
        <v>12</v>
      </c>
      <c r="CW26" s="13">
        <v>67</v>
      </c>
      <c r="CX26" s="13">
        <v>38</v>
      </c>
      <c r="CY26" s="30">
        <f t="shared" si="6"/>
        <v>117</v>
      </c>
      <c r="DC26" s="332">
        <v>45883</v>
      </c>
      <c r="DD26" s="13">
        <v>82</v>
      </c>
      <c r="DE26" s="13">
        <v>0</v>
      </c>
      <c r="DF26" s="13">
        <v>16</v>
      </c>
      <c r="DG26" s="13">
        <f t="shared" si="37"/>
        <v>98</v>
      </c>
      <c r="DH26" s="13">
        <v>15</v>
      </c>
      <c r="DI26" s="13">
        <v>116</v>
      </c>
      <c r="DJ26" s="13">
        <v>6</v>
      </c>
      <c r="DK26" s="30">
        <f t="shared" si="7"/>
        <v>137</v>
      </c>
      <c r="DM26" s="321">
        <v>45914</v>
      </c>
      <c r="DN26" s="89">
        <v>43</v>
      </c>
      <c r="DO26" s="89">
        <v>0</v>
      </c>
      <c r="DP26" s="89">
        <v>56</v>
      </c>
      <c r="DQ26" s="89">
        <f t="shared" si="38"/>
        <v>99</v>
      </c>
      <c r="DR26" s="89">
        <v>58</v>
      </c>
      <c r="DS26" s="89">
        <v>30</v>
      </c>
      <c r="DT26" s="89">
        <v>4</v>
      </c>
      <c r="DU26" s="30">
        <f t="shared" si="8"/>
        <v>92</v>
      </c>
      <c r="DX26" s="321">
        <v>45944</v>
      </c>
      <c r="DY26" s="89">
        <v>85</v>
      </c>
      <c r="DZ26" s="69">
        <v>0</v>
      </c>
      <c r="EA26" s="69">
        <v>2</v>
      </c>
      <c r="EB26" s="89">
        <f t="shared" si="39"/>
        <v>87</v>
      </c>
      <c r="EC26" s="89">
        <v>87</v>
      </c>
      <c r="ED26" s="69">
        <v>0</v>
      </c>
      <c r="EE26" s="69">
        <v>65</v>
      </c>
      <c r="EF26" s="30">
        <f t="shared" si="9"/>
        <v>152</v>
      </c>
      <c r="EH26" s="321">
        <v>45975</v>
      </c>
      <c r="EI26" s="89">
        <v>0</v>
      </c>
      <c r="EJ26" s="89">
        <v>4</v>
      </c>
      <c r="EK26" s="89">
        <v>105</v>
      </c>
      <c r="EL26" s="89">
        <f t="shared" si="25"/>
        <v>109</v>
      </c>
      <c r="EM26" s="89">
        <v>0</v>
      </c>
      <c r="EN26" s="89">
        <v>86</v>
      </c>
      <c r="EO26" s="89">
        <v>61</v>
      </c>
      <c r="EP26" s="30">
        <f t="shared" si="10"/>
        <v>147</v>
      </c>
      <c r="ER26" s="321">
        <v>46005</v>
      </c>
      <c r="ES26" s="89">
        <v>0</v>
      </c>
      <c r="ET26" s="89">
        <v>0</v>
      </c>
      <c r="EU26" s="89">
        <v>0</v>
      </c>
      <c r="EV26" s="89">
        <f t="shared" si="26"/>
        <v>0</v>
      </c>
      <c r="EW26" s="89">
        <v>0</v>
      </c>
      <c r="EX26" s="89">
        <v>0</v>
      </c>
      <c r="EY26" s="89">
        <v>0</v>
      </c>
      <c r="EZ26" s="30">
        <f t="shared" si="11"/>
        <v>0</v>
      </c>
      <c r="FA26" t="s">
        <v>3522</v>
      </c>
      <c r="FD26" s="321">
        <v>46036</v>
      </c>
      <c r="FE26" s="89">
        <v>40</v>
      </c>
      <c r="FF26" s="89">
        <v>26</v>
      </c>
      <c r="FG26" s="89">
        <v>45</v>
      </c>
      <c r="FH26" s="89">
        <f t="shared" si="27"/>
        <v>111</v>
      </c>
      <c r="FI26" s="89">
        <v>3</v>
      </c>
      <c r="FJ26" s="89">
        <v>39</v>
      </c>
      <c r="FK26" s="89">
        <v>65</v>
      </c>
      <c r="FL26" s="30">
        <f t="shared" si="12"/>
        <v>107</v>
      </c>
      <c r="FO26" s="321">
        <v>46067</v>
      </c>
      <c r="FP26" s="89">
        <v>96</v>
      </c>
      <c r="FQ26" s="89">
        <v>0</v>
      </c>
      <c r="FR26" s="89">
        <v>8</v>
      </c>
      <c r="FS26" s="89">
        <f t="shared" si="28"/>
        <v>104</v>
      </c>
      <c r="FT26" s="89">
        <v>122</v>
      </c>
      <c r="FU26" s="89">
        <v>0</v>
      </c>
      <c r="FV26" s="89">
        <v>22</v>
      </c>
      <c r="FW26" s="89">
        <f t="shared" si="13"/>
        <v>144</v>
      </c>
      <c r="FZ26" s="321">
        <v>46095</v>
      </c>
      <c r="GA26" s="89">
        <v>90</v>
      </c>
      <c r="GB26" s="89">
        <v>0</v>
      </c>
      <c r="GC26" s="89">
        <v>6</v>
      </c>
      <c r="GD26" s="89">
        <f t="shared" si="29"/>
        <v>96</v>
      </c>
      <c r="GE26" s="89">
        <v>89</v>
      </c>
      <c r="GF26" s="89">
        <v>36</v>
      </c>
      <c r="GG26" s="89">
        <v>12</v>
      </c>
      <c r="GH26" s="89">
        <f t="shared" si="14"/>
        <v>137</v>
      </c>
      <c r="GJ26" s="321">
        <v>46126</v>
      </c>
      <c r="GK26" s="89">
        <v>85</v>
      </c>
      <c r="GL26" s="89">
        <v>0</v>
      </c>
      <c r="GM26" s="89">
        <v>16</v>
      </c>
      <c r="GN26" s="89">
        <f t="shared" si="30"/>
        <v>101</v>
      </c>
      <c r="GO26" s="89">
        <v>72</v>
      </c>
      <c r="GP26" s="89">
        <v>0</v>
      </c>
      <c r="GQ26" s="89">
        <v>71</v>
      </c>
      <c r="GR26" s="89">
        <f t="shared" si="15"/>
        <v>143</v>
      </c>
      <c r="GT26" s="321">
        <v>46156</v>
      </c>
      <c r="GU26" s="89">
        <v>95</v>
      </c>
      <c r="GV26" s="89">
        <v>0</v>
      </c>
      <c r="GW26" s="89">
        <v>31</v>
      </c>
      <c r="GX26" s="89">
        <f t="shared" si="31"/>
        <v>126</v>
      </c>
      <c r="GY26" s="89">
        <v>110</v>
      </c>
      <c r="GZ26" s="89">
        <v>0</v>
      </c>
      <c r="HA26" s="89">
        <v>30</v>
      </c>
      <c r="HB26" s="89">
        <f t="shared" si="16"/>
        <v>140</v>
      </c>
    </row>
    <row r="27" spans="1:210" ht="13.5" customHeight="1">
      <c r="A27" s="321">
        <v>45397</v>
      </c>
      <c r="B27" s="41">
        <v>73</v>
      </c>
      <c r="C27" s="41">
        <v>78</v>
      </c>
      <c r="D27" s="41"/>
      <c r="E27" s="321">
        <v>45427</v>
      </c>
      <c r="F27" s="41">
        <v>0</v>
      </c>
      <c r="G27" s="320">
        <v>0</v>
      </c>
      <c r="H27" s="321">
        <v>45458</v>
      </c>
      <c r="I27" s="41">
        <v>88</v>
      </c>
      <c r="J27" s="41">
        <v>94</v>
      </c>
      <c r="K27" s="321">
        <v>45488</v>
      </c>
      <c r="L27" s="41">
        <v>47</v>
      </c>
      <c r="M27" s="41">
        <v>42</v>
      </c>
      <c r="N27" s="321">
        <v>45519</v>
      </c>
      <c r="O27" s="41">
        <v>118</v>
      </c>
      <c r="P27" s="41">
        <v>88</v>
      </c>
      <c r="R27" s="321">
        <v>45550</v>
      </c>
      <c r="S27" s="41" t="s">
        <v>3522</v>
      </c>
      <c r="T27" s="41">
        <v>52</v>
      </c>
      <c r="V27" s="321">
        <v>45580</v>
      </c>
      <c r="W27" s="13">
        <v>127</v>
      </c>
      <c r="X27" s="13">
        <v>90</v>
      </c>
      <c r="AA27" s="321">
        <v>45611</v>
      </c>
      <c r="AB27" s="13">
        <v>94</v>
      </c>
      <c r="AC27" s="13">
        <v>88</v>
      </c>
      <c r="AD27" s="321">
        <v>45641</v>
      </c>
      <c r="AE27" s="13">
        <v>56</v>
      </c>
      <c r="AF27" s="13">
        <v>75</v>
      </c>
      <c r="AH27" s="321">
        <v>45672</v>
      </c>
      <c r="AI27" s="321"/>
      <c r="AJ27" s="13">
        <v>95</v>
      </c>
      <c r="AK27" s="13">
        <v>89</v>
      </c>
      <c r="AL27" s="314">
        <v>92</v>
      </c>
      <c r="AM27" s="314">
        <v>3</v>
      </c>
      <c r="AN27" s="321">
        <v>45703</v>
      </c>
      <c r="AO27" s="13">
        <v>98</v>
      </c>
      <c r="AP27" s="13"/>
      <c r="AQ27" s="13">
        <v>1</v>
      </c>
      <c r="AR27" s="13">
        <f t="shared" si="40"/>
        <v>99</v>
      </c>
      <c r="AS27" s="30">
        <v>91</v>
      </c>
      <c r="AT27" s="30">
        <v>56</v>
      </c>
      <c r="AU27" s="30">
        <v>0</v>
      </c>
      <c r="AV27" s="30">
        <f t="shared" si="1"/>
        <v>147</v>
      </c>
      <c r="AX27" s="321"/>
      <c r="AY27" s="13"/>
      <c r="AZ27" s="13"/>
      <c r="BA27" s="314"/>
      <c r="BB27" s="314"/>
      <c r="BC27" s="321">
        <v>45731</v>
      </c>
      <c r="BD27" s="13">
        <v>39</v>
      </c>
      <c r="BE27" s="13">
        <v>51</v>
      </c>
      <c r="BF27" s="13">
        <v>8</v>
      </c>
      <c r="BG27" s="13">
        <f t="shared" si="17"/>
        <v>98</v>
      </c>
      <c r="BH27" s="13">
        <v>107</v>
      </c>
      <c r="BI27" s="13">
        <v>0</v>
      </c>
      <c r="BJ27" s="13">
        <v>42</v>
      </c>
      <c r="BK27" s="30">
        <f t="shared" si="2"/>
        <v>149</v>
      </c>
      <c r="BM27" s="321">
        <v>45762</v>
      </c>
      <c r="BN27" s="13">
        <v>0</v>
      </c>
      <c r="BO27" s="13">
        <v>0</v>
      </c>
      <c r="BP27" s="13">
        <v>0</v>
      </c>
      <c r="BQ27" s="13">
        <f t="shared" si="18"/>
        <v>0</v>
      </c>
      <c r="BR27" s="13">
        <v>0</v>
      </c>
      <c r="BS27" s="13">
        <v>0</v>
      </c>
      <c r="BT27" s="13">
        <v>16</v>
      </c>
      <c r="BU27" s="30">
        <f t="shared" si="3"/>
        <v>16</v>
      </c>
      <c r="BW27" s="321">
        <v>45792</v>
      </c>
      <c r="BX27" s="13">
        <v>28</v>
      </c>
      <c r="BY27" s="13">
        <v>72</v>
      </c>
      <c r="BZ27" s="13"/>
      <c r="CA27" s="13">
        <f t="shared" si="19"/>
        <v>100</v>
      </c>
      <c r="CB27" s="13">
        <v>71</v>
      </c>
      <c r="CC27" s="13">
        <v>53</v>
      </c>
      <c r="CD27" s="13">
        <v>16</v>
      </c>
      <c r="CE27" s="30">
        <f t="shared" si="4"/>
        <v>140</v>
      </c>
      <c r="CG27" s="329">
        <v>45823</v>
      </c>
      <c r="CH27" s="13"/>
      <c r="CI27" s="13"/>
      <c r="CJ27" s="13"/>
      <c r="CK27" s="13">
        <f t="shared" si="20"/>
        <v>0</v>
      </c>
      <c r="CL27" s="13"/>
      <c r="CM27" s="13"/>
      <c r="CN27" s="13"/>
      <c r="CO27" s="30">
        <f t="shared" si="5"/>
        <v>0</v>
      </c>
      <c r="CQ27" s="333">
        <v>45853</v>
      </c>
      <c r="CR27" s="13">
        <v>36</v>
      </c>
      <c r="CS27" s="334">
        <v>15</v>
      </c>
      <c r="CT27" s="13">
        <v>3</v>
      </c>
      <c r="CU27" s="13">
        <f t="shared" si="36"/>
        <v>54</v>
      </c>
      <c r="CV27" s="13">
        <v>0</v>
      </c>
      <c r="CW27" s="13">
        <v>85</v>
      </c>
      <c r="CX27" s="13">
        <v>37</v>
      </c>
      <c r="CY27" s="30">
        <f t="shared" si="6"/>
        <v>122</v>
      </c>
      <c r="CZ27" t="s">
        <v>3528</v>
      </c>
      <c r="DC27" s="321">
        <v>45884</v>
      </c>
      <c r="DD27" s="13">
        <v>83</v>
      </c>
      <c r="DE27" s="13">
        <v>0</v>
      </c>
      <c r="DF27" s="13">
        <v>12</v>
      </c>
      <c r="DG27" s="13">
        <f t="shared" si="37"/>
        <v>95</v>
      </c>
      <c r="DH27" s="13">
        <v>80</v>
      </c>
      <c r="DI27" s="13">
        <v>48</v>
      </c>
      <c r="DJ27" s="13">
        <v>8</v>
      </c>
      <c r="DK27" s="30">
        <f t="shared" si="7"/>
        <v>136</v>
      </c>
      <c r="DM27" s="321">
        <v>45915</v>
      </c>
      <c r="DN27" s="89">
        <v>82</v>
      </c>
      <c r="DO27" s="89">
        <v>0</v>
      </c>
      <c r="DP27" s="89">
        <v>25</v>
      </c>
      <c r="DQ27" s="89">
        <f t="shared" si="38"/>
        <v>107</v>
      </c>
      <c r="DR27" s="89">
        <v>92</v>
      </c>
      <c r="DS27" s="89">
        <v>0</v>
      </c>
      <c r="DT27" s="89">
        <v>4</v>
      </c>
      <c r="DU27" s="30">
        <f t="shared" si="8"/>
        <v>96</v>
      </c>
      <c r="DX27" s="321">
        <v>45945</v>
      </c>
      <c r="DY27" s="89">
        <v>97</v>
      </c>
      <c r="DZ27" s="69">
        <v>0</v>
      </c>
      <c r="EA27" s="69">
        <v>2</v>
      </c>
      <c r="EB27" s="89">
        <f t="shared" si="39"/>
        <v>99</v>
      </c>
      <c r="EC27" s="89">
        <v>86</v>
      </c>
      <c r="ED27" s="69">
        <v>0</v>
      </c>
      <c r="EE27" s="69">
        <v>63</v>
      </c>
      <c r="EF27" s="30">
        <f t="shared" si="9"/>
        <v>149</v>
      </c>
      <c r="EH27" s="321">
        <v>45976</v>
      </c>
      <c r="EI27" s="89">
        <v>0</v>
      </c>
      <c r="EJ27" s="89">
        <v>83</v>
      </c>
      <c r="EK27" s="89">
        <v>29</v>
      </c>
      <c r="EL27" s="89">
        <f t="shared" si="25"/>
        <v>112</v>
      </c>
      <c r="EM27" s="89">
        <v>0</v>
      </c>
      <c r="EN27" s="89">
        <v>86</v>
      </c>
      <c r="EO27" s="89">
        <v>49</v>
      </c>
      <c r="EP27" s="30">
        <f t="shared" si="10"/>
        <v>135</v>
      </c>
      <c r="ER27" s="321">
        <v>46006</v>
      </c>
      <c r="ES27" s="89">
        <v>21</v>
      </c>
      <c r="ET27" s="89">
        <v>0</v>
      </c>
      <c r="EU27" s="89">
        <v>59</v>
      </c>
      <c r="EV27" s="89">
        <f t="shared" si="26"/>
        <v>80</v>
      </c>
      <c r="EW27" s="89">
        <v>0</v>
      </c>
      <c r="EX27" s="89">
        <v>0</v>
      </c>
      <c r="EY27" s="89">
        <v>37</v>
      </c>
      <c r="EZ27" s="30">
        <f t="shared" si="11"/>
        <v>37</v>
      </c>
      <c r="FA27" t="s">
        <v>344</v>
      </c>
      <c r="FD27" s="321">
        <v>46037</v>
      </c>
      <c r="FE27" s="89">
        <v>51</v>
      </c>
      <c r="FF27" s="89">
        <v>13</v>
      </c>
      <c r="FG27" s="89">
        <v>28</v>
      </c>
      <c r="FH27" s="89">
        <f t="shared" si="27"/>
        <v>92</v>
      </c>
      <c r="FI27" s="89">
        <v>32</v>
      </c>
      <c r="FJ27" s="89">
        <v>9</v>
      </c>
      <c r="FK27" s="89">
        <v>46</v>
      </c>
      <c r="FL27" s="30">
        <f t="shared" si="12"/>
        <v>87</v>
      </c>
      <c r="FO27" s="321">
        <v>46068</v>
      </c>
      <c r="FP27" s="89">
        <v>99</v>
      </c>
      <c r="FQ27" s="89">
        <v>0</v>
      </c>
      <c r="FR27" s="89">
        <v>0</v>
      </c>
      <c r="FS27" s="89">
        <f t="shared" ref="FS27" si="41">+FP27+FR27+FQ27</f>
        <v>99</v>
      </c>
      <c r="FT27" s="89">
        <v>88</v>
      </c>
      <c r="FU27" s="89">
        <v>46</v>
      </c>
      <c r="FV27" s="89">
        <v>29</v>
      </c>
      <c r="FW27" s="89">
        <f t="shared" si="13"/>
        <v>163</v>
      </c>
      <c r="FZ27" s="321">
        <v>46096</v>
      </c>
      <c r="GA27" s="89">
        <v>99</v>
      </c>
      <c r="GB27" s="89">
        <v>0</v>
      </c>
      <c r="GC27" s="89">
        <v>0</v>
      </c>
      <c r="GD27" s="89">
        <f t="shared" si="29"/>
        <v>99</v>
      </c>
      <c r="GE27" s="89">
        <v>0</v>
      </c>
      <c r="GF27" s="89">
        <v>109</v>
      </c>
      <c r="GG27" s="89">
        <v>18</v>
      </c>
      <c r="GH27" s="89">
        <f t="shared" si="14"/>
        <v>127</v>
      </c>
      <c r="GJ27" s="321">
        <v>46127</v>
      </c>
      <c r="GK27" s="89">
        <v>66</v>
      </c>
      <c r="GL27" s="89">
        <v>0</v>
      </c>
      <c r="GM27" s="89">
        <v>31</v>
      </c>
      <c r="GN27" s="89">
        <f t="shared" si="30"/>
        <v>97</v>
      </c>
      <c r="GO27" s="89">
        <v>76</v>
      </c>
      <c r="GP27" s="89">
        <v>0</v>
      </c>
      <c r="GQ27" s="89">
        <v>44</v>
      </c>
      <c r="GR27" s="89">
        <f t="shared" si="15"/>
        <v>120</v>
      </c>
      <c r="GT27" s="321">
        <v>46157</v>
      </c>
      <c r="GU27" s="89">
        <v>96</v>
      </c>
      <c r="GV27" s="89">
        <v>0</v>
      </c>
      <c r="GW27" s="89">
        <v>15</v>
      </c>
      <c r="GX27" s="89">
        <f t="shared" si="31"/>
        <v>111</v>
      </c>
      <c r="GY27" s="89">
        <v>95</v>
      </c>
      <c r="GZ27" s="89">
        <v>0</v>
      </c>
      <c r="HA27" s="89">
        <v>47</v>
      </c>
      <c r="HB27" s="89">
        <f t="shared" si="16"/>
        <v>142</v>
      </c>
    </row>
    <row r="28" spans="1:210" ht="14.25" customHeight="1">
      <c r="A28" s="321">
        <v>45398</v>
      </c>
      <c r="B28" s="41">
        <v>87</v>
      </c>
      <c r="C28" s="41">
        <v>91</v>
      </c>
      <c r="D28" s="41"/>
      <c r="E28" s="321">
        <v>45428</v>
      </c>
      <c r="F28" s="41">
        <v>0</v>
      </c>
      <c r="G28" s="320">
        <v>0</v>
      </c>
      <c r="H28" s="321">
        <v>45459</v>
      </c>
      <c r="I28" s="41">
        <v>88</v>
      </c>
      <c r="J28" s="41">
        <v>92</v>
      </c>
      <c r="K28" s="321">
        <v>45489</v>
      </c>
      <c r="L28" s="41">
        <v>61</v>
      </c>
      <c r="M28" s="41">
        <v>60</v>
      </c>
      <c r="N28" s="321">
        <v>45520</v>
      </c>
      <c r="O28" s="41">
        <v>75</v>
      </c>
      <c r="P28" s="41">
        <v>75</v>
      </c>
      <c r="R28" s="321">
        <v>45551</v>
      </c>
      <c r="S28" s="41">
        <v>0</v>
      </c>
      <c r="T28" s="41">
        <v>0</v>
      </c>
      <c r="V28" s="321">
        <v>45581</v>
      </c>
      <c r="W28" s="13">
        <v>125</v>
      </c>
      <c r="X28" s="13">
        <v>93</v>
      </c>
      <c r="AA28" s="321">
        <v>45612</v>
      </c>
      <c r="AB28" s="13">
        <v>73</v>
      </c>
      <c r="AC28" s="13">
        <v>94</v>
      </c>
      <c r="AD28" s="321">
        <v>45642</v>
      </c>
      <c r="AE28" s="13">
        <v>86</v>
      </c>
      <c r="AF28" s="13">
        <v>79</v>
      </c>
      <c r="AG28" t="s">
        <v>3529</v>
      </c>
      <c r="AH28" s="321">
        <v>45673</v>
      </c>
      <c r="AI28" s="321"/>
      <c r="AJ28" s="13">
        <v>99</v>
      </c>
      <c r="AK28" s="13">
        <v>85</v>
      </c>
      <c r="AL28" s="314">
        <v>96</v>
      </c>
      <c r="AM28" s="314">
        <v>3</v>
      </c>
      <c r="AN28" s="321">
        <v>45704</v>
      </c>
      <c r="AO28" s="13">
        <v>95</v>
      </c>
      <c r="AP28" s="13"/>
      <c r="AQ28" s="13">
        <v>0</v>
      </c>
      <c r="AR28" s="13">
        <f t="shared" si="40"/>
        <v>95</v>
      </c>
      <c r="AS28" s="30">
        <v>90</v>
      </c>
      <c r="AT28" s="30">
        <v>13</v>
      </c>
      <c r="AU28" s="30">
        <v>46</v>
      </c>
      <c r="AV28" s="30">
        <f t="shared" si="1"/>
        <v>149</v>
      </c>
      <c r="AX28" s="321"/>
      <c r="AY28" s="13"/>
      <c r="AZ28" s="13"/>
      <c r="BA28" s="314"/>
      <c r="BB28" s="314"/>
      <c r="BC28" s="321">
        <v>45732</v>
      </c>
      <c r="BD28" s="13">
        <v>95</v>
      </c>
      <c r="BE28" s="13">
        <v>0</v>
      </c>
      <c r="BF28" s="13">
        <v>2</v>
      </c>
      <c r="BG28" s="13">
        <f t="shared" si="17"/>
        <v>97</v>
      </c>
      <c r="BH28" s="13">
        <v>118</v>
      </c>
      <c r="BI28" s="13"/>
      <c r="BJ28" s="13">
        <v>19</v>
      </c>
      <c r="BK28" s="30">
        <f t="shared" si="2"/>
        <v>137</v>
      </c>
      <c r="BM28" s="321">
        <v>45763</v>
      </c>
      <c r="BN28" s="13">
        <v>39</v>
      </c>
      <c r="BO28" s="13">
        <v>0</v>
      </c>
      <c r="BP28" s="13">
        <v>12</v>
      </c>
      <c r="BQ28" s="13">
        <f t="shared" si="18"/>
        <v>51</v>
      </c>
      <c r="BR28" s="13">
        <v>28</v>
      </c>
      <c r="BS28" s="13">
        <v>0</v>
      </c>
      <c r="BT28" s="13">
        <v>18</v>
      </c>
      <c r="BU28" s="30">
        <f t="shared" si="3"/>
        <v>46</v>
      </c>
      <c r="BW28" s="321">
        <v>45793</v>
      </c>
      <c r="BX28" s="13">
        <v>36</v>
      </c>
      <c r="BY28" s="13">
        <v>59</v>
      </c>
      <c r="BZ28" s="13">
        <v>8</v>
      </c>
      <c r="CA28" s="13">
        <f t="shared" si="19"/>
        <v>103</v>
      </c>
      <c r="CB28" s="13">
        <v>89</v>
      </c>
      <c r="CC28" s="13">
        <v>22</v>
      </c>
      <c r="CD28" s="13">
        <v>38</v>
      </c>
      <c r="CE28" s="30">
        <f t="shared" si="4"/>
        <v>149</v>
      </c>
      <c r="CG28" s="332" t="s">
        <v>3530</v>
      </c>
      <c r="CH28" s="13">
        <v>74</v>
      </c>
      <c r="CI28" s="13">
        <v>0</v>
      </c>
      <c r="CJ28" s="13">
        <v>23</v>
      </c>
      <c r="CK28" s="13">
        <f t="shared" si="20"/>
        <v>97</v>
      </c>
      <c r="CL28" s="13">
        <v>12</v>
      </c>
      <c r="CM28" s="13">
        <v>41</v>
      </c>
      <c r="CN28" s="13">
        <v>43</v>
      </c>
      <c r="CO28" s="30">
        <f t="shared" si="5"/>
        <v>96</v>
      </c>
      <c r="CQ28" s="332">
        <v>45854</v>
      </c>
      <c r="CR28" s="13">
        <v>0</v>
      </c>
      <c r="CS28" s="334">
        <v>86</v>
      </c>
      <c r="CT28" s="13">
        <v>26</v>
      </c>
      <c r="CU28" s="13">
        <f t="shared" si="36"/>
        <v>112</v>
      </c>
      <c r="CV28" s="13">
        <v>12</v>
      </c>
      <c r="CW28" s="13">
        <v>58</v>
      </c>
      <c r="CX28" s="13">
        <v>44</v>
      </c>
      <c r="CY28" s="30">
        <f t="shared" si="6"/>
        <v>114</v>
      </c>
      <c r="CZ28" t="s">
        <v>3528</v>
      </c>
      <c r="DC28" s="332">
        <v>45885</v>
      </c>
      <c r="DD28" s="13">
        <v>0</v>
      </c>
      <c r="DE28" s="13">
        <v>0</v>
      </c>
      <c r="DF28" s="13">
        <v>0</v>
      </c>
      <c r="DG28" s="13">
        <f t="shared" si="37"/>
        <v>0</v>
      </c>
      <c r="DH28" s="13">
        <v>0</v>
      </c>
      <c r="DI28" s="13">
        <v>33</v>
      </c>
      <c r="DJ28" s="13">
        <v>20</v>
      </c>
      <c r="DK28" s="30">
        <f t="shared" si="7"/>
        <v>53</v>
      </c>
      <c r="DM28" s="321">
        <v>45916</v>
      </c>
      <c r="DN28" s="89">
        <v>80</v>
      </c>
      <c r="DO28" s="89">
        <v>0</v>
      </c>
      <c r="DP28" s="89">
        <v>16</v>
      </c>
      <c r="DQ28" s="89">
        <f t="shared" si="38"/>
        <v>96</v>
      </c>
      <c r="DR28" s="89">
        <v>120</v>
      </c>
      <c r="DS28" s="89">
        <v>11</v>
      </c>
      <c r="DT28" s="89">
        <v>5</v>
      </c>
      <c r="DU28" s="30">
        <f t="shared" si="8"/>
        <v>136</v>
      </c>
      <c r="DX28" s="321">
        <v>45946</v>
      </c>
      <c r="DY28" s="89">
        <v>98</v>
      </c>
      <c r="DZ28" s="69">
        <v>0</v>
      </c>
      <c r="EA28" s="69">
        <v>4</v>
      </c>
      <c r="EB28" s="89">
        <f t="shared" si="39"/>
        <v>102</v>
      </c>
      <c r="EC28" s="89">
        <v>87</v>
      </c>
      <c r="ED28" s="69">
        <v>23</v>
      </c>
      <c r="EE28" s="69">
        <v>16</v>
      </c>
      <c r="EF28" s="30">
        <f t="shared" si="9"/>
        <v>126</v>
      </c>
      <c r="EH28" s="321">
        <v>45977</v>
      </c>
      <c r="EI28" s="89">
        <v>0</v>
      </c>
      <c r="EJ28" s="89">
        <v>0</v>
      </c>
      <c r="EK28" s="89">
        <v>0</v>
      </c>
      <c r="EL28" s="89">
        <f t="shared" si="25"/>
        <v>0</v>
      </c>
      <c r="EM28" s="89">
        <v>0</v>
      </c>
      <c r="EN28" s="89">
        <v>0</v>
      </c>
      <c r="EO28" s="89">
        <v>0</v>
      </c>
      <c r="EP28" s="30">
        <f t="shared" si="10"/>
        <v>0</v>
      </c>
      <c r="EQ28" t="s">
        <v>3522</v>
      </c>
      <c r="ER28" s="321">
        <v>46007</v>
      </c>
      <c r="ES28" s="89">
        <v>39</v>
      </c>
      <c r="ET28" s="89">
        <v>0</v>
      </c>
      <c r="EU28" s="89">
        <v>62</v>
      </c>
      <c r="EV28" s="89">
        <f t="shared" si="26"/>
        <v>101</v>
      </c>
      <c r="EW28" s="89">
        <v>18</v>
      </c>
      <c r="EX28" s="89">
        <v>0</v>
      </c>
      <c r="EY28" s="89">
        <v>38</v>
      </c>
      <c r="EZ28" s="30">
        <f t="shared" si="11"/>
        <v>56</v>
      </c>
      <c r="FA28" t="s">
        <v>344</v>
      </c>
      <c r="FD28" s="321">
        <v>46038</v>
      </c>
      <c r="FE28" s="89">
        <v>6</v>
      </c>
      <c r="FF28" s="89">
        <v>0</v>
      </c>
      <c r="FG28" s="89">
        <v>52</v>
      </c>
      <c r="FH28" s="89">
        <f t="shared" si="27"/>
        <v>58</v>
      </c>
      <c r="FI28" s="89">
        <v>0</v>
      </c>
      <c r="FJ28" s="89">
        <v>0</v>
      </c>
      <c r="FK28" s="89">
        <v>69</v>
      </c>
      <c r="FL28" s="30">
        <f t="shared" si="12"/>
        <v>69</v>
      </c>
      <c r="FO28" s="321">
        <v>46069</v>
      </c>
      <c r="FP28" s="89">
        <v>82</v>
      </c>
      <c r="FQ28" s="89">
        <v>0</v>
      </c>
      <c r="FR28" s="89">
        <v>24</v>
      </c>
      <c r="FS28" s="89">
        <f t="shared" si="28"/>
        <v>106</v>
      </c>
      <c r="FT28" s="89">
        <v>81</v>
      </c>
      <c r="FU28" s="89">
        <v>6</v>
      </c>
      <c r="FV28" s="89">
        <v>14</v>
      </c>
      <c r="FW28" s="89">
        <f t="shared" si="13"/>
        <v>101</v>
      </c>
      <c r="FZ28" s="321">
        <v>46097</v>
      </c>
      <c r="GA28" s="89">
        <v>93</v>
      </c>
      <c r="GB28" s="89">
        <v>0</v>
      </c>
      <c r="GC28" s="89">
        <v>12</v>
      </c>
      <c r="GD28" s="89">
        <f t="shared" si="29"/>
        <v>105</v>
      </c>
      <c r="GE28" s="89">
        <v>88</v>
      </c>
      <c r="GF28" s="89">
        <v>38</v>
      </c>
      <c r="GG28" s="89">
        <v>9</v>
      </c>
      <c r="GH28" s="89">
        <f t="shared" si="14"/>
        <v>135</v>
      </c>
      <c r="GJ28" s="321">
        <v>46128</v>
      </c>
      <c r="GK28" s="89">
        <v>94</v>
      </c>
      <c r="GL28" s="89">
        <v>0</v>
      </c>
      <c r="GM28" s="89">
        <v>0</v>
      </c>
      <c r="GN28" s="89">
        <f t="shared" si="30"/>
        <v>94</v>
      </c>
      <c r="GO28" s="89">
        <v>88</v>
      </c>
      <c r="GP28" s="89">
        <v>0</v>
      </c>
      <c r="GQ28" s="89">
        <v>32</v>
      </c>
      <c r="GR28" s="89">
        <f t="shared" si="15"/>
        <v>120</v>
      </c>
      <c r="GT28" s="321">
        <v>46158</v>
      </c>
      <c r="GU28" s="89">
        <v>90</v>
      </c>
      <c r="GV28" s="89">
        <v>0</v>
      </c>
      <c r="GW28" s="89">
        <v>12</v>
      </c>
      <c r="GX28" s="89">
        <f t="shared" si="31"/>
        <v>102</v>
      </c>
      <c r="GY28" s="89">
        <v>88</v>
      </c>
      <c r="GZ28" s="89">
        <v>0</v>
      </c>
      <c r="HA28" s="89">
        <v>46</v>
      </c>
      <c r="HB28" s="89">
        <f t="shared" si="16"/>
        <v>134</v>
      </c>
    </row>
    <row r="29" spans="1:210">
      <c r="A29" s="321">
        <v>45399</v>
      </c>
      <c r="B29" s="41">
        <v>126</v>
      </c>
      <c r="C29" s="41">
        <v>95</v>
      </c>
      <c r="D29" s="41"/>
      <c r="E29" s="321">
        <v>45429</v>
      </c>
      <c r="F29" s="41">
        <v>77</v>
      </c>
      <c r="G29" s="320">
        <v>69</v>
      </c>
      <c r="H29" s="321">
        <v>45460</v>
      </c>
      <c r="I29" s="41">
        <v>101</v>
      </c>
      <c r="J29" s="41">
        <v>71</v>
      </c>
      <c r="K29" s="321">
        <v>45490</v>
      </c>
      <c r="L29" s="41">
        <v>99</v>
      </c>
      <c r="M29" s="41">
        <v>90</v>
      </c>
      <c r="N29" s="321">
        <v>45521</v>
      </c>
      <c r="O29" s="41">
        <v>90</v>
      </c>
      <c r="P29" s="41">
        <v>75</v>
      </c>
      <c r="R29" s="321">
        <v>45552</v>
      </c>
      <c r="S29" s="41">
        <v>0</v>
      </c>
      <c r="T29" s="41">
        <v>0</v>
      </c>
      <c r="V29" s="321">
        <v>45582</v>
      </c>
      <c r="W29" s="13">
        <v>100</v>
      </c>
      <c r="X29" s="13">
        <v>77</v>
      </c>
      <c r="AA29" s="321">
        <v>45613</v>
      </c>
      <c r="AB29" s="13"/>
      <c r="AC29" s="13"/>
      <c r="AD29" s="321">
        <v>45643</v>
      </c>
      <c r="AE29" s="13">
        <v>104</v>
      </c>
      <c r="AF29" s="13">
        <v>88</v>
      </c>
      <c r="AG29" t="s">
        <v>3531</v>
      </c>
      <c r="AH29" s="321">
        <v>45674</v>
      </c>
      <c r="AI29" s="321"/>
      <c r="AJ29" s="13">
        <v>108</v>
      </c>
      <c r="AK29" s="13">
        <v>85</v>
      </c>
      <c r="AL29" s="314">
        <v>105</v>
      </c>
      <c r="AM29" s="314">
        <v>3</v>
      </c>
      <c r="AN29" s="321">
        <v>45705</v>
      </c>
      <c r="AO29" s="13">
        <v>89</v>
      </c>
      <c r="AP29" s="13"/>
      <c r="AQ29" s="13">
        <v>0</v>
      </c>
      <c r="AR29" s="13">
        <f t="shared" si="40"/>
        <v>89</v>
      </c>
      <c r="AS29" s="30">
        <v>87</v>
      </c>
      <c r="AT29" s="30">
        <v>50</v>
      </c>
      <c r="AU29" s="30">
        <v>12</v>
      </c>
      <c r="AV29" s="30">
        <f t="shared" si="1"/>
        <v>149</v>
      </c>
      <c r="AX29" s="321"/>
      <c r="AY29" s="13"/>
      <c r="AZ29" s="13"/>
      <c r="BA29" s="314"/>
      <c r="BB29" s="314"/>
      <c r="BC29" s="321">
        <v>45733</v>
      </c>
      <c r="BD29" s="13">
        <v>96</v>
      </c>
      <c r="BE29" s="13"/>
      <c r="BF29" s="13">
        <v>7</v>
      </c>
      <c r="BG29" s="13">
        <f t="shared" si="17"/>
        <v>103</v>
      </c>
      <c r="BH29" s="13">
        <v>107</v>
      </c>
      <c r="BI29" s="13"/>
      <c r="BJ29" s="13">
        <v>34</v>
      </c>
      <c r="BK29" s="30">
        <f t="shared" si="2"/>
        <v>141</v>
      </c>
      <c r="BM29" s="321">
        <v>45764</v>
      </c>
      <c r="BN29" s="13">
        <v>87</v>
      </c>
      <c r="BO29" s="13">
        <v>0</v>
      </c>
      <c r="BP29" s="13">
        <v>4</v>
      </c>
      <c r="BQ29" s="13">
        <f t="shared" si="18"/>
        <v>91</v>
      </c>
      <c r="BR29" s="13">
        <v>89</v>
      </c>
      <c r="BS29" s="13">
        <v>26</v>
      </c>
      <c r="BT29" s="13">
        <v>12</v>
      </c>
      <c r="BU29" s="30">
        <f t="shared" si="3"/>
        <v>127</v>
      </c>
      <c r="BW29" s="321">
        <v>45794</v>
      </c>
      <c r="BX29" s="13">
        <v>29</v>
      </c>
      <c r="BY29" s="13">
        <v>54</v>
      </c>
      <c r="BZ29" s="13">
        <v>14</v>
      </c>
      <c r="CA29" s="13">
        <f t="shared" si="19"/>
        <v>97</v>
      </c>
      <c r="CB29" s="13">
        <v>52</v>
      </c>
      <c r="CC29" s="13">
        <v>40</v>
      </c>
      <c r="CD29" s="13">
        <v>30</v>
      </c>
      <c r="CE29" s="30">
        <f t="shared" si="4"/>
        <v>122</v>
      </c>
      <c r="CG29" s="332">
        <v>45825</v>
      </c>
      <c r="CH29" s="13">
        <v>82</v>
      </c>
      <c r="CI29" s="13">
        <v>0</v>
      </c>
      <c r="CJ29" s="13">
        <v>7</v>
      </c>
      <c r="CK29" s="13">
        <f t="shared" si="20"/>
        <v>89</v>
      </c>
      <c r="CL29" s="13">
        <v>65</v>
      </c>
      <c r="CM29" s="13">
        <v>21</v>
      </c>
      <c r="CN29" s="13">
        <v>36</v>
      </c>
      <c r="CO29" s="30">
        <f t="shared" si="5"/>
        <v>122</v>
      </c>
      <c r="CQ29" s="332">
        <v>45855</v>
      </c>
      <c r="CR29" s="13">
        <v>98</v>
      </c>
      <c r="CS29" s="13">
        <v>0</v>
      </c>
      <c r="CT29" s="13">
        <v>2</v>
      </c>
      <c r="CU29" s="13">
        <f t="shared" si="36"/>
        <v>100</v>
      </c>
      <c r="CV29" s="13">
        <v>65</v>
      </c>
      <c r="CW29" s="13">
        <v>14</v>
      </c>
      <c r="CX29" s="13">
        <v>33</v>
      </c>
      <c r="CY29" s="30">
        <f t="shared" si="6"/>
        <v>112</v>
      </c>
      <c r="DC29" s="329">
        <v>45886</v>
      </c>
      <c r="DD29" s="13">
        <v>93</v>
      </c>
      <c r="DE29" s="13">
        <v>0</v>
      </c>
      <c r="DF29" s="13">
        <v>6</v>
      </c>
      <c r="DG29" s="13">
        <f t="shared" si="37"/>
        <v>99</v>
      </c>
      <c r="DH29" s="13">
        <v>79</v>
      </c>
      <c r="DI29" s="13">
        <v>6</v>
      </c>
      <c r="DJ29" s="13">
        <v>0</v>
      </c>
      <c r="DK29" s="30">
        <f t="shared" si="7"/>
        <v>85</v>
      </c>
      <c r="DM29" s="321">
        <v>45917</v>
      </c>
      <c r="DN29" s="89">
        <v>77</v>
      </c>
      <c r="DO29" s="89">
        <v>0</v>
      </c>
      <c r="DP29" s="89">
        <v>14</v>
      </c>
      <c r="DQ29" s="89">
        <f t="shared" si="38"/>
        <v>91</v>
      </c>
      <c r="DR29" s="89">
        <v>114</v>
      </c>
      <c r="DS29" s="89">
        <v>0</v>
      </c>
      <c r="DT29" s="89">
        <v>12</v>
      </c>
      <c r="DU29" s="30">
        <f t="shared" si="8"/>
        <v>126</v>
      </c>
      <c r="DX29" s="321">
        <v>45947</v>
      </c>
      <c r="DY29" s="89">
        <v>86</v>
      </c>
      <c r="DZ29" s="69">
        <v>0</v>
      </c>
      <c r="EA29" s="69">
        <v>15</v>
      </c>
      <c r="EB29" s="89">
        <f t="shared" si="39"/>
        <v>101</v>
      </c>
      <c r="EC29" s="89">
        <v>88</v>
      </c>
      <c r="ED29" s="69">
        <v>15</v>
      </c>
      <c r="EE29" s="69">
        <v>35</v>
      </c>
      <c r="EF29" s="30">
        <f t="shared" si="9"/>
        <v>138</v>
      </c>
      <c r="EH29" s="321" t="s">
        <v>3889</v>
      </c>
      <c r="EI29" s="89">
        <v>0</v>
      </c>
      <c r="EJ29" s="89">
        <v>85</v>
      </c>
      <c r="EK29" s="89">
        <v>17</v>
      </c>
      <c r="EL29" s="89">
        <f t="shared" si="25"/>
        <v>102</v>
      </c>
      <c r="EM29" s="89">
        <v>0</v>
      </c>
      <c r="EN29" s="89">
        <v>83</v>
      </c>
      <c r="EO29" s="89">
        <v>41</v>
      </c>
      <c r="EP29" s="30">
        <f t="shared" si="10"/>
        <v>124</v>
      </c>
      <c r="ER29" s="321">
        <v>46008</v>
      </c>
      <c r="ES29" s="89">
        <v>59</v>
      </c>
      <c r="ET29" s="89">
        <v>0</v>
      </c>
      <c r="EU29" s="89">
        <v>38</v>
      </c>
      <c r="EV29" s="89">
        <f t="shared" si="26"/>
        <v>97</v>
      </c>
      <c r="EW29" s="89">
        <v>61</v>
      </c>
      <c r="EX29" s="89">
        <v>0</v>
      </c>
      <c r="EY29" s="89">
        <v>31</v>
      </c>
      <c r="EZ29" s="30">
        <f t="shared" si="11"/>
        <v>92</v>
      </c>
      <c r="FA29" t="s">
        <v>344</v>
      </c>
      <c r="FD29" s="321">
        <v>46039</v>
      </c>
      <c r="FE29" s="89">
        <v>64</v>
      </c>
      <c r="FF29" s="89">
        <v>0</v>
      </c>
      <c r="FG29" s="89">
        <v>4</v>
      </c>
      <c r="FH29" s="89">
        <f t="shared" si="27"/>
        <v>68</v>
      </c>
      <c r="FI29" s="89">
        <v>38</v>
      </c>
      <c r="FJ29" s="89">
        <v>0</v>
      </c>
      <c r="FK29" s="89">
        <v>34</v>
      </c>
      <c r="FL29" s="30">
        <f t="shared" si="12"/>
        <v>72</v>
      </c>
      <c r="FO29" s="321">
        <v>46070</v>
      </c>
      <c r="FP29" s="89">
        <v>89</v>
      </c>
      <c r="FQ29" s="89"/>
      <c r="FR29" s="89">
        <v>16</v>
      </c>
      <c r="FS29" s="89">
        <f t="shared" si="28"/>
        <v>105</v>
      </c>
      <c r="FT29" s="89">
        <v>117</v>
      </c>
      <c r="FU29" s="89">
        <v>16</v>
      </c>
      <c r="FV29" s="89">
        <v>25</v>
      </c>
      <c r="FW29" s="89">
        <f t="shared" si="13"/>
        <v>158</v>
      </c>
      <c r="FZ29" s="321">
        <v>46098</v>
      </c>
      <c r="GA29" s="89">
        <v>83</v>
      </c>
      <c r="GB29" s="89">
        <v>0</v>
      </c>
      <c r="GC29" s="89">
        <v>14</v>
      </c>
      <c r="GD29" s="89">
        <f t="shared" si="29"/>
        <v>97</v>
      </c>
      <c r="GE29" s="89">
        <v>87</v>
      </c>
      <c r="GF29" s="89">
        <v>48</v>
      </c>
      <c r="GG29" s="89">
        <v>7</v>
      </c>
      <c r="GH29" s="89">
        <f t="shared" si="14"/>
        <v>142</v>
      </c>
      <c r="GJ29" s="321">
        <v>46129</v>
      </c>
      <c r="GK29" s="89">
        <v>88</v>
      </c>
      <c r="GL29" s="89"/>
      <c r="GM29" s="89">
        <v>12</v>
      </c>
      <c r="GN29" s="89">
        <f t="shared" si="30"/>
        <v>100</v>
      </c>
      <c r="GO29" s="89">
        <v>101</v>
      </c>
      <c r="GP29" s="89">
        <v>0</v>
      </c>
      <c r="GQ29" s="89">
        <v>23</v>
      </c>
      <c r="GR29" s="89">
        <f t="shared" si="15"/>
        <v>124</v>
      </c>
      <c r="GT29" s="321">
        <v>46159</v>
      </c>
      <c r="GU29" s="89">
        <v>96</v>
      </c>
      <c r="GV29" s="89">
        <v>0</v>
      </c>
      <c r="GW29" s="89">
        <v>2</v>
      </c>
      <c r="GX29" s="89">
        <f t="shared" si="31"/>
        <v>98</v>
      </c>
      <c r="GY29" s="89">
        <v>123</v>
      </c>
      <c r="GZ29" s="89">
        <v>0</v>
      </c>
      <c r="HA29" s="89">
        <v>12</v>
      </c>
      <c r="HB29" s="89">
        <f t="shared" si="16"/>
        <v>135</v>
      </c>
    </row>
    <row r="30" spans="1:210">
      <c r="A30" s="321">
        <v>45400</v>
      </c>
      <c r="B30" s="41">
        <v>147</v>
      </c>
      <c r="C30" s="41">
        <v>97</v>
      </c>
      <c r="D30" s="41"/>
      <c r="E30" s="321">
        <v>45430</v>
      </c>
      <c r="F30" s="41">
        <v>115</v>
      </c>
      <c r="G30" s="320">
        <v>69</v>
      </c>
      <c r="H30" s="321">
        <v>45461</v>
      </c>
      <c r="I30" s="41">
        <v>106</v>
      </c>
      <c r="J30" s="41">
        <v>90</v>
      </c>
      <c r="K30" s="321">
        <v>45491</v>
      </c>
      <c r="L30" s="41">
        <v>93</v>
      </c>
      <c r="M30" s="41">
        <v>77</v>
      </c>
      <c r="N30" s="321">
        <v>45522</v>
      </c>
      <c r="O30" s="41">
        <v>86</v>
      </c>
      <c r="P30" s="41">
        <v>91</v>
      </c>
      <c r="R30" s="321">
        <v>45553</v>
      </c>
      <c r="S30" s="41">
        <v>0</v>
      </c>
      <c r="T30" s="41">
        <v>0</v>
      </c>
      <c r="V30" s="321">
        <v>45583</v>
      </c>
      <c r="W30" s="13">
        <v>128</v>
      </c>
      <c r="X30" s="13">
        <v>75</v>
      </c>
      <c r="AA30" s="321">
        <v>45614</v>
      </c>
      <c r="AB30" s="13">
        <v>91</v>
      </c>
      <c r="AC30" s="13">
        <v>88</v>
      </c>
      <c r="AD30" s="321">
        <v>45644</v>
      </c>
      <c r="AE30" s="13">
        <v>87</v>
      </c>
      <c r="AF30" s="13">
        <v>94</v>
      </c>
      <c r="AG30" t="s">
        <v>3532</v>
      </c>
      <c r="AH30" s="321">
        <v>45675</v>
      </c>
      <c r="AI30" s="321"/>
      <c r="AJ30" s="13">
        <v>117</v>
      </c>
      <c r="AK30" s="13">
        <v>81</v>
      </c>
      <c r="AL30" s="314">
        <v>114</v>
      </c>
      <c r="AM30" s="314">
        <v>3</v>
      </c>
      <c r="AN30" s="321">
        <v>45706</v>
      </c>
      <c r="AO30" s="13">
        <v>86</v>
      </c>
      <c r="AP30" s="13"/>
      <c r="AQ30" s="13">
        <v>0</v>
      </c>
      <c r="AR30" s="13">
        <f t="shared" si="40"/>
        <v>86</v>
      </c>
      <c r="AS30" s="30">
        <v>89</v>
      </c>
      <c r="AT30" s="30">
        <v>52</v>
      </c>
      <c r="AU30" s="30">
        <v>6</v>
      </c>
      <c r="AV30" s="30">
        <f t="shared" si="1"/>
        <v>147</v>
      </c>
      <c r="AX30" s="321"/>
      <c r="AY30" s="13"/>
      <c r="AZ30" s="13"/>
      <c r="BA30" s="314"/>
      <c r="BB30" s="314"/>
      <c r="BC30" s="321">
        <v>45734</v>
      </c>
      <c r="BD30" s="13">
        <v>66</v>
      </c>
      <c r="BE30" s="13">
        <v>39</v>
      </c>
      <c r="BF30" s="13">
        <v>2</v>
      </c>
      <c r="BG30" s="13">
        <f t="shared" si="17"/>
        <v>107</v>
      </c>
      <c r="BH30" s="13">
        <v>135</v>
      </c>
      <c r="BI30" s="13"/>
      <c r="BJ30" s="13">
        <v>13</v>
      </c>
      <c r="BK30" s="30">
        <f t="shared" si="2"/>
        <v>148</v>
      </c>
      <c r="BM30" s="321">
        <v>45765</v>
      </c>
      <c r="BN30" s="13">
        <v>92</v>
      </c>
      <c r="BO30" s="13">
        <v>0</v>
      </c>
      <c r="BP30" s="13">
        <v>4</v>
      </c>
      <c r="BQ30" s="13">
        <f t="shared" si="18"/>
        <v>96</v>
      </c>
      <c r="BR30" s="13">
        <v>100</v>
      </c>
      <c r="BS30" s="13">
        <v>42</v>
      </c>
      <c r="BT30" s="13">
        <v>2</v>
      </c>
      <c r="BU30" s="30">
        <f t="shared" si="3"/>
        <v>144</v>
      </c>
      <c r="BW30" s="329">
        <v>45795</v>
      </c>
      <c r="BX30" s="13">
        <v>0</v>
      </c>
      <c r="BY30" s="13">
        <v>0</v>
      </c>
      <c r="BZ30" s="13">
        <v>0</v>
      </c>
      <c r="CA30" s="13">
        <f t="shared" si="19"/>
        <v>0</v>
      </c>
      <c r="CB30" s="13">
        <v>0</v>
      </c>
      <c r="CC30" s="13">
        <v>0</v>
      </c>
      <c r="CD30" s="13">
        <v>0</v>
      </c>
      <c r="CE30" s="30">
        <f t="shared" si="4"/>
        <v>0</v>
      </c>
      <c r="CG30" s="332">
        <v>45826</v>
      </c>
      <c r="CH30" s="13">
        <v>58</v>
      </c>
      <c r="CI30" s="13">
        <v>0</v>
      </c>
      <c r="CJ30" s="13">
        <v>35</v>
      </c>
      <c r="CK30" s="13">
        <f t="shared" si="20"/>
        <v>93</v>
      </c>
      <c r="CL30" s="13">
        <v>46</v>
      </c>
      <c r="CM30" s="13">
        <v>74</v>
      </c>
      <c r="CN30" s="13">
        <v>9</v>
      </c>
      <c r="CO30" s="30">
        <f t="shared" si="5"/>
        <v>129</v>
      </c>
      <c r="CQ30" s="332">
        <v>45856</v>
      </c>
      <c r="CR30" s="13">
        <v>62</v>
      </c>
      <c r="CS30" s="13">
        <v>0</v>
      </c>
      <c r="CT30" s="13">
        <v>53</v>
      </c>
      <c r="CU30" s="13">
        <f t="shared" si="36"/>
        <v>115</v>
      </c>
      <c r="CV30" s="13">
        <v>40</v>
      </c>
      <c r="CW30" s="13">
        <v>30</v>
      </c>
      <c r="CX30" s="13">
        <v>45</v>
      </c>
      <c r="CY30" s="30">
        <f t="shared" si="6"/>
        <v>115</v>
      </c>
      <c r="DC30" s="332">
        <v>45887</v>
      </c>
      <c r="DD30" s="13">
        <v>87</v>
      </c>
      <c r="DE30" s="13">
        <v>0</v>
      </c>
      <c r="DF30" s="13">
        <v>11</v>
      </c>
      <c r="DG30" s="13">
        <f t="shared" si="37"/>
        <v>98</v>
      </c>
      <c r="DH30" s="13">
        <v>55</v>
      </c>
      <c r="DI30" s="13">
        <v>55</v>
      </c>
      <c r="DJ30" s="13">
        <v>15</v>
      </c>
      <c r="DK30" s="30">
        <f t="shared" si="7"/>
        <v>125</v>
      </c>
      <c r="DM30" s="321">
        <v>45918</v>
      </c>
      <c r="DN30" s="89">
        <v>77</v>
      </c>
      <c r="DO30" s="89">
        <v>0</v>
      </c>
      <c r="DP30" s="89">
        <v>18</v>
      </c>
      <c r="DQ30" s="89">
        <f t="shared" si="38"/>
        <v>95</v>
      </c>
      <c r="DR30" s="89">
        <v>129</v>
      </c>
      <c r="DS30" s="89">
        <v>0</v>
      </c>
      <c r="DT30" s="89">
        <v>12</v>
      </c>
      <c r="DU30" s="30">
        <f t="shared" si="8"/>
        <v>141</v>
      </c>
      <c r="DX30" s="321">
        <v>45948</v>
      </c>
      <c r="DY30" s="89">
        <v>92</v>
      </c>
      <c r="DZ30" s="69">
        <v>0</v>
      </c>
      <c r="EA30" s="69">
        <v>0</v>
      </c>
      <c r="EB30" s="89">
        <f t="shared" si="39"/>
        <v>92</v>
      </c>
      <c r="EC30" s="89">
        <v>88</v>
      </c>
      <c r="ED30" s="69">
        <v>0</v>
      </c>
      <c r="EE30" s="69">
        <v>53</v>
      </c>
      <c r="EF30" s="30">
        <f t="shared" si="9"/>
        <v>141</v>
      </c>
      <c r="EH30" s="321">
        <v>45979</v>
      </c>
      <c r="EI30" s="89">
        <v>16</v>
      </c>
      <c r="EJ30" s="89">
        <v>44</v>
      </c>
      <c r="EK30" s="89">
        <v>37</v>
      </c>
      <c r="EL30" s="89">
        <f t="shared" si="25"/>
        <v>97</v>
      </c>
      <c r="EM30" s="89">
        <v>0</v>
      </c>
      <c r="EN30" s="89">
        <v>51</v>
      </c>
      <c r="EO30" s="89">
        <v>38</v>
      </c>
      <c r="EP30" s="30">
        <f t="shared" si="10"/>
        <v>89</v>
      </c>
      <c r="ER30" s="321">
        <v>46009</v>
      </c>
      <c r="ES30" s="89">
        <v>79</v>
      </c>
      <c r="ET30" s="89">
        <v>0</v>
      </c>
      <c r="EU30" s="89">
        <v>15</v>
      </c>
      <c r="EV30" s="89">
        <f t="shared" si="26"/>
        <v>94</v>
      </c>
      <c r="EW30" s="89">
        <v>36</v>
      </c>
      <c r="EX30" s="89">
        <v>0</v>
      </c>
      <c r="EY30" s="89">
        <v>35</v>
      </c>
      <c r="EZ30" s="30">
        <f t="shared" si="11"/>
        <v>71</v>
      </c>
      <c r="FA30" t="s">
        <v>344</v>
      </c>
      <c r="FD30" s="321">
        <v>46040</v>
      </c>
      <c r="FE30" s="89">
        <v>0</v>
      </c>
      <c r="FF30" s="89">
        <v>0</v>
      </c>
      <c r="FG30" s="89">
        <v>0</v>
      </c>
      <c r="FH30" s="89">
        <f t="shared" si="27"/>
        <v>0</v>
      </c>
      <c r="FI30" s="89">
        <v>0</v>
      </c>
      <c r="FJ30" s="89">
        <v>0</v>
      </c>
      <c r="FK30" s="89">
        <v>0</v>
      </c>
      <c r="FL30" s="30">
        <f t="shared" si="12"/>
        <v>0</v>
      </c>
      <c r="FO30" s="321">
        <v>46071</v>
      </c>
      <c r="FP30" s="89">
        <v>95</v>
      </c>
      <c r="FQ30" s="89">
        <v>0</v>
      </c>
      <c r="FR30" s="89">
        <v>8</v>
      </c>
      <c r="FS30" s="89">
        <f t="shared" si="28"/>
        <v>103</v>
      </c>
      <c r="FT30" s="89">
        <v>58</v>
      </c>
      <c r="FU30" s="89">
        <v>66</v>
      </c>
      <c r="FV30" s="89">
        <v>27</v>
      </c>
      <c r="FW30" s="89">
        <f t="shared" si="13"/>
        <v>151</v>
      </c>
      <c r="FZ30" s="321">
        <v>46099</v>
      </c>
      <c r="GA30" s="89">
        <v>96</v>
      </c>
      <c r="GB30" s="89">
        <v>0</v>
      </c>
      <c r="GC30" s="89">
        <v>2</v>
      </c>
      <c r="GD30" s="89">
        <f t="shared" si="29"/>
        <v>98</v>
      </c>
      <c r="GE30" s="89">
        <v>87</v>
      </c>
      <c r="GF30" s="89">
        <v>52</v>
      </c>
      <c r="GG30" s="89">
        <v>13</v>
      </c>
      <c r="GH30" s="89">
        <f t="shared" si="14"/>
        <v>152</v>
      </c>
      <c r="GJ30" s="321">
        <v>46130</v>
      </c>
      <c r="GK30" s="89">
        <v>95</v>
      </c>
      <c r="GL30" s="89">
        <v>0</v>
      </c>
      <c r="GM30" s="89">
        <v>6</v>
      </c>
      <c r="GN30" s="89">
        <f t="shared" si="30"/>
        <v>101</v>
      </c>
      <c r="GO30" s="89">
        <v>97</v>
      </c>
      <c r="GP30" s="89">
        <v>0</v>
      </c>
      <c r="GQ30" s="89">
        <v>29</v>
      </c>
      <c r="GR30" s="89">
        <f t="shared" si="15"/>
        <v>126</v>
      </c>
      <c r="GT30" s="321">
        <v>46160</v>
      </c>
      <c r="GU30" s="89">
        <v>91</v>
      </c>
      <c r="GV30" s="89">
        <v>0</v>
      </c>
      <c r="GW30" s="89">
        <v>23</v>
      </c>
      <c r="GX30" s="89">
        <f t="shared" si="31"/>
        <v>114</v>
      </c>
      <c r="GY30" s="89">
        <v>106</v>
      </c>
      <c r="GZ30" s="89">
        <v>0</v>
      </c>
      <c r="HA30" s="89">
        <v>34</v>
      </c>
      <c r="HB30" s="89">
        <f t="shared" si="16"/>
        <v>140</v>
      </c>
    </row>
    <row r="31" spans="1:210">
      <c r="A31" s="321">
        <v>45401</v>
      </c>
      <c r="B31" s="41">
        <v>112</v>
      </c>
      <c r="C31" s="41">
        <v>93</v>
      </c>
      <c r="D31" s="41"/>
      <c r="E31" s="321">
        <v>45431</v>
      </c>
      <c r="F31" s="41">
        <v>107</v>
      </c>
      <c r="G31" s="320">
        <v>88</v>
      </c>
      <c r="H31" s="321">
        <v>45462</v>
      </c>
      <c r="I31" s="41">
        <v>106</v>
      </c>
      <c r="J31" s="41">
        <v>86</v>
      </c>
      <c r="K31" s="321">
        <v>45492</v>
      </c>
      <c r="L31" s="41">
        <v>99</v>
      </c>
      <c r="M31" s="41">
        <v>89</v>
      </c>
      <c r="N31" s="321">
        <v>45523</v>
      </c>
      <c r="O31" s="41">
        <v>125</v>
      </c>
      <c r="P31" s="41">
        <v>91</v>
      </c>
      <c r="R31" s="321">
        <v>45554</v>
      </c>
      <c r="S31" s="41">
        <v>37</v>
      </c>
      <c r="T31" s="41">
        <v>42</v>
      </c>
      <c r="V31" s="321">
        <v>45584</v>
      </c>
      <c r="W31" s="13">
        <v>112</v>
      </c>
      <c r="X31" s="13">
        <v>90</v>
      </c>
      <c r="AA31" s="321">
        <v>45615</v>
      </c>
      <c r="AB31" s="13">
        <v>87</v>
      </c>
      <c r="AC31" s="13">
        <v>86</v>
      </c>
      <c r="AD31" s="321">
        <v>45645</v>
      </c>
      <c r="AE31" s="13">
        <f>79+46</f>
        <v>125</v>
      </c>
      <c r="AF31" s="13">
        <v>89</v>
      </c>
      <c r="AG31" t="s">
        <v>3533</v>
      </c>
      <c r="AH31" s="321">
        <v>45676</v>
      </c>
      <c r="AI31" s="321"/>
      <c r="AJ31" s="13">
        <v>69</v>
      </c>
      <c r="AK31" s="13">
        <v>73</v>
      </c>
      <c r="AL31" s="13">
        <v>69</v>
      </c>
      <c r="AM31" s="13"/>
      <c r="AN31" s="321">
        <v>45707</v>
      </c>
      <c r="AO31" s="13">
        <v>97</v>
      </c>
      <c r="AP31" s="13"/>
      <c r="AQ31" s="13">
        <v>0</v>
      </c>
      <c r="AR31" s="13">
        <f t="shared" si="40"/>
        <v>97</v>
      </c>
      <c r="AS31" s="30">
        <v>88</v>
      </c>
      <c r="AT31" s="30">
        <v>46</v>
      </c>
      <c r="AU31" s="30">
        <v>11</v>
      </c>
      <c r="AV31" s="30">
        <f t="shared" si="1"/>
        <v>145</v>
      </c>
      <c r="AX31" s="321"/>
      <c r="AY31" s="13"/>
      <c r="AZ31" s="13"/>
      <c r="BA31" s="13"/>
      <c r="BB31" s="13"/>
      <c r="BC31" s="321">
        <v>45735</v>
      </c>
      <c r="BD31" s="13">
        <v>43</v>
      </c>
      <c r="BE31" s="13">
        <v>42</v>
      </c>
      <c r="BF31" s="13">
        <v>14</v>
      </c>
      <c r="BG31" s="13">
        <f t="shared" si="17"/>
        <v>99</v>
      </c>
      <c r="BH31" s="13">
        <v>101</v>
      </c>
      <c r="BI31" s="13">
        <v>34</v>
      </c>
      <c r="BJ31" s="13">
        <v>16</v>
      </c>
      <c r="BK31" s="30">
        <f t="shared" si="2"/>
        <v>151</v>
      </c>
      <c r="BM31" s="321">
        <v>45766</v>
      </c>
      <c r="BN31" s="13">
        <v>76</v>
      </c>
      <c r="BO31" s="13">
        <v>0</v>
      </c>
      <c r="BP31" s="13">
        <v>19</v>
      </c>
      <c r="BQ31" s="13">
        <f t="shared" si="18"/>
        <v>95</v>
      </c>
      <c r="BR31" s="13">
        <v>92</v>
      </c>
      <c r="BS31" s="13">
        <v>55</v>
      </c>
      <c r="BT31" s="13">
        <v>2</v>
      </c>
      <c r="BU31" s="30">
        <f t="shared" si="3"/>
        <v>149</v>
      </c>
      <c r="BW31" s="321">
        <v>45796</v>
      </c>
      <c r="BX31" s="13">
        <v>85</v>
      </c>
      <c r="BY31" s="13">
        <v>0</v>
      </c>
      <c r="BZ31" s="13">
        <v>12</v>
      </c>
      <c r="CA31" s="13">
        <f t="shared" si="19"/>
        <v>97</v>
      </c>
      <c r="CB31" s="13">
        <v>81</v>
      </c>
      <c r="CC31" s="13">
        <v>24</v>
      </c>
      <c r="CD31" s="13">
        <v>27</v>
      </c>
      <c r="CE31" s="30">
        <f t="shared" si="4"/>
        <v>132</v>
      </c>
      <c r="CG31" s="332">
        <v>45827</v>
      </c>
      <c r="CH31" s="13">
        <v>65</v>
      </c>
      <c r="CI31" s="13">
        <v>0</v>
      </c>
      <c r="CJ31" s="13">
        <v>23</v>
      </c>
      <c r="CK31" s="13">
        <f t="shared" si="20"/>
        <v>88</v>
      </c>
      <c r="CL31" s="13">
        <v>52</v>
      </c>
      <c r="CM31" s="13">
        <v>60</v>
      </c>
      <c r="CN31" s="13">
        <v>7</v>
      </c>
      <c r="CO31" s="30">
        <f t="shared" si="5"/>
        <v>119</v>
      </c>
      <c r="CQ31" s="332">
        <v>45857</v>
      </c>
      <c r="CR31" s="13">
        <v>69</v>
      </c>
      <c r="CS31" s="13">
        <v>0</v>
      </c>
      <c r="CT31" s="13">
        <v>30</v>
      </c>
      <c r="CU31" s="13">
        <f t="shared" si="36"/>
        <v>99</v>
      </c>
      <c r="CV31" s="13">
        <v>47</v>
      </c>
      <c r="CW31" s="13">
        <v>0</v>
      </c>
      <c r="CX31" s="13">
        <v>32</v>
      </c>
      <c r="CY31" s="30">
        <f t="shared" si="6"/>
        <v>79</v>
      </c>
      <c r="DC31" s="332">
        <v>45888</v>
      </c>
      <c r="DD31" s="13">
        <v>85</v>
      </c>
      <c r="DE31" s="13">
        <v>0</v>
      </c>
      <c r="DF31" s="13">
        <v>14</v>
      </c>
      <c r="DG31" s="13">
        <f t="shared" si="37"/>
        <v>99</v>
      </c>
      <c r="DH31" s="13">
        <v>34</v>
      </c>
      <c r="DI31" s="13">
        <v>95</v>
      </c>
      <c r="DJ31" s="13">
        <v>6</v>
      </c>
      <c r="DK31" s="30">
        <f t="shared" si="7"/>
        <v>135</v>
      </c>
      <c r="DM31" s="321">
        <v>45919</v>
      </c>
      <c r="DN31" s="89">
        <v>95</v>
      </c>
      <c r="DO31" s="89">
        <v>0</v>
      </c>
      <c r="DP31" s="89">
        <v>0</v>
      </c>
      <c r="DQ31" s="89">
        <f t="shared" si="38"/>
        <v>95</v>
      </c>
      <c r="DR31" s="89">
        <v>91</v>
      </c>
      <c r="DS31" s="89">
        <v>12</v>
      </c>
      <c r="DT31" s="89">
        <v>24</v>
      </c>
      <c r="DU31" s="30">
        <f t="shared" si="8"/>
        <v>127</v>
      </c>
      <c r="DX31" s="321">
        <v>45949</v>
      </c>
      <c r="DY31" s="89">
        <v>93</v>
      </c>
      <c r="DZ31" s="69">
        <v>0</v>
      </c>
      <c r="EA31" s="69">
        <v>9</v>
      </c>
      <c r="EB31" s="89">
        <f t="shared" si="39"/>
        <v>102</v>
      </c>
      <c r="EC31" s="89">
        <v>86</v>
      </c>
      <c r="ED31" s="69">
        <v>0</v>
      </c>
      <c r="EE31" s="69">
        <v>51</v>
      </c>
      <c r="EF31" s="30">
        <f t="shared" si="9"/>
        <v>137</v>
      </c>
      <c r="EH31" s="321">
        <v>45980</v>
      </c>
      <c r="EI31" s="89">
        <v>27</v>
      </c>
      <c r="EJ31" s="89">
        <v>42</v>
      </c>
      <c r="EK31" s="89">
        <v>26</v>
      </c>
      <c r="EL31" s="89">
        <f t="shared" si="25"/>
        <v>95</v>
      </c>
      <c r="EM31" s="89">
        <v>0</v>
      </c>
      <c r="EN31" s="89">
        <v>41</v>
      </c>
      <c r="EO31" s="89">
        <v>31</v>
      </c>
      <c r="EP31" s="30">
        <f t="shared" si="10"/>
        <v>72</v>
      </c>
      <c r="ER31" s="321">
        <v>46010</v>
      </c>
      <c r="ES31" s="89">
        <v>58</v>
      </c>
      <c r="ET31" s="89">
        <v>0</v>
      </c>
      <c r="EU31" s="89">
        <v>25</v>
      </c>
      <c r="EV31" s="89">
        <f t="shared" si="26"/>
        <v>83</v>
      </c>
      <c r="EW31" s="89">
        <v>27</v>
      </c>
      <c r="EX31" s="89">
        <v>0</v>
      </c>
      <c r="EY31" s="89">
        <v>37</v>
      </c>
      <c r="EZ31" s="30">
        <f t="shared" si="11"/>
        <v>64</v>
      </c>
      <c r="FA31" t="s">
        <v>344</v>
      </c>
      <c r="FD31" s="321">
        <v>46041</v>
      </c>
      <c r="FE31" s="89">
        <v>69</v>
      </c>
      <c r="FF31" s="89">
        <v>0</v>
      </c>
      <c r="FG31" s="89">
        <v>26</v>
      </c>
      <c r="FH31" s="89">
        <f t="shared" si="27"/>
        <v>95</v>
      </c>
      <c r="FI31" s="89">
        <v>34</v>
      </c>
      <c r="FJ31" s="89">
        <v>0</v>
      </c>
      <c r="FK31" s="89">
        <v>39</v>
      </c>
      <c r="FL31" s="30">
        <f t="shared" si="12"/>
        <v>73</v>
      </c>
      <c r="FO31" s="321">
        <v>46072</v>
      </c>
      <c r="FP31" s="89">
        <v>87</v>
      </c>
      <c r="FQ31" s="89">
        <v>0</v>
      </c>
      <c r="FR31" s="89">
        <v>15</v>
      </c>
      <c r="FS31" s="89">
        <f t="shared" si="28"/>
        <v>102</v>
      </c>
      <c r="FT31" s="89">
        <v>88</v>
      </c>
      <c r="FU31" s="89">
        <v>32</v>
      </c>
      <c r="FV31" s="89">
        <v>26</v>
      </c>
      <c r="FW31" s="89">
        <f t="shared" si="13"/>
        <v>146</v>
      </c>
      <c r="FZ31" s="321">
        <v>46100</v>
      </c>
      <c r="GA31" s="89">
        <v>91</v>
      </c>
      <c r="GB31" s="89">
        <v>0</v>
      </c>
      <c r="GC31" s="89">
        <v>11</v>
      </c>
      <c r="GD31" s="89">
        <f t="shared" si="29"/>
        <v>102</v>
      </c>
      <c r="GE31" s="89">
        <v>88</v>
      </c>
      <c r="GF31" s="89">
        <v>39</v>
      </c>
      <c r="GG31" s="89">
        <v>34</v>
      </c>
      <c r="GH31" s="89">
        <f t="shared" si="14"/>
        <v>161</v>
      </c>
      <c r="GJ31" s="321">
        <v>46131</v>
      </c>
      <c r="GK31" s="89">
        <v>95</v>
      </c>
      <c r="GL31" s="89">
        <v>0</v>
      </c>
      <c r="GM31" s="89">
        <v>0</v>
      </c>
      <c r="GN31" s="89">
        <f t="shared" ref="GN31" si="42">+GK31+GM31+GL31</f>
        <v>95</v>
      </c>
      <c r="GO31" s="89">
        <v>84</v>
      </c>
      <c r="GP31" s="89">
        <v>0</v>
      </c>
      <c r="GQ31" s="89">
        <v>0</v>
      </c>
      <c r="GR31" s="89">
        <f t="shared" si="15"/>
        <v>84</v>
      </c>
      <c r="GT31" s="321">
        <v>46161</v>
      </c>
      <c r="GU31" s="89">
        <v>84</v>
      </c>
      <c r="GV31" s="89">
        <v>0</v>
      </c>
      <c r="GW31" s="89">
        <v>23</v>
      </c>
      <c r="GX31" s="89">
        <f t="shared" si="31"/>
        <v>107</v>
      </c>
      <c r="GY31" s="89">
        <v>100</v>
      </c>
      <c r="GZ31" s="89">
        <v>0</v>
      </c>
      <c r="HA31" s="89">
        <v>24</v>
      </c>
      <c r="HB31" s="89">
        <f t="shared" si="16"/>
        <v>124</v>
      </c>
    </row>
    <row r="32" spans="1:210">
      <c r="A32" s="321">
        <v>45402</v>
      </c>
      <c r="B32" s="41">
        <v>112</v>
      </c>
      <c r="C32" s="41">
        <v>89</v>
      </c>
      <c r="D32" s="41"/>
      <c r="E32" s="321">
        <v>45432</v>
      </c>
      <c r="F32" s="41">
        <v>114</v>
      </c>
      <c r="G32" s="320">
        <v>77</v>
      </c>
      <c r="H32" s="321">
        <v>45463</v>
      </c>
      <c r="I32" s="41">
        <v>87</v>
      </c>
      <c r="J32" s="41">
        <v>73</v>
      </c>
      <c r="K32" s="321">
        <v>45493</v>
      </c>
      <c r="L32" s="41">
        <v>94</v>
      </c>
      <c r="M32" s="41">
        <v>55</v>
      </c>
      <c r="N32" s="321">
        <v>45524</v>
      </c>
      <c r="O32" s="41">
        <v>110</v>
      </c>
      <c r="P32" s="41">
        <v>91</v>
      </c>
      <c r="R32" s="321">
        <v>45555</v>
      </c>
      <c r="S32" s="41">
        <v>66</v>
      </c>
      <c r="T32" s="41">
        <v>60</v>
      </c>
      <c r="V32" s="321">
        <v>45585</v>
      </c>
      <c r="W32" s="13">
        <v>87</v>
      </c>
      <c r="X32" s="13">
        <v>96</v>
      </c>
      <c r="AA32" s="321">
        <v>45616</v>
      </c>
      <c r="AB32" s="13">
        <v>86</v>
      </c>
      <c r="AC32" s="13">
        <v>85</v>
      </c>
      <c r="AD32" s="321">
        <v>45646</v>
      </c>
      <c r="AE32" s="13">
        <v>121</v>
      </c>
      <c r="AF32" s="13">
        <v>93</v>
      </c>
      <c r="AG32" t="s">
        <v>3535</v>
      </c>
      <c r="AH32" s="321">
        <v>45677</v>
      </c>
      <c r="AI32" s="321"/>
      <c r="AJ32" s="13">
        <v>94</v>
      </c>
      <c r="AK32" s="13">
        <v>77</v>
      </c>
      <c r="AL32" s="13">
        <v>94</v>
      </c>
      <c r="AM32" s="13"/>
      <c r="AN32" s="321">
        <v>45708</v>
      </c>
      <c r="AO32" s="13">
        <v>74</v>
      </c>
      <c r="AP32" s="13">
        <v>16</v>
      </c>
      <c r="AQ32" s="13">
        <v>2</v>
      </c>
      <c r="AR32" s="13">
        <f t="shared" si="40"/>
        <v>92</v>
      </c>
      <c r="AS32" s="30">
        <v>91</v>
      </c>
      <c r="AT32" s="30">
        <v>46</v>
      </c>
      <c r="AU32" s="30">
        <v>13</v>
      </c>
      <c r="AV32" s="30">
        <f t="shared" si="1"/>
        <v>150</v>
      </c>
      <c r="AX32" s="321"/>
      <c r="AY32" s="13"/>
      <c r="AZ32" s="13"/>
      <c r="BA32" s="13"/>
      <c r="BB32" s="13"/>
      <c r="BC32" s="321">
        <v>45736</v>
      </c>
      <c r="BD32" s="13">
        <v>62</v>
      </c>
      <c r="BE32" s="13">
        <v>31</v>
      </c>
      <c r="BF32" s="13">
        <v>10</v>
      </c>
      <c r="BG32" s="13">
        <f t="shared" si="17"/>
        <v>103</v>
      </c>
      <c r="BH32" s="13">
        <v>95</v>
      </c>
      <c r="BI32" s="13">
        <v>43</v>
      </c>
      <c r="BJ32" s="13">
        <v>9</v>
      </c>
      <c r="BK32" s="30">
        <f t="shared" si="2"/>
        <v>147</v>
      </c>
      <c r="BM32" s="329">
        <v>45767</v>
      </c>
      <c r="BN32" s="314">
        <v>94</v>
      </c>
      <c r="BO32" s="314">
        <v>0</v>
      </c>
      <c r="BP32" s="314">
        <v>0</v>
      </c>
      <c r="BQ32" s="314">
        <f t="shared" si="18"/>
        <v>94</v>
      </c>
      <c r="BR32" s="314">
        <v>90</v>
      </c>
      <c r="BS32" s="314">
        <v>51</v>
      </c>
      <c r="BT32" s="314">
        <v>6</v>
      </c>
      <c r="BU32" s="327">
        <f t="shared" si="3"/>
        <v>147</v>
      </c>
      <c r="BW32" s="321">
        <v>45797</v>
      </c>
      <c r="BX32" s="13">
        <v>82</v>
      </c>
      <c r="BY32" s="13">
        <v>0</v>
      </c>
      <c r="BZ32" s="13">
        <v>15</v>
      </c>
      <c r="CA32" s="314">
        <f t="shared" si="19"/>
        <v>97</v>
      </c>
      <c r="CB32" s="13">
        <v>77</v>
      </c>
      <c r="CC32" s="13">
        <v>39</v>
      </c>
      <c r="CD32" s="13">
        <v>14</v>
      </c>
      <c r="CE32" s="327">
        <f t="shared" si="4"/>
        <v>130</v>
      </c>
      <c r="CG32" s="332">
        <v>45828</v>
      </c>
      <c r="CH32" s="13">
        <v>85</v>
      </c>
      <c r="CI32" s="13">
        <v>0</v>
      </c>
      <c r="CJ32" s="13">
        <v>14</v>
      </c>
      <c r="CK32" s="314">
        <f t="shared" si="20"/>
        <v>99</v>
      </c>
      <c r="CL32" s="13">
        <v>0</v>
      </c>
      <c r="CM32" s="13">
        <v>57</v>
      </c>
      <c r="CN32" s="13">
        <v>48</v>
      </c>
      <c r="CO32" s="327">
        <f t="shared" si="5"/>
        <v>105</v>
      </c>
      <c r="CQ32" s="332">
        <v>45858</v>
      </c>
      <c r="CR32" s="13">
        <v>0</v>
      </c>
      <c r="CS32" s="13">
        <v>0</v>
      </c>
      <c r="CT32" s="13">
        <v>0</v>
      </c>
      <c r="CU32" s="314">
        <f t="shared" si="36"/>
        <v>0</v>
      </c>
      <c r="CV32" s="13">
        <v>0</v>
      </c>
      <c r="CW32" s="13">
        <v>0</v>
      </c>
      <c r="CX32" s="13">
        <v>0</v>
      </c>
      <c r="CY32" s="327">
        <f t="shared" si="6"/>
        <v>0</v>
      </c>
      <c r="DC32" s="332" t="s">
        <v>3536</v>
      </c>
      <c r="DD32" s="13">
        <v>80</v>
      </c>
      <c r="DE32" s="13">
        <v>0</v>
      </c>
      <c r="DF32" s="13">
        <v>17</v>
      </c>
      <c r="DG32" s="314">
        <f t="shared" si="37"/>
        <v>97</v>
      </c>
      <c r="DH32" s="13">
        <v>47</v>
      </c>
      <c r="DI32" s="13">
        <v>78</v>
      </c>
      <c r="DJ32" s="13">
        <v>11</v>
      </c>
      <c r="DK32" s="327">
        <f t="shared" si="7"/>
        <v>136</v>
      </c>
      <c r="DM32" s="321">
        <v>45920</v>
      </c>
      <c r="DN32" s="89">
        <v>87</v>
      </c>
      <c r="DO32" s="89">
        <v>0</v>
      </c>
      <c r="DP32" s="89">
        <v>10</v>
      </c>
      <c r="DQ32" s="89">
        <f t="shared" si="38"/>
        <v>97</v>
      </c>
      <c r="DR32" s="89">
        <v>102</v>
      </c>
      <c r="DS32" s="89">
        <v>0</v>
      </c>
      <c r="DT32" s="89">
        <v>21</v>
      </c>
      <c r="DU32" s="327">
        <f t="shared" si="8"/>
        <v>123</v>
      </c>
      <c r="DX32" s="321">
        <v>45950</v>
      </c>
      <c r="DY32" s="89">
        <v>64</v>
      </c>
      <c r="DZ32" s="69">
        <v>0</v>
      </c>
      <c r="EA32" s="69">
        <v>0</v>
      </c>
      <c r="EB32" s="89">
        <f t="shared" si="39"/>
        <v>64</v>
      </c>
      <c r="EC32" s="89">
        <v>80</v>
      </c>
      <c r="ED32" s="69">
        <v>0</v>
      </c>
      <c r="EE32" s="69">
        <v>0</v>
      </c>
      <c r="EF32" s="327">
        <f t="shared" si="9"/>
        <v>80</v>
      </c>
      <c r="EH32" s="321">
        <v>45981</v>
      </c>
      <c r="EI32" s="89">
        <v>0</v>
      </c>
      <c r="EJ32" s="89">
        <v>87</v>
      </c>
      <c r="EK32" s="89">
        <v>10</v>
      </c>
      <c r="EL32" s="89">
        <f t="shared" si="25"/>
        <v>97</v>
      </c>
      <c r="EM32" s="89">
        <v>0</v>
      </c>
      <c r="EN32" s="89">
        <v>45</v>
      </c>
      <c r="EO32" s="89">
        <v>54</v>
      </c>
      <c r="EP32" s="327">
        <f t="shared" si="10"/>
        <v>99</v>
      </c>
      <c r="ER32" s="321">
        <v>46011</v>
      </c>
      <c r="ES32" s="89">
        <v>53</v>
      </c>
      <c r="ET32" s="89">
        <v>0</v>
      </c>
      <c r="EU32" s="89">
        <v>35</v>
      </c>
      <c r="EV32" s="89">
        <f t="shared" si="26"/>
        <v>88</v>
      </c>
      <c r="EW32" s="89">
        <v>36</v>
      </c>
      <c r="EX32" s="89">
        <v>0</v>
      </c>
      <c r="EY32" s="89">
        <v>36</v>
      </c>
      <c r="EZ32" s="327">
        <f t="shared" si="11"/>
        <v>72</v>
      </c>
      <c r="FA32" t="s">
        <v>344</v>
      </c>
      <c r="FD32" s="321">
        <v>46042</v>
      </c>
      <c r="FE32" s="89">
        <v>83</v>
      </c>
      <c r="FF32" s="89">
        <v>0</v>
      </c>
      <c r="FG32" s="89">
        <v>13</v>
      </c>
      <c r="FH32" s="89">
        <f t="shared" si="27"/>
        <v>96</v>
      </c>
      <c r="FI32" s="89">
        <v>31</v>
      </c>
      <c r="FJ32" s="89">
        <v>39</v>
      </c>
      <c r="FK32" s="89">
        <v>36</v>
      </c>
      <c r="FL32" s="327">
        <f t="shared" si="12"/>
        <v>106</v>
      </c>
      <c r="FO32" s="321">
        <v>46073</v>
      </c>
      <c r="FP32" s="89">
        <v>89</v>
      </c>
      <c r="FQ32" s="89"/>
      <c r="FR32" s="89">
        <v>14</v>
      </c>
      <c r="FS32" s="89">
        <f t="shared" si="28"/>
        <v>103</v>
      </c>
      <c r="FT32" s="89">
        <v>85</v>
      </c>
      <c r="FU32" s="89">
        <v>48</v>
      </c>
      <c r="FV32" s="89">
        <v>28</v>
      </c>
      <c r="FW32" s="89">
        <f t="shared" si="13"/>
        <v>161</v>
      </c>
      <c r="FZ32" s="321">
        <v>46101</v>
      </c>
      <c r="GA32" s="89">
        <v>90</v>
      </c>
      <c r="GB32" s="89">
        <v>0</v>
      </c>
      <c r="GC32" s="89">
        <v>10</v>
      </c>
      <c r="GD32" s="89">
        <f t="shared" si="29"/>
        <v>100</v>
      </c>
      <c r="GE32" s="89">
        <v>87</v>
      </c>
      <c r="GF32" s="89">
        <v>45</v>
      </c>
      <c r="GG32" s="89">
        <v>22</v>
      </c>
      <c r="GH32" s="89">
        <f t="shared" si="14"/>
        <v>154</v>
      </c>
      <c r="GJ32" s="321">
        <v>46132</v>
      </c>
      <c r="GK32" s="89">
        <v>89</v>
      </c>
      <c r="GL32" s="89">
        <v>0</v>
      </c>
      <c r="GM32" s="89">
        <v>14</v>
      </c>
      <c r="GN32" s="89">
        <f t="shared" si="30"/>
        <v>103</v>
      </c>
      <c r="GO32" s="89">
        <v>123</v>
      </c>
      <c r="GP32" s="89">
        <v>0</v>
      </c>
      <c r="GQ32" s="89">
        <v>23</v>
      </c>
      <c r="GR32" s="89">
        <f t="shared" si="15"/>
        <v>146</v>
      </c>
      <c r="GT32" s="321">
        <v>46162</v>
      </c>
      <c r="GU32" s="89">
        <v>108</v>
      </c>
      <c r="GV32" s="89">
        <v>0</v>
      </c>
      <c r="GW32" s="89">
        <v>9</v>
      </c>
      <c r="GX32" s="89">
        <f t="shared" si="31"/>
        <v>117</v>
      </c>
      <c r="GY32" s="89">
        <v>104</v>
      </c>
      <c r="GZ32" s="89">
        <v>0</v>
      </c>
      <c r="HA32" s="89">
        <v>19</v>
      </c>
      <c r="HB32" s="89">
        <f t="shared" si="16"/>
        <v>123</v>
      </c>
    </row>
    <row r="33" spans="1:210">
      <c r="A33" s="321">
        <v>45403</v>
      </c>
      <c r="B33" s="41">
        <v>90</v>
      </c>
      <c r="C33" s="41">
        <v>45</v>
      </c>
      <c r="D33" s="41"/>
      <c r="E33" s="321">
        <v>45433</v>
      </c>
      <c r="F33" s="41">
        <v>88</v>
      </c>
      <c r="G33" s="320">
        <v>81</v>
      </c>
      <c r="H33" s="321">
        <v>45464</v>
      </c>
      <c r="I33" s="41">
        <v>88</v>
      </c>
      <c r="J33" s="41">
        <v>89</v>
      </c>
      <c r="K33" s="321">
        <v>45494</v>
      </c>
      <c r="L33" s="41">
        <v>58</v>
      </c>
      <c r="M33" s="41">
        <v>52</v>
      </c>
      <c r="N33" s="321">
        <v>45525</v>
      </c>
      <c r="O33" s="41">
        <v>99</v>
      </c>
      <c r="P33" s="41">
        <v>80</v>
      </c>
      <c r="R33" s="321">
        <v>45556</v>
      </c>
      <c r="S33" s="41">
        <v>93</v>
      </c>
      <c r="T33" s="41">
        <v>75</v>
      </c>
      <c r="V33" s="321">
        <v>45586</v>
      </c>
      <c r="W33" s="13">
        <v>83</v>
      </c>
      <c r="X33" s="13">
        <v>65</v>
      </c>
      <c r="AA33" s="321">
        <v>45617</v>
      </c>
      <c r="AB33" s="13">
        <v>85</v>
      </c>
      <c r="AC33" s="13">
        <v>83</v>
      </c>
      <c r="AD33" s="321">
        <v>45647</v>
      </c>
      <c r="AE33" s="13">
        <v>117</v>
      </c>
      <c r="AF33" s="13">
        <v>83</v>
      </c>
      <c r="AG33" t="s">
        <v>3537</v>
      </c>
      <c r="AH33" s="321">
        <v>45678</v>
      </c>
      <c r="AI33" s="321"/>
      <c r="AJ33" s="13">
        <v>119</v>
      </c>
      <c r="AK33" s="13">
        <v>86</v>
      </c>
      <c r="AL33" s="13">
        <v>119</v>
      </c>
      <c r="AM33" s="13"/>
      <c r="AN33" s="321">
        <v>45709</v>
      </c>
      <c r="AO33" s="13">
        <v>75</v>
      </c>
      <c r="AP33" s="13">
        <v>16</v>
      </c>
      <c r="AQ33" s="13"/>
      <c r="AR33" s="13">
        <f t="shared" si="40"/>
        <v>91</v>
      </c>
      <c r="AS33" s="30">
        <v>113</v>
      </c>
      <c r="AT33" s="30">
        <v>18</v>
      </c>
      <c r="AU33" s="30">
        <v>21</v>
      </c>
      <c r="AV33" s="30">
        <f t="shared" si="1"/>
        <v>152</v>
      </c>
      <c r="AX33" s="321"/>
      <c r="AY33" s="13"/>
      <c r="AZ33" s="13"/>
      <c r="BA33" s="13"/>
      <c r="BB33" s="13"/>
      <c r="BC33" s="321">
        <v>45737</v>
      </c>
      <c r="BD33" s="13">
        <v>84</v>
      </c>
      <c r="BE33" s="13"/>
      <c r="BF33" s="13">
        <v>13</v>
      </c>
      <c r="BG33" s="13">
        <f t="shared" si="17"/>
        <v>97</v>
      </c>
      <c r="BH33" s="13">
        <v>105</v>
      </c>
      <c r="BI33" s="13">
        <v>44</v>
      </c>
      <c r="BJ33" s="13"/>
      <c r="BK33" s="30">
        <f t="shared" si="2"/>
        <v>149</v>
      </c>
      <c r="BM33" s="321">
        <v>45768</v>
      </c>
      <c r="BN33" s="13">
        <v>78</v>
      </c>
      <c r="BO33" s="13">
        <v>0</v>
      </c>
      <c r="BP33" s="13">
        <v>17</v>
      </c>
      <c r="BQ33" s="13">
        <f t="shared" si="18"/>
        <v>95</v>
      </c>
      <c r="BR33" s="13">
        <v>89</v>
      </c>
      <c r="BS33" s="13">
        <v>53</v>
      </c>
      <c r="BT33" s="13">
        <v>1</v>
      </c>
      <c r="BU33" s="30">
        <f t="shared" si="3"/>
        <v>143</v>
      </c>
      <c r="BW33" s="321">
        <v>45798</v>
      </c>
      <c r="BX33" s="13">
        <v>87</v>
      </c>
      <c r="BY33" s="13">
        <v>0</v>
      </c>
      <c r="BZ33" s="13">
        <v>14</v>
      </c>
      <c r="CA33" s="13">
        <f t="shared" si="19"/>
        <v>101</v>
      </c>
      <c r="CB33" s="13">
        <v>85</v>
      </c>
      <c r="CC33" s="13">
        <v>42</v>
      </c>
      <c r="CD33" s="13">
        <v>10</v>
      </c>
      <c r="CE33" s="30">
        <f t="shared" si="4"/>
        <v>137</v>
      </c>
      <c r="CG33" s="332">
        <v>45829</v>
      </c>
      <c r="CH33" s="13">
        <v>80</v>
      </c>
      <c r="CI33" s="13">
        <v>0</v>
      </c>
      <c r="CJ33" s="13">
        <v>17</v>
      </c>
      <c r="CK33" s="13">
        <f t="shared" si="20"/>
        <v>97</v>
      </c>
      <c r="CL33" s="13">
        <v>43</v>
      </c>
      <c r="CM33" s="13">
        <v>41</v>
      </c>
      <c r="CN33" s="13">
        <v>40</v>
      </c>
      <c r="CO33" s="30">
        <f t="shared" si="5"/>
        <v>124</v>
      </c>
      <c r="CQ33" s="332">
        <v>45859</v>
      </c>
      <c r="CR33" s="13">
        <v>80</v>
      </c>
      <c r="CS33" s="13">
        <v>0</v>
      </c>
      <c r="CT33" s="13">
        <v>19</v>
      </c>
      <c r="CU33" s="13">
        <f t="shared" si="36"/>
        <v>99</v>
      </c>
      <c r="CV33" s="13">
        <v>78</v>
      </c>
      <c r="CW33" s="13">
        <v>0</v>
      </c>
      <c r="CX33" s="13">
        <v>38</v>
      </c>
      <c r="CY33" s="30">
        <f t="shared" si="6"/>
        <v>116</v>
      </c>
      <c r="DC33" s="332">
        <v>45890</v>
      </c>
      <c r="DD33" s="13">
        <v>91</v>
      </c>
      <c r="DE33" s="13">
        <v>0</v>
      </c>
      <c r="DF33" s="13">
        <v>8</v>
      </c>
      <c r="DG33" s="13">
        <f t="shared" si="37"/>
        <v>99</v>
      </c>
      <c r="DH33" s="13">
        <v>111</v>
      </c>
      <c r="DI33" s="13">
        <v>17</v>
      </c>
      <c r="DJ33" s="13">
        <v>14</v>
      </c>
      <c r="DK33" s="30">
        <f t="shared" si="7"/>
        <v>142</v>
      </c>
      <c r="DM33" s="321">
        <v>45921</v>
      </c>
      <c r="DN33" s="89">
        <v>80</v>
      </c>
      <c r="DO33" s="89">
        <v>0</v>
      </c>
      <c r="DP33" s="89">
        <v>0</v>
      </c>
      <c r="DQ33" s="89">
        <f t="shared" si="38"/>
        <v>80</v>
      </c>
      <c r="DR33" s="89">
        <v>112</v>
      </c>
      <c r="DS33" s="89">
        <v>0</v>
      </c>
      <c r="DT33" s="89">
        <v>2</v>
      </c>
      <c r="DU33" s="30">
        <f t="shared" si="8"/>
        <v>114</v>
      </c>
      <c r="DX33" s="321">
        <v>45951</v>
      </c>
      <c r="DY33" s="89">
        <v>85</v>
      </c>
      <c r="DZ33" s="69">
        <v>0</v>
      </c>
      <c r="EA33" s="69">
        <v>8</v>
      </c>
      <c r="EB33" s="89">
        <f t="shared" si="39"/>
        <v>93</v>
      </c>
      <c r="EC33" s="89">
        <v>85</v>
      </c>
      <c r="ED33" s="69">
        <v>5</v>
      </c>
      <c r="EE33" s="69">
        <v>45</v>
      </c>
      <c r="EF33" s="30">
        <f t="shared" si="9"/>
        <v>135</v>
      </c>
      <c r="EH33" s="321">
        <v>45982</v>
      </c>
      <c r="EI33" s="89">
        <v>0</v>
      </c>
      <c r="EJ33" s="89">
        <v>82</v>
      </c>
      <c r="EK33" s="89">
        <v>32</v>
      </c>
      <c r="EL33" s="89">
        <f t="shared" si="25"/>
        <v>114</v>
      </c>
      <c r="EM33" s="89">
        <v>0</v>
      </c>
      <c r="EN33" s="89">
        <v>70</v>
      </c>
      <c r="EO33" s="89">
        <v>42</v>
      </c>
      <c r="EP33" s="30">
        <f t="shared" si="10"/>
        <v>112</v>
      </c>
      <c r="ER33" s="321">
        <v>46012</v>
      </c>
      <c r="ES33" s="89">
        <v>0</v>
      </c>
      <c r="ET33" s="89">
        <v>0</v>
      </c>
      <c r="EU33" s="89">
        <v>0</v>
      </c>
      <c r="EV33" s="89">
        <f t="shared" si="26"/>
        <v>0</v>
      </c>
      <c r="EW33" s="89">
        <v>0</v>
      </c>
      <c r="EX33" s="89">
        <v>0</v>
      </c>
      <c r="EY33" s="89">
        <v>0</v>
      </c>
      <c r="EZ33" s="30">
        <f t="shared" si="11"/>
        <v>0</v>
      </c>
      <c r="FA33" t="s">
        <v>3522</v>
      </c>
      <c r="FD33" s="321">
        <v>46043</v>
      </c>
      <c r="FE33" s="89">
        <v>37</v>
      </c>
      <c r="FF33" s="89">
        <v>29</v>
      </c>
      <c r="FG33" s="89">
        <v>27</v>
      </c>
      <c r="FH33" s="89">
        <f t="shared" si="27"/>
        <v>93</v>
      </c>
      <c r="FI33" s="89">
        <v>39</v>
      </c>
      <c r="FJ33" s="89">
        <v>28</v>
      </c>
      <c r="FK33" s="89">
        <v>31</v>
      </c>
      <c r="FL33" s="30">
        <f t="shared" si="12"/>
        <v>98</v>
      </c>
      <c r="FM33">
        <v>0</v>
      </c>
      <c r="FO33" s="321">
        <v>46074</v>
      </c>
      <c r="FP33" s="89">
        <v>91</v>
      </c>
      <c r="FQ33" s="89">
        <v>0</v>
      </c>
      <c r="FR33" s="89">
        <v>4</v>
      </c>
      <c r="FS33" s="89">
        <f t="shared" si="28"/>
        <v>95</v>
      </c>
      <c r="FT33" s="89">
        <v>85</v>
      </c>
      <c r="FU33" s="89">
        <v>31</v>
      </c>
      <c r="FV33" s="89">
        <v>40</v>
      </c>
      <c r="FW33" s="89">
        <f t="shared" si="13"/>
        <v>156</v>
      </c>
      <c r="FZ33" s="321">
        <v>46102</v>
      </c>
      <c r="GA33" s="89">
        <v>94</v>
      </c>
      <c r="GB33" s="89">
        <v>0</v>
      </c>
      <c r="GC33" s="89">
        <v>7</v>
      </c>
      <c r="GD33" s="89">
        <f t="shared" si="29"/>
        <v>101</v>
      </c>
      <c r="GE33" s="89">
        <v>88</v>
      </c>
      <c r="GF33" s="89">
        <v>48</v>
      </c>
      <c r="GG33" s="89">
        <v>28</v>
      </c>
      <c r="GH33" s="89">
        <f t="shared" si="14"/>
        <v>164</v>
      </c>
      <c r="GJ33" s="321">
        <v>46133</v>
      </c>
      <c r="GK33" s="89">
        <v>98</v>
      </c>
      <c r="GL33" s="89">
        <v>0</v>
      </c>
      <c r="GM33" s="89">
        <v>0</v>
      </c>
      <c r="GN33" s="89">
        <f t="shared" si="30"/>
        <v>98</v>
      </c>
      <c r="GO33" s="89">
        <v>128</v>
      </c>
      <c r="GP33" s="89">
        <v>0</v>
      </c>
      <c r="GQ33" s="89">
        <v>10</v>
      </c>
      <c r="GR33" s="89">
        <f t="shared" si="15"/>
        <v>138</v>
      </c>
      <c r="GT33" s="321">
        <v>46163</v>
      </c>
      <c r="GU33" s="89">
        <v>103</v>
      </c>
      <c r="GV33" s="89">
        <v>0</v>
      </c>
      <c r="GW33" s="89">
        <v>16</v>
      </c>
      <c r="GX33" s="89">
        <f t="shared" si="31"/>
        <v>119</v>
      </c>
      <c r="GY33" s="89">
        <v>84</v>
      </c>
      <c r="GZ33" s="89">
        <v>0</v>
      </c>
      <c r="HA33" s="89">
        <v>31</v>
      </c>
      <c r="HB33" s="89">
        <f t="shared" si="16"/>
        <v>115</v>
      </c>
    </row>
    <row r="34" spans="1:210">
      <c r="A34" s="321">
        <v>45404</v>
      </c>
      <c r="B34" s="41">
        <v>62</v>
      </c>
      <c r="C34" s="41">
        <v>88</v>
      </c>
      <c r="D34" s="41"/>
      <c r="E34" s="321">
        <v>45434</v>
      </c>
      <c r="F34" s="41">
        <v>117</v>
      </c>
      <c r="G34" s="320">
        <v>90</v>
      </c>
      <c r="H34" s="321">
        <v>45465</v>
      </c>
      <c r="I34" s="41">
        <v>69</v>
      </c>
      <c r="J34" s="41">
        <v>89</v>
      </c>
      <c r="K34" s="321">
        <v>45495</v>
      </c>
      <c r="L34" s="41">
        <v>93</v>
      </c>
      <c r="M34" s="41">
        <v>78</v>
      </c>
      <c r="N34" s="321">
        <v>45526</v>
      </c>
      <c r="O34" s="41">
        <v>115</v>
      </c>
      <c r="P34" s="41">
        <v>84</v>
      </c>
      <c r="R34" s="321">
        <v>45557</v>
      </c>
      <c r="S34" s="41">
        <v>48</v>
      </c>
      <c r="T34" s="41">
        <v>73</v>
      </c>
      <c r="V34" s="321">
        <v>45587</v>
      </c>
      <c r="W34" s="13">
        <v>85</v>
      </c>
      <c r="X34" s="13">
        <v>84</v>
      </c>
      <c r="AA34" s="321">
        <v>45618</v>
      </c>
      <c r="AB34" s="13">
        <v>85</v>
      </c>
      <c r="AC34" s="13">
        <v>75</v>
      </c>
      <c r="AD34" s="321" t="s">
        <v>3538</v>
      </c>
      <c r="AE34" s="13">
        <f>82+16</f>
        <v>98</v>
      </c>
      <c r="AF34" s="13"/>
      <c r="AG34" t="s">
        <v>3539</v>
      </c>
      <c r="AH34" s="321">
        <v>45679</v>
      </c>
      <c r="AI34" s="321"/>
      <c r="AJ34" s="13">
        <v>114</v>
      </c>
      <c r="AK34" s="13">
        <v>89</v>
      </c>
      <c r="AL34" s="13">
        <v>114</v>
      </c>
      <c r="AM34" s="13"/>
      <c r="AN34" s="321">
        <v>45710</v>
      </c>
      <c r="AO34" s="13">
        <v>80</v>
      </c>
      <c r="AP34" s="13">
        <v>0</v>
      </c>
      <c r="AQ34" s="13">
        <v>46</v>
      </c>
      <c r="AR34" s="13">
        <f t="shared" si="40"/>
        <v>126</v>
      </c>
      <c r="AS34" s="30">
        <v>136</v>
      </c>
      <c r="AT34" s="30">
        <v>0</v>
      </c>
      <c r="AU34" s="30">
        <v>17</v>
      </c>
      <c r="AV34" s="30">
        <f t="shared" si="1"/>
        <v>153</v>
      </c>
      <c r="AX34" s="321"/>
      <c r="AY34" s="13"/>
      <c r="AZ34" s="13"/>
      <c r="BA34" s="13"/>
      <c r="BB34" s="13"/>
      <c r="BC34" s="321">
        <v>45738</v>
      </c>
      <c r="BD34" s="13">
        <v>66</v>
      </c>
      <c r="BE34" s="13">
        <v>6</v>
      </c>
      <c r="BF34" s="13">
        <v>24</v>
      </c>
      <c r="BG34" s="13">
        <f t="shared" si="17"/>
        <v>96</v>
      </c>
      <c r="BH34" s="13">
        <v>76</v>
      </c>
      <c r="BI34" s="13">
        <v>38</v>
      </c>
      <c r="BJ34" s="13">
        <v>26</v>
      </c>
      <c r="BK34" s="30">
        <f t="shared" si="2"/>
        <v>140</v>
      </c>
      <c r="BM34" s="321">
        <v>45769</v>
      </c>
      <c r="BN34" s="13">
        <v>94</v>
      </c>
      <c r="BO34" s="13">
        <v>0</v>
      </c>
      <c r="BP34" s="13">
        <v>13</v>
      </c>
      <c r="BQ34" s="13">
        <f t="shared" si="18"/>
        <v>107</v>
      </c>
      <c r="BR34" s="13">
        <v>140</v>
      </c>
      <c r="BS34" s="13">
        <v>6</v>
      </c>
      <c r="BT34" s="13">
        <v>0</v>
      </c>
      <c r="BU34" s="30">
        <f t="shared" si="3"/>
        <v>146</v>
      </c>
      <c r="BW34" s="321">
        <v>45799</v>
      </c>
      <c r="BX34" s="13">
        <v>86</v>
      </c>
      <c r="BY34" s="13">
        <v>43</v>
      </c>
      <c r="BZ34" s="13">
        <v>24</v>
      </c>
      <c r="CA34" s="13">
        <f t="shared" si="19"/>
        <v>153</v>
      </c>
      <c r="CB34" s="13">
        <v>90</v>
      </c>
      <c r="CC34" s="13">
        <v>40</v>
      </c>
      <c r="CD34" s="13">
        <v>10</v>
      </c>
      <c r="CE34" s="30">
        <f t="shared" si="4"/>
        <v>140</v>
      </c>
      <c r="CG34" s="332">
        <v>45830</v>
      </c>
      <c r="CH34" s="13">
        <v>74</v>
      </c>
      <c r="CI34" s="13">
        <v>0</v>
      </c>
      <c r="CJ34" s="13">
        <v>17</v>
      </c>
      <c r="CK34" s="13">
        <f t="shared" si="20"/>
        <v>91</v>
      </c>
      <c r="CL34" s="13">
        <v>84</v>
      </c>
      <c r="CM34" s="13">
        <v>2</v>
      </c>
      <c r="CN34" s="13">
        <v>30</v>
      </c>
      <c r="CO34" s="30">
        <f t="shared" si="5"/>
        <v>116</v>
      </c>
      <c r="CQ34" s="332">
        <v>45860</v>
      </c>
      <c r="CR34" s="13">
        <v>78</v>
      </c>
      <c r="CS34" s="13">
        <v>0</v>
      </c>
      <c r="CT34" s="13">
        <v>18</v>
      </c>
      <c r="CU34" s="13">
        <f t="shared" si="36"/>
        <v>96</v>
      </c>
      <c r="CV34" s="13">
        <v>87</v>
      </c>
      <c r="CW34" s="13">
        <v>0</v>
      </c>
      <c r="CX34" s="13">
        <v>33</v>
      </c>
      <c r="CY34" s="30">
        <f t="shared" si="6"/>
        <v>120</v>
      </c>
      <c r="DC34" s="332">
        <v>45891</v>
      </c>
      <c r="DD34" s="13">
        <v>85</v>
      </c>
      <c r="DE34" s="13">
        <v>0</v>
      </c>
      <c r="DF34" s="13">
        <v>14</v>
      </c>
      <c r="DG34" s="13">
        <f t="shared" si="37"/>
        <v>99</v>
      </c>
      <c r="DH34" s="13">
        <v>95</v>
      </c>
      <c r="DI34" s="13">
        <v>36</v>
      </c>
      <c r="DJ34" s="13">
        <v>12</v>
      </c>
      <c r="DK34" s="30">
        <f t="shared" si="7"/>
        <v>143</v>
      </c>
      <c r="DM34" s="321">
        <v>45922</v>
      </c>
      <c r="DN34" s="89">
        <v>99</v>
      </c>
      <c r="DO34" s="89">
        <v>0</v>
      </c>
      <c r="DP34" s="89">
        <v>0</v>
      </c>
      <c r="DQ34" s="89">
        <f t="shared" si="38"/>
        <v>99</v>
      </c>
      <c r="DR34" s="89">
        <v>96</v>
      </c>
      <c r="DS34" s="89">
        <v>4</v>
      </c>
      <c r="DT34" s="89">
        <v>6</v>
      </c>
      <c r="DU34" s="30">
        <f t="shared" si="8"/>
        <v>106</v>
      </c>
      <c r="DX34" s="321">
        <v>45952</v>
      </c>
      <c r="DY34" s="89">
        <v>93</v>
      </c>
      <c r="DZ34" s="69">
        <v>0</v>
      </c>
      <c r="EA34" s="69">
        <v>8</v>
      </c>
      <c r="EB34" s="89">
        <f t="shared" si="39"/>
        <v>101</v>
      </c>
      <c r="EC34" s="89">
        <v>88</v>
      </c>
      <c r="ED34" s="69">
        <v>10</v>
      </c>
      <c r="EE34" s="69">
        <v>43</v>
      </c>
      <c r="EF34" s="30">
        <f t="shared" si="9"/>
        <v>141</v>
      </c>
      <c r="EH34" s="321">
        <v>45983</v>
      </c>
      <c r="EI34" s="89">
        <v>0</v>
      </c>
      <c r="EJ34" s="89">
        <v>88</v>
      </c>
      <c r="EK34" s="89">
        <v>18</v>
      </c>
      <c r="EL34" s="89">
        <f t="shared" si="25"/>
        <v>106</v>
      </c>
      <c r="EM34" s="89">
        <v>0</v>
      </c>
      <c r="EN34" s="89">
        <v>76</v>
      </c>
      <c r="EO34" s="89">
        <v>35</v>
      </c>
      <c r="EP34" s="30">
        <f t="shared" si="10"/>
        <v>111</v>
      </c>
      <c r="ER34" s="321">
        <v>46013</v>
      </c>
      <c r="ES34" s="89">
        <v>16</v>
      </c>
      <c r="ET34" s="89">
        <v>55</v>
      </c>
      <c r="EU34" s="89">
        <v>0</v>
      </c>
      <c r="EV34" s="89">
        <f t="shared" si="26"/>
        <v>71</v>
      </c>
      <c r="EW34" s="89">
        <v>17</v>
      </c>
      <c r="EX34" s="89">
        <v>0</v>
      </c>
      <c r="EY34" s="89">
        <v>37</v>
      </c>
      <c r="EZ34" s="30">
        <f t="shared" si="11"/>
        <v>54</v>
      </c>
      <c r="FA34" t="s">
        <v>344</v>
      </c>
      <c r="FD34" s="321">
        <v>46044</v>
      </c>
      <c r="FE34" s="89">
        <v>11</v>
      </c>
      <c r="FF34" s="89">
        <v>74</v>
      </c>
      <c r="FG34" s="89">
        <v>7</v>
      </c>
      <c r="FH34" s="89">
        <f t="shared" si="27"/>
        <v>92</v>
      </c>
      <c r="FI34" s="89">
        <v>69</v>
      </c>
      <c r="FJ34" s="89">
        <v>12</v>
      </c>
      <c r="FK34" s="89">
        <v>40</v>
      </c>
      <c r="FL34" s="30">
        <f t="shared" si="12"/>
        <v>121</v>
      </c>
      <c r="FO34" s="321">
        <v>46075</v>
      </c>
      <c r="FP34" s="89">
        <v>101</v>
      </c>
      <c r="FQ34" s="89">
        <v>0</v>
      </c>
      <c r="FR34" s="89">
        <v>0</v>
      </c>
      <c r="FS34" s="89">
        <f t="shared" si="28"/>
        <v>101</v>
      </c>
      <c r="FT34" s="89">
        <v>87</v>
      </c>
      <c r="FU34" s="89">
        <v>28</v>
      </c>
      <c r="FV34" s="89">
        <v>41</v>
      </c>
      <c r="FW34" s="89">
        <f t="shared" si="13"/>
        <v>156</v>
      </c>
      <c r="FZ34" s="321">
        <v>46103</v>
      </c>
      <c r="GA34" s="89">
        <v>99</v>
      </c>
      <c r="GB34" s="89">
        <v>0</v>
      </c>
      <c r="GC34" s="89">
        <v>1</v>
      </c>
      <c r="GD34" s="89">
        <f t="shared" si="29"/>
        <v>100</v>
      </c>
      <c r="GE34" s="89">
        <v>0</v>
      </c>
      <c r="GF34" s="89">
        <v>111</v>
      </c>
      <c r="GG34" s="89">
        <v>35</v>
      </c>
      <c r="GH34" s="89">
        <f t="shared" si="14"/>
        <v>146</v>
      </c>
      <c r="GJ34" s="321">
        <v>46134</v>
      </c>
      <c r="GK34" s="89">
        <v>92</v>
      </c>
      <c r="GL34" s="89">
        <v>0</v>
      </c>
      <c r="GM34" s="89">
        <v>12</v>
      </c>
      <c r="GN34" s="89">
        <f t="shared" si="30"/>
        <v>104</v>
      </c>
      <c r="GO34" s="89">
        <v>133</v>
      </c>
      <c r="GP34" s="89">
        <v>0</v>
      </c>
      <c r="GQ34" s="89">
        <v>6</v>
      </c>
      <c r="GR34" s="89">
        <f t="shared" si="15"/>
        <v>139</v>
      </c>
      <c r="GT34" s="321">
        <v>46164</v>
      </c>
      <c r="GU34" s="89">
        <v>112</v>
      </c>
      <c r="GV34" s="89">
        <v>0</v>
      </c>
      <c r="GW34" s="89">
        <v>0</v>
      </c>
      <c r="GX34" s="89">
        <f t="shared" si="31"/>
        <v>112</v>
      </c>
      <c r="GY34" s="89">
        <v>101</v>
      </c>
      <c r="GZ34" s="89">
        <v>0</v>
      </c>
      <c r="HA34" s="89">
        <v>19</v>
      </c>
      <c r="HB34" s="89">
        <f t="shared" si="16"/>
        <v>120</v>
      </c>
    </row>
    <row r="35" spans="1:210">
      <c r="A35" s="321">
        <v>45405</v>
      </c>
      <c r="B35" s="41">
        <v>94</v>
      </c>
      <c r="C35" s="41">
        <v>94</v>
      </c>
      <c r="D35" s="41"/>
      <c r="E35" s="321">
        <v>45435</v>
      </c>
      <c r="F35" s="41">
        <v>117</v>
      </c>
      <c r="G35" s="320">
        <v>79</v>
      </c>
      <c r="H35" s="321">
        <v>45466</v>
      </c>
      <c r="I35" s="41">
        <v>0</v>
      </c>
      <c r="J35" s="41">
        <v>64</v>
      </c>
      <c r="K35" s="321">
        <v>45496</v>
      </c>
      <c r="L35" s="41">
        <v>91</v>
      </c>
      <c r="M35" s="41">
        <v>85</v>
      </c>
      <c r="N35" s="321">
        <v>45527</v>
      </c>
      <c r="O35" s="41">
        <v>108</v>
      </c>
      <c r="P35" s="41">
        <v>84</v>
      </c>
      <c r="R35" s="321">
        <v>45558</v>
      </c>
      <c r="S35" s="41">
        <v>92</v>
      </c>
      <c r="T35" s="41">
        <v>74</v>
      </c>
      <c r="V35" s="321">
        <v>45588</v>
      </c>
      <c r="W35" s="13">
        <v>79</v>
      </c>
      <c r="X35" s="13">
        <v>82</v>
      </c>
      <c r="AA35" s="321">
        <v>45619</v>
      </c>
      <c r="AB35" s="13">
        <v>87</v>
      </c>
      <c r="AC35" s="13">
        <v>90</v>
      </c>
      <c r="AD35" s="321">
        <v>45649</v>
      </c>
      <c r="AE35" s="13">
        <f>85+16</f>
        <v>101</v>
      </c>
      <c r="AF35" s="13">
        <v>77</v>
      </c>
      <c r="AG35" t="s">
        <v>3541</v>
      </c>
      <c r="AH35" s="321">
        <v>45680</v>
      </c>
      <c r="AI35" s="321"/>
      <c r="AJ35" s="13">
        <v>111</v>
      </c>
      <c r="AK35" s="13">
        <v>95</v>
      </c>
      <c r="AL35" s="13">
        <v>111</v>
      </c>
      <c r="AM35" s="13"/>
      <c r="AN35" s="321">
        <v>45711</v>
      </c>
      <c r="AO35" s="13">
        <v>90</v>
      </c>
      <c r="AP35" s="13">
        <v>0</v>
      </c>
      <c r="AQ35" s="13">
        <v>13</v>
      </c>
      <c r="AR35" s="13">
        <f t="shared" si="40"/>
        <v>103</v>
      </c>
      <c r="AS35" s="30">
        <v>128</v>
      </c>
      <c r="AT35" s="30">
        <v>0</v>
      </c>
      <c r="AU35" s="30">
        <v>22</v>
      </c>
      <c r="AV35" s="30">
        <f t="shared" si="1"/>
        <v>150</v>
      </c>
      <c r="AX35" s="321"/>
      <c r="AY35" s="13"/>
      <c r="AZ35" s="13"/>
      <c r="BA35" s="13"/>
      <c r="BB35" s="13"/>
      <c r="BC35" s="321">
        <v>45739</v>
      </c>
      <c r="BD35" s="13">
        <v>87</v>
      </c>
      <c r="BE35" s="13">
        <v>0</v>
      </c>
      <c r="BF35" s="13">
        <v>0</v>
      </c>
      <c r="BG35" s="13">
        <f t="shared" si="17"/>
        <v>87</v>
      </c>
      <c r="BH35" s="13">
        <v>0</v>
      </c>
      <c r="BI35" s="13">
        <v>76</v>
      </c>
      <c r="BJ35" s="13">
        <v>19</v>
      </c>
      <c r="BK35" s="30">
        <f t="shared" si="2"/>
        <v>95</v>
      </c>
      <c r="BM35" s="321">
        <v>45770</v>
      </c>
      <c r="BN35" s="13">
        <v>83</v>
      </c>
      <c r="BO35" s="13">
        <v>0</v>
      </c>
      <c r="BP35" s="13">
        <v>18</v>
      </c>
      <c r="BQ35" s="13">
        <f t="shared" si="18"/>
        <v>101</v>
      </c>
      <c r="BR35" s="13">
        <v>90</v>
      </c>
      <c r="BS35" s="13">
        <v>36</v>
      </c>
      <c r="BT35" s="13">
        <v>6</v>
      </c>
      <c r="BU35" s="30">
        <f t="shared" si="3"/>
        <v>132</v>
      </c>
      <c r="BW35" s="321">
        <v>45800</v>
      </c>
      <c r="BX35" s="13">
        <v>87</v>
      </c>
      <c r="BY35" s="13">
        <v>0</v>
      </c>
      <c r="BZ35" s="13">
        <v>16</v>
      </c>
      <c r="CA35" s="13">
        <f t="shared" si="19"/>
        <v>103</v>
      </c>
      <c r="CB35" s="13">
        <v>82</v>
      </c>
      <c r="CC35" s="13">
        <v>45</v>
      </c>
      <c r="CD35" s="13">
        <v>8</v>
      </c>
      <c r="CE35" s="30">
        <f t="shared" si="4"/>
        <v>135</v>
      </c>
      <c r="CG35" s="332">
        <v>45831</v>
      </c>
      <c r="CH35" s="13">
        <v>89</v>
      </c>
      <c r="CI35" s="13">
        <v>0</v>
      </c>
      <c r="CJ35" s="13">
        <v>13</v>
      </c>
      <c r="CK35" s="13">
        <f t="shared" si="20"/>
        <v>102</v>
      </c>
      <c r="CL35" s="13">
        <v>64</v>
      </c>
      <c r="CM35" s="13">
        <v>35</v>
      </c>
      <c r="CN35" s="13">
        <v>24</v>
      </c>
      <c r="CO35" s="30">
        <f t="shared" si="5"/>
        <v>123</v>
      </c>
      <c r="CQ35" s="332">
        <v>45861</v>
      </c>
      <c r="CR35" s="13">
        <v>58</v>
      </c>
      <c r="CS35" s="13">
        <v>0</v>
      </c>
      <c r="CT35" s="13">
        <v>39</v>
      </c>
      <c r="CU35" s="13">
        <f t="shared" si="36"/>
        <v>97</v>
      </c>
      <c r="CV35" s="13">
        <v>67</v>
      </c>
      <c r="CW35" s="13">
        <v>9</v>
      </c>
      <c r="CX35" s="13">
        <v>40</v>
      </c>
      <c r="CY35" s="30">
        <f t="shared" si="6"/>
        <v>116</v>
      </c>
      <c r="DC35" s="332">
        <v>45892</v>
      </c>
      <c r="DD35" s="13">
        <v>91</v>
      </c>
      <c r="DE35" s="13">
        <v>0</v>
      </c>
      <c r="DF35" s="13">
        <v>17</v>
      </c>
      <c r="DG35" s="13">
        <f t="shared" si="37"/>
        <v>108</v>
      </c>
      <c r="DH35" s="13">
        <v>81</v>
      </c>
      <c r="DI35" s="13">
        <v>36</v>
      </c>
      <c r="DJ35" s="13">
        <v>18</v>
      </c>
      <c r="DK35" s="30">
        <f t="shared" si="7"/>
        <v>135</v>
      </c>
      <c r="DM35" s="321">
        <v>45923</v>
      </c>
      <c r="DN35" s="89">
        <v>97</v>
      </c>
      <c r="DO35" s="89">
        <v>0</v>
      </c>
      <c r="DP35" s="89">
        <v>0</v>
      </c>
      <c r="DQ35" s="89">
        <f t="shared" si="38"/>
        <v>97</v>
      </c>
      <c r="DR35" s="89">
        <v>67</v>
      </c>
      <c r="DS35" s="89">
        <v>41</v>
      </c>
      <c r="DT35" s="89">
        <v>6</v>
      </c>
      <c r="DU35" s="30">
        <f t="shared" si="8"/>
        <v>114</v>
      </c>
      <c r="DX35" s="321">
        <v>45953</v>
      </c>
      <c r="DY35" s="89">
        <v>85</v>
      </c>
      <c r="DZ35" s="69">
        <v>0</v>
      </c>
      <c r="EA35" s="69">
        <v>8</v>
      </c>
      <c r="EB35" s="89">
        <f t="shared" si="39"/>
        <v>93</v>
      </c>
      <c r="EC35" s="89">
        <v>88</v>
      </c>
      <c r="ED35" s="69">
        <v>33</v>
      </c>
      <c r="EE35" s="69">
        <v>14</v>
      </c>
      <c r="EF35" s="30">
        <f t="shared" si="9"/>
        <v>135</v>
      </c>
      <c r="EH35" s="321">
        <v>45984</v>
      </c>
      <c r="EI35" s="89">
        <v>0</v>
      </c>
      <c r="EJ35" s="89">
        <v>0</v>
      </c>
      <c r="EK35" s="89">
        <v>0</v>
      </c>
      <c r="EL35" s="89">
        <f t="shared" si="25"/>
        <v>0</v>
      </c>
      <c r="EM35" s="89">
        <v>0</v>
      </c>
      <c r="EN35" s="89">
        <v>0</v>
      </c>
      <c r="EO35" s="89">
        <v>0</v>
      </c>
      <c r="EP35" s="30">
        <f t="shared" si="10"/>
        <v>0</v>
      </c>
      <c r="EQ35" t="s">
        <v>3522</v>
      </c>
      <c r="ER35" s="321">
        <v>46014</v>
      </c>
      <c r="ES35" s="89">
        <v>48</v>
      </c>
      <c r="ET35" s="89">
        <v>0</v>
      </c>
      <c r="EU35" s="89">
        <v>16</v>
      </c>
      <c r="EV35" s="89">
        <f t="shared" si="26"/>
        <v>64</v>
      </c>
      <c r="EW35" s="89">
        <v>0</v>
      </c>
      <c r="EX35" s="89">
        <v>0</v>
      </c>
      <c r="EY35" s="89">
        <v>36</v>
      </c>
      <c r="EZ35" s="30">
        <f t="shared" si="11"/>
        <v>36</v>
      </c>
      <c r="FA35" t="s">
        <v>344</v>
      </c>
      <c r="FD35" s="321">
        <v>46045</v>
      </c>
      <c r="FE35" s="89">
        <v>99</v>
      </c>
      <c r="FF35" s="89">
        <v>0</v>
      </c>
      <c r="FG35" s="89">
        <v>0</v>
      </c>
      <c r="FH35" s="89">
        <f t="shared" si="27"/>
        <v>99</v>
      </c>
      <c r="FI35" s="89">
        <v>27</v>
      </c>
      <c r="FJ35" s="89">
        <v>46</v>
      </c>
      <c r="FK35" s="89">
        <v>38</v>
      </c>
      <c r="FL35" s="30">
        <f t="shared" si="12"/>
        <v>111</v>
      </c>
      <c r="FO35" s="321">
        <v>46076</v>
      </c>
      <c r="FP35" s="89">
        <v>90</v>
      </c>
      <c r="FQ35" s="89">
        <v>0</v>
      </c>
      <c r="FR35" s="89">
        <v>14</v>
      </c>
      <c r="FS35" s="89">
        <f t="shared" si="28"/>
        <v>104</v>
      </c>
      <c r="FT35" s="89">
        <v>90</v>
      </c>
      <c r="FU35" s="89">
        <v>30</v>
      </c>
      <c r="FV35" s="89">
        <v>32</v>
      </c>
      <c r="FW35" s="89">
        <f t="shared" si="13"/>
        <v>152</v>
      </c>
      <c r="FZ35" s="321">
        <v>46104</v>
      </c>
      <c r="GA35" s="89">
        <v>92</v>
      </c>
      <c r="GB35" s="89">
        <v>0</v>
      </c>
      <c r="GC35" s="89">
        <v>9</v>
      </c>
      <c r="GD35" s="89">
        <f t="shared" si="29"/>
        <v>101</v>
      </c>
      <c r="GE35" s="89">
        <v>26</v>
      </c>
      <c r="GF35" s="89">
        <v>119</v>
      </c>
      <c r="GG35" s="89">
        <v>6</v>
      </c>
      <c r="GH35" s="89">
        <f t="shared" si="14"/>
        <v>151</v>
      </c>
      <c r="GJ35" s="321">
        <v>46135</v>
      </c>
      <c r="GK35" s="89">
        <v>88</v>
      </c>
      <c r="GL35" s="89">
        <v>0</v>
      </c>
      <c r="GM35" s="89">
        <v>15</v>
      </c>
      <c r="GN35" s="89">
        <f t="shared" si="30"/>
        <v>103</v>
      </c>
      <c r="GO35" s="89">
        <v>129</v>
      </c>
      <c r="GP35" s="89">
        <v>0</v>
      </c>
      <c r="GQ35" s="89">
        <v>0</v>
      </c>
      <c r="GR35" s="89">
        <f t="shared" si="15"/>
        <v>129</v>
      </c>
      <c r="GT35" s="321">
        <v>46165</v>
      </c>
      <c r="GU35" s="89">
        <v>49</v>
      </c>
      <c r="GV35" s="89">
        <v>0</v>
      </c>
      <c r="GW35" s="89">
        <v>31</v>
      </c>
      <c r="GX35" s="89">
        <f t="shared" si="31"/>
        <v>80</v>
      </c>
      <c r="GY35" s="89">
        <v>87</v>
      </c>
      <c r="GZ35" s="89">
        <v>0</v>
      </c>
      <c r="HA35" s="89">
        <v>26</v>
      </c>
      <c r="HB35" s="89">
        <f t="shared" si="16"/>
        <v>113</v>
      </c>
    </row>
    <row r="36" spans="1:210">
      <c r="A36" s="321">
        <v>45406</v>
      </c>
      <c r="B36" s="41">
        <v>80</v>
      </c>
      <c r="C36" s="41">
        <v>79</v>
      </c>
      <c r="D36" s="41"/>
      <c r="E36" s="321">
        <v>45436</v>
      </c>
      <c r="F36" s="41">
        <v>119</v>
      </c>
      <c r="G36" s="320">
        <v>90</v>
      </c>
      <c r="H36" s="321">
        <v>45467</v>
      </c>
      <c r="I36" s="41">
        <v>59</v>
      </c>
      <c r="J36" s="41">
        <v>61</v>
      </c>
      <c r="K36" s="321">
        <v>45497</v>
      </c>
      <c r="L36" s="41">
        <v>105</v>
      </c>
      <c r="M36" s="41">
        <v>91</v>
      </c>
      <c r="N36" s="321">
        <v>45528</v>
      </c>
      <c r="O36" s="41">
        <v>113</v>
      </c>
      <c r="P36" s="41">
        <v>72</v>
      </c>
      <c r="R36" s="321">
        <v>45559</v>
      </c>
      <c r="S36" s="41">
        <v>117</v>
      </c>
      <c r="T36" s="41">
        <v>87</v>
      </c>
      <c r="V36" s="321">
        <v>45589</v>
      </c>
      <c r="W36" s="13">
        <v>31</v>
      </c>
      <c r="X36" s="13">
        <v>38</v>
      </c>
      <c r="AA36" s="321">
        <v>45620</v>
      </c>
      <c r="AB36" s="13">
        <v>60</v>
      </c>
      <c r="AC36" s="13" t="s">
        <v>3522</v>
      </c>
      <c r="AD36" s="321">
        <v>45650</v>
      </c>
      <c r="AE36" s="13">
        <v>94</v>
      </c>
      <c r="AF36" s="13">
        <v>73</v>
      </c>
      <c r="AH36" s="321">
        <v>45681</v>
      </c>
      <c r="AI36" s="321"/>
      <c r="AJ36" s="13">
        <v>124</v>
      </c>
      <c r="AK36" s="13">
        <v>83</v>
      </c>
      <c r="AL36" s="13">
        <v>124</v>
      </c>
      <c r="AM36" s="13"/>
      <c r="AN36" s="321">
        <v>45712</v>
      </c>
      <c r="AO36" s="13">
        <v>86</v>
      </c>
      <c r="AP36" s="13"/>
      <c r="AQ36" s="13">
        <v>12</v>
      </c>
      <c r="AR36" s="13">
        <f t="shared" si="40"/>
        <v>98</v>
      </c>
      <c r="AS36" s="30">
        <v>118</v>
      </c>
      <c r="AT36" s="30">
        <v>20</v>
      </c>
      <c r="AU36" s="30">
        <v>12</v>
      </c>
      <c r="AV36" s="30">
        <f t="shared" si="1"/>
        <v>150</v>
      </c>
      <c r="AX36" s="321"/>
      <c r="AY36" s="13"/>
      <c r="AZ36" s="13"/>
      <c r="BA36" s="13"/>
      <c r="BB36" s="13"/>
      <c r="BC36" s="321">
        <v>45740</v>
      </c>
      <c r="BD36" s="13">
        <v>85</v>
      </c>
      <c r="BE36" s="13"/>
      <c r="BF36" s="13">
        <v>5</v>
      </c>
      <c r="BG36" s="13">
        <f t="shared" si="17"/>
        <v>90</v>
      </c>
      <c r="BH36" s="13">
        <v>22</v>
      </c>
      <c r="BI36" s="13">
        <v>90</v>
      </c>
      <c r="BJ36" s="13">
        <v>15</v>
      </c>
      <c r="BK36" s="30">
        <f t="shared" si="2"/>
        <v>127</v>
      </c>
      <c r="BM36" s="321">
        <v>45771</v>
      </c>
      <c r="BN36" s="13">
        <v>98</v>
      </c>
      <c r="BO36" s="13">
        <v>0</v>
      </c>
      <c r="BP36" s="13">
        <v>0</v>
      </c>
      <c r="BQ36" s="13">
        <f t="shared" si="18"/>
        <v>98</v>
      </c>
      <c r="BR36" s="13">
        <v>91</v>
      </c>
      <c r="BS36" s="13">
        <v>45</v>
      </c>
      <c r="BT36" s="13">
        <v>2</v>
      </c>
      <c r="BU36" s="30">
        <f t="shared" si="3"/>
        <v>138</v>
      </c>
      <c r="BW36" s="321">
        <v>45801</v>
      </c>
      <c r="BX36" s="13">
        <v>95</v>
      </c>
      <c r="BY36" s="13">
        <v>0</v>
      </c>
      <c r="BZ36" s="13">
        <v>6</v>
      </c>
      <c r="CA36" s="13">
        <f t="shared" si="19"/>
        <v>101</v>
      </c>
      <c r="CB36" s="13">
        <v>87</v>
      </c>
      <c r="CC36" s="13">
        <v>41</v>
      </c>
      <c r="CD36" s="13">
        <v>6</v>
      </c>
      <c r="CE36" s="30">
        <f t="shared" si="4"/>
        <v>134</v>
      </c>
      <c r="CG36" s="332">
        <v>45832</v>
      </c>
      <c r="CH36" s="13">
        <v>92</v>
      </c>
      <c r="CI36" s="13">
        <v>0</v>
      </c>
      <c r="CJ36" s="13">
        <v>12</v>
      </c>
      <c r="CK36" s="13">
        <f t="shared" si="20"/>
        <v>104</v>
      </c>
      <c r="CL36" s="13">
        <v>56</v>
      </c>
      <c r="CM36" s="13">
        <v>39</v>
      </c>
      <c r="CN36" s="13">
        <v>10</v>
      </c>
      <c r="CO36" s="30">
        <f t="shared" si="5"/>
        <v>105</v>
      </c>
      <c r="CQ36" s="332">
        <v>45862</v>
      </c>
      <c r="CR36" s="13">
        <v>44</v>
      </c>
      <c r="CS36" s="13">
        <v>0</v>
      </c>
      <c r="CT36" s="13">
        <v>61</v>
      </c>
      <c r="CU36" s="13">
        <f t="shared" si="36"/>
        <v>105</v>
      </c>
      <c r="CV36" s="13">
        <v>0</v>
      </c>
      <c r="CW36" s="13">
        <v>84</v>
      </c>
      <c r="CX36" s="13">
        <v>33</v>
      </c>
      <c r="CY36" s="30">
        <f t="shared" si="6"/>
        <v>117</v>
      </c>
      <c r="DC36" s="329">
        <v>45893</v>
      </c>
      <c r="DD36" s="13">
        <v>79</v>
      </c>
      <c r="DE36" s="13">
        <v>0</v>
      </c>
      <c r="DF36" s="13">
        <v>32</v>
      </c>
      <c r="DG36" s="13">
        <f t="shared" si="37"/>
        <v>111</v>
      </c>
      <c r="DH36" s="13">
        <v>59</v>
      </c>
      <c r="DI36" s="13">
        <v>25</v>
      </c>
      <c r="DJ36" s="13">
        <v>66</v>
      </c>
      <c r="DK36" s="30">
        <f t="shared" si="7"/>
        <v>150</v>
      </c>
      <c r="DM36" s="321">
        <v>45924</v>
      </c>
      <c r="DN36" s="89">
        <v>83</v>
      </c>
      <c r="DO36" s="89">
        <v>0</v>
      </c>
      <c r="DP36" s="89">
        <v>9</v>
      </c>
      <c r="DQ36" s="89">
        <f t="shared" si="38"/>
        <v>92</v>
      </c>
      <c r="DR36" s="89">
        <v>79</v>
      </c>
      <c r="DS36" s="89">
        <v>43</v>
      </c>
      <c r="DT36" s="89">
        <v>8</v>
      </c>
      <c r="DU36" s="30">
        <f t="shared" si="8"/>
        <v>130</v>
      </c>
      <c r="DX36" s="321">
        <v>45954</v>
      </c>
      <c r="DY36" s="89">
        <v>94</v>
      </c>
      <c r="DZ36" s="69">
        <v>0</v>
      </c>
      <c r="EA36" s="69">
        <v>8</v>
      </c>
      <c r="EB36" s="89">
        <f t="shared" si="39"/>
        <v>102</v>
      </c>
      <c r="EC36" s="89">
        <v>85</v>
      </c>
      <c r="ED36" s="69">
        <v>39</v>
      </c>
      <c r="EE36" s="69">
        <v>6</v>
      </c>
      <c r="EF36" s="30">
        <f t="shared" si="9"/>
        <v>130</v>
      </c>
      <c r="EH36" s="321" t="s">
        <v>3890</v>
      </c>
      <c r="EI36" s="89">
        <v>0</v>
      </c>
      <c r="EJ36" s="89">
        <v>67</v>
      </c>
      <c r="EK36" s="89">
        <v>35</v>
      </c>
      <c r="EL36" s="89">
        <f t="shared" si="25"/>
        <v>102</v>
      </c>
      <c r="EM36" s="89">
        <v>0</v>
      </c>
      <c r="EN36" s="89">
        <v>10</v>
      </c>
      <c r="EO36" s="89">
        <v>26</v>
      </c>
      <c r="EP36" s="30">
        <f t="shared" si="10"/>
        <v>36</v>
      </c>
      <c r="ER36" s="321">
        <v>46015</v>
      </c>
      <c r="ES36" s="89">
        <v>77</v>
      </c>
      <c r="ET36" s="89">
        <v>0</v>
      </c>
      <c r="EU36" s="89">
        <v>0</v>
      </c>
      <c r="EV36" s="89">
        <f t="shared" si="26"/>
        <v>77</v>
      </c>
      <c r="EW36" s="89">
        <v>46</v>
      </c>
      <c r="EX36" s="89">
        <v>0</v>
      </c>
      <c r="EY36" s="89">
        <v>44</v>
      </c>
      <c r="EZ36" s="30">
        <f t="shared" si="11"/>
        <v>90</v>
      </c>
      <c r="FA36" t="s">
        <v>344</v>
      </c>
      <c r="FD36" s="321">
        <v>46046</v>
      </c>
      <c r="FE36" s="89">
        <v>34</v>
      </c>
      <c r="FF36" s="89">
        <v>61</v>
      </c>
      <c r="FG36" s="89">
        <v>6</v>
      </c>
      <c r="FH36" s="89">
        <f t="shared" si="27"/>
        <v>101</v>
      </c>
      <c r="FI36" s="89">
        <v>0</v>
      </c>
      <c r="FJ36" s="89">
        <v>79</v>
      </c>
      <c r="FK36" s="89">
        <v>37</v>
      </c>
      <c r="FL36" s="30">
        <f t="shared" si="12"/>
        <v>116</v>
      </c>
      <c r="FO36" s="321">
        <v>46077</v>
      </c>
      <c r="FP36" s="89">
        <v>77</v>
      </c>
      <c r="FQ36" s="89">
        <v>0</v>
      </c>
      <c r="FR36" s="89">
        <v>29</v>
      </c>
      <c r="FS36" s="89">
        <f t="shared" si="28"/>
        <v>106</v>
      </c>
      <c r="FT36" s="89">
        <v>88</v>
      </c>
      <c r="FU36" s="89">
        <v>35</v>
      </c>
      <c r="FV36" s="89">
        <v>14</v>
      </c>
      <c r="FW36" s="89">
        <f t="shared" si="13"/>
        <v>137</v>
      </c>
      <c r="FZ36" s="321">
        <v>46105</v>
      </c>
      <c r="GA36" s="89">
        <v>85</v>
      </c>
      <c r="GB36" s="89">
        <v>0</v>
      </c>
      <c r="GC36" s="89">
        <v>9</v>
      </c>
      <c r="GD36" s="89">
        <f t="shared" si="29"/>
        <v>94</v>
      </c>
      <c r="GE36" s="89">
        <v>89</v>
      </c>
      <c r="GF36" s="89">
        <v>39</v>
      </c>
      <c r="GG36" s="89">
        <v>38</v>
      </c>
      <c r="GH36" s="89">
        <f t="shared" si="14"/>
        <v>166</v>
      </c>
      <c r="GJ36" s="321">
        <v>46136</v>
      </c>
      <c r="GK36" s="89">
        <v>76</v>
      </c>
      <c r="GL36" s="89">
        <v>0</v>
      </c>
      <c r="GM36" s="89">
        <v>30</v>
      </c>
      <c r="GN36" s="89">
        <f t="shared" si="30"/>
        <v>106</v>
      </c>
      <c r="GO36" s="89">
        <v>135</v>
      </c>
      <c r="GP36" s="89">
        <v>0</v>
      </c>
      <c r="GQ36" s="89">
        <v>11</v>
      </c>
      <c r="GR36" s="89">
        <f t="shared" si="15"/>
        <v>146</v>
      </c>
      <c r="GT36" s="321">
        <v>46166</v>
      </c>
      <c r="GU36" s="89">
        <v>61</v>
      </c>
      <c r="GV36" s="89">
        <v>0</v>
      </c>
      <c r="GW36" s="89">
        <v>0</v>
      </c>
      <c r="GX36" s="89">
        <f t="shared" si="31"/>
        <v>61</v>
      </c>
      <c r="GY36" s="89">
        <v>83</v>
      </c>
      <c r="GZ36" s="89">
        <v>0</v>
      </c>
      <c r="HA36" s="89">
        <v>0</v>
      </c>
      <c r="HB36" s="89">
        <f t="shared" si="16"/>
        <v>83</v>
      </c>
    </row>
    <row r="37" spans="1:210">
      <c r="A37" s="321">
        <v>45407</v>
      </c>
      <c r="B37" s="41">
        <v>90</v>
      </c>
      <c r="C37" s="41">
        <v>70</v>
      </c>
      <c r="D37" s="41"/>
      <c r="E37" s="321">
        <v>45437</v>
      </c>
      <c r="F37" s="41">
        <v>109</v>
      </c>
      <c r="G37" s="320">
        <v>93</v>
      </c>
      <c r="H37" s="321">
        <v>45468</v>
      </c>
      <c r="I37" s="41">
        <v>55</v>
      </c>
      <c r="J37" s="41">
        <v>67</v>
      </c>
      <c r="K37" s="321">
        <v>45498</v>
      </c>
      <c r="L37" s="41">
        <v>117</v>
      </c>
      <c r="M37" s="41">
        <v>84</v>
      </c>
      <c r="N37" s="321">
        <v>45529</v>
      </c>
      <c r="O37" s="41">
        <v>90</v>
      </c>
      <c r="P37" s="41">
        <v>84</v>
      </c>
      <c r="R37" s="321">
        <v>45560</v>
      </c>
      <c r="S37" s="41">
        <v>128</v>
      </c>
      <c r="T37" s="41">
        <v>89</v>
      </c>
      <c r="V37" s="321">
        <v>45590</v>
      </c>
      <c r="W37" s="13">
        <v>0</v>
      </c>
      <c r="X37" s="13">
        <v>0</v>
      </c>
      <c r="AA37" s="321">
        <v>45621</v>
      </c>
      <c r="AB37" s="13">
        <v>85</v>
      </c>
      <c r="AC37" s="13">
        <v>82</v>
      </c>
      <c r="AD37" s="321">
        <v>45651</v>
      </c>
      <c r="AE37" s="13">
        <v>70</v>
      </c>
      <c r="AF37" s="13">
        <v>71</v>
      </c>
      <c r="AH37" s="2469" t="s">
        <v>3542</v>
      </c>
      <c r="AI37" s="321"/>
      <c r="AJ37" s="13">
        <v>116</v>
      </c>
      <c r="AK37" s="13">
        <v>91</v>
      </c>
      <c r="AL37" s="13">
        <v>116</v>
      </c>
      <c r="AM37" s="13"/>
      <c r="AN37" s="2469" t="s">
        <v>3543</v>
      </c>
      <c r="AO37" s="13">
        <v>89</v>
      </c>
      <c r="AP37" s="13"/>
      <c r="AQ37" s="13">
        <v>8</v>
      </c>
      <c r="AR37" s="13">
        <f t="shared" si="40"/>
        <v>97</v>
      </c>
      <c r="AS37" s="30">
        <v>98</v>
      </c>
      <c r="AT37" s="30">
        <v>49</v>
      </c>
      <c r="AU37" s="30">
        <v>0</v>
      </c>
      <c r="AV37" s="30">
        <f t="shared" si="1"/>
        <v>147</v>
      </c>
      <c r="AX37" s="321"/>
      <c r="AY37" s="13"/>
      <c r="AZ37" s="13"/>
      <c r="BA37" s="13"/>
      <c r="BB37" s="13"/>
      <c r="BC37" s="2469" t="s">
        <v>3544</v>
      </c>
      <c r="BD37" s="13">
        <v>84</v>
      </c>
      <c r="BE37" s="13">
        <v>0</v>
      </c>
      <c r="BF37" s="13">
        <v>23</v>
      </c>
      <c r="BG37" s="13">
        <f t="shared" si="17"/>
        <v>107</v>
      </c>
      <c r="BH37" s="13">
        <v>94</v>
      </c>
      <c r="BI37" s="13">
        <v>44</v>
      </c>
      <c r="BJ37" s="13">
        <v>0</v>
      </c>
      <c r="BK37" s="30">
        <f t="shared" si="2"/>
        <v>138</v>
      </c>
      <c r="BM37" s="2469" t="s">
        <v>3545</v>
      </c>
      <c r="BN37" s="13">
        <v>98</v>
      </c>
      <c r="BO37" s="13">
        <v>0</v>
      </c>
      <c r="BP37" s="13">
        <v>0</v>
      </c>
      <c r="BQ37" s="13">
        <f t="shared" si="18"/>
        <v>98</v>
      </c>
      <c r="BR37" s="13">
        <v>124</v>
      </c>
      <c r="BS37" s="13">
        <v>35</v>
      </c>
      <c r="BT37" s="13">
        <v>0</v>
      </c>
      <c r="BU37" s="30">
        <f t="shared" si="3"/>
        <v>159</v>
      </c>
      <c r="BW37" s="329" t="s">
        <v>3546</v>
      </c>
      <c r="BX37" s="13">
        <v>87</v>
      </c>
      <c r="BY37" s="13">
        <v>0</v>
      </c>
      <c r="BZ37" s="13">
        <v>0</v>
      </c>
      <c r="CA37" s="13">
        <f t="shared" si="19"/>
        <v>87</v>
      </c>
      <c r="CB37" s="13">
        <v>36</v>
      </c>
      <c r="CC37" s="13">
        <v>73</v>
      </c>
      <c r="CD37" s="13">
        <v>14</v>
      </c>
      <c r="CE37" s="30">
        <f t="shared" si="4"/>
        <v>123</v>
      </c>
      <c r="CG37" s="332" t="s">
        <v>3547</v>
      </c>
      <c r="CH37" s="13">
        <v>84</v>
      </c>
      <c r="CI37" s="13">
        <v>0</v>
      </c>
      <c r="CJ37" s="13">
        <v>12</v>
      </c>
      <c r="CK37" s="13">
        <f t="shared" si="20"/>
        <v>96</v>
      </c>
      <c r="CL37" s="13">
        <v>60</v>
      </c>
      <c r="CM37" s="13">
        <v>72</v>
      </c>
      <c r="CN37" s="13">
        <v>2</v>
      </c>
      <c r="CO37" s="30">
        <f t="shared" si="5"/>
        <v>134</v>
      </c>
      <c r="CQ37" s="332">
        <v>45863</v>
      </c>
      <c r="CR37" s="13">
        <v>58</v>
      </c>
      <c r="CS37" s="13">
        <v>0</v>
      </c>
      <c r="CT37" s="13">
        <v>39</v>
      </c>
      <c r="CU37" s="13">
        <f t="shared" si="36"/>
        <v>97</v>
      </c>
      <c r="CV37" s="13">
        <v>49</v>
      </c>
      <c r="CW37" s="13">
        <v>33</v>
      </c>
      <c r="CX37" s="13">
        <v>38</v>
      </c>
      <c r="CY37" s="30">
        <f t="shared" si="6"/>
        <v>120</v>
      </c>
      <c r="DC37" s="332">
        <v>45894</v>
      </c>
      <c r="DD37" s="13">
        <v>87</v>
      </c>
      <c r="DE37" s="13">
        <v>0</v>
      </c>
      <c r="DF37" s="13">
        <v>19</v>
      </c>
      <c r="DG37" s="13">
        <f t="shared" si="37"/>
        <v>106</v>
      </c>
      <c r="DH37" s="13">
        <v>71</v>
      </c>
      <c r="DI37" s="13">
        <v>17</v>
      </c>
      <c r="DJ37" s="13">
        <v>52</v>
      </c>
      <c r="DK37" s="30">
        <f t="shared" si="7"/>
        <v>140</v>
      </c>
      <c r="DM37" s="321">
        <v>45925</v>
      </c>
      <c r="DN37" s="89">
        <v>88</v>
      </c>
      <c r="DO37" s="89">
        <v>0</v>
      </c>
      <c r="DP37" s="89">
        <v>6</v>
      </c>
      <c r="DQ37" s="89">
        <f t="shared" si="38"/>
        <v>94</v>
      </c>
      <c r="DR37" s="89">
        <v>86</v>
      </c>
      <c r="DS37" s="89">
        <v>41</v>
      </c>
      <c r="DT37" s="89">
        <v>17</v>
      </c>
      <c r="DU37" s="30">
        <f t="shared" si="8"/>
        <v>144</v>
      </c>
      <c r="DX37" s="321">
        <v>45955</v>
      </c>
      <c r="DY37" s="89">
        <v>94</v>
      </c>
      <c r="DZ37" s="69">
        <v>0</v>
      </c>
      <c r="EA37" s="69">
        <v>10</v>
      </c>
      <c r="EB37" s="89">
        <f t="shared" si="39"/>
        <v>104</v>
      </c>
      <c r="EC37" s="89">
        <v>85</v>
      </c>
      <c r="ED37" s="69">
        <v>23</v>
      </c>
      <c r="EE37" s="69">
        <v>17</v>
      </c>
      <c r="EF37" s="30">
        <f t="shared" si="9"/>
        <v>125</v>
      </c>
      <c r="EH37" s="321">
        <v>45986</v>
      </c>
      <c r="EI37" s="89">
        <v>0</v>
      </c>
      <c r="EJ37" s="89">
        <v>64</v>
      </c>
      <c r="EK37" s="89">
        <v>36</v>
      </c>
      <c r="EL37" s="89">
        <f t="shared" si="25"/>
        <v>100</v>
      </c>
      <c r="EM37" s="89">
        <v>0</v>
      </c>
      <c r="EN37" s="89">
        <v>0</v>
      </c>
      <c r="EO37" s="89">
        <v>36</v>
      </c>
      <c r="EP37" s="30">
        <f t="shared" si="10"/>
        <v>36</v>
      </c>
      <c r="ER37" s="321" t="s">
        <v>3947</v>
      </c>
      <c r="ES37" s="89">
        <v>58</v>
      </c>
      <c r="ET37" s="89">
        <v>18</v>
      </c>
      <c r="EU37" s="89">
        <v>19</v>
      </c>
      <c r="EV37" s="89">
        <f t="shared" si="26"/>
        <v>95</v>
      </c>
      <c r="EW37" s="89">
        <v>29</v>
      </c>
      <c r="EX37" s="89">
        <v>32</v>
      </c>
      <c r="EY37" s="89">
        <v>38</v>
      </c>
      <c r="EZ37" s="30">
        <f t="shared" si="11"/>
        <v>99</v>
      </c>
      <c r="FA37" t="s">
        <v>344</v>
      </c>
      <c r="FD37" s="321">
        <v>46047</v>
      </c>
      <c r="FE37" s="89">
        <v>0</v>
      </c>
      <c r="FF37" s="89">
        <v>0</v>
      </c>
      <c r="FG37" s="89">
        <v>0</v>
      </c>
      <c r="FH37" s="89">
        <f t="shared" si="27"/>
        <v>0</v>
      </c>
      <c r="FI37" s="89">
        <v>0</v>
      </c>
      <c r="FJ37" s="89">
        <v>0</v>
      </c>
      <c r="FK37" s="89">
        <v>0</v>
      </c>
      <c r="FL37" s="30">
        <f t="shared" si="12"/>
        <v>0</v>
      </c>
      <c r="FM37" t="s">
        <v>3522</v>
      </c>
      <c r="FO37" s="321">
        <v>46078</v>
      </c>
      <c r="FP37" s="89">
        <v>87</v>
      </c>
      <c r="FQ37" s="89">
        <v>0</v>
      </c>
      <c r="FR37" s="89">
        <v>12</v>
      </c>
      <c r="FS37" s="89">
        <f t="shared" si="28"/>
        <v>99</v>
      </c>
      <c r="FT37" s="89">
        <v>89</v>
      </c>
      <c r="FU37" s="89">
        <v>39</v>
      </c>
      <c r="FV37" s="89">
        <v>10</v>
      </c>
      <c r="FW37" s="89">
        <f t="shared" si="13"/>
        <v>138</v>
      </c>
      <c r="FZ37" s="321">
        <v>46106</v>
      </c>
      <c r="GA37" s="89">
        <v>88</v>
      </c>
      <c r="GB37" s="89">
        <v>0</v>
      </c>
      <c r="GC37" s="89">
        <v>9</v>
      </c>
      <c r="GD37" s="89">
        <f t="shared" si="29"/>
        <v>97</v>
      </c>
      <c r="GE37" s="89">
        <v>86</v>
      </c>
      <c r="GF37" s="89">
        <v>32</v>
      </c>
      <c r="GG37" s="89">
        <v>53</v>
      </c>
      <c r="GH37" s="89">
        <f t="shared" si="14"/>
        <v>171</v>
      </c>
      <c r="GJ37" s="321">
        <v>46137</v>
      </c>
      <c r="GK37" s="89">
        <v>92</v>
      </c>
      <c r="GL37" s="89">
        <v>0</v>
      </c>
      <c r="GM37" s="89">
        <v>10</v>
      </c>
      <c r="GN37" s="89">
        <f t="shared" si="30"/>
        <v>102</v>
      </c>
      <c r="GO37" s="89">
        <v>140</v>
      </c>
      <c r="GP37" s="89">
        <v>0</v>
      </c>
      <c r="GQ37" s="89">
        <v>2</v>
      </c>
      <c r="GR37" s="89">
        <f t="shared" si="15"/>
        <v>142</v>
      </c>
      <c r="GT37" s="321">
        <v>46167</v>
      </c>
      <c r="GU37" s="89">
        <v>69</v>
      </c>
      <c r="GV37" s="89">
        <v>0</v>
      </c>
      <c r="GW37" s="89">
        <v>18</v>
      </c>
      <c r="GX37" s="89">
        <f t="shared" si="31"/>
        <v>87</v>
      </c>
      <c r="GY37" s="89">
        <v>92</v>
      </c>
      <c r="GZ37" s="89">
        <v>0</v>
      </c>
      <c r="HA37" s="89">
        <v>30</v>
      </c>
      <c r="HB37" s="89">
        <f t="shared" si="16"/>
        <v>122</v>
      </c>
    </row>
    <row r="38" spans="1:210">
      <c r="A38" s="321">
        <v>45408</v>
      </c>
      <c r="B38" s="41">
        <v>72</v>
      </c>
      <c r="C38" s="41">
        <v>66</v>
      </c>
      <c r="D38" s="41"/>
      <c r="E38" s="321">
        <v>45438</v>
      </c>
      <c r="F38" s="41">
        <v>89</v>
      </c>
      <c r="G38" s="320">
        <v>0</v>
      </c>
      <c r="H38" s="321">
        <v>45469</v>
      </c>
      <c r="I38" s="41">
        <v>84</v>
      </c>
      <c r="J38" s="41">
        <v>88</v>
      </c>
      <c r="K38" s="321">
        <v>45499</v>
      </c>
      <c r="L38" s="41">
        <v>115</v>
      </c>
      <c r="M38" s="41">
        <v>81</v>
      </c>
      <c r="N38" s="321">
        <v>45530</v>
      </c>
      <c r="O38" s="41">
        <v>119</v>
      </c>
      <c r="P38" s="41">
        <v>81</v>
      </c>
      <c r="R38" s="321">
        <v>45561</v>
      </c>
      <c r="S38" s="41">
        <v>133</v>
      </c>
      <c r="T38" s="41">
        <v>88</v>
      </c>
      <c r="V38" s="321">
        <v>45591</v>
      </c>
      <c r="W38" s="13"/>
      <c r="X38" s="13"/>
      <c r="AA38" s="321">
        <v>45622</v>
      </c>
      <c r="AB38" s="13">
        <v>84</v>
      </c>
      <c r="AC38" s="13">
        <v>90</v>
      </c>
      <c r="AD38" s="321">
        <v>45652</v>
      </c>
      <c r="AE38" s="13">
        <v>85</v>
      </c>
      <c r="AF38" s="13">
        <v>83</v>
      </c>
      <c r="AH38" s="321">
        <v>45683</v>
      </c>
      <c r="AI38" s="321"/>
      <c r="AJ38" s="13">
        <v>89</v>
      </c>
      <c r="AK38" s="13">
        <v>93</v>
      </c>
      <c r="AL38" s="13">
        <v>89</v>
      </c>
      <c r="AM38" s="13"/>
      <c r="AN38" s="321">
        <v>45714</v>
      </c>
      <c r="AO38" s="13">
        <v>94</v>
      </c>
      <c r="AP38" s="13"/>
      <c r="AQ38" s="13">
        <v>11</v>
      </c>
      <c r="AR38" s="13">
        <f t="shared" si="40"/>
        <v>105</v>
      </c>
      <c r="AS38" s="30">
        <v>90</v>
      </c>
      <c r="AT38" s="30">
        <v>56</v>
      </c>
      <c r="AU38" s="30"/>
      <c r="AV38" s="30">
        <f t="shared" si="1"/>
        <v>146</v>
      </c>
      <c r="AX38" s="321"/>
      <c r="AY38" s="13"/>
      <c r="AZ38" s="13"/>
      <c r="BA38" s="13"/>
      <c r="BB38" s="13"/>
      <c r="BC38" s="321">
        <v>45742</v>
      </c>
      <c r="BD38" s="13">
        <v>84</v>
      </c>
      <c r="BE38" s="13">
        <v>19</v>
      </c>
      <c r="BF38" s="13">
        <v>0</v>
      </c>
      <c r="BG38" s="13">
        <f t="shared" si="17"/>
        <v>103</v>
      </c>
      <c r="BH38" s="13">
        <v>89</v>
      </c>
      <c r="BI38" s="13">
        <v>53</v>
      </c>
      <c r="BJ38" s="13">
        <v>6</v>
      </c>
      <c r="BK38" s="30">
        <f t="shared" si="2"/>
        <v>148</v>
      </c>
      <c r="BM38" s="321">
        <v>45773</v>
      </c>
      <c r="BN38" s="13">
        <v>87</v>
      </c>
      <c r="BO38" s="13">
        <v>0</v>
      </c>
      <c r="BP38" s="13">
        <v>4</v>
      </c>
      <c r="BQ38" s="13">
        <f t="shared" si="18"/>
        <v>91</v>
      </c>
      <c r="BR38" s="13">
        <v>98</v>
      </c>
      <c r="BS38" s="13">
        <v>45</v>
      </c>
      <c r="BT38" s="13">
        <v>12</v>
      </c>
      <c r="BU38" s="30">
        <f t="shared" si="3"/>
        <v>155</v>
      </c>
      <c r="BW38" s="321">
        <v>45803</v>
      </c>
      <c r="BX38" s="13">
        <v>91</v>
      </c>
      <c r="BY38" s="13">
        <v>0</v>
      </c>
      <c r="BZ38" s="13">
        <v>10</v>
      </c>
      <c r="CA38" s="13">
        <f t="shared" si="19"/>
        <v>101</v>
      </c>
      <c r="CB38" s="13">
        <v>45</v>
      </c>
      <c r="CC38" s="13">
        <v>82</v>
      </c>
      <c r="CD38" s="13">
        <v>6</v>
      </c>
      <c r="CE38" s="30">
        <f t="shared" si="4"/>
        <v>133</v>
      </c>
      <c r="CG38" s="332">
        <v>45834</v>
      </c>
      <c r="CH38" s="13">
        <v>60</v>
      </c>
      <c r="CI38" s="13">
        <v>0</v>
      </c>
      <c r="CJ38" s="13">
        <v>43</v>
      </c>
      <c r="CK38" s="13">
        <f t="shared" si="20"/>
        <v>103</v>
      </c>
      <c r="CL38" s="13">
        <v>80</v>
      </c>
      <c r="CM38" s="13">
        <v>58</v>
      </c>
      <c r="CN38" s="13">
        <v>4</v>
      </c>
      <c r="CO38" s="30">
        <f t="shared" si="5"/>
        <v>142</v>
      </c>
      <c r="CQ38" s="332">
        <v>45864</v>
      </c>
      <c r="CR38" s="13">
        <v>42</v>
      </c>
      <c r="CS38" s="13">
        <v>28</v>
      </c>
      <c r="CT38" s="13">
        <v>0</v>
      </c>
      <c r="CU38" s="13">
        <f t="shared" si="36"/>
        <v>70</v>
      </c>
      <c r="CV38" s="13">
        <v>71</v>
      </c>
      <c r="CW38" s="13">
        <v>18</v>
      </c>
      <c r="CX38" s="13">
        <v>46</v>
      </c>
      <c r="CY38" s="30">
        <f t="shared" si="6"/>
        <v>135</v>
      </c>
      <c r="CZ38" t="s">
        <v>3528</v>
      </c>
      <c r="DC38" s="332">
        <v>45895</v>
      </c>
      <c r="DD38" s="13">
        <v>93</v>
      </c>
      <c r="DE38" s="13">
        <v>0</v>
      </c>
      <c r="DF38" s="13">
        <v>4</v>
      </c>
      <c r="DG38" s="13">
        <f t="shared" si="37"/>
        <v>97</v>
      </c>
      <c r="DH38" s="13">
        <v>100</v>
      </c>
      <c r="DI38" s="13">
        <v>2</v>
      </c>
      <c r="DJ38" s="13">
        <v>26</v>
      </c>
      <c r="DK38" s="30">
        <f t="shared" si="7"/>
        <v>128</v>
      </c>
      <c r="DM38" s="321">
        <v>45926</v>
      </c>
      <c r="DN38" s="89">
        <v>21</v>
      </c>
      <c r="DO38" s="89">
        <v>52</v>
      </c>
      <c r="DP38" s="89">
        <v>48</v>
      </c>
      <c r="DQ38" s="89">
        <f t="shared" si="38"/>
        <v>121</v>
      </c>
      <c r="DR38" s="89">
        <v>37</v>
      </c>
      <c r="DS38" s="89">
        <v>74</v>
      </c>
      <c r="DT38" s="89">
        <v>58</v>
      </c>
      <c r="DU38" s="30">
        <f t="shared" si="8"/>
        <v>169</v>
      </c>
      <c r="DX38" s="321">
        <v>45956</v>
      </c>
      <c r="DY38" s="89">
        <v>100</v>
      </c>
      <c r="DZ38" s="69">
        <v>0</v>
      </c>
      <c r="EA38" s="69">
        <v>0</v>
      </c>
      <c r="EB38" s="89">
        <f t="shared" si="39"/>
        <v>100</v>
      </c>
      <c r="EC38" s="89">
        <v>85</v>
      </c>
      <c r="ED38" s="69">
        <v>25</v>
      </c>
      <c r="EE38" s="69">
        <v>12</v>
      </c>
      <c r="EF38" s="30">
        <f t="shared" si="9"/>
        <v>122</v>
      </c>
      <c r="EH38" s="321">
        <v>45987</v>
      </c>
      <c r="EI38" s="89">
        <v>0</v>
      </c>
      <c r="EJ38" s="89">
        <v>61</v>
      </c>
      <c r="EK38" s="89">
        <v>35</v>
      </c>
      <c r="EL38" s="89">
        <f t="shared" si="25"/>
        <v>96</v>
      </c>
      <c r="EM38" s="89">
        <v>0</v>
      </c>
      <c r="EN38" s="89">
        <v>0</v>
      </c>
      <c r="EO38" s="89">
        <v>67</v>
      </c>
      <c r="EP38" s="30">
        <f t="shared" si="10"/>
        <v>67</v>
      </c>
      <c r="ER38" s="321">
        <v>46017</v>
      </c>
      <c r="ES38" s="89">
        <v>38</v>
      </c>
      <c r="ET38" s="89">
        <v>24</v>
      </c>
      <c r="EU38" s="89">
        <v>32</v>
      </c>
      <c r="EV38" s="89">
        <f t="shared" si="26"/>
        <v>94</v>
      </c>
      <c r="EW38" s="89">
        <v>70</v>
      </c>
      <c r="EX38" s="89">
        <v>0</v>
      </c>
      <c r="EY38" s="89">
        <v>36</v>
      </c>
      <c r="EZ38" s="30">
        <f t="shared" si="11"/>
        <v>106</v>
      </c>
      <c r="FA38" t="s">
        <v>344</v>
      </c>
      <c r="FD38" s="321">
        <v>46048</v>
      </c>
      <c r="FE38" s="89">
        <v>32</v>
      </c>
      <c r="FF38" s="89">
        <v>47</v>
      </c>
      <c r="FG38" s="89">
        <v>27</v>
      </c>
      <c r="FH38" s="89">
        <f t="shared" si="27"/>
        <v>106</v>
      </c>
      <c r="FI38" s="89">
        <v>0</v>
      </c>
      <c r="FJ38" s="89">
        <v>81</v>
      </c>
      <c r="FK38" s="89">
        <v>40</v>
      </c>
      <c r="FL38" s="30">
        <f t="shared" si="12"/>
        <v>121</v>
      </c>
      <c r="FO38" s="321">
        <v>46079</v>
      </c>
      <c r="FP38" s="89">
        <v>95</v>
      </c>
      <c r="FQ38" s="89">
        <v>0</v>
      </c>
      <c r="FR38" s="89">
        <v>8</v>
      </c>
      <c r="FS38" s="89">
        <f t="shared" si="28"/>
        <v>103</v>
      </c>
      <c r="FT38" s="89">
        <v>89</v>
      </c>
      <c r="FU38" s="89">
        <v>45</v>
      </c>
      <c r="FV38" s="89">
        <v>37</v>
      </c>
      <c r="FW38" s="89">
        <f t="shared" si="13"/>
        <v>171</v>
      </c>
      <c r="FZ38" s="321">
        <v>46107</v>
      </c>
      <c r="GA38" s="89">
        <v>98</v>
      </c>
      <c r="GB38" s="89">
        <v>0</v>
      </c>
      <c r="GC38" s="89">
        <v>6</v>
      </c>
      <c r="GD38" s="89">
        <f t="shared" si="29"/>
        <v>104</v>
      </c>
      <c r="GE38" s="89">
        <v>89</v>
      </c>
      <c r="GF38" s="89">
        <v>38</v>
      </c>
      <c r="GG38" s="89">
        <v>42</v>
      </c>
      <c r="GH38" s="89">
        <f t="shared" si="14"/>
        <v>169</v>
      </c>
      <c r="GJ38" s="321">
        <v>46138</v>
      </c>
      <c r="GK38" s="89">
        <v>95</v>
      </c>
      <c r="GL38" s="89">
        <v>0</v>
      </c>
      <c r="GM38" s="89">
        <v>0</v>
      </c>
      <c r="GN38" s="89">
        <f t="shared" si="30"/>
        <v>95</v>
      </c>
      <c r="GO38" s="89">
        <v>103</v>
      </c>
      <c r="GP38" s="89">
        <v>0</v>
      </c>
      <c r="GQ38" s="89">
        <v>23</v>
      </c>
      <c r="GR38" s="89">
        <f t="shared" si="15"/>
        <v>126</v>
      </c>
      <c r="GT38" s="321">
        <v>46168</v>
      </c>
      <c r="GU38" s="89">
        <v>84</v>
      </c>
      <c r="GV38" s="89">
        <v>0</v>
      </c>
      <c r="GW38" s="89">
        <v>20</v>
      </c>
      <c r="GX38" s="89">
        <f t="shared" si="31"/>
        <v>104</v>
      </c>
      <c r="GY38" s="89">
        <v>68</v>
      </c>
      <c r="GZ38" s="89">
        <v>0</v>
      </c>
      <c r="HA38" s="89">
        <v>16</v>
      </c>
      <c r="HB38" s="89">
        <f t="shared" si="16"/>
        <v>84</v>
      </c>
    </row>
    <row r="39" spans="1:210">
      <c r="A39" s="321">
        <v>45409</v>
      </c>
      <c r="B39" s="41">
        <v>64</v>
      </c>
      <c r="C39" s="41">
        <v>86</v>
      </c>
      <c r="D39" s="41"/>
      <c r="E39" s="321">
        <v>45439</v>
      </c>
      <c r="F39" s="41">
        <v>109</v>
      </c>
      <c r="G39" s="320">
        <v>71</v>
      </c>
      <c r="H39" s="321">
        <v>45470</v>
      </c>
      <c r="I39" s="41">
        <v>103</v>
      </c>
      <c r="J39" s="41">
        <v>65</v>
      </c>
      <c r="K39" s="321">
        <v>45500</v>
      </c>
      <c r="L39" s="41">
        <v>99</v>
      </c>
      <c r="M39" s="41">
        <v>91</v>
      </c>
      <c r="N39" s="321">
        <v>45531</v>
      </c>
      <c r="O39" s="41">
        <v>125</v>
      </c>
      <c r="P39" s="41">
        <v>84</v>
      </c>
      <c r="R39" s="321">
        <v>45562</v>
      </c>
      <c r="S39" s="41">
        <v>138</v>
      </c>
      <c r="T39" s="41">
        <v>90</v>
      </c>
      <c r="V39" s="321">
        <v>45592</v>
      </c>
      <c r="W39" s="13"/>
      <c r="X39" s="13"/>
      <c r="AA39" s="321">
        <v>45623</v>
      </c>
      <c r="AB39" s="13">
        <v>88</v>
      </c>
      <c r="AC39" s="13">
        <v>88</v>
      </c>
      <c r="AD39" s="321">
        <v>45653</v>
      </c>
      <c r="AE39" s="13">
        <v>64</v>
      </c>
      <c r="AF39" s="13">
        <v>49</v>
      </c>
      <c r="AH39" s="321">
        <v>45684</v>
      </c>
      <c r="AI39" s="321"/>
      <c r="AJ39" s="13">
        <v>111</v>
      </c>
      <c r="AK39" s="13">
        <v>72</v>
      </c>
      <c r="AL39" s="13">
        <v>111</v>
      </c>
      <c r="AM39" s="13"/>
      <c r="AN39" s="321">
        <v>45715</v>
      </c>
      <c r="AO39" s="13">
        <v>60</v>
      </c>
      <c r="AP39" s="13"/>
      <c r="AQ39" s="13">
        <v>37</v>
      </c>
      <c r="AR39" s="13">
        <f t="shared" si="40"/>
        <v>97</v>
      </c>
      <c r="AS39" s="30">
        <v>97</v>
      </c>
      <c r="AT39" s="30">
        <v>46</v>
      </c>
      <c r="AU39" s="30">
        <v>5</v>
      </c>
      <c r="AV39" s="30">
        <f t="shared" si="1"/>
        <v>148</v>
      </c>
      <c r="AX39" s="321"/>
      <c r="AY39" s="13"/>
      <c r="AZ39" s="13"/>
      <c r="BA39" s="13"/>
      <c r="BB39" s="13"/>
      <c r="BC39" s="321">
        <v>45743</v>
      </c>
      <c r="BD39" s="13">
        <v>74</v>
      </c>
      <c r="BE39" s="13"/>
      <c r="BF39" s="13">
        <v>22</v>
      </c>
      <c r="BG39" s="13">
        <f t="shared" si="17"/>
        <v>96</v>
      </c>
      <c r="BH39" s="13">
        <v>102</v>
      </c>
      <c r="BI39" s="13">
        <v>33</v>
      </c>
      <c r="BJ39" s="13">
        <v>9</v>
      </c>
      <c r="BK39" s="30">
        <f t="shared" si="2"/>
        <v>144</v>
      </c>
      <c r="BM39" s="321">
        <v>45774</v>
      </c>
      <c r="BN39" s="13">
        <v>86</v>
      </c>
      <c r="BO39" s="13">
        <v>0</v>
      </c>
      <c r="BP39" s="13">
        <v>3</v>
      </c>
      <c r="BQ39" s="13">
        <f t="shared" si="18"/>
        <v>89</v>
      </c>
      <c r="BR39" s="13">
        <v>86</v>
      </c>
      <c r="BS39" s="13">
        <v>57</v>
      </c>
      <c r="BT39" s="13">
        <v>0</v>
      </c>
      <c r="BU39" s="30">
        <f t="shared" si="3"/>
        <v>143</v>
      </c>
      <c r="BW39" s="321">
        <v>45804</v>
      </c>
      <c r="BX39" s="13">
        <v>85</v>
      </c>
      <c r="BY39" s="13">
        <v>0</v>
      </c>
      <c r="BZ39" s="13">
        <v>4</v>
      </c>
      <c r="CA39" s="13">
        <f t="shared" si="19"/>
        <v>89</v>
      </c>
      <c r="CB39" s="13">
        <v>102</v>
      </c>
      <c r="CC39" s="13">
        <v>30</v>
      </c>
      <c r="CD39" s="13">
        <v>6</v>
      </c>
      <c r="CE39" s="30">
        <f t="shared" si="4"/>
        <v>138</v>
      </c>
      <c r="CG39" s="332">
        <v>45835</v>
      </c>
      <c r="CH39" s="13">
        <v>85</v>
      </c>
      <c r="CI39" s="13">
        <v>0</v>
      </c>
      <c r="CJ39" s="13">
        <v>24</v>
      </c>
      <c r="CK39" s="13">
        <f t="shared" si="20"/>
        <v>109</v>
      </c>
      <c r="CL39" s="13">
        <v>69</v>
      </c>
      <c r="CM39" s="13">
        <v>64</v>
      </c>
      <c r="CN39" s="13">
        <v>12</v>
      </c>
      <c r="CO39" s="30">
        <f t="shared" si="5"/>
        <v>145</v>
      </c>
      <c r="CQ39" s="332">
        <v>45865</v>
      </c>
      <c r="CR39" s="13">
        <v>0</v>
      </c>
      <c r="CS39" s="13">
        <v>0</v>
      </c>
      <c r="CT39" s="13">
        <v>0</v>
      </c>
      <c r="CU39" s="13">
        <f t="shared" si="36"/>
        <v>0</v>
      </c>
      <c r="CV39" s="13">
        <v>75</v>
      </c>
      <c r="CW39" s="13">
        <v>0</v>
      </c>
      <c r="CX39" s="13">
        <v>0</v>
      </c>
      <c r="CY39" s="30">
        <f t="shared" si="6"/>
        <v>75</v>
      </c>
      <c r="DC39" s="332">
        <v>45896</v>
      </c>
      <c r="DD39" s="13">
        <v>91</v>
      </c>
      <c r="DE39" s="13">
        <v>0</v>
      </c>
      <c r="DF39" s="13">
        <v>13</v>
      </c>
      <c r="DG39" s="13">
        <f t="shared" si="37"/>
        <v>104</v>
      </c>
      <c r="DH39" s="13">
        <v>116</v>
      </c>
      <c r="DI39" s="13">
        <v>0</v>
      </c>
      <c r="DJ39" s="13">
        <v>16</v>
      </c>
      <c r="DK39" s="30">
        <f t="shared" si="7"/>
        <v>132</v>
      </c>
      <c r="DM39" s="321">
        <v>45927</v>
      </c>
      <c r="DN39" s="89">
        <v>64</v>
      </c>
      <c r="DO39" s="89">
        <v>1</v>
      </c>
      <c r="DP39" s="89">
        <v>42</v>
      </c>
      <c r="DQ39" s="89">
        <f t="shared" si="38"/>
        <v>107</v>
      </c>
      <c r="DR39" s="89">
        <v>63</v>
      </c>
      <c r="DS39" s="89">
        <v>58</v>
      </c>
      <c r="DT39" s="89">
        <v>40</v>
      </c>
      <c r="DU39" s="30">
        <f t="shared" si="8"/>
        <v>161</v>
      </c>
      <c r="DX39" s="321">
        <v>45957</v>
      </c>
      <c r="DY39" s="89">
        <v>91</v>
      </c>
      <c r="DZ39" s="69">
        <v>0</v>
      </c>
      <c r="EA39" s="69">
        <v>15</v>
      </c>
      <c r="EB39" s="89">
        <f t="shared" si="39"/>
        <v>106</v>
      </c>
      <c r="EC39" s="89">
        <v>94</v>
      </c>
      <c r="ED39" s="69">
        <v>24</v>
      </c>
      <c r="EE39" s="69">
        <v>8</v>
      </c>
      <c r="EF39" s="30">
        <f t="shared" si="9"/>
        <v>126</v>
      </c>
      <c r="EH39" s="321">
        <v>45988</v>
      </c>
      <c r="EI39" s="89">
        <v>0</v>
      </c>
      <c r="EJ39" s="89">
        <v>47</v>
      </c>
      <c r="EK39" s="89">
        <v>40</v>
      </c>
      <c r="EL39" s="89">
        <f t="shared" si="25"/>
        <v>87</v>
      </c>
      <c r="EM39" s="89">
        <v>0</v>
      </c>
      <c r="EN39" s="89">
        <v>0</v>
      </c>
      <c r="EO39" s="89">
        <v>69</v>
      </c>
      <c r="EP39" s="30">
        <f t="shared" si="10"/>
        <v>69</v>
      </c>
      <c r="ER39" s="321" t="s">
        <v>3948</v>
      </c>
      <c r="ES39" s="89">
        <v>63</v>
      </c>
      <c r="ET39" s="89">
        <v>23</v>
      </c>
      <c r="EU39" s="89">
        <v>8</v>
      </c>
      <c r="EV39" s="89">
        <f t="shared" si="26"/>
        <v>94</v>
      </c>
      <c r="EW39" s="89">
        <v>10</v>
      </c>
      <c r="EX39" s="89">
        <v>0</v>
      </c>
      <c r="EY39" s="89">
        <v>34</v>
      </c>
      <c r="EZ39" s="30">
        <f t="shared" si="11"/>
        <v>44</v>
      </c>
      <c r="FA39" t="s">
        <v>344</v>
      </c>
      <c r="FD39" s="321">
        <v>46049</v>
      </c>
      <c r="FE39" s="89">
        <v>79</v>
      </c>
      <c r="FF39" s="89">
        <v>0</v>
      </c>
      <c r="FG39" s="89">
        <v>26</v>
      </c>
      <c r="FH39" s="89">
        <f t="shared" si="27"/>
        <v>105</v>
      </c>
      <c r="FI39" s="89">
        <v>0</v>
      </c>
      <c r="FJ39" s="89">
        <v>93</v>
      </c>
      <c r="FK39" s="89">
        <v>31</v>
      </c>
      <c r="FL39" s="30">
        <f t="shared" si="12"/>
        <v>124</v>
      </c>
      <c r="FO39" s="321">
        <v>46080</v>
      </c>
      <c r="FP39" s="89">
        <v>99</v>
      </c>
      <c r="FQ39" s="89">
        <v>0</v>
      </c>
      <c r="FR39" s="89">
        <v>4</v>
      </c>
      <c r="FS39" s="89">
        <f t="shared" si="28"/>
        <v>103</v>
      </c>
      <c r="FT39" s="89">
        <v>88</v>
      </c>
      <c r="FU39" s="89">
        <v>47</v>
      </c>
      <c r="FV39" s="89">
        <v>32</v>
      </c>
      <c r="FW39" s="89">
        <f t="shared" si="13"/>
        <v>167</v>
      </c>
      <c r="FZ39" s="321">
        <v>46108</v>
      </c>
      <c r="GA39" s="89">
        <v>0</v>
      </c>
      <c r="GB39" s="89">
        <v>0</v>
      </c>
      <c r="GC39" s="89">
        <v>0</v>
      </c>
      <c r="GD39" s="89">
        <f t="shared" si="29"/>
        <v>0</v>
      </c>
      <c r="GE39" s="89">
        <v>0</v>
      </c>
      <c r="GF39" s="89">
        <v>0</v>
      </c>
      <c r="GG39" s="89">
        <v>0</v>
      </c>
      <c r="GH39" s="89">
        <f t="shared" si="14"/>
        <v>0</v>
      </c>
      <c r="GJ39" s="321">
        <v>46139</v>
      </c>
      <c r="GK39" s="89">
        <v>91</v>
      </c>
      <c r="GL39" s="89">
        <v>0</v>
      </c>
      <c r="GM39" s="89">
        <v>5</v>
      </c>
      <c r="GN39" s="89">
        <f t="shared" si="30"/>
        <v>96</v>
      </c>
      <c r="GO39" s="89">
        <v>92</v>
      </c>
      <c r="GP39" s="89">
        <v>0</v>
      </c>
      <c r="GQ39" s="89">
        <v>40</v>
      </c>
      <c r="GR39" s="89">
        <f t="shared" si="15"/>
        <v>132</v>
      </c>
      <c r="GT39" s="321">
        <v>46169</v>
      </c>
      <c r="GU39" s="89">
        <v>99</v>
      </c>
      <c r="GV39" s="89">
        <v>0</v>
      </c>
      <c r="GW39" s="89">
        <v>9</v>
      </c>
      <c r="GX39" s="89">
        <f t="shared" si="31"/>
        <v>108</v>
      </c>
      <c r="GY39" s="89">
        <v>80</v>
      </c>
      <c r="GZ39" s="89">
        <v>0</v>
      </c>
      <c r="HA39" s="89">
        <v>18</v>
      </c>
      <c r="HB39" s="89">
        <f t="shared" si="16"/>
        <v>98</v>
      </c>
    </row>
    <row r="40" spans="1:210">
      <c r="A40" s="321">
        <v>45410</v>
      </c>
      <c r="B40" s="41">
        <v>61</v>
      </c>
      <c r="C40" s="41">
        <v>67</v>
      </c>
      <c r="D40" s="41"/>
      <c r="E40" s="321">
        <v>45440</v>
      </c>
      <c r="F40" s="41">
        <v>111</v>
      </c>
      <c r="G40" s="320">
        <v>84</v>
      </c>
      <c r="H40" s="321">
        <v>45471</v>
      </c>
      <c r="I40" s="41">
        <v>100</v>
      </c>
      <c r="J40" s="41">
        <v>86</v>
      </c>
      <c r="K40" s="321">
        <v>45501</v>
      </c>
      <c r="L40" s="41">
        <v>0</v>
      </c>
      <c r="M40" s="41">
        <v>0</v>
      </c>
      <c r="N40" s="321">
        <v>45532</v>
      </c>
      <c r="O40" s="41">
        <v>111</v>
      </c>
      <c r="P40" s="41">
        <v>63</v>
      </c>
      <c r="R40" s="321">
        <v>45563</v>
      </c>
      <c r="S40" s="41">
        <v>122</v>
      </c>
      <c r="T40" s="41">
        <v>93</v>
      </c>
      <c r="V40" s="321">
        <v>45593</v>
      </c>
      <c r="W40" s="13">
        <v>70</v>
      </c>
      <c r="X40" s="13">
        <v>64</v>
      </c>
      <c r="AA40" s="321">
        <v>45624</v>
      </c>
      <c r="AB40" s="13">
        <v>91</v>
      </c>
      <c r="AC40" s="13">
        <v>95</v>
      </c>
      <c r="AD40" s="321">
        <v>45654</v>
      </c>
      <c r="AE40" s="13">
        <v>56</v>
      </c>
      <c r="AF40" s="13">
        <v>76</v>
      </c>
      <c r="AH40" s="2469" t="s">
        <v>3548</v>
      </c>
      <c r="AI40" s="321"/>
      <c r="AJ40" s="13">
        <v>108</v>
      </c>
      <c r="AK40" s="13">
        <v>84</v>
      </c>
      <c r="AL40" s="13">
        <v>108</v>
      </c>
      <c r="AM40" s="13"/>
      <c r="AN40" s="2469" t="s">
        <v>3549</v>
      </c>
      <c r="AO40" s="13">
        <v>55</v>
      </c>
      <c r="AP40" s="13">
        <v>34</v>
      </c>
      <c r="AQ40" s="13">
        <v>8</v>
      </c>
      <c r="AR40" s="13">
        <f t="shared" si="40"/>
        <v>97</v>
      </c>
      <c r="AS40" s="30">
        <v>80</v>
      </c>
      <c r="AT40" s="30">
        <v>76</v>
      </c>
      <c r="AU40" s="30">
        <v>0</v>
      </c>
      <c r="AV40" s="30">
        <f t="shared" si="1"/>
        <v>156</v>
      </c>
      <c r="AX40" s="321"/>
      <c r="AY40" s="13"/>
      <c r="AZ40" s="13"/>
      <c r="BA40" s="13"/>
      <c r="BB40" s="13"/>
      <c r="BC40" s="2469" t="s">
        <v>3550</v>
      </c>
      <c r="BD40" s="13">
        <v>80</v>
      </c>
      <c r="BE40" s="13">
        <v>20</v>
      </c>
      <c r="BF40" s="13"/>
      <c r="BG40" s="13">
        <f t="shared" si="17"/>
        <v>100</v>
      </c>
      <c r="BH40" s="13">
        <v>101</v>
      </c>
      <c r="BI40" s="13">
        <v>45</v>
      </c>
      <c r="BJ40" s="13"/>
      <c r="BK40" s="30">
        <f t="shared" si="2"/>
        <v>146</v>
      </c>
      <c r="BM40" s="2469" t="s">
        <v>3551</v>
      </c>
      <c r="BN40" s="13">
        <v>88</v>
      </c>
      <c r="BO40" s="13">
        <v>0</v>
      </c>
      <c r="BP40" s="13">
        <v>8</v>
      </c>
      <c r="BQ40" s="13">
        <f t="shared" si="18"/>
        <v>96</v>
      </c>
      <c r="BR40" s="13">
        <v>117</v>
      </c>
      <c r="BS40" s="13">
        <v>27</v>
      </c>
      <c r="BT40" s="13"/>
      <c r="BU40" s="30">
        <f t="shared" si="3"/>
        <v>144</v>
      </c>
      <c r="BW40" s="2469" t="s">
        <v>3552</v>
      </c>
      <c r="BX40" s="13">
        <v>92</v>
      </c>
      <c r="BY40" s="13">
        <v>0</v>
      </c>
      <c r="BZ40" s="13">
        <v>4</v>
      </c>
      <c r="CA40" s="13">
        <f t="shared" si="19"/>
        <v>96</v>
      </c>
      <c r="CB40" s="13">
        <v>41</v>
      </c>
      <c r="CC40" s="13">
        <v>86</v>
      </c>
      <c r="CD40" s="13">
        <v>12</v>
      </c>
      <c r="CE40" s="30">
        <f t="shared" si="4"/>
        <v>139</v>
      </c>
      <c r="CG40" s="332">
        <v>45836</v>
      </c>
      <c r="CH40" s="13">
        <v>91</v>
      </c>
      <c r="CI40" s="13">
        <v>0</v>
      </c>
      <c r="CJ40" s="13">
        <v>10</v>
      </c>
      <c r="CK40" s="13">
        <f t="shared" si="20"/>
        <v>101</v>
      </c>
      <c r="CL40" s="13">
        <v>69</v>
      </c>
      <c r="CM40" s="13">
        <v>72</v>
      </c>
      <c r="CN40" s="13">
        <v>6</v>
      </c>
      <c r="CO40" s="30">
        <f t="shared" si="5"/>
        <v>147</v>
      </c>
      <c r="CQ40" s="332">
        <v>45866</v>
      </c>
      <c r="CR40" s="13">
        <v>92</v>
      </c>
      <c r="CS40" s="13">
        <v>0</v>
      </c>
      <c r="CT40" s="13">
        <v>4</v>
      </c>
      <c r="CU40" s="13">
        <f t="shared" si="36"/>
        <v>96</v>
      </c>
      <c r="CV40" s="13">
        <v>55</v>
      </c>
      <c r="CW40" s="13">
        <v>44</v>
      </c>
      <c r="CX40" s="13">
        <v>30</v>
      </c>
      <c r="CY40" s="30">
        <f t="shared" si="6"/>
        <v>129</v>
      </c>
      <c r="DC40" s="332">
        <v>45897</v>
      </c>
      <c r="DD40" s="13">
        <v>95</v>
      </c>
      <c r="DE40" s="13">
        <v>0</v>
      </c>
      <c r="DF40" s="13">
        <v>4</v>
      </c>
      <c r="DG40" s="13">
        <f t="shared" si="37"/>
        <v>99</v>
      </c>
      <c r="DH40" s="13">
        <v>126</v>
      </c>
      <c r="DI40" s="13">
        <v>0</v>
      </c>
      <c r="DJ40" s="13">
        <v>7</v>
      </c>
      <c r="DK40" s="30">
        <f t="shared" si="7"/>
        <v>133</v>
      </c>
      <c r="DM40" s="321">
        <v>45928</v>
      </c>
      <c r="DN40" s="89">
        <v>78</v>
      </c>
      <c r="DO40" s="89">
        <v>0</v>
      </c>
      <c r="DP40" s="89">
        <v>42</v>
      </c>
      <c r="DQ40" s="89">
        <f t="shared" si="38"/>
        <v>120</v>
      </c>
      <c r="DR40" s="89">
        <v>83</v>
      </c>
      <c r="DS40" s="89">
        <v>44</v>
      </c>
      <c r="DT40" s="89">
        <v>32</v>
      </c>
      <c r="DU40" s="30">
        <f t="shared" si="8"/>
        <v>159</v>
      </c>
      <c r="DX40" s="321">
        <v>45958</v>
      </c>
      <c r="DY40" s="89">
        <v>95</v>
      </c>
      <c r="DZ40" s="69">
        <v>0</v>
      </c>
      <c r="EA40" s="69">
        <v>12</v>
      </c>
      <c r="EB40" s="89">
        <f t="shared" si="39"/>
        <v>107</v>
      </c>
      <c r="EC40" s="89">
        <v>111</v>
      </c>
      <c r="ED40" s="69">
        <v>18</v>
      </c>
      <c r="EE40" s="69">
        <v>5</v>
      </c>
      <c r="EF40" s="30">
        <f t="shared" si="9"/>
        <v>134</v>
      </c>
      <c r="EH40" s="321">
        <v>45989</v>
      </c>
      <c r="EI40" s="89">
        <v>0</v>
      </c>
      <c r="EJ40" s="89">
        <v>60</v>
      </c>
      <c r="EK40" s="89">
        <v>39</v>
      </c>
      <c r="EL40" s="89">
        <f t="shared" si="25"/>
        <v>99</v>
      </c>
      <c r="EM40" s="89">
        <v>0</v>
      </c>
      <c r="EN40" s="89">
        <v>0</v>
      </c>
      <c r="EO40" s="89">
        <v>43</v>
      </c>
      <c r="EP40" s="30">
        <f t="shared" si="10"/>
        <v>43</v>
      </c>
      <c r="ER40" s="321">
        <v>46019</v>
      </c>
      <c r="ES40" s="89">
        <v>0</v>
      </c>
      <c r="ET40" s="89">
        <v>0</v>
      </c>
      <c r="EU40" s="89">
        <v>0</v>
      </c>
      <c r="EV40" s="89">
        <f t="shared" si="26"/>
        <v>0</v>
      </c>
      <c r="EW40" s="89">
        <v>0</v>
      </c>
      <c r="EX40" s="89">
        <v>0</v>
      </c>
      <c r="EY40" s="89">
        <v>0</v>
      </c>
      <c r="EZ40" s="30">
        <f t="shared" si="11"/>
        <v>0</v>
      </c>
      <c r="FA40" t="s">
        <v>3522</v>
      </c>
      <c r="FD40" s="321">
        <v>46050</v>
      </c>
      <c r="FE40" s="89">
        <v>94</v>
      </c>
      <c r="FF40" s="89">
        <v>0</v>
      </c>
      <c r="FG40" s="89">
        <v>6</v>
      </c>
      <c r="FH40" s="89">
        <f t="shared" si="27"/>
        <v>100</v>
      </c>
      <c r="FI40" s="89">
        <v>85</v>
      </c>
      <c r="FJ40" s="89">
        <v>48</v>
      </c>
      <c r="FK40" s="89">
        <v>5</v>
      </c>
      <c r="FL40" s="30">
        <f t="shared" si="12"/>
        <v>138</v>
      </c>
      <c r="FO40" s="321">
        <v>46081</v>
      </c>
      <c r="FP40" s="89">
        <v>67</v>
      </c>
      <c r="FQ40" s="89">
        <v>0</v>
      </c>
      <c r="FR40" s="89">
        <v>56</v>
      </c>
      <c r="FS40" s="89">
        <f t="shared" si="28"/>
        <v>123</v>
      </c>
      <c r="FT40" s="89">
        <v>85</v>
      </c>
      <c r="FU40" s="89">
        <v>46</v>
      </c>
      <c r="FV40" s="89">
        <v>36</v>
      </c>
      <c r="FW40" s="89">
        <f t="shared" si="13"/>
        <v>167</v>
      </c>
      <c r="FZ40" s="321">
        <v>46109</v>
      </c>
      <c r="GA40" s="89">
        <v>89</v>
      </c>
      <c r="GB40" s="89">
        <v>0</v>
      </c>
      <c r="GC40" s="89">
        <v>7</v>
      </c>
      <c r="GD40" s="89">
        <f t="shared" si="29"/>
        <v>96</v>
      </c>
      <c r="GE40" s="89">
        <v>109</v>
      </c>
      <c r="GF40" s="89">
        <v>35</v>
      </c>
      <c r="GG40" s="89">
        <v>8</v>
      </c>
      <c r="GH40" s="89">
        <f t="shared" si="14"/>
        <v>152</v>
      </c>
      <c r="GJ40" s="321">
        <v>46140</v>
      </c>
      <c r="GK40" s="89">
        <v>86</v>
      </c>
      <c r="GL40" s="89">
        <v>0</v>
      </c>
      <c r="GM40" s="89">
        <v>22</v>
      </c>
      <c r="GN40" s="89">
        <f t="shared" si="30"/>
        <v>108</v>
      </c>
      <c r="GO40" s="89">
        <v>139</v>
      </c>
      <c r="GP40" s="89">
        <v>0</v>
      </c>
      <c r="GQ40" s="89">
        <v>8</v>
      </c>
      <c r="GR40" s="89">
        <f t="shared" si="15"/>
        <v>147</v>
      </c>
      <c r="GT40" s="321">
        <v>46170</v>
      </c>
      <c r="GU40" s="89">
        <v>96</v>
      </c>
      <c r="GV40" s="89">
        <v>0</v>
      </c>
      <c r="GW40" s="89">
        <v>59</v>
      </c>
      <c r="GX40" s="89">
        <f t="shared" si="31"/>
        <v>155</v>
      </c>
      <c r="GY40" s="89">
        <v>107</v>
      </c>
      <c r="GZ40" s="89">
        <v>0</v>
      </c>
      <c r="HA40" s="89">
        <v>12</v>
      </c>
      <c r="HB40" s="89">
        <f t="shared" si="16"/>
        <v>119</v>
      </c>
    </row>
    <row r="41" spans="1:210">
      <c r="A41" s="321">
        <v>45411</v>
      </c>
      <c r="B41" s="41">
        <v>41</v>
      </c>
      <c r="C41" s="41">
        <v>65</v>
      </c>
      <c r="D41" s="41"/>
      <c r="E41" s="321">
        <v>45441</v>
      </c>
      <c r="F41" s="41">
        <v>110</v>
      </c>
      <c r="G41" s="320">
        <v>86</v>
      </c>
      <c r="H41" s="321">
        <v>45472</v>
      </c>
      <c r="I41" s="41">
        <v>80</v>
      </c>
      <c r="J41" s="41">
        <v>70</v>
      </c>
      <c r="K41" s="321">
        <v>45502</v>
      </c>
      <c r="L41" s="41">
        <v>75</v>
      </c>
      <c r="M41" s="41">
        <v>70</v>
      </c>
      <c r="N41" s="321">
        <v>45533</v>
      </c>
      <c r="O41" s="41">
        <v>110</v>
      </c>
      <c r="P41" s="41">
        <v>84</v>
      </c>
      <c r="Q41">
        <v>65</v>
      </c>
      <c r="R41" s="321">
        <v>45564</v>
      </c>
      <c r="S41" s="41">
        <v>93</v>
      </c>
      <c r="T41" s="41">
        <v>79</v>
      </c>
      <c r="U41" s="322">
        <v>41</v>
      </c>
      <c r="V41" s="321">
        <v>45594</v>
      </c>
      <c r="W41" s="13">
        <v>123</v>
      </c>
      <c r="X41" s="13">
        <v>88</v>
      </c>
      <c r="AA41" s="321">
        <v>45625</v>
      </c>
      <c r="AB41" s="13">
        <v>89</v>
      </c>
      <c r="AC41" s="13">
        <v>84</v>
      </c>
      <c r="AD41" s="321">
        <v>45655</v>
      </c>
      <c r="AE41" s="13">
        <v>76</v>
      </c>
      <c r="AF41" s="13">
        <v>94</v>
      </c>
      <c r="AH41" s="2469" t="s">
        <v>3554</v>
      </c>
      <c r="AI41" s="321"/>
      <c r="AJ41" s="13">
        <v>106</v>
      </c>
      <c r="AK41" s="13">
        <v>81</v>
      </c>
      <c r="AL41" s="13">
        <v>106</v>
      </c>
      <c r="AM41" s="13"/>
      <c r="AN41" s="321"/>
      <c r="AO41" s="13"/>
      <c r="AP41" s="13"/>
      <c r="AQ41" s="13"/>
      <c r="AR41" s="13">
        <f t="shared" si="40"/>
        <v>0</v>
      </c>
      <c r="AS41" s="30"/>
      <c r="AT41" s="30"/>
      <c r="AU41" s="30"/>
      <c r="AV41" s="30">
        <f t="shared" si="1"/>
        <v>0</v>
      </c>
      <c r="AX41" s="321"/>
      <c r="AY41" s="13"/>
      <c r="AZ41" s="13"/>
      <c r="BA41" s="13"/>
      <c r="BB41" s="13"/>
      <c r="BC41" s="321">
        <v>45745</v>
      </c>
      <c r="BD41" s="13">
        <v>66</v>
      </c>
      <c r="BE41" s="13">
        <v>27</v>
      </c>
      <c r="BF41" s="13"/>
      <c r="BG41" s="13">
        <f t="shared" si="17"/>
        <v>93</v>
      </c>
      <c r="BH41" s="30">
        <v>71</v>
      </c>
      <c r="BI41" s="30">
        <v>75</v>
      </c>
      <c r="BJ41" s="30"/>
      <c r="BK41" s="30">
        <f t="shared" si="2"/>
        <v>146</v>
      </c>
      <c r="BM41" s="321">
        <v>45776</v>
      </c>
      <c r="BN41" s="13">
        <v>83</v>
      </c>
      <c r="BO41" s="13">
        <v>0</v>
      </c>
      <c r="BP41" s="13">
        <v>8</v>
      </c>
      <c r="BQ41" s="13">
        <f t="shared" si="18"/>
        <v>91</v>
      </c>
      <c r="BR41" s="13">
        <v>104</v>
      </c>
      <c r="BS41" s="13">
        <v>40</v>
      </c>
      <c r="BT41" s="13">
        <v>10</v>
      </c>
      <c r="BU41" s="30">
        <f t="shared" si="3"/>
        <v>154</v>
      </c>
      <c r="BW41" s="321">
        <v>45806</v>
      </c>
      <c r="BX41" s="13">
        <v>76</v>
      </c>
      <c r="BY41" s="13">
        <v>0</v>
      </c>
      <c r="BZ41" s="13">
        <v>32</v>
      </c>
      <c r="CA41" s="13">
        <f t="shared" si="19"/>
        <v>108</v>
      </c>
      <c r="CB41" s="13">
        <v>80</v>
      </c>
      <c r="CC41" s="13">
        <v>43</v>
      </c>
      <c r="CD41" s="13">
        <v>19</v>
      </c>
      <c r="CE41" s="30">
        <f t="shared" si="4"/>
        <v>142</v>
      </c>
      <c r="CG41" s="332">
        <v>45837</v>
      </c>
      <c r="CH41" s="13">
        <v>83</v>
      </c>
      <c r="CI41" s="13">
        <v>0</v>
      </c>
      <c r="CJ41" s="13">
        <v>19</v>
      </c>
      <c r="CK41" s="13">
        <f t="shared" si="20"/>
        <v>102</v>
      </c>
      <c r="CL41" s="13">
        <v>71</v>
      </c>
      <c r="CM41" s="13">
        <v>50</v>
      </c>
      <c r="CN41" s="13">
        <v>19</v>
      </c>
      <c r="CO41" s="30">
        <f t="shared" si="5"/>
        <v>140</v>
      </c>
      <c r="CQ41" s="332">
        <v>45867</v>
      </c>
      <c r="CR41" s="13">
        <v>89</v>
      </c>
      <c r="CS41" s="13">
        <v>0</v>
      </c>
      <c r="CT41" s="13">
        <v>13</v>
      </c>
      <c r="CU41" s="13">
        <f t="shared" si="36"/>
        <v>102</v>
      </c>
      <c r="CV41" s="13">
        <v>37</v>
      </c>
      <c r="CW41" s="13">
        <v>74</v>
      </c>
      <c r="CX41" s="13">
        <v>10</v>
      </c>
      <c r="CY41" s="30">
        <f t="shared" si="6"/>
        <v>121</v>
      </c>
      <c r="DC41" s="332">
        <v>45898</v>
      </c>
      <c r="DD41" s="13">
        <v>84</v>
      </c>
      <c r="DE41" s="13">
        <v>0</v>
      </c>
      <c r="DF41" s="13">
        <v>23</v>
      </c>
      <c r="DG41" s="13">
        <f t="shared" si="37"/>
        <v>107</v>
      </c>
      <c r="DH41" s="13">
        <v>108</v>
      </c>
      <c r="DI41" s="13">
        <v>0</v>
      </c>
      <c r="DJ41" s="13">
        <v>21</v>
      </c>
      <c r="DK41" s="30">
        <f t="shared" si="7"/>
        <v>129</v>
      </c>
      <c r="DM41" s="321" t="s">
        <v>3610</v>
      </c>
      <c r="DN41" s="89">
        <v>86</v>
      </c>
      <c r="DO41" s="89">
        <v>0</v>
      </c>
      <c r="DP41" s="89">
        <v>10</v>
      </c>
      <c r="DQ41" s="89">
        <f t="shared" si="38"/>
        <v>96</v>
      </c>
      <c r="DR41" s="89">
        <v>87</v>
      </c>
      <c r="DS41" s="89">
        <v>36</v>
      </c>
      <c r="DT41" s="89">
        <v>45</v>
      </c>
      <c r="DU41" s="30">
        <f t="shared" si="8"/>
        <v>168</v>
      </c>
      <c r="DX41" s="321">
        <v>45959</v>
      </c>
      <c r="DY41" s="89">
        <v>96</v>
      </c>
      <c r="DZ41" s="69">
        <v>0</v>
      </c>
      <c r="EA41" s="69">
        <v>7</v>
      </c>
      <c r="EB41" s="89">
        <f t="shared" si="39"/>
        <v>103</v>
      </c>
      <c r="EC41" s="89">
        <v>101</v>
      </c>
      <c r="ED41" s="69">
        <v>38</v>
      </c>
      <c r="EE41" s="69">
        <v>5</v>
      </c>
      <c r="EF41" s="30">
        <f t="shared" si="9"/>
        <v>144</v>
      </c>
      <c r="EH41" s="321">
        <v>45990</v>
      </c>
      <c r="EI41" s="89">
        <v>0</v>
      </c>
      <c r="EJ41" s="89">
        <v>65</v>
      </c>
      <c r="EK41" s="89">
        <v>30</v>
      </c>
      <c r="EL41" s="89">
        <f t="shared" si="25"/>
        <v>95</v>
      </c>
      <c r="EM41" s="89">
        <v>0</v>
      </c>
      <c r="EN41" s="89">
        <v>16</v>
      </c>
      <c r="EO41" s="89">
        <v>33</v>
      </c>
      <c r="EP41" s="30">
        <f t="shared" si="10"/>
        <v>49</v>
      </c>
      <c r="ER41" s="321">
        <v>46020</v>
      </c>
      <c r="ES41" s="89">
        <v>74</v>
      </c>
      <c r="ET41" s="89">
        <v>0</v>
      </c>
      <c r="EU41" s="89">
        <v>14</v>
      </c>
      <c r="EV41" s="89">
        <f t="shared" ref="EV41" si="43">+ES41+EU41+ET41</f>
        <v>88</v>
      </c>
      <c r="EW41" s="89">
        <v>20</v>
      </c>
      <c r="EX41" s="89">
        <v>0</v>
      </c>
      <c r="EY41" s="89">
        <v>17</v>
      </c>
      <c r="EZ41" s="30">
        <f t="shared" si="11"/>
        <v>37</v>
      </c>
      <c r="FA41" t="s">
        <v>344</v>
      </c>
      <c r="FD41" s="321">
        <v>46051</v>
      </c>
      <c r="FE41" s="89">
        <v>62</v>
      </c>
      <c r="FF41" s="89">
        <v>31</v>
      </c>
      <c r="FG41" s="89">
        <v>13</v>
      </c>
      <c r="FH41" s="89">
        <f t="shared" si="27"/>
        <v>106</v>
      </c>
      <c r="FI41" s="89">
        <v>36</v>
      </c>
      <c r="FJ41" s="89">
        <v>46</v>
      </c>
      <c r="FK41" s="89">
        <v>49</v>
      </c>
      <c r="FL41" s="30">
        <f t="shared" si="12"/>
        <v>131</v>
      </c>
      <c r="FO41" s="321"/>
      <c r="FP41" s="89"/>
      <c r="FQ41" s="89"/>
      <c r="FR41" s="89"/>
      <c r="FS41" s="89"/>
      <c r="FT41" s="89"/>
      <c r="FU41" s="89"/>
      <c r="FV41" s="89"/>
      <c r="FW41" s="30"/>
      <c r="FZ41" s="321">
        <v>46110</v>
      </c>
      <c r="GA41" s="89">
        <v>89</v>
      </c>
      <c r="GB41" s="89">
        <v>0</v>
      </c>
      <c r="GC41" s="89">
        <v>15</v>
      </c>
      <c r="GD41" s="89">
        <f t="shared" si="29"/>
        <v>104</v>
      </c>
      <c r="GE41" s="89">
        <v>87</v>
      </c>
      <c r="GF41" s="89">
        <v>48</v>
      </c>
      <c r="GG41" s="89">
        <v>5</v>
      </c>
      <c r="GH41" s="30">
        <f t="shared" si="14"/>
        <v>140</v>
      </c>
      <c r="GJ41" s="321">
        <v>46141</v>
      </c>
      <c r="GK41" s="89">
        <v>92</v>
      </c>
      <c r="GL41" s="89">
        <v>0</v>
      </c>
      <c r="GM41" s="89">
        <v>3</v>
      </c>
      <c r="GN41" s="89">
        <f t="shared" si="30"/>
        <v>95</v>
      </c>
      <c r="GO41" s="89">
        <v>137</v>
      </c>
      <c r="GP41" s="89">
        <v>0</v>
      </c>
      <c r="GQ41" s="89">
        <v>14</v>
      </c>
      <c r="GR41" s="30">
        <f t="shared" si="15"/>
        <v>151</v>
      </c>
      <c r="GT41" s="321">
        <v>46171</v>
      </c>
      <c r="GU41" s="89">
        <v>90</v>
      </c>
      <c r="GV41" s="89">
        <v>0</v>
      </c>
      <c r="GW41" s="89">
        <v>28</v>
      </c>
      <c r="GX41" s="89">
        <f t="shared" si="31"/>
        <v>118</v>
      </c>
      <c r="GY41" s="89">
        <v>199</v>
      </c>
      <c r="GZ41" s="89">
        <v>0</v>
      </c>
      <c r="HA41" s="89">
        <v>25</v>
      </c>
      <c r="HB41" s="2710">
        <f t="shared" si="16"/>
        <v>224</v>
      </c>
    </row>
    <row r="42" spans="1:210">
      <c r="A42" s="321">
        <v>45412</v>
      </c>
      <c r="B42" s="41">
        <v>56</v>
      </c>
      <c r="C42" s="41">
        <v>84</v>
      </c>
      <c r="D42" s="41"/>
      <c r="E42" s="321">
        <v>45442</v>
      </c>
      <c r="F42" s="41">
        <v>106</v>
      </c>
      <c r="G42" s="320">
        <v>84</v>
      </c>
      <c r="H42" s="321">
        <v>45473</v>
      </c>
      <c r="I42" s="41">
        <v>87</v>
      </c>
      <c r="J42" s="41">
        <v>77</v>
      </c>
      <c r="K42" s="321">
        <v>45503</v>
      </c>
      <c r="L42" s="41">
        <v>48</v>
      </c>
      <c r="M42" s="41">
        <v>80</v>
      </c>
      <c r="N42" s="321">
        <v>45534</v>
      </c>
      <c r="O42" s="41">
        <v>104</v>
      </c>
      <c r="P42" s="41">
        <v>86</v>
      </c>
      <c r="Q42">
        <v>60</v>
      </c>
      <c r="R42" s="321">
        <v>45565</v>
      </c>
      <c r="S42" s="41">
        <v>89</v>
      </c>
      <c r="T42" s="41">
        <v>78</v>
      </c>
      <c r="U42" s="322">
        <v>83</v>
      </c>
      <c r="V42" s="321">
        <v>45595</v>
      </c>
      <c r="W42" s="13">
        <v>116</v>
      </c>
      <c r="X42" s="13">
        <v>91</v>
      </c>
      <c r="AA42" s="321">
        <v>45626</v>
      </c>
      <c r="AB42" s="13">
        <v>83</v>
      </c>
      <c r="AC42" s="13">
        <v>85</v>
      </c>
      <c r="AD42" s="321">
        <v>45656</v>
      </c>
      <c r="AE42" s="13">
        <v>96</v>
      </c>
      <c r="AF42" s="13">
        <v>72</v>
      </c>
      <c r="AH42" s="2469" t="s">
        <v>3556</v>
      </c>
      <c r="AI42" s="321"/>
      <c r="AJ42" s="13">
        <v>117</v>
      </c>
      <c r="AK42" s="13">
        <v>90</v>
      </c>
      <c r="AL42" s="13">
        <v>117</v>
      </c>
      <c r="AM42" s="13"/>
      <c r="AN42" s="321"/>
      <c r="AO42" s="13"/>
      <c r="AP42" s="13"/>
      <c r="AQ42" s="13"/>
      <c r="AR42" s="13">
        <f t="shared" si="40"/>
        <v>0</v>
      </c>
      <c r="AS42" s="30"/>
      <c r="AT42" s="30"/>
      <c r="AU42" s="30"/>
      <c r="AV42" s="30">
        <f t="shared" si="1"/>
        <v>0</v>
      </c>
      <c r="AX42" s="321"/>
      <c r="AY42" s="13"/>
      <c r="AZ42" s="13"/>
      <c r="BA42" s="13"/>
      <c r="BB42" s="13"/>
      <c r="BC42" s="321">
        <v>45746</v>
      </c>
      <c r="BD42" s="13">
        <v>55</v>
      </c>
      <c r="BE42" s="13">
        <v>30</v>
      </c>
      <c r="BF42" s="13"/>
      <c r="BG42" s="13">
        <f t="shared" si="17"/>
        <v>85</v>
      </c>
      <c r="BH42" s="30">
        <v>91</v>
      </c>
      <c r="BI42" s="30">
        <v>52</v>
      </c>
      <c r="BJ42" s="30">
        <v>6</v>
      </c>
      <c r="BK42" s="30">
        <f t="shared" si="2"/>
        <v>149</v>
      </c>
      <c r="BM42" s="321">
        <v>45777</v>
      </c>
      <c r="BN42" s="13">
        <v>80</v>
      </c>
      <c r="BO42" s="13"/>
      <c r="BP42" s="13">
        <v>10</v>
      </c>
      <c r="BQ42" s="13">
        <f t="shared" si="18"/>
        <v>90</v>
      </c>
      <c r="BR42" s="13">
        <v>90</v>
      </c>
      <c r="BS42" s="13">
        <v>30</v>
      </c>
      <c r="BT42" s="13">
        <v>14</v>
      </c>
      <c r="BU42" s="30">
        <f t="shared" si="3"/>
        <v>134</v>
      </c>
      <c r="BW42" s="321">
        <v>45807</v>
      </c>
      <c r="BX42" s="13">
        <v>80</v>
      </c>
      <c r="BY42" s="13">
        <v>0</v>
      </c>
      <c r="BZ42" s="13">
        <v>19</v>
      </c>
      <c r="CA42" s="13">
        <f t="shared" si="19"/>
        <v>99</v>
      </c>
      <c r="CB42" s="13">
        <v>92</v>
      </c>
      <c r="CC42" s="13">
        <v>52</v>
      </c>
      <c r="CD42" s="13">
        <v>2</v>
      </c>
      <c r="CE42" s="30">
        <f t="shared" si="4"/>
        <v>146</v>
      </c>
      <c r="CG42" s="332">
        <v>45838</v>
      </c>
      <c r="CH42" s="13">
        <v>56</v>
      </c>
      <c r="CI42" s="13">
        <v>0</v>
      </c>
      <c r="CJ42" s="13">
        <v>37</v>
      </c>
      <c r="CK42" s="13">
        <f t="shared" si="20"/>
        <v>93</v>
      </c>
      <c r="CL42" s="13">
        <v>27</v>
      </c>
      <c r="CM42" s="13">
        <v>106</v>
      </c>
      <c r="CN42" s="13">
        <v>15</v>
      </c>
      <c r="CO42" s="30">
        <f t="shared" si="5"/>
        <v>148</v>
      </c>
      <c r="CQ42" s="332">
        <v>45868</v>
      </c>
      <c r="CR42" s="13">
        <v>89</v>
      </c>
      <c r="CS42" s="13">
        <v>0</v>
      </c>
      <c r="CT42" s="13">
        <v>13</v>
      </c>
      <c r="CU42" s="13">
        <f t="shared" si="36"/>
        <v>102</v>
      </c>
      <c r="CV42" s="13">
        <v>71</v>
      </c>
      <c r="CW42" s="13">
        <v>41</v>
      </c>
      <c r="CX42" s="13">
        <v>33</v>
      </c>
      <c r="CY42" s="30">
        <f t="shared" si="6"/>
        <v>145</v>
      </c>
      <c r="DC42" s="332">
        <v>45899</v>
      </c>
      <c r="DD42" s="13">
        <v>91</v>
      </c>
      <c r="DE42" s="13">
        <v>0</v>
      </c>
      <c r="DF42" s="13">
        <v>5</v>
      </c>
      <c r="DG42" s="13">
        <f t="shared" si="37"/>
        <v>96</v>
      </c>
      <c r="DH42" s="13">
        <v>95</v>
      </c>
      <c r="DI42" s="13">
        <v>0</v>
      </c>
      <c r="DJ42" s="13">
        <v>32</v>
      </c>
      <c r="DK42" s="30">
        <f t="shared" si="7"/>
        <v>127</v>
      </c>
      <c r="DM42" s="321">
        <v>45930</v>
      </c>
      <c r="DN42" s="89">
        <v>83</v>
      </c>
      <c r="DO42" s="89">
        <v>0</v>
      </c>
      <c r="DP42" s="89">
        <v>16</v>
      </c>
      <c r="DQ42" s="89">
        <f t="shared" si="38"/>
        <v>99</v>
      </c>
      <c r="DR42" s="89">
        <v>96</v>
      </c>
      <c r="DS42" s="89">
        <v>30</v>
      </c>
      <c r="DT42" s="89">
        <v>43</v>
      </c>
      <c r="DU42" s="30">
        <f t="shared" si="8"/>
        <v>169</v>
      </c>
      <c r="DX42" s="321">
        <v>45960</v>
      </c>
      <c r="DY42" s="89">
        <v>89</v>
      </c>
      <c r="DZ42" s="69">
        <v>0</v>
      </c>
      <c r="EA42" s="69">
        <v>15</v>
      </c>
      <c r="EB42" s="89">
        <f t="shared" si="39"/>
        <v>104</v>
      </c>
      <c r="EC42" s="89">
        <v>109</v>
      </c>
      <c r="ED42" s="69">
        <v>27</v>
      </c>
      <c r="EE42" s="69">
        <v>6</v>
      </c>
      <c r="EF42" s="30">
        <f t="shared" si="9"/>
        <v>142</v>
      </c>
      <c r="EH42" s="321">
        <v>45991</v>
      </c>
      <c r="EI42" s="89">
        <v>0</v>
      </c>
      <c r="EJ42" s="89">
        <v>33</v>
      </c>
      <c r="EK42" s="89">
        <v>43</v>
      </c>
      <c r="EL42" s="89">
        <f t="shared" si="25"/>
        <v>76</v>
      </c>
      <c r="EM42" s="89">
        <v>0</v>
      </c>
      <c r="EN42" s="89">
        <v>22</v>
      </c>
      <c r="EO42" s="89">
        <v>36</v>
      </c>
      <c r="EP42" s="30">
        <f t="shared" si="10"/>
        <v>58</v>
      </c>
      <c r="ER42" s="321">
        <v>46021</v>
      </c>
      <c r="ES42" s="89">
        <v>5</v>
      </c>
      <c r="ET42" s="89">
        <v>0</v>
      </c>
      <c r="EU42" s="89">
        <v>79</v>
      </c>
      <c r="EV42" s="89">
        <f t="shared" si="26"/>
        <v>84</v>
      </c>
      <c r="EW42" s="89">
        <v>58</v>
      </c>
      <c r="EX42" s="89">
        <v>0</v>
      </c>
      <c r="EY42" s="89">
        <v>30</v>
      </c>
      <c r="EZ42" s="30">
        <f t="shared" si="11"/>
        <v>88</v>
      </c>
      <c r="FA42" t="s">
        <v>344</v>
      </c>
      <c r="FD42" s="321">
        <v>46052</v>
      </c>
      <c r="FE42" s="89">
        <v>96</v>
      </c>
      <c r="FF42" s="89">
        <v>0</v>
      </c>
      <c r="FG42" s="89">
        <v>10</v>
      </c>
      <c r="FH42" s="89">
        <f t="shared" si="27"/>
        <v>106</v>
      </c>
      <c r="FI42" s="89">
        <v>80</v>
      </c>
      <c r="FJ42" s="89">
        <v>10</v>
      </c>
      <c r="FK42" s="89">
        <v>52</v>
      </c>
      <c r="FL42" s="30">
        <f t="shared" si="12"/>
        <v>142</v>
      </c>
      <c r="FO42" s="321"/>
      <c r="FP42" s="89"/>
      <c r="FQ42" s="89"/>
      <c r="FR42" s="89"/>
      <c r="FS42" s="89"/>
      <c r="FT42" s="89"/>
      <c r="FU42" s="89"/>
      <c r="FV42" s="89"/>
      <c r="FW42" s="30"/>
      <c r="FZ42" s="321">
        <v>46111</v>
      </c>
      <c r="GA42" s="89">
        <v>99</v>
      </c>
      <c r="GB42" s="89">
        <v>0</v>
      </c>
      <c r="GC42" s="89">
        <v>0</v>
      </c>
      <c r="GD42" s="89">
        <f t="shared" si="29"/>
        <v>99</v>
      </c>
      <c r="GE42" s="89">
        <v>87</v>
      </c>
      <c r="GF42" s="89">
        <v>41</v>
      </c>
      <c r="GG42" s="89">
        <v>23</v>
      </c>
      <c r="GH42" s="30">
        <f t="shared" si="14"/>
        <v>151</v>
      </c>
      <c r="GJ42" s="321">
        <v>46142</v>
      </c>
      <c r="GK42" s="89">
        <v>82</v>
      </c>
      <c r="GL42" s="89">
        <v>0</v>
      </c>
      <c r="GM42" s="89">
        <v>16</v>
      </c>
      <c r="GN42" s="89">
        <f t="shared" si="30"/>
        <v>98</v>
      </c>
      <c r="GO42" s="89">
        <v>132</v>
      </c>
      <c r="GP42" s="89">
        <v>0</v>
      </c>
      <c r="GQ42" s="89">
        <v>14</v>
      </c>
      <c r="GR42" s="30">
        <f t="shared" si="15"/>
        <v>146</v>
      </c>
      <c r="GT42" s="321">
        <v>46172</v>
      </c>
      <c r="GU42" s="89"/>
      <c r="GV42" s="89"/>
      <c r="GW42" s="89"/>
      <c r="GX42" s="89">
        <f t="shared" si="31"/>
        <v>0</v>
      </c>
      <c r="GY42" s="89"/>
      <c r="GZ42" s="89"/>
      <c r="HA42" s="89"/>
      <c r="HB42" s="2710">
        <f t="shared" si="16"/>
        <v>0</v>
      </c>
    </row>
    <row r="43" spans="1:210">
      <c r="A43" s="321"/>
      <c r="B43" s="41"/>
      <c r="C43" s="41"/>
      <c r="D43" s="41"/>
      <c r="E43" s="321">
        <v>45443</v>
      </c>
      <c r="F43" s="41">
        <v>90</v>
      </c>
      <c r="G43" s="320">
        <v>72</v>
      </c>
      <c r="H43" s="321"/>
      <c r="I43" s="41"/>
      <c r="J43" s="41"/>
      <c r="K43" s="321">
        <v>45504</v>
      </c>
      <c r="L43" s="41">
        <v>45</v>
      </c>
      <c r="M43" s="41">
        <v>65</v>
      </c>
      <c r="N43" s="321">
        <v>45535</v>
      </c>
      <c r="O43" s="41">
        <v>93</v>
      </c>
      <c r="P43" s="41">
        <v>76</v>
      </c>
      <c r="R43" s="321"/>
      <c r="S43" s="41">
        <v>0</v>
      </c>
      <c r="T43" s="41">
        <v>0</v>
      </c>
      <c r="V43" s="321">
        <v>45596</v>
      </c>
      <c r="W43" s="13">
        <v>93</v>
      </c>
      <c r="X43" s="13">
        <v>67</v>
      </c>
      <c r="AA43" s="321"/>
      <c r="AB43" s="41">
        <f>SUM(AB12:AB42)</f>
        <v>2520</v>
      </c>
      <c r="AC43" s="41">
        <f>SUM(AC12:AC42)</f>
        <v>2306</v>
      </c>
      <c r="AD43" s="321">
        <v>45657</v>
      </c>
      <c r="AE43" s="13">
        <v>69</v>
      </c>
      <c r="AF43" s="13">
        <v>87</v>
      </c>
      <c r="AH43" s="2469" t="s">
        <v>3558</v>
      </c>
      <c r="AI43" s="321"/>
      <c r="AJ43" s="13">
        <v>101</v>
      </c>
      <c r="AK43" s="13">
        <v>73</v>
      </c>
      <c r="AL43" s="13">
        <v>101</v>
      </c>
      <c r="AM43" s="13"/>
      <c r="AN43" s="321"/>
      <c r="AO43" s="13"/>
      <c r="AQ43" s="13"/>
      <c r="AR43" s="13">
        <f t="shared" si="40"/>
        <v>0</v>
      </c>
      <c r="AS43" s="30"/>
      <c r="AT43" s="30"/>
      <c r="AU43" s="30"/>
      <c r="AV43" s="30">
        <f t="shared" si="1"/>
        <v>0</v>
      </c>
      <c r="AX43" s="321"/>
      <c r="AY43" s="13"/>
      <c r="AZ43" s="13"/>
      <c r="BA43" s="13"/>
      <c r="BB43" s="13"/>
      <c r="BC43" s="321">
        <v>45747</v>
      </c>
      <c r="BD43" s="13">
        <v>48</v>
      </c>
      <c r="BF43" s="13">
        <v>42</v>
      </c>
      <c r="BG43" s="13">
        <f t="shared" si="17"/>
        <v>90</v>
      </c>
      <c r="BH43" s="30">
        <v>99</v>
      </c>
      <c r="BI43" s="30">
        <v>27</v>
      </c>
      <c r="BJ43" s="30">
        <v>4</v>
      </c>
      <c r="BK43" s="30">
        <f t="shared" si="2"/>
        <v>130</v>
      </c>
      <c r="BM43" s="321"/>
      <c r="BN43" s="13"/>
      <c r="BO43" s="13"/>
      <c r="BP43" s="13"/>
      <c r="BQ43" s="13">
        <f t="shared" si="18"/>
        <v>0</v>
      </c>
      <c r="BR43" s="13"/>
      <c r="BS43" s="13"/>
      <c r="BT43" s="13"/>
      <c r="BU43" s="30">
        <f t="shared" si="3"/>
        <v>0</v>
      </c>
      <c r="BW43" s="321">
        <v>45808</v>
      </c>
      <c r="BX43" s="13">
        <v>74</v>
      </c>
      <c r="BY43" s="13">
        <v>0</v>
      </c>
      <c r="BZ43" s="13">
        <v>20</v>
      </c>
      <c r="CA43" s="13">
        <f t="shared" si="19"/>
        <v>94</v>
      </c>
      <c r="CB43" s="13">
        <v>88</v>
      </c>
      <c r="CC43" s="13">
        <v>57</v>
      </c>
      <c r="CD43" s="13">
        <v>0</v>
      </c>
      <c r="CE43" s="30">
        <f t="shared" si="4"/>
        <v>145</v>
      </c>
      <c r="CG43" s="321"/>
      <c r="CH43" s="13"/>
      <c r="CI43" s="13"/>
      <c r="CJ43" s="13"/>
      <c r="CK43" s="13">
        <f t="shared" si="20"/>
        <v>0</v>
      </c>
      <c r="CL43" s="13"/>
      <c r="CM43" s="13"/>
      <c r="CN43" s="13"/>
      <c r="CO43" s="30">
        <f t="shared" si="5"/>
        <v>0</v>
      </c>
      <c r="CQ43" s="321">
        <v>45869</v>
      </c>
      <c r="CR43" s="13">
        <v>56</v>
      </c>
      <c r="CS43" s="13">
        <v>0</v>
      </c>
      <c r="CT43" s="13">
        <v>33</v>
      </c>
      <c r="CU43" s="13">
        <f t="shared" si="36"/>
        <v>89</v>
      </c>
      <c r="CV43" s="13">
        <v>76</v>
      </c>
      <c r="CW43" s="13">
        <v>43</v>
      </c>
      <c r="CX43" s="13">
        <v>25</v>
      </c>
      <c r="CY43" s="30">
        <f t="shared" si="6"/>
        <v>144</v>
      </c>
      <c r="DC43" s="329">
        <v>45900</v>
      </c>
      <c r="DD43" s="13">
        <v>90</v>
      </c>
      <c r="DE43" s="13">
        <v>0</v>
      </c>
      <c r="DF43" s="13">
        <v>11</v>
      </c>
      <c r="DG43" s="13">
        <f t="shared" si="37"/>
        <v>101</v>
      </c>
      <c r="DH43" s="13">
        <v>91</v>
      </c>
      <c r="DI43" s="13">
        <v>0</v>
      </c>
      <c r="DJ43" s="13">
        <v>32</v>
      </c>
      <c r="DK43" s="30">
        <f t="shared" si="7"/>
        <v>123</v>
      </c>
      <c r="DM43" s="321"/>
      <c r="DN43" s="89"/>
      <c r="DO43" s="89"/>
      <c r="DP43" s="89"/>
      <c r="DQ43" s="89">
        <f t="shared" si="38"/>
        <v>0</v>
      </c>
      <c r="DR43" s="89"/>
      <c r="DS43" s="89"/>
      <c r="DT43" s="89"/>
      <c r="DU43" s="30">
        <f t="shared" si="8"/>
        <v>0</v>
      </c>
      <c r="DX43" s="321">
        <v>45961</v>
      </c>
      <c r="DY43" s="89">
        <v>85</v>
      </c>
      <c r="DZ43" s="69">
        <v>0</v>
      </c>
      <c r="EA43" s="69">
        <v>26</v>
      </c>
      <c r="EB43" s="89">
        <f t="shared" si="39"/>
        <v>111</v>
      </c>
      <c r="EC43" s="89">
        <v>100</v>
      </c>
      <c r="ED43" s="69">
        <v>38</v>
      </c>
      <c r="EE43" s="69">
        <v>9</v>
      </c>
      <c r="EF43" s="30">
        <f t="shared" si="9"/>
        <v>147</v>
      </c>
      <c r="EH43" s="321">
        <v>45961</v>
      </c>
      <c r="EI43" s="89">
        <v>0</v>
      </c>
      <c r="EJ43" s="89">
        <v>0</v>
      </c>
      <c r="EK43" s="69">
        <v>0</v>
      </c>
      <c r="EL43" s="89">
        <f t="shared" si="25"/>
        <v>0</v>
      </c>
      <c r="EM43" s="89">
        <v>0</v>
      </c>
      <c r="EN43" s="89">
        <v>0</v>
      </c>
      <c r="EO43" s="89">
        <v>0</v>
      </c>
      <c r="EP43" s="30">
        <f t="shared" si="10"/>
        <v>0</v>
      </c>
      <c r="ER43" s="321">
        <v>46022</v>
      </c>
      <c r="ES43" s="89">
        <v>20</v>
      </c>
      <c r="ET43" s="89">
        <v>55</v>
      </c>
      <c r="EU43" s="89">
        <v>14</v>
      </c>
      <c r="EV43" s="89">
        <f t="shared" si="26"/>
        <v>89</v>
      </c>
      <c r="EW43" s="89">
        <v>57</v>
      </c>
      <c r="EX43" s="89">
        <v>0</v>
      </c>
      <c r="EY43" s="89">
        <v>30</v>
      </c>
      <c r="EZ43" s="30">
        <f t="shared" si="11"/>
        <v>87</v>
      </c>
      <c r="FA43" t="s">
        <v>344</v>
      </c>
      <c r="FD43" s="321">
        <v>46053</v>
      </c>
      <c r="FE43" s="89">
        <v>80</v>
      </c>
      <c r="FF43" s="89">
        <v>0</v>
      </c>
      <c r="FG43" s="89">
        <v>25</v>
      </c>
      <c r="FH43" s="89">
        <f t="shared" si="27"/>
        <v>105</v>
      </c>
      <c r="FI43" s="89">
        <v>89</v>
      </c>
      <c r="FJ43" s="89">
        <v>38</v>
      </c>
      <c r="FK43" s="89">
        <v>30</v>
      </c>
      <c r="FL43" s="30">
        <f t="shared" si="12"/>
        <v>157</v>
      </c>
      <c r="FO43" s="321"/>
      <c r="FP43" s="89"/>
      <c r="FQ43" s="89"/>
      <c r="FR43" s="89"/>
      <c r="FS43" s="89"/>
      <c r="FT43" s="89"/>
      <c r="FU43" s="89"/>
      <c r="FV43" s="89"/>
      <c r="FW43" s="30"/>
      <c r="FZ43" s="321">
        <v>46112</v>
      </c>
      <c r="GA43" s="89">
        <v>85</v>
      </c>
      <c r="GB43" s="89">
        <v>0</v>
      </c>
      <c r="GC43" s="89">
        <v>7</v>
      </c>
      <c r="GD43" s="89">
        <f t="shared" si="29"/>
        <v>92</v>
      </c>
      <c r="GE43" s="89">
        <v>89</v>
      </c>
      <c r="GF43" s="89">
        <v>46</v>
      </c>
      <c r="GG43" s="89">
        <v>13</v>
      </c>
      <c r="GH43" s="30">
        <f t="shared" si="14"/>
        <v>148</v>
      </c>
      <c r="GJ43" s="321"/>
      <c r="GK43" s="89"/>
      <c r="GL43" s="89"/>
      <c r="GM43" s="89"/>
      <c r="GN43" s="89">
        <f t="shared" si="30"/>
        <v>0</v>
      </c>
      <c r="GO43" s="89"/>
      <c r="GP43" s="89"/>
      <c r="GQ43" s="89"/>
      <c r="GR43" s="30">
        <f t="shared" si="15"/>
        <v>0</v>
      </c>
      <c r="GT43" s="321">
        <v>46173</v>
      </c>
      <c r="GU43" s="89"/>
      <c r="GV43" s="89"/>
      <c r="GW43" s="89"/>
      <c r="GX43" s="89">
        <f t="shared" si="31"/>
        <v>0</v>
      </c>
      <c r="GY43" s="89"/>
      <c r="GZ43" s="89"/>
      <c r="HA43" s="89"/>
      <c r="HB43" s="2710">
        <f t="shared" si="16"/>
        <v>0</v>
      </c>
    </row>
    <row r="44" spans="1:210">
      <c r="A44" s="321" t="s">
        <v>23</v>
      </c>
      <c r="B44" s="41">
        <f>SUM(B13:B43)</f>
        <v>2211</v>
      </c>
      <c r="C44" s="41">
        <f t="shared" ref="C44:X44" si="44">SUM(C13:C43)</f>
        <v>2148</v>
      </c>
      <c r="D44" s="41"/>
      <c r="E44" s="41">
        <f t="shared" si="44"/>
        <v>1408268</v>
      </c>
      <c r="F44" s="41">
        <f t="shared" si="44"/>
        <v>1623</v>
      </c>
      <c r="G44" s="41">
        <f t="shared" si="44"/>
        <v>1358</v>
      </c>
      <c r="H44" s="41">
        <f t="shared" si="44"/>
        <v>1363755</v>
      </c>
      <c r="I44" s="41">
        <f t="shared" si="44"/>
        <v>2620</v>
      </c>
      <c r="J44" s="41">
        <f t="shared" si="44"/>
        <v>2460</v>
      </c>
      <c r="K44" s="41">
        <f t="shared" si="44"/>
        <v>1410159</v>
      </c>
      <c r="L44" s="41">
        <f t="shared" si="44"/>
        <v>2338</v>
      </c>
      <c r="M44" s="41">
        <f t="shared" si="44"/>
        <v>2217</v>
      </c>
      <c r="N44" s="41">
        <f t="shared" si="44"/>
        <v>1411120</v>
      </c>
      <c r="O44" s="41">
        <f t="shared" si="44"/>
        <v>2618</v>
      </c>
      <c r="P44" s="41">
        <f t="shared" si="44"/>
        <v>2392</v>
      </c>
      <c r="Q44" s="41">
        <f t="shared" si="44"/>
        <v>125</v>
      </c>
      <c r="R44" s="41">
        <f t="shared" si="44"/>
        <v>1366515</v>
      </c>
      <c r="S44" s="41">
        <f t="shared" si="44"/>
        <v>2067</v>
      </c>
      <c r="T44" s="41">
        <f t="shared" si="44"/>
        <v>2121</v>
      </c>
      <c r="U44" s="41">
        <f t="shared" si="44"/>
        <v>124</v>
      </c>
      <c r="V44" s="41">
        <f t="shared" si="44"/>
        <v>1413011</v>
      </c>
      <c r="W44" s="41">
        <f t="shared" si="44"/>
        <v>2669</v>
      </c>
      <c r="X44" s="41">
        <f t="shared" si="44"/>
        <v>2118</v>
      </c>
      <c r="AB44">
        <f>MAX(AB12:AB42)</f>
        <v>126</v>
      </c>
      <c r="AC44">
        <f>MAX(AC12:AC42)</f>
        <v>95</v>
      </c>
      <c r="AD44" s="289" t="s">
        <v>23</v>
      </c>
      <c r="AE44" s="41">
        <f>SUM(AE12:AE43)</f>
        <v>2783</v>
      </c>
      <c r="AF44" s="41">
        <f>SUM(AF12:AF43)</f>
        <v>2380</v>
      </c>
      <c r="AH44" s="289" t="s">
        <v>23</v>
      </c>
      <c r="AI44" s="289"/>
      <c r="AJ44" s="41">
        <f>SUM(AJ12:AJ43)</f>
        <v>2977</v>
      </c>
      <c r="AK44" s="41">
        <f>SUM(AK12:AK43)</f>
        <v>2601</v>
      </c>
      <c r="AL44" s="41">
        <f>SUM(AL12:AL43)</f>
        <v>2671</v>
      </c>
      <c r="AM44" s="41">
        <f>SUM(AM12:AM43)</f>
        <v>306</v>
      </c>
      <c r="AN44" s="289" t="s">
        <v>23</v>
      </c>
      <c r="AO44" s="41">
        <f>SUM(AO12:AO43)</f>
        <v>2368</v>
      </c>
      <c r="AP44" s="41">
        <f>SUM(AP12:AP43)</f>
        <v>66</v>
      </c>
      <c r="AQ44" s="41">
        <f>SUM(AQ12:AQ43)</f>
        <v>290</v>
      </c>
      <c r="AR44" s="41">
        <f>SUM(AR12:AR43)</f>
        <v>2724</v>
      </c>
      <c r="AS44" s="41">
        <f>SUM(AR12:AR43)</f>
        <v>2724</v>
      </c>
      <c r="AT44" s="41">
        <f>SUM(AT13:AT43)</f>
        <v>886</v>
      </c>
      <c r="AU44" s="41">
        <f>SUM(AU13:AU43)</f>
        <v>280</v>
      </c>
      <c r="AV44" s="41">
        <f>SUM(AV13:AV43)</f>
        <v>4038</v>
      </c>
      <c r="AX44" s="289"/>
      <c r="AY44" s="41"/>
      <c r="AZ44" s="41"/>
      <c r="BA44" s="41"/>
      <c r="BB44" s="41"/>
      <c r="BC44" s="289" t="s">
        <v>23</v>
      </c>
      <c r="BD44" s="41">
        <f>SUM(BD12:BD43)</f>
        <v>2231</v>
      </c>
      <c r="BE44" s="41">
        <f>SUM(BE12:BE43)</f>
        <v>466</v>
      </c>
      <c r="BF44" s="41">
        <f>SUM(BF12:BF43)</f>
        <v>219</v>
      </c>
      <c r="BG44" s="41">
        <f>SUM(BG12:BG43)</f>
        <v>2916</v>
      </c>
      <c r="BH44" s="41">
        <f>SUM(BG12:BG43)</f>
        <v>2916</v>
      </c>
      <c r="BI44" s="41">
        <f>SUM(BI13:BI43)</f>
        <v>973</v>
      </c>
      <c r="BJ44" s="41">
        <f>SUM(BJ13:BJ43)</f>
        <v>655</v>
      </c>
      <c r="BK44" s="41">
        <f>SUM(BK13:BK43)</f>
        <v>4194</v>
      </c>
      <c r="BM44" s="289" t="s">
        <v>23</v>
      </c>
      <c r="BN44" s="41">
        <f>SUM(BN12:BN43)</f>
        <v>1583</v>
      </c>
      <c r="BO44" s="41">
        <f>SUM(BO12:BO43)</f>
        <v>16</v>
      </c>
      <c r="BP44" s="41">
        <f>SUM(BP12:BP43)</f>
        <v>282</v>
      </c>
      <c r="BQ44" s="41">
        <f>SUM(BQ12:BQ43)</f>
        <v>1881</v>
      </c>
      <c r="BR44" s="41">
        <f>SUM(BQ12:BQ43)</f>
        <v>1881</v>
      </c>
      <c r="BS44" s="41">
        <f>SUM(BS13:BS43)</f>
        <v>727</v>
      </c>
      <c r="BT44" s="41">
        <f>SUM(BT13:BT43)</f>
        <v>366</v>
      </c>
      <c r="BU44" s="41">
        <f>SUM(BU13:BU43)</f>
        <v>2783</v>
      </c>
      <c r="BW44" s="289" t="s">
        <v>23</v>
      </c>
      <c r="BX44" s="41">
        <f>SUM(BX12:BX43)</f>
        <v>2303</v>
      </c>
      <c r="BY44" s="41">
        <f>SUM(BY12:BY43)</f>
        <v>351</v>
      </c>
      <c r="BZ44" s="41">
        <f>SUM(BZ12:BZ43)</f>
        <v>312</v>
      </c>
      <c r="CA44" s="41">
        <f>SUM(CA12:CA43)</f>
        <v>2966</v>
      </c>
      <c r="CB44" s="41">
        <f>SUM(CA12:CA43)</f>
        <v>2966</v>
      </c>
      <c r="CC44" s="41">
        <f>SUM(CC13:CC43)</f>
        <v>1249</v>
      </c>
      <c r="CD44" s="41">
        <f>SUM(CD13:CD43)</f>
        <v>397</v>
      </c>
      <c r="CE44" s="41">
        <f>SUM(CE13:CE43)</f>
        <v>4134</v>
      </c>
      <c r="CG44" s="289" t="s">
        <v>23</v>
      </c>
      <c r="CH44" s="41">
        <f>SUM(CH12:CH43)</f>
        <v>1891</v>
      </c>
      <c r="CI44" s="41">
        <f>SUM(CI12:CI43)</f>
        <v>25</v>
      </c>
      <c r="CJ44" s="41">
        <f>SUM(CJ12:CJ43)</f>
        <v>559</v>
      </c>
      <c r="CK44" s="41">
        <f>SUM(CK12:CK43)</f>
        <v>2475</v>
      </c>
      <c r="CL44" s="41">
        <f>SUM(CK12:CK43)</f>
        <v>2475</v>
      </c>
      <c r="CM44" s="41">
        <f>SUM(CM13:CM43)</f>
        <v>1440</v>
      </c>
      <c r="CN44" s="41">
        <f>SUM(CN13:CN43)</f>
        <v>648</v>
      </c>
      <c r="CO44" s="41">
        <f>SUM(CO13:CO43)</f>
        <v>3094</v>
      </c>
      <c r="CQ44" s="289" t="s">
        <v>23</v>
      </c>
      <c r="CR44" s="41">
        <f>SUM(CR12:CR43)</f>
        <v>1884</v>
      </c>
      <c r="CS44" s="41">
        <f>SUM(CS12:CS43)</f>
        <v>129</v>
      </c>
      <c r="CT44" s="41">
        <f>SUM(CT12:CT43)</f>
        <v>564</v>
      </c>
      <c r="CU44" s="41">
        <f>SUM(CU12:CU43)</f>
        <v>2577</v>
      </c>
      <c r="CV44" s="41">
        <f>SUM(CU12:CU43)</f>
        <v>2577</v>
      </c>
      <c r="CW44" s="41">
        <f>SUM(CW13:CW43)</f>
        <v>1316</v>
      </c>
      <c r="CX44" s="41">
        <f>SUM(CX13:CX43)</f>
        <v>854</v>
      </c>
      <c r="CY44" s="41">
        <f>SUM(CY13:CY43)</f>
        <v>3420</v>
      </c>
      <c r="DC44" s="289" t="s">
        <v>23</v>
      </c>
      <c r="DD44" s="41">
        <f>SUM(DD12:DD43)</f>
        <v>2478</v>
      </c>
      <c r="DE44" s="41">
        <f>SUM(DE12:DE43)</f>
        <v>34</v>
      </c>
      <c r="DF44" s="41">
        <f>SUM(DF12:DF43)</f>
        <v>371</v>
      </c>
      <c r="DG44" s="41">
        <f>SUM(DG12:DG43)</f>
        <v>2883</v>
      </c>
      <c r="DH44" s="41">
        <f>SUM(DG12:DG43)</f>
        <v>2883</v>
      </c>
      <c r="DI44" s="41">
        <f>SUM(DI13:DI43)</f>
        <v>1440</v>
      </c>
      <c r="DJ44" s="41">
        <f>SUM(DJ13:DJ43)</f>
        <v>597</v>
      </c>
      <c r="DK44" s="41">
        <f>SUM(DK13:DK43)</f>
        <v>4088</v>
      </c>
      <c r="DM44" s="289" t="s">
        <v>23</v>
      </c>
      <c r="DN44" s="41">
        <f>SUM(DN12:DN43)</f>
        <v>2405</v>
      </c>
      <c r="DO44" s="41">
        <f>SUM(DO12:DO43)</f>
        <v>65</v>
      </c>
      <c r="DP44" s="41">
        <f>SUM(DP12:DP43)</f>
        <v>475</v>
      </c>
      <c r="DQ44" s="41">
        <f>SUM(DQ12:DQ43)</f>
        <v>2945</v>
      </c>
      <c r="DR44" s="41">
        <f>SUM(DQ12:DQ43)</f>
        <v>2945</v>
      </c>
      <c r="DS44" s="41">
        <f>SUM(DS13:DS43)</f>
        <v>623</v>
      </c>
      <c r="DT44" s="41">
        <f>SUM(DT13:DT43)</f>
        <v>586</v>
      </c>
      <c r="DU44" s="41">
        <f>SUM(DU13:DU43)</f>
        <v>4131</v>
      </c>
      <c r="DX44" s="289" t="s">
        <v>23</v>
      </c>
      <c r="DY44" s="41">
        <f>SUM(DY12:DY43)</f>
        <v>2745</v>
      </c>
      <c r="DZ44" s="41">
        <f>SUM(DZ12:DZ43)</f>
        <v>23</v>
      </c>
      <c r="EA44" s="41">
        <f>SUM(EA12:EA43)</f>
        <v>238</v>
      </c>
      <c r="EB44" s="41">
        <f>SUM(EB12:EB43)</f>
        <v>3006</v>
      </c>
      <c r="EC44" s="41">
        <f>SUM(EB12:EB43)</f>
        <v>3006</v>
      </c>
      <c r="ED44" s="41">
        <f>SUM(ED13:ED43)</f>
        <v>452</v>
      </c>
      <c r="EE44" s="41">
        <f>SUM(EE13:EE43)</f>
        <v>736</v>
      </c>
      <c r="EF44" s="41">
        <f>SUM(EF13:EF43)</f>
        <v>3891</v>
      </c>
      <c r="EH44" s="289" t="s">
        <v>23</v>
      </c>
      <c r="EI44" s="41">
        <f>SUM(EI12:EI43)</f>
        <v>264</v>
      </c>
      <c r="EJ44" s="41">
        <f>SUM(EJ12:EJ43)</f>
        <v>1757</v>
      </c>
      <c r="EK44" s="41">
        <f>SUM(EK12:EK43)</f>
        <v>776</v>
      </c>
      <c r="EL44" s="41">
        <f>SUM(EL12:EL43)</f>
        <v>2797</v>
      </c>
      <c r="EM44" s="41">
        <f>SUM(EL12:EL43)</f>
        <v>2797</v>
      </c>
      <c r="EN44" s="41">
        <f>SUM(EN13:EN43)</f>
        <v>1950</v>
      </c>
      <c r="EO44" s="41">
        <f>SUM(EO13:EO43)</f>
        <v>985</v>
      </c>
      <c r="EP44" s="41">
        <f>SUM(EP13:EP43)</f>
        <v>3080</v>
      </c>
      <c r="ER44" s="289" t="s">
        <v>23</v>
      </c>
      <c r="ES44" s="41">
        <f>SUM(ES12:ES43)</f>
        <v>708</v>
      </c>
      <c r="ET44" s="41">
        <f>SUM(ET12:ET43)</f>
        <v>232</v>
      </c>
      <c r="EU44" s="41">
        <f>SUM(EU12:EU43)</f>
        <v>797</v>
      </c>
      <c r="EV44" s="41">
        <f>SUM(EV12:EV43)</f>
        <v>1737</v>
      </c>
      <c r="EW44" s="41">
        <f>SUM(EV12:EV43)</f>
        <v>1737</v>
      </c>
      <c r="EX44" s="41">
        <f>SUM(EX13:EX43)</f>
        <v>32</v>
      </c>
      <c r="EY44" s="41">
        <f>SUM(EY13:EY43)</f>
        <v>903</v>
      </c>
      <c r="EZ44" s="41">
        <f>SUM(EZ13:EZ43)</f>
        <v>1420</v>
      </c>
      <c r="FD44" s="289" t="s">
        <v>23</v>
      </c>
      <c r="FE44" s="41">
        <f>SUM(FE12:FE43)</f>
        <v>1148</v>
      </c>
      <c r="FF44" s="41">
        <f>SUM(FF12:FF43)</f>
        <v>626</v>
      </c>
      <c r="FG44" s="41">
        <f>SUM(FG12:FG43)</f>
        <v>971</v>
      </c>
      <c r="FH44" s="41">
        <f>SUM(FH12:FH43)</f>
        <v>2745</v>
      </c>
      <c r="FI44" s="41">
        <f>SUM(FH12:FH43)</f>
        <v>2745</v>
      </c>
      <c r="FJ44" s="41">
        <f>SUM(FJ13:FJ43)</f>
        <v>852</v>
      </c>
      <c r="FK44" s="41">
        <f>SUM(FK13:FK43)</f>
        <v>970</v>
      </c>
      <c r="FL44" s="41">
        <f>SUM(FL13:FL43)</f>
        <v>2456</v>
      </c>
      <c r="FO44" s="289" t="s">
        <v>23</v>
      </c>
      <c r="FP44" s="41">
        <f>SUM(FP12:FP43)</f>
        <v>2383</v>
      </c>
      <c r="FQ44" s="41">
        <f>SUM(FQ12:FQ43)</f>
        <v>0</v>
      </c>
      <c r="FR44" s="41">
        <f>SUM(FR12:FR43)</f>
        <v>369</v>
      </c>
      <c r="FS44" s="41">
        <f>SUM(FS12:FS43)</f>
        <v>2752</v>
      </c>
      <c r="FT44" s="41">
        <f>SUM(FS12:FS43)</f>
        <v>2752</v>
      </c>
      <c r="FU44" s="41">
        <f>SUM(FU13:FU43)</f>
        <v>800</v>
      </c>
      <c r="FV44" s="41">
        <f>SUM(FV13:FV43)</f>
        <v>767</v>
      </c>
      <c r="FW44" s="41">
        <f>SUM(FW13:FW43)</f>
        <v>4056</v>
      </c>
      <c r="FZ44" s="289" t="s">
        <v>23</v>
      </c>
      <c r="GA44" s="41">
        <f>SUM(GA12:GA43)</f>
        <v>2595</v>
      </c>
      <c r="GB44" s="41">
        <f>SUM(GB12:GB43)</f>
        <v>0</v>
      </c>
      <c r="GC44" s="41">
        <f>SUM(GC12:GC43)</f>
        <v>293</v>
      </c>
      <c r="GD44" s="41">
        <f>SUM(GD12:GD43)</f>
        <v>2888</v>
      </c>
      <c r="GE44" s="41">
        <f>SUM(GD12:GD43)</f>
        <v>2888</v>
      </c>
      <c r="GF44" s="41">
        <f>SUM(GF13:GF43)</f>
        <v>1450</v>
      </c>
      <c r="GG44" s="41">
        <f>SUM(GG13:GG43)</f>
        <v>609</v>
      </c>
      <c r="GH44" s="41">
        <f>SUM(GH13:GH43)</f>
        <v>4476</v>
      </c>
      <c r="GJ44" s="289" t="s">
        <v>23</v>
      </c>
      <c r="GK44" s="41">
        <f>SUM(GK12:GK43)</f>
        <v>2554</v>
      </c>
      <c r="GL44" s="41">
        <f>SUM(GL12:GL43)</f>
        <v>0</v>
      </c>
      <c r="GM44" s="41">
        <f>SUM(GM12:GM43)</f>
        <v>368</v>
      </c>
      <c r="GN44" s="41">
        <f>SUM(GN12:GN43)</f>
        <v>2922</v>
      </c>
      <c r="GO44" s="41">
        <f>SUM(GN12:GN43)</f>
        <v>2922</v>
      </c>
      <c r="GP44" s="41">
        <f>SUM(GP13:GP43)</f>
        <v>177</v>
      </c>
      <c r="GQ44" s="41">
        <f>SUM(GQ13:GQ43)</f>
        <v>521</v>
      </c>
      <c r="GR44" s="41">
        <f>SUM(GR13:GR43)</f>
        <v>4145</v>
      </c>
      <c r="GT44" s="289" t="s">
        <v>23</v>
      </c>
      <c r="GU44" s="89">
        <f>SUM(GU12:GU43)</f>
        <v>2639</v>
      </c>
      <c r="GV44" s="89">
        <f>SUM(GV12:GV43)</f>
        <v>0</v>
      </c>
      <c r="GW44" s="89">
        <f>SUM(GW12:GW43)</f>
        <v>427</v>
      </c>
      <c r="GX44" s="89">
        <f>SUM(GX12:GX43)</f>
        <v>3066</v>
      </c>
      <c r="GY44" s="89">
        <f>SUM(GX12:GX43)</f>
        <v>3066</v>
      </c>
      <c r="GZ44" s="89">
        <f>SUM(GZ13:GZ43)</f>
        <v>0</v>
      </c>
      <c r="HA44" s="89">
        <f>SUM(HA13:HA43)</f>
        <v>717</v>
      </c>
      <c r="HB44" s="2709">
        <f>SUM(HB13:HB43)</f>
        <v>3825</v>
      </c>
    </row>
    <row r="45" spans="1:210">
      <c r="B45">
        <f>MAX(B13:B43)</f>
        <v>147</v>
      </c>
      <c r="C45">
        <f>MAX(C13:C43)</f>
        <v>97</v>
      </c>
      <c r="F45">
        <f>MAX(F13:F43)</f>
        <v>119</v>
      </c>
      <c r="G45">
        <f>MAX(G13:G43)</f>
        <v>93</v>
      </c>
      <c r="I45">
        <v>147</v>
      </c>
      <c r="J45">
        <f>MAX(J13:J43)</f>
        <v>122</v>
      </c>
      <c r="L45">
        <f>MAX(L13:L43)</f>
        <v>117</v>
      </c>
      <c r="M45">
        <f>MAX(M13:M43)</f>
        <v>94</v>
      </c>
      <c r="O45">
        <f>MAX(O13:O43)</f>
        <v>125</v>
      </c>
      <c r="P45">
        <f>MAX(P13:P43)</f>
        <v>91</v>
      </c>
      <c r="S45">
        <f>MAX(S13:S43)</f>
        <v>138</v>
      </c>
      <c r="T45">
        <f>MAX(T13:T43)</f>
        <v>94</v>
      </c>
      <c r="W45">
        <f t="shared" ref="W45:X45" si="45">MAX(W13:W43)</f>
        <v>141</v>
      </c>
      <c r="X45">
        <f t="shared" si="45"/>
        <v>96</v>
      </c>
      <c r="AJ45">
        <f t="shared" ref="AJ45:AM45" si="46">MAX(AJ13:AJ43)</f>
        <v>124</v>
      </c>
      <c r="AK45">
        <f t="shared" si="46"/>
        <v>103</v>
      </c>
      <c r="AL45">
        <f t="shared" si="46"/>
        <v>124</v>
      </c>
      <c r="AM45">
        <f t="shared" si="46"/>
        <v>113</v>
      </c>
      <c r="AO45">
        <f t="shared" ref="AO45:AV45" si="47">MAX(AO13:AO43)</f>
        <v>98</v>
      </c>
      <c r="AP45">
        <f t="shared" si="47"/>
        <v>34</v>
      </c>
      <c r="AQ45">
        <f t="shared" si="47"/>
        <v>46</v>
      </c>
      <c r="AR45">
        <f t="shared" si="47"/>
        <v>126</v>
      </c>
      <c r="AS45">
        <f t="shared" si="47"/>
        <v>149</v>
      </c>
      <c r="AT45">
        <f t="shared" si="47"/>
        <v>76</v>
      </c>
      <c r="AU45">
        <f t="shared" si="47"/>
        <v>46</v>
      </c>
      <c r="AV45">
        <f t="shared" si="47"/>
        <v>156</v>
      </c>
      <c r="BD45">
        <f t="shared" ref="BD45:BJ45" si="48">MAX(BD13:BD43)</f>
        <v>97</v>
      </c>
      <c r="BE45">
        <f t="shared" si="48"/>
        <v>51</v>
      </c>
      <c r="BF45">
        <f t="shared" si="48"/>
        <v>42</v>
      </c>
      <c r="BG45">
        <f t="shared" si="48"/>
        <v>108</v>
      </c>
      <c r="BH45">
        <f t="shared" si="48"/>
        <v>135</v>
      </c>
      <c r="BI45">
        <f t="shared" si="48"/>
        <v>90</v>
      </c>
      <c r="BJ45">
        <f t="shared" si="48"/>
        <v>66</v>
      </c>
      <c r="BK45">
        <f>MAX(BK13:BK43)</f>
        <v>157</v>
      </c>
      <c r="BN45">
        <f t="shared" ref="BN45:BU45" si="49">MAX(BN13:BN43)</f>
        <v>98</v>
      </c>
      <c r="BO45">
        <f t="shared" si="49"/>
        <v>16</v>
      </c>
      <c r="BP45">
        <f t="shared" si="49"/>
        <v>32</v>
      </c>
      <c r="BQ45">
        <f t="shared" si="49"/>
        <v>107</v>
      </c>
      <c r="BR45">
        <f t="shared" si="49"/>
        <v>140</v>
      </c>
      <c r="BS45">
        <f t="shared" si="49"/>
        <v>65</v>
      </c>
      <c r="BT45">
        <f t="shared" si="49"/>
        <v>38</v>
      </c>
      <c r="BU45">
        <f t="shared" si="49"/>
        <v>159</v>
      </c>
      <c r="BX45">
        <f>MAX(BX13:BX43)</f>
        <v>99</v>
      </c>
      <c r="BY45">
        <f t="shared" ref="BY45:CE45" si="50">MAX(BY13:BY43)</f>
        <v>72</v>
      </c>
      <c r="BZ45">
        <f t="shared" si="50"/>
        <v>32</v>
      </c>
      <c r="CA45">
        <f t="shared" si="50"/>
        <v>153</v>
      </c>
      <c r="CB45">
        <f t="shared" si="50"/>
        <v>119</v>
      </c>
      <c r="CC45">
        <f t="shared" si="50"/>
        <v>86</v>
      </c>
      <c r="CD45">
        <f t="shared" si="50"/>
        <v>38</v>
      </c>
      <c r="CE45">
        <f t="shared" si="50"/>
        <v>153</v>
      </c>
      <c r="CH45">
        <f>MAX(CH13:CH43)</f>
        <v>92</v>
      </c>
      <c r="CI45">
        <f t="shared" ref="CI45:CO45" si="51">MAX(CI13:CI43)</f>
        <v>22</v>
      </c>
      <c r="CJ45">
        <f t="shared" si="51"/>
        <v>69</v>
      </c>
      <c r="CK45">
        <f t="shared" si="51"/>
        <v>118</v>
      </c>
      <c r="CL45">
        <f t="shared" si="51"/>
        <v>84</v>
      </c>
      <c r="CM45">
        <f t="shared" si="51"/>
        <v>106</v>
      </c>
      <c r="CN45">
        <f t="shared" si="51"/>
        <v>48</v>
      </c>
      <c r="CO45">
        <f t="shared" si="51"/>
        <v>148</v>
      </c>
      <c r="CR45">
        <f t="shared" ref="CR45:CY45" si="52">MAX(CR13:CR43)</f>
        <v>98</v>
      </c>
      <c r="CS45">
        <f t="shared" si="52"/>
        <v>86</v>
      </c>
      <c r="CT45">
        <f t="shared" si="52"/>
        <v>61</v>
      </c>
      <c r="CU45">
        <f t="shared" si="52"/>
        <v>120</v>
      </c>
      <c r="CV45">
        <f t="shared" si="52"/>
        <v>87</v>
      </c>
      <c r="CW45">
        <f t="shared" si="52"/>
        <v>98</v>
      </c>
      <c r="CX45">
        <f t="shared" si="52"/>
        <v>56</v>
      </c>
      <c r="CY45">
        <f t="shared" si="52"/>
        <v>153</v>
      </c>
      <c r="DD45">
        <f t="shared" ref="DD45:DK45" si="53">MAX(DD13:DD43)</f>
        <v>96</v>
      </c>
      <c r="DE45">
        <f t="shared" si="53"/>
        <v>18</v>
      </c>
      <c r="DF45">
        <f t="shared" si="53"/>
        <v>32</v>
      </c>
      <c r="DG45">
        <f t="shared" si="53"/>
        <v>113</v>
      </c>
      <c r="DH45">
        <f t="shared" si="53"/>
        <v>126</v>
      </c>
      <c r="DI45">
        <f t="shared" si="53"/>
        <v>116</v>
      </c>
      <c r="DJ45">
        <f t="shared" si="53"/>
        <v>66</v>
      </c>
      <c r="DK45">
        <f t="shared" si="53"/>
        <v>159</v>
      </c>
      <c r="DN45">
        <f t="shared" ref="DN45:DU45" si="54">MAX(DN13:DN43)</f>
        <v>100</v>
      </c>
      <c r="DO45">
        <f t="shared" si="54"/>
        <v>52</v>
      </c>
      <c r="DP45">
        <f t="shared" si="54"/>
        <v>56</v>
      </c>
      <c r="DQ45">
        <f t="shared" si="54"/>
        <v>121</v>
      </c>
      <c r="DR45">
        <f t="shared" si="54"/>
        <v>137</v>
      </c>
      <c r="DS45">
        <f t="shared" si="54"/>
        <v>74</v>
      </c>
      <c r="DT45">
        <f t="shared" si="54"/>
        <v>58</v>
      </c>
      <c r="DU45">
        <f t="shared" si="54"/>
        <v>169</v>
      </c>
      <c r="DY45">
        <f t="shared" ref="DY45:EF45" si="55">MAX(DY13:DY43)</f>
        <v>100</v>
      </c>
      <c r="DZ45">
        <f t="shared" si="55"/>
        <v>23</v>
      </c>
      <c r="EA45">
        <f t="shared" si="55"/>
        <v>55</v>
      </c>
      <c r="EB45">
        <f t="shared" si="55"/>
        <v>165</v>
      </c>
      <c r="EC45">
        <f t="shared" si="55"/>
        <v>116</v>
      </c>
      <c r="ED45">
        <f t="shared" si="55"/>
        <v>39</v>
      </c>
      <c r="EE45">
        <f t="shared" si="55"/>
        <v>65</v>
      </c>
      <c r="EF45">
        <f t="shared" si="55"/>
        <v>163</v>
      </c>
      <c r="EI45">
        <f t="shared" ref="EI45:EP45" si="56">MAX(EI13:EI43)</f>
        <v>99</v>
      </c>
      <c r="EJ45">
        <f t="shared" si="56"/>
        <v>98</v>
      </c>
      <c r="EK45">
        <f t="shared" si="56"/>
        <v>105</v>
      </c>
      <c r="EL45">
        <f t="shared" si="56"/>
        <v>114</v>
      </c>
      <c r="EM45">
        <f t="shared" si="56"/>
        <v>95</v>
      </c>
      <c r="EN45">
        <f t="shared" si="56"/>
        <v>139</v>
      </c>
      <c r="EO45">
        <f t="shared" si="56"/>
        <v>69</v>
      </c>
      <c r="EP45">
        <f t="shared" si="56"/>
        <v>152</v>
      </c>
      <c r="ES45">
        <f t="shared" ref="ES45:EZ45" si="57">MAX(ES13:ES43)</f>
        <v>79</v>
      </c>
      <c r="ET45">
        <f t="shared" si="57"/>
        <v>55</v>
      </c>
      <c r="EU45">
        <f t="shared" si="57"/>
        <v>79</v>
      </c>
      <c r="EV45">
        <f t="shared" si="57"/>
        <v>101</v>
      </c>
      <c r="EW45">
        <f t="shared" si="57"/>
        <v>70</v>
      </c>
      <c r="EX45">
        <f t="shared" si="57"/>
        <v>32</v>
      </c>
      <c r="EY45">
        <f t="shared" si="57"/>
        <v>53</v>
      </c>
      <c r="EZ45">
        <f t="shared" si="57"/>
        <v>106</v>
      </c>
      <c r="FE45">
        <f t="shared" ref="FE45:FL45" si="58">MAX(FE13:FE43)</f>
        <v>99</v>
      </c>
      <c r="FF45">
        <f t="shared" si="58"/>
        <v>92</v>
      </c>
      <c r="FG45">
        <f t="shared" si="58"/>
        <v>109</v>
      </c>
      <c r="FH45">
        <f t="shared" si="58"/>
        <v>128</v>
      </c>
      <c r="FI45">
        <f t="shared" si="58"/>
        <v>89</v>
      </c>
      <c r="FJ45">
        <f t="shared" si="58"/>
        <v>93</v>
      </c>
      <c r="FK45">
        <f t="shared" si="58"/>
        <v>69</v>
      </c>
      <c r="FL45">
        <f t="shared" si="58"/>
        <v>157</v>
      </c>
      <c r="FP45">
        <f t="shared" ref="FP45:FW45" si="59">MAX(FP13:FP43)</f>
        <v>101</v>
      </c>
      <c r="FQ45">
        <f t="shared" si="59"/>
        <v>0</v>
      </c>
      <c r="FR45">
        <f t="shared" si="59"/>
        <v>56</v>
      </c>
      <c r="FS45">
        <f t="shared" si="59"/>
        <v>123</v>
      </c>
      <c r="FT45">
        <f t="shared" si="59"/>
        <v>127</v>
      </c>
      <c r="FU45">
        <f t="shared" si="59"/>
        <v>72</v>
      </c>
      <c r="FV45">
        <f t="shared" si="59"/>
        <v>51</v>
      </c>
      <c r="FW45">
        <f t="shared" si="59"/>
        <v>171</v>
      </c>
      <c r="GA45">
        <f t="shared" ref="GA45:GH45" si="60">MAX(GA13:GA43)</f>
        <v>100</v>
      </c>
      <c r="GB45">
        <f t="shared" si="60"/>
        <v>0</v>
      </c>
      <c r="GC45">
        <f t="shared" si="60"/>
        <v>53</v>
      </c>
      <c r="GD45">
        <f t="shared" si="60"/>
        <v>105</v>
      </c>
      <c r="GE45">
        <f t="shared" si="60"/>
        <v>109</v>
      </c>
      <c r="GF45">
        <f t="shared" si="60"/>
        <v>119</v>
      </c>
      <c r="GG45">
        <f t="shared" si="60"/>
        <v>53</v>
      </c>
      <c r="GH45">
        <f t="shared" si="60"/>
        <v>173</v>
      </c>
      <c r="GK45">
        <f t="shared" ref="GK45:GR45" si="61">MAX(GK13:GK43)</f>
        <v>98</v>
      </c>
      <c r="GL45">
        <f t="shared" si="61"/>
        <v>0</v>
      </c>
      <c r="GM45">
        <f t="shared" si="61"/>
        <v>31</v>
      </c>
      <c r="GN45">
        <f t="shared" si="61"/>
        <v>111</v>
      </c>
      <c r="GO45">
        <f t="shared" si="61"/>
        <v>147</v>
      </c>
      <c r="GP45">
        <f t="shared" si="61"/>
        <v>40</v>
      </c>
      <c r="GQ45">
        <f t="shared" si="61"/>
        <v>71</v>
      </c>
      <c r="GR45">
        <f t="shared" si="61"/>
        <v>162</v>
      </c>
      <c r="GU45" s="89">
        <f t="shared" ref="GU45:HB45" si="62">MAX(GU13:GU43)</f>
        <v>112</v>
      </c>
      <c r="GV45" s="89">
        <f t="shared" si="62"/>
        <v>0</v>
      </c>
      <c r="GW45" s="89">
        <f t="shared" si="62"/>
        <v>59</v>
      </c>
      <c r="GX45" s="89">
        <f t="shared" si="62"/>
        <v>155</v>
      </c>
      <c r="GY45" s="89">
        <f t="shared" si="62"/>
        <v>199</v>
      </c>
      <c r="GZ45" s="89">
        <f t="shared" si="62"/>
        <v>0</v>
      </c>
      <c r="HA45" s="89">
        <f t="shared" si="62"/>
        <v>47</v>
      </c>
      <c r="HB45">
        <f t="shared" si="62"/>
        <v>224</v>
      </c>
    </row>
    <row r="54" spans="117:133">
      <c r="DM54" s="335"/>
      <c r="DN54" s="30"/>
      <c r="DO54" s="30"/>
      <c r="DP54" s="3042" t="s">
        <v>687</v>
      </c>
      <c r="DQ54" s="3042"/>
      <c r="DR54" s="30" t="s">
        <v>2334</v>
      </c>
      <c r="DX54" s="335"/>
      <c r="DY54" s="30"/>
      <c r="DZ54" s="30"/>
      <c r="EA54" s="3042" t="s">
        <v>687</v>
      </c>
      <c r="EB54" s="3042"/>
      <c r="EC54" s="30" t="s">
        <v>2334</v>
      </c>
    </row>
    <row r="55" spans="117:133">
      <c r="DM55" s="329" t="s">
        <v>300</v>
      </c>
      <c r="DN55" s="30" t="s">
        <v>471</v>
      </c>
      <c r="DO55" s="30" t="s">
        <v>3611</v>
      </c>
      <c r="DP55" s="30" t="s">
        <v>3612</v>
      </c>
      <c r="DQ55" s="30" t="s">
        <v>3613</v>
      </c>
      <c r="DR55" s="30" t="s">
        <v>2316</v>
      </c>
      <c r="DX55" s="329" t="s">
        <v>300</v>
      </c>
      <c r="DY55" s="30" t="s">
        <v>471</v>
      </c>
      <c r="DZ55" s="30" t="s">
        <v>3611</v>
      </c>
      <c r="EA55" s="30" t="s">
        <v>3612</v>
      </c>
      <c r="EB55" s="30" t="s">
        <v>3613</v>
      </c>
      <c r="EC55" s="30" t="s">
        <v>2316</v>
      </c>
    </row>
    <row r="56" spans="117:133">
      <c r="DM56" s="321">
        <v>45901</v>
      </c>
      <c r="DN56" s="30">
        <v>7</v>
      </c>
      <c r="DO56" s="90">
        <v>3</v>
      </c>
      <c r="DP56" s="90">
        <v>651.23456790123453</v>
      </c>
      <c r="DQ56" s="336">
        <v>1.04</v>
      </c>
      <c r="DR56" s="30">
        <v>0.27400000000000002</v>
      </c>
      <c r="DX56" s="321">
        <v>46082</v>
      </c>
      <c r="DY56" s="90">
        <f>'DAILY FLASH'!A21</f>
        <v>5</v>
      </c>
      <c r="DZ56" s="90">
        <f>'DAILY FLASH'!A22</f>
        <v>1</v>
      </c>
      <c r="EA56" s="90">
        <f>'dsp hot metal'!U65</f>
        <v>211</v>
      </c>
      <c r="EB56" s="336">
        <f>'DAILY FLASH'!E113</f>
        <v>0</v>
      </c>
      <c r="EC56" s="336">
        <f>'DAILY FLASH'!G125</f>
        <v>0.2111644486692015</v>
      </c>
    </row>
    <row r="57" spans="117:133">
      <c r="DM57" s="321">
        <v>45902</v>
      </c>
      <c r="DN57" s="30">
        <v>8</v>
      </c>
      <c r="DO57" s="90">
        <v>1</v>
      </c>
      <c r="DP57" s="90">
        <v>700.9456264775414</v>
      </c>
      <c r="DQ57" s="336">
        <v>0.39200000000000002</v>
      </c>
      <c r="DR57" s="30">
        <v>0.55100000000000005</v>
      </c>
      <c r="DX57" s="321">
        <v>46083</v>
      </c>
      <c r="DY57" s="90">
        <f>'DAILY FLASH'!B21</f>
        <v>7</v>
      </c>
      <c r="DZ57" s="90">
        <f>'DAILY FLASH'!B22</f>
        <v>0</v>
      </c>
      <c r="EA57" s="90">
        <f>'dsp hot metal'!U66</f>
        <v>319</v>
      </c>
      <c r="EB57" s="336">
        <f>'DAILY FLASH'!M115</f>
        <v>0.24444721874999997</v>
      </c>
      <c r="EC57" s="336" t="e">
        <f>'DAILY FLASH'!G127</f>
        <v>#DIV/0!</v>
      </c>
    </row>
    <row r="58" spans="117:133">
      <c r="DM58" s="321">
        <v>45903</v>
      </c>
      <c r="DN58" s="30">
        <v>7</v>
      </c>
      <c r="DO58" s="90">
        <v>2</v>
      </c>
      <c r="DP58" s="90">
        <v>790.86021505376345</v>
      </c>
      <c r="DQ58" s="336">
        <v>0.46100000000000002</v>
      </c>
      <c r="DR58" s="30">
        <v>0.36099999999999999</v>
      </c>
      <c r="DX58" s="321">
        <v>46084</v>
      </c>
      <c r="DY58" s="90">
        <f>'DAILY FLASH'!C21</f>
        <v>7</v>
      </c>
      <c r="DZ58" s="90">
        <f>'DAILY FLASH'!C22</f>
        <v>0</v>
      </c>
      <c r="EA58" s="90">
        <f>'dsp hot metal'!U67</f>
        <v>369</v>
      </c>
      <c r="EB58" s="336">
        <f>'DAILY FLASH'!M117</f>
        <v>0.31884349593495931</v>
      </c>
      <c r="EC58" s="336" t="e">
        <f>'DAILY FLASH'!G129</f>
        <v>#DIV/0!</v>
      </c>
    </row>
    <row r="59" spans="117:133">
      <c r="DM59" s="321">
        <v>45904</v>
      </c>
      <c r="DN59" s="30">
        <v>9</v>
      </c>
      <c r="DO59" s="90">
        <v>3</v>
      </c>
      <c r="DP59" s="90">
        <v>645.41062801932367</v>
      </c>
      <c r="DQ59" s="336">
        <v>0.378</v>
      </c>
      <c r="DR59" s="30">
        <v>0.14899999999999999</v>
      </c>
      <c r="DX59" s="321">
        <v>46085</v>
      </c>
      <c r="DY59" s="90">
        <f>'DAILY FLASH'!D21</f>
        <v>6</v>
      </c>
      <c r="DZ59" s="90">
        <f>'DAILY FLASH'!D22</f>
        <v>0</v>
      </c>
      <c r="EA59" s="90">
        <f>'dsp hot metal'!U68</f>
        <v>315</v>
      </c>
      <c r="EB59" s="336">
        <f>'DAILY FLASH'!M119</f>
        <v>0.37956982991575261</v>
      </c>
      <c r="EC59" s="336" t="e">
        <f>'DAILY FLASH'!G131</f>
        <v>#DIV/0!</v>
      </c>
    </row>
    <row r="60" spans="117:133">
      <c r="DM60" s="321">
        <v>45905</v>
      </c>
      <c r="DN60" s="30">
        <v>9</v>
      </c>
      <c r="DO60" s="90">
        <v>2</v>
      </c>
      <c r="DP60" s="90">
        <v>720.8816705336427</v>
      </c>
      <c r="DQ60" s="336">
        <v>0.41799999999999998</v>
      </c>
      <c r="DR60" s="30">
        <v>0.36399999999999999</v>
      </c>
      <c r="DX60" s="321">
        <v>46086</v>
      </c>
      <c r="DY60" s="90">
        <f>'DAILY FLASH'!E21</f>
        <v>7</v>
      </c>
      <c r="DZ60" s="90">
        <f>'DAILY FLASH'!E22</f>
        <v>0</v>
      </c>
      <c r="EA60" s="90">
        <f>'dsp hot metal'!U69</f>
        <v>368</v>
      </c>
      <c r="EB60" s="336">
        <f>'DAILY FLASH'!M121</f>
        <v>0.3217573801742919</v>
      </c>
      <c r="EC60" s="30" t="e">
        <f>'DAILY FLASH'!G133</f>
        <v>#DIV/0!</v>
      </c>
    </row>
    <row r="61" spans="117:133">
      <c r="DM61" s="321">
        <v>45906</v>
      </c>
      <c r="DN61" s="30">
        <v>7</v>
      </c>
      <c r="DO61" s="90">
        <v>0</v>
      </c>
      <c r="DP61" s="90">
        <v>751.7045454545455</v>
      </c>
      <c r="DQ61" s="336">
        <v>0.35699999999999998</v>
      </c>
      <c r="DR61" s="30"/>
      <c r="DX61" s="321">
        <v>46087</v>
      </c>
      <c r="DY61" s="90">
        <f>'DAILY FLASH'!F21</f>
        <v>7</v>
      </c>
      <c r="DZ61" s="90">
        <f>'DAILY FLASH'!F22</f>
        <v>0</v>
      </c>
      <c r="EA61" s="90">
        <f>'dsp hot metal'!U70</f>
        <v>306</v>
      </c>
      <c r="EB61" s="336">
        <f>'DAILY FLASH'!M123</f>
        <v>0.69603368661340281</v>
      </c>
      <c r="EC61" s="30" t="e">
        <f>'DAILY FLASH'!G135</f>
        <v>#DIV/0!</v>
      </c>
    </row>
    <row r="62" spans="117:133">
      <c r="DM62" s="321">
        <v>45907</v>
      </c>
      <c r="DN62" s="30">
        <v>8</v>
      </c>
      <c r="DO62" s="90">
        <v>0</v>
      </c>
      <c r="DP62" s="90">
        <v>845.62841530054641</v>
      </c>
      <c r="DQ62" s="336">
        <v>0.44600000000000001</v>
      </c>
      <c r="DR62" s="30"/>
      <c r="DX62" s="321">
        <v>46088</v>
      </c>
      <c r="DY62" s="90">
        <f>'DAILY FLASH'!G21</f>
        <v>6</v>
      </c>
      <c r="DZ62" s="90">
        <f>'DAILY FLASH'!G22</f>
        <v>1</v>
      </c>
      <c r="EA62" s="90">
        <f>'dsp hot metal'!U71</f>
        <v>369</v>
      </c>
      <c r="EB62" s="336">
        <f>'DAILY FLASH'!M125</f>
        <v>0.41999829059829058</v>
      </c>
      <c r="EC62" s="30">
        <f>'DAILY FLASH'!G137</f>
        <v>0.38405021367521369</v>
      </c>
    </row>
    <row r="63" spans="117:133">
      <c r="DM63" s="321">
        <v>45908</v>
      </c>
      <c r="DN63" s="30">
        <v>9</v>
      </c>
      <c r="DO63" s="90">
        <v>0</v>
      </c>
      <c r="DP63" s="90">
        <v>868.93203883495141</v>
      </c>
      <c r="DQ63" s="336">
        <v>0.42</v>
      </c>
      <c r="DR63" s="30"/>
      <c r="DX63" s="321">
        <v>46089</v>
      </c>
      <c r="DY63" s="90">
        <f>'DAILY FLASH'!H21</f>
        <v>7</v>
      </c>
      <c r="DZ63" s="90">
        <f>'DAILY FLASH'!H22</f>
        <v>1</v>
      </c>
      <c r="EA63" s="90">
        <f>'dsp hot metal'!U72</f>
        <v>362</v>
      </c>
      <c r="EB63" s="336">
        <f>'DAILY FLASH'!M127</f>
        <v>0.40948168508287291</v>
      </c>
      <c r="EC63" s="30">
        <f>'DAILY FLASH'!G139</f>
        <v>0.42409499999999994</v>
      </c>
    </row>
    <row r="64" spans="117:133">
      <c r="DM64" s="321">
        <v>45909</v>
      </c>
      <c r="DN64" s="30">
        <v>7</v>
      </c>
      <c r="DO64" s="90">
        <v>0</v>
      </c>
      <c r="DP64" s="90">
        <v>874.47257383966246</v>
      </c>
      <c r="DQ64" s="336">
        <v>0.39400000000000002</v>
      </c>
      <c r="DR64" s="30"/>
      <c r="DX64" s="321">
        <v>46090</v>
      </c>
      <c r="DY64" s="90">
        <f>'DAILY FLASH'!I21</f>
        <v>7</v>
      </c>
      <c r="DZ64" s="90">
        <f>'DAILY FLASH'!I22</f>
        <v>2</v>
      </c>
      <c r="EA64" s="90">
        <f>'dsp hot metal'!U73</f>
        <v>372</v>
      </c>
      <c r="EB64" s="336">
        <f>'DAILY FLASH'!M129</f>
        <v>0.34445748432074508</v>
      </c>
      <c r="EC64" s="30">
        <f>'DAILY FLASH'!G141</f>
        <v>0.20623811931243677</v>
      </c>
    </row>
    <row r="65" spans="117:133">
      <c r="DM65" s="321">
        <v>45910</v>
      </c>
      <c r="DN65" s="30">
        <v>10</v>
      </c>
      <c r="DO65" s="90">
        <v>0</v>
      </c>
      <c r="DP65" s="90">
        <v>808.66807610993658</v>
      </c>
      <c r="DQ65" s="336">
        <v>0.30099999999999999</v>
      </c>
      <c r="DR65" s="30"/>
      <c r="DX65" s="321">
        <v>46091</v>
      </c>
      <c r="DY65" s="90">
        <f>'DAILY FLASH'!J21</f>
        <v>4</v>
      </c>
      <c r="DZ65" s="90">
        <f>'DAILY FLASH'!J22</f>
        <v>1</v>
      </c>
      <c r="EA65" s="90">
        <f>'dsp hot metal'!U74</f>
        <v>152</v>
      </c>
      <c r="EB65" s="336">
        <f>'DAILY FLASH'!M131</f>
        <v>0.73403532894736845</v>
      </c>
      <c r="EC65" s="30">
        <f>'DAILY FLASH'!G143</f>
        <v>0.61583231939163485</v>
      </c>
    </row>
    <row r="66" spans="117:133">
      <c r="DM66" s="321">
        <v>45911</v>
      </c>
      <c r="DN66" s="30">
        <v>8</v>
      </c>
      <c r="DO66" s="90">
        <v>0</v>
      </c>
      <c r="DP66" s="90">
        <v>834.59915611814347</v>
      </c>
      <c r="DQ66" s="336">
        <v>0.32200000000000001</v>
      </c>
      <c r="DR66" s="30"/>
      <c r="DX66" s="321">
        <v>46092</v>
      </c>
      <c r="DY66" s="90">
        <f>'DAILY FLASH'!K21</f>
        <v>6</v>
      </c>
      <c r="DZ66" s="90">
        <f>'DAILY FLASH'!K22</f>
        <v>1</v>
      </c>
      <c r="EA66" s="90">
        <f>'dsp hot metal'!U75</f>
        <v>411</v>
      </c>
      <c r="EB66" s="336">
        <f>'DAILY FLASH'!M133</f>
        <v>0.38252339949406494</v>
      </c>
      <c r="EC66" s="30">
        <f>'DAILY FLASH'!G145</f>
        <v>0.69475750766087829</v>
      </c>
    </row>
    <row r="67" spans="117:133">
      <c r="DM67" s="321">
        <v>45912</v>
      </c>
      <c r="DN67" s="30">
        <v>9</v>
      </c>
      <c r="DO67" s="90">
        <v>1</v>
      </c>
      <c r="DP67" s="90">
        <v>800.23696682464458</v>
      </c>
      <c r="DQ67" s="336">
        <v>0.307</v>
      </c>
      <c r="DR67" s="30">
        <v>1.3660000000000001</v>
      </c>
      <c r="DX67" s="321">
        <v>46093</v>
      </c>
      <c r="DY67" s="90">
        <f>'DAILY FLASH'!L21</f>
        <v>9</v>
      </c>
      <c r="DZ67" s="90">
        <f>'DAILY FLASH'!L22</f>
        <v>2</v>
      </c>
      <c r="EA67" s="90">
        <f>'dsp hot metal'!U76</f>
        <v>365</v>
      </c>
      <c r="EB67" s="336">
        <f>'DAILY FLASH'!M135</f>
        <v>0.37559725274725264</v>
      </c>
      <c r="EC67" s="30">
        <f>'DAILY FLASH'!G147</f>
        <v>0.36750723781388478</v>
      </c>
    </row>
    <row r="68" spans="117:133">
      <c r="DM68" s="321">
        <v>45913</v>
      </c>
      <c r="DN68" s="30">
        <v>9</v>
      </c>
      <c r="DO68" s="90">
        <v>2</v>
      </c>
      <c r="DP68" s="90">
        <v>820.1680672268908</v>
      </c>
      <c r="DQ68" s="336">
        <v>0.23799999999999999</v>
      </c>
      <c r="DR68" s="30">
        <v>0.56699999999999995</v>
      </c>
      <c r="DX68" s="321">
        <v>46094</v>
      </c>
      <c r="DY68" s="90">
        <f>'DAILY FLASH'!M21</f>
        <v>7</v>
      </c>
      <c r="DZ68" s="90">
        <f>'DAILY FLASH'!M22</f>
        <v>1</v>
      </c>
      <c r="EA68" s="90">
        <f>'dsp hot metal'!U77</f>
        <v>424</v>
      </c>
      <c r="EB68" s="336">
        <f>'DAILY FLASH'!M137</f>
        <v>0.29461719339622638</v>
      </c>
      <c r="EC68" s="30">
        <f>'DAILY FLASH'!G149</f>
        <v>0.76278328173374599</v>
      </c>
    </row>
    <row r="69" spans="117:133">
      <c r="DM69" s="321">
        <v>45914</v>
      </c>
      <c r="DN69" s="30">
        <v>10</v>
      </c>
      <c r="DO69" s="90">
        <v>2</v>
      </c>
      <c r="DP69" s="90">
        <v>718.0112570356473</v>
      </c>
      <c r="DQ69" s="336">
        <v>0.30199999999999999</v>
      </c>
      <c r="DR69" s="30">
        <v>0.39700000000000002</v>
      </c>
      <c r="DX69" s="321">
        <v>46095</v>
      </c>
      <c r="DY69" s="90">
        <f>'DAILY FLASH'!N21</f>
        <v>8</v>
      </c>
      <c r="DZ69" s="90">
        <f>'DAILY FLASH'!N22</f>
        <v>1</v>
      </c>
      <c r="EA69" s="90">
        <f>'dsp hot metal'!U78</f>
        <v>369</v>
      </c>
      <c r="EB69" s="336">
        <f>'DAILY FLASH'!M139</f>
        <v>0.29017439848607729</v>
      </c>
      <c r="EC69" s="30">
        <f>'DAILY FLASH'!G151</f>
        <v>0.76366247422680411</v>
      </c>
    </row>
    <row r="70" spans="117:133">
      <c r="DM70" s="321">
        <v>45915</v>
      </c>
      <c r="DN70" s="30">
        <v>8</v>
      </c>
      <c r="DO70" s="90">
        <v>1</v>
      </c>
      <c r="DP70" s="90">
        <v>683.51351351351354</v>
      </c>
      <c r="DQ70" s="336">
        <v>0.39500000000000002</v>
      </c>
      <c r="DR70" s="30">
        <v>1.087</v>
      </c>
      <c r="DX70" s="321">
        <v>46096</v>
      </c>
      <c r="DY70" s="90">
        <f>'DAILY FLASH'!O21</f>
        <v>4</v>
      </c>
      <c r="DZ70" s="90">
        <f>'DAILY FLASH'!O22</f>
        <v>2</v>
      </c>
      <c r="EA70" s="90">
        <f>'dsp hot metal'!U79</f>
        <v>200</v>
      </c>
      <c r="EB70" s="336">
        <f>'DAILY FLASH'!M141</f>
        <v>0.53670092338407793</v>
      </c>
      <c r="EC70" s="30">
        <f>'DAILY FLASH'!G153</f>
        <v>0.30586461232604373</v>
      </c>
    </row>
    <row r="71" spans="117:133">
      <c r="DM71" s="321">
        <v>45916</v>
      </c>
      <c r="DN71" s="30">
        <v>9</v>
      </c>
      <c r="DO71" s="90">
        <v>1</v>
      </c>
      <c r="DP71" s="90">
        <v>820.12711864406776</v>
      </c>
      <c r="DQ71" s="336">
        <v>0.35</v>
      </c>
      <c r="DR71" s="30">
        <v>0.92400000000000004</v>
      </c>
      <c r="DX71" s="321">
        <v>46097</v>
      </c>
      <c r="DY71" s="90">
        <f>'DAILY FLASH'!P21</f>
        <v>6</v>
      </c>
      <c r="DZ71" s="90">
        <f>'DAILY FLASH'!P22</f>
        <v>1</v>
      </c>
      <c r="EA71" s="90">
        <f>'dsp hot metal'!U80</f>
        <v>306</v>
      </c>
      <c r="EB71" s="336">
        <f>'DAILY FLASH'!M143</f>
        <v>0.48090199346405221</v>
      </c>
      <c r="EC71" s="30">
        <f>'DAILY FLASH'!G155</f>
        <v>0.49306114790286981</v>
      </c>
    </row>
    <row r="72" spans="117:133">
      <c r="DM72" s="321">
        <v>45917</v>
      </c>
      <c r="DN72" s="30">
        <v>6</v>
      </c>
      <c r="DO72" s="90">
        <v>2</v>
      </c>
      <c r="DP72" s="90">
        <v>761.40776699029129</v>
      </c>
      <c r="DQ72" s="336">
        <v>0.379</v>
      </c>
      <c r="DR72" s="30">
        <v>0.32300000000000001</v>
      </c>
      <c r="DX72" s="321">
        <v>46098</v>
      </c>
      <c r="DY72" s="90">
        <f>'DAILY FLASH'!Q21</f>
        <v>5</v>
      </c>
      <c r="DZ72" s="90">
        <f>'DAILY FLASH'!R22</f>
        <v>1</v>
      </c>
      <c r="EA72" s="90">
        <f>'dsp hot metal'!U81</f>
        <v>303</v>
      </c>
      <c r="EB72" s="336">
        <f>'DAILY FLASH'!M145</f>
        <v>0.44454894389438931</v>
      </c>
      <c r="EC72" s="30">
        <f>'DAILY FLASH'!G157</f>
        <v>0.18428897338403039</v>
      </c>
    </row>
    <row r="73" spans="117:133">
      <c r="DM73" s="321">
        <v>45918</v>
      </c>
      <c r="DN73" s="30">
        <v>7</v>
      </c>
      <c r="DO73" s="90">
        <v>1</v>
      </c>
      <c r="DP73" s="90">
        <v>783.81877022653725</v>
      </c>
      <c r="DQ73" s="336">
        <v>0.45600000000000002</v>
      </c>
      <c r="DR73" s="30">
        <v>0.94299999999999995</v>
      </c>
      <c r="DX73" s="321">
        <v>46099</v>
      </c>
      <c r="DY73" s="90">
        <f>'DAILY FLASH'!R21</f>
        <v>7</v>
      </c>
      <c r="DZ73" s="90">
        <f>'DAILY FLASH'!R22</f>
        <v>1</v>
      </c>
      <c r="EA73" s="90">
        <f>'dsp hot metal'!U82</f>
        <v>365</v>
      </c>
      <c r="EB73" s="336">
        <f>'DAILY FLASH'!M147</f>
        <v>0.39400199890470972</v>
      </c>
      <c r="EC73" s="30">
        <f>'DAILY FLASH'!G159</f>
        <v>0.96158692543411639</v>
      </c>
    </row>
    <row r="74" spans="117:133">
      <c r="DM74" s="321">
        <v>45919</v>
      </c>
      <c r="DN74" s="30">
        <v>2</v>
      </c>
      <c r="DO74" s="90">
        <v>1</v>
      </c>
      <c r="DP74" s="90">
        <v>808.41584158415844</v>
      </c>
      <c r="DQ74" s="336">
        <v>0.68400000000000005</v>
      </c>
      <c r="DR74" s="30">
        <v>0.67</v>
      </c>
      <c r="DX74" s="321">
        <v>46100</v>
      </c>
      <c r="DY74" s="90">
        <f>'DAILY FLASH'!S21</f>
        <v>7</v>
      </c>
      <c r="DZ74" s="90">
        <f>'DAILY FLASH'!S22</f>
        <v>1</v>
      </c>
      <c r="EA74" s="90">
        <f>'dsp hot metal'!U83</f>
        <v>425</v>
      </c>
      <c r="EB74" s="336">
        <f>'DAILY FLASH'!M149</f>
        <v>0.33949647224835366</v>
      </c>
      <c r="EC74" s="30">
        <f>'DAILY FLASH'!G161</f>
        <v>0.88716649642492329</v>
      </c>
    </row>
    <row r="75" spans="117:133">
      <c r="DM75" s="321">
        <v>45920</v>
      </c>
      <c r="DN75" s="30">
        <v>5</v>
      </c>
      <c r="DO75" s="90">
        <v>1</v>
      </c>
      <c r="DP75" s="90">
        <v>1710.7279693486589</v>
      </c>
      <c r="DQ75" s="336">
        <v>0.26700000000000002</v>
      </c>
      <c r="DR75" s="30">
        <v>0.71699999999999997</v>
      </c>
      <c r="DX75" s="321">
        <v>46101</v>
      </c>
      <c r="DY75" s="90">
        <f>'DAILY FLASH'!T21</f>
        <v>7</v>
      </c>
      <c r="DZ75" s="90">
        <f>'DAILY FLASH'!T22</f>
        <v>0</v>
      </c>
      <c r="EA75" s="90">
        <f>'dsp hot metal'!U84</f>
        <v>320</v>
      </c>
      <c r="EB75" s="336">
        <f>'DAILY FLASH'!M151</f>
        <v>0.46598504672897195</v>
      </c>
      <c r="EC75" s="30" t="e">
        <f>'DAILY FLASH'!G163</f>
        <v>#DIV/0!</v>
      </c>
    </row>
    <row r="76" spans="117:133">
      <c r="DM76" s="321">
        <v>45921</v>
      </c>
      <c r="DN76" s="30">
        <v>4</v>
      </c>
      <c r="DO76" s="90">
        <v>2</v>
      </c>
      <c r="DP76" s="90">
        <v>772.13930348258702</v>
      </c>
      <c r="DQ76" s="336">
        <v>0.78900000000000003</v>
      </c>
      <c r="DR76" s="30">
        <v>0.20100000000000001</v>
      </c>
      <c r="DX76" s="321">
        <v>46102</v>
      </c>
      <c r="DY76" s="90">
        <f>'DAILY FLASH'!U21</f>
        <v>7</v>
      </c>
      <c r="DZ76" s="90">
        <f>'DAILY FLASH'!U22</f>
        <v>1</v>
      </c>
      <c r="EA76" s="90">
        <f>'dsp hot metal'!U85</f>
        <v>267</v>
      </c>
      <c r="EB76" s="336">
        <f>'DAILY FLASH'!M154</f>
        <v>0.56986756554307116</v>
      </c>
      <c r="EC76" s="30">
        <f>'DAILY FLASH'!G165</f>
        <v>0.45288281573498967</v>
      </c>
    </row>
    <row r="77" spans="117:133">
      <c r="DM77" s="321">
        <v>45922</v>
      </c>
      <c r="DN77" s="30">
        <v>5</v>
      </c>
      <c r="DO77" s="90">
        <v>1</v>
      </c>
      <c r="DP77" s="90">
        <v>555.97609561752984</v>
      </c>
      <c r="DQ77" s="336">
        <v>0.63200000000000001</v>
      </c>
      <c r="DR77" s="30">
        <v>0.51600000000000001</v>
      </c>
      <c r="DX77" s="321">
        <v>46103</v>
      </c>
      <c r="DY77" s="90">
        <f>'DAILY FLASH'!V21</f>
        <v>6</v>
      </c>
      <c r="DZ77" s="90">
        <f>'DAILY FLASH'!V22</f>
        <v>1</v>
      </c>
      <c r="EA77" s="90">
        <f>'dsp hot metal'!U86</f>
        <v>419</v>
      </c>
      <c r="EB77" s="336">
        <f>'DAILY FLASH'!M156</f>
        <v>0.53782462936394071</v>
      </c>
      <c r="EC77" s="30">
        <f>'DAILY FLASH'!G167</f>
        <v>0.84242243346007595</v>
      </c>
    </row>
    <row r="78" spans="117:133">
      <c r="DM78" s="321">
        <v>45923</v>
      </c>
      <c r="DN78" s="30">
        <v>11</v>
      </c>
      <c r="DO78" s="90">
        <v>5</v>
      </c>
      <c r="DP78" s="90">
        <v>641.52744630071595</v>
      </c>
      <c r="DQ78" s="336">
        <v>0.35699999999999998</v>
      </c>
      <c r="DR78" s="30">
        <v>9.9000000000000005E-2</v>
      </c>
      <c r="DX78" s="321">
        <v>46104</v>
      </c>
      <c r="DY78" s="90">
        <f>'DAILY FLASH'!W21</f>
        <v>9</v>
      </c>
      <c r="DZ78" s="90">
        <f>'DAILY FLASH'!W22</f>
        <v>2</v>
      </c>
      <c r="EA78" s="90">
        <f>'dsp hot metal'!U87</f>
        <v>413</v>
      </c>
      <c r="EB78" s="336">
        <f>'DAILY FLASH'!M158</f>
        <v>0</v>
      </c>
      <c r="EC78" s="30">
        <f>'DAILY FLASH'!G169</f>
        <v>0.43199023331524689</v>
      </c>
    </row>
    <row r="79" spans="117:133">
      <c r="DM79" s="321">
        <v>45924</v>
      </c>
      <c r="DN79" s="30">
        <v>10</v>
      </c>
      <c r="DO79" s="90">
        <v>2</v>
      </c>
      <c r="DP79" s="90">
        <v>756.62650602409633</v>
      </c>
      <c r="DQ79" s="336">
        <v>0.28899999999999998</v>
      </c>
      <c r="DR79" s="30">
        <v>0.23799999999999999</v>
      </c>
      <c r="DX79" s="321">
        <v>46105</v>
      </c>
      <c r="DY79" s="90">
        <f>'DAILY FLASH'!X21</f>
        <v>7</v>
      </c>
      <c r="DZ79" s="90">
        <f>'DAILY FLASH'!X22</f>
        <v>2</v>
      </c>
      <c r="EA79" s="90">
        <f>'dsp hot metal'!U88</f>
        <v>349</v>
      </c>
      <c r="EB79" s="336">
        <f>'DAILY FLASH'!M160</f>
        <v>0.53886891117478508</v>
      </c>
      <c r="EC79" s="30">
        <f>'DAILY FLASH'!G171</f>
        <v>0.31450931806350857</v>
      </c>
    </row>
    <row r="80" spans="117:133">
      <c r="DM80" s="321">
        <v>45925</v>
      </c>
      <c r="DN80" s="30">
        <v>8</v>
      </c>
      <c r="DO80" s="90">
        <v>1</v>
      </c>
      <c r="DP80" s="90">
        <v>790.72289156626505</v>
      </c>
      <c r="DQ80" s="336">
        <v>0.33600000000000002</v>
      </c>
      <c r="DR80" s="30">
        <v>0.621</v>
      </c>
      <c r="DX80" s="321">
        <v>46106</v>
      </c>
      <c r="DY80" s="90">
        <f>'DAILY FLASH'!Y21</f>
        <v>6</v>
      </c>
      <c r="DZ80" s="90">
        <f>'DAILY FLASH'!Y22</f>
        <v>1</v>
      </c>
      <c r="EA80" s="90">
        <f>'dsp hot metal'!U89</f>
        <v>352</v>
      </c>
      <c r="EB80" s="336">
        <f>'DAILY FLASH'!M162</f>
        <v>0.48569619750283766</v>
      </c>
      <c r="EC80" s="30">
        <f>'DAILY FLASH'!G173</f>
        <v>0.48022431052093967</v>
      </c>
    </row>
    <row r="81" spans="117:133">
      <c r="DM81" s="321">
        <v>45926</v>
      </c>
      <c r="DN81" s="30">
        <v>9</v>
      </c>
      <c r="DO81" s="90">
        <v>1</v>
      </c>
      <c r="DP81" s="90">
        <v>771.780303030303</v>
      </c>
      <c r="DQ81" s="336">
        <v>0.25</v>
      </c>
      <c r="DR81" s="30">
        <v>0.75900000000000001</v>
      </c>
      <c r="DX81" s="321">
        <v>46107</v>
      </c>
      <c r="DY81" s="90">
        <f>'DAILY FLASH'!Z21</f>
        <v>8</v>
      </c>
      <c r="DZ81" s="90">
        <f>'DAILY FLASH'!Z22</f>
        <v>2</v>
      </c>
      <c r="EA81" s="90">
        <f>'dsp hot metal'!U90</f>
        <v>370</v>
      </c>
      <c r="EB81" s="336">
        <f>'DAILY FLASH'!M164</f>
        <v>0.42399222222222221</v>
      </c>
      <c r="EC81" s="30">
        <f>'DAILY FLASH'!G175</f>
        <v>0.14311417322834646</v>
      </c>
    </row>
    <row r="82" spans="117:133">
      <c r="DM82" s="321">
        <v>45927</v>
      </c>
      <c r="DN82" s="30">
        <v>11</v>
      </c>
      <c r="DO82" s="90">
        <v>2</v>
      </c>
      <c r="DP82" s="90">
        <v>751.22807017543857</v>
      </c>
      <c r="DQ82" s="336">
        <v>0.27900000000000003</v>
      </c>
      <c r="DR82" s="30">
        <v>0.38500000000000001</v>
      </c>
      <c r="DX82" s="321">
        <v>46108</v>
      </c>
      <c r="DY82" s="90">
        <f>'DAILY FLASH'!AA21</f>
        <v>8</v>
      </c>
      <c r="DZ82" s="90">
        <f>'DAILY FLASH'!AA22</f>
        <v>2</v>
      </c>
      <c r="EA82" s="90">
        <f>'dsp hot metal'!U91</f>
        <v>315</v>
      </c>
      <c r="EB82" s="336">
        <f>'DAILY FLASH'!M166</f>
        <v>0.41187599999999996</v>
      </c>
      <c r="EC82" s="30">
        <f>'DAILY FLASH'!G177</f>
        <v>0.23995960076045625</v>
      </c>
    </row>
    <row r="83" spans="117:133">
      <c r="DM83" s="321">
        <v>45928</v>
      </c>
      <c r="DN83" s="30">
        <v>9</v>
      </c>
      <c r="DO83" s="90">
        <v>2</v>
      </c>
      <c r="DP83" s="90">
        <v>750.71770334928226</v>
      </c>
      <c r="DQ83" s="336">
        <v>0.36499999999999999</v>
      </c>
      <c r="DR83" s="30">
        <v>0.36799999999999999</v>
      </c>
      <c r="DX83" s="321">
        <v>46109</v>
      </c>
      <c r="DY83" s="90">
        <f>'DAILY FLASH'!AB21</f>
        <v>9</v>
      </c>
      <c r="DZ83" s="90">
        <f>'DAILY FLASH'!AB22</f>
        <v>2</v>
      </c>
      <c r="EA83" s="90">
        <f>'dsp hot metal'!U92</f>
        <v>522</v>
      </c>
      <c r="EB83" s="336">
        <f>'DAILY FLASH'!M168</f>
        <v>0.27648172413793104</v>
      </c>
      <c r="EC83" s="30" t="e">
        <f>'DAILY FLASH'!G179</f>
        <v>#DIV/0!</v>
      </c>
    </row>
    <row r="84" spans="117:133">
      <c r="DM84" s="321" t="s">
        <v>3610</v>
      </c>
      <c r="DN84" s="30">
        <v>9</v>
      </c>
      <c r="DO84" s="90">
        <v>2</v>
      </c>
      <c r="DP84" s="90">
        <v>843.95833333333337</v>
      </c>
      <c r="DQ84" s="336">
        <v>0.33700000000000002</v>
      </c>
      <c r="DR84" s="30">
        <v>0.32700000000000001</v>
      </c>
      <c r="DX84" s="321">
        <v>46110</v>
      </c>
      <c r="DY84" s="90">
        <f>'DAILY FLASH'!AC21</f>
        <v>9</v>
      </c>
      <c r="DZ84" s="90">
        <f>'DAILY FLASH'!AC22</f>
        <v>2</v>
      </c>
      <c r="EA84" s="90">
        <f>'dsp hot metal'!U93</f>
        <v>462</v>
      </c>
      <c r="EB84" s="336">
        <f>'DAILY FLASH'!M170</f>
        <v>0.23292272138228942</v>
      </c>
      <c r="EC84" s="30">
        <f>'DAILY FLASH'!G181</f>
        <v>0.32040144230769224</v>
      </c>
    </row>
    <row r="85" spans="117:133">
      <c r="DM85" s="321">
        <v>45930</v>
      </c>
      <c r="DN85" s="30">
        <v>10</v>
      </c>
      <c r="DO85" s="90">
        <v>1</v>
      </c>
      <c r="DP85" s="90">
        <v>558.87256176853055</v>
      </c>
      <c r="DQ85" s="336">
        <v>0.19</v>
      </c>
      <c r="DR85" s="30">
        <v>0.68799999999999994</v>
      </c>
      <c r="DX85" s="321">
        <v>46111</v>
      </c>
      <c r="DY85" s="90">
        <f>'DAILY FLASH'!AD21</f>
        <v>9</v>
      </c>
      <c r="DZ85" s="90">
        <f>'DAILY FLASH'!AD22</f>
        <v>2</v>
      </c>
      <c r="EA85" s="90">
        <f>'dsp hot metal'!U94</f>
        <v>0</v>
      </c>
      <c r="EB85" s="336">
        <f>'DAILY FLASH'!M172</f>
        <v>0</v>
      </c>
      <c r="EC85" s="30">
        <f>'DAILY FLASH'!G183</f>
        <v>0</v>
      </c>
    </row>
    <row r="86" spans="117:133">
      <c r="DM86" s="13" t="s">
        <v>23</v>
      </c>
      <c r="DN86" s="13">
        <f>SUM(DN56:DN85)</f>
        <v>240</v>
      </c>
      <c r="DO86" s="30">
        <f>SUM(DO56:DO85)</f>
        <v>42</v>
      </c>
      <c r="DP86" s="90">
        <v>774</v>
      </c>
      <c r="DQ86" s="336">
        <v>0.46800000000000003</v>
      </c>
      <c r="DR86" s="30">
        <v>0.58499999999999996</v>
      </c>
      <c r="DX86" s="321">
        <v>46112</v>
      </c>
      <c r="DY86" s="90">
        <f>'DAILY FLASH'!AE21</f>
        <v>8</v>
      </c>
      <c r="DZ86" s="90">
        <f>'DAILY FLASH'!AE22</f>
        <v>2</v>
      </c>
      <c r="EA86" s="90">
        <f>'dsp hot metal'!U95</f>
        <v>0</v>
      </c>
      <c r="EB86" s="336" t="e">
        <f>'DAILY FLASH'!#REF!</f>
        <v>#REF!</v>
      </c>
      <c r="EC86" s="30">
        <f>'DAILY FLASH'!G185</f>
        <v>0</v>
      </c>
    </row>
    <row r="87" spans="117:133">
      <c r="DX87" s="13" t="s">
        <v>23</v>
      </c>
      <c r="DY87" s="13">
        <f>SUM(DY56:DY85)</f>
        <v>207</v>
      </c>
      <c r="DZ87" s="30">
        <f>SUM(DZ56:DZ85)</f>
        <v>34</v>
      </c>
      <c r="EA87" s="90">
        <f>'dsp hot metal'!U96</f>
        <v>10100</v>
      </c>
      <c r="EB87" s="336">
        <v>0</v>
      </c>
      <c r="EC87" s="30">
        <v>0</v>
      </c>
    </row>
  </sheetData>
  <mergeCells count="47">
    <mergeCell ref="DP54:DQ54"/>
    <mergeCell ref="EA54:EB54"/>
    <mergeCell ref="DG11:DJ11"/>
    <mergeCell ref="DN11:DP11"/>
    <mergeCell ref="DQ11:DT11"/>
    <mergeCell ref="DY11:EA11"/>
    <mergeCell ref="EB11:EE11"/>
    <mergeCell ref="AL12:AM12"/>
    <mergeCell ref="BA12:BB12"/>
    <mergeCell ref="CA11:CD11"/>
    <mergeCell ref="CH11:CJ11"/>
    <mergeCell ref="R11:T11"/>
    <mergeCell ref="V11:X11"/>
    <mergeCell ref="AA11:AC11"/>
    <mergeCell ref="AD11:AF11"/>
    <mergeCell ref="AH11:AK11"/>
    <mergeCell ref="AO11:AQ11"/>
    <mergeCell ref="AR11:AU11"/>
    <mergeCell ref="BG11:BJ11"/>
    <mergeCell ref="BN11:BP11"/>
    <mergeCell ref="BQ11:BT11"/>
    <mergeCell ref="BX11:BZ11"/>
    <mergeCell ref="BD11:BF11"/>
    <mergeCell ref="EV11:EY11"/>
    <mergeCell ref="A11:C11"/>
    <mergeCell ref="E11:G11"/>
    <mergeCell ref="H11:J11"/>
    <mergeCell ref="K11:M11"/>
    <mergeCell ref="N11:P11"/>
    <mergeCell ref="CK11:CN11"/>
    <mergeCell ref="AX11:AZ11"/>
    <mergeCell ref="GU11:GW11"/>
    <mergeCell ref="GX11:HA11"/>
    <mergeCell ref="GK11:GM11"/>
    <mergeCell ref="GN11:GQ11"/>
    <mergeCell ref="CR11:CT11"/>
    <mergeCell ref="EI11:EK11"/>
    <mergeCell ref="EL11:EO11"/>
    <mergeCell ref="CU11:CX11"/>
    <mergeCell ref="DD11:DF11"/>
    <mergeCell ref="GA11:GC11"/>
    <mergeCell ref="GD11:GG11"/>
    <mergeCell ref="FP11:FR11"/>
    <mergeCell ref="FS11:FV11"/>
    <mergeCell ref="FE11:FG11"/>
    <mergeCell ref="FH11:FK11"/>
    <mergeCell ref="ES11:EU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18"/>
  <sheetViews>
    <sheetView zoomScaleSheetLayoutView="100" workbookViewId="0">
      <selection activeCell="C1" sqref="C1"/>
    </sheetView>
  </sheetViews>
  <sheetFormatPr defaultColWidth="9" defaultRowHeight="12.75"/>
  <cols>
    <col min="4" max="4" width="23.140625" customWidth="1"/>
    <col min="5" max="5" width="11.85546875" customWidth="1"/>
    <col min="6" max="6" width="13.5703125" customWidth="1"/>
    <col min="7" max="7" width="18.85546875" customWidth="1"/>
    <col min="8" max="8" width="16" customWidth="1"/>
    <col min="9" max="9" width="15.85546875" customWidth="1"/>
  </cols>
  <sheetData>
    <row r="4" spans="3:9" ht="18">
      <c r="C4" s="308"/>
      <c r="D4" s="2971" t="s">
        <v>3614</v>
      </c>
      <c r="E4" s="2971"/>
      <c r="F4" s="2971"/>
      <c r="G4" s="2971"/>
      <c r="H4" s="2971"/>
      <c r="I4" s="2972"/>
    </row>
    <row r="5" spans="3:9" ht="18">
      <c r="C5" s="309"/>
      <c r="D5" s="11"/>
      <c r="E5" s="11"/>
      <c r="F5" s="2967" t="s">
        <v>3615</v>
      </c>
      <c r="G5" s="2967"/>
      <c r="H5" s="2967"/>
      <c r="I5" s="43"/>
    </row>
    <row r="6" spans="3:9" ht="38.25">
      <c r="C6" s="309"/>
      <c r="D6" s="13"/>
      <c r="E6" s="310" t="s">
        <v>3616</v>
      </c>
      <c r="F6" s="311" t="s">
        <v>3617</v>
      </c>
      <c r="G6" s="311" t="s">
        <v>3618</v>
      </c>
      <c r="H6" s="312" t="s">
        <v>3619</v>
      </c>
      <c r="I6" s="169" t="s">
        <v>3266</v>
      </c>
    </row>
    <row r="7" spans="3:9" ht="18">
      <c r="C7" s="309"/>
      <c r="D7" s="11" t="s">
        <v>3620</v>
      </c>
      <c r="E7" s="313"/>
      <c r="F7" s="13"/>
      <c r="G7" s="13"/>
      <c r="H7" s="13"/>
      <c r="I7" s="43"/>
    </row>
    <row r="8" spans="3:9">
      <c r="C8" s="309">
        <v>1</v>
      </c>
      <c r="D8" s="314" t="s">
        <v>3621</v>
      </c>
      <c r="E8" s="314" t="s">
        <v>3622</v>
      </c>
      <c r="F8" s="314" t="s">
        <v>3623</v>
      </c>
      <c r="G8" s="314" t="s">
        <v>3623</v>
      </c>
      <c r="H8" s="314" t="s">
        <v>3623</v>
      </c>
      <c r="I8" s="316" t="s">
        <v>3624</v>
      </c>
    </row>
    <row r="9" spans="3:9">
      <c r="C9" s="309">
        <v>2</v>
      </c>
      <c r="D9" s="314" t="s">
        <v>3625</v>
      </c>
      <c r="E9" s="314" t="s">
        <v>3626</v>
      </c>
      <c r="F9" s="314" t="s">
        <v>3623</v>
      </c>
      <c r="G9" s="314" t="s">
        <v>3623</v>
      </c>
      <c r="H9" s="314" t="s">
        <v>3623</v>
      </c>
      <c r="I9" s="316" t="s">
        <v>3624</v>
      </c>
    </row>
    <row r="10" spans="3:9">
      <c r="C10" s="309">
        <v>3</v>
      </c>
      <c r="D10" s="314" t="s">
        <v>3627</v>
      </c>
      <c r="E10" s="314" t="s">
        <v>3628</v>
      </c>
      <c r="F10" s="314" t="s">
        <v>3623</v>
      </c>
      <c r="G10" s="314" t="s">
        <v>3623</v>
      </c>
      <c r="H10" s="314" t="s">
        <v>3623</v>
      </c>
      <c r="I10" s="316" t="s">
        <v>3624</v>
      </c>
    </row>
    <row r="11" spans="3:9">
      <c r="C11" s="309">
        <v>4</v>
      </c>
      <c r="D11" s="314" t="s">
        <v>3629</v>
      </c>
      <c r="E11" s="314" t="s">
        <v>3630</v>
      </c>
      <c r="F11" s="314" t="s">
        <v>3623</v>
      </c>
      <c r="G11" s="314" t="s">
        <v>3623</v>
      </c>
      <c r="H11" s="314" t="s">
        <v>3623</v>
      </c>
      <c r="I11" s="316" t="s">
        <v>3624</v>
      </c>
    </row>
    <row r="12" spans="3:9">
      <c r="C12" s="309">
        <v>5</v>
      </c>
      <c r="D12" s="314" t="s">
        <v>3631</v>
      </c>
      <c r="E12" s="314" t="s">
        <v>3632</v>
      </c>
      <c r="F12" s="314" t="s">
        <v>3623</v>
      </c>
      <c r="G12" s="314" t="s">
        <v>3623</v>
      </c>
      <c r="H12" s="314" t="s">
        <v>3623</v>
      </c>
      <c r="I12" s="316" t="s">
        <v>3624</v>
      </c>
    </row>
    <row r="13" spans="3:9">
      <c r="C13" s="309">
        <v>6</v>
      </c>
      <c r="D13" s="314" t="s">
        <v>3633</v>
      </c>
      <c r="E13" s="314" t="s">
        <v>3634</v>
      </c>
      <c r="F13" s="314" t="s">
        <v>3623</v>
      </c>
      <c r="G13" s="314" t="s">
        <v>3623</v>
      </c>
      <c r="H13" s="314" t="s">
        <v>3623</v>
      </c>
      <c r="I13" s="316" t="s">
        <v>3624</v>
      </c>
    </row>
    <row r="14" spans="3:9" ht="13.5">
      <c r="C14" s="309">
        <v>7</v>
      </c>
      <c r="D14" s="315" t="s">
        <v>3635</v>
      </c>
      <c r="E14" s="315" t="s">
        <v>3636</v>
      </c>
      <c r="F14" s="315" t="s">
        <v>3637</v>
      </c>
      <c r="G14" s="315" t="s">
        <v>3637</v>
      </c>
      <c r="H14" s="315" t="s">
        <v>3637</v>
      </c>
      <c r="I14" s="317" t="s">
        <v>3637</v>
      </c>
    </row>
    <row r="15" spans="3:9">
      <c r="C15" s="309">
        <v>8</v>
      </c>
      <c r="D15" s="314" t="s">
        <v>3638</v>
      </c>
      <c r="E15" s="314" t="s">
        <v>3639</v>
      </c>
      <c r="F15" s="314" t="s">
        <v>3623</v>
      </c>
      <c r="G15" s="314" t="s">
        <v>3623</v>
      </c>
      <c r="H15" s="314" t="s">
        <v>3623</v>
      </c>
      <c r="I15" s="316" t="s">
        <v>3624</v>
      </c>
    </row>
    <row r="16" spans="3:9">
      <c r="C16" s="309">
        <v>9</v>
      </c>
      <c r="D16" s="314" t="s">
        <v>3640</v>
      </c>
      <c r="E16" s="314" t="s">
        <v>3641</v>
      </c>
      <c r="F16" s="314" t="s">
        <v>3623</v>
      </c>
      <c r="G16" s="314" t="s">
        <v>3623</v>
      </c>
      <c r="H16" s="314" t="s">
        <v>3623</v>
      </c>
      <c r="I16" s="316" t="s">
        <v>3624</v>
      </c>
    </row>
    <row r="17" spans="3:9">
      <c r="C17" s="309">
        <v>10</v>
      </c>
      <c r="D17" s="314" t="s">
        <v>3642</v>
      </c>
      <c r="E17" s="314" t="s">
        <v>3643</v>
      </c>
      <c r="F17" s="314" t="s">
        <v>3623</v>
      </c>
      <c r="G17" s="314" t="s">
        <v>3623</v>
      </c>
      <c r="H17" s="314" t="s">
        <v>3623</v>
      </c>
      <c r="I17" s="316" t="s">
        <v>3624</v>
      </c>
    </row>
    <row r="18" spans="3:9">
      <c r="C18" s="107"/>
      <c r="D18" s="109"/>
      <c r="E18" s="109"/>
      <c r="F18" s="109"/>
      <c r="G18" s="109"/>
      <c r="H18" s="109"/>
      <c r="I18" s="318"/>
    </row>
  </sheetData>
  <mergeCells count="2">
    <mergeCell ref="D4:I4"/>
    <mergeCell ref="F5:H5"/>
  </mergeCell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AL94"/>
  <sheetViews>
    <sheetView topLeftCell="J22" zoomScaleSheetLayoutView="100" workbookViewId="0">
      <selection activeCell="Q36" sqref="Q36"/>
    </sheetView>
  </sheetViews>
  <sheetFormatPr defaultColWidth="9" defaultRowHeight="12.75"/>
  <cols>
    <col min="2" max="2" width="29" customWidth="1"/>
    <col min="3" max="3" width="19.140625" customWidth="1"/>
    <col min="4" max="4" width="17.140625" bestFit="1" customWidth="1"/>
    <col min="5" max="5" width="18.5703125" customWidth="1"/>
    <col min="6" max="6" width="17.5703125" customWidth="1"/>
    <col min="7" max="7" width="14.140625" customWidth="1"/>
    <col min="8" max="8" width="20.7109375" customWidth="1"/>
    <col min="9" max="9" width="18.7109375" customWidth="1"/>
    <col min="10" max="10" width="19.7109375" customWidth="1"/>
    <col min="11" max="11" width="15.140625" customWidth="1"/>
    <col min="12" max="12" width="22" customWidth="1"/>
    <col min="13" max="13" width="15.28515625" customWidth="1"/>
    <col min="14" max="14" width="25.140625" customWidth="1"/>
    <col min="15" max="15" width="14.5703125" customWidth="1"/>
    <col min="16" max="16" width="20.140625" customWidth="1"/>
    <col min="17" max="17" width="9.85546875" bestFit="1" customWidth="1"/>
    <col min="18" max="18" width="10.140625" bestFit="1" customWidth="1"/>
    <col min="22" max="22" width="9.42578125" customWidth="1"/>
  </cols>
  <sheetData>
    <row r="4" spans="2:16">
      <c r="K4" s="84"/>
      <c r="L4" s="84"/>
      <c r="M4" s="84"/>
      <c r="N4" s="84"/>
      <c r="O4" s="84"/>
      <c r="P4" s="84"/>
    </row>
    <row r="5" spans="2:16" ht="18">
      <c r="B5" s="257"/>
      <c r="C5" s="257"/>
      <c r="D5" s="14"/>
      <c r="E5" s="14"/>
      <c r="H5" s="3023" t="s">
        <v>3371</v>
      </c>
      <c r="I5" s="3023"/>
      <c r="J5" s="3023"/>
      <c r="K5" s="3023"/>
      <c r="L5" s="84"/>
      <c r="M5" s="84"/>
      <c r="N5" s="84"/>
      <c r="O5" s="84"/>
      <c r="P5" s="84"/>
    </row>
    <row r="6" spans="2:16" ht="18">
      <c r="B6" s="3023" t="s">
        <v>2420</v>
      </c>
      <c r="C6" s="3023"/>
      <c r="D6" s="3023"/>
      <c r="E6" s="3023"/>
      <c r="H6" s="133"/>
      <c r="I6" s="133"/>
      <c r="J6" s="133"/>
      <c r="K6" s="133"/>
      <c r="L6" s="84"/>
      <c r="M6" s="84"/>
      <c r="N6" s="84"/>
      <c r="O6" s="84"/>
      <c r="P6" s="84"/>
    </row>
    <row r="7" spans="2:16" ht="18">
      <c r="B7" s="133"/>
      <c r="C7" s="133"/>
      <c r="D7" s="133"/>
      <c r="E7" s="133"/>
      <c r="H7" s="258" t="s">
        <v>300</v>
      </c>
      <c r="I7" s="259" t="s">
        <v>2423</v>
      </c>
      <c r="J7" s="258" t="s">
        <v>532</v>
      </c>
      <c r="K7" s="258" t="s">
        <v>2424</v>
      </c>
      <c r="L7" s="84"/>
      <c r="M7" s="258" t="s">
        <v>532</v>
      </c>
      <c r="N7" s="258" t="s">
        <v>2424</v>
      </c>
      <c r="O7" s="84"/>
      <c r="P7" s="84"/>
    </row>
    <row r="8" spans="2:16" ht="18">
      <c r="B8" s="258" t="s">
        <v>300</v>
      </c>
      <c r="C8" s="259" t="s">
        <v>2423</v>
      </c>
      <c r="D8" s="258" t="s">
        <v>532</v>
      </c>
      <c r="E8" s="258" t="s">
        <v>2424</v>
      </c>
      <c r="H8" s="260">
        <v>42067</v>
      </c>
      <c r="I8" s="258">
        <v>198</v>
      </c>
      <c r="J8" s="258">
        <v>10</v>
      </c>
      <c r="K8" s="258">
        <v>0</v>
      </c>
      <c r="L8" s="287">
        <v>45713</v>
      </c>
      <c r="M8" s="84">
        <v>10</v>
      </c>
      <c r="N8" s="84">
        <v>0</v>
      </c>
      <c r="O8" s="84">
        <v>216</v>
      </c>
      <c r="P8" s="84"/>
    </row>
    <row r="9" spans="2:16" ht="18">
      <c r="B9" s="260">
        <v>43653</v>
      </c>
      <c r="C9" s="258">
        <v>198</v>
      </c>
      <c r="D9" s="258">
        <v>9</v>
      </c>
      <c r="E9" s="258"/>
      <c r="H9" s="260">
        <v>41902</v>
      </c>
      <c r="I9" s="258">
        <v>212</v>
      </c>
      <c r="J9" s="258">
        <v>10</v>
      </c>
      <c r="K9" s="258">
        <v>0</v>
      </c>
      <c r="L9" s="287">
        <v>45728</v>
      </c>
      <c r="M9" s="84">
        <v>10</v>
      </c>
      <c r="N9" s="84">
        <v>3</v>
      </c>
      <c r="O9" s="84"/>
      <c r="P9" s="84"/>
    </row>
    <row r="10" spans="2:16" ht="18">
      <c r="B10" s="260">
        <v>43668</v>
      </c>
      <c r="C10" s="258"/>
      <c r="D10" s="258">
        <v>6</v>
      </c>
      <c r="E10" s="258">
        <v>3</v>
      </c>
      <c r="H10" s="260">
        <v>41903</v>
      </c>
      <c r="I10" s="258">
        <v>212</v>
      </c>
      <c r="J10" s="258">
        <v>10</v>
      </c>
      <c r="K10" s="258">
        <v>0</v>
      </c>
      <c r="L10" s="287">
        <v>45881</v>
      </c>
      <c r="M10" s="84">
        <v>10</v>
      </c>
      <c r="N10" s="84">
        <v>2</v>
      </c>
      <c r="O10" s="84"/>
      <c r="P10" s="84"/>
    </row>
    <row r="11" spans="2:16" ht="18">
      <c r="B11" s="260">
        <v>43694</v>
      </c>
      <c r="C11" s="258">
        <v>200</v>
      </c>
      <c r="D11" s="258">
        <v>6</v>
      </c>
      <c r="E11" s="258">
        <v>3</v>
      </c>
      <c r="H11" s="260">
        <v>41904</v>
      </c>
      <c r="I11" s="258">
        <v>212</v>
      </c>
      <c r="J11" s="258">
        <v>10</v>
      </c>
      <c r="K11" s="258">
        <v>0</v>
      </c>
      <c r="L11" s="84"/>
      <c r="M11" s="84"/>
      <c r="N11" s="84"/>
      <c r="O11" s="84"/>
      <c r="P11" s="84"/>
    </row>
    <row r="12" spans="2:16" ht="18">
      <c r="B12" s="260">
        <v>43707</v>
      </c>
      <c r="C12" s="258"/>
      <c r="D12" s="258">
        <v>6</v>
      </c>
      <c r="E12" s="258">
        <v>3</v>
      </c>
      <c r="H12" s="260">
        <v>41906</v>
      </c>
      <c r="I12" s="258">
        <v>212</v>
      </c>
      <c r="J12" s="258">
        <v>9</v>
      </c>
      <c r="K12" s="258">
        <v>1</v>
      </c>
    </row>
    <row r="13" spans="2:16" ht="18">
      <c r="B13" s="260">
        <v>43708</v>
      </c>
      <c r="C13" s="258"/>
      <c r="D13" s="258">
        <v>6</v>
      </c>
      <c r="E13" s="258">
        <v>3</v>
      </c>
      <c r="H13" s="260">
        <v>41786</v>
      </c>
      <c r="I13" s="258">
        <v>210</v>
      </c>
      <c r="J13" s="258">
        <v>10</v>
      </c>
      <c r="K13" s="258">
        <v>0</v>
      </c>
    </row>
    <row r="14" spans="2:16" ht="23.25">
      <c r="B14" s="260">
        <v>43738</v>
      </c>
      <c r="C14" s="258">
        <v>190</v>
      </c>
      <c r="D14" s="258">
        <v>6</v>
      </c>
      <c r="E14" s="258">
        <v>3</v>
      </c>
      <c r="H14" s="733" t="s">
        <v>3375</v>
      </c>
      <c r="I14" s="733"/>
      <c r="J14" s="719"/>
      <c r="K14" s="719"/>
    </row>
    <row r="15" spans="2:16" ht="20.25">
      <c r="B15" s="133"/>
      <c r="C15" s="133"/>
      <c r="D15" s="133"/>
      <c r="E15" s="133"/>
      <c r="H15" s="84" t="s">
        <v>3376</v>
      </c>
      <c r="I15" s="84" t="s">
        <v>3377</v>
      </c>
      <c r="J15" s="2470" t="s">
        <v>3644</v>
      </c>
      <c r="K15" s="288" t="s">
        <v>3378</v>
      </c>
      <c r="L15" t="s">
        <v>3379</v>
      </c>
      <c r="M15" t="s">
        <v>3380</v>
      </c>
    </row>
    <row r="16" spans="2:16">
      <c r="H16" s="84" t="s">
        <v>3381</v>
      </c>
      <c r="I16" s="84" t="s">
        <v>3382</v>
      </c>
      <c r="J16" s="289">
        <v>45766</v>
      </c>
      <c r="K16" s="290" t="s">
        <v>3383</v>
      </c>
      <c r="L16" s="289">
        <v>45878</v>
      </c>
      <c r="M16" t="s">
        <v>3384</v>
      </c>
    </row>
    <row r="17" spans="2:19">
      <c r="H17" s="84" t="s">
        <v>3385</v>
      </c>
      <c r="I17" s="84" t="s">
        <v>3386</v>
      </c>
      <c r="J17" s="289">
        <v>45768</v>
      </c>
      <c r="K17" s="290" t="s">
        <v>3387</v>
      </c>
      <c r="L17" s="289">
        <v>45880</v>
      </c>
      <c r="M17" s="290" t="s">
        <v>3388</v>
      </c>
    </row>
    <row r="18" spans="2:19">
      <c r="H18" s="261" t="s">
        <v>3389</v>
      </c>
      <c r="I18" s="84" t="s">
        <v>3390</v>
      </c>
      <c r="J18" s="289">
        <v>45773</v>
      </c>
      <c r="K18" s="290" t="s">
        <v>3391</v>
      </c>
      <c r="L18" s="289">
        <v>45885</v>
      </c>
      <c r="M18" s="290" t="s">
        <v>3392</v>
      </c>
    </row>
    <row r="19" spans="2:19" ht="18">
      <c r="B19" s="262"/>
      <c r="C19" s="262"/>
      <c r="D19" s="262"/>
      <c r="E19" s="262"/>
      <c r="F19" s="262"/>
      <c r="G19" s="84"/>
      <c r="H19" s="84" t="s">
        <v>3394</v>
      </c>
      <c r="I19" s="84" t="s">
        <v>3395</v>
      </c>
      <c r="J19" s="287">
        <v>45780</v>
      </c>
      <c r="K19" s="290" t="s">
        <v>3396</v>
      </c>
      <c r="L19" s="289">
        <v>45887</v>
      </c>
      <c r="M19" s="290" t="s">
        <v>3397</v>
      </c>
    </row>
    <row r="20" spans="2:19" ht="18">
      <c r="B20" s="258"/>
      <c r="C20" s="263"/>
      <c r="D20" s="263"/>
      <c r="E20" s="263"/>
      <c r="F20" s="263"/>
      <c r="G20" s="84"/>
      <c r="H20" s="84" t="s">
        <v>3402</v>
      </c>
      <c r="I20" s="84" t="s">
        <v>3403</v>
      </c>
      <c r="J20" s="287">
        <v>45782</v>
      </c>
      <c r="K20" s="290" t="s">
        <v>3404</v>
      </c>
      <c r="L20" s="289">
        <v>45892</v>
      </c>
      <c r="M20" s="290" t="s">
        <v>3405</v>
      </c>
    </row>
    <row r="21" spans="2:19" ht="18">
      <c r="B21" s="258"/>
      <c r="C21" s="263"/>
      <c r="D21" s="263"/>
      <c r="E21" s="263"/>
      <c r="F21" s="263"/>
      <c r="G21" s="84"/>
      <c r="H21" s="84" t="s">
        <v>3409</v>
      </c>
      <c r="I21" s="84" t="s">
        <v>3410</v>
      </c>
      <c r="J21" s="287">
        <v>45787</v>
      </c>
      <c r="K21" s="290" t="s">
        <v>3411</v>
      </c>
      <c r="L21" s="289">
        <v>67809</v>
      </c>
      <c r="M21" s="290" t="s">
        <v>3412</v>
      </c>
      <c r="R21" s="2803" t="s">
        <v>4132</v>
      </c>
      <c r="S21" s="2803"/>
    </row>
    <row r="22" spans="2:19" ht="23.25">
      <c r="B22" s="258"/>
      <c r="C22" s="263"/>
      <c r="D22" s="263"/>
      <c r="E22" s="263"/>
      <c r="F22" s="263"/>
      <c r="G22" s="84"/>
      <c r="H22" s="84" t="s">
        <v>3415</v>
      </c>
      <c r="I22" s="84" t="s">
        <v>3416</v>
      </c>
      <c r="J22" s="2470" t="s">
        <v>3645</v>
      </c>
      <c r="K22" s="288" t="s">
        <v>3417</v>
      </c>
      <c r="L22" s="291" t="s">
        <v>3646</v>
      </c>
      <c r="M22" s="292" t="s">
        <v>3418</v>
      </c>
      <c r="R22" s="292" t="s">
        <v>290</v>
      </c>
    </row>
    <row r="23" spans="2:19" ht="18">
      <c r="B23" s="258"/>
      <c r="C23" s="263"/>
      <c r="D23" s="263"/>
      <c r="E23" s="263"/>
      <c r="F23" s="263"/>
      <c r="G23" s="84"/>
      <c r="H23" s="84" t="s">
        <v>3420</v>
      </c>
      <c r="I23" s="293" t="s">
        <v>3421</v>
      </c>
      <c r="J23" s="287">
        <v>45803</v>
      </c>
      <c r="K23" s="290" t="s">
        <v>3422</v>
      </c>
      <c r="L23" s="289">
        <v>45901</v>
      </c>
      <c r="M23" s="290" t="s">
        <v>3423</v>
      </c>
      <c r="N23" s="289">
        <v>45927</v>
      </c>
      <c r="O23" t="s">
        <v>3647</v>
      </c>
      <c r="P23" s="289">
        <v>45962</v>
      </c>
      <c r="Q23" t="s">
        <v>3891</v>
      </c>
      <c r="R23" s="289">
        <v>46116</v>
      </c>
      <c r="S23" t="s">
        <v>4140</v>
      </c>
    </row>
    <row r="24" spans="2:19" ht="18">
      <c r="B24" s="4"/>
      <c r="C24" s="11"/>
      <c r="D24" s="11"/>
      <c r="E24" s="11"/>
      <c r="F24" s="11"/>
      <c r="G24" s="84"/>
      <c r="H24" s="84" t="s">
        <v>3425</v>
      </c>
      <c r="I24" s="84" t="s">
        <v>3426</v>
      </c>
      <c r="J24" s="287">
        <v>45822</v>
      </c>
      <c r="K24" s="290" t="s">
        <v>3427</v>
      </c>
      <c r="L24" s="289">
        <v>45902</v>
      </c>
      <c r="M24" s="290" t="s">
        <v>3428</v>
      </c>
      <c r="N24" t="s">
        <v>3648</v>
      </c>
      <c r="O24" t="s">
        <v>3649</v>
      </c>
      <c r="P24" t="s">
        <v>4064</v>
      </c>
      <c r="Q24" t="s">
        <v>4065</v>
      </c>
      <c r="R24" s="289">
        <v>46132</v>
      </c>
      <c r="S24" t="s">
        <v>4162</v>
      </c>
    </row>
    <row r="25" spans="2:19" ht="20.25">
      <c r="B25" s="4"/>
      <c r="C25" s="11"/>
      <c r="D25" s="11"/>
      <c r="E25" s="11"/>
      <c r="F25" s="11"/>
      <c r="G25" s="84"/>
      <c r="H25" s="264" t="s">
        <v>3650</v>
      </c>
      <c r="I25" s="288" t="s">
        <v>3430</v>
      </c>
      <c r="J25" s="287">
        <v>45829</v>
      </c>
      <c r="K25" s="290" t="s">
        <v>3431</v>
      </c>
      <c r="L25" s="289">
        <v>45906</v>
      </c>
      <c r="M25" s="290" t="s">
        <v>3651</v>
      </c>
      <c r="N25" s="289">
        <v>45934</v>
      </c>
      <c r="O25" s="290" t="s">
        <v>3652</v>
      </c>
      <c r="P25" s="289" t="s">
        <v>4100</v>
      </c>
      <c r="Q25" t="s">
        <v>4101</v>
      </c>
      <c r="R25" s="289">
        <v>46137</v>
      </c>
      <c r="S25" t="s">
        <v>4163</v>
      </c>
    </row>
    <row r="26" spans="2:19">
      <c r="B26" s="84"/>
      <c r="C26" s="84"/>
      <c r="D26" s="84"/>
      <c r="E26" s="84"/>
      <c r="F26" s="84"/>
      <c r="H26" s="84" t="s">
        <v>3432</v>
      </c>
      <c r="I26" s="84" t="s">
        <v>3433</v>
      </c>
      <c r="J26" s="289">
        <v>45831</v>
      </c>
      <c r="K26" t="s">
        <v>3434</v>
      </c>
      <c r="L26" s="289">
        <v>45909</v>
      </c>
      <c r="M26" s="290" t="s">
        <v>3653</v>
      </c>
      <c r="N26" s="289">
        <v>45936</v>
      </c>
      <c r="O26" s="290" t="s">
        <v>3654</v>
      </c>
      <c r="R26" s="289">
        <v>46139</v>
      </c>
      <c r="S26" t="s">
        <v>4165</v>
      </c>
    </row>
    <row r="27" spans="2:19">
      <c r="H27" s="84" t="s">
        <v>3437</v>
      </c>
      <c r="I27" t="s">
        <v>3438</v>
      </c>
      <c r="J27" s="289">
        <v>45843</v>
      </c>
      <c r="K27" t="s">
        <v>3439</v>
      </c>
      <c r="L27" s="289">
        <v>45915</v>
      </c>
      <c r="M27" s="290" t="s">
        <v>3655</v>
      </c>
      <c r="N27" s="289">
        <v>45943</v>
      </c>
      <c r="O27" s="290" t="s">
        <v>3656</v>
      </c>
      <c r="R27" s="289">
        <v>46151</v>
      </c>
      <c r="S27" t="s">
        <v>4181</v>
      </c>
    </row>
    <row r="28" spans="2:19">
      <c r="H28" s="84" t="s">
        <v>3440</v>
      </c>
      <c r="I28" s="84" t="s">
        <v>3441</v>
      </c>
      <c r="L28" s="289">
        <v>45916</v>
      </c>
      <c r="M28" s="290" t="s">
        <v>3657</v>
      </c>
      <c r="N28" s="289">
        <v>45948</v>
      </c>
      <c r="O28" t="s">
        <v>3881</v>
      </c>
      <c r="R28" s="289">
        <v>46172</v>
      </c>
      <c r="S28" t="s">
        <v>4213</v>
      </c>
    </row>
    <row r="29" spans="2:19" ht="24.75">
      <c r="B29" s="265"/>
      <c r="C29" s="265"/>
      <c r="D29" s="265"/>
      <c r="E29" s="265" t="s">
        <v>3443</v>
      </c>
      <c r="F29" s="265"/>
      <c r="G29" s="265"/>
      <c r="H29" s="265"/>
      <c r="I29" s="127"/>
      <c r="J29" s="127"/>
      <c r="K29" s="244" t="s">
        <v>867</v>
      </c>
      <c r="L29" s="294"/>
      <c r="M29" s="295" t="s">
        <v>3444</v>
      </c>
      <c r="N29" s="296"/>
      <c r="O29" t="s">
        <v>4132</v>
      </c>
    </row>
    <row r="30" spans="2:19" ht="18">
      <c r="B30" s="265" t="s">
        <v>2425</v>
      </c>
      <c r="C30" s="266"/>
      <c r="D30" s="267"/>
      <c r="E30" s="266" t="s">
        <v>150</v>
      </c>
      <c r="F30" s="265" t="s">
        <v>2425</v>
      </c>
      <c r="G30" s="266"/>
      <c r="H30" s="267"/>
      <c r="K30" s="297" t="s">
        <v>3445</v>
      </c>
      <c r="L30" s="268" t="s">
        <v>3446</v>
      </c>
      <c r="M30" s="298" t="s">
        <v>3447</v>
      </c>
      <c r="N30" s="299"/>
      <c r="O30" s="276" t="s">
        <v>4137</v>
      </c>
      <c r="P30" s="270"/>
    </row>
    <row r="31" spans="2:19" ht="36.75" thickBot="1">
      <c r="B31" s="267" t="s">
        <v>2426</v>
      </c>
      <c r="C31" s="14"/>
      <c r="D31" s="268"/>
      <c r="E31" s="268" t="s">
        <v>2260</v>
      </c>
      <c r="F31" s="23" t="s">
        <v>2427</v>
      </c>
      <c r="G31" s="14" t="s">
        <v>3449</v>
      </c>
      <c r="H31" s="268" t="s">
        <v>3450</v>
      </c>
      <c r="J31" s="300"/>
      <c r="K31" s="297" t="s">
        <v>3451</v>
      </c>
      <c r="L31" s="301" t="s">
        <v>3448</v>
      </c>
      <c r="M31" s="298" t="s">
        <v>3452</v>
      </c>
      <c r="N31" s="299"/>
      <c r="O31" s="276" t="s">
        <v>3892</v>
      </c>
      <c r="P31" s="270" t="s">
        <v>4164</v>
      </c>
    </row>
    <row r="32" spans="2:19" ht="18.75" thickBot="1">
      <c r="B32" s="269" t="s">
        <v>2428</v>
      </c>
      <c r="C32" s="265"/>
      <c r="D32" s="270"/>
      <c r="E32" s="14" t="s">
        <v>723</v>
      </c>
      <c r="F32" s="257">
        <v>21</v>
      </c>
      <c r="G32" s="265"/>
      <c r="H32" s="270" t="s">
        <v>3454</v>
      </c>
      <c r="I32" s="298" t="s">
        <v>3447</v>
      </c>
      <c r="K32" s="297" t="s">
        <v>3455</v>
      </c>
      <c r="L32" s="84">
        <v>31</v>
      </c>
      <c r="M32" s="2472" t="s">
        <v>305</v>
      </c>
      <c r="N32" s="299"/>
      <c r="O32" s="276" t="s">
        <v>3476</v>
      </c>
      <c r="P32" s="270" t="s">
        <v>4166</v>
      </c>
    </row>
    <row r="33" spans="2:16" ht="30.75" thickBot="1">
      <c r="B33" s="271" t="s">
        <v>2429</v>
      </c>
      <c r="C33" s="14"/>
      <c r="D33" s="270"/>
      <c r="E33" s="272" t="s">
        <v>2147</v>
      </c>
      <c r="F33" s="269" t="s">
        <v>2430</v>
      </c>
      <c r="G33" s="14"/>
      <c r="H33" s="270" t="s">
        <v>3456</v>
      </c>
      <c r="I33" s="298"/>
      <c r="K33" s="302" t="s">
        <v>868</v>
      </c>
      <c r="M33" s="14" t="s">
        <v>3445</v>
      </c>
      <c r="N33" s="2473" t="s">
        <v>3884</v>
      </c>
      <c r="O33" s="2735" t="s">
        <v>4183</v>
      </c>
      <c r="P33" s="270">
        <v>0</v>
      </c>
    </row>
    <row r="34" spans="2:16" ht="18">
      <c r="B34" s="271" t="s">
        <v>2431</v>
      </c>
      <c r="C34" s="14"/>
      <c r="D34" s="270"/>
      <c r="E34" s="272"/>
      <c r="F34" s="271"/>
      <c r="G34" s="14"/>
      <c r="H34" s="270" t="s">
        <v>3458</v>
      </c>
      <c r="I34" s="298" t="s">
        <v>3452</v>
      </c>
      <c r="K34" s="14" t="s">
        <v>3445</v>
      </c>
      <c r="L34" s="303" t="s">
        <v>3459</v>
      </c>
      <c r="M34" s="14" t="s">
        <v>3451</v>
      </c>
      <c r="N34" s="303" t="s">
        <v>3885</v>
      </c>
      <c r="O34" s="276" t="s">
        <v>3476</v>
      </c>
      <c r="P34" s="270" t="s">
        <v>4214</v>
      </c>
    </row>
    <row r="35" spans="2:16" ht="18.75" thickBot="1">
      <c r="B35" s="271">
        <v>25</v>
      </c>
      <c r="C35" s="14"/>
      <c r="D35" s="270"/>
      <c r="E35" s="272"/>
      <c r="F35" s="271"/>
      <c r="G35" s="14"/>
      <c r="H35" s="270" t="s">
        <v>3460</v>
      </c>
      <c r="I35" s="298"/>
      <c r="K35" s="14" t="s">
        <v>3451</v>
      </c>
      <c r="L35" s="281" t="s">
        <v>3461</v>
      </c>
      <c r="M35" s="2472" t="s">
        <v>3886</v>
      </c>
      <c r="N35" s="2472"/>
      <c r="O35" s="276" t="s">
        <v>3892</v>
      </c>
      <c r="P35" s="270" t="s">
        <v>4194</v>
      </c>
    </row>
    <row r="36" spans="2:16" ht="36.75" thickBot="1">
      <c r="B36" s="271">
        <v>6</v>
      </c>
      <c r="C36" s="14"/>
      <c r="D36" s="270"/>
      <c r="E36" s="272" t="s">
        <v>2148</v>
      </c>
      <c r="F36" s="271" t="s">
        <v>2432</v>
      </c>
      <c r="G36" s="14" t="s">
        <v>863</v>
      </c>
      <c r="H36" s="270" t="s">
        <v>3462</v>
      </c>
      <c r="I36" s="298" t="s">
        <v>3447</v>
      </c>
      <c r="K36" s="14" t="s">
        <v>3455</v>
      </c>
      <c r="L36" s="304" t="s">
        <v>3463</v>
      </c>
      <c r="M36" s="2472" t="s">
        <v>3892</v>
      </c>
      <c r="N36" s="2472" t="s">
        <v>3894</v>
      </c>
      <c r="P36" s="270"/>
    </row>
    <row r="37" spans="2:16" ht="18.75" thickBot="1">
      <c r="B37" s="271">
        <v>5</v>
      </c>
      <c r="C37" s="273"/>
      <c r="D37" s="270"/>
      <c r="E37" s="272" t="s">
        <v>1994</v>
      </c>
      <c r="F37" s="271" t="s">
        <v>2433</v>
      </c>
      <c r="G37" s="273"/>
      <c r="H37" s="270" t="s">
        <v>3464</v>
      </c>
      <c r="I37" s="298" t="s">
        <v>3452</v>
      </c>
      <c r="K37" s="14" t="s">
        <v>3465</v>
      </c>
      <c r="L37" s="14">
        <v>28</v>
      </c>
      <c r="M37" s="2472" t="s">
        <v>3451</v>
      </c>
      <c r="N37" s="2472" t="s">
        <v>3893</v>
      </c>
    </row>
    <row r="38" spans="2:16" ht="18.75" thickBot="1">
      <c r="B38" s="271" t="s">
        <v>2436</v>
      </c>
      <c r="C38" s="14"/>
      <c r="D38" s="270"/>
      <c r="E38" s="14" t="s">
        <v>2437</v>
      </c>
      <c r="F38" s="271" t="s">
        <v>2438</v>
      </c>
      <c r="G38" s="14"/>
      <c r="H38" s="270" t="s">
        <v>3466</v>
      </c>
      <c r="I38" s="298"/>
      <c r="J38" s="63"/>
      <c r="K38" s="14" t="s">
        <v>3467</v>
      </c>
      <c r="L38" s="305">
        <v>31</v>
      </c>
      <c r="M38" s="305" t="s">
        <v>3455</v>
      </c>
      <c r="N38" s="2472">
        <v>16</v>
      </c>
    </row>
    <row r="39" spans="2:16" ht="18">
      <c r="B39" s="271">
        <v>3</v>
      </c>
      <c r="C39" s="14"/>
      <c r="D39" s="270"/>
      <c r="E39" s="14" t="s">
        <v>729</v>
      </c>
      <c r="F39" s="271" t="s">
        <v>2440</v>
      </c>
      <c r="G39" s="14"/>
      <c r="H39" s="270" t="s">
        <v>3468</v>
      </c>
      <c r="I39" s="298"/>
      <c r="J39" s="63"/>
      <c r="L39" s="305"/>
    </row>
    <row r="40" spans="2:16" ht="23.25">
      <c r="B40" s="270">
        <v>31</v>
      </c>
      <c r="C40" s="14"/>
      <c r="D40" s="270"/>
      <c r="E40" s="14"/>
      <c r="F40" s="271" t="s">
        <v>2442</v>
      </c>
      <c r="G40" s="2791" t="s">
        <v>274</v>
      </c>
      <c r="H40" s="2792"/>
      <c r="I40" s="2792"/>
      <c r="J40" s="2792"/>
      <c r="K40" s="14" t="s">
        <v>2633</v>
      </c>
      <c r="M40" s="305" t="s">
        <v>3949</v>
      </c>
    </row>
    <row r="41" spans="2:16" ht="18.75" thickBot="1">
      <c r="B41" s="270" t="s">
        <v>2444</v>
      </c>
      <c r="C41" s="14"/>
      <c r="D41" s="270"/>
      <c r="E41" s="272" t="s">
        <v>730</v>
      </c>
      <c r="F41" s="275" t="s">
        <v>2445</v>
      </c>
      <c r="G41" s="254" t="s">
        <v>864</v>
      </c>
      <c r="H41" s="255"/>
      <c r="I41" s="306" t="s">
        <v>3447</v>
      </c>
      <c r="J41" s="296"/>
      <c r="K41" s="14" t="s">
        <v>3445</v>
      </c>
      <c r="L41" s="14" t="s">
        <v>3658</v>
      </c>
      <c r="M41" t="s">
        <v>3892</v>
      </c>
      <c r="N41" s="2472" t="s">
        <v>3982</v>
      </c>
    </row>
    <row r="42" spans="2:16" ht="36.75" thickBot="1">
      <c r="B42" s="270" t="s">
        <v>43</v>
      </c>
      <c r="C42" s="14"/>
      <c r="D42" s="270"/>
      <c r="E42" s="272" t="s">
        <v>2448</v>
      </c>
      <c r="F42" s="275" t="s">
        <v>2449</v>
      </c>
      <c r="G42" s="276" t="s">
        <v>3445</v>
      </c>
      <c r="H42" s="270" t="s">
        <v>3473</v>
      </c>
      <c r="I42" s="298" t="s">
        <v>3447</v>
      </c>
      <c r="J42" s="299"/>
      <c r="K42" s="14" t="s">
        <v>3451</v>
      </c>
      <c r="L42" s="307" t="s">
        <v>3659</v>
      </c>
      <c r="M42" s="305" t="s">
        <v>3945</v>
      </c>
      <c r="N42" s="2472"/>
    </row>
    <row r="43" spans="2:16" ht="18.75" thickBot="1">
      <c r="B43" s="277"/>
      <c r="C43" s="14"/>
      <c r="D43" s="270"/>
      <c r="E43" s="14" t="s">
        <v>3474</v>
      </c>
      <c r="F43" s="257" t="s">
        <v>3475</v>
      </c>
      <c r="G43" s="276" t="s">
        <v>3476</v>
      </c>
      <c r="H43" s="270" t="s">
        <v>3477</v>
      </c>
      <c r="I43" s="298"/>
      <c r="J43" s="299"/>
      <c r="K43" s="14" t="s">
        <v>3455</v>
      </c>
      <c r="L43" s="14" t="s">
        <v>3660</v>
      </c>
      <c r="M43" s="14" t="s">
        <v>4010</v>
      </c>
      <c r="N43" s="2472" t="s">
        <v>4063</v>
      </c>
    </row>
    <row r="44" spans="2:16" ht="36.75" thickBot="1">
      <c r="B44" s="278"/>
      <c r="C44" s="273"/>
      <c r="D44" s="278"/>
      <c r="E44" s="279"/>
      <c r="F44" s="280" t="s">
        <v>3478</v>
      </c>
      <c r="G44" s="14" t="s">
        <v>3455</v>
      </c>
      <c r="J44" s="299"/>
      <c r="K44" s="14" t="s">
        <v>3661</v>
      </c>
      <c r="L44" s="14" t="s">
        <v>2432</v>
      </c>
      <c r="N44" s="2472" t="s">
        <v>4096</v>
      </c>
    </row>
    <row r="45" spans="2:16" ht="18">
      <c r="E45" s="14" t="s">
        <v>861</v>
      </c>
      <c r="F45" s="257" t="s">
        <v>3480</v>
      </c>
      <c r="G45" s="276" t="s">
        <v>865</v>
      </c>
      <c r="H45" s="281"/>
      <c r="I45" s="298" t="s">
        <v>3447</v>
      </c>
      <c r="J45" s="299"/>
      <c r="M45" s="305" t="s">
        <v>4059</v>
      </c>
      <c r="N45" s="305" t="s">
        <v>4075</v>
      </c>
    </row>
    <row r="46" spans="2:16" ht="54">
      <c r="F46" s="257" t="s">
        <v>3481</v>
      </c>
      <c r="G46" s="282" t="s">
        <v>3445</v>
      </c>
      <c r="H46" s="283" t="s">
        <v>3482</v>
      </c>
      <c r="J46" s="299"/>
      <c r="M46" s="305"/>
      <c r="N46" s="305">
        <v>28</v>
      </c>
    </row>
    <row r="47" spans="2:16" ht="18">
      <c r="F47" s="257" t="s">
        <v>3483</v>
      </c>
      <c r="G47" s="276" t="s">
        <v>3476</v>
      </c>
      <c r="H47" s="270" t="s">
        <v>3484</v>
      </c>
      <c r="J47" s="299"/>
      <c r="M47" s="305" t="s">
        <v>3987</v>
      </c>
      <c r="N47" s="305"/>
    </row>
    <row r="48" spans="2:16" ht="36">
      <c r="F48" s="257" t="s">
        <v>3486</v>
      </c>
      <c r="G48" s="284" t="s">
        <v>3487</v>
      </c>
      <c r="H48" s="285" t="s">
        <v>3488</v>
      </c>
      <c r="J48" s="299"/>
      <c r="M48" s="305" t="s">
        <v>4104</v>
      </c>
      <c r="N48" s="2672" t="s">
        <v>4106</v>
      </c>
    </row>
    <row r="49" spans="2:18" ht="18">
      <c r="G49" s="284" t="s">
        <v>3451</v>
      </c>
      <c r="H49" s="285" t="s">
        <v>3490</v>
      </c>
      <c r="I49" s="298" t="s">
        <v>3447</v>
      </c>
      <c r="J49" s="299"/>
      <c r="M49" s="305" t="s">
        <v>4059</v>
      </c>
      <c r="N49" s="305" t="s">
        <v>4105</v>
      </c>
    </row>
    <row r="50" spans="2:18">
      <c r="B50" s="8"/>
      <c r="C50" s="8"/>
      <c r="D50" s="8"/>
      <c r="E50" s="8"/>
      <c r="F50" s="8"/>
      <c r="G50" s="29"/>
      <c r="H50" s="286"/>
      <c r="I50" s="286"/>
      <c r="J50" s="28"/>
    </row>
    <row r="53" spans="2:18" ht="20.25">
      <c r="B53" s="3134" t="s">
        <v>4058</v>
      </c>
      <c r="C53" s="3134"/>
      <c r="D53" s="3134"/>
      <c r="E53" s="3134"/>
      <c r="F53" s="3134"/>
      <c r="G53" s="3134"/>
      <c r="H53" s="3134"/>
      <c r="I53" s="3134"/>
      <c r="J53" s="3134"/>
      <c r="K53" s="3134"/>
      <c r="L53" s="3134"/>
      <c r="M53" s="3134"/>
    </row>
    <row r="54" spans="2:18" ht="20.25">
      <c r="B54" s="3133" t="s">
        <v>807</v>
      </c>
      <c r="C54" s="3133"/>
      <c r="D54" s="3133" t="s">
        <v>808</v>
      </c>
      <c r="E54" s="3133"/>
      <c r="F54" s="3133" t="s">
        <v>809</v>
      </c>
      <c r="G54" s="3133"/>
      <c r="H54" s="3133" t="s">
        <v>2363</v>
      </c>
      <c r="I54" s="3133"/>
      <c r="J54" s="3133" t="s">
        <v>2410</v>
      </c>
      <c r="K54" s="3133"/>
      <c r="L54" s="3133" t="s">
        <v>274</v>
      </c>
      <c r="M54" s="3133"/>
      <c r="P54" s="2915"/>
      <c r="Q54" s="2915"/>
      <c r="R54" s="2915"/>
    </row>
    <row r="55" spans="2:18" ht="20.25">
      <c r="B55" s="342" t="s">
        <v>4039</v>
      </c>
      <c r="C55" s="342" t="s">
        <v>4040</v>
      </c>
      <c r="D55" s="342"/>
      <c r="E55" s="342"/>
      <c r="F55" s="342"/>
      <c r="G55" s="342"/>
      <c r="H55" s="342"/>
      <c r="I55" s="342"/>
      <c r="J55" s="342"/>
      <c r="K55" s="342"/>
      <c r="L55" s="342"/>
      <c r="M55" s="342" t="s">
        <v>463</v>
      </c>
      <c r="N55" s="18" t="s">
        <v>4111</v>
      </c>
      <c r="P55" s="3133" t="s">
        <v>4190</v>
      </c>
      <c r="Q55" s="3133"/>
    </row>
    <row r="56" spans="2:18" ht="20.25">
      <c r="B56" s="2642">
        <v>44134</v>
      </c>
      <c r="C56" s="342" t="s">
        <v>4041</v>
      </c>
      <c r="D56" s="2642">
        <v>44367</v>
      </c>
      <c r="E56" s="342" t="s">
        <v>4046</v>
      </c>
      <c r="F56" s="2642">
        <v>44742</v>
      </c>
      <c r="G56" s="342" t="s">
        <v>4050</v>
      </c>
      <c r="H56" s="2642">
        <v>45138</v>
      </c>
      <c r="I56" s="342" t="s">
        <v>4051</v>
      </c>
      <c r="J56" s="2642">
        <v>45443</v>
      </c>
      <c r="K56" s="342" t="s">
        <v>4054</v>
      </c>
      <c r="L56" s="2642">
        <v>45777</v>
      </c>
      <c r="M56" s="2674">
        <v>946</v>
      </c>
      <c r="N56" s="2674">
        <v>264</v>
      </c>
      <c r="O56" s="2674">
        <f>+M56-N56</f>
        <v>682</v>
      </c>
      <c r="P56" s="2678">
        <v>46115</v>
      </c>
      <c r="Q56" s="2677">
        <v>744</v>
      </c>
    </row>
    <row r="57" spans="2:18" ht="20.25">
      <c r="B57" s="2642">
        <v>44161</v>
      </c>
      <c r="C57" s="342" t="s">
        <v>4042</v>
      </c>
      <c r="D57" s="2642">
        <v>44439</v>
      </c>
      <c r="E57" s="342" t="s">
        <v>4047</v>
      </c>
      <c r="F57" s="342"/>
      <c r="G57" s="342"/>
      <c r="H57" s="2642">
        <v>45168</v>
      </c>
      <c r="I57" s="342" t="s">
        <v>4052</v>
      </c>
      <c r="J57" s="342" t="s">
        <v>4055</v>
      </c>
      <c r="K57" s="342" t="s">
        <v>4056</v>
      </c>
      <c r="L57" s="2642">
        <v>45808</v>
      </c>
      <c r="M57" s="2674">
        <v>672</v>
      </c>
      <c r="N57" s="2674">
        <v>0</v>
      </c>
      <c r="O57" s="2674">
        <f t="shared" ref="O57:O63" si="0">+M57-N57</f>
        <v>672</v>
      </c>
      <c r="P57" s="2678">
        <v>46116</v>
      </c>
      <c r="Q57" s="2677">
        <v>820</v>
      </c>
    </row>
    <row r="58" spans="2:18" ht="20.25">
      <c r="B58" s="2642">
        <v>44196</v>
      </c>
      <c r="C58" s="342" t="s">
        <v>4043</v>
      </c>
      <c r="D58" s="2642">
        <v>44496</v>
      </c>
      <c r="E58" s="342" t="s">
        <v>4048</v>
      </c>
      <c r="F58" s="342"/>
      <c r="G58" s="342"/>
      <c r="H58" s="2642">
        <v>45198</v>
      </c>
      <c r="I58" s="342" t="s">
        <v>4053</v>
      </c>
      <c r="J58" s="2642">
        <v>45657</v>
      </c>
      <c r="K58" s="342" t="s">
        <v>4066</v>
      </c>
      <c r="L58" s="2642">
        <v>45892</v>
      </c>
      <c r="M58" s="2674">
        <v>669</v>
      </c>
      <c r="N58" s="2674">
        <v>0</v>
      </c>
      <c r="O58" s="2674">
        <f t="shared" si="0"/>
        <v>669</v>
      </c>
      <c r="P58" s="2678">
        <v>46123</v>
      </c>
      <c r="Q58" s="2680">
        <f>669-35</f>
        <v>634</v>
      </c>
    </row>
    <row r="59" spans="2:18" ht="20.25">
      <c r="B59" s="2642">
        <v>44253</v>
      </c>
      <c r="C59" s="342" t="s">
        <v>4044</v>
      </c>
      <c r="D59" s="2642">
        <v>44651</v>
      </c>
      <c r="E59" s="342" t="s">
        <v>4049</v>
      </c>
      <c r="F59" s="342"/>
      <c r="G59" s="342"/>
      <c r="H59" s="342"/>
      <c r="I59" s="342"/>
      <c r="J59" s="2642">
        <v>45688</v>
      </c>
      <c r="K59" s="342" t="s">
        <v>4057</v>
      </c>
      <c r="L59" s="2642">
        <v>46067</v>
      </c>
      <c r="M59" s="2674">
        <v>806</v>
      </c>
      <c r="N59" s="2674">
        <v>0</v>
      </c>
      <c r="O59" s="2674">
        <f t="shared" si="0"/>
        <v>806</v>
      </c>
      <c r="P59" s="2678">
        <v>46151</v>
      </c>
      <c r="Q59" s="2680">
        <v>697</v>
      </c>
    </row>
    <row r="60" spans="2:18" ht="20.25">
      <c r="B60" s="2642">
        <v>44285</v>
      </c>
      <c r="C60" s="342" t="s">
        <v>4045</v>
      </c>
      <c r="D60" s="342"/>
      <c r="E60" s="342"/>
      <c r="F60" s="342"/>
      <c r="G60" s="342"/>
      <c r="H60" s="342"/>
      <c r="I60" s="342"/>
      <c r="J60" s="2642">
        <v>45716</v>
      </c>
      <c r="K60" s="2674">
        <v>676</v>
      </c>
      <c r="L60" s="2642">
        <v>46094</v>
      </c>
      <c r="M60" s="2674">
        <v>696</v>
      </c>
      <c r="N60" s="2674">
        <v>0</v>
      </c>
      <c r="O60" s="2674">
        <f t="shared" si="0"/>
        <v>696</v>
      </c>
      <c r="P60" s="2678">
        <v>46158</v>
      </c>
      <c r="Q60" s="2680">
        <v>678</v>
      </c>
    </row>
    <row r="61" spans="2:18" ht="20.25">
      <c r="L61" s="2642">
        <v>46105</v>
      </c>
      <c r="M61" s="2674">
        <v>708</v>
      </c>
      <c r="N61" s="2674">
        <v>0</v>
      </c>
      <c r="O61" s="2674">
        <f t="shared" si="0"/>
        <v>708</v>
      </c>
      <c r="P61" s="2678">
        <v>46162</v>
      </c>
      <c r="Q61" s="2680">
        <v>676</v>
      </c>
      <c r="R61" s="2680">
        <v>128.25</v>
      </c>
    </row>
    <row r="62" spans="2:18" ht="20.25">
      <c r="B62" s="289"/>
      <c r="L62" s="2642">
        <v>46097</v>
      </c>
      <c r="M62" s="2674">
        <v>806</v>
      </c>
      <c r="N62" s="2674">
        <v>0</v>
      </c>
      <c r="O62" s="2674">
        <f t="shared" si="0"/>
        <v>806</v>
      </c>
      <c r="P62" s="2678">
        <v>46168</v>
      </c>
      <c r="Q62" s="2680">
        <v>741</v>
      </c>
    </row>
    <row r="63" spans="2:18" ht="20.25">
      <c r="B63" s="289"/>
      <c r="L63" s="2676">
        <v>46112</v>
      </c>
      <c r="M63" s="338">
        <v>960</v>
      </c>
      <c r="N63" s="338">
        <v>0</v>
      </c>
      <c r="O63" s="338">
        <f t="shared" si="0"/>
        <v>960</v>
      </c>
      <c r="P63" s="2678"/>
    </row>
    <row r="64" spans="2:18" ht="15.75">
      <c r="B64" s="289"/>
      <c r="H64" s="2820" t="s">
        <v>142</v>
      </c>
      <c r="I64" s="2820"/>
      <c r="J64" s="2820" t="s">
        <v>37</v>
      </c>
      <c r="K64" s="2820"/>
      <c r="L64" s="2820" t="s">
        <v>281</v>
      </c>
      <c r="M64" s="2820"/>
      <c r="N64" s="2820" t="s">
        <v>4127</v>
      </c>
      <c r="O64" s="2820"/>
    </row>
    <row r="65" spans="2:15" ht="20.25">
      <c r="B65" s="2642" t="s">
        <v>4107</v>
      </c>
      <c r="C65" s="2642" t="s">
        <v>416</v>
      </c>
      <c r="D65" s="2642" t="s">
        <v>4108</v>
      </c>
      <c r="E65" s="2642" t="s">
        <v>4109</v>
      </c>
      <c r="F65" s="2642" t="s">
        <v>4110</v>
      </c>
      <c r="G65" s="2675"/>
      <c r="H65" s="3135" t="s">
        <v>4114</v>
      </c>
      <c r="I65" s="3135"/>
      <c r="J65" s="3135" t="s">
        <v>4114</v>
      </c>
      <c r="K65" s="3135"/>
      <c r="L65" s="3135" t="s">
        <v>4114</v>
      </c>
      <c r="M65" s="3135"/>
      <c r="N65" s="3135" t="s">
        <v>4114</v>
      </c>
      <c r="O65" s="3135"/>
    </row>
    <row r="66" spans="2:15" ht="20.25">
      <c r="B66" s="2642" t="s">
        <v>34</v>
      </c>
      <c r="C66" s="391">
        <v>77439</v>
      </c>
      <c r="D66" s="391">
        <v>4968</v>
      </c>
      <c r="E66" s="391">
        <v>11251</v>
      </c>
      <c r="F66" s="391">
        <f>+C66-D66-E66</f>
        <v>61220</v>
      </c>
      <c r="H66" s="391">
        <v>10611</v>
      </c>
      <c r="I66" s="391" t="s">
        <v>242</v>
      </c>
      <c r="J66" s="391">
        <v>10110</v>
      </c>
      <c r="K66" s="391" t="s">
        <v>69</v>
      </c>
      <c r="L66" s="391">
        <v>9378</v>
      </c>
      <c r="M66" s="391" t="s">
        <v>4115</v>
      </c>
      <c r="N66" s="391">
        <v>12329</v>
      </c>
      <c r="O66" s="391" t="s">
        <v>4115</v>
      </c>
    </row>
    <row r="67" spans="2:15" ht="20.25">
      <c r="B67" s="2642" t="s">
        <v>40</v>
      </c>
      <c r="C67" s="391">
        <v>80417</v>
      </c>
      <c r="D67" s="391">
        <v>6950</v>
      </c>
      <c r="E67" s="391">
        <v>16885</v>
      </c>
      <c r="F67" s="391">
        <f t="shared" ref="F67:F76" si="1">+C67-D67-E67</f>
        <v>56582</v>
      </c>
      <c r="H67" s="391">
        <v>10894</v>
      </c>
      <c r="I67" s="391" t="s">
        <v>220</v>
      </c>
      <c r="J67" s="391">
        <v>10307</v>
      </c>
      <c r="K67" s="391" t="s">
        <v>220</v>
      </c>
      <c r="L67" s="391">
        <v>10786</v>
      </c>
      <c r="M67" s="391" t="s">
        <v>4117</v>
      </c>
      <c r="N67" s="391">
        <v>12737</v>
      </c>
      <c r="O67" s="391" t="s">
        <v>4117</v>
      </c>
    </row>
    <row r="68" spans="2:15" ht="20.25">
      <c r="B68" s="2642" t="s">
        <v>41</v>
      </c>
      <c r="C68" s="391">
        <v>94118</v>
      </c>
      <c r="D68" s="391">
        <v>3987</v>
      </c>
      <c r="E68" s="391">
        <v>11254</v>
      </c>
      <c r="F68" s="391">
        <f t="shared" si="1"/>
        <v>78877</v>
      </c>
      <c r="H68" s="391">
        <v>11279</v>
      </c>
      <c r="I68" s="391" t="s">
        <v>221</v>
      </c>
      <c r="J68" s="391">
        <v>11216</v>
      </c>
      <c r="K68" s="391" t="s">
        <v>221</v>
      </c>
      <c r="L68" s="391">
        <v>9503</v>
      </c>
      <c r="M68" s="391" t="s">
        <v>4121</v>
      </c>
      <c r="N68" s="391">
        <v>12234</v>
      </c>
      <c r="O68" s="391" t="s">
        <v>4116</v>
      </c>
    </row>
    <row r="69" spans="2:15" ht="20.25">
      <c r="B69" s="2642" t="s">
        <v>170</v>
      </c>
      <c r="C69" s="391">
        <v>118118</v>
      </c>
      <c r="D69" s="391">
        <v>4813</v>
      </c>
      <c r="E69" s="391">
        <v>22246</v>
      </c>
      <c r="F69" s="391">
        <f t="shared" si="1"/>
        <v>91059</v>
      </c>
      <c r="H69" s="391">
        <v>12424</v>
      </c>
      <c r="I69" s="391" t="s">
        <v>72</v>
      </c>
      <c r="J69" s="391">
        <v>10517</v>
      </c>
      <c r="K69" s="391" t="s">
        <v>72</v>
      </c>
      <c r="L69" s="391">
        <v>11055</v>
      </c>
      <c r="M69" s="391" t="s">
        <v>4122</v>
      </c>
      <c r="N69" s="391">
        <v>12360</v>
      </c>
      <c r="O69" s="391" t="s">
        <v>4128</v>
      </c>
    </row>
    <row r="70" spans="2:15" ht="20.25">
      <c r="B70" s="2642" t="s">
        <v>171</v>
      </c>
      <c r="C70" s="391">
        <v>97975</v>
      </c>
      <c r="D70" s="391">
        <v>5496</v>
      </c>
      <c r="E70" s="391">
        <v>34252</v>
      </c>
      <c r="F70" s="391">
        <f t="shared" si="1"/>
        <v>58227</v>
      </c>
      <c r="H70" s="391">
        <v>12514</v>
      </c>
      <c r="I70" s="391" t="s">
        <v>223</v>
      </c>
      <c r="J70" s="391">
        <v>10670</v>
      </c>
      <c r="K70" s="391" t="s">
        <v>223</v>
      </c>
      <c r="L70" s="391">
        <v>13476</v>
      </c>
      <c r="M70" s="391" t="s">
        <v>2632</v>
      </c>
      <c r="N70" s="391">
        <v>14823</v>
      </c>
      <c r="O70" s="391" t="s">
        <v>2632</v>
      </c>
    </row>
    <row r="71" spans="2:15" ht="20.25">
      <c r="B71" s="2642" t="s">
        <v>807</v>
      </c>
      <c r="C71" s="391">
        <v>74336</v>
      </c>
      <c r="D71" s="391">
        <v>50</v>
      </c>
      <c r="E71" s="391">
        <v>0</v>
      </c>
      <c r="F71" s="391">
        <f t="shared" si="1"/>
        <v>74286</v>
      </c>
      <c r="H71" s="391">
        <v>10288</v>
      </c>
      <c r="I71" s="391" t="s">
        <v>315</v>
      </c>
      <c r="J71" s="391">
        <v>10782</v>
      </c>
      <c r="K71" s="391" t="s">
        <v>315</v>
      </c>
      <c r="L71" s="391">
        <v>12086</v>
      </c>
      <c r="M71" s="391" t="s">
        <v>2633</v>
      </c>
      <c r="N71" s="391">
        <v>14856</v>
      </c>
      <c r="O71" s="391" t="s">
        <v>2633</v>
      </c>
    </row>
    <row r="72" spans="2:15" ht="20.25">
      <c r="B72" s="2642" t="s">
        <v>808</v>
      </c>
      <c r="C72" s="391">
        <v>108595</v>
      </c>
      <c r="D72" s="391">
        <v>1449</v>
      </c>
      <c r="E72" s="391">
        <v>22723</v>
      </c>
      <c r="F72" s="391">
        <f t="shared" si="1"/>
        <v>84423</v>
      </c>
      <c r="H72" s="391">
        <v>11036</v>
      </c>
      <c r="I72" s="391" t="s">
        <v>95</v>
      </c>
      <c r="J72" s="391">
        <v>10764</v>
      </c>
      <c r="K72" s="391" t="s">
        <v>305</v>
      </c>
      <c r="L72" s="391">
        <v>11404</v>
      </c>
      <c r="M72" s="391" t="s">
        <v>4118</v>
      </c>
      <c r="N72" s="391">
        <v>13227</v>
      </c>
      <c r="O72" s="391" t="s">
        <v>4118</v>
      </c>
    </row>
    <row r="73" spans="2:15" ht="20.25">
      <c r="B73" s="2642" t="s">
        <v>809</v>
      </c>
      <c r="C73" s="391">
        <v>102848</v>
      </c>
      <c r="D73" s="391">
        <v>476</v>
      </c>
      <c r="E73" s="391">
        <v>29037</v>
      </c>
      <c r="F73" s="391">
        <f t="shared" si="1"/>
        <v>73335</v>
      </c>
      <c r="H73" s="391">
        <v>10640</v>
      </c>
      <c r="I73" s="391" t="s">
        <v>3886</v>
      </c>
      <c r="J73" s="391">
        <v>11891</v>
      </c>
      <c r="K73" s="391" t="s">
        <v>3886</v>
      </c>
      <c r="L73" s="391">
        <v>9938</v>
      </c>
      <c r="M73" s="391" t="s">
        <v>4124</v>
      </c>
      <c r="N73" s="391">
        <v>12084</v>
      </c>
      <c r="O73" s="391" t="s">
        <v>4129</v>
      </c>
    </row>
    <row r="74" spans="2:15" ht="20.25">
      <c r="B74" s="2642" t="s">
        <v>2363</v>
      </c>
      <c r="C74" s="391">
        <v>118427</v>
      </c>
      <c r="D74" s="391">
        <v>899</v>
      </c>
      <c r="E74" s="391">
        <v>35080</v>
      </c>
      <c r="F74" s="391">
        <f t="shared" si="1"/>
        <v>82448</v>
      </c>
      <c r="H74" s="391">
        <v>10888</v>
      </c>
      <c r="I74" s="391" t="s">
        <v>250</v>
      </c>
      <c r="J74" s="391">
        <v>10445</v>
      </c>
      <c r="K74" s="391" t="s">
        <v>250</v>
      </c>
      <c r="L74" s="391">
        <v>10248</v>
      </c>
      <c r="M74" s="391" t="s">
        <v>4123</v>
      </c>
      <c r="N74" s="391">
        <v>12885</v>
      </c>
      <c r="O74" s="391" t="s">
        <v>4123</v>
      </c>
    </row>
    <row r="75" spans="2:15" ht="20.25">
      <c r="B75" s="2642" t="s">
        <v>2410</v>
      </c>
      <c r="C75" s="391">
        <v>121894</v>
      </c>
      <c r="D75" s="391">
        <v>2599</v>
      </c>
      <c r="E75" s="391">
        <v>23108</v>
      </c>
      <c r="F75" s="391">
        <f t="shared" si="1"/>
        <v>96187</v>
      </c>
      <c r="H75" s="391">
        <v>10347</v>
      </c>
      <c r="I75" s="391" t="s">
        <v>239</v>
      </c>
      <c r="J75" s="391">
        <v>10803</v>
      </c>
      <c r="K75" s="391" t="s">
        <v>861</v>
      </c>
      <c r="L75" s="391">
        <v>11258</v>
      </c>
      <c r="M75" s="391" t="s">
        <v>4125</v>
      </c>
      <c r="N75" s="391">
        <v>13086</v>
      </c>
      <c r="O75" s="391" t="s">
        <v>4119</v>
      </c>
    </row>
    <row r="76" spans="2:15" ht="20.25">
      <c r="B76" s="2642" t="s">
        <v>4112</v>
      </c>
      <c r="C76" s="391">
        <f>+C78+'md cell'!F21</f>
        <v>111009.28</v>
      </c>
      <c r="D76" s="391">
        <v>1613</v>
      </c>
      <c r="E76" s="391">
        <v>0</v>
      </c>
      <c r="F76" s="391">
        <f t="shared" si="1"/>
        <v>109396.28</v>
      </c>
      <c r="H76" s="391">
        <v>11791</v>
      </c>
      <c r="I76" s="391" t="s">
        <v>3986</v>
      </c>
      <c r="J76" s="391">
        <v>10677</v>
      </c>
      <c r="K76" s="391" t="s">
        <v>862</v>
      </c>
      <c r="L76" s="391">
        <v>10848</v>
      </c>
      <c r="M76" s="391" t="s">
        <v>4126</v>
      </c>
      <c r="N76" s="391">
        <v>12896</v>
      </c>
      <c r="O76" s="391" t="s">
        <v>4120</v>
      </c>
    </row>
    <row r="77" spans="2:15" ht="20.25">
      <c r="H77" s="391">
        <v>13546</v>
      </c>
      <c r="I77" s="391" t="s">
        <v>93</v>
      </c>
      <c r="J77" s="391">
        <v>11364</v>
      </c>
      <c r="K77" s="391" t="s">
        <v>4113</v>
      </c>
      <c r="L77" s="391">
        <v>11947</v>
      </c>
      <c r="M77" s="391" t="s">
        <v>4113</v>
      </c>
      <c r="N77" s="391">
        <v>14066</v>
      </c>
      <c r="O77" s="391" t="s">
        <v>4113</v>
      </c>
    </row>
    <row r="78" spans="2:15" ht="23.25">
      <c r="C78" s="338">
        <v>99836</v>
      </c>
      <c r="G78" s="724" t="s">
        <v>4130</v>
      </c>
      <c r="H78" s="724">
        <f>MAX(H66:H77)</f>
        <v>13546</v>
      </c>
      <c r="I78" s="724" t="s">
        <v>93</v>
      </c>
      <c r="J78" s="724">
        <f>MAX(J66:J77)</f>
        <v>11891</v>
      </c>
      <c r="K78" s="724" t="s">
        <v>3886</v>
      </c>
      <c r="L78" s="724">
        <f>MAX(L66:L77)</f>
        <v>13476</v>
      </c>
      <c r="M78" s="724" t="s">
        <v>2632</v>
      </c>
      <c r="N78" s="724">
        <f>MAX(N66:N77)</f>
        <v>14856</v>
      </c>
      <c r="O78" s="724" t="s">
        <v>2633</v>
      </c>
    </row>
    <row r="79" spans="2:15">
      <c r="J79" t="s">
        <v>4192</v>
      </c>
    </row>
    <row r="80" spans="2:15" ht="15.75">
      <c r="H80" s="2820" t="s">
        <v>142</v>
      </c>
      <c r="I80" s="2820"/>
      <c r="J80" s="2820" t="s">
        <v>37</v>
      </c>
      <c r="K80" s="2820"/>
      <c r="L80" s="2820" t="s">
        <v>281</v>
      </c>
      <c r="M80" s="2820"/>
      <c r="N80" s="2820" t="s">
        <v>4127</v>
      </c>
      <c r="O80" s="2820"/>
    </row>
    <row r="81" spans="7:38" ht="20.25">
      <c r="G81" s="2755" t="s">
        <v>2260</v>
      </c>
      <c r="H81" s="2755">
        <v>12026</v>
      </c>
      <c r="I81" s="2755" t="s">
        <v>4137</v>
      </c>
      <c r="J81" s="2755">
        <v>11218</v>
      </c>
      <c r="K81" s="2755" t="s">
        <v>4137</v>
      </c>
      <c r="L81" s="2755">
        <v>10890</v>
      </c>
      <c r="M81" s="2755" t="s">
        <v>4137</v>
      </c>
      <c r="N81" s="2755">
        <v>12806</v>
      </c>
      <c r="O81" s="2755" t="s">
        <v>4137</v>
      </c>
    </row>
    <row r="82" spans="7:38" ht="20.25">
      <c r="G82" s="2755" t="s">
        <v>723</v>
      </c>
      <c r="H82" s="2755">
        <v>10894</v>
      </c>
      <c r="I82" s="2755" t="s">
        <v>220</v>
      </c>
      <c r="J82" s="2755">
        <v>10885</v>
      </c>
      <c r="K82" s="2755" t="s">
        <v>865</v>
      </c>
      <c r="L82" s="2755">
        <v>10786</v>
      </c>
      <c r="M82" s="2755" t="s">
        <v>865</v>
      </c>
      <c r="N82" s="2755">
        <v>12737</v>
      </c>
      <c r="O82" s="2755" t="s">
        <v>865</v>
      </c>
    </row>
    <row r="83" spans="7:38" ht="20.25">
      <c r="G83" s="2755" t="s">
        <v>2147</v>
      </c>
      <c r="H83" s="2755">
        <v>11279</v>
      </c>
      <c r="I83" s="2755" t="s">
        <v>221</v>
      </c>
      <c r="J83" s="2755">
        <v>11216</v>
      </c>
      <c r="K83" s="2755" t="s">
        <v>221</v>
      </c>
      <c r="L83" s="2755">
        <v>9503</v>
      </c>
      <c r="M83" s="2755" t="s">
        <v>2035</v>
      </c>
      <c r="N83" s="2755">
        <v>12234</v>
      </c>
      <c r="O83" s="2755" t="s">
        <v>866</v>
      </c>
    </row>
    <row r="84" spans="7:38" ht="20.25">
      <c r="G84" s="2755" t="s">
        <v>1993</v>
      </c>
      <c r="H84" s="2755">
        <v>12424</v>
      </c>
      <c r="I84" s="2755" t="s">
        <v>72</v>
      </c>
      <c r="J84" s="2755">
        <v>10517</v>
      </c>
      <c r="K84" s="2755" t="s">
        <v>72</v>
      </c>
      <c r="L84" s="2755">
        <v>11073</v>
      </c>
      <c r="M84" s="2755" t="s">
        <v>867</v>
      </c>
      <c r="N84" s="2755">
        <v>12360</v>
      </c>
      <c r="O84" s="2755" t="s">
        <v>4128</v>
      </c>
    </row>
    <row r="85" spans="7:38" ht="20.25">
      <c r="G85" s="2755" t="s">
        <v>726</v>
      </c>
      <c r="H85" s="2755">
        <v>12514</v>
      </c>
      <c r="I85" s="2755" t="s">
        <v>223</v>
      </c>
      <c r="J85" s="2755">
        <v>12007</v>
      </c>
      <c r="K85" s="2755" t="s">
        <v>868</v>
      </c>
      <c r="L85" s="2755">
        <v>13469</v>
      </c>
      <c r="M85" s="2755" t="s">
        <v>2632</v>
      </c>
      <c r="N85" s="2755">
        <v>14823</v>
      </c>
      <c r="O85" s="2755" t="s">
        <v>2632</v>
      </c>
    </row>
    <row r="86" spans="7:38" ht="20.25">
      <c r="G86" s="2755" t="s">
        <v>1994</v>
      </c>
      <c r="H86" s="2755">
        <v>10288</v>
      </c>
      <c r="I86" s="2755" t="s">
        <v>315</v>
      </c>
      <c r="J86" s="2755">
        <v>10782</v>
      </c>
      <c r="K86" s="2755" t="s">
        <v>315</v>
      </c>
      <c r="L86" s="2755">
        <v>12091</v>
      </c>
      <c r="M86" s="2755" t="s">
        <v>2633</v>
      </c>
      <c r="N86" s="2755">
        <v>14856</v>
      </c>
      <c r="O86" s="2755" t="s">
        <v>2633</v>
      </c>
    </row>
    <row r="87" spans="7:38" ht="20.25">
      <c r="G87" s="2755" t="s">
        <v>305</v>
      </c>
      <c r="H87" s="2755">
        <v>11036</v>
      </c>
      <c r="I87" s="2755" t="s">
        <v>3606</v>
      </c>
      <c r="J87" s="2755">
        <v>10764</v>
      </c>
      <c r="K87" s="2755" t="s">
        <v>305</v>
      </c>
      <c r="L87" s="2755">
        <v>11421</v>
      </c>
      <c r="M87" s="2755" t="s">
        <v>4118</v>
      </c>
      <c r="N87" s="2755">
        <v>13227</v>
      </c>
      <c r="O87" s="2755" t="s">
        <v>4118</v>
      </c>
    </row>
    <row r="88" spans="7:38" ht="20.25">
      <c r="G88" s="2755" t="s">
        <v>730</v>
      </c>
      <c r="H88" s="2755">
        <v>9615</v>
      </c>
      <c r="I88" s="2755" t="s">
        <v>249</v>
      </c>
      <c r="J88" s="2755">
        <v>10880</v>
      </c>
      <c r="K88" s="2755" t="s">
        <v>2487</v>
      </c>
      <c r="L88" s="2755">
        <v>12038</v>
      </c>
      <c r="M88" s="2755" t="s">
        <v>2487</v>
      </c>
      <c r="N88" s="2755">
        <v>12084</v>
      </c>
      <c r="O88" s="2755" t="s">
        <v>249</v>
      </c>
    </row>
    <row r="89" spans="7:38" ht="20.25">
      <c r="G89" s="2755" t="s">
        <v>731</v>
      </c>
      <c r="H89" s="2755">
        <v>10888</v>
      </c>
      <c r="I89" s="2755" t="s">
        <v>250</v>
      </c>
      <c r="J89" s="2755">
        <v>10445</v>
      </c>
      <c r="K89" s="2755" t="s">
        <v>250</v>
      </c>
      <c r="L89" s="2755">
        <v>10248</v>
      </c>
      <c r="M89" s="2755" t="s">
        <v>250</v>
      </c>
      <c r="N89" s="2755">
        <v>12885</v>
      </c>
      <c r="O89" s="2755" t="s">
        <v>4123</v>
      </c>
    </row>
    <row r="90" spans="7:38" ht="20.25">
      <c r="G90" s="2755" t="s">
        <v>732</v>
      </c>
      <c r="H90" s="2755">
        <v>10347</v>
      </c>
      <c r="I90" s="2755" t="s">
        <v>239</v>
      </c>
      <c r="J90" s="2755">
        <v>10803</v>
      </c>
      <c r="K90" s="2755" t="s">
        <v>861</v>
      </c>
      <c r="L90" s="2755">
        <v>11258</v>
      </c>
      <c r="M90" s="2755" t="s">
        <v>861</v>
      </c>
      <c r="N90" s="2755">
        <v>13086</v>
      </c>
      <c r="O90" s="2755" t="s">
        <v>4119</v>
      </c>
    </row>
    <row r="91" spans="7:38" ht="20.25">
      <c r="G91" s="2755" t="s">
        <v>4193</v>
      </c>
      <c r="H91" s="2755">
        <v>10193</v>
      </c>
      <c r="I91" s="2755" t="s">
        <v>862</v>
      </c>
      <c r="J91" s="2755">
        <v>10677</v>
      </c>
      <c r="K91" s="2755" t="s">
        <v>862</v>
      </c>
      <c r="L91" s="2755">
        <v>10848</v>
      </c>
      <c r="M91" s="2755" t="s">
        <v>862</v>
      </c>
      <c r="N91" s="2755">
        <v>12896</v>
      </c>
      <c r="O91" s="2755" t="s">
        <v>862</v>
      </c>
    </row>
    <row r="92" spans="7:38" ht="20.25">
      <c r="G92" s="2755" t="s">
        <v>3206</v>
      </c>
      <c r="H92" s="2755">
        <v>13546</v>
      </c>
      <c r="I92" s="2755" t="s">
        <v>93</v>
      </c>
      <c r="J92" s="2755">
        <v>10744</v>
      </c>
      <c r="K92" s="2755" t="s">
        <v>3987</v>
      </c>
      <c r="L92" s="2755">
        <v>11947</v>
      </c>
      <c r="M92" s="2755" t="s">
        <v>4113</v>
      </c>
      <c r="N92" s="2755">
        <v>14066</v>
      </c>
      <c r="O92" s="2755" t="s">
        <v>4113</v>
      </c>
      <c r="T92" s="2766"/>
      <c r="U92" s="2766"/>
      <c r="V92" s="2766"/>
      <c r="W92" s="2767" t="s">
        <v>4197</v>
      </c>
      <c r="X92" s="2767" t="s">
        <v>734</v>
      </c>
      <c r="Y92" s="2767" t="s">
        <v>4198</v>
      </c>
      <c r="Z92" s="2767" t="s">
        <v>4199</v>
      </c>
      <c r="AA92" s="2768" t="s">
        <v>4200</v>
      </c>
      <c r="AB92" s="2769" t="s">
        <v>4201</v>
      </c>
      <c r="AC92" s="2768" t="s">
        <v>4202</v>
      </c>
      <c r="AD92" s="2768" t="s">
        <v>4203</v>
      </c>
      <c r="AE92" s="2768" t="s">
        <v>729</v>
      </c>
      <c r="AF92" s="2768" t="s">
        <v>4204</v>
      </c>
      <c r="AG92" s="2768" t="s">
        <v>4205</v>
      </c>
      <c r="AH92" s="2768" t="s">
        <v>4206</v>
      </c>
      <c r="AI92" s="2768" t="s">
        <v>4197</v>
      </c>
      <c r="AJ92" s="2768" t="s">
        <v>4207</v>
      </c>
      <c r="AK92" s="2768" t="s">
        <v>4208</v>
      </c>
      <c r="AL92" s="2768" t="s">
        <v>4199</v>
      </c>
    </row>
    <row r="93" spans="7:38" ht="20.25">
      <c r="I93" s="2755"/>
      <c r="T93" s="2770" t="s">
        <v>4209</v>
      </c>
      <c r="U93" s="2770"/>
      <c r="V93" s="2770"/>
      <c r="W93" s="2770">
        <v>22</v>
      </c>
      <c r="X93" s="2770">
        <v>15</v>
      </c>
      <c r="Y93" s="2770">
        <v>7</v>
      </c>
      <c r="Z93" s="2770">
        <v>16</v>
      </c>
      <c r="AA93" s="2770">
        <v>11</v>
      </c>
      <c r="AB93" s="2771">
        <v>15</v>
      </c>
      <c r="AC93" s="2770">
        <v>26</v>
      </c>
      <c r="AD93" s="2770">
        <v>20</v>
      </c>
      <c r="AE93" s="2770">
        <v>17</v>
      </c>
      <c r="AF93" s="2770">
        <v>6</v>
      </c>
      <c r="AG93" s="2770">
        <v>0</v>
      </c>
      <c r="AH93" s="2770">
        <v>3</v>
      </c>
      <c r="AI93" s="2770">
        <v>18</v>
      </c>
      <c r="AJ93" s="2770">
        <v>18</v>
      </c>
      <c r="AK93" s="2770">
        <v>8</v>
      </c>
      <c r="AL93" s="2770">
        <v>7</v>
      </c>
    </row>
    <row r="94" spans="7:38" ht="15.75">
      <c r="T94" s="2767" t="s">
        <v>4210</v>
      </c>
      <c r="U94" s="2767"/>
      <c r="V94" s="2767"/>
      <c r="W94" s="2767">
        <v>4</v>
      </c>
      <c r="X94" s="2767">
        <v>8</v>
      </c>
      <c r="Y94" s="2767">
        <v>4</v>
      </c>
      <c r="Z94" s="2767">
        <v>3</v>
      </c>
      <c r="AA94" s="2767">
        <v>4</v>
      </c>
      <c r="AB94" s="2772">
        <v>12</v>
      </c>
      <c r="AC94" s="2767">
        <v>16</v>
      </c>
      <c r="AD94" s="2767">
        <v>15</v>
      </c>
      <c r="AE94" s="2767">
        <v>4</v>
      </c>
      <c r="AF94" s="2767">
        <v>3</v>
      </c>
      <c r="AG94" s="2767">
        <v>0</v>
      </c>
      <c r="AH94" s="2767">
        <v>0</v>
      </c>
      <c r="AI94" s="2767">
        <v>8</v>
      </c>
      <c r="AJ94" s="2767">
        <v>5</v>
      </c>
      <c r="AK94" s="2767">
        <v>2</v>
      </c>
      <c r="AL94" s="2767">
        <v>4</v>
      </c>
    </row>
  </sheetData>
  <mergeCells count="25">
    <mergeCell ref="H80:I80"/>
    <mergeCell ref="J80:K80"/>
    <mergeCell ref="L80:M80"/>
    <mergeCell ref="N80:O80"/>
    <mergeCell ref="N64:O64"/>
    <mergeCell ref="N65:O65"/>
    <mergeCell ref="H64:I64"/>
    <mergeCell ref="J64:K64"/>
    <mergeCell ref="L64:M64"/>
    <mergeCell ref="H65:I65"/>
    <mergeCell ref="J65:K65"/>
    <mergeCell ref="L65:M65"/>
    <mergeCell ref="P55:Q55"/>
    <mergeCell ref="P54:R54"/>
    <mergeCell ref="L54:M54"/>
    <mergeCell ref="B53:M53"/>
    <mergeCell ref="H5:K5"/>
    <mergeCell ref="B6:E6"/>
    <mergeCell ref="G40:J40"/>
    <mergeCell ref="B54:C54"/>
    <mergeCell ref="D54:E54"/>
    <mergeCell ref="F54:G54"/>
    <mergeCell ref="H54:I54"/>
    <mergeCell ref="J54:K54"/>
    <mergeCell ref="R21:S21"/>
  </mergeCells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5"/>
  <sheetViews>
    <sheetView topLeftCell="A68" zoomScaleSheetLayoutView="100" workbookViewId="0">
      <selection activeCell="C116" sqref="C116"/>
    </sheetView>
  </sheetViews>
  <sheetFormatPr defaultColWidth="9" defaultRowHeight="12.75"/>
  <cols>
    <col min="2" max="2" width="14.7109375" customWidth="1"/>
    <col min="3" max="3" width="12.42578125" customWidth="1"/>
    <col min="4" max="5" width="14.140625" customWidth="1"/>
    <col min="6" max="6" width="16" customWidth="1"/>
    <col min="7" max="7" width="12.7109375" customWidth="1"/>
    <col min="8" max="8" width="14.140625" customWidth="1"/>
    <col min="9" max="9" width="17.7109375" customWidth="1"/>
    <col min="10" max="10" width="16.5703125" customWidth="1"/>
    <col min="11" max="11" width="15" customWidth="1"/>
    <col min="12" max="12" width="13.28515625" customWidth="1"/>
    <col min="13" max="13" width="15.140625" customWidth="1"/>
    <col min="14" max="14" width="15.28515625" customWidth="1"/>
  </cols>
  <sheetData>
    <row r="2" spans="2:15" ht="18">
      <c r="B2" s="232"/>
      <c r="C2" s="233"/>
      <c r="D2" s="3054" t="s">
        <v>3112</v>
      </c>
      <c r="E2" s="3054"/>
      <c r="F2" s="3054"/>
      <c r="G2" s="3054"/>
      <c r="H2" s="3054"/>
      <c r="I2" s="233"/>
      <c r="J2" s="233"/>
      <c r="K2" s="233"/>
      <c r="L2" s="233"/>
      <c r="M2" s="233"/>
      <c r="N2" s="233"/>
      <c r="O2" s="247"/>
    </row>
    <row r="3" spans="2:15" ht="18">
      <c r="B3" s="235" t="s">
        <v>3114</v>
      </c>
      <c r="C3" s="11" t="s">
        <v>205</v>
      </c>
      <c r="D3" s="11" t="s">
        <v>206</v>
      </c>
      <c r="E3" s="11" t="s">
        <v>207</v>
      </c>
      <c r="F3" s="11" t="s">
        <v>208</v>
      </c>
      <c r="G3" s="11" t="s">
        <v>209</v>
      </c>
      <c r="H3" s="11" t="s">
        <v>210</v>
      </c>
      <c r="I3" s="11" t="s">
        <v>211</v>
      </c>
      <c r="J3" s="11" t="s">
        <v>212</v>
      </c>
      <c r="K3" s="11" t="s">
        <v>213</v>
      </c>
      <c r="L3" s="11" t="s">
        <v>216</v>
      </c>
      <c r="M3" s="240" t="s">
        <v>217</v>
      </c>
      <c r="N3" s="240" t="s">
        <v>218</v>
      </c>
      <c r="O3" s="248" t="s">
        <v>23</v>
      </c>
    </row>
    <row r="4" spans="2:15" ht="18">
      <c r="B4" s="235" t="s">
        <v>3116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240"/>
      <c r="N4" s="240"/>
      <c r="O4" s="248">
        <v>0</v>
      </c>
    </row>
    <row r="5" spans="2:15" ht="18">
      <c r="B5" s="235" t="s">
        <v>3118</v>
      </c>
      <c r="C5" s="11"/>
      <c r="D5" s="11"/>
      <c r="E5" s="11"/>
      <c r="F5" s="11"/>
      <c r="G5" s="11"/>
      <c r="H5" s="11">
        <v>51.56</v>
      </c>
      <c r="I5" s="11">
        <v>11.6</v>
      </c>
      <c r="J5" s="11">
        <v>3.3</v>
      </c>
      <c r="K5" s="11">
        <v>73.77</v>
      </c>
      <c r="L5" s="11"/>
      <c r="M5" s="240">
        <v>64.680000000000007</v>
      </c>
      <c r="N5" s="240">
        <v>43.59</v>
      </c>
      <c r="O5" s="248">
        <f t="shared" ref="O5:O23" si="0">SUM(C5:N5)</f>
        <v>248.50000000000003</v>
      </c>
    </row>
    <row r="6" spans="2:15" ht="18">
      <c r="B6" s="235" t="s">
        <v>3120</v>
      </c>
      <c r="C6" s="11"/>
      <c r="D6" s="11">
        <v>185.58</v>
      </c>
      <c r="E6" s="11"/>
      <c r="F6" s="11"/>
      <c r="G6" s="11">
        <v>353.17</v>
      </c>
      <c r="H6" s="11">
        <v>33.450000000000003</v>
      </c>
      <c r="I6" s="11">
        <v>312.77999999999997</v>
      </c>
      <c r="J6" s="11">
        <v>16.25</v>
      </c>
      <c r="K6" s="11"/>
      <c r="L6" s="11">
        <v>217.17</v>
      </c>
      <c r="M6" s="240">
        <v>7.94</v>
      </c>
      <c r="N6" s="240"/>
      <c r="O6" s="248">
        <f t="shared" si="0"/>
        <v>1126.3400000000001</v>
      </c>
    </row>
    <row r="7" spans="2:15" ht="18">
      <c r="B7" s="235" t="s">
        <v>3121</v>
      </c>
      <c r="C7" s="11">
        <v>187.4</v>
      </c>
      <c r="D7" s="11">
        <v>275.26</v>
      </c>
      <c r="E7" s="11">
        <v>190.65</v>
      </c>
      <c r="F7" s="11">
        <v>315.57</v>
      </c>
      <c r="G7" s="11"/>
      <c r="H7" s="11">
        <v>259.55</v>
      </c>
      <c r="I7" s="11">
        <v>190.6</v>
      </c>
      <c r="J7" s="11"/>
      <c r="K7" s="11">
        <v>143</v>
      </c>
      <c r="L7" s="11">
        <v>84.2</v>
      </c>
      <c r="M7" s="240">
        <v>163.66999999999999</v>
      </c>
      <c r="N7" s="240">
        <v>265.2</v>
      </c>
      <c r="O7" s="248">
        <f t="shared" si="0"/>
        <v>2075.1</v>
      </c>
    </row>
    <row r="8" spans="2:15" ht="18">
      <c r="B8" s="235" t="s">
        <v>3123</v>
      </c>
      <c r="C8" s="11">
        <v>69.7</v>
      </c>
      <c r="D8" s="11"/>
      <c r="E8" s="11"/>
      <c r="F8" s="11"/>
      <c r="G8" s="11">
        <v>415.32</v>
      </c>
      <c r="H8" s="11"/>
      <c r="I8" s="11">
        <v>283.72000000000003</v>
      </c>
      <c r="J8" s="11">
        <v>71.2</v>
      </c>
      <c r="K8" s="11">
        <v>41</v>
      </c>
      <c r="L8" s="11">
        <v>343.22</v>
      </c>
      <c r="M8" s="240">
        <v>38.06</v>
      </c>
      <c r="N8" s="240">
        <v>113.81</v>
      </c>
      <c r="O8" s="248">
        <f t="shared" si="0"/>
        <v>1376.03</v>
      </c>
    </row>
    <row r="9" spans="2:15" ht="18">
      <c r="B9" s="235" t="s">
        <v>3125</v>
      </c>
      <c r="C9" s="11">
        <v>188.56</v>
      </c>
      <c r="D9" s="11"/>
      <c r="E9" s="11"/>
      <c r="F9" s="11">
        <v>247.1</v>
      </c>
      <c r="G9" s="11">
        <v>74.25</v>
      </c>
      <c r="H9" s="11"/>
      <c r="I9" s="11">
        <v>186.3</v>
      </c>
      <c r="J9" s="11"/>
      <c r="K9" s="11"/>
      <c r="L9" s="11">
        <v>190.41</v>
      </c>
      <c r="M9" s="240">
        <v>0</v>
      </c>
      <c r="N9" s="240"/>
      <c r="O9" s="248">
        <f t="shared" si="0"/>
        <v>886.62</v>
      </c>
    </row>
    <row r="10" spans="2:15" ht="18">
      <c r="B10" s="235" t="s">
        <v>3127</v>
      </c>
      <c r="C10" s="11">
        <v>189.49</v>
      </c>
      <c r="D10" s="11"/>
      <c r="E10" s="11">
        <v>160.52000000000001</v>
      </c>
      <c r="F10" s="11"/>
      <c r="G10" s="11">
        <v>417.16</v>
      </c>
      <c r="H10" s="11"/>
      <c r="I10" s="11">
        <v>197.46</v>
      </c>
      <c r="J10" s="11"/>
      <c r="K10" s="11"/>
      <c r="L10" s="11">
        <v>220.15</v>
      </c>
      <c r="M10" s="240">
        <v>1</v>
      </c>
      <c r="N10" s="240"/>
      <c r="O10" s="248">
        <f t="shared" si="0"/>
        <v>1185.7800000000002</v>
      </c>
    </row>
    <row r="11" spans="2:15" ht="18">
      <c r="B11" s="235" t="s">
        <v>3129</v>
      </c>
      <c r="C11" s="11">
        <v>148.84</v>
      </c>
      <c r="D11" s="11"/>
      <c r="E11" s="11">
        <v>156.25</v>
      </c>
      <c r="F11" s="11"/>
      <c r="G11" s="11"/>
      <c r="H11" s="11">
        <v>263.56</v>
      </c>
      <c r="I11" s="11"/>
      <c r="J11" s="11"/>
      <c r="K11" s="11">
        <v>249.61</v>
      </c>
      <c r="L11" s="11"/>
      <c r="M11" s="240">
        <v>179.95</v>
      </c>
      <c r="N11" s="240">
        <v>324.24</v>
      </c>
      <c r="O11" s="248">
        <f t="shared" si="0"/>
        <v>1322.45</v>
      </c>
    </row>
    <row r="12" spans="2:15" ht="18">
      <c r="B12" s="235" t="s">
        <v>3130</v>
      </c>
      <c r="C12" s="11">
        <v>255.36</v>
      </c>
      <c r="D12" s="11"/>
      <c r="E12" s="11">
        <v>196.35</v>
      </c>
      <c r="F12" s="11">
        <v>243.5</v>
      </c>
      <c r="G12" s="11">
        <v>68.150000000000006</v>
      </c>
      <c r="H12" s="11">
        <v>218.1</v>
      </c>
      <c r="I12" s="11"/>
      <c r="J12" s="11"/>
      <c r="K12" s="11">
        <v>111.65</v>
      </c>
      <c r="L12" s="11">
        <v>70.459999999999994</v>
      </c>
      <c r="M12" s="240"/>
      <c r="N12" s="240">
        <v>221.51</v>
      </c>
      <c r="O12" s="248">
        <f t="shared" si="0"/>
        <v>1385.0800000000002</v>
      </c>
    </row>
    <row r="13" spans="2:15" ht="18">
      <c r="B13" s="235" t="s">
        <v>3131</v>
      </c>
      <c r="C13" s="11"/>
      <c r="D13" s="11"/>
      <c r="E13" s="11">
        <v>305.52999999999997</v>
      </c>
      <c r="F13" s="11"/>
      <c r="G13" s="11">
        <v>333.5</v>
      </c>
      <c r="H13" s="11">
        <v>37</v>
      </c>
      <c r="I13" s="11"/>
      <c r="J13" s="11"/>
      <c r="K13" s="11">
        <v>268.13</v>
      </c>
      <c r="L13" s="11"/>
      <c r="M13" s="240"/>
      <c r="N13" s="240">
        <v>280.91000000000003</v>
      </c>
      <c r="O13" s="248">
        <f t="shared" si="0"/>
        <v>1225.07</v>
      </c>
    </row>
    <row r="14" spans="2:15" ht="18">
      <c r="B14" s="235" t="s">
        <v>3133</v>
      </c>
      <c r="C14" s="11">
        <v>186.55</v>
      </c>
      <c r="D14" s="11"/>
      <c r="E14" s="11">
        <v>332.32</v>
      </c>
      <c r="F14" s="11"/>
      <c r="G14" s="11">
        <v>400.09</v>
      </c>
      <c r="H14" s="11"/>
      <c r="I14" s="11"/>
      <c r="J14" s="11"/>
      <c r="K14" s="11">
        <v>235.78</v>
      </c>
      <c r="L14" s="11">
        <v>213.53</v>
      </c>
      <c r="M14" s="240"/>
      <c r="N14" s="240">
        <v>296.98</v>
      </c>
      <c r="O14" s="248">
        <f t="shared" si="0"/>
        <v>1665.25</v>
      </c>
    </row>
    <row r="15" spans="2:15" ht="18">
      <c r="B15" s="235" t="s">
        <v>3135</v>
      </c>
      <c r="C15" s="11"/>
      <c r="D15" s="11"/>
      <c r="E15" s="11"/>
      <c r="F15" s="11">
        <v>39.409999999999997</v>
      </c>
      <c r="G15" s="11"/>
      <c r="H15" s="11"/>
      <c r="I15" s="11"/>
      <c r="J15" s="11"/>
      <c r="K15" s="11"/>
      <c r="L15" s="11"/>
      <c r="M15" s="240"/>
      <c r="N15" s="240"/>
      <c r="O15" s="248">
        <f t="shared" si="0"/>
        <v>39.409999999999997</v>
      </c>
    </row>
    <row r="16" spans="2:15" ht="18">
      <c r="B16" s="235" t="s">
        <v>3137</v>
      </c>
      <c r="C16" s="11">
        <v>6.9</v>
      </c>
      <c r="D16" s="11"/>
      <c r="E16" s="11"/>
      <c r="F16" s="11"/>
      <c r="G16" s="11"/>
      <c r="H16" s="11"/>
      <c r="I16" s="11"/>
      <c r="J16" s="11">
        <v>196.41</v>
      </c>
      <c r="K16" s="11"/>
      <c r="L16" s="11"/>
      <c r="M16" s="240"/>
      <c r="N16" s="240"/>
      <c r="O16" s="248">
        <f t="shared" si="0"/>
        <v>203.31</v>
      </c>
    </row>
    <row r="17" spans="2:15" ht="18">
      <c r="B17" s="235" t="s">
        <v>3138</v>
      </c>
      <c r="C17" s="11">
        <v>284.64</v>
      </c>
      <c r="D17" s="11"/>
      <c r="E17" s="11"/>
      <c r="F17" s="11">
        <v>310.67</v>
      </c>
      <c r="G17" s="11"/>
      <c r="H17" s="11">
        <v>259.04000000000002</v>
      </c>
      <c r="I17" s="11"/>
      <c r="J17" s="11"/>
      <c r="K17" s="11"/>
      <c r="L17" s="11"/>
      <c r="M17" s="240"/>
      <c r="N17" s="240">
        <v>370.99</v>
      </c>
      <c r="O17" s="248">
        <f t="shared" si="0"/>
        <v>1225.3399999999999</v>
      </c>
    </row>
    <row r="18" spans="2:15" ht="18">
      <c r="B18" s="235" t="s">
        <v>3139</v>
      </c>
      <c r="C18" s="11">
        <v>156.06</v>
      </c>
      <c r="D18" s="11">
        <v>130.68</v>
      </c>
      <c r="E18" s="11"/>
      <c r="F18" s="11"/>
      <c r="G18" s="11"/>
      <c r="H18" s="11">
        <v>198.11</v>
      </c>
      <c r="I18" s="11">
        <v>62.71</v>
      </c>
      <c r="J18" s="11"/>
      <c r="K18" s="11"/>
      <c r="L18" s="11"/>
      <c r="M18" s="240"/>
      <c r="N18" s="240"/>
      <c r="O18" s="248">
        <f t="shared" si="0"/>
        <v>547.56000000000006</v>
      </c>
    </row>
    <row r="19" spans="2:15" ht="18">
      <c r="B19" s="235" t="s">
        <v>3140</v>
      </c>
      <c r="C19" s="11"/>
      <c r="D19" s="11">
        <v>261.13</v>
      </c>
      <c r="E19" s="11"/>
      <c r="F19" s="11">
        <v>321.56</v>
      </c>
      <c r="G19" s="11"/>
      <c r="H19" s="11"/>
      <c r="I19" s="11">
        <v>240.42</v>
      </c>
      <c r="J19" s="11"/>
      <c r="K19" s="11"/>
      <c r="L19" s="11">
        <v>265.60000000000002</v>
      </c>
      <c r="M19" s="240"/>
      <c r="N19" s="240"/>
      <c r="O19" s="248">
        <f t="shared" si="0"/>
        <v>1088.71</v>
      </c>
    </row>
    <row r="20" spans="2:15" ht="18">
      <c r="B20" s="235" t="s">
        <v>3142</v>
      </c>
      <c r="C20" s="11">
        <v>53.13</v>
      </c>
      <c r="D20" s="11"/>
      <c r="E20" s="11">
        <v>167.29</v>
      </c>
      <c r="F20" s="11"/>
      <c r="G20" s="11"/>
      <c r="H20" s="11">
        <v>268.7</v>
      </c>
      <c r="I20" s="11"/>
      <c r="J20" s="11"/>
      <c r="K20" s="11">
        <v>260.89999999999998</v>
      </c>
      <c r="L20" s="11"/>
      <c r="M20" s="240"/>
      <c r="N20" s="240"/>
      <c r="O20" s="248">
        <f t="shared" si="0"/>
        <v>750.02</v>
      </c>
    </row>
    <row r="21" spans="2:15" ht="18">
      <c r="B21" s="235" t="s">
        <v>3143</v>
      </c>
      <c r="C21" s="11"/>
      <c r="D21" s="11"/>
      <c r="E21" s="11">
        <v>84.23</v>
      </c>
      <c r="F21" s="11"/>
      <c r="G21" s="11"/>
      <c r="H21" s="11">
        <v>154.86000000000001</v>
      </c>
      <c r="I21" s="11">
        <v>210.44</v>
      </c>
      <c r="J21" s="11"/>
      <c r="K21" s="11"/>
      <c r="L21" s="11"/>
      <c r="M21" s="240"/>
      <c r="N21" s="240"/>
      <c r="O21" s="248">
        <f t="shared" si="0"/>
        <v>449.53000000000003</v>
      </c>
    </row>
    <row r="22" spans="2:15" ht="18">
      <c r="B22" s="235" t="s">
        <v>3144</v>
      </c>
      <c r="C22" s="11"/>
      <c r="D22" s="11">
        <v>354.11</v>
      </c>
      <c r="E22" s="11"/>
      <c r="F22" s="11"/>
      <c r="G22" s="11"/>
      <c r="H22" s="11"/>
      <c r="I22" s="11"/>
      <c r="J22" s="11"/>
      <c r="K22" s="11">
        <v>255.21</v>
      </c>
      <c r="L22" s="11"/>
      <c r="M22" s="240">
        <v>117.75</v>
      </c>
      <c r="N22" s="240"/>
      <c r="O22" s="248">
        <f t="shared" si="0"/>
        <v>727.07</v>
      </c>
    </row>
    <row r="23" spans="2:15" ht="18">
      <c r="B23" s="235" t="s">
        <v>3145</v>
      </c>
      <c r="C23" s="11">
        <v>294.86</v>
      </c>
      <c r="D23" s="11"/>
      <c r="E23" s="11">
        <v>298.29000000000002</v>
      </c>
      <c r="F23" s="11">
        <v>281.74</v>
      </c>
      <c r="G23" s="11"/>
      <c r="H23" s="11">
        <v>341.76</v>
      </c>
      <c r="I23" s="11">
        <v>120.62</v>
      </c>
      <c r="J23" s="11">
        <v>252.93</v>
      </c>
      <c r="K23" s="11"/>
      <c r="L23" s="11"/>
      <c r="M23" s="240">
        <v>414.02</v>
      </c>
      <c r="N23" s="240">
        <v>470.68900000000002</v>
      </c>
      <c r="O23" s="248">
        <f t="shared" si="0"/>
        <v>2474.9090000000001</v>
      </c>
    </row>
    <row r="24" spans="2:15" ht="18">
      <c r="B24" s="236" t="s">
        <v>23</v>
      </c>
      <c r="C24" s="237">
        <f>SUM(C4:C23)</f>
        <v>2021.4900000000002</v>
      </c>
      <c r="D24" s="237">
        <f t="shared" ref="D24:N24" si="1">SUM(D4:D23)</f>
        <v>1206.76</v>
      </c>
      <c r="E24" s="237">
        <f t="shared" si="1"/>
        <v>1891.4299999999998</v>
      </c>
      <c r="F24" s="237">
        <f t="shared" si="1"/>
        <v>1759.55</v>
      </c>
      <c r="G24" s="237">
        <f t="shared" si="1"/>
        <v>2061.6400000000003</v>
      </c>
      <c r="H24" s="237">
        <f t="shared" si="1"/>
        <v>2085.6899999999996</v>
      </c>
      <c r="I24" s="237">
        <f t="shared" si="1"/>
        <v>1816.65</v>
      </c>
      <c r="J24" s="237">
        <f t="shared" si="1"/>
        <v>540.08999999999992</v>
      </c>
      <c r="K24" s="237">
        <f t="shared" si="1"/>
        <v>1639.0500000000002</v>
      </c>
      <c r="L24" s="237">
        <f t="shared" si="1"/>
        <v>1604.7400000000002</v>
      </c>
      <c r="M24" s="237">
        <f t="shared" si="1"/>
        <v>987.06999999999994</v>
      </c>
      <c r="N24" s="237">
        <f t="shared" si="1"/>
        <v>2387.9189999999999</v>
      </c>
      <c r="O24" s="248">
        <f>SUM(C24:M24)</f>
        <v>17614.160000000003</v>
      </c>
    </row>
    <row r="29" spans="2:15" ht="18">
      <c r="B29" s="238"/>
      <c r="C29" s="239"/>
      <c r="D29" s="3056" t="s">
        <v>3146</v>
      </c>
      <c r="E29" s="3056"/>
      <c r="F29" s="3057"/>
      <c r="G29" s="3056"/>
      <c r="H29" s="3056"/>
      <c r="I29" s="239"/>
      <c r="J29" s="239"/>
      <c r="K29" s="239"/>
      <c r="L29" s="239"/>
      <c r="M29" s="239"/>
      <c r="N29" s="239"/>
      <c r="O29" s="249"/>
    </row>
    <row r="30" spans="2:15" ht="18">
      <c r="B30" s="235" t="s">
        <v>3114</v>
      </c>
      <c r="C30" s="11" t="s">
        <v>219</v>
      </c>
      <c r="D30" s="11" t="s">
        <v>220</v>
      </c>
      <c r="E30" s="240" t="s">
        <v>221</v>
      </c>
      <c r="F30" s="241" t="s">
        <v>222</v>
      </c>
      <c r="G30" s="242" t="s">
        <v>223</v>
      </c>
      <c r="H30" s="11" t="s">
        <v>224</v>
      </c>
      <c r="I30" s="11" t="s">
        <v>225</v>
      </c>
      <c r="J30" s="11" t="s">
        <v>226</v>
      </c>
      <c r="K30" s="11" t="s">
        <v>227</v>
      </c>
      <c r="L30" s="11" t="s">
        <v>239</v>
      </c>
      <c r="M30" s="250">
        <v>45323</v>
      </c>
      <c r="N30" s="11" t="s">
        <v>241</v>
      </c>
      <c r="O30" s="248" t="s">
        <v>23</v>
      </c>
    </row>
    <row r="31" spans="2:15" ht="18">
      <c r="B31" s="235" t="s">
        <v>3116</v>
      </c>
      <c r="C31" s="11"/>
      <c r="D31" s="11"/>
      <c r="E31" s="240"/>
      <c r="F31" s="243"/>
      <c r="G31" s="242"/>
      <c r="H31" s="11"/>
      <c r="I31" s="11"/>
      <c r="J31" s="11"/>
      <c r="K31" s="11"/>
      <c r="L31" s="11"/>
      <c r="M31" s="11"/>
      <c r="N31" s="11"/>
      <c r="O31" s="248">
        <v>0</v>
      </c>
    </row>
    <row r="32" spans="2:15" ht="18">
      <c r="B32" s="235" t="s">
        <v>3118</v>
      </c>
      <c r="C32" s="11">
        <v>4</v>
      </c>
      <c r="D32" s="11">
        <v>19.350000000000001</v>
      </c>
      <c r="E32" s="240">
        <v>103.92</v>
      </c>
      <c r="F32" s="243">
        <v>41.55</v>
      </c>
      <c r="G32" s="242">
        <v>21.88</v>
      </c>
      <c r="H32" s="11">
        <v>11.1</v>
      </c>
      <c r="I32" s="11"/>
      <c r="J32" s="11"/>
      <c r="K32" s="11">
        <v>73.8</v>
      </c>
      <c r="L32" s="11">
        <v>80.12</v>
      </c>
      <c r="M32" s="11">
        <v>28.87</v>
      </c>
      <c r="N32" s="11"/>
      <c r="O32" s="248">
        <f t="shared" ref="O32:O50" si="2">SUM(C32:N32)</f>
        <v>384.59</v>
      </c>
    </row>
    <row r="33" spans="2:15" ht="18">
      <c r="B33" s="235" t="s">
        <v>3120</v>
      </c>
      <c r="C33" s="11">
        <v>289.48</v>
      </c>
      <c r="D33" s="11"/>
      <c r="E33" s="240"/>
      <c r="F33" s="243">
        <v>253</v>
      </c>
      <c r="G33" s="242"/>
      <c r="H33" s="11"/>
      <c r="I33" s="11">
        <v>255.1</v>
      </c>
      <c r="J33" s="11"/>
      <c r="K33" s="11">
        <v>299.89999999999998</v>
      </c>
      <c r="L33" s="11">
        <v>5.41</v>
      </c>
      <c r="M33" s="11">
        <v>63.39</v>
      </c>
      <c r="N33" s="11">
        <v>9.6999999999999993</v>
      </c>
      <c r="O33" s="248">
        <f t="shared" si="2"/>
        <v>1175.9800000000002</v>
      </c>
    </row>
    <row r="34" spans="2:15" ht="18">
      <c r="B34" s="235" t="s">
        <v>3121</v>
      </c>
      <c r="C34" s="11">
        <v>23.7</v>
      </c>
      <c r="D34" s="11">
        <v>392.9</v>
      </c>
      <c r="E34" s="240">
        <v>255.2</v>
      </c>
      <c r="F34" s="243"/>
      <c r="G34" s="242">
        <v>263.45</v>
      </c>
      <c r="H34" s="11">
        <v>630.37</v>
      </c>
      <c r="I34" s="11">
        <v>0</v>
      </c>
      <c r="J34" s="11">
        <v>160.65</v>
      </c>
      <c r="K34" s="11">
        <v>163.1</v>
      </c>
      <c r="L34" s="11">
        <v>211.02</v>
      </c>
      <c r="M34" s="11">
        <v>158.1</v>
      </c>
      <c r="N34" s="11"/>
      <c r="O34" s="248">
        <f t="shared" si="2"/>
        <v>2258.4899999999998</v>
      </c>
    </row>
    <row r="35" spans="2:15" ht="18">
      <c r="B35" s="235" t="s">
        <v>3123</v>
      </c>
      <c r="C35" s="11">
        <v>17.260000000000002</v>
      </c>
      <c r="D35" s="11">
        <v>560.72</v>
      </c>
      <c r="E35" s="240"/>
      <c r="F35" s="243">
        <v>424.83</v>
      </c>
      <c r="G35" s="242">
        <v>264.49</v>
      </c>
      <c r="H35" s="11">
        <v>125.756</v>
      </c>
      <c r="I35" s="11">
        <v>277.2</v>
      </c>
      <c r="J35" s="11">
        <v>79.260000000000005</v>
      </c>
      <c r="K35" s="11"/>
      <c r="L35" s="11">
        <v>144.5</v>
      </c>
      <c r="M35" s="11"/>
      <c r="N35" s="11"/>
      <c r="O35" s="248">
        <f t="shared" si="2"/>
        <v>1894.0160000000001</v>
      </c>
    </row>
    <row r="36" spans="2:15" ht="18">
      <c r="B36" s="235" t="s">
        <v>3125</v>
      </c>
      <c r="C36" s="11">
        <v>342.39</v>
      </c>
      <c r="D36" s="11"/>
      <c r="E36" s="240"/>
      <c r="F36" s="243">
        <v>259.36</v>
      </c>
      <c r="G36" s="242"/>
      <c r="H36" s="11">
        <v>412.39</v>
      </c>
      <c r="I36" s="11">
        <v>5.0999999999999996</v>
      </c>
      <c r="J36" s="11"/>
      <c r="K36" s="11"/>
      <c r="L36" s="11">
        <v>216.82</v>
      </c>
      <c r="M36" s="11">
        <v>166.34</v>
      </c>
      <c r="N36" s="11"/>
      <c r="O36" s="248">
        <f t="shared" si="2"/>
        <v>1402.3999999999999</v>
      </c>
    </row>
    <row r="37" spans="2:15" ht="18">
      <c r="B37" s="235" t="s">
        <v>3127</v>
      </c>
      <c r="C37" s="11">
        <v>409.06</v>
      </c>
      <c r="D37" s="11"/>
      <c r="E37" s="240"/>
      <c r="F37" s="243">
        <v>280.24</v>
      </c>
      <c r="G37" s="242"/>
      <c r="H37" s="11"/>
      <c r="I37" s="11">
        <v>259.52</v>
      </c>
      <c r="J37" s="11"/>
      <c r="K37" s="11">
        <v>254.13</v>
      </c>
      <c r="L37" s="11">
        <v>233.04</v>
      </c>
      <c r="M37" s="11">
        <v>34.6</v>
      </c>
      <c r="N37" s="11"/>
      <c r="O37" s="248">
        <f t="shared" si="2"/>
        <v>1470.5899999999997</v>
      </c>
    </row>
    <row r="38" spans="2:15" ht="18">
      <c r="B38" s="235" t="s">
        <v>3129</v>
      </c>
      <c r="C38" s="11"/>
      <c r="D38" s="11">
        <v>35.700000000000003</v>
      </c>
      <c r="E38" s="240">
        <v>230</v>
      </c>
      <c r="F38" s="243">
        <v>83.5</v>
      </c>
      <c r="G38" s="242">
        <v>374.49</v>
      </c>
      <c r="H38" s="11"/>
      <c r="I38" s="11"/>
      <c r="J38" s="11">
        <v>305.39999999999998</v>
      </c>
      <c r="K38" s="11"/>
      <c r="L38" s="11">
        <v>0</v>
      </c>
      <c r="M38" s="11">
        <v>152.80000000000001</v>
      </c>
      <c r="N38" s="11">
        <v>100</v>
      </c>
      <c r="O38" s="248">
        <f t="shared" si="2"/>
        <v>1281.8900000000001</v>
      </c>
    </row>
    <row r="39" spans="2:15" ht="18">
      <c r="B39" s="235" t="s">
        <v>3130</v>
      </c>
      <c r="C39" s="11"/>
      <c r="D39" s="11"/>
      <c r="E39" s="240">
        <v>498</v>
      </c>
      <c r="F39" s="243"/>
      <c r="G39" s="242">
        <v>283.33999999999997</v>
      </c>
      <c r="H39" s="11"/>
      <c r="I39" s="11">
        <v>277.67</v>
      </c>
      <c r="J39" s="11"/>
      <c r="K39" s="11">
        <v>6.45</v>
      </c>
      <c r="L39" s="11">
        <v>78.790000000000006</v>
      </c>
      <c r="M39" s="11">
        <v>292.92</v>
      </c>
      <c r="N39" s="11">
        <v>207.529</v>
      </c>
      <c r="O39" s="248">
        <f t="shared" si="2"/>
        <v>1644.6990000000001</v>
      </c>
    </row>
    <row r="40" spans="2:15" ht="18">
      <c r="B40" s="235" t="s">
        <v>3131</v>
      </c>
      <c r="C40" s="11"/>
      <c r="D40" s="11">
        <v>470.4</v>
      </c>
      <c r="E40" s="240"/>
      <c r="F40" s="243">
        <v>261.82</v>
      </c>
      <c r="G40" s="242"/>
      <c r="H40" s="11"/>
      <c r="I40" s="11">
        <v>365.92</v>
      </c>
      <c r="J40" s="11"/>
      <c r="K40" s="11"/>
      <c r="L40" s="11">
        <v>369.14</v>
      </c>
      <c r="M40" s="11"/>
      <c r="N40" s="11">
        <v>160.84</v>
      </c>
      <c r="O40" s="248">
        <f t="shared" si="2"/>
        <v>1628.1200000000001</v>
      </c>
    </row>
    <row r="41" spans="2:15" ht="18">
      <c r="B41" s="235" t="s">
        <v>3133</v>
      </c>
      <c r="C41" s="11"/>
      <c r="D41" s="11"/>
      <c r="E41" s="240">
        <v>362</v>
      </c>
      <c r="F41" s="243"/>
      <c r="G41" s="242">
        <v>262.07</v>
      </c>
      <c r="H41" s="11">
        <v>281.38</v>
      </c>
      <c r="I41" s="11"/>
      <c r="J41" s="11">
        <v>330.85</v>
      </c>
      <c r="K41" s="11">
        <v>16</v>
      </c>
      <c r="L41" s="11"/>
      <c r="M41" s="11"/>
      <c r="N41" s="11">
        <v>297.60000000000002</v>
      </c>
      <c r="O41" s="248">
        <f t="shared" si="2"/>
        <v>1549.9</v>
      </c>
    </row>
    <row r="42" spans="2:15" ht="18">
      <c r="B42" s="235" t="s">
        <v>3135</v>
      </c>
      <c r="C42" s="11"/>
      <c r="D42" s="11"/>
      <c r="E42" s="240"/>
      <c r="F42" s="243"/>
      <c r="G42" s="242"/>
      <c r="H42" s="11"/>
      <c r="I42" s="11"/>
      <c r="J42" s="11"/>
      <c r="K42" s="11"/>
      <c r="L42" s="11"/>
      <c r="M42" s="11"/>
      <c r="N42" s="11"/>
      <c r="O42" s="248">
        <f t="shared" si="2"/>
        <v>0</v>
      </c>
    </row>
    <row r="43" spans="2:15" ht="18">
      <c r="B43" s="235" t="s">
        <v>3137</v>
      </c>
      <c r="C43" s="11"/>
      <c r="D43" s="11">
        <v>544.80999999999995</v>
      </c>
      <c r="E43" s="240"/>
      <c r="F43" s="243"/>
      <c r="G43" s="242"/>
      <c r="H43" s="11">
        <v>308.89999999999998</v>
      </c>
      <c r="I43" s="11"/>
      <c r="J43" s="11"/>
      <c r="K43" s="11"/>
      <c r="L43" s="11">
        <v>208.54</v>
      </c>
      <c r="M43" s="11">
        <v>143.63999999999999</v>
      </c>
      <c r="N43" s="11">
        <v>148.88999999999999</v>
      </c>
      <c r="O43" s="248">
        <f t="shared" si="2"/>
        <v>1354.7799999999997</v>
      </c>
    </row>
    <row r="44" spans="2:15" ht="18">
      <c r="B44" s="235" t="s">
        <v>3138</v>
      </c>
      <c r="C44" s="11"/>
      <c r="D44" s="11"/>
      <c r="E44" s="240"/>
      <c r="F44" s="243">
        <v>425.91</v>
      </c>
      <c r="G44" s="242">
        <v>310.86</v>
      </c>
      <c r="H44" s="11"/>
      <c r="I44" s="11"/>
      <c r="J44" s="11">
        <v>494.36</v>
      </c>
      <c r="K44" s="11">
        <v>247.63</v>
      </c>
      <c r="L44" s="11"/>
      <c r="M44" s="11"/>
      <c r="N44" s="11">
        <v>151.34</v>
      </c>
      <c r="O44" s="248">
        <f t="shared" si="2"/>
        <v>1630.1000000000001</v>
      </c>
    </row>
    <row r="45" spans="2:15" ht="18">
      <c r="B45" s="235" t="s">
        <v>3139</v>
      </c>
      <c r="C45" s="11"/>
      <c r="D45" s="11"/>
      <c r="E45" s="240">
        <v>249.51</v>
      </c>
      <c r="F45" s="243"/>
      <c r="G45" s="242">
        <v>306.06</v>
      </c>
      <c r="H45" s="11"/>
      <c r="I45" s="11">
        <v>192.18</v>
      </c>
      <c r="J45" s="11">
        <v>118.79</v>
      </c>
      <c r="K45" s="11"/>
      <c r="L45" s="11">
        <v>126.22</v>
      </c>
      <c r="M45" s="11">
        <v>155.62</v>
      </c>
      <c r="N45" s="11"/>
      <c r="O45" s="248">
        <f t="shared" si="2"/>
        <v>1148.3800000000001</v>
      </c>
    </row>
    <row r="46" spans="2:15" ht="18">
      <c r="B46" s="235" t="s">
        <v>3140</v>
      </c>
      <c r="C46" s="11"/>
      <c r="D46" s="11"/>
      <c r="E46" s="240">
        <v>515.77</v>
      </c>
      <c r="F46" s="243"/>
      <c r="G46" s="242">
        <v>280.70999999999998</v>
      </c>
      <c r="H46" s="11"/>
      <c r="I46" s="11"/>
      <c r="J46" s="11"/>
      <c r="K46" s="11">
        <v>244.21</v>
      </c>
      <c r="L46" s="11"/>
      <c r="M46" s="11">
        <v>6</v>
      </c>
      <c r="N46" s="11"/>
      <c r="O46" s="248">
        <f t="shared" si="2"/>
        <v>1046.69</v>
      </c>
    </row>
    <row r="47" spans="2:15" ht="18">
      <c r="B47" s="235" t="s">
        <v>3142</v>
      </c>
      <c r="C47" s="11"/>
      <c r="D47" s="11"/>
      <c r="E47" s="240">
        <v>417.21</v>
      </c>
      <c r="F47" s="243"/>
      <c r="G47" s="242"/>
      <c r="H47" s="11">
        <v>253.19</v>
      </c>
      <c r="I47" s="11"/>
      <c r="J47" s="11"/>
      <c r="K47" s="11">
        <v>295.20999999999998</v>
      </c>
      <c r="L47" s="11"/>
      <c r="M47" s="11"/>
      <c r="N47" s="11">
        <v>212.15</v>
      </c>
      <c r="O47" s="248">
        <f t="shared" si="2"/>
        <v>1177.76</v>
      </c>
    </row>
    <row r="48" spans="2:15" ht="18">
      <c r="B48" s="235" t="s">
        <v>3143</v>
      </c>
      <c r="C48" s="11">
        <v>384.35</v>
      </c>
      <c r="D48" s="11">
        <v>0</v>
      </c>
      <c r="E48" s="240"/>
      <c r="F48" s="243"/>
      <c r="G48" s="242">
        <v>382.39</v>
      </c>
      <c r="H48" s="11"/>
      <c r="I48" s="11"/>
      <c r="J48" s="11">
        <v>252.48</v>
      </c>
      <c r="K48" s="11"/>
      <c r="L48" s="11"/>
      <c r="M48" s="11">
        <v>167.44</v>
      </c>
      <c r="N48" s="11"/>
      <c r="O48" s="248">
        <f t="shared" si="2"/>
        <v>1186.6600000000001</v>
      </c>
    </row>
    <row r="49" spans="2:15" ht="18">
      <c r="B49" s="235" t="s">
        <v>3144</v>
      </c>
      <c r="C49" s="11"/>
      <c r="D49" s="11"/>
      <c r="E49" s="240"/>
      <c r="F49" s="243">
        <v>255.66</v>
      </c>
      <c r="G49" s="242">
        <v>51.16</v>
      </c>
      <c r="H49" s="11"/>
      <c r="I49" s="11">
        <v>365.17</v>
      </c>
      <c r="J49" s="11"/>
      <c r="K49" s="11"/>
      <c r="L49" s="11">
        <v>280.58999999999997</v>
      </c>
      <c r="M49" s="11">
        <v>218.27</v>
      </c>
      <c r="N49" s="11"/>
      <c r="O49" s="248">
        <f t="shared" si="2"/>
        <v>1170.8499999999999</v>
      </c>
    </row>
    <row r="50" spans="2:15" ht="18">
      <c r="B50" s="235" t="s">
        <v>3145</v>
      </c>
      <c r="C50" s="11">
        <v>537.91999999999996</v>
      </c>
      <c r="D50" s="11">
        <v>59.35</v>
      </c>
      <c r="E50" s="240"/>
      <c r="F50" s="243">
        <v>256.58</v>
      </c>
      <c r="G50" s="242"/>
      <c r="H50" s="11">
        <v>150.80000000000001</v>
      </c>
      <c r="I50" s="11">
        <v>95.5</v>
      </c>
      <c r="J50" s="11"/>
      <c r="K50" s="11"/>
      <c r="L50" s="11"/>
      <c r="M50" s="11"/>
      <c r="N50" s="11">
        <v>22.75</v>
      </c>
      <c r="O50" s="248">
        <f t="shared" si="2"/>
        <v>1122.8999999999999</v>
      </c>
    </row>
    <row r="51" spans="2:15" ht="18">
      <c r="B51" s="236" t="s">
        <v>23</v>
      </c>
      <c r="C51" s="237">
        <f>SUM(C31:C50)</f>
        <v>2008.1599999999999</v>
      </c>
      <c r="D51" s="237">
        <f t="shared" ref="D51:N51" si="3">SUM(D31:D50)</f>
        <v>2083.23</v>
      </c>
      <c r="E51" s="244">
        <f t="shared" si="3"/>
        <v>2631.6099999999997</v>
      </c>
      <c r="F51" s="245">
        <f t="shared" si="3"/>
        <v>2542.4499999999998</v>
      </c>
      <c r="G51" s="246">
        <f t="shared" si="3"/>
        <v>2800.8999999999996</v>
      </c>
      <c r="H51" s="237">
        <f t="shared" si="3"/>
        <v>2173.8860000000004</v>
      </c>
      <c r="I51" s="246">
        <f t="shared" si="3"/>
        <v>2093.36</v>
      </c>
      <c r="J51" s="237">
        <f t="shared" si="3"/>
        <v>1741.79</v>
      </c>
      <c r="K51" s="237">
        <f t="shared" si="3"/>
        <v>1600.43</v>
      </c>
      <c r="L51" s="237">
        <f t="shared" si="3"/>
        <v>1954.1899999999998</v>
      </c>
      <c r="M51" s="237">
        <f t="shared" si="3"/>
        <v>1587.9900000000002</v>
      </c>
      <c r="N51" s="237">
        <f t="shared" si="3"/>
        <v>1310.799</v>
      </c>
      <c r="O51" s="251">
        <f>SUM(C51:M51)</f>
        <v>23217.996000000003</v>
      </c>
    </row>
    <row r="52" spans="2:15">
      <c r="I52">
        <f>2093.26-2122.96</f>
        <v>-29.699999999999818</v>
      </c>
    </row>
    <row r="53" spans="2:15" ht="18">
      <c r="B53" s="238"/>
      <c r="C53" s="239"/>
      <c r="D53" s="3056" t="s">
        <v>3156</v>
      </c>
      <c r="E53" s="3056"/>
      <c r="F53" s="3057"/>
      <c r="G53" s="3056"/>
      <c r="H53" s="3056"/>
      <c r="I53" s="239"/>
      <c r="J53" s="239"/>
      <c r="K53" s="239"/>
      <c r="L53" s="239"/>
      <c r="M53" s="239"/>
      <c r="N53" s="239"/>
      <c r="O53" s="249"/>
    </row>
    <row r="54" spans="2:15" ht="18">
      <c r="B54" s="235" t="s">
        <v>3114</v>
      </c>
      <c r="C54" s="11" t="s">
        <v>242</v>
      </c>
      <c r="D54" s="11" t="s">
        <v>243</v>
      </c>
      <c r="E54" s="240" t="s">
        <v>244</v>
      </c>
      <c r="F54" s="241" t="s">
        <v>245</v>
      </c>
      <c r="G54" s="242" t="s">
        <v>246</v>
      </c>
      <c r="H54" s="11" t="s">
        <v>247</v>
      </c>
      <c r="I54" s="11" t="s">
        <v>248</v>
      </c>
      <c r="J54" s="11" t="s">
        <v>249</v>
      </c>
      <c r="K54" s="11" t="s">
        <v>250</v>
      </c>
      <c r="L54" s="11" t="s">
        <v>861</v>
      </c>
      <c r="M54" s="250">
        <v>45689</v>
      </c>
      <c r="N54" s="11" t="s">
        <v>863</v>
      </c>
      <c r="O54" s="248" t="s">
        <v>23</v>
      </c>
    </row>
    <row r="55" spans="2:15" ht="18">
      <c r="B55" s="235" t="s">
        <v>3116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248">
        <v>0</v>
      </c>
    </row>
    <row r="56" spans="2:15" ht="18">
      <c r="B56" s="235" t="s">
        <v>3118</v>
      </c>
      <c r="C56" s="11"/>
      <c r="D56" s="11"/>
      <c r="E56" s="11"/>
      <c r="F56" s="11">
        <v>92.16</v>
      </c>
      <c r="G56" s="11">
        <v>55.83</v>
      </c>
      <c r="H56" s="11"/>
      <c r="I56" s="11"/>
      <c r="J56" s="11">
        <v>62.95</v>
      </c>
      <c r="K56" s="11">
        <v>7</v>
      </c>
      <c r="L56" s="11"/>
      <c r="M56" s="11">
        <v>37.65</v>
      </c>
      <c r="N56" s="11">
        <v>69.400000000000006</v>
      </c>
      <c r="O56" s="248">
        <f t="shared" ref="O56:O74" si="4">SUM(C56:N56)</f>
        <v>324.99</v>
      </c>
    </row>
    <row r="57" spans="2:15" ht="18">
      <c r="B57" s="235" t="s">
        <v>3120</v>
      </c>
      <c r="C57" s="11"/>
      <c r="D57" s="11">
        <v>156.30000000000001</v>
      </c>
      <c r="E57" s="11">
        <v>97.8</v>
      </c>
      <c r="F57" s="11">
        <v>83.27</v>
      </c>
      <c r="G57" s="11">
        <v>261.18</v>
      </c>
      <c r="H57" s="11"/>
      <c r="I57" s="11">
        <v>161.19999999999999</v>
      </c>
      <c r="J57" s="11">
        <v>92.6</v>
      </c>
      <c r="K57" s="11">
        <v>252.39</v>
      </c>
      <c r="L57" s="11">
        <v>21.55</v>
      </c>
      <c r="M57" s="11">
        <v>46.6</v>
      </c>
      <c r="N57" s="11"/>
      <c r="O57" s="248">
        <f t="shared" si="4"/>
        <v>1172.8899999999999</v>
      </c>
    </row>
    <row r="58" spans="2:15" ht="18">
      <c r="B58" s="235" t="s">
        <v>3121</v>
      </c>
      <c r="C58" s="11">
        <v>254.5</v>
      </c>
      <c r="D58" s="11"/>
      <c r="E58" s="11"/>
      <c r="F58" s="11">
        <v>102.44</v>
      </c>
      <c r="G58" s="11">
        <v>296.17</v>
      </c>
      <c r="H58" s="11">
        <v>25.2</v>
      </c>
      <c r="I58" s="11">
        <v>227.87</v>
      </c>
      <c r="J58" s="11"/>
      <c r="K58" s="11">
        <v>131.9</v>
      </c>
      <c r="L58" s="11">
        <v>156.94999999999999</v>
      </c>
      <c r="M58" s="11"/>
      <c r="N58" s="11">
        <v>186.16</v>
      </c>
      <c r="O58" s="248">
        <f t="shared" si="4"/>
        <v>1381.1900000000003</v>
      </c>
    </row>
    <row r="59" spans="2:15" ht="18">
      <c r="B59" s="235" t="s">
        <v>3123</v>
      </c>
      <c r="C59" s="11">
        <v>329.35</v>
      </c>
      <c r="D59" s="11"/>
      <c r="E59" s="11">
        <v>227.17</v>
      </c>
      <c r="F59" s="11">
        <v>104.9</v>
      </c>
      <c r="G59" s="11"/>
      <c r="H59" s="11">
        <v>165.15</v>
      </c>
      <c r="I59" s="11"/>
      <c r="J59" s="11">
        <v>280.22000000000003</v>
      </c>
      <c r="K59" s="11"/>
      <c r="L59" s="11">
        <v>288.45999999999998</v>
      </c>
      <c r="M59" s="11">
        <v>34</v>
      </c>
      <c r="N59" s="11">
        <v>242.6</v>
      </c>
      <c r="O59" s="248">
        <f t="shared" si="4"/>
        <v>1671.85</v>
      </c>
    </row>
    <row r="60" spans="2:15" ht="18">
      <c r="B60" s="235" t="s">
        <v>3125</v>
      </c>
      <c r="C60" s="11">
        <v>157.25</v>
      </c>
      <c r="D60" s="11">
        <v>108.8</v>
      </c>
      <c r="E60" s="11"/>
      <c r="F60" s="11">
        <v>44.3</v>
      </c>
      <c r="G60" s="11"/>
      <c r="H60" s="11">
        <v>261.45999999999998</v>
      </c>
      <c r="I60" s="11"/>
      <c r="J60" s="11"/>
      <c r="K60" s="11">
        <v>177.73</v>
      </c>
      <c r="L60" s="11">
        <v>98</v>
      </c>
      <c r="M60" s="11">
        <v>273.8</v>
      </c>
      <c r="N60" s="11"/>
      <c r="O60" s="248">
        <f t="shared" si="4"/>
        <v>1121.3399999999999</v>
      </c>
    </row>
    <row r="61" spans="2:15" ht="18">
      <c r="B61" s="235" t="s">
        <v>3127</v>
      </c>
      <c r="C61" s="11">
        <v>145.62</v>
      </c>
      <c r="D61" s="11"/>
      <c r="E61" s="11">
        <v>294.91000000000003</v>
      </c>
      <c r="F61" s="11">
        <v>80</v>
      </c>
      <c r="G61" s="11"/>
      <c r="H61" s="11">
        <v>244.28</v>
      </c>
      <c r="I61" s="11"/>
      <c r="J61" s="11">
        <v>271.64999999999998</v>
      </c>
      <c r="K61" s="11"/>
      <c r="L61" s="11">
        <v>300.77</v>
      </c>
      <c r="M61" s="11">
        <v>113.2</v>
      </c>
      <c r="N61" s="11"/>
      <c r="O61" s="248">
        <f t="shared" si="4"/>
        <v>1450.43</v>
      </c>
    </row>
    <row r="62" spans="2:15" ht="18">
      <c r="B62" s="235" t="s">
        <v>3129</v>
      </c>
      <c r="C62" s="11">
        <v>313.41000000000003</v>
      </c>
      <c r="D62" s="11"/>
      <c r="E62" s="11"/>
      <c r="F62" s="11">
        <v>63.03</v>
      </c>
      <c r="G62" s="11"/>
      <c r="H62" s="11">
        <v>215.83</v>
      </c>
      <c r="I62" s="11">
        <v>105.8</v>
      </c>
      <c r="J62" s="11">
        <v>258.99</v>
      </c>
      <c r="K62" s="11"/>
      <c r="L62" s="11"/>
      <c r="M62" s="11">
        <v>389</v>
      </c>
      <c r="N62" s="11"/>
      <c r="O62" s="248">
        <f t="shared" si="4"/>
        <v>1346.06</v>
      </c>
    </row>
    <row r="63" spans="2:15" ht="18">
      <c r="B63" s="235" t="s">
        <v>3130</v>
      </c>
      <c r="C63" s="11">
        <v>216.24</v>
      </c>
      <c r="D63" s="11">
        <v>257.24</v>
      </c>
      <c r="E63" s="11">
        <v>182.72</v>
      </c>
      <c r="F63" s="11">
        <v>118.47</v>
      </c>
      <c r="G63" s="11">
        <v>332.76</v>
      </c>
      <c r="H63" s="11"/>
      <c r="I63" s="11">
        <v>249.53</v>
      </c>
      <c r="J63" s="11">
        <v>149.44</v>
      </c>
      <c r="K63" s="11">
        <v>223.17</v>
      </c>
      <c r="L63" s="11">
        <v>229.53</v>
      </c>
      <c r="M63" s="11">
        <v>210.52</v>
      </c>
      <c r="N63" s="11">
        <v>347.12</v>
      </c>
      <c r="O63" s="248">
        <f t="shared" si="4"/>
        <v>2516.7400000000002</v>
      </c>
    </row>
    <row r="64" spans="2:15" ht="18">
      <c r="B64" s="139" t="s">
        <v>3159</v>
      </c>
      <c r="C64" s="11">
        <v>229.76</v>
      </c>
      <c r="D64" s="11">
        <v>41.45</v>
      </c>
      <c r="E64" s="11">
        <v>263.36</v>
      </c>
      <c r="F64" s="11">
        <v>54.51</v>
      </c>
      <c r="G64" s="11"/>
      <c r="H64" s="11"/>
      <c r="I64" s="11">
        <v>0</v>
      </c>
      <c r="J64" s="11">
        <v>385.45</v>
      </c>
      <c r="K64" s="11"/>
      <c r="L64" s="11">
        <v>290.52999999999997</v>
      </c>
      <c r="M64" s="11">
        <v>24.2</v>
      </c>
      <c r="N64" s="11">
        <v>201.1</v>
      </c>
      <c r="O64" s="248">
        <f t="shared" si="4"/>
        <v>1490.36</v>
      </c>
    </row>
    <row r="65" spans="2:15" ht="18">
      <c r="B65" s="235" t="s">
        <v>3133</v>
      </c>
      <c r="C65" s="11">
        <v>246.4</v>
      </c>
      <c r="D65" s="11"/>
      <c r="E65" s="11">
        <v>263.56</v>
      </c>
      <c r="F65" s="11">
        <v>93</v>
      </c>
      <c r="G65" s="11">
        <v>317.27999999999997</v>
      </c>
      <c r="H65" s="11"/>
      <c r="I65" s="11">
        <v>135</v>
      </c>
      <c r="J65" s="11">
        <v>4.8</v>
      </c>
      <c r="K65" s="11">
        <v>238.49</v>
      </c>
      <c r="L65" s="11">
        <v>53.98</v>
      </c>
      <c r="M65" s="11">
        <v>122.1</v>
      </c>
      <c r="N65" s="11">
        <v>255.09</v>
      </c>
      <c r="O65" s="248">
        <f t="shared" si="4"/>
        <v>1729.6999999999998</v>
      </c>
    </row>
    <row r="66" spans="2:15" ht="18">
      <c r="B66" s="235" t="s">
        <v>3135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248">
        <f t="shared" si="4"/>
        <v>0</v>
      </c>
    </row>
    <row r="67" spans="2:15" ht="18">
      <c r="B67" s="235" t="s">
        <v>3137</v>
      </c>
      <c r="C67" s="11"/>
      <c r="D67" s="11">
        <v>95.84</v>
      </c>
      <c r="E67" s="11">
        <v>193.03</v>
      </c>
      <c r="F67" s="11">
        <v>74.13</v>
      </c>
      <c r="G67" s="11"/>
      <c r="H67" s="11"/>
      <c r="I67" s="11">
        <v>294.98</v>
      </c>
      <c r="J67" s="11"/>
      <c r="K67" s="11">
        <v>421.01</v>
      </c>
      <c r="L67" s="11"/>
      <c r="M67" s="11">
        <v>343.57</v>
      </c>
      <c r="N67" s="11">
        <v>36.99</v>
      </c>
      <c r="O67" s="248">
        <f t="shared" si="4"/>
        <v>1459.55</v>
      </c>
    </row>
    <row r="68" spans="2:15" ht="18">
      <c r="B68" s="235" t="s">
        <v>3138</v>
      </c>
      <c r="C68" s="11"/>
      <c r="D68" s="11"/>
      <c r="E68" s="11">
        <v>271.41000000000003</v>
      </c>
      <c r="F68" s="11">
        <v>103.03</v>
      </c>
      <c r="G68" s="11">
        <v>156.33000000000001</v>
      </c>
      <c r="H68" s="11">
        <v>41.66</v>
      </c>
      <c r="I68" s="11">
        <v>187.87</v>
      </c>
      <c r="J68" s="11"/>
      <c r="K68" s="11">
        <v>360.83</v>
      </c>
      <c r="L68" s="11">
        <v>124.45</v>
      </c>
      <c r="M68" s="11">
        <v>129.76</v>
      </c>
      <c r="N68" s="11">
        <v>300.39999999999998</v>
      </c>
      <c r="O68" s="248">
        <f t="shared" si="4"/>
        <v>1675.7400000000002</v>
      </c>
    </row>
    <row r="69" spans="2:15" ht="18">
      <c r="B69" s="235" t="s">
        <v>3139</v>
      </c>
      <c r="C69" s="11"/>
      <c r="D69" s="11"/>
      <c r="E69" s="11"/>
      <c r="F69" s="11">
        <v>37.619999999999997</v>
      </c>
      <c r="G69" s="11"/>
      <c r="H69" s="11">
        <v>178.46</v>
      </c>
      <c r="I69" s="11"/>
      <c r="J69" s="11"/>
      <c r="K69" s="11"/>
      <c r="L69" s="11"/>
      <c r="M69" s="11"/>
      <c r="N69" s="11">
        <v>256.22000000000003</v>
      </c>
      <c r="O69" s="248">
        <f t="shared" si="4"/>
        <v>472.30000000000007</v>
      </c>
    </row>
    <row r="70" spans="2:15" ht="18">
      <c r="B70" s="235" t="s">
        <v>3140</v>
      </c>
      <c r="C70" s="11">
        <v>159.22</v>
      </c>
      <c r="D70" s="11"/>
      <c r="E70" s="11"/>
      <c r="F70" s="11">
        <v>69.66</v>
      </c>
      <c r="G70" s="11">
        <v>177.85</v>
      </c>
      <c r="H70" s="11"/>
      <c r="I70" s="11">
        <v>133.56</v>
      </c>
      <c r="J70" s="11">
        <v>14.85</v>
      </c>
      <c r="K70" s="11"/>
      <c r="L70" s="11"/>
      <c r="M70" s="11">
        <v>289.83999999999997</v>
      </c>
      <c r="N70" s="11"/>
      <c r="O70" s="248">
        <f t="shared" si="4"/>
        <v>844.98</v>
      </c>
    </row>
    <row r="71" spans="2:15" ht="18">
      <c r="B71" s="235" t="s">
        <v>3142</v>
      </c>
      <c r="C71" s="11"/>
      <c r="D71" s="11"/>
      <c r="E71" s="11">
        <v>191.4</v>
      </c>
      <c r="F71" s="11">
        <v>89.97</v>
      </c>
      <c r="G71" s="11"/>
      <c r="H71" s="11"/>
      <c r="I71" s="11"/>
      <c r="J71" s="11">
        <v>250.14</v>
      </c>
      <c r="K71" s="11"/>
      <c r="L71" s="11"/>
      <c r="M71" s="11">
        <v>33.6</v>
      </c>
      <c r="N71" s="11">
        <v>5.15</v>
      </c>
      <c r="O71" s="248">
        <f t="shared" si="4"/>
        <v>570.26</v>
      </c>
    </row>
    <row r="72" spans="2:15" ht="18">
      <c r="B72" s="235" t="s">
        <v>3143</v>
      </c>
      <c r="C72" s="11"/>
      <c r="D72" s="11"/>
      <c r="E72" s="11"/>
      <c r="F72" s="11">
        <v>22.57</v>
      </c>
      <c r="G72" s="11"/>
      <c r="H72" s="11">
        <v>159.25</v>
      </c>
      <c r="I72" s="11"/>
      <c r="J72" s="11"/>
      <c r="K72" s="11"/>
      <c r="L72" s="11">
        <v>158.47</v>
      </c>
      <c r="M72" s="11"/>
      <c r="N72" s="11"/>
      <c r="O72" s="248">
        <f t="shared" si="4"/>
        <v>340.28999999999996</v>
      </c>
    </row>
    <row r="73" spans="2:15" ht="18">
      <c r="B73" s="235" t="s">
        <v>3144</v>
      </c>
      <c r="C73" s="11">
        <v>71.510000000000005</v>
      </c>
      <c r="D73" s="11"/>
      <c r="E73" s="11">
        <v>235.79</v>
      </c>
      <c r="F73" s="11">
        <v>88.5</v>
      </c>
      <c r="G73" s="11"/>
      <c r="H73" s="11"/>
      <c r="I73" s="11"/>
      <c r="J73" s="11"/>
      <c r="K73" s="11">
        <v>309.25</v>
      </c>
      <c r="L73" s="11"/>
      <c r="M73" s="11"/>
      <c r="N73" s="11">
        <v>292.73</v>
      </c>
      <c r="O73" s="248">
        <f t="shared" si="4"/>
        <v>997.78</v>
      </c>
    </row>
    <row r="74" spans="2:15" ht="18">
      <c r="B74" s="235" t="s">
        <v>3145</v>
      </c>
      <c r="C74" s="11">
        <v>196.55</v>
      </c>
      <c r="D74" s="11">
        <v>203.18</v>
      </c>
      <c r="E74" s="11"/>
      <c r="F74" s="11">
        <v>220.14</v>
      </c>
      <c r="G74" s="11">
        <v>204.1</v>
      </c>
      <c r="H74" s="11"/>
      <c r="I74" s="11"/>
      <c r="J74" s="11"/>
      <c r="K74" s="11"/>
      <c r="L74" s="11">
        <v>223.3</v>
      </c>
      <c r="M74" s="11"/>
      <c r="N74" s="11"/>
      <c r="O74" s="248">
        <f t="shared" si="4"/>
        <v>1047.27</v>
      </c>
    </row>
    <row r="75" spans="2:15" ht="18">
      <c r="B75" s="252" t="s">
        <v>23</v>
      </c>
      <c r="C75" s="253">
        <f>SUM(C55:C74)</f>
        <v>2319.8100000000004</v>
      </c>
      <c r="D75" s="253">
        <f t="shared" ref="D75:N75" si="5">SUM(D55:D74)</f>
        <v>862.81000000000017</v>
      </c>
      <c r="E75" s="254">
        <f t="shared" si="5"/>
        <v>2221.15</v>
      </c>
      <c r="F75" s="255">
        <f t="shared" si="5"/>
        <v>1541.6999999999998</v>
      </c>
      <c r="G75" s="256">
        <f t="shared" si="5"/>
        <v>1801.4999999999998</v>
      </c>
      <c r="H75" s="253">
        <f t="shared" si="5"/>
        <v>1291.29</v>
      </c>
      <c r="I75" s="246">
        <f t="shared" si="5"/>
        <v>1495.81</v>
      </c>
      <c r="J75" s="237">
        <f t="shared" si="5"/>
        <v>1771.0900000000001</v>
      </c>
      <c r="K75" s="237">
        <f t="shared" si="5"/>
        <v>2121.7699999999995</v>
      </c>
      <c r="L75" s="237">
        <f t="shared" si="5"/>
        <v>1945.99</v>
      </c>
      <c r="M75" s="237">
        <f t="shared" si="5"/>
        <v>2047.8399999999997</v>
      </c>
      <c r="N75" s="237">
        <f t="shared" si="5"/>
        <v>2192.96</v>
      </c>
      <c r="O75" s="251">
        <f>SUM(C75:M75)</f>
        <v>19420.759999999998</v>
      </c>
    </row>
    <row r="77" spans="2:15" ht="18">
      <c r="B77" s="238"/>
      <c r="C77" s="239"/>
      <c r="D77" s="3056" t="s">
        <v>3160</v>
      </c>
      <c r="E77" s="3056"/>
      <c r="F77" s="3057"/>
      <c r="G77" s="3056"/>
      <c r="H77" s="3056"/>
      <c r="I77" s="239"/>
      <c r="J77" s="239"/>
      <c r="K77" s="239"/>
      <c r="L77" s="239"/>
      <c r="M77" s="239"/>
      <c r="N77" s="239"/>
      <c r="O77" s="249"/>
    </row>
    <row r="78" spans="2:15" ht="18">
      <c r="B78" s="235" t="s">
        <v>3114</v>
      </c>
      <c r="C78" s="11" t="s">
        <v>864</v>
      </c>
      <c r="D78" s="250">
        <v>45778</v>
      </c>
      <c r="E78" s="240" t="s">
        <v>866</v>
      </c>
      <c r="F78" s="241" t="s">
        <v>867</v>
      </c>
      <c r="G78" s="242" t="s">
        <v>246</v>
      </c>
      <c r="H78" s="11" t="s">
        <v>315</v>
      </c>
      <c r="I78" s="250">
        <v>45931</v>
      </c>
      <c r="J78" s="11" t="s">
        <v>3886</v>
      </c>
      <c r="K78" s="11" t="s">
        <v>3941</v>
      </c>
      <c r="L78" s="11" t="s">
        <v>3949</v>
      </c>
      <c r="M78" s="250">
        <v>46054</v>
      </c>
      <c r="N78" s="11" t="s">
        <v>3987</v>
      </c>
      <c r="O78" s="248" t="s">
        <v>23</v>
      </c>
    </row>
    <row r="79" spans="2:15" ht="18">
      <c r="B79" s="235" t="s">
        <v>3116</v>
      </c>
      <c r="C79" s="4"/>
      <c r="D79" s="11"/>
      <c r="E79" s="11"/>
      <c r="F79" s="11"/>
      <c r="G79" s="11"/>
      <c r="H79" s="11"/>
      <c r="I79" s="11">
        <v>246.02</v>
      </c>
      <c r="J79" s="11"/>
      <c r="K79" s="11"/>
      <c r="L79" s="11"/>
      <c r="M79" s="11"/>
      <c r="N79" s="11"/>
      <c r="O79" s="248">
        <f>SUM(C79:N79)</f>
        <v>246.02</v>
      </c>
    </row>
    <row r="80" spans="2:15" ht="18">
      <c r="B80" s="235" t="s">
        <v>3118</v>
      </c>
      <c r="C80" s="4">
        <v>3.02</v>
      </c>
      <c r="D80" s="4"/>
      <c r="E80" s="4">
        <v>88.94</v>
      </c>
      <c r="F80" s="4"/>
      <c r="G80" s="4">
        <v>70.569999999999993</v>
      </c>
      <c r="H80" s="4"/>
      <c r="I80" s="4"/>
      <c r="J80" s="4">
        <v>67.23</v>
      </c>
      <c r="K80" s="4">
        <v>22.9</v>
      </c>
      <c r="L80" s="4"/>
      <c r="M80" s="4">
        <v>97.01</v>
      </c>
      <c r="N80" s="4">
        <v>9.6300000000000008</v>
      </c>
      <c r="O80" s="248">
        <f>SUM(C80:N80)</f>
        <v>359.3</v>
      </c>
    </row>
    <row r="81" spans="2:15" ht="18">
      <c r="B81" s="235" t="s">
        <v>3120</v>
      </c>
      <c r="C81" s="4"/>
      <c r="D81" s="4">
        <v>132.75</v>
      </c>
      <c r="E81" s="4">
        <v>120.3</v>
      </c>
      <c r="F81" s="4"/>
      <c r="G81" s="4"/>
      <c r="H81" s="4"/>
      <c r="I81" s="4"/>
      <c r="J81" s="4"/>
      <c r="K81" s="4"/>
      <c r="L81" s="4"/>
      <c r="M81" s="4"/>
      <c r="N81" s="4"/>
      <c r="O81" s="248">
        <f>SUM(C81:N81)</f>
        <v>253.05</v>
      </c>
    </row>
    <row r="82" spans="2:15" ht="18">
      <c r="B82" s="235" t="s">
        <v>3121</v>
      </c>
      <c r="C82" s="4"/>
      <c r="D82" s="4"/>
      <c r="E82" s="4">
        <v>90.04</v>
      </c>
      <c r="F82" s="4">
        <v>243.2</v>
      </c>
      <c r="G82" s="4"/>
      <c r="H82" s="4">
        <v>233.57</v>
      </c>
      <c r="I82" s="4"/>
      <c r="J82" s="4">
        <v>259.97000000000003</v>
      </c>
      <c r="K82" s="4">
        <v>70.599999999999994</v>
      </c>
      <c r="L82" s="4"/>
      <c r="M82" s="4"/>
      <c r="N82" s="4">
        <v>266.12</v>
      </c>
      <c r="O82" s="248">
        <f t="shared" ref="O82:O98" si="6">SUM(C82:N82)</f>
        <v>1163.5</v>
      </c>
    </row>
    <row r="83" spans="2:15" ht="18">
      <c r="B83" s="235" t="s">
        <v>3123</v>
      </c>
      <c r="C83" s="4"/>
      <c r="D83" s="4"/>
      <c r="E83" s="4">
        <v>324.48</v>
      </c>
      <c r="F83" s="4">
        <v>22.7</v>
      </c>
      <c r="G83" s="4">
        <v>279.5</v>
      </c>
      <c r="H83" s="4">
        <v>126.16</v>
      </c>
      <c r="I83" s="4">
        <v>448.9</v>
      </c>
      <c r="J83" s="4"/>
      <c r="K83" s="4">
        <v>155.15</v>
      </c>
      <c r="L83" s="4">
        <v>97.4</v>
      </c>
      <c r="M83" s="4"/>
      <c r="N83" s="4">
        <v>238.28</v>
      </c>
      <c r="O83" s="248">
        <f t="shared" si="6"/>
        <v>1692.5700000000002</v>
      </c>
    </row>
    <row r="84" spans="2:15" ht="18">
      <c r="B84" s="235" t="s">
        <v>3125</v>
      </c>
      <c r="C84" s="4"/>
      <c r="D84" s="4"/>
      <c r="E84" s="4"/>
      <c r="F84" s="4">
        <v>274</v>
      </c>
      <c r="G84" s="4"/>
      <c r="H84" s="4">
        <v>73</v>
      </c>
      <c r="I84" s="4">
        <v>181.94</v>
      </c>
      <c r="J84" s="4"/>
      <c r="K84" s="4">
        <v>256.31599999999997</v>
      </c>
      <c r="L84" s="4"/>
      <c r="M84" s="4"/>
      <c r="N84" s="4">
        <v>229.35</v>
      </c>
      <c r="O84" s="248">
        <f t="shared" si="6"/>
        <v>1014.6060000000001</v>
      </c>
    </row>
    <row r="85" spans="2:15" ht="18">
      <c r="B85" s="235" t="s">
        <v>3127</v>
      </c>
      <c r="C85" s="4">
        <v>109.35</v>
      </c>
      <c r="D85" s="4">
        <v>136.25</v>
      </c>
      <c r="E85" s="4"/>
      <c r="F85" s="4">
        <v>149.79</v>
      </c>
      <c r="G85" s="4"/>
      <c r="H85" s="4">
        <v>363.70699999999999</v>
      </c>
      <c r="I85" s="4"/>
      <c r="J85" s="4">
        <v>503.57</v>
      </c>
      <c r="K85" s="4">
        <v>118.54</v>
      </c>
      <c r="L85" s="4">
        <v>509.16</v>
      </c>
      <c r="M85" s="4">
        <v>591.54999999999995</v>
      </c>
      <c r="N85" s="4">
        <v>177.93</v>
      </c>
      <c r="O85" s="248">
        <f t="shared" si="6"/>
        <v>2659.8469999999998</v>
      </c>
    </row>
    <row r="86" spans="2:15" ht="18">
      <c r="B86" s="235" t="s">
        <v>3129</v>
      </c>
      <c r="C86" s="4">
        <v>0</v>
      </c>
      <c r="D86" s="4">
        <v>217.78</v>
      </c>
      <c r="E86" s="4"/>
      <c r="F86" s="4"/>
      <c r="G86" s="4">
        <v>233.97</v>
      </c>
      <c r="H86" s="4"/>
      <c r="I86" s="4">
        <v>261.27999999999997</v>
      </c>
      <c r="J86" s="4"/>
      <c r="K86" s="4">
        <v>108.31</v>
      </c>
      <c r="L86" s="4">
        <v>75.75</v>
      </c>
      <c r="M86" s="4">
        <v>240.54</v>
      </c>
      <c r="N86" s="4"/>
      <c r="O86" s="248">
        <f t="shared" si="6"/>
        <v>1137.6299999999999</v>
      </c>
    </row>
    <row r="87" spans="2:15" ht="18">
      <c r="B87" s="235" t="s">
        <v>3130</v>
      </c>
      <c r="C87" s="4">
        <v>163.1</v>
      </c>
      <c r="D87" s="4">
        <v>484.12</v>
      </c>
      <c r="E87" s="4">
        <v>100.02</v>
      </c>
      <c r="F87" s="4">
        <v>171.77</v>
      </c>
      <c r="G87" s="4">
        <v>211.47</v>
      </c>
      <c r="H87" s="4">
        <v>405.32</v>
      </c>
      <c r="I87" s="4"/>
      <c r="J87" s="4"/>
      <c r="K87" s="4">
        <v>376.24</v>
      </c>
      <c r="L87" s="4">
        <v>256.48</v>
      </c>
      <c r="M87" s="4">
        <v>238.39</v>
      </c>
      <c r="N87" s="4">
        <v>237.81</v>
      </c>
      <c r="O87" s="248">
        <f t="shared" si="6"/>
        <v>2644.72</v>
      </c>
    </row>
    <row r="88" spans="2:15" ht="18">
      <c r="B88" s="139" t="s">
        <v>3159</v>
      </c>
      <c r="C88" s="4">
        <v>86.84</v>
      </c>
      <c r="D88" s="4"/>
      <c r="E88" s="4">
        <v>200.86</v>
      </c>
      <c r="F88" s="4"/>
      <c r="G88" s="4">
        <v>196.62</v>
      </c>
      <c r="H88" s="4">
        <v>109.72</v>
      </c>
      <c r="I88" s="4"/>
      <c r="J88" s="4">
        <v>224.83</v>
      </c>
      <c r="K88" s="4">
        <v>187.3</v>
      </c>
      <c r="L88" s="4">
        <v>218.28</v>
      </c>
      <c r="M88" s="4">
        <v>40</v>
      </c>
      <c r="N88" s="4"/>
      <c r="O88" s="248">
        <f t="shared" si="6"/>
        <v>1264.45</v>
      </c>
    </row>
    <row r="89" spans="2:15" ht="18">
      <c r="B89" s="235" t="s">
        <v>3133</v>
      </c>
      <c r="C89" s="4">
        <v>91.46</v>
      </c>
      <c r="D89" s="4"/>
      <c r="E89" s="4">
        <v>103.39</v>
      </c>
      <c r="F89" s="4"/>
      <c r="G89" s="4">
        <v>340.08</v>
      </c>
      <c r="H89" s="4"/>
      <c r="I89" s="4">
        <v>256.19</v>
      </c>
      <c r="J89" s="4"/>
      <c r="K89" s="4">
        <v>282.95</v>
      </c>
      <c r="L89" s="4">
        <v>12.25</v>
      </c>
      <c r="M89" s="4">
        <v>169.5</v>
      </c>
      <c r="N89" s="4"/>
      <c r="O89" s="248">
        <f t="shared" si="6"/>
        <v>1255.82</v>
      </c>
    </row>
    <row r="90" spans="2:15" ht="18">
      <c r="B90" s="235" t="s">
        <v>3135</v>
      </c>
      <c r="C90" s="4"/>
      <c r="D90" s="4"/>
      <c r="E90" s="4"/>
      <c r="F90" s="4"/>
      <c r="G90" s="4"/>
      <c r="H90" s="4"/>
      <c r="I90" s="4"/>
      <c r="J90" s="4"/>
      <c r="K90" s="4">
        <v>257.01</v>
      </c>
      <c r="L90" s="4"/>
      <c r="M90" s="4"/>
      <c r="N90" s="4"/>
      <c r="O90" s="248">
        <f t="shared" si="6"/>
        <v>257.01</v>
      </c>
    </row>
    <row r="91" spans="2:15" ht="18">
      <c r="B91" s="235" t="s">
        <v>3137</v>
      </c>
      <c r="C91" s="4">
        <v>170.37</v>
      </c>
      <c r="D91" s="4">
        <v>110.25</v>
      </c>
      <c r="E91" s="4"/>
      <c r="F91" s="4"/>
      <c r="G91" s="4">
        <v>338.83</v>
      </c>
      <c r="H91" s="4">
        <v>144.32</v>
      </c>
      <c r="I91" s="4"/>
      <c r="J91" s="4">
        <v>305.10000000000002</v>
      </c>
      <c r="K91" s="4"/>
      <c r="L91" s="4">
        <v>216.27</v>
      </c>
      <c r="M91" s="4">
        <v>352.69</v>
      </c>
      <c r="N91" s="4">
        <v>65</v>
      </c>
      <c r="O91" s="248">
        <f t="shared" si="6"/>
        <v>1702.83</v>
      </c>
    </row>
    <row r="92" spans="2:15" ht="18">
      <c r="B92" s="235" t="s">
        <v>3138</v>
      </c>
      <c r="C92" s="4">
        <v>173.02</v>
      </c>
      <c r="D92" s="4"/>
      <c r="E92" s="4">
        <v>333.58</v>
      </c>
      <c r="F92" s="4"/>
      <c r="G92" s="4"/>
      <c r="H92" s="4">
        <v>232.47</v>
      </c>
      <c r="I92" s="4">
        <v>238.1</v>
      </c>
      <c r="J92" s="4"/>
      <c r="K92" s="4"/>
      <c r="L92" s="4"/>
      <c r="M92" s="4">
        <v>244.62</v>
      </c>
      <c r="N92" s="4">
        <v>112.64</v>
      </c>
      <c r="O92" s="248">
        <f t="shared" si="6"/>
        <v>1334.43</v>
      </c>
    </row>
    <row r="93" spans="2:15" ht="18">
      <c r="B93" s="235" t="s">
        <v>3139</v>
      </c>
      <c r="C93" s="4"/>
      <c r="D93" s="4"/>
      <c r="E93" s="4">
        <v>208.3</v>
      </c>
      <c r="F93" s="4"/>
      <c r="G93" s="4"/>
      <c r="H93" s="4"/>
      <c r="I93" s="4"/>
      <c r="J93" s="4"/>
      <c r="K93" s="4"/>
      <c r="L93" s="4"/>
      <c r="M93" s="4"/>
      <c r="N93" s="4"/>
      <c r="O93" s="248">
        <f t="shared" si="6"/>
        <v>208.3</v>
      </c>
    </row>
    <row r="94" spans="2:15" ht="18">
      <c r="B94" s="235" t="s">
        <v>3140</v>
      </c>
      <c r="C94" s="4">
        <v>23.33</v>
      </c>
      <c r="D94" s="4">
        <v>179.82</v>
      </c>
      <c r="E94" s="4"/>
      <c r="F94" s="4">
        <v>194.72</v>
      </c>
      <c r="G94" s="4"/>
      <c r="H94" s="4"/>
      <c r="I94" s="4"/>
      <c r="J94" s="4">
        <v>80.510000000000005</v>
      </c>
      <c r="K94" s="4">
        <v>97.84</v>
      </c>
      <c r="L94" s="4"/>
      <c r="M94" s="4"/>
      <c r="N94" s="4"/>
      <c r="O94" s="248">
        <f t="shared" si="6"/>
        <v>576.22</v>
      </c>
    </row>
    <row r="95" spans="2:15" ht="18">
      <c r="B95" s="235" t="s">
        <v>3142</v>
      </c>
      <c r="C95" s="4">
        <v>147.09</v>
      </c>
      <c r="D95" s="4"/>
      <c r="E95" s="4"/>
      <c r="F95" s="4">
        <v>193.41</v>
      </c>
      <c r="G95" s="4"/>
      <c r="H95" s="4"/>
      <c r="I95" s="4">
        <v>138.16999999999999</v>
      </c>
      <c r="J95" s="4">
        <v>7.95</v>
      </c>
      <c r="K95" s="4"/>
      <c r="L95" s="4"/>
      <c r="M95" s="4"/>
      <c r="N95" s="4"/>
      <c r="O95" s="248">
        <f t="shared" si="6"/>
        <v>486.61999999999995</v>
      </c>
    </row>
    <row r="96" spans="2:15" ht="18">
      <c r="B96" s="235" t="s">
        <v>3143</v>
      </c>
      <c r="C96" s="4"/>
      <c r="D96" s="4"/>
      <c r="E96" s="4">
        <v>153.19</v>
      </c>
      <c r="F96" s="4"/>
      <c r="G96" s="4">
        <v>193.631</v>
      </c>
      <c r="H96" s="4"/>
      <c r="I96" s="4"/>
      <c r="J96" s="4"/>
      <c r="K96" s="4"/>
      <c r="L96" s="4"/>
      <c r="M96" s="4"/>
      <c r="N96" s="4">
        <v>132.61000000000001</v>
      </c>
      <c r="O96" s="248">
        <f t="shared" si="6"/>
        <v>479.43100000000004</v>
      </c>
    </row>
    <row r="97" spans="2:15" ht="18">
      <c r="B97" s="235" t="s">
        <v>3144</v>
      </c>
      <c r="C97" s="4"/>
      <c r="D97" s="4">
        <v>242.34</v>
      </c>
      <c r="E97" s="4"/>
      <c r="F97" s="4"/>
      <c r="G97" s="4">
        <v>225.76</v>
      </c>
      <c r="H97" s="4"/>
      <c r="I97" s="4"/>
      <c r="J97" s="4">
        <v>101.73</v>
      </c>
      <c r="K97" s="4"/>
      <c r="L97" s="4">
        <v>165.6</v>
      </c>
      <c r="M97" s="4"/>
      <c r="N97" s="4"/>
      <c r="O97" s="248">
        <f t="shared" si="6"/>
        <v>735.43000000000006</v>
      </c>
    </row>
    <row r="98" spans="2:15" ht="18">
      <c r="B98" s="235" t="s">
        <v>3145</v>
      </c>
      <c r="C98" s="4">
        <v>211.29</v>
      </c>
      <c r="D98" s="4">
        <v>225.2</v>
      </c>
      <c r="E98" s="4"/>
      <c r="F98" s="4">
        <v>212.57</v>
      </c>
      <c r="G98" s="4"/>
      <c r="H98" s="4"/>
      <c r="I98" s="4">
        <v>224.75</v>
      </c>
      <c r="J98" s="4"/>
      <c r="K98" s="4">
        <v>180.22</v>
      </c>
      <c r="L98" s="4">
        <v>186.36</v>
      </c>
      <c r="M98" s="4"/>
      <c r="N98" s="4"/>
      <c r="O98" s="248">
        <f t="shared" si="6"/>
        <v>1240.3899999999999</v>
      </c>
    </row>
    <row r="99" spans="2:15" ht="18">
      <c r="B99" s="252" t="s">
        <v>23</v>
      </c>
      <c r="C99" s="253">
        <f>SUM(C80:C98)</f>
        <v>1178.8699999999999</v>
      </c>
      <c r="D99" s="253">
        <f t="shared" ref="D99:N99" si="7">SUM(D79:D98)</f>
        <v>1728.51</v>
      </c>
      <c r="E99" s="254">
        <f t="shared" si="7"/>
        <v>1723.1</v>
      </c>
      <c r="F99" s="255">
        <f t="shared" si="7"/>
        <v>1462.1599999999999</v>
      </c>
      <c r="G99" s="256">
        <f t="shared" si="7"/>
        <v>2090.431</v>
      </c>
      <c r="H99" s="253">
        <f t="shared" si="7"/>
        <v>1688.2670000000001</v>
      </c>
      <c r="I99" s="246">
        <f t="shared" si="7"/>
        <v>1995.35</v>
      </c>
      <c r="J99" s="237">
        <f t="shared" si="7"/>
        <v>1550.8899999999999</v>
      </c>
      <c r="K99" s="237">
        <f t="shared" si="7"/>
        <v>2113.3759999999997</v>
      </c>
      <c r="L99" s="237">
        <f t="shared" si="7"/>
        <v>1737.5500000000002</v>
      </c>
      <c r="M99" s="237">
        <f t="shared" si="7"/>
        <v>1974.2999999999997</v>
      </c>
      <c r="N99" s="237">
        <f t="shared" si="7"/>
        <v>1469.37</v>
      </c>
      <c r="O99" s="251">
        <f>SUM(C99:M99)</f>
        <v>19242.804</v>
      </c>
    </row>
    <row r="102" spans="2:15" ht="13.5" thickBot="1"/>
    <row r="103" spans="2:15" ht="18.75" thickBot="1">
      <c r="B103" s="238"/>
      <c r="C103" s="239"/>
      <c r="D103" s="3056" t="s">
        <v>4168</v>
      </c>
      <c r="E103" s="3056"/>
      <c r="F103" s="3057"/>
      <c r="G103" s="3056"/>
      <c r="H103" s="3056"/>
      <c r="I103" s="239"/>
      <c r="J103" s="239"/>
      <c r="K103" s="239"/>
      <c r="L103" s="239"/>
      <c r="M103" s="239"/>
      <c r="N103" s="239"/>
      <c r="O103" s="249"/>
    </row>
    <row r="104" spans="2:15" ht="18">
      <c r="B104" s="235" t="s">
        <v>3114</v>
      </c>
      <c r="C104" s="11" t="s">
        <v>4137</v>
      </c>
      <c r="D104" s="250">
        <v>46143</v>
      </c>
      <c r="E104" s="240" t="s">
        <v>4169</v>
      </c>
      <c r="F104" s="241" t="s">
        <v>867</v>
      </c>
      <c r="G104" s="242" t="s">
        <v>246</v>
      </c>
      <c r="H104" s="11" t="s">
        <v>315</v>
      </c>
      <c r="I104" s="250">
        <v>45931</v>
      </c>
      <c r="J104" s="11" t="s">
        <v>3886</v>
      </c>
      <c r="K104" s="11" t="s">
        <v>3941</v>
      </c>
      <c r="L104" s="11" t="s">
        <v>3949</v>
      </c>
      <c r="M104" s="250">
        <v>46054</v>
      </c>
      <c r="N104" s="11" t="s">
        <v>3987</v>
      </c>
      <c r="O104" s="248" t="s">
        <v>23</v>
      </c>
    </row>
    <row r="105" spans="2:15" ht="18">
      <c r="B105" s="235" t="s">
        <v>3116</v>
      </c>
      <c r="C105" s="2692"/>
      <c r="D105" s="2692"/>
      <c r="E105" s="2692"/>
      <c r="F105" s="2692"/>
      <c r="G105" s="2692"/>
      <c r="H105" s="2692"/>
      <c r="I105" s="2692"/>
      <c r="J105" s="2692"/>
      <c r="K105" s="2692"/>
      <c r="L105" s="2692"/>
      <c r="M105" s="2692"/>
      <c r="N105" s="2692"/>
      <c r="O105" s="248">
        <f>SUM(C105:N105)</f>
        <v>0</v>
      </c>
    </row>
    <row r="106" spans="2:15" ht="18">
      <c r="B106" s="235" t="s">
        <v>3118</v>
      </c>
      <c r="C106" s="2692">
        <v>0</v>
      </c>
      <c r="D106" s="2692">
        <v>0</v>
      </c>
      <c r="E106" s="2692">
        <v>0</v>
      </c>
      <c r="F106" s="2692">
        <v>0</v>
      </c>
      <c r="G106" s="2692">
        <v>0</v>
      </c>
      <c r="H106" s="2692">
        <v>0</v>
      </c>
      <c r="I106" s="2692">
        <v>0</v>
      </c>
      <c r="J106" s="2692">
        <v>0</v>
      </c>
      <c r="K106" s="2692">
        <v>0</v>
      </c>
      <c r="L106" s="2692">
        <v>0</v>
      </c>
      <c r="M106" s="2692">
        <v>0</v>
      </c>
      <c r="N106" s="2692">
        <v>0</v>
      </c>
      <c r="O106" s="248">
        <f>SUM(C106:N106)</f>
        <v>0</v>
      </c>
    </row>
    <row r="107" spans="2:15" ht="18">
      <c r="B107" s="235" t="s">
        <v>3120</v>
      </c>
      <c r="C107" s="2692">
        <v>258.89999999999998</v>
      </c>
      <c r="D107" s="2692"/>
      <c r="E107" s="2692"/>
      <c r="F107" s="2692"/>
      <c r="G107" s="2692"/>
      <c r="H107" s="2692"/>
      <c r="I107" s="2692"/>
      <c r="J107" s="2692"/>
      <c r="K107" s="2692"/>
      <c r="L107" s="2692"/>
      <c r="M107" s="2692"/>
      <c r="N107" s="2692"/>
      <c r="O107" s="248">
        <f>SUM(C107:N107)</f>
        <v>258.89999999999998</v>
      </c>
    </row>
    <row r="108" spans="2:15" ht="18">
      <c r="B108" s="235" t="s">
        <v>3121</v>
      </c>
      <c r="C108" s="2692">
        <v>20.125</v>
      </c>
      <c r="D108" s="2692"/>
      <c r="E108" s="2692"/>
      <c r="F108" s="2692"/>
      <c r="G108" s="2692"/>
      <c r="H108" s="2692"/>
      <c r="I108" s="2692"/>
      <c r="J108" s="2692"/>
      <c r="K108" s="2692"/>
      <c r="L108" s="2692"/>
      <c r="M108" s="2692"/>
      <c r="N108" s="2692"/>
      <c r="O108" s="248">
        <f t="shared" ref="O108:O124" si="8">SUM(C108:N108)</f>
        <v>20.125</v>
      </c>
    </row>
    <row r="109" spans="2:15" ht="18">
      <c r="B109" s="235" t="s">
        <v>3123</v>
      </c>
      <c r="C109" s="2692">
        <v>79.05</v>
      </c>
      <c r="D109" s="2692"/>
      <c r="E109" s="2692"/>
      <c r="F109" s="2692"/>
      <c r="G109" s="2692"/>
      <c r="H109" s="2692"/>
      <c r="I109" s="2692"/>
      <c r="J109" s="2692"/>
      <c r="K109" s="2692"/>
      <c r="L109" s="2692"/>
      <c r="M109" s="2692"/>
      <c r="N109" s="2692"/>
      <c r="O109" s="248">
        <f t="shared" si="8"/>
        <v>79.05</v>
      </c>
    </row>
    <row r="110" spans="2:15" ht="18">
      <c r="B110" s="235" t="s">
        <v>3125</v>
      </c>
      <c r="C110" s="2692">
        <v>245.06</v>
      </c>
      <c r="D110" s="2692"/>
      <c r="E110" s="2692"/>
      <c r="F110" s="2692"/>
      <c r="G110" s="2692"/>
      <c r="H110" s="2692"/>
      <c r="I110" s="2692"/>
      <c r="J110" s="2692"/>
      <c r="K110" s="2692"/>
      <c r="L110" s="2692"/>
      <c r="M110" s="2692"/>
      <c r="N110" s="2692"/>
      <c r="O110" s="248">
        <f t="shared" si="8"/>
        <v>245.06</v>
      </c>
    </row>
    <row r="111" spans="2:15" ht="18">
      <c r="B111" s="235" t="s">
        <v>3127</v>
      </c>
      <c r="C111" s="2692">
        <v>189.25</v>
      </c>
      <c r="D111" s="2692">
        <v>0</v>
      </c>
      <c r="E111" s="2692">
        <v>0</v>
      </c>
      <c r="F111" s="2692">
        <v>0</v>
      </c>
      <c r="G111" s="2692">
        <v>0</v>
      </c>
      <c r="H111" s="2692">
        <v>0</v>
      </c>
      <c r="I111" s="2692">
        <v>0</v>
      </c>
      <c r="J111" s="2692">
        <v>0</v>
      </c>
      <c r="K111" s="2692">
        <v>0</v>
      </c>
      <c r="L111" s="2692">
        <v>0</v>
      </c>
      <c r="M111" s="2692">
        <v>0</v>
      </c>
      <c r="N111" s="2692">
        <v>0</v>
      </c>
      <c r="O111" s="248">
        <f t="shared" si="8"/>
        <v>189.25</v>
      </c>
    </row>
    <row r="112" spans="2:15" ht="18">
      <c r="B112" s="235" t="s">
        <v>3129</v>
      </c>
      <c r="C112" s="2692">
        <v>0</v>
      </c>
      <c r="D112" s="2692">
        <v>0</v>
      </c>
      <c r="E112" s="2692">
        <v>0</v>
      </c>
      <c r="F112" s="2692">
        <v>0</v>
      </c>
      <c r="G112" s="2692">
        <v>0</v>
      </c>
      <c r="H112" s="2692">
        <v>0</v>
      </c>
      <c r="I112" s="2692">
        <v>0</v>
      </c>
      <c r="J112" s="2692">
        <v>0</v>
      </c>
      <c r="K112" s="2692">
        <v>0</v>
      </c>
      <c r="L112" s="2692">
        <v>0</v>
      </c>
      <c r="M112" s="2692">
        <v>0</v>
      </c>
      <c r="N112" s="2692">
        <v>0</v>
      </c>
      <c r="O112" s="248">
        <f t="shared" si="8"/>
        <v>0</v>
      </c>
    </row>
    <row r="113" spans="2:15" ht="18">
      <c r="B113" s="235" t="s">
        <v>3130</v>
      </c>
      <c r="C113" s="2692">
        <v>238.22</v>
      </c>
      <c r="D113" s="2692">
        <v>0</v>
      </c>
      <c r="E113" s="2692">
        <v>0</v>
      </c>
      <c r="F113" s="2692">
        <v>0</v>
      </c>
      <c r="G113" s="2692">
        <v>0</v>
      </c>
      <c r="H113" s="2692">
        <v>0</v>
      </c>
      <c r="I113" s="2692">
        <v>0</v>
      </c>
      <c r="J113" s="2692">
        <v>0</v>
      </c>
      <c r="K113" s="2692">
        <v>0</v>
      </c>
      <c r="L113" s="2692">
        <v>0</v>
      </c>
      <c r="M113" s="2692">
        <v>0</v>
      </c>
      <c r="N113" s="2692">
        <v>0</v>
      </c>
      <c r="O113" s="248">
        <f t="shared" si="8"/>
        <v>238.22</v>
      </c>
    </row>
    <row r="114" spans="2:15" ht="18">
      <c r="B114" s="139" t="s">
        <v>3159</v>
      </c>
      <c r="C114" s="2692">
        <v>327.72</v>
      </c>
      <c r="D114" s="2692">
        <v>0</v>
      </c>
      <c r="E114" s="2692">
        <v>0</v>
      </c>
      <c r="F114" s="2692">
        <v>0</v>
      </c>
      <c r="G114" s="2692">
        <v>0</v>
      </c>
      <c r="H114" s="2692">
        <v>0</v>
      </c>
      <c r="I114" s="2692">
        <v>0</v>
      </c>
      <c r="J114" s="2692">
        <v>0</v>
      </c>
      <c r="K114" s="2692">
        <v>0</v>
      </c>
      <c r="L114" s="2692">
        <v>0</v>
      </c>
      <c r="M114" s="2692">
        <v>0</v>
      </c>
      <c r="N114" s="2692">
        <v>0</v>
      </c>
      <c r="O114" s="248">
        <f t="shared" si="8"/>
        <v>327.72</v>
      </c>
    </row>
    <row r="115" spans="2:15" ht="18">
      <c r="B115" s="235" t="s">
        <v>3133</v>
      </c>
      <c r="C115" s="2692">
        <v>258.75</v>
      </c>
      <c r="D115" s="2692">
        <v>0</v>
      </c>
      <c r="E115" s="2692">
        <v>0</v>
      </c>
      <c r="F115" s="2692">
        <v>0</v>
      </c>
      <c r="G115" s="2692">
        <v>0</v>
      </c>
      <c r="H115" s="2692">
        <v>0</v>
      </c>
      <c r="I115" s="2692">
        <v>0</v>
      </c>
      <c r="J115" s="2692">
        <v>0</v>
      </c>
      <c r="K115" s="2692">
        <v>0</v>
      </c>
      <c r="L115" s="2692">
        <v>0</v>
      </c>
      <c r="M115" s="2692">
        <v>0</v>
      </c>
      <c r="N115" s="2692">
        <v>0</v>
      </c>
      <c r="O115" s="248">
        <f t="shared" si="8"/>
        <v>258.75</v>
      </c>
    </row>
    <row r="116" spans="2:15" ht="18">
      <c r="B116" s="235" t="s">
        <v>3135</v>
      </c>
      <c r="C116" s="2692"/>
      <c r="D116" s="2692"/>
      <c r="E116" s="2692"/>
      <c r="F116" s="2692"/>
      <c r="G116" s="2692"/>
      <c r="H116" s="2692"/>
      <c r="I116" s="2692"/>
      <c r="J116" s="2692"/>
      <c r="K116" s="2692"/>
      <c r="L116" s="2692"/>
      <c r="M116" s="2692"/>
      <c r="N116" s="2692"/>
      <c r="O116" s="248">
        <f t="shared" si="8"/>
        <v>0</v>
      </c>
    </row>
    <row r="117" spans="2:15" ht="18">
      <c r="B117" s="235" t="s">
        <v>3137</v>
      </c>
      <c r="C117" s="2692">
        <v>0</v>
      </c>
      <c r="D117" s="2692">
        <v>0</v>
      </c>
      <c r="E117" s="2692">
        <v>0</v>
      </c>
      <c r="F117" s="2692">
        <v>0</v>
      </c>
      <c r="G117" s="2692">
        <v>0</v>
      </c>
      <c r="H117" s="2692">
        <v>0</v>
      </c>
      <c r="I117" s="2692">
        <v>0</v>
      </c>
      <c r="J117" s="2692">
        <v>0</v>
      </c>
      <c r="K117" s="2692">
        <v>0</v>
      </c>
      <c r="L117" s="2692">
        <v>0</v>
      </c>
      <c r="M117" s="2692">
        <v>0</v>
      </c>
      <c r="N117" s="2692">
        <v>0</v>
      </c>
      <c r="O117" s="248">
        <f t="shared" si="8"/>
        <v>0</v>
      </c>
    </row>
    <row r="118" spans="2:15" ht="18">
      <c r="B118" s="235" t="s">
        <v>3138</v>
      </c>
      <c r="C118" s="2692">
        <v>0</v>
      </c>
      <c r="D118" s="2692">
        <v>0</v>
      </c>
      <c r="E118" s="2692">
        <v>0</v>
      </c>
      <c r="F118" s="2692">
        <v>0</v>
      </c>
      <c r="G118" s="2692">
        <v>0</v>
      </c>
      <c r="H118" s="2692">
        <v>0</v>
      </c>
      <c r="I118" s="2692">
        <v>0</v>
      </c>
      <c r="J118" s="2692">
        <v>0</v>
      </c>
      <c r="K118" s="2692">
        <v>0</v>
      </c>
      <c r="L118" s="2692">
        <v>0</v>
      </c>
      <c r="M118" s="2692">
        <v>0</v>
      </c>
      <c r="N118" s="2692">
        <v>0</v>
      </c>
      <c r="O118" s="248">
        <f t="shared" si="8"/>
        <v>0</v>
      </c>
    </row>
    <row r="119" spans="2:15" ht="18">
      <c r="B119" s="235" t="s">
        <v>3139</v>
      </c>
      <c r="C119" s="2692"/>
      <c r="D119" s="2692"/>
      <c r="E119" s="2692"/>
      <c r="F119" s="2692"/>
      <c r="G119" s="2692"/>
      <c r="H119" s="2692"/>
      <c r="I119" s="2692"/>
      <c r="J119" s="2692"/>
      <c r="K119" s="2692"/>
      <c r="L119" s="2692"/>
      <c r="M119" s="2692"/>
      <c r="N119" s="2692"/>
      <c r="O119" s="248">
        <f t="shared" si="8"/>
        <v>0</v>
      </c>
    </row>
    <row r="120" spans="2:15" ht="18">
      <c r="B120" s="235" t="s">
        <v>3140</v>
      </c>
      <c r="C120" s="2692">
        <v>0</v>
      </c>
      <c r="D120" s="2692">
        <v>0</v>
      </c>
      <c r="E120" s="2692">
        <v>0</v>
      </c>
      <c r="F120" s="2692">
        <v>0</v>
      </c>
      <c r="G120" s="2692">
        <v>0</v>
      </c>
      <c r="H120" s="2692">
        <v>0</v>
      </c>
      <c r="I120" s="2692">
        <v>0</v>
      </c>
      <c r="J120" s="2692">
        <v>0</v>
      </c>
      <c r="K120" s="2692">
        <v>0</v>
      </c>
      <c r="L120" s="2692">
        <v>0</v>
      </c>
      <c r="M120" s="2692">
        <v>0</v>
      </c>
      <c r="N120" s="2692">
        <v>0</v>
      </c>
      <c r="O120" s="248">
        <f t="shared" si="8"/>
        <v>0</v>
      </c>
    </row>
    <row r="121" spans="2:15" ht="18">
      <c r="B121" s="235" t="s">
        <v>3142</v>
      </c>
      <c r="C121" s="2692">
        <v>0</v>
      </c>
      <c r="D121" s="2692">
        <v>0</v>
      </c>
      <c r="E121" s="2692">
        <v>0</v>
      </c>
      <c r="F121" s="2692">
        <v>0</v>
      </c>
      <c r="G121" s="2692">
        <v>0</v>
      </c>
      <c r="H121" s="2692">
        <v>0</v>
      </c>
      <c r="I121" s="2692">
        <v>0</v>
      </c>
      <c r="J121" s="2692">
        <v>0</v>
      </c>
      <c r="K121" s="2692">
        <v>0</v>
      </c>
      <c r="L121" s="2692">
        <v>0</v>
      </c>
      <c r="M121" s="2692">
        <v>0</v>
      </c>
      <c r="N121" s="2692">
        <v>0</v>
      </c>
      <c r="O121" s="248">
        <f t="shared" si="8"/>
        <v>0</v>
      </c>
    </row>
    <row r="122" spans="2:15" ht="18">
      <c r="B122" s="235" t="s">
        <v>3143</v>
      </c>
      <c r="C122" s="2692"/>
      <c r="D122" s="2692"/>
      <c r="E122" s="2692"/>
      <c r="F122" s="2692"/>
      <c r="G122" s="2692"/>
      <c r="H122" s="2692"/>
      <c r="I122" s="2692"/>
      <c r="J122" s="2692"/>
      <c r="K122" s="2692"/>
      <c r="L122" s="2692"/>
      <c r="M122" s="2692"/>
      <c r="N122" s="2692"/>
      <c r="O122" s="248">
        <f t="shared" si="8"/>
        <v>0</v>
      </c>
    </row>
    <row r="123" spans="2:15" ht="18">
      <c r="B123" s="235" t="s">
        <v>3144</v>
      </c>
      <c r="C123" s="2692"/>
      <c r="D123" s="2692"/>
      <c r="E123" s="2692"/>
      <c r="F123" s="2692"/>
      <c r="G123" s="2692"/>
      <c r="H123" s="2692"/>
      <c r="I123" s="2692"/>
      <c r="J123" s="2692"/>
      <c r="K123" s="2692"/>
      <c r="L123" s="2692"/>
      <c r="M123" s="2692"/>
      <c r="N123" s="2692"/>
      <c r="O123" s="248">
        <f t="shared" si="8"/>
        <v>0</v>
      </c>
    </row>
    <row r="124" spans="2:15" ht="18">
      <c r="B124" s="235" t="s">
        <v>3145</v>
      </c>
      <c r="C124" s="2692">
        <v>0</v>
      </c>
      <c r="D124" s="2692">
        <v>0</v>
      </c>
      <c r="E124" s="2692">
        <v>0</v>
      </c>
      <c r="F124" s="2692">
        <v>0</v>
      </c>
      <c r="G124" s="2692">
        <v>0</v>
      </c>
      <c r="H124" s="2692">
        <v>0</v>
      </c>
      <c r="I124" s="2692">
        <v>0</v>
      </c>
      <c r="J124" s="2692">
        <v>0</v>
      </c>
      <c r="K124" s="2692">
        <v>0</v>
      </c>
      <c r="L124" s="2692">
        <v>0</v>
      </c>
      <c r="M124" s="2692">
        <v>0</v>
      </c>
      <c r="N124" s="2692">
        <v>0</v>
      </c>
      <c r="O124" s="248">
        <f t="shared" si="8"/>
        <v>0</v>
      </c>
    </row>
    <row r="125" spans="2:15" ht="18.75" thickBot="1">
      <c r="B125" s="252" t="s">
        <v>23</v>
      </c>
      <c r="C125" s="253">
        <f>SUM(C106:C124)</f>
        <v>1617.075</v>
      </c>
      <c r="D125" s="253">
        <f t="shared" ref="D125:N125" si="9">SUM(D105:D124)</f>
        <v>0</v>
      </c>
      <c r="E125" s="254">
        <f t="shared" si="9"/>
        <v>0</v>
      </c>
      <c r="F125" s="255">
        <f t="shared" si="9"/>
        <v>0</v>
      </c>
      <c r="G125" s="256">
        <f t="shared" si="9"/>
        <v>0</v>
      </c>
      <c r="H125" s="253">
        <f t="shared" si="9"/>
        <v>0</v>
      </c>
      <c r="I125" s="246">
        <f t="shared" si="9"/>
        <v>0</v>
      </c>
      <c r="J125" s="237">
        <f t="shared" si="9"/>
        <v>0</v>
      </c>
      <c r="K125" s="237">
        <f t="shared" si="9"/>
        <v>0</v>
      </c>
      <c r="L125" s="237">
        <f t="shared" si="9"/>
        <v>0</v>
      </c>
      <c r="M125" s="237">
        <f t="shared" si="9"/>
        <v>0</v>
      </c>
      <c r="N125" s="237">
        <f t="shared" si="9"/>
        <v>0</v>
      </c>
      <c r="O125" s="251">
        <f>SUM(C125:M125)</f>
        <v>1617.075</v>
      </c>
    </row>
  </sheetData>
  <mergeCells count="5">
    <mergeCell ref="D2:H2"/>
    <mergeCell ref="D29:H29"/>
    <mergeCell ref="D53:H53"/>
    <mergeCell ref="D77:H77"/>
    <mergeCell ref="D103:H10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5:H36"/>
  <sheetViews>
    <sheetView topLeftCell="A31" zoomScaleSheetLayoutView="100" workbookViewId="0">
      <selection activeCell="F24" sqref="F24"/>
    </sheetView>
  </sheetViews>
  <sheetFormatPr defaultColWidth="9" defaultRowHeight="12.75"/>
  <cols>
    <col min="3" max="3" width="31.42578125" customWidth="1"/>
    <col min="8" max="8" width="24.140625" customWidth="1"/>
  </cols>
  <sheetData>
    <row r="25" spans="3:8" ht="21">
      <c r="C25" s="201" t="s">
        <v>3325</v>
      </c>
      <c r="D25" s="202"/>
      <c r="E25" s="202"/>
      <c r="F25" s="86"/>
      <c r="G25" s="86"/>
    </row>
    <row r="26" spans="3:8" ht="15.75">
      <c r="C26" s="203"/>
      <c r="D26" s="202"/>
      <c r="E26" s="202"/>
      <c r="F26" s="86"/>
      <c r="G26" s="86"/>
    </row>
    <row r="27" spans="3:8" ht="18.75">
      <c r="C27" s="204" t="s">
        <v>3340</v>
      </c>
      <c r="D27" s="202"/>
      <c r="E27" s="202"/>
      <c r="F27" s="86"/>
      <c r="G27" s="86"/>
    </row>
    <row r="28" spans="3:8">
      <c r="C28" s="205"/>
      <c r="D28" s="86"/>
      <c r="E28" s="86"/>
      <c r="F28" s="86"/>
      <c r="G28" s="86"/>
    </row>
    <row r="29" spans="3:8" ht="78.75">
      <c r="C29" s="2962" t="s">
        <v>783</v>
      </c>
      <c r="D29" s="206" t="s">
        <v>514</v>
      </c>
      <c r="E29" s="207" t="s">
        <v>487</v>
      </c>
      <c r="F29" s="208" t="s">
        <v>3341</v>
      </c>
      <c r="G29" s="207" t="s">
        <v>3342</v>
      </c>
      <c r="H29" s="209" t="s">
        <v>3343</v>
      </c>
    </row>
    <row r="30" spans="3:8" ht="15.75">
      <c r="C30" s="2963"/>
      <c r="D30" s="210" t="s">
        <v>149</v>
      </c>
      <c r="E30" s="211" t="s">
        <v>149</v>
      </c>
      <c r="F30" s="212" t="s">
        <v>149</v>
      </c>
      <c r="G30" s="211" t="s">
        <v>149</v>
      </c>
      <c r="H30" s="213" t="s">
        <v>149</v>
      </c>
    </row>
    <row r="31" spans="3:8" ht="15.75">
      <c r="C31" s="2964"/>
      <c r="D31" s="214" t="s">
        <v>634</v>
      </c>
      <c r="E31" s="215" t="s">
        <v>634</v>
      </c>
      <c r="F31" s="216" t="s">
        <v>634</v>
      </c>
      <c r="G31" s="215" t="s">
        <v>634</v>
      </c>
      <c r="H31" s="217" t="s">
        <v>634</v>
      </c>
    </row>
    <row r="32" spans="3:8" ht="26.25" customHeight="1">
      <c r="C32" s="218" t="s">
        <v>3347</v>
      </c>
      <c r="D32" s="219">
        <v>0</v>
      </c>
      <c r="E32" s="220">
        <v>702.10000000000036</v>
      </c>
      <c r="F32" s="202">
        <v>6766.7999999999993</v>
      </c>
      <c r="G32" s="220">
        <v>2039.75</v>
      </c>
      <c r="H32" s="221">
        <v>0</v>
      </c>
    </row>
    <row r="33" spans="3:8" ht="29.25" customHeight="1">
      <c r="C33" s="222" t="s">
        <v>3348</v>
      </c>
      <c r="D33" s="223">
        <v>9578.9800000000014</v>
      </c>
      <c r="E33" s="224">
        <v>2784.2</v>
      </c>
      <c r="F33" s="225">
        <v>201.4</v>
      </c>
      <c r="G33" s="224">
        <v>1939.2500000000002</v>
      </c>
      <c r="H33" s="226">
        <v>3258.7</v>
      </c>
    </row>
    <row r="34" spans="3:8" ht="23.25" customHeight="1">
      <c r="C34" s="222" t="s">
        <v>23</v>
      </c>
      <c r="D34" s="223">
        <f>+D33+D32</f>
        <v>9578.9800000000014</v>
      </c>
      <c r="E34" s="224">
        <f>+E33+E32</f>
        <v>3486.3</v>
      </c>
      <c r="F34" s="225">
        <f>+F33+F32</f>
        <v>6968.1999999999989</v>
      </c>
      <c r="G34" s="224">
        <f>+G33+G32</f>
        <v>3979</v>
      </c>
      <c r="H34" s="226">
        <f>+H33+H32</f>
        <v>3258.7</v>
      </c>
    </row>
    <row r="35" spans="3:8" ht="15.75" customHeight="1">
      <c r="C35" s="222" t="s">
        <v>3350</v>
      </c>
      <c r="D35" s="223">
        <v>9578.9800000000014</v>
      </c>
      <c r="E35" s="224">
        <v>2860</v>
      </c>
      <c r="F35" s="225">
        <f>587.996+300+50</f>
        <v>937.99599999999998</v>
      </c>
      <c r="G35" s="224">
        <v>1643</v>
      </c>
      <c r="H35" s="226">
        <v>1519.6999999999998</v>
      </c>
    </row>
    <row r="36" spans="3:8" ht="42" customHeight="1">
      <c r="C36" s="227" t="s">
        <v>3351</v>
      </c>
      <c r="D36" s="228">
        <f>+D34-D35</f>
        <v>0</v>
      </c>
      <c r="E36" s="229">
        <f>+E34-E35</f>
        <v>626.30000000000018</v>
      </c>
      <c r="F36" s="230">
        <f>+F34-F35</f>
        <v>6030.2039999999988</v>
      </c>
      <c r="G36" s="229">
        <f>+G34-G35</f>
        <v>2336</v>
      </c>
      <c r="H36" s="231">
        <f>+H34-H35</f>
        <v>1739</v>
      </c>
    </row>
  </sheetData>
  <mergeCells count="1">
    <mergeCell ref="C29:C3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G56"/>
  <sheetViews>
    <sheetView zoomScale="136" zoomScaleNormal="136" zoomScaleSheetLayoutView="100" workbookViewId="0">
      <selection activeCell="B22" sqref="B22"/>
    </sheetView>
  </sheetViews>
  <sheetFormatPr defaultColWidth="9" defaultRowHeight="12.75"/>
  <cols>
    <col min="2" max="2" width="17.28515625" customWidth="1"/>
    <col min="17" max="17" width="7.28515625" customWidth="1"/>
    <col min="18" max="18" width="12.140625" customWidth="1"/>
    <col min="19" max="19" width="23.42578125" customWidth="1"/>
    <col min="20" max="20" width="16" customWidth="1"/>
    <col min="23" max="23" width="14.85546875" customWidth="1"/>
    <col min="24" max="24" width="17.85546875" customWidth="1"/>
    <col min="25" max="25" width="17.7109375" hidden="1" customWidth="1"/>
    <col min="26" max="26" width="15.42578125" hidden="1" customWidth="1"/>
    <col min="27" max="27" width="19" customWidth="1"/>
    <col min="28" max="28" width="15.7109375" customWidth="1"/>
  </cols>
  <sheetData>
    <row r="4" spans="2:28" ht="18">
      <c r="B4" s="2979" t="s">
        <v>3662</v>
      </c>
      <c r="C4" s="2945"/>
      <c r="D4" s="2945"/>
      <c r="E4" s="2945"/>
      <c r="F4" s="2945"/>
      <c r="G4" s="2945"/>
      <c r="H4" s="2945"/>
      <c r="I4" s="2945"/>
      <c r="J4" s="2980"/>
    </row>
    <row r="5" spans="2:28" ht="20.25">
      <c r="B5" s="91" t="s">
        <v>79</v>
      </c>
      <c r="C5" s="3031" t="s">
        <v>33</v>
      </c>
      <c r="D5" s="2801"/>
      <c r="E5" s="2801" t="s">
        <v>2055</v>
      </c>
      <c r="F5" s="3032"/>
      <c r="G5" s="3031" t="s">
        <v>2056</v>
      </c>
      <c r="H5" s="3032"/>
      <c r="I5" s="3031" t="s">
        <v>2057</v>
      </c>
      <c r="J5" s="3032"/>
      <c r="S5" s="126"/>
      <c r="T5" s="127"/>
      <c r="U5" s="127"/>
      <c r="V5" s="126"/>
      <c r="W5" s="2950" t="s">
        <v>2231</v>
      </c>
      <c r="X5" s="2951"/>
      <c r="Y5" s="2952" t="s">
        <v>2232</v>
      </c>
      <c r="Z5" s="2953"/>
      <c r="AA5" s="2952" t="s">
        <v>2233</v>
      </c>
      <c r="AB5" s="2953"/>
    </row>
    <row r="6" spans="2:28" ht="18">
      <c r="B6" s="31"/>
      <c r="C6" s="105" t="s">
        <v>275</v>
      </c>
      <c r="D6" s="106" t="s">
        <v>312</v>
      </c>
      <c r="E6" s="106" t="s">
        <v>275</v>
      </c>
      <c r="F6" s="106" t="s">
        <v>312</v>
      </c>
      <c r="G6" s="106" t="s">
        <v>275</v>
      </c>
      <c r="H6" s="106" t="s">
        <v>312</v>
      </c>
      <c r="I6" s="106" t="s">
        <v>275</v>
      </c>
      <c r="J6" s="119" t="s">
        <v>312</v>
      </c>
      <c r="S6" s="128" t="s">
        <v>783</v>
      </c>
      <c r="T6" s="129"/>
      <c r="U6" s="129"/>
      <c r="V6" s="129" t="s">
        <v>2234</v>
      </c>
      <c r="W6" s="128" t="s">
        <v>37</v>
      </c>
      <c r="X6" s="129" t="s">
        <v>2235</v>
      </c>
      <c r="Y6" s="128" t="s">
        <v>37</v>
      </c>
      <c r="Z6" s="164" t="s">
        <v>2235</v>
      </c>
      <c r="AA6" s="128" t="s">
        <v>37</v>
      </c>
      <c r="AB6" s="164" t="s">
        <v>2235</v>
      </c>
    </row>
    <row r="7" spans="2:28" ht="18">
      <c r="B7" s="91" t="s">
        <v>3663</v>
      </c>
      <c r="C7" s="40">
        <v>139150</v>
      </c>
      <c r="D7" s="41">
        <v>108475</v>
      </c>
      <c r="E7" s="41">
        <v>132920</v>
      </c>
      <c r="F7" s="41">
        <v>94142</v>
      </c>
      <c r="G7" s="41">
        <v>89028</v>
      </c>
      <c r="H7" s="41">
        <v>91149</v>
      </c>
      <c r="I7" s="41">
        <v>99401</v>
      </c>
      <c r="J7" s="64">
        <v>98979</v>
      </c>
      <c r="K7" s="24"/>
      <c r="S7" s="130"/>
      <c r="T7" s="131"/>
      <c r="U7" s="131"/>
      <c r="V7" s="131"/>
      <c r="W7" s="130"/>
      <c r="X7" s="131"/>
      <c r="Y7" s="130"/>
      <c r="Z7" s="165"/>
      <c r="AA7" s="130"/>
      <c r="AB7" s="165"/>
    </row>
    <row r="8" spans="2:28" ht="18">
      <c r="B8" s="91" t="s">
        <v>3664</v>
      </c>
      <c r="C8" s="107"/>
      <c r="D8" s="108">
        <v>3686</v>
      </c>
      <c r="E8" s="109"/>
      <c r="F8" s="108">
        <v>3873</v>
      </c>
      <c r="G8" s="109"/>
      <c r="H8" s="110">
        <v>6544</v>
      </c>
      <c r="I8" s="109"/>
      <c r="J8" s="120">
        <v>14846</v>
      </c>
      <c r="S8" s="132" t="s">
        <v>351</v>
      </c>
      <c r="T8" s="133"/>
      <c r="U8" s="133"/>
      <c r="V8" s="133">
        <v>8800</v>
      </c>
      <c r="W8" s="132">
        <v>3704</v>
      </c>
      <c r="X8" s="133">
        <v>4962</v>
      </c>
      <c r="Y8" s="132">
        <v>5693</v>
      </c>
      <c r="Z8" s="166">
        <v>5774</v>
      </c>
      <c r="AA8" s="132">
        <v>5693</v>
      </c>
      <c r="AB8" s="166">
        <v>5774</v>
      </c>
    </row>
    <row r="9" spans="2:28" ht="18">
      <c r="S9" s="132"/>
      <c r="T9" s="133"/>
      <c r="U9" s="133"/>
      <c r="V9" s="133"/>
      <c r="W9" s="132"/>
      <c r="X9" s="133"/>
      <c r="Y9" s="132"/>
      <c r="Z9" s="166"/>
      <c r="AA9" s="132"/>
      <c r="AB9" s="166"/>
    </row>
    <row r="10" spans="2:28" ht="18">
      <c r="B10" s="111"/>
      <c r="C10" s="3136" t="s">
        <v>3665</v>
      </c>
      <c r="D10" s="3136"/>
      <c r="E10" s="3136"/>
      <c r="F10" s="3136"/>
      <c r="G10" s="3136"/>
      <c r="H10" s="3136"/>
      <c r="I10" s="3136"/>
      <c r="J10" s="3136"/>
      <c r="K10" s="3136"/>
      <c r="L10" s="3136"/>
      <c r="M10" s="3136"/>
      <c r="N10" s="121"/>
      <c r="O10" s="122"/>
      <c r="S10" s="132" t="s">
        <v>500</v>
      </c>
      <c r="T10" s="133"/>
      <c r="U10" s="133"/>
      <c r="V10" s="133">
        <v>28020</v>
      </c>
      <c r="W10" s="132">
        <v>21144</v>
      </c>
      <c r="X10" s="133">
        <v>19576</v>
      </c>
      <c r="Y10" s="132">
        <v>10741</v>
      </c>
      <c r="Z10" s="166">
        <v>12063</v>
      </c>
      <c r="AA10" s="132">
        <v>13010</v>
      </c>
      <c r="AB10" s="166">
        <v>13010</v>
      </c>
    </row>
    <row r="11" spans="2:28" ht="18">
      <c r="B11" s="112" t="s">
        <v>79</v>
      </c>
      <c r="C11" s="113" t="s">
        <v>2260</v>
      </c>
      <c r="D11" s="113" t="s">
        <v>723</v>
      </c>
      <c r="E11" s="113" t="s">
        <v>2147</v>
      </c>
      <c r="F11" s="113" t="s">
        <v>1993</v>
      </c>
      <c r="G11" s="113" t="s">
        <v>2148</v>
      </c>
      <c r="H11" s="113" t="s">
        <v>1994</v>
      </c>
      <c r="I11" s="113" t="s">
        <v>729</v>
      </c>
      <c r="J11" s="113" t="s">
        <v>730</v>
      </c>
      <c r="K11" s="113" t="s">
        <v>731</v>
      </c>
      <c r="L11" s="113" t="s">
        <v>732</v>
      </c>
      <c r="M11" s="113" t="s">
        <v>733</v>
      </c>
      <c r="N11" s="113" t="s">
        <v>3206</v>
      </c>
      <c r="O11" s="123" t="s">
        <v>3666</v>
      </c>
      <c r="S11" s="132"/>
      <c r="T11" s="133"/>
      <c r="U11" s="133"/>
      <c r="V11" s="133"/>
      <c r="W11" s="132"/>
      <c r="X11" s="133"/>
      <c r="Y11" s="132"/>
      <c r="Z11" s="166"/>
      <c r="AA11" s="132"/>
      <c r="AB11" s="166"/>
    </row>
    <row r="12" spans="2:28" ht="18">
      <c r="B12" s="114" t="s">
        <v>3667</v>
      </c>
      <c r="C12" s="115">
        <v>2949.7640000000001</v>
      </c>
      <c r="D12" s="115">
        <v>1850.47</v>
      </c>
      <c r="E12" s="115">
        <v>1720.07</v>
      </c>
      <c r="F12" s="115">
        <v>5522.46</v>
      </c>
      <c r="G12" s="115">
        <v>3269.81</v>
      </c>
      <c r="H12" s="115">
        <v>3738.94</v>
      </c>
      <c r="I12" s="115">
        <v>3854.07</v>
      </c>
      <c r="J12" s="115">
        <v>4709.6099999999997</v>
      </c>
      <c r="K12" s="115">
        <v>4286.28</v>
      </c>
      <c r="L12" s="115">
        <v>4309.835</v>
      </c>
      <c r="M12" s="115">
        <v>3509.42</v>
      </c>
      <c r="N12" s="115"/>
      <c r="O12" s="124">
        <f>+C12+D12+E12+F12+G12+H12+I12+J12+K12+L12+M12+N12</f>
        <v>39720.728999999999</v>
      </c>
      <c r="S12" s="132" t="s">
        <v>2236</v>
      </c>
      <c r="T12" s="133"/>
      <c r="U12" s="133"/>
      <c r="V12" s="133">
        <v>6486</v>
      </c>
      <c r="W12" s="132">
        <v>2117</v>
      </c>
      <c r="X12" s="133">
        <v>2143</v>
      </c>
      <c r="Y12" s="132">
        <v>759</v>
      </c>
      <c r="Z12" s="166">
        <v>769</v>
      </c>
      <c r="AA12" s="132">
        <v>1151</v>
      </c>
      <c r="AB12" s="166">
        <v>954</v>
      </c>
    </row>
    <row r="13" spans="2:28" ht="18"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24"/>
      <c r="S13" s="132"/>
      <c r="T13" s="133"/>
      <c r="U13" s="133"/>
      <c r="V13" s="133"/>
      <c r="W13" s="132"/>
      <c r="X13" s="133"/>
      <c r="Y13" s="132"/>
      <c r="Z13" s="166"/>
      <c r="AA13" s="132"/>
      <c r="AB13" s="166"/>
    </row>
    <row r="14" spans="2:28" ht="18">
      <c r="B14" s="114" t="s">
        <v>3668</v>
      </c>
      <c r="C14" s="115">
        <v>2793.36</v>
      </c>
      <c r="D14" s="115">
        <v>3023.95</v>
      </c>
      <c r="E14" s="115">
        <v>2271.4699999999998</v>
      </c>
      <c r="F14" s="115">
        <v>5082.7</v>
      </c>
      <c r="G14" s="115">
        <v>2499.9499999999998</v>
      </c>
      <c r="H14" s="115">
        <v>4203.01</v>
      </c>
      <c r="I14" s="115">
        <v>3362.55</v>
      </c>
      <c r="J14" s="115">
        <v>4043.3</v>
      </c>
      <c r="K14" s="115">
        <v>3060.36</v>
      </c>
      <c r="L14" s="115">
        <v>3135.2579999999998</v>
      </c>
      <c r="M14" s="115">
        <v>3583.43</v>
      </c>
      <c r="N14" s="115"/>
      <c r="O14" s="124">
        <f>+C14+D14+E14+F14+G14+H14+I14+J14+K14+L14+M14+N14</f>
        <v>37059.338000000003</v>
      </c>
      <c r="S14" s="132" t="s">
        <v>563</v>
      </c>
      <c r="T14" s="133"/>
      <c r="U14" s="133"/>
      <c r="V14" s="133">
        <v>34500</v>
      </c>
      <c r="W14" s="132">
        <v>31257</v>
      </c>
      <c r="X14" s="133">
        <v>30515</v>
      </c>
      <c r="Y14" s="132">
        <v>40808</v>
      </c>
      <c r="Z14" s="166">
        <v>38278</v>
      </c>
      <c r="AA14" s="132">
        <v>44324</v>
      </c>
      <c r="AB14" s="166">
        <v>41883</v>
      </c>
    </row>
    <row r="15" spans="2:28" ht="18"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24"/>
      <c r="S15" s="132"/>
      <c r="T15" s="133"/>
      <c r="U15" s="133"/>
      <c r="V15" s="133"/>
      <c r="W15" s="132"/>
      <c r="X15" s="133"/>
      <c r="Y15" s="132"/>
      <c r="Z15" s="166"/>
      <c r="AA15" s="132"/>
      <c r="AB15" s="166"/>
    </row>
    <row r="16" spans="2:28" ht="18">
      <c r="B16" s="114" t="s">
        <v>2249</v>
      </c>
      <c r="C16" s="115">
        <v>1068.5999999999999</v>
      </c>
      <c r="D16" s="115">
        <v>1556.8</v>
      </c>
      <c r="E16" s="115">
        <v>1175.8399999999999</v>
      </c>
      <c r="F16" s="115">
        <v>955.3</v>
      </c>
      <c r="G16" s="115">
        <v>1018.58</v>
      </c>
      <c r="H16" s="115">
        <v>581.38</v>
      </c>
      <c r="I16" s="115">
        <v>1375.53</v>
      </c>
      <c r="J16" s="115">
        <v>1864.7</v>
      </c>
      <c r="K16" s="115">
        <v>134.19</v>
      </c>
      <c r="L16" s="115">
        <v>1010.48</v>
      </c>
      <c r="M16" s="115">
        <v>2268.6979999999999</v>
      </c>
      <c r="N16" s="115"/>
      <c r="O16" s="124">
        <f>+C16+D16+E16+F16+G16+H16+I16+J16+K16+L16+M16+N16</f>
        <v>13010.098</v>
      </c>
      <c r="S16" s="132" t="s">
        <v>2237</v>
      </c>
      <c r="T16" s="133"/>
      <c r="U16" s="133"/>
      <c r="V16" s="133">
        <v>2000</v>
      </c>
      <c r="W16" s="132">
        <v>4524</v>
      </c>
      <c r="X16" s="133">
        <v>4889</v>
      </c>
      <c r="Y16" s="132">
        <v>85</v>
      </c>
      <c r="Z16" s="166">
        <v>85</v>
      </c>
      <c r="AA16" s="132">
        <v>85</v>
      </c>
      <c r="AB16" s="166">
        <v>85</v>
      </c>
    </row>
    <row r="17" spans="1:28" ht="18"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24"/>
      <c r="S17" s="130" t="s">
        <v>2238</v>
      </c>
      <c r="T17" s="131"/>
      <c r="U17" s="131"/>
      <c r="V17" s="131"/>
      <c r="W17" s="130"/>
      <c r="X17" s="131"/>
      <c r="Y17" s="130"/>
      <c r="Z17" s="165"/>
      <c r="AA17" s="130"/>
      <c r="AB17" s="165"/>
    </row>
    <row r="18" spans="1:28" ht="18">
      <c r="B18" s="114" t="s">
        <v>2345</v>
      </c>
      <c r="C18" s="115">
        <v>1631.65</v>
      </c>
      <c r="D18" s="115">
        <v>1379.27</v>
      </c>
      <c r="E18" s="115">
        <v>1155.94</v>
      </c>
      <c r="F18" s="115">
        <v>753.34</v>
      </c>
      <c r="G18" s="115">
        <v>1361.74</v>
      </c>
      <c r="H18" s="115">
        <v>779.27</v>
      </c>
      <c r="I18" s="115">
        <v>1618.53</v>
      </c>
      <c r="J18" s="115">
        <v>921.57</v>
      </c>
      <c r="K18" s="115">
        <v>1424</v>
      </c>
      <c r="L18" s="115">
        <v>1037.97</v>
      </c>
      <c r="M18" s="115">
        <f>692.58+254.51</f>
        <v>947.09</v>
      </c>
      <c r="N18" s="115"/>
      <c r="O18" s="124">
        <f>+C18+D18+E18+F18+G18+H18+I18+J18+K18+L18+M18+N18</f>
        <v>13010.37</v>
      </c>
      <c r="S18" s="134" t="s">
        <v>2239</v>
      </c>
      <c r="T18" s="131"/>
      <c r="U18" s="131"/>
      <c r="V18" s="133">
        <v>24000</v>
      </c>
      <c r="W18" s="132">
        <v>13646</v>
      </c>
      <c r="X18" s="133"/>
      <c r="Y18" s="132">
        <v>8128</v>
      </c>
      <c r="Z18" s="166"/>
      <c r="AA18" s="132">
        <v>9345</v>
      </c>
      <c r="AB18" s="166"/>
    </row>
    <row r="19" spans="1:28" ht="18"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24"/>
      <c r="S19" s="134"/>
      <c r="T19" s="131"/>
      <c r="U19" s="131"/>
      <c r="V19" s="133"/>
      <c r="W19" s="132"/>
      <c r="X19" s="133"/>
      <c r="Y19" s="132"/>
      <c r="Z19" s="166"/>
      <c r="AA19" s="132"/>
      <c r="AB19" s="166"/>
    </row>
    <row r="20" spans="1:28" ht="18">
      <c r="B20" s="114" t="s">
        <v>3669</v>
      </c>
      <c r="C20" s="115">
        <v>86.8</v>
      </c>
      <c r="D20" s="115">
        <v>460.47</v>
      </c>
      <c r="E20" s="115">
        <v>516.53</v>
      </c>
      <c r="F20" s="115">
        <v>617.12</v>
      </c>
      <c r="G20" s="115">
        <v>670.18</v>
      </c>
      <c r="H20" s="115">
        <v>604.64</v>
      </c>
      <c r="I20" s="115">
        <v>531.85</v>
      </c>
      <c r="J20" s="115">
        <v>860.55</v>
      </c>
      <c r="K20" s="115">
        <v>638.91999999999996</v>
      </c>
      <c r="L20" s="115">
        <v>988.81</v>
      </c>
      <c r="M20" s="115">
        <v>911.72</v>
      </c>
      <c r="N20" s="115"/>
      <c r="O20" s="124">
        <f>+C20+D20+E20+F20+G20+H20+I20+J20+K20+L20+M20+N20</f>
        <v>6887.5899999999992</v>
      </c>
      <c r="S20" s="134" t="s">
        <v>2240</v>
      </c>
      <c r="T20" s="131"/>
      <c r="U20" s="131"/>
      <c r="V20" s="133">
        <v>32000</v>
      </c>
      <c r="W20" s="132">
        <v>33292</v>
      </c>
      <c r="X20" s="133"/>
      <c r="Y20" s="132">
        <v>22365</v>
      </c>
      <c r="Z20" s="166"/>
      <c r="AA20" s="132">
        <v>22636</v>
      </c>
      <c r="AB20" s="166"/>
    </row>
    <row r="21" spans="1:28" ht="18"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24"/>
      <c r="S21" s="135" t="s">
        <v>2238</v>
      </c>
      <c r="T21" s="136"/>
      <c r="U21" s="136"/>
      <c r="V21" s="137"/>
      <c r="W21" s="138"/>
      <c r="X21" s="137"/>
      <c r="Y21" s="138"/>
      <c r="Z21" s="167"/>
      <c r="AA21" s="138"/>
      <c r="AB21" s="167"/>
    </row>
    <row r="22" spans="1:28" ht="15.75">
      <c r="B22" s="116" t="s">
        <v>3670</v>
      </c>
      <c r="C22" s="117">
        <v>73.959999999999994</v>
      </c>
      <c r="D22" s="117">
        <v>439.31</v>
      </c>
      <c r="E22" s="117">
        <v>474.14</v>
      </c>
      <c r="F22" s="117">
        <v>623.91999999999996</v>
      </c>
      <c r="G22" s="117">
        <v>666.39</v>
      </c>
      <c r="H22" s="117">
        <v>603.86</v>
      </c>
      <c r="I22" s="117">
        <v>458.608</v>
      </c>
      <c r="J22" s="117">
        <v>861.27</v>
      </c>
      <c r="K22" s="117">
        <v>638.41</v>
      </c>
      <c r="L22" s="117">
        <v>1019.83</v>
      </c>
      <c r="M22" s="117">
        <v>887.697</v>
      </c>
      <c r="N22" s="117"/>
      <c r="O22" s="125">
        <f>+C22+D22+E22+F22+G22+H22+I22+J22+K22+L22+M22+N22</f>
        <v>6747.3950000000004</v>
      </c>
    </row>
    <row r="25" spans="1:28">
      <c r="S25" s="3137" t="s">
        <v>3671</v>
      </c>
      <c r="T25" s="3138"/>
      <c r="U25" s="3138"/>
      <c r="V25" s="3138"/>
      <c r="W25" s="3138"/>
      <c r="X25" s="3138"/>
      <c r="Y25" s="127"/>
      <c r="Z25" s="168" t="s">
        <v>3672</v>
      </c>
    </row>
    <row r="26" spans="1:28">
      <c r="A26" t="s">
        <v>3673</v>
      </c>
      <c r="S26" s="139"/>
      <c r="T26" s="2913" t="s">
        <v>1997</v>
      </c>
      <c r="U26" s="2913"/>
      <c r="V26" s="2913"/>
      <c r="W26" s="140" t="s">
        <v>3674</v>
      </c>
      <c r="X26" s="140" t="s">
        <v>3675</v>
      </c>
      <c r="Y26" s="140" t="s">
        <v>1998</v>
      </c>
      <c r="Z26" s="169" t="s">
        <v>142</v>
      </c>
    </row>
    <row r="27" spans="1:28">
      <c r="B27" t="s">
        <v>3676</v>
      </c>
      <c r="C27">
        <v>186.95</v>
      </c>
      <c r="D27">
        <v>1484.21</v>
      </c>
      <c r="E27">
        <v>1520.43</v>
      </c>
      <c r="F27">
        <v>72.8</v>
      </c>
      <c r="G27">
        <v>1034.4100000000001</v>
      </c>
      <c r="H27">
        <v>292.11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S27" s="139" t="s">
        <v>2538</v>
      </c>
      <c r="T27" s="140" t="s">
        <v>83</v>
      </c>
      <c r="U27" s="140" t="s">
        <v>84</v>
      </c>
      <c r="V27" s="140" t="s">
        <v>85</v>
      </c>
      <c r="W27" s="140"/>
      <c r="X27" s="140"/>
      <c r="Y27" s="140"/>
      <c r="Z27" s="169"/>
    </row>
    <row r="28" spans="1:28">
      <c r="S28" s="139">
        <v>1960001</v>
      </c>
      <c r="T28" s="140">
        <v>23.38</v>
      </c>
      <c r="U28" s="140"/>
      <c r="V28" s="140">
        <v>126.72</v>
      </c>
      <c r="W28" s="140">
        <f>+T28+U28+V28</f>
        <v>150.1</v>
      </c>
      <c r="X28" s="140">
        <v>149.97</v>
      </c>
      <c r="Y28" s="140">
        <v>119.03</v>
      </c>
      <c r="Z28" s="169">
        <v>115.95</v>
      </c>
    </row>
    <row r="29" spans="1:28">
      <c r="B29" t="s">
        <v>3677</v>
      </c>
      <c r="C29">
        <v>363.57</v>
      </c>
      <c r="D29">
        <v>776.13</v>
      </c>
      <c r="E29">
        <v>1691.26</v>
      </c>
      <c r="F29">
        <v>617.53</v>
      </c>
      <c r="G29">
        <v>511.91</v>
      </c>
      <c r="H29">
        <v>861.74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S29" s="139">
        <v>1960002</v>
      </c>
      <c r="T29" s="140">
        <v>3.89</v>
      </c>
      <c r="U29" s="140"/>
      <c r="V29" s="140">
        <v>146.44999999999999</v>
      </c>
      <c r="W29" s="140">
        <f>+T29+U29+V29</f>
        <v>150.33999999999997</v>
      </c>
      <c r="X29" s="140">
        <v>146.44999999999999</v>
      </c>
      <c r="Y29" s="140">
        <v>120.86</v>
      </c>
      <c r="Z29" s="169">
        <v>112.18</v>
      </c>
    </row>
    <row r="30" spans="1:28">
      <c r="S30" s="139">
        <v>1960003</v>
      </c>
      <c r="T30" s="140"/>
      <c r="U30" s="140">
        <v>27.82</v>
      </c>
      <c r="V30" s="140">
        <v>47.42</v>
      </c>
      <c r="W30" s="140">
        <f>+T30+U30+V30</f>
        <v>75.240000000000009</v>
      </c>
      <c r="X30" s="140">
        <v>71.5</v>
      </c>
      <c r="Y30" s="140">
        <v>61.83</v>
      </c>
      <c r="Z30" s="169">
        <v>42.17</v>
      </c>
    </row>
    <row r="31" spans="1:28">
      <c r="S31" s="141"/>
      <c r="T31" s="142">
        <f>+T30+T29+T28</f>
        <v>27.27</v>
      </c>
      <c r="U31" s="142">
        <f t="shared" ref="U31:Z31" si="0">+U30+U29+U28</f>
        <v>27.82</v>
      </c>
      <c r="V31" s="142">
        <f t="shared" si="0"/>
        <v>320.59000000000003</v>
      </c>
      <c r="W31" s="142">
        <f t="shared" si="0"/>
        <v>375.67999999999995</v>
      </c>
      <c r="X31" s="142">
        <f t="shared" si="0"/>
        <v>367.91999999999996</v>
      </c>
      <c r="Y31" s="142">
        <f t="shared" si="0"/>
        <v>301.72000000000003</v>
      </c>
      <c r="Z31" s="170">
        <f t="shared" si="0"/>
        <v>270.3</v>
      </c>
    </row>
    <row r="38" spans="19:33" ht="40.5">
      <c r="T38" s="2471" t="s">
        <v>3678</v>
      </c>
      <c r="U38" s="143"/>
      <c r="V38" s="144" t="s">
        <v>3679</v>
      </c>
      <c r="W38" s="144"/>
      <c r="X38" s="144"/>
      <c r="Z38" s="171"/>
      <c r="AE38" s="143"/>
      <c r="AF38" s="172"/>
    </row>
    <row r="39" spans="19:33" ht="19.5">
      <c r="T39" s="145"/>
      <c r="U39" s="146"/>
      <c r="Z39" s="171"/>
      <c r="AA39" s="173" t="s">
        <v>3680</v>
      </c>
      <c r="AC39" s="174" t="s">
        <v>3681</v>
      </c>
      <c r="AD39" s="174"/>
      <c r="AE39" s="146"/>
      <c r="AF39" s="172"/>
      <c r="AG39" s="199" t="s">
        <v>3682</v>
      </c>
    </row>
    <row r="40" spans="19:33" ht="56.25">
      <c r="S40" s="147" t="s">
        <v>3683</v>
      </c>
      <c r="T40" s="148" t="s">
        <v>3684</v>
      </c>
      <c r="U40" s="148" t="s">
        <v>3685</v>
      </c>
      <c r="V40" s="149" t="s">
        <v>3686</v>
      </c>
      <c r="W40" s="150" t="s">
        <v>3687</v>
      </c>
      <c r="X40" s="150" t="s">
        <v>3688</v>
      </c>
      <c r="Y40" s="175" t="s">
        <v>3689</v>
      </c>
      <c r="Z40" s="176"/>
      <c r="AA40" s="177" t="s">
        <v>3690</v>
      </c>
      <c r="AB40" s="177" t="s">
        <v>3691</v>
      </c>
      <c r="AC40" s="176" t="s">
        <v>3692</v>
      </c>
      <c r="AD40" s="178"/>
      <c r="AE40" s="179" t="s">
        <v>3693</v>
      </c>
      <c r="AF40" s="180"/>
      <c r="AG40" s="177" t="s">
        <v>3694</v>
      </c>
    </row>
    <row r="41" spans="19:33" ht="18.75">
      <c r="S41" s="151">
        <v>1</v>
      </c>
      <c r="T41" s="152" t="s">
        <v>563</v>
      </c>
      <c r="U41" s="153">
        <v>500</v>
      </c>
      <c r="V41" s="154" t="s">
        <v>3695</v>
      </c>
      <c r="W41" s="155">
        <v>216</v>
      </c>
      <c r="X41" s="155">
        <v>800</v>
      </c>
      <c r="Y41" s="181">
        <f>+U41-X41</f>
        <v>-300</v>
      </c>
      <c r="Z41" s="182"/>
      <c r="AA41" s="183">
        <v>600</v>
      </c>
      <c r="AB41" s="155">
        <v>152</v>
      </c>
      <c r="AC41" s="181">
        <f>+Z41-AB41</f>
        <v>-152</v>
      </c>
      <c r="AD41" s="184"/>
      <c r="AE41" s="185">
        <v>1600</v>
      </c>
      <c r="AF41" s="186"/>
      <c r="AG41" s="181"/>
    </row>
    <row r="42" spans="19:33" ht="18.75">
      <c r="S42" s="151">
        <v>2</v>
      </c>
      <c r="T42" s="152" t="s">
        <v>268</v>
      </c>
      <c r="U42" s="152">
        <v>350</v>
      </c>
      <c r="V42" s="154" t="s">
        <v>271</v>
      </c>
      <c r="W42" s="155">
        <v>35</v>
      </c>
      <c r="X42" s="155">
        <v>350</v>
      </c>
      <c r="Y42" s="181">
        <f t="shared" ref="Y42:Y55" si="1">+U42-X42</f>
        <v>0</v>
      </c>
      <c r="Z42" s="182"/>
      <c r="AA42" s="183">
        <v>350</v>
      </c>
      <c r="AB42" s="155">
        <v>61</v>
      </c>
      <c r="AC42" s="181">
        <f t="shared" ref="AC42:AC55" si="2">+Z42-AB42</f>
        <v>-61</v>
      </c>
      <c r="AD42" s="184"/>
      <c r="AE42" s="187">
        <v>300</v>
      </c>
      <c r="AF42" s="188"/>
      <c r="AG42" s="181"/>
    </row>
    <row r="43" spans="19:33" ht="18.75">
      <c r="S43" s="151">
        <v>3</v>
      </c>
      <c r="T43" s="152" t="s">
        <v>564</v>
      </c>
      <c r="U43" s="152">
        <v>0</v>
      </c>
      <c r="V43" s="154" t="s">
        <v>271</v>
      </c>
      <c r="W43" s="155">
        <v>29</v>
      </c>
      <c r="X43" s="155">
        <v>70</v>
      </c>
      <c r="Y43" s="181">
        <f t="shared" si="1"/>
        <v>-70</v>
      </c>
      <c r="Z43" s="182"/>
      <c r="AA43" s="183">
        <v>100</v>
      </c>
      <c r="AB43" s="155"/>
      <c r="AC43" s="181">
        <f t="shared" si="2"/>
        <v>0</v>
      </c>
      <c r="AD43" s="184"/>
      <c r="AE43" s="187">
        <v>150</v>
      </c>
      <c r="AF43" s="188"/>
      <c r="AG43" s="181"/>
    </row>
    <row r="44" spans="19:33" ht="150">
      <c r="S44" s="151">
        <v>4</v>
      </c>
      <c r="T44" s="152" t="s">
        <v>3696</v>
      </c>
      <c r="U44" s="153">
        <v>1500</v>
      </c>
      <c r="V44" s="154" t="s">
        <v>3697</v>
      </c>
      <c r="W44" s="155">
        <v>349</v>
      </c>
      <c r="X44" s="155">
        <v>1500</v>
      </c>
      <c r="Y44" s="181">
        <f t="shared" si="1"/>
        <v>0</v>
      </c>
      <c r="Z44" s="182"/>
      <c r="AA44" s="183">
        <v>1400</v>
      </c>
      <c r="AB44" s="189">
        <v>0</v>
      </c>
      <c r="AC44" s="181">
        <f t="shared" si="2"/>
        <v>0</v>
      </c>
      <c r="AD44" s="184"/>
      <c r="AE44" s="185">
        <v>1250</v>
      </c>
      <c r="AF44" s="186"/>
      <c r="AG44" s="181"/>
    </row>
    <row r="45" spans="19:33" ht="112.5">
      <c r="S45" s="151">
        <v>5</v>
      </c>
      <c r="T45" s="152" t="s">
        <v>3698</v>
      </c>
      <c r="U45" s="153">
        <v>1000</v>
      </c>
      <c r="V45" s="154" t="s">
        <v>3699</v>
      </c>
      <c r="W45" s="155">
        <v>197</v>
      </c>
      <c r="X45" s="155">
        <v>1000</v>
      </c>
      <c r="Y45" s="181">
        <f t="shared" si="1"/>
        <v>0</v>
      </c>
      <c r="Z45" s="182"/>
      <c r="AA45" s="183">
        <v>1500</v>
      </c>
      <c r="AB45" s="189">
        <v>0</v>
      </c>
      <c r="AC45" s="181">
        <f t="shared" si="2"/>
        <v>0</v>
      </c>
      <c r="AD45" s="184"/>
      <c r="AE45" s="185">
        <v>2250</v>
      </c>
      <c r="AF45" s="186"/>
      <c r="AG45" s="181"/>
    </row>
    <row r="46" spans="19:33" ht="56.25">
      <c r="S46" s="151">
        <v>6</v>
      </c>
      <c r="T46" s="152" t="s">
        <v>3700</v>
      </c>
      <c r="U46" s="152">
        <v>0</v>
      </c>
      <c r="V46" s="154" t="s">
        <v>3701</v>
      </c>
      <c r="W46" s="155">
        <v>9</v>
      </c>
      <c r="X46" s="155">
        <v>9</v>
      </c>
      <c r="Y46" s="181">
        <f t="shared" si="1"/>
        <v>-9</v>
      </c>
      <c r="Z46" s="182"/>
      <c r="AA46" s="183">
        <v>0</v>
      </c>
      <c r="AB46" s="155"/>
      <c r="AC46" s="181">
        <f t="shared" si="2"/>
        <v>0</v>
      </c>
      <c r="AD46" s="184"/>
      <c r="AE46" s="187"/>
      <c r="AF46" s="188"/>
      <c r="AG46" s="181"/>
    </row>
    <row r="47" spans="19:33" ht="112.5">
      <c r="S47" s="151">
        <v>7</v>
      </c>
      <c r="T47" s="152" t="s">
        <v>3702</v>
      </c>
      <c r="U47" s="152">
        <v>300</v>
      </c>
      <c r="V47" s="154" t="s">
        <v>3703</v>
      </c>
      <c r="W47" s="155">
        <v>97</v>
      </c>
      <c r="X47" s="155">
        <v>330</v>
      </c>
      <c r="Y47" s="181">
        <f t="shared" si="1"/>
        <v>-30</v>
      </c>
      <c r="Z47" s="182"/>
      <c r="AA47" s="183">
        <v>300</v>
      </c>
      <c r="AB47" s="155">
        <v>131</v>
      </c>
      <c r="AC47" s="181">
        <f t="shared" si="2"/>
        <v>-131</v>
      </c>
      <c r="AD47" s="184"/>
      <c r="AE47" s="187">
        <v>400</v>
      </c>
      <c r="AF47" s="188"/>
      <c r="AG47" s="181"/>
    </row>
    <row r="48" spans="19:33" ht="93.75">
      <c r="S48" s="151">
        <v>8</v>
      </c>
      <c r="T48" s="152" t="s">
        <v>3704</v>
      </c>
      <c r="U48" s="152">
        <v>500</v>
      </c>
      <c r="V48" s="154" t="s">
        <v>3705</v>
      </c>
      <c r="W48" s="155">
        <v>24</v>
      </c>
      <c r="X48" s="155">
        <v>200</v>
      </c>
      <c r="Y48" s="181">
        <f t="shared" si="1"/>
        <v>300</v>
      </c>
      <c r="Z48" s="182"/>
      <c r="AA48" s="183">
        <v>500</v>
      </c>
      <c r="AB48" s="189">
        <v>0</v>
      </c>
      <c r="AC48" s="181">
        <f t="shared" si="2"/>
        <v>0</v>
      </c>
      <c r="AD48" s="184"/>
      <c r="AE48" s="187">
        <v>500</v>
      </c>
      <c r="AF48" s="188"/>
      <c r="AG48" s="181"/>
    </row>
    <row r="49" spans="19:33" ht="56.25">
      <c r="S49" s="151">
        <v>9</v>
      </c>
      <c r="T49" s="152" t="s">
        <v>3706</v>
      </c>
      <c r="U49" s="152">
        <v>90</v>
      </c>
      <c r="V49" s="154" t="s">
        <v>3707</v>
      </c>
      <c r="W49" s="155">
        <v>19</v>
      </c>
      <c r="X49" s="155">
        <v>90</v>
      </c>
      <c r="Y49" s="181">
        <f t="shared" si="1"/>
        <v>0</v>
      </c>
      <c r="Z49" s="182"/>
      <c r="AA49" s="183">
        <v>70</v>
      </c>
      <c r="AB49" s="155">
        <v>26</v>
      </c>
      <c r="AC49" s="181">
        <f t="shared" si="2"/>
        <v>-26</v>
      </c>
      <c r="AD49" s="184"/>
      <c r="AE49" s="187">
        <v>90</v>
      </c>
      <c r="AF49" s="188"/>
      <c r="AG49" s="181"/>
    </row>
    <row r="50" spans="19:33" ht="56.25">
      <c r="S50" s="151">
        <v>10</v>
      </c>
      <c r="T50" s="152" t="s">
        <v>3708</v>
      </c>
      <c r="U50" s="152">
        <v>30</v>
      </c>
      <c r="V50" s="154" t="s">
        <v>3709</v>
      </c>
      <c r="W50" s="155">
        <v>0</v>
      </c>
      <c r="X50" s="155">
        <v>30</v>
      </c>
      <c r="Y50" s="181">
        <f t="shared" si="1"/>
        <v>0</v>
      </c>
      <c r="Z50" s="182"/>
      <c r="AA50" s="183">
        <v>30</v>
      </c>
      <c r="AB50" s="155"/>
      <c r="AC50" s="181">
        <f t="shared" si="2"/>
        <v>0</v>
      </c>
      <c r="AD50" s="184"/>
      <c r="AE50" s="187">
        <v>60</v>
      </c>
      <c r="AF50" s="188"/>
      <c r="AG50" s="181"/>
    </row>
    <row r="51" spans="19:33" ht="56.25">
      <c r="S51" s="151">
        <v>11</v>
      </c>
      <c r="T51" s="152" t="s">
        <v>500</v>
      </c>
      <c r="U51" s="152">
        <v>1000</v>
      </c>
      <c r="V51" s="154" t="s">
        <v>3710</v>
      </c>
      <c r="W51" s="155">
        <v>497</v>
      </c>
      <c r="X51" s="155">
        <v>1500</v>
      </c>
      <c r="Y51" s="181">
        <f t="shared" si="1"/>
        <v>-500</v>
      </c>
      <c r="Z51" s="182"/>
      <c r="AA51" s="183">
        <v>900</v>
      </c>
      <c r="AB51" s="155">
        <v>0</v>
      </c>
      <c r="AC51" s="181">
        <f t="shared" si="2"/>
        <v>0</v>
      </c>
      <c r="AD51" s="184"/>
      <c r="AE51" s="187">
        <v>500</v>
      </c>
      <c r="AF51" s="188"/>
      <c r="AG51" s="181"/>
    </row>
    <row r="52" spans="19:33" ht="56.25">
      <c r="S52" s="151">
        <v>12</v>
      </c>
      <c r="T52" s="152" t="s">
        <v>3711</v>
      </c>
      <c r="U52" s="152">
        <v>200</v>
      </c>
      <c r="V52" s="154" t="s">
        <v>271</v>
      </c>
      <c r="W52" s="155">
        <v>21</v>
      </c>
      <c r="X52" s="155">
        <v>220</v>
      </c>
      <c r="Y52" s="181">
        <f t="shared" si="1"/>
        <v>-20</v>
      </c>
      <c r="Z52" s="182"/>
      <c r="AA52" s="183">
        <v>200</v>
      </c>
      <c r="AB52" s="155"/>
      <c r="AC52" s="181">
        <f t="shared" si="2"/>
        <v>0</v>
      </c>
      <c r="AD52" s="184"/>
      <c r="AE52" s="3139">
        <v>400</v>
      </c>
      <c r="AF52" s="188"/>
      <c r="AG52" s="181"/>
    </row>
    <row r="53" spans="19:33" ht="56.25">
      <c r="S53" s="151">
        <v>13</v>
      </c>
      <c r="T53" s="152" t="s">
        <v>3712</v>
      </c>
      <c r="U53" s="152"/>
      <c r="V53" s="154"/>
      <c r="W53" s="155">
        <v>0</v>
      </c>
      <c r="X53" s="155">
        <v>0</v>
      </c>
      <c r="Y53" s="181">
        <f t="shared" si="1"/>
        <v>0</v>
      </c>
      <c r="Z53" s="182"/>
      <c r="AA53" s="183"/>
      <c r="AB53" s="155"/>
      <c r="AC53" s="181">
        <f t="shared" si="2"/>
        <v>0</v>
      </c>
      <c r="AD53" s="184"/>
      <c r="AE53" s="3140"/>
      <c r="AF53" s="190"/>
      <c r="AG53" s="181"/>
    </row>
    <row r="54" spans="19:33" ht="56.25">
      <c r="S54" s="151">
        <v>14</v>
      </c>
      <c r="T54" s="152" t="s">
        <v>3713</v>
      </c>
      <c r="U54" s="152">
        <v>1500</v>
      </c>
      <c r="V54" s="154" t="s">
        <v>3714</v>
      </c>
      <c r="W54" s="155">
        <v>439</v>
      </c>
      <c r="X54" s="155">
        <v>690</v>
      </c>
      <c r="Y54" s="181">
        <f t="shared" si="1"/>
        <v>810</v>
      </c>
      <c r="Z54" s="182"/>
      <c r="AA54" s="183">
        <v>1500</v>
      </c>
      <c r="AB54" s="155">
        <v>375</v>
      </c>
      <c r="AC54" s="181">
        <f t="shared" si="2"/>
        <v>-375</v>
      </c>
      <c r="AD54" s="184"/>
      <c r="AE54" s="187">
        <v>500</v>
      </c>
      <c r="AF54" s="188"/>
      <c r="AG54" s="181"/>
    </row>
    <row r="55" spans="19:33" ht="315">
      <c r="S55" s="151">
        <v>15</v>
      </c>
      <c r="T55" s="152" t="s">
        <v>3715</v>
      </c>
      <c r="U55" s="152">
        <v>1200</v>
      </c>
      <c r="V55" s="156" t="s">
        <v>3716</v>
      </c>
      <c r="W55" s="155">
        <v>308</v>
      </c>
      <c r="X55" s="157">
        <v>1200</v>
      </c>
      <c r="Y55" s="191">
        <f t="shared" si="1"/>
        <v>0</v>
      </c>
      <c r="Z55" s="182"/>
      <c r="AA55" s="192">
        <v>1250</v>
      </c>
      <c r="AB55" s="155">
        <f>1349+139</f>
        <v>1488</v>
      </c>
      <c r="AC55" s="181">
        <f t="shared" si="2"/>
        <v>-1488</v>
      </c>
      <c r="AD55" s="184"/>
      <c r="AE55" s="187">
        <v>1500</v>
      </c>
      <c r="AF55" s="188"/>
      <c r="AG55" s="181"/>
    </row>
    <row r="56" spans="19:33" ht="18.75">
      <c r="S56" s="158"/>
      <c r="T56" s="159" t="s">
        <v>3717</v>
      </c>
      <c r="U56" s="160">
        <f>SUM(U41:U55)</f>
        <v>8170</v>
      </c>
      <c r="V56" s="161"/>
      <c r="W56" s="162">
        <f>SUM(W41:W55)</f>
        <v>2240</v>
      </c>
      <c r="X56" s="163">
        <f>SUM(X41:X55)</f>
        <v>7989</v>
      </c>
      <c r="Y56" s="163">
        <f>SUM(Y41:Y55)</f>
        <v>181</v>
      </c>
      <c r="Z56" s="193"/>
      <c r="AA56" s="194">
        <f>SUM(AA41:AA55)</f>
        <v>8700</v>
      </c>
      <c r="AB56" s="162">
        <f>SUM(AB41:AB55)</f>
        <v>2233</v>
      </c>
      <c r="AC56" s="195"/>
      <c r="AD56" s="196"/>
      <c r="AE56" s="197">
        <f>SUM(AE41:AE55)</f>
        <v>9500</v>
      </c>
      <c r="AF56" s="198"/>
      <c r="AG56" s="200"/>
    </row>
  </sheetData>
  <mergeCells count="12">
    <mergeCell ref="T26:V26"/>
    <mergeCell ref="AE52:AE53"/>
    <mergeCell ref="W5:X5"/>
    <mergeCell ref="Y5:Z5"/>
    <mergeCell ref="AA5:AB5"/>
    <mergeCell ref="C10:M10"/>
    <mergeCell ref="S25:X25"/>
    <mergeCell ref="B4:J4"/>
    <mergeCell ref="C5:D5"/>
    <mergeCell ref="E5:F5"/>
    <mergeCell ref="G5:H5"/>
    <mergeCell ref="I5:J5"/>
  </mergeCells>
  <pageMargins left="0.7" right="0.7" top="0.75" bottom="0.75" header="0.3" footer="0.3"/>
  <pageSetup paperSize="9" scale="97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34"/>
  <sheetViews>
    <sheetView zoomScaleSheetLayoutView="100" workbookViewId="0">
      <selection activeCell="F24" sqref="F24"/>
    </sheetView>
  </sheetViews>
  <sheetFormatPr defaultColWidth="9" defaultRowHeight="12.75"/>
  <cols>
    <col min="3" max="3" width="10.7109375" customWidth="1"/>
    <col min="4" max="4" width="13.140625" customWidth="1"/>
    <col min="5" max="5" width="12.42578125" customWidth="1"/>
    <col min="6" max="6" width="17" customWidth="1"/>
  </cols>
  <sheetData>
    <row r="5" spans="2:6">
      <c r="B5" s="91" t="s">
        <v>2538</v>
      </c>
      <c r="C5" s="91" t="s">
        <v>2415</v>
      </c>
      <c r="D5" s="91" t="s">
        <v>1060</v>
      </c>
      <c r="E5" s="91" t="s">
        <v>3055</v>
      </c>
      <c r="F5" s="92" t="s">
        <v>3718</v>
      </c>
    </row>
    <row r="6" spans="2:6" ht="15">
      <c r="B6" s="93">
        <v>1960004</v>
      </c>
      <c r="C6" s="94">
        <v>22001029</v>
      </c>
      <c r="D6" s="94" t="s">
        <v>3719</v>
      </c>
      <c r="E6" s="95">
        <v>8</v>
      </c>
      <c r="F6" s="96">
        <f>++E6*3.96</f>
        <v>31.68</v>
      </c>
    </row>
    <row r="7" spans="2:6" ht="15">
      <c r="B7" s="93"/>
      <c r="C7" s="94"/>
      <c r="D7" s="94"/>
      <c r="E7" s="95"/>
      <c r="F7" s="96"/>
    </row>
    <row r="8" spans="2:6" ht="15">
      <c r="B8" s="93"/>
      <c r="C8" s="94"/>
      <c r="D8" s="94"/>
      <c r="E8" s="95"/>
      <c r="F8" s="96"/>
    </row>
    <row r="9" spans="2:6" ht="15">
      <c r="B9" s="93">
        <v>1960025</v>
      </c>
      <c r="C9" s="94">
        <v>22001655</v>
      </c>
      <c r="D9" s="94"/>
      <c r="E9" s="95">
        <v>42</v>
      </c>
      <c r="F9" s="96">
        <f>++E9*3.96</f>
        <v>166.32</v>
      </c>
    </row>
    <row r="10" spans="2:6" ht="15">
      <c r="B10" s="93"/>
      <c r="C10" s="94"/>
      <c r="D10" s="94"/>
      <c r="E10" s="95"/>
      <c r="F10" s="96"/>
    </row>
    <row r="11" spans="2:6" ht="15">
      <c r="B11" s="93">
        <v>1960021</v>
      </c>
      <c r="C11" s="94">
        <v>22001659</v>
      </c>
      <c r="D11" s="94"/>
      <c r="E11" s="95">
        <v>42</v>
      </c>
      <c r="F11" s="96">
        <f>++E11*3.96</f>
        <v>166.32</v>
      </c>
    </row>
    <row r="12" spans="2:6" ht="15">
      <c r="B12" s="93"/>
      <c r="C12" s="94"/>
      <c r="D12" s="94"/>
      <c r="E12" s="95"/>
      <c r="F12" s="96"/>
    </row>
    <row r="13" spans="2:6" ht="15">
      <c r="B13" s="93">
        <v>1960019</v>
      </c>
      <c r="C13" s="94">
        <v>22001664</v>
      </c>
      <c r="D13" s="94"/>
      <c r="E13" s="95">
        <v>36</v>
      </c>
      <c r="F13" s="96">
        <f>++E13*3.96</f>
        <v>142.56</v>
      </c>
    </row>
    <row r="14" spans="2:6" ht="15">
      <c r="B14" s="93"/>
      <c r="C14" s="94"/>
      <c r="D14" s="94"/>
      <c r="E14" s="95"/>
      <c r="F14" s="96"/>
    </row>
    <row r="15" spans="2:6" ht="15">
      <c r="B15" s="93">
        <v>1960018</v>
      </c>
      <c r="C15" s="94">
        <v>22001669</v>
      </c>
      <c r="D15" s="94"/>
      <c r="E15" s="95">
        <v>8</v>
      </c>
      <c r="F15" s="96">
        <f>++E15*3.96</f>
        <v>31.68</v>
      </c>
    </row>
    <row r="16" spans="2:6" ht="15">
      <c r="B16" s="93"/>
      <c r="C16" s="94"/>
      <c r="D16" s="94"/>
      <c r="E16" s="95"/>
      <c r="F16" s="96"/>
    </row>
    <row r="17" spans="2:6" ht="15">
      <c r="B17" s="93">
        <v>1960009</v>
      </c>
      <c r="C17" s="94">
        <v>22001784</v>
      </c>
      <c r="D17" s="94"/>
      <c r="E17" s="95">
        <v>40</v>
      </c>
      <c r="F17" s="96">
        <f>++E17*3.96</f>
        <v>158.4</v>
      </c>
    </row>
    <row r="18" spans="2:6">
      <c r="B18" s="93"/>
      <c r="C18" s="95"/>
      <c r="D18" s="95"/>
      <c r="E18" s="95"/>
      <c r="F18" s="96"/>
    </row>
    <row r="19" spans="2:6" ht="15">
      <c r="B19" s="93">
        <v>1960008</v>
      </c>
      <c r="C19" s="94">
        <v>22001785</v>
      </c>
      <c r="D19" s="94"/>
      <c r="E19" s="95">
        <v>39</v>
      </c>
      <c r="F19" s="96">
        <f>++E19*3.96</f>
        <v>154.44</v>
      </c>
    </row>
    <row r="20" spans="2:6" ht="15">
      <c r="B20" s="93"/>
      <c r="C20" s="94"/>
      <c r="D20" s="94"/>
      <c r="E20" s="95"/>
      <c r="F20" s="96"/>
    </row>
    <row r="21" spans="2:6" ht="15">
      <c r="B21" s="93">
        <v>1960016</v>
      </c>
      <c r="C21" s="94">
        <v>32001767</v>
      </c>
      <c r="D21" s="94"/>
      <c r="E21" s="95">
        <v>23</v>
      </c>
      <c r="F21" s="96">
        <f>++E21*3.96</f>
        <v>91.08</v>
      </c>
    </row>
    <row r="22" spans="2:6" ht="15">
      <c r="B22" s="93"/>
      <c r="C22" s="94"/>
      <c r="D22" s="94"/>
      <c r="E22" s="95"/>
      <c r="F22" s="96"/>
    </row>
    <row r="23" spans="2:6" ht="15">
      <c r="B23" s="93">
        <v>1960015</v>
      </c>
      <c r="C23" s="94">
        <v>32001769</v>
      </c>
      <c r="D23" s="94"/>
      <c r="E23" s="95">
        <v>18</v>
      </c>
      <c r="F23" s="96">
        <f>++E23*3.96</f>
        <v>71.28</v>
      </c>
    </row>
    <row r="24" spans="2:6" ht="15">
      <c r="B24" s="93">
        <v>1960014</v>
      </c>
      <c r="C24" s="94">
        <v>32001771</v>
      </c>
      <c r="D24" s="94"/>
      <c r="E24" s="95">
        <v>37</v>
      </c>
      <c r="F24" s="96">
        <f>++E24*3.96</f>
        <v>146.52000000000001</v>
      </c>
    </row>
    <row r="25" spans="2:6" ht="15">
      <c r="B25" s="93"/>
      <c r="C25" s="94"/>
      <c r="D25" s="94"/>
      <c r="E25" s="95"/>
      <c r="F25" s="96"/>
    </row>
    <row r="26" spans="2:6" ht="15">
      <c r="B26" s="93">
        <v>1960013</v>
      </c>
      <c r="C26" s="94">
        <v>32001774</v>
      </c>
      <c r="D26" s="94"/>
      <c r="E26" s="95">
        <v>39</v>
      </c>
      <c r="F26" s="96">
        <f>++E26*3.96</f>
        <v>154.44</v>
      </c>
    </row>
    <row r="27" spans="2:6" ht="15">
      <c r="B27" s="93"/>
      <c r="C27" s="94"/>
      <c r="D27" s="94"/>
      <c r="E27" s="95"/>
      <c r="F27" s="96"/>
    </row>
    <row r="28" spans="2:6" ht="15">
      <c r="B28" s="93">
        <v>1960012</v>
      </c>
      <c r="C28" s="94">
        <v>32001777</v>
      </c>
      <c r="D28" s="94"/>
      <c r="E28" s="95">
        <v>38</v>
      </c>
      <c r="F28" s="96">
        <f>++E28*3.96</f>
        <v>150.47999999999999</v>
      </c>
    </row>
    <row r="29" spans="2:6" ht="15">
      <c r="B29" s="93"/>
      <c r="C29" s="94"/>
      <c r="D29" s="94"/>
      <c r="E29" s="95"/>
      <c r="F29" s="96"/>
    </row>
    <row r="30" spans="2:6" ht="15">
      <c r="B30" s="93">
        <v>1960011</v>
      </c>
      <c r="C30" s="94">
        <v>32001780</v>
      </c>
      <c r="D30" s="94"/>
      <c r="E30" s="95">
        <v>39</v>
      </c>
      <c r="F30" s="96">
        <f>++E30*3.96</f>
        <v>154.44</v>
      </c>
    </row>
    <row r="31" spans="2:6" ht="15">
      <c r="B31" s="93"/>
      <c r="C31" s="94"/>
      <c r="D31" s="94"/>
      <c r="E31" s="95"/>
      <c r="F31" s="96"/>
    </row>
    <row r="32" spans="2:6" ht="15">
      <c r="B32" s="93">
        <v>1960010</v>
      </c>
      <c r="C32" s="94">
        <v>32001788</v>
      </c>
      <c r="D32" s="94"/>
      <c r="E32" s="95">
        <v>32</v>
      </c>
      <c r="F32" s="96">
        <f>++E32*3.96</f>
        <v>126.72</v>
      </c>
    </row>
    <row r="33" spans="2:6">
      <c r="B33" s="95"/>
      <c r="C33" s="95"/>
      <c r="D33" s="95"/>
      <c r="E33" s="95"/>
      <c r="F33" s="96"/>
    </row>
    <row r="34" spans="2:6">
      <c r="B34" s="97"/>
      <c r="C34" s="97"/>
      <c r="D34" s="97"/>
      <c r="E34" s="98">
        <v>441</v>
      </c>
      <c r="F34" s="99">
        <f>++E34*3.96</f>
        <v>1746.36</v>
      </c>
    </row>
  </sheetData>
  <pageMargins left="0.7" right="0.7" top="0.11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29"/>
  <sheetViews>
    <sheetView zoomScaleSheetLayoutView="100" workbookViewId="0">
      <selection activeCell="F24" sqref="F24"/>
    </sheetView>
  </sheetViews>
  <sheetFormatPr defaultColWidth="9" defaultRowHeight="12.75"/>
  <cols>
    <col min="1" max="1" width="31.140625" style="85" customWidth="1"/>
    <col min="2" max="2" width="14.5703125" style="86" customWidth="1"/>
    <col min="3" max="3" width="14.28515625" style="86" customWidth="1"/>
    <col min="4" max="4" width="10.85546875" style="86" customWidth="1"/>
    <col min="5" max="5" width="12" style="87" customWidth="1"/>
  </cols>
  <sheetData>
    <row r="2" spans="1:5" s="84" customFormat="1">
      <c r="A2" s="88" t="s">
        <v>740</v>
      </c>
      <c r="B2" s="89" t="s">
        <v>178</v>
      </c>
      <c r="C2" s="89" t="s">
        <v>131</v>
      </c>
      <c r="D2" s="89" t="s">
        <v>132</v>
      </c>
      <c r="E2" s="89" t="s">
        <v>3148</v>
      </c>
    </row>
    <row r="3" spans="1:5">
      <c r="A3" s="88"/>
      <c r="B3" s="90"/>
      <c r="C3" s="90"/>
      <c r="D3" s="90"/>
      <c r="E3" s="89"/>
    </row>
    <row r="4" spans="1:5">
      <c r="A4" s="88" t="s">
        <v>3720</v>
      </c>
      <c r="B4" s="90">
        <v>1076</v>
      </c>
      <c r="C4" s="90">
        <v>644</v>
      </c>
      <c r="D4" s="90">
        <v>2785</v>
      </c>
      <c r="E4" s="89">
        <f>B4+C4+D4</f>
        <v>4505</v>
      </c>
    </row>
    <row r="5" spans="1:5">
      <c r="A5" s="88" t="s">
        <v>3721</v>
      </c>
      <c r="B5" s="90">
        <v>96</v>
      </c>
      <c r="C5" s="90"/>
      <c r="D5" s="90"/>
      <c r="E5" s="89">
        <f t="shared" ref="E5:E16" si="0">B5+C5+D5</f>
        <v>96</v>
      </c>
    </row>
    <row r="6" spans="1:5">
      <c r="A6" s="88" t="s">
        <v>3722</v>
      </c>
      <c r="B6" s="90"/>
      <c r="C6" s="90"/>
      <c r="D6" s="90"/>
      <c r="E6" s="89">
        <f t="shared" si="0"/>
        <v>0</v>
      </c>
    </row>
    <row r="7" spans="1:5">
      <c r="A7" s="88" t="s">
        <v>3178</v>
      </c>
      <c r="B7" s="90">
        <v>186</v>
      </c>
      <c r="C7" s="90">
        <v>164</v>
      </c>
      <c r="D7" s="90">
        <v>140</v>
      </c>
      <c r="E7" s="89">
        <f t="shared" si="0"/>
        <v>490</v>
      </c>
    </row>
    <row r="8" spans="1:5">
      <c r="A8" s="88" t="s">
        <v>3723</v>
      </c>
      <c r="B8" s="90">
        <v>25</v>
      </c>
      <c r="C8" s="90">
        <v>30.5</v>
      </c>
      <c r="D8" s="90">
        <v>115</v>
      </c>
      <c r="E8" s="89">
        <f t="shared" si="0"/>
        <v>170.5</v>
      </c>
    </row>
    <row r="9" spans="1:5">
      <c r="A9" s="88" t="s">
        <v>814</v>
      </c>
      <c r="B9" s="90"/>
      <c r="C9" s="90">
        <v>286.5</v>
      </c>
      <c r="D9" s="90">
        <v>330</v>
      </c>
      <c r="E9" s="89">
        <f t="shared" si="0"/>
        <v>616.5</v>
      </c>
    </row>
    <row r="10" spans="1:5">
      <c r="A10" s="88" t="s">
        <v>3724</v>
      </c>
      <c r="B10" s="90"/>
      <c r="C10" s="90"/>
      <c r="D10" s="90"/>
      <c r="E10" s="89">
        <f t="shared" si="0"/>
        <v>0</v>
      </c>
    </row>
    <row r="11" spans="1:5">
      <c r="A11" s="88" t="s">
        <v>3725</v>
      </c>
      <c r="B11" s="90"/>
      <c r="C11" s="90"/>
      <c r="D11" s="90">
        <v>200</v>
      </c>
      <c r="E11" s="89">
        <f t="shared" si="0"/>
        <v>200</v>
      </c>
    </row>
    <row r="12" spans="1:5">
      <c r="A12" s="88" t="s">
        <v>401</v>
      </c>
      <c r="B12" s="90"/>
      <c r="C12" s="90"/>
      <c r="D12" s="90"/>
      <c r="E12" s="89">
        <f t="shared" si="0"/>
        <v>0</v>
      </c>
    </row>
    <row r="13" spans="1:5">
      <c r="A13" s="88" t="s">
        <v>3726</v>
      </c>
      <c r="B13" s="90"/>
      <c r="C13" s="90"/>
      <c r="D13" s="90"/>
      <c r="E13" s="89">
        <f t="shared" si="0"/>
        <v>0</v>
      </c>
    </row>
    <row r="14" spans="1:5">
      <c r="A14" s="88" t="s">
        <v>3727</v>
      </c>
      <c r="B14" s="90"/>
      <c r="C14" s="90">
        <v>96</v>
      </c>
      <c r="D14" s="90"/>
      <c r="E14" s="89">
        <f t="shared" si="0"/>
        <v>96</v>
      </c>
    </row>
    <row r="15" spans="1:5">
      <c r="A15" s="88" t="s">
        <v>3728</v>
      </c>
      <c r="B15" s="90"/>
      <c r="C15" s="90"/>
      <c r="D15" s="90"/>
      <c r="E15" s="89">
        <f t="shared" si="0"/>
        <v>0</v>
      </c>
    </row>
    <row r="16" spans="1:5" s="84" customFormat="1">
      <c r="A16" s="88" t="s">
        <v>3729</v>
      </c>
      <c r="B16" s="89">
        <f>SUM(B3:B15)-B5</f>
        <v>1287</v>
      </c>
      <c r="C16" s="89">
        <f>SUM(C3:C15)</f>
        <v>1221</v>
      </c>
      <c r="D16" s="89">
        <f>SUM(D3:D15)</f>
        <v>3570</v>
      </c>
      <c r="E16" s="89">
        <f t="shared" si="0"/>
        <v>6078</v>
      </c>
    </row>
    <row r="17" spans="1:22">
      <c r="A17" s="88"/>
      <c r="B17" s="90"/>
      <c r="C17" s="90"/>
      <c r="D17" s="90"/>
      <c r="E17" s="89"/>
    </row>
    <row r="19" spans="1:22">
      <c r="A19" s="85" t="s">
        <v>3730</v>
      </c>
    </row>
    <row r="20" spans="1:22">
      <c r="A20" s="88" t="s">
        <v>3731</v>
      </c>
      <c r="B20" s="89" t="s">
        <v>40</v>
      </c>
      <c r="C20" s="89" t="s">
        <v>41</v>
      </c>
      <c r="D20" s="89" t="s">
        <v>170</v>
      </c>
      <c r="E20" s="89" t="s">
        <v>171</v>
      </c>
      <c r="F20" s="89" t="s">
        <v>807</v>
      </c>
    </row>
    <row r="21" spans="1:22">
      <c r="A21" s="88"/>
      <c r="B21" s="89"/>
      <c r="C21" s="89"/>
      <c r="D21" s="89"/>
      <c r="E21" s="89"/>
      <c r="F21" s="89"/>
    </row>
    <row r="22" spans="1:22">
      <c r="A22" s="88" t="s">
        <v>3732</v>
      </c>
      <c r="B22" s="89">
        <v>56414</v>
      </c>
      <c r="C22" s="89">
        <v>57150</v>
      </c>
      <c r="D22" s="89">
        <v>59034</v>
      </c>
      <c r="E22" s="89">
        <v>96682</v>
      </c>
      <c r="F22" s="89">
        <v>48557</v>
      </c>
    </row>
    <row r="23" spans="1:22">
      <c r="A23" s="88" t="s">
        <v>3733</v>
      </c>
      <c r="B23" s="89">
        <v>5315</v>
      </c>
      <c r="C23" s="89">
        <v>6047</v>
      </c>
      <c r="D23" s="89">
        <v>9862</v>
      </c>
      <c r="E23" s="89">
        <v>7862</v>
      </c>
      <c r="F23" s="89">
        <v>6833</v>
      </c>
    </row>
    <row r="24" spans="1:22">
      <c r="A24" s="88" t="s">
        <v>785</v>
      </c>
      <c r="B24" s="89">
        <v>21171</v>
      </c>
      <c r="C24" s="89">
        <v>19311</v>
      </c>
      <c r="D24" s="89">
        <v>20975</v>
      </c>
      <c r="E24" s="89">
        <v>24688</v>
      </c>
      <c r="F24" s="89">
        <v>18892</v>
      </c>
      <c r="G24" t="s">
        <v>3734</v>
      </c>
    </row>
    <row r="25" spans="1:22">
      <c r="I25" s="2915" t="s">
        <v>40</v>
      </c>
      <c r="J25" s="2915"/>
      <c r="K25" s="2915" t="s">
        <v>41</v>
      </c>
      <c r="L25" s="2915"/>
      <c r="M25" s="2915" t="s">
        <v>170</v>
      </c>
      <c r="N25" s="2915"/>
      <c r="O25" s="2915" t="s">
        <v>171</v>
      </c>
      <c r="P25" s="2915"/>
      <c r="Q25" s="2915" t="s">
        <v>807</v>
      </c>
      <c r="R25" s="2915"/>
      <c r="S25" s="2915" t="s">
        <v>808</v>
      </c>
      <c r="T25" s="2915"/>
      <c r="U25" s="2915" t="s">
        <v>809</v>
      </c>
      <c r="V25" s="2915"/>
    </row>
    <row r="26" spans="1:22">
      <c r="I26" t="s">
        <v>275</v>
      </c>
      <c r="J26" t="s">
        <v>312</v>
      </c>
      <c r="K26" t="s">
        <v>275</v>
      </c>
      <c r="L26" t="s">
        <v>312</v>
      </c>
      <c r="M26" t="s">
        <v>275</v>
      </c>
      <c r="N26" t="s">
        <v>312</v>
      </c>
      <c r="O26" t="s">
        <v>275</v>
      </c>
      <c r="P26" t="s">
        <v>312</v>
      </c>
      <c r="Q26" t="s">
        <v>275</v>
      </c>
      <c r="R26" t="s">
        <v>312</v>
      </c>
      <c r="S26" t="s">
        <v>275</v>
      </c>
      <c r="T26" t="s">
        <v>312</v>
      </c>
      <c r="U26" t="s">
        <v>275</v>
      </c>
      <c r="V26" t="s">
        <v>312</v>
      </c>
    </row>
    <row r="27" spans="1:22">
      <c r="G27" s="88" t="s">
        <v>3732</v>
      </c>
      <c r="I27">
        <v>56414</v>
      </c>
      <c r="J27">
        <f>61174.85-5220.747</f>
        <v>55954.102999999996</v>
      </c>
      <c r="K27">
        <v>57150</v>
      </c>
      <c r="L27">
        <f>67536.424-12150.53</f>
        <v>55385.894</v>
      </c>
      <c r="M27">
        <v>59034</v>
      </c>
      <c r="N27">
        <f>89745.57-6738.006</f>
        <v>83007.564000000013</v>
      </c>
      <c r="O27">
        <v>96682</v>
      </c>
      <c r="P27">
        <f>83224.09-1236.589</f>
        <v>81987.500999999989</v>
      </c>
      <c r="Q27">
        <v>48557</v>
      </c>
      <c r="R27">
        <f>49807.64-10346.08</f>
        <v>39461.56</v>
      </c>
      <c r="S27">
        <v>63846</v>
      </c>
      <c r="T27">
        <f>79584.05-6505.89</f>
        <v>73078.16</v>
      </c>
      <c r="U27">
        <v>81221</v>
      </c>
      <c r="V27">
        <f>73977.76-1116.55</f>
        <v>72861.209999999992</v>
      </c>
    </row>
    <row r="28" spans="1:22">
      <c r="G28" s="88" t="s">
        <v>3733</v>
      </c>
      <c r="I28">
        <v>5315</v>
      </c>
      <c r="J28">
        <f>4689.637+531.11</f>
        <v>5220.7469999999994</v>
      </c>
      <c r="K28">
        <v>6047</v>
      </c>
      <c r="L28">
        <f>11527.395+623.13</f>
        <v>12150.525</v>
      </c>
      <c r="M28">
        <v>9562</v>
      </c>
      <c r="N28">
        <f>6515.226+222.78</f>
        <v>6738.0059999999994</v>
      </c>
      <c r="O28">
        <v>7862</v>
      </c>
      <c r="P28">
        <v>1236.5889999999999</v>
      </c>
      <c r="Q28">
        <v>6833</v>
      </c>
      <c r="R28">
        <f>10003.08+343</f>
        <v>10346.08</v>
      </c>
      <c r="S28">
        <v>6392</v>
      </c>
      <c r="T28">
        <f>6380.89+125</f>
        <v>6505.89</v>
      </c>
      <c r="U28">
        <v>2600</v>
      </c>
      <c r="V28">
        <f>957.55+159</f>
        <v>1116.55</v>
      </c>
    </row>
    <row r="29" spans="1:22">
      <c r="G29" s="88" t="s">
        <v>785</v>
      </c>
      <c r="I29">
        <v>21171</v>
      </c>
      <c r="J29">
        <v>18727.900000000001</v>
      </c>
      <c r="K29">
        <v>19311</v>
      </c>
      <c r="L29">
        <v>17852.150000000001</v>
      </c>
      <c r="M29">
        <v>20975</v>
      </c>
      <c r="N29">
        <v>22125.11</v>
      </c>
      <c r="O29">
        <v>24688</v>
      </c>
      <c r="P29">
        <v>1619.05</v>
      </c>
      <c r="Q29">
        <v>18892</v>
      </c>
      <c r="R29">
        <v>15631.83</v>
      </c>
      <c r="S29">
        <v>20814</v>
      </c>
      <c r="T29">
        <v>20815.96</v>
      </c>
      <c r="U29">
        <v>24583</v>
      </c>
      <c r="V29">
        <v>17682.87</v>
      </c>
    </row>
  </sheetData>
  <mergeCells count="7">
    <mergeCell ref="U25:V25"/>
    <mergeCell ref="I25:J25"/>
    <mergeCell ref="K25:L25"/>
    <mergeCell ref="M25:N25"/>
    <mergeCell ref="O25:P25"/>
    <mergeCell ref="Q25:R25"/>
    <mergeCell ref="S25:T25"/>
  </mergeCells>
  <pageMargins left="0.7" right="0.7" top="0.75" bottom="0.75" header="0.3" footer="0.3"/>
  <pageSetup paperSize="9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1"/>
  <sheetViews>
    <sheetView topLeftCell="A127" zoomScaleSheetLayoutView="100" workbookViewId="0">
      <selection activeCell="B122" sqref="B122"/>
    </sheetView>
  </sheetViews>
  <sheetFormatPr defaultColWidth="9" defaultRowHeight="12.75"/>
  <cols>
    <col min="2" max="2" width="22" customWidth="1"/>
  </cols>
  <sheetData>
    <row r="1" spans="1:17">
      <c r="I1" t="s">
        <v>39</v>
      </c>
      <c r="J1" t="s">
        <v>254</v>
      </c>
      <c r="K1" t="s">
        <v>256</v>
      </c>
      <c r="L1" t="s">
        <v>258</v>
      </c>
      <c r="M1" t="s">
        <v>257</v>
      </c>
      <c r="N1" t="s">
        <v>2065</v>
      </c>
      <c r="O1" t="s">
        <v>80</v>
      </c>
    </row>
    <row r="2" spans="1:17">
      <c r="A2" s="78" t="s">
        <v>720</v>
      </c>
      <c r="B2" s="79" t="s">
        <v>3735</v>
      </c>
      <c r="C2" s="79" t="s">
        <v>3736</v>
      </c>
      <c r="D2" s="79" t="s">
        <v>3737</v>
      </c>
      <c r="E2" s="78" t="s">
        <v>3055</v>
      </c>
      <c r="F2" s="78" t="s">
        <v>3738</v>
      </c>
      <c r="I2" t="s">
        <v>41</v>
      </c>
    </row>
    <row r="3" spans="1:17">
      <c r="B3" s="81" t="s">
        <v>41</v>
      </c>
      <c r="C3" s="81" t="s">
        <v>253</v>
      </c>
      <c r="D3" s="81" t="s">
        <v>254</v>
      </c>
      <c r="E3" s="80">
        <v>9534</v>
      </c>
      <c r="F3" s="80">
        <v>22153.840029999999</v>
      </c>
      <c r="I3" t="s">
        <v>259</v>
      </c>
      <c r="J3">
        <f>F3</f>
        <v>22153.840029999999</v>
      </c>
      <c r="P3">
        <f>+O3+N3+M3+L3+K3+J3</f>
        <v>22153.840029999999</v>
      </c>
    </row>
    <row r="4" spans="1:17">
      <c r="I4" t="s">
        <v>262</v>
      </c>
      <c r="J4">
        <f>F6+F9</f>
        <v>6132.68</v>
      </c>
      <c r="K4">
        <f>F5</f>
        <v>86.784999999999997</v>
      </c>
      <c r="L4">
        <f>F7+F10</f>
        <v>375.66500000000002</v>
      </c>
      <c r="M4">
        <f>F11+F8</f>
        <v>218.89499999999998</v>
      </c>
      <c r="P4">
        <f>+O4+N4+M4+L4+K4+J4</f>
        <v>6814.0250000000005</v>
      </c>
    </row>
    <row r="5" spans="1:17">
      <c r="A5" s="80" t="s">
        <v>3739</v>
      </c>
      <c r="B5" s="81" t="s">
        <v>41</v>
      </c>
      <c r="C5" s="81" t="s">
        <v>260</v>
      </c>
      <c r="D5" s="81" t="s">
        <v>256</v>
      </c>
      <c r="E5" s="80">
        <v>2284</v>
      </c>
      <c r="F5" s="80">
        <v>86.784999999999997</v>
      </c>
      <c r="I5" t="s">
        <v>385</v>
      </c>
      <c r="J5">
        <f>F14</f>
        <v>11944.332</v>
      </c>
      <c r="K5">
        <f>F13</f>
        <v>258.85000000000002</v>
      </c>
      <c r="L5">
        <f>F15</f>
        <v>478.90800000000002</v>
      </c>
      <c r="M5">
        <f>F18</f>
        <v>543.78700000000003</v>
      </c>
      <c r="N5">
        <f>F17</f>
        <v>52.54</v>
      </c>
      <c r="O5">
        <f>F16</f>
        <v>375.16</v>
      </c>
      <c r="P5">
        <f t="shared" ref="P5:P14" si="0">+O5+N5+M5+L5+K5+J5</f>
        <v>13653.577000000001</v>
      </c>
    </row>
    <row r="6" spans="1:17">
      <c r="A6" s="80" t="s">
        <v>3740</v>
      </c>
      <c r="B6" s="81" t="s">
        <v>41</v>
      </c>
      <c r="C6" s="81" t="s">
        <v>260</v>
      </c>
      <c r="D6" s="81" t="s">
        <v>254</v>
      </c>
      <c r="E6" s="80">
        <v>7881</v>
      </c>
      <c r="F6" s="80">
        <v>3864.19</v>
      </c>
      <c r="I6" t="s">
        <v>264</v>
      </c>
      <c r="J6">
        <f>F21</f>
        <v>8804.6360000000004</v>
      </c>
      <c r="K6">
        <f>F20</f>
        <v>403.64</v>
      </c>
      <c r="L6">
        <f>F22</f>
        <v>3473.8440000000001</v>
      </c>
      <c r="M6">
        <f>F25</f>
        <v>466.11399999999998</v>
      </c>
      <c r="N6">
        <f>F24</f>
        <v>3525.04</v>
      </c>
      <c r="O6">
        <f>F23</f>
        <v>524.19000000000005</v>
      </c>
      <c r="P6">
        <f t="shared" si="0"/>
        <v>17197.464</v>
      </c>
    </row>
    <row r="7" spans="1:17">
      <c r="A7" s="80" t="s">
        <v>3741</v>
      </c>
      <c r="B7" s="81" t="s">
        <v>41</v>
      </c>
      <c r="C7" s="81" t="s">
        <v>260</v>
      </c>
      <c r="D7" s="81" t="s">
        <v>258</v>
      </c>
      <c r="E7" s="80">
        <v>390</v>
      </c>
      <c r="F7" s="80">
        <v>261.995</v>
      </c>
      <c r="I7" t="s">
        <v>2113</v>
      </c>
      <c r="J7">
        <f>F27</f>
        <v>26179.37</v>
      </c>
      <c r="L7">
        <f>F28</f>
        <v>338.36</v>
      </c>
      <c r="M7">
        <f>F31</f>
        <v>395.53899999999999</v>
      </c>
      <c r="N7">
        <f>F30</f>
        <v>8069.6949999999997</v>
      </c>
      <c r="O7">
        <f>F29</f>
        <v>1117.07</v>
      </c>
      <c r="P7">
        <f t="shared" si="0"/>
        <v>36100.034</v>
      </c>
      <c r="Q7">
        <f>SUM(P3:P7)</f>
        <v>95918.940029999998</v>
      </c>
    </row>
    <row r="8" spans="1:17">
      <c r="A8" s="80" t="s">
        <v>3742</v>
      </c>
      <c r="B8" s="81" t="s">
        <v>41</v>
      </c>
      <c r="C8" s="81" t="s">
        <v>260</v>
      </c>
      <c r="D8" s="81" t="s">
        <v>261</v>
      </c>
      <c r="E8" s="80">
        <v>507</v>
      </c>
      <c r="F8" s="80">
        <v>136.07</v>
      </c>
      <c r="I8" t="s">
        <v>39</v>
      </c>
      <c r="J8" t="s">
        <v>254</v>
      </c>
      <c r="K8" t="s">
        <v>256</v>
      </c>
      <c r="L8" t="s">
        <v>258</v>
      </c>
      <c r="M8" t="s">
        <v>257</v>
      </c>
      <c r="N8" t="s">
        <v>2065</v>
      </c>
      <c r="O8" t="s">
        <v>80</v>
      </c>
    </row>
    <row r="9" spans="1:17">
      <c r="A9" s="80" t="s">
        <v>3743</v>
      </c>
      <c r="B9" s="81" t="s">
        <v>41</v>
      </c>
      <c r="C9" s="81" t="s">
        <v>263</v>
      </c>
      <c r="D9" s="81" t="s">
        <v>254</v>
      </c>
      <c r="E9" s="80">
        <v>2253</v>
      </c>
      <c r="F9" s="80">
        <v>2268.4899999999998</v>
      </c>
      <c r="I9" t="s">
        <v>170</v>
      </c>
    </row>
    <row r="10" spans="1:17">
      <c r="A10" s="80" t="s">
        <v>3181</v>
      </c>
      <c r="B10" s="81" t="s">
        <v>41</v>
      </c>
      <c r="C10" s="81" t="s">
        <v>263</v>
      </c>
      <c r="D10" s="81" t="s">
        <v>258</v>
      </c>
      <c r="E10" s="80">
        <v>31</v>
      </c>
      <c r="F10" s="80">
        <v>113.67</v>
      </c>
      <c r="I10" t="s">
        <v>259</v>
      </c>
      <c r="J10">
        <f>F59+0</f>
        <v>30514.7</v>
      </c>
      <c r="M10">
        <f>F60</f>
        <v>5.63</v>
      </c>
      <c r="P10">
        <f t="shared" si="0"/>
        <v>30520.33</v>
      </c>
    </row>
    <row r="11" spans="1:17">
      <c r="A11" s="80" t="s">
        <v>3744</v>
      </c>
      <c r="B11" s="81" t="s">
        <v>41</v>
      </c>
      <c r="C11" s="81" t="s">
        <v>263</v>
      </c>
      <c r="D11" s="81" t="s">
        <v>261</v>
      </c>
      <c r="E11" s="80">
        <v>1033</v>
      </c>
      <c r="F11" s="80">
        <v>82.825000000000003</v>
      </c>
      <c r="I11" t="s">
        <v>262</v>
      </c>
      <c r="J11">
        <f>F35+F38</f>
        <v>5316.76</v>
      </c>
      <c r="K11">
        <f>F34</f>
        <v>41.25</v>
      </c>
      <c r="L11">
        <f>F36+F39</f>
        <v>175.72</v>
      </c>
      <c r="M11">
        <f>F37+F40</f>
        <v>202.39</v>
      </c>
      <c r="P11">
        <f t="shared" si="0"/>
        <v>5736.12</v>
      </c>
    </row>
    <row r="12" spans="1:17">
      <c r="A12" s="80"/>
      <c r="B12" s="81"/>
      <c r="C12" s="81"/>
      <c r="D12" s="81"/>
      <c r="E12" s="80"/>
      <c r="F12" s="80"/>
      <c r="I12" t="s">
        <v>385</v>
      </c>
      <c r="J12">
        <f>F41</f>
        <v>7680.99</v>
      </c>
      <c r="L12">
        <f>F42</f>
        <v>54.62</v>
      </c>
      <c r="M12">
        <f>F43</f>
        <v>260.01499999999999</v>
      </c>
      <c r="P12">
        <f t="shared" si="0"/>
        <v>7995.625</v>
      </c>
    </row>
    <row r="13" spans="1:17">
      <c r="A13" s="80" t="s">
        <v>3745</v>
      </c>
      <c r="B13" s="81" t="s">
        <v>41</v>
      </c>
      <c r="C13" s="81" t="s">
        <v>268</v>
      </c>
      <c r="D13" s="81" t="s">
        <v>269</v>
      </c>
      <c r="E13" s="80">
        <v>1988</v>
      </c>
      <c r="F13" s="80">
        <v>258.85000000000002</v>
      </c>
      <c r="I13" t="s">
        <v>264</v>
      </c>
      <c r="J13">
        <f>F46</f>
        <v>8478.69</v>
      </c>
      <c r="K13">
        <f>F45</f>
        <v>227.22200000000001</v>
      </c>
      <c r="L13">
        <f>F47</f>
        <v>3245.5720000000001</v>
      </c>
      <c r="M13">
        <f>F50</f>
        <v>332.709</v>
      </c>
      <c r="N13">
        <f>F49</f>
        <v>2409.0349999999999</v>
      </c>
      <c r="O13">
        <f>F48</f>
        <v>1178.3800000000001</v>
      </c>
      <c r="P13">
        <f t="shared" si="0"/>
        <v>15871.608</v>
      </c>
    </row>
    <row r="14" spans="1:17">
      <c r="A14" s="80" t="s">
        <v>3746</v>
      </c>
      <c r="B14" s="81" t="s">
        <v>41</v>
      </c>
      <c r="C14" s="81" t="s">
        <v>268</v>
      </c>
      <c r="D14" s="81" t="s">
        <v>254</v>
      </c>
      <c r="E14" s="80">
        <v>348032</v>
      </c>
      <c r="F14" s="80">
        <v>11944.332</v>
      </c>
      <c r="I14" t="s">
        <v>2113</v>
      </c>
      <c r="J14">
        <f>F53</f>
        <v>47720.165000000001</v>
      </c>
      <c r="K14">
        <f>F52</f>
        <v>122.73</v>
      </c>
      <c r="L14">
        <f>F54</f>
        <v>1306.1500000000001</v>
      </c>
      <c r="M14">
        <f>F57</f>
        <v>293.00599999999997</v>
      </c>
      <c r="N14">
        <f>F56</f>
        <v>5111.3</v>
      </c>
      <c r="O14">
        <f>F55</f>
        <v>1441.55</v>
      </c>
      <c r="P14">
        <f t="shared" si="0"/>
        <v>55994.900999999998</v>
      </c>
      <c r="Q14">
        <f>SUM(P10:P14)</f>
        <v>116118.584</v>
      </c>
    </row>
    <row r="15" spans="1:17">
      <c r="A15" s="80" t="s">
        <v>3747</v>
      </c>
      <c r="B15" s="81" t="s">
        <v>41</v>
      </c>
      <c r="C15" s="81" t="s">
        <v>268</v>
      </c>
      <c r="D15" s="81" t="s">
        <v>258</v>
      </c>
      <c r="E15" s="80">
        <v>2861</v>
      </c>
      <c r="F15" s="80">
        <v>478.90800000000002</v>
      </c>
    </row>
    <row r="16" spans="1:17">
      <c r="A16" s="80" t="s">
        <v>3748</v>
      </c>
      <c r="B16" s="81" t="s">
        <v>41</v>
      </c>
      <c r="C16" s="81" t="s">
        <v>268</v>
      </c>
      <c r="D16" s="81" t="s">
        <v>265</v>
      </c>
      <c r="E16" s="80">
        <v>44</v>
      </c>
      <c r="F16" s="80">
        <v>375.16</v>
      </c>
    </row>
    <row r="17" spans="1:6">
      <c r="A17" s="80" t="s">
        <v>3749</v>
      </c>
      <c r="B17" s="81" t="s">
        <v>41</v>
      </c>
      <c r="C17" s="81" t="s">
        <v>268</v>
      </c>
      <c r="D17" s="81" t="s">
        <v>266</v>
      </c>
      <c r="E17" s="80">
        <v>4</v>
      </c>
      <c r="F17" s="80">
        <v>52.54</v>
      </c>
    </row>
    <row r="18" spans="1:6">
      <c r="A18" s="80" t="s">
        <v>3750</v>
      </c>
      <c r="B18" s="81" t="s">
        <v>41</v>
      </c>
      <c r="C18" s="81" t="s">
        <v>268</v>
      </c>
      <c r="D18" s="81" t="s">
        <v>261</v>
      </c>
      <c r="E18" s="80">
        <v>5964</v>
      </c>
      <c r="F18" s="80">
        <v>543.78700000000003</v>
      </c>
    </row>
    <row r="19" spans="1:6">
      <c r="A19" s="80"/>
      <c r="B19" s="81"/>
      <c r="C19" s="81"/>
      <c r="D19" s="81"/>
      <c r="E19" s="80"/>
      <c r="F19" s="80"/>
    </row>
    <row r="20" spans="1:6">
      <c r="A20" s="80" t="s">
        <v>3751</v>
      </c>
      <c r="B20" s="81" t="s">
        <v>41</v>
      </c>
      <c r="C20" s="81" t="s">
        <v>264</v>
      </c>
      <c r="D20" s="81" t="s">
        <v>256</v>
      </c>
      <c r="E20" s="80">
        <v>29000</v>
      </c>
      <c r="F20" s="80">
        <v>403.64</v>
      </c>
    </row>
    <row r="21" spans="1:6">
      <c r="A21" s="80" t="s">
        <v>3752</v>
      </c>
      <c r="B21" s="81" t="s">
        <v>41</v>
      </c>
      <c r="C21" s="81" t="s">
        <v>264</v>
      </c>
      <c r="D21" s="81" t="s">
        <v>254</v>
      </c>
      <c r="E21" s="80">
        <v>12422</v>
      </c>
      <c r="F21" s="80">
        <v>8804.6360000000004</v>
      </c>
    </row>
    <row r="22" spans="1:6">
      <c r="A22" s="80" t="s">
        <v>3753</v>
      </c>
      <c r="B22" s="81" t="s">
        <v>41</v>
      </c>
      <c r="C22" s="81" t="s">
        <v>264</v>
      </c>
      <c r="D22" s="81" t="s">
        <v>258</v>
      </c>
      <c r="E22" s="80">
        <v>2828</v>
      </c>
      <c r="F22" s="80">
        <v>3473.8440000000001</v>
      </c>
    </row>
    <row r="23" spans="1:6">
      <c r="A23" s="80" t="s">
        <v>3754</v>
      </c>
      <c r="B23" s="81" t="s">
        <v>41</v>
      </c>
      <c r="C23" s="81" t="s">
        <v>264</v>
      </c>
      <c r="D23" s="81" t="s">
        <v>265</v>
      </c>
      <c r="E23" s="80">
        <v>46</v>
      </c>
      <c r="F23" s="80">
        <v>524.19000000000005</v>
      </c>
    </row>
    <row r="24" spans="1:6">
      <c r="A24" s="80" t="s">
        <v>3755</v>
      </c>
      <c r="B24" s="81" t="s">
        <v>41</v>
      </c>
      <c r="C24" s="81" t="s">
        <v>264</v>
      </c>
      <c r="D24" s="81" t="s">
        <v>266</v>
      </c>
      <c r="E24" s="80">
        <v>926</v>
      </c>
      <c r="F24" s="80">
        <v>3525.04</v>
      </c>
    </row>
    <row r="25" spans="1:6">
      <c r="A25" s="80" t="s">
        <v>3756</v>
      </c>
      <c r="B25" s="81" t="s">
        <v>41</v>
      </c>
      <c r="C25" s="81" t="s">
        <v>264</v>
      </c>
      <c r="D25" s="81" t="s">
        <v>261</v>
      </c>
      <c r="E25" s="80">
        <v>1759</v>
      </c>
      <c r="F25" s="80">
        <v>466.11399999999998</v>
      </c>
    </row>
    <row r="26" spans="1:6">
      <c r="A26" s="80"/>
      <c r="B26" s="81"/>
      <c r="C26" s="81"/>
      <c r="D26" s="81"/>
      <c r="E26" s="80"/>
      <c r="F26" s="80"/>
    </row>
    <row r="27" spans="1:6">
      <c r="A27" s="80" t="s">
        <v>3757</v>
      </c>
      <c r="B27" s="81" t="s">
        <v>41</v>
      </c>
      <c r="C27" s="81" t="s">
        <v>267</v>
      </c>
      <c r="D27" s="81" t="s">
        <v>254</v>
      </c>
      <c r="E27" s="80">
        <v>32335</v>
      </c>
      <c r="F27" s="80">
        <v>26179.37</v>
      </c>
    </row>
    <row r="28" spans="1:6">
      <c r="A28" s="80" t="s">
        <v>3758</v>
      </c>
      <c r="B28" s="81" t="s">
        <v>41</v>
      </c>
      <c r="C28" s="81" t="s">
        <v>267</v>
      </c>
      <c r="D28" s="81" t="s">
        <v>258</v>
      </c>
      <c r="E28" s="80">
        <v>174</v>
      </c>
      <c r="F28" s="80">
        <v>338.36</v>
      </c>
    </row>
    <row r="29" spans="1:6">
      <c r="A29" s="80" t="s">
        <v>3759</v>
      </c>
      <c r="B29" s="81" t="s">
        <v>41</v>
      </c>
      <c r="C29" s="81" t="s">
        <v>267</v>
      </c>
      <c r="D29" s="81" t="s">
        <v>265</v>
      </c>
      <c r="E29" s="80">
        <v>170</v>
      </c>
      <c r="F29" s="80">
        <v>1117.07</v>
      </c>
    </row>
    <row r="30" spans="1:6">
      <c r="A30" s="80" t="s">
        <v>3760</v>
      </c>
      <c r="B30" s="81" t="s">
        <v>41</v>
      </c>
      <c r="C30" s="81" t="s">
        <v>267</v>
      </c>
      <c r="D30" s="81" t="s">
        <v>266</v>
      </c>
      <c r="E30" s="80">
        <v>1017</v>
      </c>
      <c r="F30" s="80">
        <v>8069.6949999999997</v>
      </c>
    </row>
    <row r="31" spans="1:6">
      <c r="A31" s="80" t="s">
        <v>3761</v>
      </c>
      <c r="B31" s="81" t="s">
        <v>41</v>
      </c>
      <c r="C31" s="81" t="s">
        <v>267</v>
      </c>
      <c r="D31" s="81" t="s">
        <v>261</v>
      </c>
      <c r="E31" s="80">
        <v>2487</v>
      </c>
      <c r="F31" s="80">
        <v>395.53899999999999</v>
      </c>
    </row>
    <row r="32" spans="1:6">
      <c r="A32" s="80" t="s">
        <v>3762</v>
      </c>
    </row>
    <row r="33" spans="1:6">
      <c r="A33" s="80"/>
      <c r="B33" s="81"/>
      <c r="C33" s="81"/>
      <c r="D33" s="81"/>
      <c r="E33" s="80"/>
      <c r="F33" s="80"/>
    </row>
    <row r="34" spans="1:6">
      <c r="A34" s="80" t="s">
        <v>3763</v>
      </c>
      <c r="B34" s="81" t="s">
        <v>170</v>
      </c>
      <c r="C34" s="81" t="s">
        <v>260</v>
      </c>
      <c r="D34" s="81" t="s">
        <v>256</v>
      </c>
      <c r="E34" s="80">
        <v>1167</v>
      </c>
      <c r="F34" s="80">
        <v>41.25</v>
      </c>
    </row>
    <row r="35" spans="1:6">
      <c r="A35" s="80" t="s">
        <v>3764</v>
      </c>
      <c r="B35" s="81" t="s">
        <v>170</v>
      </c>
      <c r="C35" s="81" t="s">
        <v>260</v>
      </c>
      <c r="D35" s="81" t="s">
        <v>254</v>
      </c>
      <c r="E35" s="80">
        <v>5949</v>
      </c>
      <c r="F35" s="80">
        <v>3404.03</v>
      </c>
    </row>
    <row r="36" spans="1:6">
      <c r="A36" s="80" t="s">
        <v>3765</v>
      </c>
      <c r="B36" s="81" t="s">
        <v>170</v>
      </c>
      <c r="C36" s="81" t="s">
        <v>260</v>
      </c>
      <c r="D36" s="81" t="s">
        <v>258</v>
      </c>
      <c r="E36" s="80">
        <v>230</v>
      </c>
      <c r="F36" s="80">
        <v>167.95</v>
      </c>
    </row>
    <row r="37" spans="1:6">
      <c r="A37" s="80" t="s">
        <v>3766</v>
      </c>
      <c r="B37" s="81" t="s">
        <v>170</v>
      </c>
      <c r="C37" s="81" t="s">
        <v>260</v>
      </c>
      <c r="D37" s="81" t="s">
        <v>261</v>
      </c>
      <c r="E37" s="80">
        <v>545</v>
      </c>
      <c r="F37" s="80">
        <v>152.6</v>
      </c>
    </row>
    <row r="38" spans="1:6">
      <c r="A38" s="80" t="s">
        <v>3767</v>
      </c>
      <c r="B38" s="81" t="s">
        <v>170</v>
      </c>
      <c r="C38" s="81" t="s">
        <v>263</v>
      </c>
      <c r="D38" s="81" t="s">
        <v>254</v>
      </c>
      <c r="E38" s="80">
        <v>1392</v>
      </c>
      <c r="F38" s="80">
        <v>1912.73</v>
      </c>
    </row>
    <row r="39" spans="1:6">
      <c r="A39" s="80" t="s">
        <v>3768</v>
      </c>
      <c r="B39" s="81" t="s">
        <v>170</v>
      </c>
      <c r="C39" s="81" t="s">
        <v>263</v>
      </c>
      <c r="D39" s="81" t="s">
        <v>258</v>
      </c>
      <c r="E39" s="80">
        <v>9</v>
      </c>
      <c r="F39" s="80">
        <v>7.77</v>
      </c>
    </row>
    <row r="40" spans="1:6">
      <c r="A40" s="80" t="s">
        <v>3769</v>
      </c>
      <c r="B40" s="81" t="s">
        <v>170</v>
      </c>
      <c r="C40" s="81" t="s">
        <v>263</v>
      </c>
      <c r="D40" s="81" t="s">
        <v>261</v>
      </c>
      <c r="E40" s="80">
        <v>338</v>
      </c>
      <c r="F40" s="80">
        <v>49.79</v>
      </c>
    </row>
    <row r="41" spans="1:6">
      <c r="A41" s="80" t="s">
        <v>3770</v>
      </c>
      <c r="B41" s="81" t="s">
        <v>170</v>
      </c>
      <c r="C41" s="81" t="s">
        <v>268</v>
      </c>
      <c r="D41" s="81" t="s">
        <v>254</v>
      </c>
      <c r="E41" s="80">
        <v>101400</v>
      </c>
      <c r="F41" s="80">
        <v>7680.99</v>
      </c>
    </row>
    <row r="42" spans="1:6">
      <c r="A42" s="80" t="s">
        <v>3771</v>
      </c>
      <c r="B42" s="81" t="s">
        <v>170</v>
      </c>
      <c r="C42" s="81" t="s">
        <v>268</v>
      </c>
      <c r="D42" s="81" t="s">
        <v>258</v>
      </c>
      <c r="E42" s="80">
        <v>1439</v>
      </c>
      <c r="F42" s="80">
        <v>54.62</v>
      </c>
    </row>
    <row r="43" spans="1:6">
      <c r="A43" s="80" t="s">
        <v>3772</v>
      </c>
      <c r="B43" s="81" t="s">
        <v>170</v>
      </c>
      <c r="C43" s="81" t="s">
        <v>268</v>
      </c>
      <c r="D43" s="81" t="s">
        <v>261</v>
      </c>
      <c r="E43" s="80">
        <v>2815</v>
      </c>
      <c r="F43" s="80">
        <v>260.01499999999999</v>
      </c>
    </row>
    <row r="44" spans="1:6">
      <c r="A44" s="80"/>
      <c r="B44" s="81"/>
      <c r="C44" s="81"/>
      <c r="D44" s="81"/>
      <c r="E44" s="80"/>
      <c r="F44" s="80"/>
    </row>
    <row r="45" spans="1:6">
      <c r="A45" s="80" t="s">
        <v>3773</v>
      </c>
      <c r="B45" s="81" t="s">
        <v>170</v>
      </c>
      <c r="C45" s="81" t="s">
        <v>264</v>
      </c>
      <c r="D45" s="81" t="s">
        <v>256</v>
      </c>
      <c r="E45" s="80">
        <v>9378</v>
      </c>
      <c r="F45" s="80">
        <v>227.22200000000001</v>
      </c>
    </row>
    <row r="46" spans="1:6">
      <c r="A46" s="80" t="s">
        <v>3774</v>
      </c>
      <c r="B46" s="81" t="s">
        <v>170</v>
      </c>
      <c r="C46" s="81" t="s">
        <v>264</v>
      </c>
      <c r="D46" s="81" t="s">
        <v>254</v>
      </c>
      <c r="E46" s="80">
        <v>11758</v>
      </c>
      <c r="F46" s="80">
        <v>8478.69</v>
      </c>
    </row>
    <row r="47" spans="1:6">
      <c r="A47" s="80" t="s">
        <v>3775</v>
      </c>
      <c r="B47" s="81" t="s">
        <v>170</v>
      </c>
      <c r="C47" s="81" t="s">
        <v>264</v>
      </c>
      <c r="D47" s="81" t="s">
        <v>258</v>
      </c>
      <c r="E47" s="80">
        <v>2801</v>
      </c>
      <c r="F47" s="80">
        <v>3245.5720000000001</v>
      </c>
    </row>
    <row r="48" spans="1:6">
      <c r="A48" s="80" t="s">
        <v>3776</v>
      </c>
      <c r="B48" s="81" t="s">
        <v>170</v>
      </c>
      <c r="C48" s="81" t="s">
        <v>264</v>
      </c>
      <c r="D48" s="81" t="s">
        <v>265</v>
      </c>
      <c r="E48" s="80">
        <v>181</v>
      </c>
      <c r="F48" s="80">
        <v>1178.3800000000001</v>
      </c>
    </row>
    <row r="49" spans="1:17">
      <c r="A49" s="80" t="s">
        <v>3777</v>
      </c>
      <c r="B49" s="81" t="s">
        <v>170</v>
      </c>
      <c r="C49" s="81" t="s">
        <v>264</v>
      </c>
      <c r="D49" s="81" t="s">
        <v>266</v>
      </c>
      <c r="E49" s="80">
        <v>574</v>
      </c>
      <c r="F49" s="80">
        <v>2409.0349999999999</v>
      </c>
    </row>
    <row r="50" spans="1:17">
      <c r="A50" s="80" t="s">
        <v>3778</v>
      </c>
      <c r="B50" s="81" t="s">
        <v>170</v>
      </c>
      <c r="C50" s="81" t="s">
        <v>264</v>
      </c>
      <c r="D50" s="81" t="s">
        <v>261</v>
      </c>
      <c r="E50" s="80">
        <v>1122</v>
      </c>
      <c r="F50" s="80">
        <v>332.709</v>
      </c>
    </row>
    <row r="51" spans="1:17">
      <c r="A51" s="80"/>
      <c r="B51" s="81"/>
      <c r="C51" s="81"/>
      <c r="D51" s="81"/>
      <c r="E51" s="80"/>
      <c r="F51" s="80"/>
    </row>
    <row r="52" spans="1:17">
      <c r="A52" s="80" t="s">
        <v>3779</v>
      </c>
      <c r="B52" s="81" t="s">
        <v>170</v>
      </c>
      <c r="C52" s="81" t="s">
        <v>267</v>
      </c>
      <c r="D52" s="81" t="s">
        <v>269</v>
      </c>
      <c r="E52" s="80">
        <v>192</v>
      </c>
      <c r="F52" s="80">
        <v>122.73</v>
      </c>
    </row>
    <row r="53" spans="1:17">
      <c r="A53" s="80" t="s">
        <v>3780</v>
      </c>
      <c r="B53" s="81" t="s">
        <v>170</v>
      </c>
      <c r="C53" s="81" t="s">
        <v>267</v>
      </c>
      <c r="D53" s="81" t="s">
        <v>254</v>
      </c>
      <c r="E53" s="80">
        <v>61270</v>
      </c>
      <c r="F53" s="80">
        <v>47720.165000000001</v>
      </c>
    </row>
    <row r="54" spans="1:17">
      <c r="A54" s="80" t="s">
        <v>3781</v>
      </c>
      <c r="B54" s="81" t="s">
        <v>170</v>
      </c>
      <c r="C54" s="81" t="s">
        <v>267</v>
      </c>
      <c r="D54" s="81" t="s">
        <v>258</v>
      </c>
      <c r="E54" s="80">
        <v>610</v>
      </c>
      <c r="F54" s="80">
        <v>1306.1500000000001</v>
      </c>
    </row>
    <row r="55" spans="1:17">
      <c r="A55" s="80" t="s">
        <v>3782</v>
      </c>
      <c r="B55" s="81" t="s">
        <v>170</v>
      </c>
      <c r="C55" s="81" t="s">
        <v>267</v>
      </c>
      <c r="D55" s="81" t="s">
        <v>265</v>
      </c>
      <c r="E55" s="80">
        <v>301</v>
      </c>
      <c r="F55" s="80">
        <v>1441.55</v>
      </c>
    </row>
    <row r="56" spans="1:17">
      <c r="A56" s="80" t="s">
        <v>3783</v>
      </c>
      <c r="B56" s="81" t="s">
        <v>170</v>
      </c>
      <c r="C56" s="81" t="s">
        <v>267</v>
      </c>
      <c r="D56" s="81" t="s">
        <v>266</v>
      </c>
      <c r="E56" s="80">
        <v>639</v>
      </c>
      <c r="F56" s="80">
        <v>5111.3</v>
      </c>
    </row>
    <row r="57" spans="1:17">
      <c r="A57" s="80" t="s">
        <v>3784</v>
      </c>
      <c r="B57" s="81" t="s">
        <v>170</v>
      </c>
      <c r="C57" s="81" t="s">
        <v>267</v>
      </c>
      <c r="D57" s="81" t="s">
        <v>261</v>
      </c>
      <c r="E57" s="80">
        <v>1405</v>
      </c>
      <c r="F57" s="80">
        <v>293.00599999999997</v>
      </c>
    </row>
    <row r="58" spans="1:17">
      <c r="A58" s="80"/>
      <c r="B58" s="81"/>
      <c r="C58" s="81"/>
      <c r="D58" s="81"/>
      <c r="E58" s="80"/>
      <c r="F58" s="80"/>
    </row>
    <row r="59" spans="1:17">
      <c r="A59" s="80" t="s">
        <v>3785</v>
      </c>
      <c r="B59" s="81" t="s">
        <v>170</v>
      </c>
      <c r="C59" s="81" t="s">
        <v>253</v>
      </c>
      <c r="D59" s="81" t="s">
        <v>254</v>
      </c>
      <c r="E59" s="80">
        <v>14371</v>
      </c>
      <c r="F59" s="80">
        <v>30514.7</v>
      </c>
    </row>
    <row r="60" spans="1:17">
      <c r="A60" s="80" t="s">
        <v>3786</v>
      </c>
      <c r="B60" s="81" t="s">
        <v>170</v>
      </c>
      <c r="C60" s="81" t="s">
        <v>253</v>
      </c>
      <c r="D60" s="81" t="s">
        <v>261</v>
      </c>
      <c r="E60" s="80">
        <v>17</v>
      </c>
      <c r="F60" s="80">
        <v>5.63</v>
      </c>
    </row>
    <row r="61" spans="1:17">
      <c r="A61" s="80"/>
      <c r="B61" s="81"/>
      <c r="C61" s="81"/>
      <c r="D61" s="81"/>
      <c r="E61" s="80"/>
      <c r="F61" s="80"/>
      <c r="J61" t="s">
        <v>39</v>
      </c>
      <c r="K61" t="s">
        <v>254</v>
      </c>
      <c r="L61" t="s">
        <v>256</v>
      </c>
      <c r="M61" t="s">
        <v>258</v>
      </c>
      <c r="N61" t="s">
        <v>257</v>
      </c>
      <c r="O61" t="s">
        <v>2065</v>
      </c>
      <c r="P61" t="s">
        <v>80</v>
      </c>
    </row>
    <row r="62" spans="1:17">
      <c r="A62" s="80"/>
      <c r="B62" s="81"/>
      <c r="C62" s="81"/>
      <c r="D62" s="81"/>
      <c r="E62" s="80"/>
      <c r="F62" s="80"/>
    </row>
    <row r="63" spans="1:17">
      <c r="A63" s="80" t="s">
        <v>3787</v>
      </c>
      <c r="B63" s="81" t="s">
        <v>171</v>
      </c>
      <c r="C63" s="81" t="s">
        <v>260</v>
      </c>
      <c r="D63" s="81" t="s">
        <v>256</v>
      </c>
      <c r="E63" s="80">
        <v>1057</v>
      </c>
      <c r="F63" s="80">
        <v>39.29</v>
      </c>
      <c r="J63" t="s">
        <v>171</v>
      </c>
    </row>
    <row r="64" spans="1:17">
      <c r="A64" s="80" t="s">
        <v>3788</v>
      </c>
      <c r="B64" s="81" t="s">
        <v>171</v>
      </c>
      <c r="C64" s="81" t="s">
        <v>260</v>
      </c>
      <c r="D64" s="81" t="s">
        <v>254</v>
      </c>
      <c r="E64" s="80">
        <v>2911</v>
      </c>
      <c r="F64" s="80">
        <v>2267.63</v>
      </c>
      <c r="J64" t="s">
        <v>262</v>
      </c>
      <c r="K64">
        <f>F64+F67</f>
        <v>3559.01</v>
      </c>
      <c r="L64">
        <f>F63</f>
        <v>39.29</v>
      </c>
      <c r="M64">
        <f>F65+F68</f>
        <v>297.95000000000005</v>
      </c>
      <c r="N64">
        <f>F66+F69</f>
        <v>148.24</v>
      </c>
      <c r="Q64">
        <f t="shared" ref="Q64:Q69" si="1">P64+O64+N64+M64+L64+K64</f>
        <v>4044.4900000000002</v>
      </c>
    </row>
    <row r="65" spans="1:18">
      <c r="A65" s="80" t="s">
        <v>3789</v>
      </c>
      <c r="B65" s="81" t="s">
        <v>171</v>
      </c>
      <c r="C65" s="81" t="s">
        <v>260</v>
      </c>
      <c r="D65" s="81" t="s">
        <v>258</v>
      </c>
      <c r="E65" s="80">
        <v>368</v>
      </c>
      <c r="F65" s="80">
        <v>286.29000000000002</v>
      </c>
      <c r="J65" t="s">
        <v>259</v>
      </c>
      <c r="K65">
        <f>F90</f>
        <v>42885.027999999998</v>
      </c>
      <c r="N65">
        <f>F91</f>
        <v>21.251999999999999</v>
      </c>
      <c r="Q65">
        <f t="shared" si="1"/>
        <v>42906.28</v>
      </c>
    </row>
    <row r="66" spans="1:18">
      <c r="A66" s="80" t="s">
        <v>3790</v>
      </c>
      <c r="B66" s="81" t="s">
        <v>171</v>
      </c>
      <c r="C66" s="81" t="s">
        <v>260</v>
      </c>
      <c r="D66" s="81" t="s">
        <v>261</v>
      </c>
      <c r="E66" s="80">
        <v>418</v>
      </c>
      <c r="F66" s="80">
        <v>124.4</v>
      </c>
      <c r="J66" t="s">
        <v>3791</v>
      </c>
      <c r="K66">
        <f>F71</f>
        <v>8759.73</v>
      </c>
      <c r="N66">
        <f>F72</f>
        <v>278.75799999999998</v>
      </c>
      <c r="Q66">
        <f t="shared" si="1"/>
        <v>9038.4879999999994</v>
      </c>
    </row>
    <row r="67" spans="1:18">
      <c r="A67" s="80" t="s">
        <v>3792</v>
      </c>
      <c r="B67" s="81" t="s">
        <v>171</v>
      </c>
      <c r="C67" s="81" t="s">
        <v>263</v>
      </c>
      <c r="D67" s="81" t="s">
        <v>254</v>
      </c>
      <c r="E67" s="80">
        <v>924</v>
      </c>
      <c r="F67" s="80">
        <v>1291.3800000000001</v>
      </c>
      <c r="J67" t="s">
        <v>264</v>
      </c>
      <c r="K67">
        <f>F75</f>
        <v>7542.69</v>
      </c>
      <c r="L67">
        <f>F74</f>
        <v>187.73</v>
      </c>
      <c r="M67">
        <f>F76</f>
        <v>3471.6579999999999</v>
      </c>
      <c r="N67">
        <f>F79</f>
        <v>363.959</v>
      </c>
      <c r="O67">
        <f>F78</f>
        <v>1150.79</v>
      </c>
      <c r="P67">
        <f>F77</f>
        <v>1555.53</v>
      </c>
      <c r="Q67">
        <f t="shared" si="1"/>
        <v>14272.357</v>
      </c>
    </row>
    <row r="68" spans="1:18">
      <c r="A68" s="80" t="s">
        <v>3793</v>
      </c>
      <c r="B68" s="81" t="s">
        <v>171</v>
      </c>
      <c r="C68" s="81" t="s">
        <v>263</v>
      </c>
      <c r="D68" s="81" t="s">
        <v>258</v>
      </c>
      <c r="E68" s="80">
        <v>12</v>
      </c>
      <c r="F68" s="80">
        <v>11.66</v>
      </c>
      <c r="J68" t="s">
        <v>3794</v>
      </c>
      <c r="N68">
        <f>F81</f>
        <v>29.95</v>
      </c>
      <c r="Q68">
        <f t="shared" si="1"/>
        <v>29.95</v>
      </c>
    </row>
    <row r="69" spans="1:18">
      <c r="A69" s="80" t="s">
        <v>3795</v>
      </c>
      <c r="B69" s="81" t="s">
        <v>171</v>
      </c>
      <c r="C69" s="81" t="s">
        <v>263</v>
      </c>
      <c r="D69" s="81" t="s">
        <v>261</v>
      </c>
      <c r="E69" s="80">
        <v>150</v>
      </c>
      <c r="F69" s="80">
        <v>23.84</v>
      </c>
      <c r="J69" t="s">
        <v>2113</v>
      </c>
      <c r="K69">
        <f>F84</f>
        <v>25712.669000000002</v>
      </c>
      <c r="L69">
        <f>F83</f>
        <v>9.9</v>
      </c>
      <c r="M69">
        <f>F85</f>
        <v>859.98</v>
      </c>
      <c r="N69">
        <f>F88</f>
        <v>343.44600000000003</v>
      </c>
      <c r="O69">
        <f>F86</f>
        <v>671.93</v>
      </c>
      <c r="P69">
        <f>F87</f>
        <v>85.01</v>
      </c>
      <c r="Q69">
        <f t="shared" si="1"/>
        <v>27682.935000000001</v>
      </c>
      <c r="R69">
        <f>SUM(Q64:Q69)</f>
        <v>97974.499999999985</v>
      </c>
    </row>
    <row r="70" spans="1:18">
      <c r="A70" s="80"/>
      <c r="B70" s="81"/>
      <c r="C70" s="81"/>
      <c r="D70" s="81"/>
      <c r="E70" s="80"/>
      <c r="F70" s="80"/>
    </row>
    <row r="71" spans="1:18">
      <c r="A71" s="80" t="s">
        <v>3796</v>
      </c>
      <c r="B71" s="81" t="s">
        <v>171</v>
      </c>
      <c r="C71" s="81" t="s">
        <v>268</v>
      </c>
      <c r="D71" s="81" t="s">
        <v>254</v>
      </c>
      <c r="E71" s="80">
        <v>90347</v>
      </c>
      <c r="F71" s="80">
        <v>8759.73</v>
      </c>
    </row>
    <row r="72" spans="1:18">
      <c r="A72" s="80" t="s">
        <v>3797</v>
      </c>
      <c r="B72" s="81" t="s">
        <v>171</v>
      </c>
      <c r="C72" s="81" t="s">
        <v>268</v>
      </c>
      <c r="D72" s="81" t="s">
        <v>261</v>
      </c>
      <c r="E72" s="80">
        <v>2957</v>
      </c>
      <c r="F72" s="80">
        <v>278.75799999999998</v>
      </c>
    </row>
    <row r="73" spans="1:18">
      <c r="A73" s="80"/>
      <c r="B73" s="81"/>
      <c r="C73" s="81"/>
      <c r="D73" s="81"/>
      <c r="E73" s="80"/>
      <c r="F73" s="80"/>
    </row>
    <row r="74" spans="1:18">
      <c r="A74" s="80" t="s">
        <v>3798</v>
      </c>
      <c r="B74" s="81" t="s">
        <v>171</v>
      </c>
      <c r="C74" s="81" t="s">
        <v>264</v>
      </c>
      <c r="D74" s="81" t="s">
        <v>256</v>
      </c>
      <c r="E74" s="80">
        <v>13034</v>
      </c>
      <c r="F74" s="80">
        <v>187.73</v>
      </c>
    </row>
    <row r="75" spans="1:18">
      <c r="A75" s="80" t="s">
        <v>3799</v>
      </c>
      <c r="B75" s="81" t="s">
        <v>171</v>
      </c>
      <c r="C75" s="81" t="s">
        <v>264</v>
      </c>
      <c r="D75" s="81" t="s">
        <v>254</v>
      </c>
      <c r="E75" s="80">
        <v>8667</v>
      </c>
      <c r="F75" s="80">
        <v>7542.69</v>
      </c>
    </row>
    <row r="76" spans="1:18">
      <c r="A76" s="80" t="s">
        <v>3800</v>
      </c>
      <c r="B76" s="81" t="s">
        <v>171</v>
      </c>
      <c r="C76" s="81" t="s">
        <v>264</v>
      </c>
      <c r="D76" s="81" t="s">
        <v>258</v>
      </c>
      <c r="E76" s="80">
        <v>3664</v>
      </c>
      <c r="F76" s="80">
        <v>3471.6579999999999</v>
      </c>
    </row>
    <row r="77" spans="1:18">
      <c r="A77" s="80" t="s">
        <v>3801</v>
      </c>
      <c r="B77" s="81" t="s">
        <v>171</v>
      </c>
      <c r="C77" s="81" t="s">
        <v>264</v>
      </c>
      <c r="D77" s="81" t="s">
        <v>265</v>
      </c>
      <c r="E77" s="80">
        <v>196</v>
      </c>
      <c r="F77" s="80">
        <v>1555.53</v>
      </c>
    </row>
    <row r="78" spans="1:18">
      <c r="A78" s="80" t="s">
        <v>3802</v>
      </c>
      <c r="B78" s="81" t="s">
        <v>171</v>
      </c>
      <c r="C78" s="81" t="s">
        <v>264</v>
      </c>
      <c r="D78" s="81" t="s">
        <v>266</v>
      </c>
      <c r="E78" s="80">
        <v>307</v>
      </c>
      <c r="F78" s="80">
        <v>1150.79</v>
      </c>
    </row>
    <row r="79" spans="1:18">
      <c r="A79" s="80" t="s">
        <v>3803</v>
      </c>
      <c r="B79" s="81" t="s">
        <v>171</v>
      </c>
      <c r="C79" s="81" t="s">
        <v>264</v>
      </c>
      <c r="D79" s="81" t="s">
        <v>261</v>
      </c>
      <c r="E79" s="80">
        <v>1154</v>
      </c>
      <c r="F79" s="80">
        <v>363.959</v>
      </c>
    </row>
    <row r="80" spans="1:18">
      <c r="A80" s="80"/>
      <c r="B80" s="81"/>
      <c r="C80" s="81"/>
      <c r="D80" s="81"/>
      <c r="E80" s="80"/>
      <c r="F80" s="80"/>
    </row>
    <row r="81" spans="1:17">
      <c r="A81" s="80" t="s">
        <v>3804</v>
      </c>
      <c r="B81" s="81" t="s">
        <v>171</v>
      </c>
      <c r="C81" s="81" t="s">
        <v>488</v>
      </c>
      <c r="D81" s="81" t="s">
        <v>261</v>
      </c>
      <c r="E81" s="80">
        <v>111</v>
      </c>
      <c r="F81" s="80">
        <v>29.95</v>
      </c>
    </row>
    <row r="82" spans="1:17">
      <c r="A82" s="80"/>
      <c r="B82" s="81"/>
      <c r="C82" s="81"/>
      <c r="D82" s="81"/>
      <c r="E82" s="80"/>
      <c r="F82" s="80"/>
    </row>
    <row r="83" spans="1:17">
      <c r="A83" s="80" t="s">
        <v>3805</v>
      </c>
      <c r="B83" s="81" t="s">
        <v>171</v>
      </c>
      <c r="C83" s="81" t="s">
        <v>267</v>
      </c>
      <c r="D83" s="81" t="s">
        <v>256</v>
      </c>
      <c r="E83" s="80">
        <v>186</v>
      </c>
      <c r="F83" s="80">
        <v>9.9</v>
      </c>
    </row>
    <row r="84" spans="1:17">
      <c r="A84" s="80" t="s">
        <v>3806</v>
      </c>
      <c r="B84" s="81" t="s">
        <v>171</v>
      </c>
      <c r="C84" s="81" t="s">
        <v>267</v>
      </c>
      <c r="D84" s="81" t="s">
        <v>254</v>
      </c>
      <c r="E84" s="80">
        <v>36070</v>
      </c>
      <c r="F84" s="80">
        <v>25712.669000000002</v>
      </c>
    </row>
    <row r="85" spans="1:17">
      <c r="A85" s="80" t="s">
        <v>3807</v>
      </c>
      <c r="B85" s="81" t="s">
        <v>171</v>
      </c>
      <c r="C85" s="81" t="s">
        <v>267</v>
      </c>
      <c r="D85" s="81" t="s">
        <v>258</v>
      </c>
      <c r="E85" s="80">
        <v>282</v>
      </c>
      <c r="F85" s="80">
        <v>859.98</v>
      </c>
    </row>
    <row r="86" spans="1:17">
      <c r="A86" s="80" t="s">
        <v>3808</v>
      </c>
      <c r="B86" s="81" t="s">
        <v>171</v>
      </c>
      <c r="C86" s="81" t="s">
        <v>267</v>
      </c>
      <c r="D86" s="81" t="s">
        <v>265</v>
      </c>
      <c r="E86" s="80">
        <v>136</v>
      </c>
      <c r="F86" s="80">
        <v>671.93</v>
      </c>
    </row>
    <row r="87" spans="1:17">
      <c r="A87" s="80" t="s">
        <v>3809</v>
      </c>
      <c r="B87" s="81" t="s">
        <v>171</v>
      </c>
      <c r="C87" s="81" t="s">
        <v>267</v>
      </c>
      <c r="D87" s="81" t="s">
        <v>266</v>
      </c>
      <c r="E87" s="80">
        <v>12</v>
      </c>
      <c r="F87" s="80">
        <v>85.01</v>
      </c>
    </row>
    <row r="88" spans="1:17">
      <c r="A88" s="80" t="s">
        <v>3810</v>
      </c>
      <c r="B88" s="81" t="s">
        <v>171</v>
      </c>
      <c r="C88" s="81" t="s">
        <v>267</v>
      </c>
      <c r="D88" s="81" t="s">
        <v>261</v>
      </c>
      <c r="E88" s="80">
        <v>1627</v>
      </c>
      <c r="F88" s="80">
        <v>343.44600000000003</v>
      </c>
    </row>
    <row r="89" spans="1:17">
      <c r="A89" s="80"/>
      <c r="B89" s="81"/>
      <c r="C89" s="81"/>
      <c r="D89" s="81"/>
      <c r="E89" s="80"/>
      <c r="F89" s="80"/>
    </row>
    <row r="90" spans="1:17">
      <c r="A90" s="80" t="s">
        <v>3811</v>
      </c>
      <c r="B90" s="81" t="s">
        <v>171</v>
      </c>
      <c r="C90" s="81" t="s">
        <v>253</v>
      </c>
      <c r="D90" s="81" t="s">
        <v>254</v>
      </c>
      <c r="E90" s="80">
        <v>19192</v>
      </c>
      <c r="F90" s="80">
        <v>42885.027999999998</v>
      </c>
    </row>
    <row r="91" spans="1:17">
      <c r="A91" s="80" t="s">
        <v>3812</v>
      </c>
      <c r="B91" s="81" t="s">
        <v>171</v>
      </c>
      <c r="C91" s="81" t="s">
        <v>253</v>
      </c>
      <c r="D91" s="81" t="s">
        <v>261</v>
      </c>
      <c r="E91" s="80">
        <v>72</v>
      </c>
      <c r="F91" s="80">
        <v>21.251999999999999</v>
      </c>
      <c r="J91" t="s">
        <v>39</v>
      </c>
      <c r="K91" t="s">
        <v>254</v>
      </c>
      <c r="L91" t="s">
        <v>256</v>
      </c>
      <c r="M91" t="s">
        <v>258</v>
      </c>
      <c r="N91" t="s">
        <v>257</v>
      </c>
      <c r="O91" t="s">
        <v>2065</v>
      </c>
      <c r="P91" t="s">
        <v>80</v>
      </c>
    </row>
    <row r="92" spans="1:17">
      <c r="A92" s="80"/>
      <c r="B92" s="81"/>
      <c r="C92" s="81"/>
      <c r="D92" s="81"/>
      <c r="E92" s="80"/>
      <c r="F92" s="80"/>
      <c r="J92" t="s">
        <v>807</v>
      </c>
    </row>
    <row r="93" spans="1:17">
      <c r="A93" s="80" t="s">
        <v>3813</v>
      </c>
      <c r="B93" s="81" t="s">
        <v>807</v>
      </c>
      <c r="C93" s="81" t="s">
        <v>260</v>
      </c>
      <c r="D93" s="81" t="s">
        <v>254</v>
      </c>
      <c r="E93" s="80">
        <v>1342</v>
      </c>
      <c r="F93" s="80">
        <v>1325.944</v>
      </c>
      <c r="J93" t="s">
        <v>262</v>
      </c>
      <c r="K93">
        <f>F93+F96</f>
        <v>1706.644</v>
      </c>
      <c r="M93">
        <f>F94</f>
        <v>118.676</v>
      </c>
      <c r="N93">
        <f>F97+F95</f>
        <v>243.47500000000002</v>
      </c>
      <c r="Q93">
        <f t="shared" ref="Q93:Q98" si="2">P93+O93+N93+M93+L93+K93</f>
        <v>2068.7950000000001</v>
      </c>
    </row>
    <row r="94" spans="1:17">
      <c r="A94" s="80" t="s">
        <v>3814</v>
      </c>
      <c r="B94" s="81" t="s">
        <v>807</v>
      </c>
      <c r="C94" s="81" t="s">
        <v>260</v>
      </c>
      <c r="D94" s="81" t="s">
        <v>258</v>
      </c>
      <c r="E94" s="80">
        <v>185</v>
      </c>
      <c r="F94" s="80">
        <v>118.676</v>
      </c>
      <c r="J94" t="s">
        <v>259</v>
      </c>
      <c r="K94">
        <f>F116</f>
        <v>17082.330000000002</v>
      </c>
      <c r="Q94">
        <f t="shared" si="2"/>
        <v>17082.330000000002</v>
      </c>
    </row>
    <row r="95" spans="1:17">
      <c r="A95" s="80" t="s">
        <v>3815</v>
      </c>
      <c r="B95" s="81" t="s">
        <v>807</v>
      </c>
      <c r="C95" s="81" t="s">
        <v>260</v>
      </c>
      <c r="D95" s="81" t="s">
        <v>261</v>
      </c>
      <c r="E95" s="80">
        <v>731</v>
      </c>
      <c r="F95" s="80">
        <v>218.58</v>
      </c>
      <c r="J95" t="s">
        <v>3791</v>
      </c>
      <c r="K95">
        <f>F99</f>
        <v>1118.28</v>
      </c>
      <c r="M95">
        <f>F100</f>
        <v>98.364999999999995</v>
      </c>
      <c r="N95">
        <f>F101</f>
        <v>44.25</v>
      </c>
      <c r="Q95">
        <f t="shared" si="2"/>
        <v>1260.895</v>
      </c>
    </row>
    <row r="96" spans="1:17">
      <c r="A96" s="80" t="s">
        <v>3816</v>
      </c>
      <c r="B96" s="81" t="s">
        <v>807</v>
      </c>
      <c r="C96" s="81" t="s">
        <v>263</v>
      </c>
      <c r="D96" s="81" t="s">
        <v>254</v>
      </c>
      <c r="E96" s="80">
        <v>209</v>
      </c>
      <c r="F96" s="80">
        <v>380.7</v>
      </c>
      <c r="J96" t="s">
        <v>264</v>
      </c>
      <c r="K96">
        <f>F105</f>
        <v>1936.2460000000001</v>
      </c>
      <c r="L96">
        <f>F104</f>
        <v>69.308000000000007</v>
      </c>
      <c r="M96">
        <f>F106</f>
        <v>2399.29</v>
      </c>
      <c r="N96">
        <f>F109</f>
        <v>405.95400000000001</v>
      </c>
      <c r="O96">
        <f>F108</f>
        <v>2406.904</v>
      </c>
      <c r="P96">
        <f>F107</f>
        <v>1556.76</v>
      </c>
      <c r="Q96">
        <f t="shared" si="2"/>
        <v>8774.4619999999995</v>
      </c>
    </row>
    <row r="97" spans="1:20">
      <c r="A97" s="80" t="s">
        <v>3817</v>
      </c>
      <c r="B97" s="81" t="s">
        <v>807</v>
      </c>
      <c r="C97" s="81" t="s">
        <v>263</v>
      </c>
      <c r="D97" s="81" t="s">
        <v>261</v>
      </c>
      <c r="E97" s="80">
        <v>104</v>
      </c>
      <c r="F97" s="80">
        <v>24.895</v>
      </c>
      <c r="J97" t="s">
        <v>3818</v>
      </c>
      <c r="N97">
        <f>F103</f>
        <v>99.88</v>
      </c>
      <c r="Q97">
        <f t="shared" si="2"/>
        <v>99.88</v>
      </c>
    </row>
    <row r="98" spans="1:20">
      <c r="A98" s="80"/>
      <c r="B98" s="81"/>
      <c r="C98" s="81"/>
      <c r="D98" s="81"/>
      <c r="E98" s="80"/>
      <c r="F98" s="80"/>
      <c r="J98" t="s">
        <v>2113</v>
      </c>
      <c r="K98">
        <f>F111</f>
        <v>29414.549000000003</v>
      </c>
      <c r="M98">
        <f>F112</f>
        <v>136.37</v>
      </c>
      <c r="N98">
        <f>F115</f>
        <v>401.07799999999997</v>
      </c>
      <c r="O98">
        <f>F114</f>
        <v>6119.2699999999995</v>
      </c>
      <c r="P98">
        <f>F113</f>
        <v>328.92</v>
      </c>
      <c r="Q98">
        <f t="shared" si="2"/>
        <v>36400.187000000005</v>
      </c>
      <c r="R98">
        <f>SUM(Q93:Q98)</f>
        <v>65686.548999999999</v>
      </c>
      <c r="S98">
        <f>56130-R98</f>
        <v>-9556.5489999999991</v>
      </c>
      <c r="T98">
        <f>-9356.429-S98</f>
        <v>200.11999999999898</v>
      </c>
    </row>
    <row r="99" spans="1:20">
      <c r="A99" s="80" t="s">
        <v>3819</v>
      </c>
      <c r="B99" s="81" t="s">
        <v>807</v>
      </c>
      <c r="C99" s="81" t="s">
        <v>268</v>
      </c>
      <c r="D99" s="81" t="s">
        <v>254</v>
      </c>
      <c r="E99" s="80">
        <v>14134</v>
      </c>
      <c r="F99" s="80">
        <v>1118.28</v>
      </c>
    </row>
    <row r="100" spans="1:20">
      <c r="A100" s="80" t="s">
        <v>3820</v>
      </c>
      <c r="B100" s="81" t="s">
        <v>807</v>
      </c>
      <c r="C100" s="81" t="s">
        <v>268</v>
      </c>
      <c r="D100" s="81" t="s">
        <v>258</v>
      </c>
      <c r="E100" s="80">
        <v>6161</v>
      </c>
      <c r="F100" s="80">
        <v>98.364999999999995</v>
      </c>
    </row>
    <row r="101" spans="1:20">
      <c r="A101" s="80" t="s">
        <v>3821</v>
      </c>
      <c r="B101" s="81" t="s">
        <v>807</v>
      </c>
      <c r="C101" s="81" t="s">
        <v>268</v>
      </c>
      <c r="D101" s="81" t="s">
        <v>261</v>
      </c>
      <c r="E101" s="80">
        <v>134</v>
      </c>
      <c r="F101" s="80">
        <v>44.25</v>
      </c>
    </row>
    <row r="102" spans="1:20">
      <c r="A102" s="80"/>
      <c r="B102" s="81"/>
      <c r="C102" s="81"/>
      <c r="D102" s="81"/>
      <c r="E102" s="80"/>
      <c r="F102" s="80"/>
    </row>
    <row r="103" spans="1:20">
      <c r="A103" s="80" t="s">
        <v>3822</v>
      </c>
      <c r="B103" s="81" t="s">
        <v>807</v>
      </c>
      <c r="C103" s="81" t="s">
        <v>3823</v>
      </c>
      <c r="D103" s="81" t="s">
        <v>261</v>
      </c>
      <c r="E103" s="80">
        <v>443</v>
      </c>
      <c r="F103" s="80">
        <v>99.88</v>
      </c>
    </row>
    <row r="104" spans="1:20">
      <c r="A104" s="80" t="s">
        <v>3824</v>
      </c>
      <c r="B104" s="81" t="s">
        <v>807</v>
      </c>
      <c r="C104" s="81" t="s">
        <v>264</v>
      </c>
      <c r="D104" s="81" t="s">
        <v>256</v>
      </c>
      <c r="E104" s="80">
        <v>6067</v>
      </c>
      <c r="F104" s="80">
        <v>69.308000000000007</v>
      </c>
    </row>
    <row r="105" spans="1:20">
      <c r="A105" s="80" t="s">
        <v>3825</v>
      </c>
      <c r="B105" s="81" t="s">
        <v>807</v>
      </c>
      <c r="C105" s="81" t="s">
        <v>264</v>
      </c>
      <c r="D105" s="81" t="s">
        <v>254</v>
      </c>
      <c r="E105" s="80">
        <v>3905</v>
      </c>
      <c r="F105" s="80">
        <v>1936.2460000000001</v>
      </c>
    </row>
    <row r="106" spans="1:20">
      <c r="A106" s="80" t="s">
        <v>3826</v>
      </c>
      <c r="B106" s="81" t="s">
        <v>807</v>
      </c>
      <c r="C106" s="81" t="s">
        <v>264</v>
      </c>
      <c r="D106" s="81" t="s">
        <v>258</v>
      </c>
      <c r="E106" s="80">
        <v>2551</v>
      </c>
      <c r="F106" s="80">
        <f>2369.22+30.07</f>
        <v>2399.29</v>
      </c>
    </row>
    <row r="107" spans="1:20">
      <c r="A107" s="80" t="s">
        <v>3827</v>
      </c>
      <c r="B107" s="81" t="s">
        <v>807</v>
      </c>
      <c r="C107" s="81" t="s">
        <v>264</v>
      </c>
      <c r="D107" s="81" t="s">
        <v>265</v>
      </c>
      <c r="E107" s="80">
        <v>165</v>
      </c>
      <c r="F107" s="80">
        <v>1556.76</v>
      </c>
    </row>
    <row r="108" spans="1:20">
      <c r="A108" s="80" t="s">
        <v>3828</v>
      </c>
      <c r="B108" s="81" t="s">
        <v>807</v>
      </c>
      <c r="C108" s="81" t="s">
        <v>264</v>
      </c>
      <c r="D108" s="81" t="s">
        <v>266</v>
      </c>
      <c r="E108" s="80">
        <v>599</v>
      </c>
      <c r="F108" s="80">
        <v>2406.904</v>
      </c>
    </row>
    <row r="109" spans="1:20">
      <c r="A109" s="80" t="s">
        <v>3829</v>
      </c>
      <c r="B109" s="81" t="s">
        <v>807</v>
      </c>
      <c r="C109" s="81" t="s">
        <v>264</v>
      </c>
      <c r="D109" s="81" t="s">
        <v>261</v>
      </c>
      <c r="E109" s="80">
        <v>1585</v>
      </c>
      <c r="F109" s="80">
        <f>374.084+31.87</f>
        <v>405.95400000000001</v>
      </c>
    </row>
    <row r="110" spans="1:20">
      <c r="A110" s="80"/>
      <c r="B110" s="81"/>
      <c r="C110" s="81"/>
      <c r="D110" s="81"/>
      <c r="E110" s="80"/>
      <c r="F110" s="80"/>
    </row>
    <row r="111" spans="1:20">
      <c r="A111" s="80" t="s">
        <v>3830</v>
      </c>
      <c r="B111" s="81" t="s">
        <v>807</v>
      </c>
      <c r="C111" s="81" t="s">
        <v>267</v>
      </c>
      <c r="D111" s="81" t="s">
        <v>254</v>
      </c>
      <c r="E111" s="80">
        <v>46388</v>
      </c>
      <c r="F111" s="80">
        <f>28867.847+182.522+214+150.18</f>
        <v>29414.549000000003</v>
      </c>
    </row>
    <row r="112" spans="1:20">
      <c r="A112" s="80" t="s">
        <v>3831</v>
      </c>
      <c r="B112" s="81" t="s">
        <v>807</v>
      </c>
      <c r="C112" s="81" t="s">
        <v>267</v>
      </c>
      <c r="D112" s="81" t="s">
        <v>258</v>
      </c>
      <c r="E112" s="80">
        <v>64</v>
      </c>
      <c r="F112" s="80">
        <v>136.37</v>
      </c>
    </row>
    <row r="113" spans="1:6">
      <c r="A113" s="80" t="s">
        <v>3832</v>
      </c>
      <c r="B113" s="81" t="s">
        <v>807</v>
      </c>
      <c r="C113" s="81" t="s">
        <v>267</v>
      </c>
      <c r="D113" s="81" t="s">
        <v>265</v>
      </c>
      <c r="E113" s="80">
        <v>129</v>
      </c>
      <c r="F113" s="80">
        <v>328.92</v>
      </c>
    </row>
    <row r="114" spans="1:6">
      <c r="A114" s="80" t="s">
        <v>3833</v>
      </c>
      <c r="B114" s="81" t="s">
        <v>807</v>
      </c>
      <c r="C114" s="81" t="s">
        <v>267</v>
      </c>
      <c r="D114" s="81" t="s">
        <v>266</v>
      </c>
      <c r="E114" s="80">
        <v>764</v>
      </c>
      <c r="F114" s="80">
        <f>6069.33+49.94</f>
        <v>6119.2699999999995</v>
      </c>
    </row>
    <row r="115" spans="1:6">
      <c r="A115" s="80" t="s">
        <v>3834</v>
      </c>
      <c r="B115" s="81" t="s">
        <v>807</v>
      </c>
      <c r="C115" s="81" t="s">
        <v>267</v>
      </c>
      <c r="D115" s="81" t="s">
        <v>261</v>
      </c>
      <c r="E115" s="80">
        <v>2211</v>
      </c>
      <c r="F115" s="80">
        <v>401.07799999999997</v>
      </c>
    </row>
    <row r="116" spans="1:6">
      <c r="A116" s="80" t="s">
        <v>3835</v>
      </c>
      <c r="B116" s="81" t="s">
        <v>807</v>
      </c>
      <c r="C116" s="81" t="s">
        <v>253</v>
      </c>
      <c r="D116" s="81" t="s">
        <v>254</v>
      </c>
      <c r="E116" s="80">
        <v>8466</v>
      </c>
      <c r="F116" s="80">
        <v>17082.330000000002</v>
      </c>
    </row>
    <row r="117" spans="1:6">
      <c r="A117" s="80"/>
      <c r="B117" s="81"/>
      <c r="C117" s="81"/>
      <c r="D117" s="81"/>
      <c r="E117" s="80"/>
      <c r="F117" s="80"/>
    </row>
    <row r="118" spans="1:6">
      <c r="A118" s="80" t="s">
        <v>3836</v>
      </c>
      <c r="B118" s="81" t="s">
        <v>3837</v>
      </c>
      <c r="C118" s="81" t="s">
        <v>260</v>
      </c>
      <c r="D118" s="81" t="s">
        <v>256</v>
      </c>
      <c r="E118" s="80">
        <v>3077</v>
      </c>
      <c r="F118" s="80">
        <v>104.54300000000001</v>
      </c>
    </row>
    <row r="119" spans="1:6">
      <c r="A119" s="80" t="s">
        <v>3838</v>
      </c>
      <c r="B119" s="81" t="s">
        <v>3837</v>
      </c>
      <c r="C119" s="81" t="s">
        <v>260</v>
      </c>
      <c r="D119" s="81" t="s">
        <v>254</v>
      </c>
      <c r="E119" s="80">
        <v>4281</v>
      </c>
      <c r="F119" s="80">
        <v>3851.7449999999999</v>
      </c>
    </row>
    <row r="120" spans="1:6">
      <c r="A120" s="80" t="s">
        <v>3839</v>
      </c>
      <c r="B120" s="81" t="s">
        <v>3837</v>
      </c>
      <c r="C120" s="81" t="s">
        <v>260</v>
      </c>
      <c r="D120" s="81" t="s">
        <v>258</v>
      </c>
      <c r="E120" s="80">
        <v>634</v>
      </c>
      <c r="F120" s="80">
        <v>537.18399999999997</v>
      </c>
    </row>
    <row r="121" spans="1:6">
      <c r="A121" s="80" t="s">
        <v>3840</v>
      </c>
      <c r="B121" s="81" t="s">
        <v>3837</v>
      </c>
      <c r="C121" s="81" t="s">
        <v>260</v>
      </c>
      <c r="D121" s="81" t="s">
        <v>261</v>
      </c>
      <c r="E121" s="80">
        <v>340</v>
      </c>
      <c r="F121" s="80">
        <v>94.71</v>
      </c>
    </row>
    <row r="122" spans="1:6">
      <c r="A122" s="80" t="s">
        <v>3841</v>
      </c>
      <c r="B122" s="81" t="s">
        <v>3837</v>
      </c>
      <c r="C122" s="81" t="s">
        <v>268</v>
      </c>
      <c r="D122" s="81" t="s">
        <v>269</v>
      </c>
      <c r="E122" s="80">
        <v>1734</v>
      </c>
      <c r="F122" s="80">
        <v>238.16</v>
      </c>
    </row>
    <row r="123" spans="1:6">
      <c r="A123" s="80" t="s">
        <v>3842</v>
      </c>
      <c r="B123" s="81" t="s">
        <v>3837</v>
      </c>
      <c r="C123" s="81" t="s">
        <v>268</v>
      </c>
      <c r="D123" s="81" t="s">
        <v>254</v>
      </c>
      <c r="E123" s="80">
        <v>175034</v>
      </c>
      <c r="F123" s="80">
        <v>15744.69</v>
      </c>
    </row>
    <row r="124" spans="1:6">
      <c r="A124" s="80" t="s">
        <v>3843</v>
      </c>
      <c r="B124" s="81" t="s">
        <v>3837</v>
      </c>
      <c r="C124" s="81" t="s">
        <v>268</v>
      </c>
      <c r="D124" s="81" t="s">
        <v>258</v>
      </c>
      <c r="E124" s="80">
        <v>7</v>
      </c>
      <c r="F124" s="80">
        <v>9.67</v>
      </c>
    </row>
    <row r="125" spans="1:6">
      <c r="A125" s="80" t="s">
        <v>3844</v>
      </c>
      <c r="B125" s="81" t="s">
        <v>3837</v>
      </c>
      <c r="C125" s="81" t="s">
        <v>268</v>
      </c>
      <c r="D125" s="81" t="s">
        <v>261</v>
      </c>
      <c r="E125" s="80">
        <v>6427</v>
      </c>
      <c r="F125" s="80">
        <v>473.185</v>
      </c>
    </row>
    <row r="126" spans="1:6">
      <c r="A126" s="80" t="s">
        <v>3845</v>
      </c>
      <c r="B126" s="81" t="s">
        <v>3837</v>
      </c>
      <c r="C126" s="81" t="s">
        <v>264</v>
      </c>
      <c r="D126" s="81" t="s">
        <v>256</v>
      </c>
      <c r="E126" s="80">
        <v>14211</v>
      </c>
      <c r="F126" s="80">
        <v>255.1</v>
      </c>
    </row>
    <row r="127" spans="1:6">
      <c r="A127" s="80" t="s">
        <v>3846</v>
      </c>
      <c r="B127" s="81" t="s">
        <v>3837</v>
      </c>
      <c r="C127" s="81" t="s">
        <v>264</v>
      </c>
      <c r="D127" s="81" t="s">
        <v>254</v>
      </c>
      <c r="E127" s="80">
        <v>9257</v>
      </c>
      <c r="F127" s="80">
        <v>8972.2990000000009</v>
      </c>
    </row>
    <row r="128" spans="1:6">
      <c r="A128" s="80" t="s">
        <v>3847</v>
      </c>
      <c r="B128" s="81" t="s">
        <v>3837</v>
      </c>
      <c r="C128" s="81" t="s">
        <v>264</v>
      </c>
      <c r="D128" s="81" t="s">
        <v>258</v>
      </c>
      <c r="E128" s="80">
        <v>2001</v>
      </c>
      <c r="F128" s="80">
        <v>2590.9670000000001</v>
      </c>
    </row>
    <row r="129" spans="1:6">
      <c r="A129" s="80" t="s">
        <v>3848</v>
      </c>
      <c r="B129" s="81" t="s">
        <v>3837</v>
      </c>
      <c r="C129" s="81" t="s">
        <v>264</v>
      </c>
      <c r="D129" s="81" t="s">
        <v>265</v>
      </c>
      <c r="E129" s="80">
        <v>22</v>
      </c>
      <c r="F129" s="80">
        <v>397.61</v>
      </c>
    </row>
    <row r="130" spans="1:6">
      <c r="A130" s="80" t="s">
        <v>3849</v>
      </c>
      <c r="B130" s="81" t="s">
        <v>3837</v>
      </c>
      <c r="C130" s="81" t="s">
        <v>264</v>
      </c>
      <c r="D130" s="81" t="s">
        <v>266</v>
      </c>
      <c r="E130" s="80">
        <v>980</v>
      </c>
      <c r="F130" s="80">
        <v>3721.42</v>
      </c>
    </row>
    <row r="131" spans="1:6">
      <c r="A131" s="80" t="s">
        <v>3850</v>
      </c>
      <c r="B131" s="81" t="s">
        <v>3837</v>
      </c>
      <c r="C131" s="81" t="s">
        <v>264</v>
      </c>
      <c r="D131" s="81" t="s">
        <v>261</v>
      </c>
      <c r="E131" s="80">
        <v>1958</v>
      </c>
      <c r="F131" s="80">
        <v>425.738</v>
      </c>
    </row>
    <row r="132" spans="1:6">
      <c r="A132" s="80" t="s">
        <v>3851</v>
      </c>
      <c r="B132" s="81" t="s">
        <v>3837</v>
      </c>
      <c r="C132" s="81" t="s">
        <v>267</v>
      </c>
      <c r="D132" s="81" t="s">
        <v>254</v>
      </c>
      <c r="E132" s="80">
        <v>7792</v>
      </c>
      <c r="F132" s="80">
        <v>7961.5479999999998</v>
      </c>
    </row>
    <row r="133" spans="1:6">
      <c r="A133" s="80" t="s">
        <v>3852</v>
      </c>
      <c r="B133" s="81" t="s">
        <v>3837</v>
      </c>
      <c r="C133" s="81" t="s">
        <v>267</v>
      </c>
      <c r="D133" s="81" t="s">
        <v>258</v>
      </c>
      <c r="E133" s="80">
        <v>180</v>
      </c>
      <c r="F133" s="80">
        <v>243.05799999999999</v>
      </c>
    </row>
    <row r="134" spans="1:6">
      <c r="A134" s="80" t="s">
        <v>3853</v>
      </c>
      <c r="B134" s="81" t="s">
        <v>3837</v>
      </c>
      <c r="C134" s="81" t="s">
        <v>267</v>
      </c>
      <c r="D134" s="81" t="s">
        <v>265</v>
      </c>
      <c r="E134" s="80">
        <v>149</v>
      </c>
      <c r="F134" s="80">
        <v>837.6</v>
      </c>
    </row>
    <row r="135" spans="1:6">
      <c r="A135" s="80" t="s">
        <v>3854</v>
      </c>
      <c r="B135" s="81" t="s">
        <v>3837</v>
      </c>
      <c r="C135" s="81" t="s">
        <v>267</v>
      </c>
      <c r="D135" s="81" t="s">
        <v>266</v>
      </c>
      <c r="E135" s="80">
        <v>122</v>
      </c>
      <c r="F135" s="80">
        <v>938.23</v>
      </c>
    </row>
    <row r="136" spans="1:6">
      <c r="A136" s="80" t="s">
        <v>3855</v>
      </c>
      <c r="B136" s="81" t="s">
        <v>3837</v>
      </c>
      <c r="C136" s="81" t="s">
        <v>267</v>
      </c>
      <c r="D136" s="81" t="s">
        <v>261</v>
      </c>
      <c r="E136" s="80">
        <v>3627</v>
      </c>
      <c r="F136" s="80">
        <v>461.61599999999999</v>
      </c>
    </row>
    <row r="137" spans="1:6">
      <c r="A137" s="80" t="s">
        <v>3856</v>
      </c>
      <c r="B137" s="81" t="s">
        <v>3837</v>
      </c>
      <c r="C137" s="81" t="s">
        <v>253</v>
      </c>
      <c r="D137" s="81" t="s">
        <v>254</v>
      </c>
      <c r="E137" s="80">
        <v>9747</v>
      </c>
      <c r="F137" s="80">
        <v>26582.87</v>
      </c>
    </row>
    <row r="138" spans="1:6">
      <c r="A138" s="80" t="s">
        <v>3857</v>
      </c>
      <c r="B138" s="81" t="s">
        <v>3837</v>
      </c>
      <c r="C138" s="81" t="s">
        <v>263</v>
      </c>
      <c r="D138" s="81" t="s">
        <v>254</v>
      </c>
      <c r="E138" s="80">
        <v>5602</v>
      </c>
      <c r="F138" s="80">
        <v>5410.5029999999997</v>
      </c>
    </row>
    <row r="139" spans="1:6">
      <c r="A139" s="80" t="s">
        <v>3858</v>
      </c>
      <c r="B139" s="81" t="s">
        <v>3837</v>
      </c>
      <c r="C139" s="81" t="s">
        <v>263</v>
      </c>
      <c r="D139" s="81" t="s">
        <v>258</v>
      </c>
      <c r="E139" s="80">
        <v>11</v>
      </c>
      <c r="F139" s="80">
        <v>23.11</v>
      </c>
    </row>
    <row r="140" spans="1:6">
      <c r="A140" s="80" t="s">
        <v>3859</v>
      </c>
      <c r="B140" s="81" t="s">
        <v>3837</v>
      </c>
      <c r="C140" s="81" t="s">
        <v>263</v>
      </c>
      <c r="D140" s="81" t="s">
        <v>265</v>
      </c>
      <c r="E140" s="80">
        <v>97</v>
      </c>
      <c r="F140" s="80">
        <v>479.87</v>
      </c>
    </row>
    <row r="141" spans="1:6">
      <c r="A141" s="80" t="s">
        <v>3860</v>
      </c>
      <c r="B141" s="81" t="s">
        <v>3837</v>
      </c>
      <c r="C141" s="81" t="s">
        <v>263</v>
      </c>
      <c r="D141" s="81" t="s">
        <v>261</v>
      </c>
      <c r="E141" s="80">
        <v>848</v>
      </c>
      <c r="F141" s="80">
        <v>61.253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topLeftCell="A13" zoomScaleSheetLayoutView="100" workbookViewId="0">
      <selection activeCell="H22" sqref="H22"/>
    </sheetView>
  </sheetViews>
  <sheetFormatPr defaultColWidth="9" defaultRowHeight="12.75"/>
  <cols>
    <col min="11" max="11" width="10.5703125" customWidth="1"/>
  </cols>
  <sheetData>
    <row r="1" spans="1:19">
      <c r="A1" s="78" t="s">
        <v>720</v>
      </c>
      <c r="B1" s="79" t="s">
        <v>3735</v>
      </c>
      <c r="C1" s="79" t="s">
        <v>3736</v>
      </c>
      <c r="D1" s="79" t="s">
        <v>3737</v>
      </c>
      <c r="E1" s="78" t="s">
        <v>3861</v>
      </c>
      <c r="F1" s="78" t="s">
        <v>3862</v>
      </c>
    </row>
    <row r="2" spans="1:19">
      <c r="A2" s="80" t="s">
        <v>3739</v>
      </c>
      <c r="B2" s="81" t="s">
        <v>41</v>
      </c>
      <c r="C2" s="81" t="s">
        <v>260</v>
      </c>
      <c r="D2" s="81" t="s">
        <v>256</v>
      </c>
      <c r="E2" s="80">
        <v>2234</v>
      </c>
      <c r="F2" s="80">
        <v>76.126000000000005</v>
      </c>
      <c r="K2" t="s">
        <v>39</v>
      </c>
      <c r="L2" t="s">
        <v>254</v>
      </c>
      <c r="M2" t="s">
        <v>256</v>
      </c>
      <c r="N2" t="s">
        <v>258</v>
      </c>
      <c r="O2" t="s">
        <v>257</v>
      </c>
      <c r="P2" t="s">
        <v>2065</v>
      </c>
      <c r="Q2" t="s">
        <v>80</v>
      </c>
    </row>
    <row r="3" spans="1:19">
      <c r="A3" s="80" t="s">
        <v>3740</v>
      </c>
      <c r="B3" s="81" t="s">
        <v>41</v>
      </c>
      <c r="C3" s="81" t="s">
        <v>260</v>
      </c>
      <c r="D3" s="81" t="s">
        <v>254</v>
      </c>
      <c r="E3" s="80">
        <v>8067</v>
      </c>
      <c r="F3" s="80">
        <v>3733.7170000000001</v>
      </c>
      <c r="K3" t="s">
        <v>41</v>
      </c>
    </row>
    <row r="4" spans="1:19">
      <c r="A4" s="80" t="s">
        <v>3741</v>
      </c>
      <c r="B4" s="81" t="s">
        <v>41</v>
      </c>
      <c r="C4" s="81" t="s">
        <v>260</v>
      </c>
      <c r="D4" s="81" t="s">
        <v>258</v>
      </c>
      <c r="E4" s="80">
        <v>401</v>
      </c>
      <c r="F4" s="80">
        <v>268.214</v>
      </c>
      <c r="K4" t="s">
        <v>262</v>
      </c>
      <c r="L4">
        <f>F3+F6</f>
        <v>5660.817</v>
      </c>
      <c r="M4">
        <f>F2</f>
        <v>76.126000000000005</v>
      </c>
      <c r="N4">
        <f>F4+F7</f>
        <v>407.95400000000001</v>
      </c>
      <c r="O4">
        <f>F5+F8</f>
        <v>172.65199999999999</v>
      </c>
      <c r="R4">
        <f>+L4+M4+N4+O4+P4+Q4</f>
        <v>6317.549</v>
      </c>
    </row>
    <row r="5" spans="1:19">
      <c r="A5" s="80" t="s">
        <v>3742</v>
      </c>
      <c r="B5" s="81" t="s">
        <v>41</v>
      </c>
      <c r="C5" s="81" t="s">
        <v>260</v>
      </c>
      <c r="D5" s="81" t="s">
        <v>261</v>
      </c>
      <c r="E5" s="80">
        <v>473</v>
      </c>
      <c r="F5" s="80">
        <v>123.96</v>
      </c>
      <c r="K5" t="s">
        <v>385</v>
      </c>
      <c r="L5">
        <f>F11+F10</f>
        <v>11163.307999999999</v>
      </c>
      <c r="N5">
        <f>F12</f>
        <v>484.065</v>
      </c>
      <c r="O5">
        <f>F15</f>
        <v>566.69100000000003</v>
      </c>
      <c r="P5">
        <f>F14</f>
        <v>52.88</v>
      </c>
      <c r="Q5">
        <f>F13</f>
        <v>374.56</v>
      </c>
      <c r="R5">
        <f>+L5+M5+N5+O5+P5+Q5</f>
        <v>12641.503999999999</v>
      </c>
    </row>
    <row r="6" spans="1:19">
      <c r="A6" s="80" t="s">
        <v>3760</v>
      </c>
      <c r="B6" s="81" t="s">
        <v>41</v>
      </c>
      <c r="C6" s="81" t="s">
        <v>263</v>
      </c>
      <c r="D6" s="81" t="s">
        <v>254</v>
      </c>
      <c r="E6" s="80">
        <v>1948</v>
      </c>
      <c r="F6" s="80">
        <v>1927.1</v>
      </c>
      <c r="K6" t="s">
        <v>264</v>
      </c>
      <c r="L6">
        <f>F18</f>
        <v>9738.5499999999993</v>
      </c>
      <c r="M6">
        <f>F17</f>
        <v>406.06</v>
      </c>
      <c r="N6">
        <f>F19</f>
        <v>3561.81</v>
      </c>
      <c r="O6">
        <f>F22</f>
        <v>617.26400000000001</v>
      </c>
      <c r="P6">
        <f>F21</f>
        <v>3426.76</v>
      </c>
      <c r="Q6">
        <f>F20</f>
        <v>481.94</v>
      </c>
      <c r="R6">
        <f>+L6+M6+N6+O6+P6+Q6</f>
        <v>18232.383999999995</v>
      </c>
    </row>
    <row r="7" spans="1:19">
      <c r="A7" s="80" t="s">
        <v>3761</v>
      </c>
      <c r="B7" s="81" t="s">
        <v>41</v>
      </c>
      <c r="C7" s="81" t="s">
        <v>263</v>
      </c>
      <c r="D7" s="81" t="s">
        <v>258</v>
      </c>
      <c r="E7" s="80">
        <v>44</v>
      </c>
      <c r="F7" s="80">
        <v>139.74</v>
      </c>
      <c r="K7" t="s">
        <v>2113</v>
      </c>
      <c r="L7">
        <f>F24</f>
        <v>27559.013999999999</v>
      </c>
      <c r="N7">
        <f>F25</f>
        <v>362.16</v>
      </c>
      <c r="O7">
        <f>F28</f>
        <v>378.46499999999997</v>
      </c>
      <c r="P7">
        <f>F27</f>
        <v>8041.7550000000001</v>
      </c>
      <c r="Q7">
        <f>F26</f>
        <v>1092</v>
      </c>
      <c r="R7">
        <f>+L7+M7+N7+O7+P7+Q7</f>
        <v>37433.394</v>
      </c>
    </row>
    <row r="8" spans="1:19">
      <c r="A8" s="80" t="s">
        <v>3762</v>
      </c>
      <c r="B8" s="81" t="s">
        <v>41</v>
      </c>
      <c r="C8" s="81" t="s">
        <v>263</v>
      </c>
      <c r="D8" s="81" t="s">
        <v>261</v>
      </c>
      <c r="E8" s="80">
        <v>623</v>
      </c>
      <c r="F8" s="80">
        <v>48.692</v>
      </c>
      <c r="K8" t="s">
        <v>259</v>
      </c>
      <c r="L8">
        <f>F30</f>
        <v>14448.385</v>
      </c>
      <c r="R8">
        <f>+L8+M8+N8+O8+P8+Q8</f>
        <v>14448.385</v>
      </c>
      <c r="S8">
        <f>SUM(R4:R8)</f>
        <v>89073.215999999986</v>
      </c>
    </row>
    <row r="9" spans="1:19">
      <c r="A9" s="80"/>
      <c r="B9" s="81"/>
      <c r="C9" s="81"/>
      <c r="D9" s="81"/>
      <c r="E9" s="80"/>
      <c r="F9" s="80"/>
    </row>
    <row r="10" spans="1:19">
      <c r="A10" s="80" t="s">
        <v>3743</v>
      </c>
      <c r="B10" s="81" t="s">
        <v>41</v>
      </c>
      <c r="C10" s="81" t="s">
        <v>268</v>
      </c>
      <c r="D10" s="81" t="s">
        <v>269</v>
      </c>
      <c r="E10" s="80">
        <v>1675</v>
      </c>
      <c r="F10" s="80">
        <v>217.42500000000001</v>
      </c>
    </row>
    <row r="11" spans="1:19">
      <c r="A11" s="80" t="s">
        <v>3181</v>
      </c>
      <c r="B11" s="81" t="s">
        <v>41</v>
      </c>
      <c r="C11" s="81" t="s">
        <v>268</v>
      </c>
      <c r="D11" s="81" t="s">
        <v>254</v>
      </c>
      <c r="E11" s="80">
        <v>315692</v>
      </c>
      <c r="F11" s="80">
        <v>10945.883</v>
      </c>
    </row>
    <row r="12" spans="1:19">
      <c r="A12" s="80" t="s">
        <v>3744</v>
      </c>
      <c r="B12" s="81" t="s">
        <v>41</v>
      </c>
      <c r="C12" s="81" t="s">
        <v>268</v>
      </c>
      <c r="D12" s="81" t="s">
        <v>258</v>
      </c>
      <c r="E12" s="80">
        <v>2875</v>
      </c>
      <c r="F12" s="80">
        <v>484.065</v>
      </c>
    </row>
    <row r="13" spans="1:19">
      <c r="A13" s="80" t="s">
        <v>3745</v>
      </c>
      <c r="B13" s="81" t="s">
        <v>41</v>
      </c>
      <c r="C13" s="81" t="s">
        <v>268</v>
      </c>
      <c r="D13" s="81" t="s">
        <v>265</v>
      </c>
      <c r="E13" s="80">
        <v>41</v>
      </c>
      <c r="F13" s="80">
        <v>374.56</v>
      </c>
    </row>
    <row r="14" spans="1:19">
      <c r="A14" s="80" t="s">
        <v>3746</v>
      </c>
      <c r="B14" s="81" t="s">
        <v>41</v>
      </c>
      <c r="C14" s="81" t="s">
        <v>268</v>
      </c>
      <c r="D14" s="81" t="s">
        <v>266</v>
      </c>
      <c r="E14" s="80">
        <v>4</v>
      </c>
      <c r="F14" s="80">
        <v>52.88</v>
      </c>
    </row>
    <row r="15" spans="1:19">
      <c r="A15" s="80" t="s">
        <v>3747</v>
      </c>
      <c r="B15" s="81" t="s">
        <v>41</v>
      </c>
      <c r="C15" s="81" t="s">
        <v>268</v>
      </c>
      <c r="D15" s="81" t="s">
        <v>261</v>
      </c>
      <c r="E15" s="80">
        <v>5934</v>
      </c>
      <c r="F15" s="80">
        <v>566.69100000000003</v>
      </c>
    </row>
    <row r="16" spans="1:19">
      <c r="A16" s="80"/>
      <c r="B16" s="81"/>
      <c r="C16" s="81"/>
      <c r="D16" s="81"/>
      <c r="E16" s="80"/>
      <c r="F16" s="80"/>
    </row>
    <row r="17" spans="1:17">
      <c r="A17" s="80" t="s">
        <v>3748</v>
      </c>
      <c r="B17" s="81" t="s">
        <v>41</v>
      </c>
      <c r="C17" s="81" t="s">
        <v>264</v>
      </c>
      <c r="D17" s="81" t="s">
        <v>256</v>
      </c>
      <c r="E17" s="80">
        <v>29534</v>
      </c>
      <c r="F17" s="80">
        <v>406.06</v>
      </c>
    </row>
    <row r="18" spans="1:17">
      <c r="A18" s="80" t="s">
        <v>3749</v>
      </c>
      <c r="B18" s="81" t="s">
        <v>41</v>
      </c>
      <c r="C18" s="81" t="s">
        <v>264</v>
      </c>
      <c r="D18" s="81" t="s">
        <v>254</v>
      </c>
      <c r="E18" s="80">
        <v>12823</v>
      </c>
      <c r="F18" s="80">
        <v>9738.5499999999993</v>
      </c>
    </row>
    <row r="19" spans="1:17">
      <c r="A19" s="80" t="s">
        <v>3750</v>
      </c>
      <c r="B19" s="81" t="s">
        <v>41</v>
      </c>
      <c r="C19" s="81" t="s">
        <v>264</v>
      </c>
      <c r="D19" s="81" t="s">
        <v>258</v>
      </c>
      <c r="E19" s="80">
        <v>3271.9</v>
      </c>
      <c r="F19" s="80">
        <v>3561.81</v>
      </c>
    </row>
    <row r="20" spans="1:17">
      <c r="A20" s="80" t="s">
        <v>3751</v>
      </c>
      <c r="B20" s="81" t="s">
        <v>41</v>
      </c>
      <c r="C20" s="81" t="s">
        <v>264</v>
      </c>
      <c r="D20" s="81" t="s">
        <v>265</v>
      </c>
      <c r="E20" s="80">
        <v>44</v>
      </c>
      <c r="F20" s="80">
        <v>481.94</v>
      </c>
    </row>
    <row r="21" spans="1:17">
      <c r="A21" s="80" t="s">
        <v>3752</v>
      </c>
      <c r="B21" s="81" t="s">
        <v>41</v>
      </c>
      <c r="C21" s="81" t="s">
        <v>264</v>
      </c>
      <c r="D21" s="81" t="s">
        <v>266</v>
      </c>
      <c r="E21" s="80">
        <v>934</v>
      </c>
      <c r="F21" s="80">
        <v>3426.76</v>
      </c>
    </row>
    <row r="22" spans="1:17">
      <c r="A22" s="80" t="s">
        <v>3753</v>
      </c>
      <c r="B22" s="81" t="s">
        <v>41</v>
      </c>
      <c r="C22" s="81" t="s">
        <v>264</v>
      </c>
      <c r="D22" s="81" t="s">
        <v>261</v>
      </c>
      <c r="E22" s="80">
        <v>2317</v>
      </c>
      <c r="F22" s="80">
        <v>617.26400000000001</v>
      </c>
    </row>
    <row r="23" spans="1:17">
      <c r="A23" s="80"/>
      <c r="B23" s="81"/>
      <c r="C23" s="81"/>
      <c r="D23" s="81"/>
      <c r="E23" s="80"/>
      <c r="F23" s="80"/>
    </row>
    <row r="24" spans="1:17">
      <c r="A24" s="80" t="s">
        <v>3754</v>
      </c>
      <c r="B24" s="81" t="s">
        <v>41</v>
      </c>
      <c r="C24" s="81" t="s">
        <v>267</v>
      </c>
      <c r="D24" s="81" t="s">
        <v>254</v>
      </c>
      <c r="E24" s="80">
        <v>34294</v>
      </c>
      <c r="F24" s="80">
        <v>27559.013999999999</v>
      </c>
    </row>
    <row r="25" spans="1:17">
      <c r="A25" s="80" t="s">
        <v>3755</v>
      </c>
      <c r="B25" s="81" t="s">
        <v>41</v>
      </c>
      <c r="C25" s="81" t="s">
        <v>267</v>
      </c>
      <c r="D25" s="81" t="s">
        <v>258</v>
      </c>
      <c r="E25" s="80">
        <v>160</v>
      </c>
      <c r="F25" s="80">
        <v>362.16</v>
      </c>
    </row>
    <row r="26" spans="1:17">
      <c r="A26" s="80" t="s">
        <v>3756</v>
      </c>
      <c r="B26" s="81" t="s">
        <v>41</v>
      </c>
      <c r="C26" s="81" t="s">
        <v>267</v>
      </c>
      <c r="D26" s="81" t="s">
        <v>265</v>
      </c>
      <c r="E26" s="80">
        <v>167</v>
      </c>
      <c r="F26" s="80">
        <v>1092</v>
      </c>
    </row>
    <row r="27" spans="1:17">
      <c r="A27" s="80" t="s">
        <v>3757</v>
      </c>
      <c r="B27" s="81" t="s">
        <v>41</v>
      </c>
      <c r="C27" s="81" t="s">
        <v>267</v>
      </c>
      <c r="D27" s="81" t="s">
        <v>266</v>
      </c>
      <c r="E27" s="80">
        <v>1021</v>
      </c>
      <c r="F27" s="80">
        <v>8041.7550000000001</v>
      </c>
    </row>
    <row r="28" spans="1:17">
      <c r="A28" s="80" t="s">
        <v>3758</v>
      </c>
      <c r="B28" s="81" t="s">
        <v>41</v>
      </c>
      <c r="C28" s="81" t="s">
        <v>267</v>
      </c>
      <c r="D28" s="81" t="s">
        <v>261</v>
      </c>
      <c r="E28" s="80">
        <v>2500</v>
      </c>
      <c r="F28" s="80">
        <v>378.46499999999997</v>
      </c>
    </row>
    <row r="29" spans="1:17">
      <c r="A29" s="80"/>
      <c r="B29" s="81"/>
      <c r="C29" s="81"/>
      <c r="D29" s="81"/>
      <c r="E29" s="80"/>
      <c r="F29" s="80"/>
    </row>
    <row r="30" spans="1:17">
      <c r="A30" s="80" t="s">
        <v>3759</v>
      </c>
      <c r="B30" s="81" t="s">
        <v>41</v>
      </c>
      <c r="C30" s="81" t="s">
        <v>253</v>
      </c>
      <c r="D30" s="81" t="s">
        <v>254</v>
      </c>
      <c r="E30" s="80">
        <v>6702</v>
      </c>
      <c r="F30" s="80">
        <v>14448.385</v>
      </c>
    </row>
    <row r="31" spans="1:17">
      <c r="A31" s="80"/>
      <c r="B31" s="81"/>
      <c r="C31" s="81"/>
      <c r="D31" s="81"/>
      <c r="E31" s="80"/>
      <c r="F31" s="80"/>
    </row>
    <row r="32" spans="1:17">
      <c r="A32" s="80" t="s">
        <v>3763</v>
      </c>
      <c r="B32" s="81" t="s">
        <v>170</v>
      </c>
      <c r="C32" s="81" t="s">
        <v>260</v>
      </c>
      <c r="D32" s="81" t="s">
        <v>256</v>
      </c>
      <c r="E32" s="80">
        <v>1079</v>
      </c>
      <c r="F32" s="80">
        <v>50.82</v>
      </c>
      <c r="K32" t="s">
        <v>39</v>
      </c>
      <c r="L32" t="s">
        <v>254</v>
      </c>
      <c r="M32" t="s">
        <v>256</v>
      </c>
      <c r="N32" t="s">
        <v>258</v>
      </c>
      <c r="O32" t="s">
        <v>257</v>
      </c>
      <c r="P32" t="s">
        <v>2065</v>
      </c>
      <c r="Q32" t="s">
        <v>80</v>
      </c>
    </row>
    <row r="33" spans="1:19">
      <c r="A33" s="80" t="s">
        <v>3764</v>
      </c>
      <c r="B33" s="81" t="s">
        <v>170</v>
      </c>
      <c r="C33" s="81" t="s">
        <v>260</v>
      </c>
      <c r="D33" s="81" t="s">
        <v>254</v>
      </c>
      <c r="E33" s="80">
        <v>5858</v>
      </c>
      <c r="F33" s="80">
        <v>3459.81</v>
      </c>
      <c r="K33" t="s">
        <v>170</v>
      </c>
    </row>
    <row r="34" spans="1:19">
      <c r="A34" s="80" t="s">
        <v>3765</v>
      </c>
      <c r="B34" s="81" t="s">
        <v>170</v>
      </c>
      <c r="C34" s="81" t="s">
        <v>260</v>
      </c>
      <c r="D34" s="81" t="s">
        <v>258</v>
      </c>
      <c r="E34" s="80">
        <v>293</v>
      </c>
      <c r="F34" s="80">
        <v>206.64</v>
      </c>
      <c r="K34" t="s">
        <v>262</v>
      </c>
      <c r="L34">
        <f>F33+F36</f>
        <v>5202.6049999999996</v>
      </c>
      <c r="M34">
        <f>F32</f>
        <v>50.82</v>
      </c>
      <c r="N34">
        <f>F34+F37</f>
        <v>214.73999999999998</v>
      </c>
      <c r="O34">
        <f>F35+F38</f>
        <v>234.815</v>
      </c>
      <c r="R34">
        <f>+L34+M34+N34+O34+P34+Q34</f>
        <v>5702.9799999999987</v>
      </c>
    </row>
    <row r="35" spans="1:19">
      <c r="A35" s="80" t="s">
        <v>3766</v>
      </c>
      <c r="B35" s="81" t="s">
        <v>170</v>
      </c>
      <c r="C35" s="81" t="s">
        <v>260</v>
      </c>
      <c r="D35" s="81" t="s">
        <v>261</v>
      </c>
      <c r="E35" s="80">
        <v>584</v>
      </c>
      <c r="F35" s="80">
        <v>156.19900000000001</v>
      </c>
      <c r="K35" t="s">
        <v>385</v>
      </c>
      <c r="L35">
        <f>F40</f>
        <v>6714.8</v>
      </c>
      <c r="N35">
        <f>F41</f>
        <v>109.79</v>
      </c>
      <c r="O35">
        <f>F42</f>
        <v>255.959</v>
      </c>
      <c r="R35">
        <f>+L35+M35+N35+O35+P35+Q35</f>
        <v>7080.549</v>
      </c>
    </row>
    <row r="36" spans="1:19">
      <c r="A36" s="80" t="s">
        <v>3771</v>
      </c>
      <c r="B36" s="81" t="s">
        <v>170</v>
      </c>
      <c r="C36" s="81" t="s">
        <v>263</v>
      </c>
      <c r="D36" s="81" t="s">
        <v>254</v>
      </c>
      <c r="E36" s="80">
        <v>1249</v>
      </c>
      <c r="F36" s="80">
        <v>1742.7950000000001</v>
      </c>
      <c r="K36" t="s">
        <v>264</v>
      </c>
      <c r="L36">
        <f>F45</f>
        <v>7284.7460000000001</v>
      </c>
      <c r="M36">
        <f>F44</f>
        <v>258.08999999999997</v>
      </c>
      <c r="N36">
        <f>F46</f>
        <v>3203.8</v>
      </c>
      <c r="O36">
        <f>F49</f>
        <v>409.88200000000001</v>
      </c>
      <c r="P36">
        <f>F48</f>
        <v>1907.1659999999999</v>
      </c>
      <c r="Q36">
        <f>F47</f>
        <v>1298</v>
      </c>
      <c r="R36">
        <f>+L36+M36+N36+O36+P36+Q36</f>
        <v>14361.683999999999</v>
      </c>
    </row>
    <row r="37" spans="1:19">
      <c r="A37" s="80" t="s">
        <v>3772</v>
      </c>
      <c r="B37" s="81" t="s">
        <v>170</v>
      </c>
      <c r="C37" s="81" t="s">
        <v>263</v>
      </c>
      <c r="D37" s="81" t="s">
        <v>258</v>
      </c>
      <c r="E37" s="80">
        <v>9</v>
      </c>
      <c r="F37" s="80">
        <v>8.1</v>
      </c>
      <c r="K37" t="s">
        <v>2113</v>
      </c>
      <c r="L37">
        <f>F52</f>
        <v>49704.425999999999</v>
      </c>
      <c r="M37">
        <f>F51</f>
        <v>10.1</v>
      </c>
      <c r="N37">
        <f>F53</f>
        <v>1353.57</v>
      </c>
      <c r="O37">
        <f>F56</f>
        <v>135.488</v>
      </c>
      <c r="P37">
        <f>F55</f>
        <v>4608.0600000000004</v>
      </c>
      <c r="Q37">
        <f>F54</f>
        <v>1371.45</v>
      </c>
      <c r="R37">
        <f>+L37+M37+N37+O37+P37+Q37</f>
        <v>57183.09399999999</v>
      </c>
    </row>
    <row r="38" spans="1:19">
      <c r="A38" s="80" t="s">
        <v>3787</v>
      </c>
      <c r="B38" s="81" t="s">
        <v>170</v>
      </c>
      <c r="C38" s="81" t="s">
        <v>263</v>
      </c>
      <c r="D38" s="81" t="s">
        <v>261</v>
      </c>
      <c r="E38" s="80">
        <v>655</v>
      </c>
      <c r="F38" s="80">
        <v>78.616</v>
      </c>
      <c r="K38" t="s">
        <v>259</v>
      </c>
      <c r="L38">
        <f>F57</f>
        <v>31257.83</v>
      </c>
      <c r="R38">
        <f>+L38+M38+N38+O38+P38+Q38</f>
        <v>31257.83</v>
      </c>
      <c r="S38">
        <f>SUM(R34:R38)</f>
        <v>115586.13699999999</v>
      </c>
    </row>
    <row r="39" spans="1:19">
      <c r="A39" s="80"/>
      <c r="B39" s="81"/>
      <c r="C39" s="81"/>
      <c r="D39" s="81"/>
      <c r="E39" s="80"/>
      <c r="F39" s="80"/>
    </row>
    <row r="40" spans="1:19">
      <c r="A40" s="80" t="s">
        <v>3773</v>
      </c>
      <c r="B40" s="81" t="s">
        <v>170</v>
      </c>
      <c r="C40" s="81" t="s">
        <v>268</v>
      </c>
      <c r="D40" s="81" t="s">
        <v>254</v>
      </c>
      <c r="E40" s="80">
        <v>88428</v>
      </c>
      <c r="F40" s="80">
        <v>6714.8</v>
      </c>
    </row>
    <row r="41" spans="1:19">
      <c r="A41" s="80" t="s">
        <v>3774</v>
      </c>
      <c r="B41" s="81" t="s">
        <v>170</v>
      </c>
      <c r="C41" s="81" t="s">
        <v>268</v>
      </c>
      <c r="D41" s="81" t="s">
        <v>258</v>
      </c>
      <c r="E41" s="80">
        <v>1588</v>
      </c>
      <c r="F41" s="80">
        <v>109.79</v>
      </c>
    </row>
    <row r="42" spans="1:19">
      <c r="A42" s="80" t="s">
        <v>3775</v>
      </c>
      <c r="B42" s="81" t="s">
        <v>170</v>
      </c>
      <c r="C42" s="81" t="s">
        <v>268</v>
      </c>
      <c r="D42" s="81" t="s">
        <v>261</v>
      </c>
      <c r="E42" s="80">
        <v>2755</v>
      </c>
      <c r="F42" s="80">
        <v>255.959</v>
      </c>
    </row>
    <row r="43" spans="1:19">
      <c r="A43" s="80"/>
      <c r="B43" s="81"/>
      <c r="C43" s="81"/>
      <c r="D43" s="81"/>
      <c r="E43" s="80"/>
      <c r="F43" s="80"/>
    </row>
    <row r="44" spans="1:19">
      <c r="A44" s="80" t="s">
        <v>3776</v>
      </c>
      <c r="B44" s="81" t="s">
        <v>170</v>
      </c>
      <c r="C44" s="81" t="s">
        <v>264</v>
      </c>
      <c r="D44" s="81" t="s">
        <v>256</v>
      </c>
      <c r="E44" s="80">
        <v>10196</v>
      </c>
      <c r="F44" s="80">
        <v>258.08999999999997</v>
      </c>
    </row>
    <row r="45" spans="1:19">
      <c r="A45" s="80" t="s">
        <v>3777</v>
      </c>
      <c r="B45" s="81" t="s">
        <v>170</v>
      </c>
      <c r="C45" s="81" t="s">
        <v>264</v>
      </c>
      <c r="D45" s="81" t="s">
        <v>254</v>
      </c>
      <c r="E45" s="80">
        <v>11369</v>
      </c>
      <c r="F45" s="80">
        <v>7284.7460000000001</v>
      </c>
    </row>
    <row r="46" spans="1:19">
      <c r="A46" s="80" t="s">
        <v>3778</v>
      </c>
      <c r="B46" s="81" t="s">
        <v>170</v>
      </c>
      <c r="C46" s="81" t="s">
        <v>264</v>
      </c>
      <c r="D46" s="81" t="s">
        <v>258</v>
      </c>
      <c r="E46" s="80">
        <v>2745</v>
      </c>
      <c r="F46" s="80">
        <v>3203.8</v>
      </c>
    </row>
    <row r="47" spans="1:19" ht="11.25" customHeight="1">
      <c r="A47" s="80" t="s">
        <v>3779</v>
      </c>
      <c r="B47" s="81" t="s">
        <v>170</v>
      </c>
      <c r="C47" s="81" t="s">
        <v>264</v>
      </c>
      <c r="D47" s="81" t="s">
        <v>265</v>
      </c>
      <c r="E47" s="80">
        <v>197</v>
      </c>
      <c r="F47" s="80">
        <v>1298</v>
      </c>
    </row>
    <row r="48" spans="1:19">
      <c r="A48" s="80" t="s">
        <v>3780</v>
      </c>
      <c r="B48" s="81" t="s">
        <v>170</v>
      </c>
      <c r="C48" s="81" t="s">
        <v>264</v>
      </c>
      <c r="D48" s="81" t="s">
        <v>266</v>
      </c>
      <c r="E48" s="80">
        <v>541</v>
      </c>
      <c r="F48" s="80">
        <v>1907.1659999999999</v>
      </c>
    </row>
    <row r="49" spans="1:18">
      <c r="A49" s="80" t="s">
        <v>3781</v>
      </c>
      <c r="B49" s="81" t="s">
        <v>170</v>
      </c>
      <c r="C49" s="81" t="s">
        <v>264</v>
      </c>
      <c r="D49" s="81" t="s">
        <v>261</v>
      </c>
      <c r="E49" s="80">
        <v>1272</v>
      </c>
      <c r="F49" s="80">
        <v>409.88200000000001</v>
      </c>
    </row>
    <row r="50" spans="1:18">
      <c r="A50" s="80" t="s">
        <v>3782</v>
      </c>
      <c r="B50" s="81" t="s">
        <v>170</v>
      </c>
      <c r="C50" s="81" t="s">
        <v>267</v>
      </c>
      <c r="D50" s="81" t="s">
        <v>269</v>
      </c>
      <c r="E50" s="80" t="s">
        <v>63</v>
      </c>
      <c r="F50" s="80" t="s">
        <v>63</v>
      </c>
    </row>
    <row r="51" spans="1:18">
      <c r="A51" s="80" t="s">
        <v>3783</v>
      </c>
      <c r="B51" s="81" t="s">
        <v>170</v>
      </c>
      <c r="C51" s="81" t="s">
        <v>267</v>
      </c>
      <c r="D51" s="81" t="s">
        <v>256</v>
      </c>
      <c r="E51" s="80">
        <v>189</v>
      </c>
      <c r="F51" s="80">
        <v>10.1</v>
      </c>
    </row>
    <row r="52" spans="1:18">
      <c r="A52" s="80" t="s">
        <v>3784</v>
      </c>
      <c r="B52" s="81" t="s">
        <v>170</v>
      </c>
      <c r="C52" s="81" t="s">
        <v>267</v>
      </c>
      <c r="D52" s="81" t="s">
        <v>254</v>
      </c>
      <c r="E52" s="80">
        <v>65251</v>
      </c>
      <c r="F52" s="80">
        <v>49704.425999999999</v>
      </c>
    </row>
    <row r="53" spans="1:18">
      <c r="A53" s="80" t="s">
        <v>3785</v>
      </c>
      <c r="B53" s="81" t="s">
        <v>170</v>
      </c>
      <c r="C53" s="81" t="s">
        <v>267</v>
      </c>
      <c r="D53" s="81" t="s">
        <v>258</v>
      </c>
      <c r="E53" s="80">
        <v>616</v>
      </c>
      <c r="F53" s="80">
        <v>1353.57</v>
      </c>
    </row>
    <row r="54" spans="1:18">
      <c r="A54" s="80" t="s">
        <v>3786</v>
      </c>
      <c r="B54" s="81" t="s">
        <v>170</v>
      </c>
      <c r="C54" s="81" t="s">
        <v>267</v>
      </c>
      <c r="D54" s="81" t="s">
        <v>265</v>
      </c>
      <c r="E54" s="80">
        <v>296</v>
      </c>
      <c r="F54" s="80">
        <v>1371.45</v>
      </c>
    </row>
    <row r="55" spans="1:18">
      <c r="A55" s="80" t="s">
        <v>3767</v>
      </c>
      <c r="B55" s="81" t="s">
        <v>170</v>
      </c>
      <c r="C55" s="81" t="s">
        <v>267</v>
      </c>
      <c r="D55" s="81" t="s">
        <v>266</v>
      </c>
      <c r="E55" s="80">
        <v>582</v>
      </c>
      <c r="F55" s="80">
        <v>4608.0600000000004</v>
      </c>
    </row>
    <row r="56" spans="1:18">
      <c r="A56" s="80" t="s">
        <v>3768</v>
      </c>
      <c r="B56" s="81" t="s">
        <v>170</v>
      </c>
      <c r="C56" s="81" t="s">
        <v>267</v>
      </c>
      <c r="D56" s="81" t="s">
        <v>261</v>
      </c>
      <c r="E56" s="80">
        <v>595</v>
      </c>
      <c r="F56" s="80">
        <f>130.388+5.1</f>
        <v>135.488</v>
      </c>
    </row>
    <row r="57" spans="1:18">
      <c r="A57" s="80" t="s">
        <v>3769</v>
      </c>
      <c r="B57" s="81" t="s">
        <v>170</v>
      </c>
      <c r="C57" s="81" t="s">
        <v>253</v>
      </c>
      <c r="D57" s="81" t="s">
        <v>254</v>
      </c>
      <c r="E57" s="80">
        <v>14779.44</v>
      </c>
      <c r="F57" s="80">
        <v>31257.83</v>
      </c>
    </row>
    <row r="58" spans="1:18">
      <c r="A58" s="80" t="s">
        <v>3770</v>
      </c>
      <c r="B58" s="81" t="s">
        <v>170</v>
      </c>
      <c r="C58" s="81" t="s">
        <v>253</v>
      </c>
      <c r="D58" s="81" t="s">
        <v>261</v>
      </c>
      <c r="E58" s="80" t="s">
        <v>63</v>
      </c>
      <c r="F58" s="80" t="s">
        <v>271</v>
      </c>
      <c r="K58" t="s">
        <v>39</v>
      </c>
      <c r="L58" t="s">
        <v>254</v>
      </c>
      <c r="M58" t="s">
        <v>256</v>
      </c>
      <c r="N58" t="s">
        <v>258</v>
      </c>
      <c r="O58" t="s">
        <v>257</v>
      </c>
      <c r="P58" t="s">
        <v>2065</v>
      </c>
      <c r="Q58" t="s">
        <v>80</v>
      </c>
    </row>
    <row r="59" spans="1:18">
      <c r="A59" s="80"/>
      <c r="B59" s="81"/>
      <c r="C59" s="81"/>
      <c r="D59" s="81"/>
      <c r="E59" s="80"/>
      <c r="F59" s="80"/>
      <c r="K59" t="s">
        <v>171</v>
      </c>
    </row>
    <row r="60" spans="1:18">
      <c r="A60" s="80" t="s">
        <v>3788</v>
      </c>
      <c r="B60" s="81" t="s">
        <v>171</v>
      </c>
      <c r="C60" s="81" t="s">
        <v>260</v>
      </c>
      <c r="D60" s="81" t="s">
        <v>256</v>
      </c>
      <c r="E60" s="80">
        <v>1125</v>
      </c>
      <c r="F60" s="80">
        <v>42.02</v>
      </c>
      <c r="K60" t="s">
        <v>262</v>
      </c>
      <c r="L60">
        <f>F61+F64</f>
        <v>3465.268</v>
      </c>
      <c r="M60">
        <f>F60</f>
        <v>42.02</v>
      </c>
      <c r="N60">
        <f>F62+F65</f>
        <v>271.8</v>
      </c>
      <c r="O60">
        <f>F63+F66</f>
        <v>213.959</v>
      </c>
      <c r="R60">
        <f t="shared" ref="R60:R65" si="0">+L60+M60+N60+O60+P60+Q60</f>
        <v>3993.047</v>
      </c>
    </row>
    <row r="61" spans="1:18">
      <c r="A61" s="80" t="s">
        <v>3789</v>
      </c>
      <c r="B61" s="81" t="s">
        <v>171</v>
      </c>
      <c r="C61" s="81" t="s">
        <v>260</v>
      </c>
      <c r="D61" s="81" t="s">
        <v>254</v>
      </c>
      <c r="E61" s="80">
        <v>2908</v>
      </c>
      <c r="F61" s="80">
        <v>2281.4380000000001</v>
      </c>
      <c r="K61" t="s">
        <v>385</v>
      </c>
      <c r="L61">
        <f>F68</f>
        <v>8771.2099999999991</v>
      </c>
      <c r="N61">
        <f>F69</f>
        <v>56.02</v>
      </c>
      <c r="O61">
        <f>F70</f>
        <v>290.29399999999998</v>
      </c>
      <c r="R61">
        <f t="shared" si="0"/>
        <v>9117.5239999999994</v>
      </c>
    </row>
    <row r="62" spans="1:18">
      <c r="A62" s="80" t="s">
        <v>3790</v>
      </c>
      <c r="B62" s="81" t="s">
        <v>171</v>
      </c>
      <c r="C62" s="81" t="s">
        <v>260</v>
      </c>
      <c r="D62" s="81" t="s">
        <v>258</v>
      </c>
      <c r="E62" s="80">
        <v>316</v>
      </c>
      <c r="F62" s="80">
        <v>260.26</v>
      </c>
      <c r="K62" t="s">
        <v>264</v>
      </c>
      <c r="L62">
        <f>F73</f>
        <v>7577.9380000000001</v>
      </c>
      <c r="M62">
        <f>F72</f>
        <v>171.84</v>
      </c>
      <c r="N62">
        <f>F74</f>
        <v>4083.0740000000001</v>
      </c>
      <c r="O62">
        <f>F77</f>
        <v>295.22199999999998</v>
      </c>
      <c r="P62">
        <f>F76</f>
        <v>1151.1389999999999</v>
      </c>
      <c r="Q62">
        <f>F75</f>
        <v>1439.8</v>
      </c>
      <c r="R62">
        <f t="shared" si="0"/>
        <v>14719.012999999999</v>
      </c>
    </row>
    <row r="63" spans="1:18">
      <c r="A63" s="80" t="s">
        <v>3796</v>
      </c>
      <c r="B63" s="81" t="s">
        <v>171</v>
      </c>
      <c r="C63" s="81" t="s">
        <v>260</v>
      </c>
      <c r="D63" s="81" t="s">
        <v>261</v>
      </c>
      <c r="E63" s="80">
        <v>715</v>
      </c>
      <c r="F63" s="80">
        <v>203.35900000000001</v>
      </c>
      <c r="K63" t="s">
        <v>2113</v>
      </c>
      <c r="L63">
        <f>F82</f>
        <v>25836.473999999998</v>
      </c>
      <c r="M63">
        <f>F81</f>
        <v>2.58</v>
      </c>
      <c r="N63">
        <f>F83</f>
        <v>745.53</v>
      </c>
      <c r="O63">
        <f>F86</f>
        <v>296.62200000000001</v>
      </c>
      <c r="P63">
        <f>F85</f>
        <v>85.45</v>
      </c>
      <c r="Q63">
        <f>F84</f>
        <v>598.25</v>
      </c>
      <c r="R63">
        <f t="shared" si="0"/>
        <v>27564.905999999999</v>
      </c>
    </row>
    <row r="64" spans="1:18">
      <c r="A64" s="80" t="s">
        <v>3795</v>
      </c>
      <c r="B64" s="81" t="s">
        <v>171</v>
      </c>
      <c r="C64" s="81" t="s">
        <v>263</v>
      </c>
      <c r="D64" s="81" t="s">
        <v>254</v>
      </c>
      <c r="E64" s="80">
        <v>737</v>
      </c>
      <c r="F64" s="80">
        <v>1183.83</v>
      </c>
      <c r="K64" t="s">
        <v>259</v>
      </c>
      <c r="L64">
        <f>F88</f>
        <v>47146.069000000003</v>
      </c>
      <c r="O64">
        <f>F89</f>
        <v>12.076000000000001</v>
      </c>
      <c r="R64">
        <f t="shared" si="0"/>
        <v>47158.145000000004</v>
      </c>
    </row>
    <row r="65" spans="1:19">
      <c r="A65" s="80" t="s">
        <v>3813</v>
      </c>
      <c r="B65" s="81" t="s">
        <v>171</v>
      </c>
      <c r="C65" s="81" t="s">
        <v>263</v>
      </c>
      <c r="D65" s="81" t="s">
        <v>258</v>
      </c>
      <c r="E65" s="80">
        <v>12</v>
      </c>
      <c r="F65" s="80">
        <v>11.54</v>
      </c>
      <c r="K65" t="s">
        <v>488</v>
      </c>
      <c r="O65">
        <f>F79</f>
        <v>33.637999999999998</v>
      </c>
      <c r="R65">
        <f t="shared" si="0"/>
        <v>33.637999999999998</v>
      </c>
      <c r="S65">
        <f>SUM(R60:R65)</f>
        <v>102586.27300000002</v>
      </c>
    </row>
    <row r="66" spans="1:19">
      <c r="A66" s="80" t="s">
        <v>3814</v>
      </c>
      <c r="B66" s="81" t="s">
        <v>171</v>
      </c>
      <c r="C66" s="81" t="s">
        <v>263</v>
      </c>
      <c r="D66" s="81" t="s">
        <v>261</v>
      </c>
      <c r="E66" s="80" t="s">
        <v>63</v>
      </c>
      <c r="F66" s="80">
        <v>10.6</v>
      </c>
    </row>
    <row r="67" spans="1:19">
      <c r="A67" s="80"/>
      <c r="B67" s="81"/>
      <c r="C67" s="81"/>
      <c r="D67" s="81"/>
      <c r="E67" s="80"/>
      <c r="F67" s="80"/>
    </row>
    <row r="68" spans="1:19">
      <c r="A68" s="80" t="s">
        <v>3797</v>
      </c>
      <c r="B68" s="81" t="s">
        <v>171</v>
      </c>
      <c r="C68" s="81" t="s">
        <v>268</v>
      </c>
      <c r="D68" s="81" t="s">
        <v>254</v>
      </c>
      <c r="E68" s="80">
        <v>91185</v>
      </c>
      <c r="F68" s="80">
        <v>8771.2099999999991</v>
      </c>
    </row>
    <row r="69" spans="1:19">
      <c r="A69" s="80" t="s">
        <v>3798</v>
      </c>
      <c r="B69" s="81" t="s">
        <v>171</v>
      </c>
      <c r="C69" s="81" t="s">
        <v>268</v>
      </c>
      <c r="D69" s="81" t="s">
        <v>258</v>
      </c>
      <c r="E69" s="80">
        <v>114</v>
      </c>
      <c r="F69" s="80">
        <v>56.02</v>
      </c>
    </row>
    <row r="70" spans="1:19">
      <c r="A70" s="80" t="s">
        <v>3799</v>
      </c>
      <c r="B70" s="81" t="s">
        <v>171</v>
      </c>
      <c r="C70" s="81" t="s">
        <v>268</v>
      </c>
      <c r="D70" s="81" t="s">
        <v>261</v>
      </c>
      <c r="E70" s="80">
        <v>3038</v>
      </c>
      <c r="F70" s="80">
        <v>290.29399999999998</v>
      </c>
    </row>
    <row r="71" spans="1:19">
      <c r="A71" s="80"/>
      <c r="B71" s="81"/>
      <c r="C71" s="81"/>
      <c r="D71" s="81"/>
      <c r="E71" s="80"/>
      <c r="F71" s="80"/>
    </row>
    <row r="72" spans="1:19">
      <c r="A72" s="80" t="s">
        <v>3800</v>
      </c>
      <c r="B72" s="81" t="s">
        <v>171</v>
      </c>
      <c r="C72" s="81" t="s">
        <v>264</v>
      </c>
      <c r="D72" s="81" t="s">
        <v>256</v>
      </c>
      <c r="E72" s="80">
        <v>12371</v>
      </c>
      <c r="F72" s="80">
        <v>171.84</v>
      </c>
    </row>
    <row r="73" spans="1:19">
      <c r="A73" s="80" t="s">
        <v>3801</v>
      </c>
      <c r="B73" s="81" t="s">
        <v>171</v>
      </c>
      <c r="C73" s="81" t="s">
        <v>264</v>
      </c>
      <c r="D73" s="81" t="s">
        <v>254</v>
      </c>
      <c r="E73" s="80">
        <v>8942</v>
      </c>
      <c r="F73" s="80">
        <f>7574.578+3.36</f>
        <v>7577.9380000000001</v>
      </c>
    </row>
    <row r="74" spans="1:19">
      <c r="A74" s="80" t="s">
        <v>3802</v>
      </c>
      <c r="B74" s="81" t="s">
        <v>171</v>
      </c>
      <c r="C74" s="81" t="s">
        <v>264</v>
      </c>
      <c r="D74" s="81" t="s">
        <v>258</v>
      </c>
      <c r="E74" s="80">
        <v>4305</v>
      </c>
      <c r="F74" s="80">
        <v>4083.0740000000001</v>
      </c>
    </row>
    <row r="75" spans="1:19">
      <c r="A75" s="80" t="s">
        <v>3803</v>
      </c>
      <c r="B75" s="81" t="s">
        <v>171</v>
      </c>
      <c r="C75" s="81" t="s">
        <v>264</v>
      </c>
      <c r="D75" s="81" t="s">
        <v>265</v>
      </c>
      <c r="E75" s="80">
        <v>180</v>
      </c>
      <c r="F75" s="80">
        <v>1439.8</v>
      </c>
    </row>
    <row r="76" spans="1:19">
      <c r="A76" s="80" t="s">
        <v>3804</v>
      </c>
      <c r="B76" s="81" t="s">
        <v>171</v>
      </c>
      <c r="C76" s="81" t="s">
        <v>264</v>
      </c>
      <c r="D76" s="81" t="s">
        <v>266</v>
      </c>
      <c r="E76" s="80">
        <v>306</v>
      </c>
      <c r="F76" s="80">
        <v>1151.1389999999999</v>
      </c>
    </row>
    <row r="77" spans="1:19">
      <c r="A77" s="80" t="s">
        <v>3805</v>
      </c>
      <c r="B77" s="81" t="s">
        <v>171</v>
      </c>
      <c r="C77" s="81" t="s">
        <v>264</v>
      </c>
      <c r="D77" s="81" t="s">
        <v>261</v>
      </c>
      <c r="E77" s="80">
        <v>914</v>
      </c>
      <c r="F77" s="80">
        <v>295.22199999999998</v>
      </c>
    </row>
    <row r="78" spans="1:19">
      <c r="A78" s="80"/>
      <c r="B78" s="81"/>
      <c r="C78" s="81"/>
      <c r="D78" s="81"/>
      <c r="E78" s="80"/>
      <c r="F78" s="80"/>
    </row>
    <row r="79" spans="1:19">
      <c r="A79" s="80" t="s">
        <v>3806</v>
      </c>
      <c r="B79" s="81" t="s">
        <v>171</v>
      </c>
      <c r="C79" s="81" t="s">
        <v>488</v>
      </c>
      <c r="D79" s="81" t="s">
        <v>261</v>
      </c>
      <c r="E79" s="80">
        <v>121</v>
      </c>
      <c r="F79" s="80">
        <v>33.637999999999998</v>
      </c>
    </row>
    <row r="80" spans="1:19">
      <c r="A80" s="80"/>
      <c r="B80" s="81"/>
      <c r="C80" s="81"/>
      <c r="D80" s="81"/>
      <c r="E80" s="80"/>
      <c r="F80" s="80"/>
    </row>
    <row r="81" spans="1:18">
      <c r="A81" s="80" t="s">
        <v>3807</v>
      </c>
      <c r="B81" s="81" t="s">
        <v>171</v>
      </c>
      <c r="C81" s="81" t="s">
        <v>267</v>
      </c>
      <c r="D81" s="81" t="s">
        <v>256</v>
      </c>
      <c r="E81" s="80">
        <v>48</v>
      </c>
      <c r="F81" s="80">
        <v>2.58</v>
      </c>
    </row>
    <row r="82" spans="1:18">
      <c r="A82" s="80" t="s">
        <v>3808</v>
      </c>
      <c r="B82" s="81" t="s">
        <v>171</v>
      </c>
      <c r="C82" s="81" t="s">
        <v>267</v>
      </c>
      <c r="D82" s="81" t="s">
        <v>254</v>
      </c>
      <c r="E82" s="80">
        <v>36819</v>
      </c>
      <c r="F82" s="80">
        <v>25836.473999999998</v>
      </c>
    </row>
    <row r="83" spans="1:18">
      <c r="A83" s="80" t="s">
        <v>3809</v>
      </c>
      <c r="B83" s="81" t="s">
        <v>171</v>
      </c>
      <c r="C83" s="81" t="s">
        <v>267</v>
      </c>
      <c r="D83" s="81" t="s">
        <v>258</v>
      </c>
      <c r="E83" s="80">
        <v>136</v>
      </c>
      <c r="F83" s="80">
        <v>745.53</v>
      </c>
    </row>
    <row r="84" spans="1:18">
      <c r="A84" s="80" t="s">
        <v>3810</v>
      </c>
      <c r="B84" s="81" t="s">
        <v>171</v>
      </c>
      <c r="C84" s="81" t="s">
        <v>267</v>
      </c>
      <c r="D84" s="81" t="s">
        <v>265</v>
      </c>
      <c r="E84" s="80">
        <v>118</v>
      </c>
      <c r="F84" s="80">
        <v>598.25</v>
      </c>
    </row>
    <row r="85" spans="1:18">
      <c r="A85" s="80" t="s">
        <v>3811</v>
      </c>
      <c r="B85" s="81" t="s">
        <v>171</v>
      </c>
      <c r="C85" s="81" t="s">
        <v>267</v>
      </c>
      <c r="D85" s="81" t="s">
        <v>266</v>
      </c>
      <c r="E85" s="80">
        <v>12</v>
      </c>
      <c r="F85" s="80">
        <v>85.45</v>
      </c>
    </row>
    <row r="86" spans="1:18">
      <c r="A86" s="80" t="s">
        <v>3812</v>
      </c>
      <c r="B86" s="81" t="s">
        <v>171</v>
      </c>
      <c r="C86" s="81" t="s">
        <v>267</v>
      </c>
      <c r="D86" s="81" t="s">
        <v>261</v>
      </c>
      <c r="E86" s="80">
        <v>1658</v>
      </c>
      <c r="F86" s="80">
        <v>296.62200000000001</v>
      </c>
    </row>
    <row r="87" spans="1:18">
      <c r="A87" s="80"/>
      <c r="B87" s="81"/>
      <c r="C87" s="81"/>
      <c r="D87" s="81"/>
      <c r="E87" s="80"/>
      <c r="F87" s="80"/>
    </row>
    <row r="88" spans="1:18">
      <c r="A88" s="80" t="s">
        <v>3792</v>
      </c>
      <c r="B88" s="81" t="s">
        <v>171</v>
      </c>
      <c r="C88" s="81" t="s">
        <v>253</v>
      </c>
      <c r="D88" s="81" t="s">
        <v>254</v>
      </c>
      <c r="E88" s="80">
        <v>21405</v>
      </c>
      <c r="F88" s="80">
        <v>47146.069000000003</v>
      </c>
    </row>
    <row r="89" spans="1:18">
      <c r="A89" s="80" t="s">
        <v>3793</v>
      </c>
      <c r="B89" s="81" t="s">
        <v>171</v>
      </c>
      <c r="C89" s="81" t="s">
        <v>253</v>
      </c>
      <c r="D89" s="81" t="s">
        <v>261</v>
      </c>
      <c r="E89" s="80">
        <v>49</v>
      </c>
      <c r="F89" s="80">
        <v>12.076000000000001</v>
      </c>
    </row>
    <row r="90" spans="1:18">
      <c r="A90" s="80"/>
      <c r="B90" s="81"/>
      <c r="C90" s="81"/>
      <c r="D90" s="81"/>
      <c r="E90" s="80"/>
      <c r="F90" s="80"/>
    </row>
    <row r="91" spans="1:18">
      <c r="A91" s="80" t="s">
        <v>3815</v>
      </c>
      <c r="B91" s="81" t="s">
        <v>807</v>
      </c>
      <c r="C91" s="81" t="s">
        <v>260</v>
      </c>
      <c r="D91" s="81" t="s">
        <v>256</v>
      </c>
      <c r="E91" s="80">
        <v>259</v>
      </c>
      <c r="F91" s="80">
        <v>7.17</v>
      </c>
      <c r="K91" t="s">
        <v>39</v>
      </c>
      <c r="L91" t="s">
        <v>254</v>
      </c>
      <c r="M91" t="s">
        <v>256</v>
      </c>
      <c r="N91" t="s">
        <v>258</v>
      </c>
      <c r="O91" t="s">
        <v>257</v>
      </c>
      <c r="P91" t="s">
        <v>2065</v>
      </c>
      <c r="Q91" t="s">
        <v>80</v>
      </c>
    </row>
    <row r="92" spans="1:18">
      <c r="A92" s="80" t="s">
        <v>3819</v>
      </c>
      <c r="B92" s="81" t="s">
        <v>807</v>
      </c>
      <c r="C92" s="81" t="s">
        <v>260</v>
      </c>
      <c r="D92" s="81" t="s">
        <v>254</v>
      </c>
      <c r="E92" s="80">
        <v>1577</v>
      </c>
      <c r="F92" s="80">
        <v>1306.5889999999999</v>
      </c>
      <c r="K92" t="s">
        <v>807</v>
      </c>
    </row>
    <row r="93" spans="1:18">
      <c r="A93" s="80" t="s">
        <v>3820</v>
      </c>
      <c r="B93" s="81" t="s">
        <v>807</v>
      </c>
      <c r="C93" s="81" t="s">
        <v>260</v>
      </c>
      <c r="D93" s="81" t="s">
        <v>258</v>
      </c>
      <c r="E93" s="80">
        <v>180</v>
      </c>
      <c r="F93" s="80">
        <v>113.91</v>
      </c>
      <c r="K93" t="s">
        <v>262</v>
      </c>
      <c r="L93">
        <f>F92+F95</f>
        <v>1917.6320000000001</v>
      </c>
      <c r="M93">
        <f>F91</f>
        <v>7.17</v>
      </c>
      <c r="N93">
        <f>F93+F97</f>
        <v>113.91</v>
      </c>
      <c r="O93">
        <f>F96+F94</f>
        <v>223.42500000000001</v>
      </c>
      <c r="R93">
        <f t="shared" ref="R93:R99" si="1">+L93+M93+N93+O93+P93+Q93</f>
        <v>2262.1370000000002</v>
      </c>
    </row>
    <row r="94" spans="1:18">
      <c r="A94" s="80" t="s">
        <v>3821</v>
      </c>
      <c r="B94" s="81" t="s">
        <v>807</v>
      </c>
      <c r="C94" s="81" t="s">
        <v>260</v>
      </c>
      <c r="D94" s="81" t="s">
        <v>261</v>
      </c>
      <c r="E94" s="80">
        <v>429</v>
      </c>
      <c r="F94" s="80">
        <v>136.09100000000001</v>
      </c>
      <c r="K94" t="s">
        <v>385</v>
      </c>
      <c r="L94">
        <f>F98</f>
        <v>1069.432</v>
      </c>
      <c r="N94">
        <f>F99</f>
        <v>104.3</v>
      </c>
      <c r="O94">
        <f>F100</f>
        <v>127.733</v>
      </c>
      <c r="R94">
        <f t="shared" si="1"/>
        <v>1301.4649999999999</v>
      </c>
    </row>
    <row r="95" spans="1:18">
      <c r="A95" s="80" t="s">
        <v>3839</v>
      </c>
      <c r="B95" s="81" t="s">
        <v>807</v>
      </c>
      <c r="C95" s="81" t="s">
        <v>263</v>
      </c>
      <c r="D95" s="81" t="s">
        <v>254</v>
      </c>
      <c r="E95" s="80">
        <v>377</v>
      </c>
      <c r="F95" s="80">
        <v>611.04300000000001</v>
      </c>
      <c r="K95" t="s">
        <v>264</v>
      </c>
      <c r="L95">
        <f>F105</f>
        <v>1764.69</v>
      </c>
      <c r="M95">
        <f>F104</f>
        <v>74.959999999999994</v>
      </c>
      <c r="N95">
        <f>F106</f>
        <v>2287.424</v>
      </c>
      <c r="O95">
        <f>F109</f>
        <v>413.04199999999997</v>
      </c>
      <c r="P95">
        <f>F108</f>
        <v>2459.0300000000002</v>
      </c>
      <c r="Q95">
        <f>F107</f>
        <v>1567.6</v>
      </c>
      <c r="R95">
        <f t="shared" si="1"/>
        <v>8566.746000000001</v>
      </c>
    </row>
    <row r="96" spans="1:18">
      <c r="A96" s="80" t="s">
        <v>3840</v>
      </c>
      <c r="B96" s="81" t="s">
        <v>807</v>
      </c>
      <c r="C96" s="81" t="s">
        <v>263</v>
      </c>
      <c r="D96" s="81" t="s">
        <v>261</v>
      </c>
      <c r="E96" s="80">
        <v>364</v>
      </c>
      <c r="F96" s="80">
        <v>87.334000000000003</v>
      </c>
      <c r="K96" t="s">
        <v>2113</v>
      </c>
      <c r="L96">
        <f>F113</f>
        <v>29364.624</v>
      </c>
      <c r="N96">
        <f>F114</f>
        <v>157.69999999999999</v>
      </c>
      <c r="O96">
        <f>F117</f>
        <v>407.91899999999998</v>
      </c>
      <c r="P96">
        <f>F116</f>
        <v>6178.32</v>
      </c>
      <c r="Q96">
        <f>F115</f>
        <v>362.6</v>
      </c>
      <c r="R96">
        <f t="shared" si="1"/>
        <v>36471.163</v>
      </c>
    </row>
    <row r="97" spans="1:19">
      <c r="A97" s="80"/>
      <c r="B97" s="81"/>
      <c r="C97" s="81"/>
      <c r="D97" s="81"/>
      <c r="E97" s="80"/>
      <c r="F97" s="80"/>
      <c r="K97" t="s">
        <v>259</v>
      </c>
      <c r="L97">
        <f>F118</f>
        <v>12029.02</v>
      </c>
      <c r="R97">
        <f t="shared" si="1"/>
        <v>12029.02</v>
      </c>
    </row>
    <row r="98" spans="1:19">
      <c r="A98" s="80" t="s">
        <v>3822</v>
      </c>
      <c r="B98" s="81" t="s">
        <v>807</v>
      </c>
      <c r="C98" s="81" t="s">
        <v>268</v>
      </c>
      <c r="D98" s="81" t="s">
        <v>254</v>
      </c>
      <c r="E98" s="80">
        <v>14361</v>
      </c>
      <c r="F98" s="80">
        <v>1069.432</v>
      </c>
      <c r="K98" t="s">
        <v>488</v>
      </c>
      <c r="O98">
        <f>F111</f>
        <v>21.81</v>
      </c>
      <c r="R98">
        <f t="shared" si="1"/>
        <v>21.81</v>
      </c>
    </row>
    <row r="99" spans="1:19">
      <c r="A99" s="80" t="s">
        <v>3824</v>
      </c>
      <c r="B99" s="81" t="s">
        <v>807</v>
      </c>
      <c r="C99" s="81" t="s">
        <v>268</v>
      </c>
      <c r="D99" s="81" t="s">
        <v>258</v>
      </c>
      <c r="E99" s="80">
        <v>6173</v>
      </c>
      <c r="F99" s="80">
        <v>104.3</v>
      </c>
      <c r="K99" t="s">
        <v>3818</v>
      </c>
      <c r="O99">
        <f>F102</f>
        <v>100.85899999999999</v>
      </c>
      <c r="R99">
        <f t="shared" si="1"/>
        <v>100.85899999999999</v>
      </c>
      <c r="S99">
        <f>SUM(R93:R99)</f>
        <v>60753.2</v>
      </c>
    </row>
    <row r="100" spans="1:19">
      <c r="A100" s="80" t="s">
        <v>3825</v>
      </c>
      <c r="B100" s="81" t="s">
        <v>807</v>
      </c>
      <c r="C100" s="81" t="s">
        <v>268</v>
      </c>
      <c r="D100" s="81" t="s">
        <v>261</v>
      </c>
      <c r="E100" s="80">
        <v>512</v>
      </c>
      <c r="F100" s="80">
        <v>127.733</v>
      </c>
      <c r="S100">
        <f>52701-S99</f>
        <v>-8052.1999999999971</v>
      </c>
    </row>
    <row r="101" spans="1:19">
      <c r="A101" s="80"/>
      <c r="B101" s="81"/>
      <c r="C101" s="81"/>
      <c r="D101" s="81"/>
      <c r="E101" s="80"/>
      <c r="F101" s="80"/>
    </row>
    <row r="102" spans="1:19">
      <c r="A102" s="80" t="s">
        <v>3826</v>
      </c>
      <c r="B102" s="81" t="s">
        <v>807</v>
      </c>
      <c r="C102" s="81" t="s">
        <v>3823</v>
      </c>
      <c r="D102" s="81" t="s">
        <v>261</v>
      </c>
      <c r="E102" s="80">
        <v>448</v>
      </c>
      <c r="F102" s="80">
        <v>100.85899999999999</v>
      </c>
    </row>
    <row r="103" spans="1:19">
      <c r="A103" s="80"/>
      <c r="B103" s="81"/>
      <c r="C103" s="81"/>
      <c r="D103" s="81"/>
      <c r="E103" s="80"/>
      <c r="F103" s="80"/>
    </row>
    <row r="104" spans="1:19">
      <c r="A104" s="80" t="s">
        <v>3827</v>
      </c>
      <c r="B104" s="81" t="s">
        <v>807</v>
      </c>
      <c r="C104" s="81" t="s">
        <v>264</v>
      </c>
      <c r="D104" s="81" t="s">
        <v>256</v>
      </c>
      <c r="E104" s="80">
        <v>5926</v>
      </c>
      <c r="F104" s="80">
        <v>74.959999999999994</v>
      </c>
    </row>
    <row r="105" spans="1:19">
      <c r="A105" s="80" t="s">
        <v>3828</v>
      </c>
      <c r="B105" s="81" t="s">
        <v>807</v>
      </c>
      <c r="C105" s="81" t="s">
        <v>264</v>
      </c>
      <c r="D105" s="81" t="s">
        <v>254</v>
      </c>
      <c r="E105" s="80">
        <v>3408</v>
      </c>
      <c r="F105" s="80">
        <f>1744.9+3.36+16.43+0</f>
        <v>1764.69</v>
      </c>
    </row>
    <row r="106" spans="1:19">
      <c r="A106" s="80" t="s">
        <v>3829</v>
      </c>
      <c r="B106" s="81" t="s">
        <v>807</v>
      </c>
      <c r="C106" s="81" t="s">
        <v>264</v>
      </c>
      <c r="D106" s="81" t="s">
        <v>258</v>
      </c>
      <c r="E106" s="80">
        <v>2876</v>
      </c>
      <c r="F106" s="80">
        <f>2280.374+1.8+5.25</f>
        <v>2287.424</v>
      </c>
    </row>
    <row r="107" spans="1:19">
      <c r="A107" s="80" t="s">
        <v>3830</v>
      </c>
      <c r="B107" s="81" t="s">
        <v>807</v>
      </c>
      <c r="C107" s="81" t="s">
        <v>264</v>
      </c>
      <c r="D107" s="81" t="s">
        <v>265</v>
      </c>
      <c r="E107" s="80">
        <v>166</v>
      </c>
      <c r="F107" s="80">
        <v>1567.6</v>
      </c>
    </row>
    <row r="108" spans="1:19">
      <c r="A108" s="80" t="s">
        <v>3831</v>
      </c>
      <c r="B108" s="81" t="s">
        <v>807</v>
      </c>
      <c r="C108" s="81" t="s">
        <v>264</v>
      </c>
      <c r="D108" s="81" t="s">
        <v>266</v>
      </c>
      <c r="E108" s="80">
        <v>603</v>
      </c>
      <c r="F108" s="80">
        <f>2435.03+24</f>
        <v>2459.0300000000002</v>
      </c>
    </row>
    <row r="109" spans="1:19">
      <c r="A109" s="80" t="s">
        <v>3832</v>
      </c>
      <c r="B109" s="81" t="s">
        <v>807</v>
      </c>
      <c r="C109" s="81" t="s">
        <v>264</v>
      </c>
      <c r="D109" s="81" t="s">
        <v>261</v>
      </c>
      <c r="E109" s="80">
        <v>1684</v>
      </c>
      <c r="F109" s="80">
        <v>413.04199999999997</v>
      </c>
    </row>
    <row r="110" spans="1:19">
      <c r="A110" s="80"/>
      <c r="B110" s="81"/>
      <c r="C110" s="81"/>
      <c r="D110" s="81"/>
      <c r="E110" s="80"/>
      <c r="F110" s="80"/>
    </row>
    <row r="111" spans="1:19">
      <c r="A111" s="80" t="s">
        <v>3833</v>
      </c>
      <c r="B111" s="81" t="s">
        <v>807</v>
      </c>
      <c r="C111" s="81" t="s">
        <v>488</v>
      </c>
      <c r="D111" s="81" t="s">
        <v>258</v>
      </c>
      <c r="E111" s="80">
        <v>18</v>
      </c>
      <c r="F111" s="80">
        <v>21.81</v>
      </c>
    </row>
    <row r="112" spans="1:19">
      <c r="A112" s="80"/>
      <c r="B112" s="81"/>
      <c r="C112" s="81"/>
      <c r="D112" s="81"/>
      <c r="E112" s="80"/>
      <c r="F112" s="80"/>
    </row>
    <row r="113" spans="1:7">
      <c r="A113" s="80" t="s">
        <v>3834</v>
      </c>
      <c r="B113" s="81" t="s">
        <v>807</v>
      </c>
      <c r="C113" s="81" t="s">
        <v>267</v>
      </c>
      <c r="D113" s="81" t="s">
        <v>254</v>
      </c>
      <c r="E113" s="80">
        <v>46761</v>
      </c>
      <c r="F113" s="80">
        <f>28611.25+353+400.374</f>
        <v>29364.624</v>
      </c>
    </row>
    <row r="114" spans="1:7">
      <c r="A114" s="80" t="s">
        <v>3835</v>
      </c>
      <c r="B114" s="81" t="s">
        <v>807</v>
      </c>
      <c r="C114" s="81" t="s">
        <v>267</v>
      </c>
      <c r="D114" s="81" t="s">
        <v>258</v>
      </c>
      <c r="E114" s="80">
        <v>81</v>
      </c>
      <c r="F114" s="80">
        <v>157.69999999999999</v>
      </c>
    </row>
    <row r="115" spans="1:7">
      <c r="A115" s="80" t="s">
        <v>3816</v>
      </c>
      <c r="B115" s="81" t="s">
        <v>807</v>
      </c>
      <c r="C115" s="81" t="s">
        <v>267</v>
      </c>
      <c r="D115" s="81" t="s">
        <v>265</v>
      </c>
      <c r="E115" s="80">
        <v>142</v>
      </c>
      <c r="F115" s="80">
        <v>362.6</v>
      </c>
    </row>
    <row r="116" spans="1:7">
      <c r="A116" s="80" t="s">
        <v>3817</v>
      </c>
      <c r="B116" s="81" t="s">
        <v>807</v>
      </c>
      <c r="C116" s="81" t="s">
        <v>267</v>
      </c>
      <c r="D116" s="81" t="s">
        <v>266</v>
      </c>
      <c r="E116" s="80">
        <v>783</v>
      </c>
      <c r="F116" s="80">
        <v>6178.32</v>
      </c>
    </row>
    <row r="117" spans="1:7">
      <c r="A117" s="80" t="s">
        <v>3836</v>
      </c>
      <c r="B117" s="81" t="s">
        <v>807</v>
      </c>
      <c r="C117" s="81" t="s">
        <v>267</v>
      </c>
      <c r="D117" s="81" t="s">
        <v>261</v>
      </c>
      <c r="E117" s="80">
        <v>2219</v>
      </c>
      <c r="F117" s="80">
        <v>407.91899999999998</v>
      </c>
    </row>
    <row r="118" spans="1:7">
      <c r="A118" s="80" t="s">
        <v>3838</v>
      </c>
      <c r="B118" s="81" t="s">
        <v>807</v>
      </c>
      <c r="C118" s="81" t="s">
        <v>253</v>
      </c>
      <c r="D118" s="81" t="s">
        <v>254</v>
      </c>
      <c r="E118" s="80">
        <v>5804</v>
      </c>
      <c r="F118" s="80">
        <f>11946.02+83</f>
        <v>12029.02</v>
      </c>
    </row>
    <row r="119" spans="1:7">
      <c r="B119" s="82"/>
      <c r="C119" s="82"/>
      <c r="D119" s="82"/>
      <c r="E119" s="83" t="s">
        <v>572</v>
      </c>
      <c r="F119" s="83">
        <f>SUM(F2:F118)</f>
        <v>367998.82599999988</v>
      </c>
      <c r="G119" s="83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6"/>
  <sheetViews>
    <sheetView zoomScaleSheetLayoutView="100" workbookViewId="0">
      <selection activeCell="F24" sqref="F24"/>
    </sheetView>
  </sheetViews>
  <sheetFormatPr defaultColWidth="9" defaultRowHeight="12.75"/>
  <cols>
    <col min="1" max="1" width="20.5703125" customWidth="1"/>
    <col min="7" max="7" width="14.7109375" customWidth="1"/>
    <col min="8" max="8" width="12.28515625" customWidth="1"/>
  </cols>
  <sheetData>
    <row r="2" spans="1:8" ht="18">
      <c r="A2" s="31"/>
      <c r="C2" s="32"/>
      <c r="D2" s="32"/>
      <c r="E2" s="32"/>
      <c r="F2" s="32"/>
      <c r="G2" s="33"/>
    </row>
    <row r="3" spans="1:8" ht="18">
      <c r="A3" s="3141" t="s">
        <v>3863</v>
      </c>
      <c r="B3" s="3056"/>
      <c r="C3" s="3056"/>
      <c r="D3" s="3056"/>
      <c r="E3" s="3056"/>
      <c r="F3" s="3056"/>
      <c r="G3" s="3056"/>
      <c r="H3" s="3142"/>
    </row>
    <row r="4" spans="1:8" ht="15">
      <c r="A4" s="37" t="s">
        <v>622</v>
      </c>
      <c r="B4" s="38" t="s">
        <v>519</v>
      </c>
      <c r="C4" s="38" t="s">
        <v>41</v>
      </c>
      <c r="D4" s="38" t="s">
        <v>170</v>
      </c>
      <c r="E4" s="38" t="s">
        <v>2246</v>
      </c>
      <c r="F4" s="38" t="s">
        <v>121</v>
      </c>
      <c r="G4" s="38" t="s">
        <v>2351</v>
      </c>
      <c r="H4" s="39" t="s">
        <v>2412</v>
      </c>
    </row>
    <row r="5" spans="1:8" ht="15">
      <c r="A5" s="40"/>
      <c r="B5" s="41"/>
      <c r="C5" s="42" t="s">
        <v>312</v>
      </c>
      <c r="D5" s="42" t="s">
        <v>312</v>
      </c>
      <c r="E5" s="42" t="s">
        <v>312</v>
      </c>
      <c r="F5" s="42" t="s">
        <v>312</v>
      </c>
      <c r="G5" s="42" t="s">
        <v>312</v>
      </c>
      <c r="H5" s="43"/>
    </row>
    <row r="6" spans="1:8" ht="15">
      <c r="A6" s="44" t="s">
        <v>633</v>
      </c>
      <c r="B6" s="41" t="s">
        <v>634</v>
      </c>
      <c r="C6" s="45">
        <v>95281</v>
      </c>
      <c r="D6" s="42">
        <v>101156</v>
      </c>
      <c r="E6" s="45">
        <v>103648</v>
      </c>
      <c r="F6" s="45">
        <v>80043</v>
      </c>
      <c r="G6" s="46">
        <v>92183</v>
      </c>
      <c r="H6" s="47">
        <v>78113</v>
      </c>
    </row>
    <row r="7" spans="1:8" ht="15">
      <c r="A7" s="44" t="s">
        <v>156</v>
      </c>
      <c r="B7" s="41" t="s">
        <v>634</v>
      </c>
      <c r="C7" s="42">
        <v>80905</v>
      </c>
      <c r="D7" s="48">
        <v>93629</v>
      </c>
      <c r="E7" s="48">
        <v>101789</v>
      </c>
      <c r="F7" s="48">
        <v>70985</v>
      </c>
      <c r="G7" s="49">
        <v>84797</v>
      </c>
      <c r="H7" s="50">
        <v>77070</v>
      </c>
    </row>
    <row r="8" spans="1:8" ht="15.75">
      <c r="A8" s="44" t="s">
        <v>2059</v>
      </c>
      <c r="B8" s="41" t="s">
        <v>634</v>
      </c>
      <c r="C8" s="42">
        <v>14376</v>
      </c>
      <c r="D8" s="42">
        <v>7529</v>
      </c>
      <c r="E8" s="51">
        <v>1859</v>
      </c>
      <c r="F8" s="51">
        <v>9058</v>
      </c>
      <c r="G8" s="51">
        <v>7386</v>
      </c>
      <c r="H8" s="52">
        <v>1043</v>
      </c>
    </row>
    <row r="9" spans="1:8" ht="15">
      <c r="A9" s="44" t="s">
        <v>738</v>
      </c>
      <c r="B9" s="41" t="s">
        <v>634</v>
      </c>
      <c r="C9" s="42">
        <v>1886</v>
      </c>
      <c r="D9" s="42">
        <v>1993</v>
      </c>
      <c r="E9" s="51">
        <v>2012</v>
      </c>
      <c r="F9" s="51">
        <v>1155</v>
      </c>
      <c r="G9" s="51">
        <v>1831</v>
      </c>
      <c r="H9" s="53">
        <v>1560</v>
      </c>
    </row>
    <row r="10" spans="1:8" ht="15">
      <c r="A10" s="44" t="s">
        <v>3864</v>
      </c>
      <c r="B10" s="41"/>
      <c r="C10" s="48">
        <f>+C9/12</f>
        <v>157.16666666666666</v>
      </c>
      <c r="D10" s="48">
        <f>+D9/12</f>
        <v>166.08333333333334</v>
      </c>
      <c r="E10" s="48">
        <f>+E9/12</f>
        <v>167.66666666666666</v>
      </c>
      <c r="F10" s="48">
        <f>+F9/12</f>
        <v>96.25</v>
      </c>
      <c r="G10" s="48">
        <f>+G9/12</f>
        <v>152.58333333333334</v>
      </c>
      <c r="H10" s="50">
        <f>+H9/10</f>
        <v>156</v>
      </c>
    </row>
    <row r="11" spans="1:8" ht="15">
      <c r="A11" s="44" t="s">
        <v>3083</v>
      </c>
      <c r="B11" s="42" t="s">
        <v>634</v>
      </c>
      <c r="C11" s="42">
        <v>93550</v>
      </c>
      <c r="D11" s="42">
        <v>125950</v>
      </c>
      <c r="E11" s="42">
        <v>120486</v>
      </c>
      <c r="F11" s="42">
        <v>70417</v>
      </c>
      <c r="G11" s="51">
        <v>112826</v>
      </c>
      <c r="H11" s="54">
        <v>89554</v>
      </c>
    </row>
    <row r="12" spans="1:8" ht="15">
      <c r="A12" s="44" t="s">
        <v>2060</v>
      </c>
      <c r="B12" s="42" t="s">
        <v>634</v>
      </c>
      <c r="C12" s="42">
        <v>77516</v>
      </c>
      <c r="D12" s="48">
        <v>108901</v>
      </c>
      <c r="E12" s="48">
        <f>102586-1237</f>
        <v>101349</v>
      </c>
      <c r="F12" s="48">
        <v>58971</v>
      </c>
      <c r="G12" s="55">
        <f>108897-6381</f>
        <v>102516</v>
      </c>
      <c r="H12" s="56">
        <v>689</v>
      </c>
    </row>
    <row r="13" spans="1:8" ht="15">
      <c r="A13" s="44" t="s">
        <v>2061</v>
      </c>
      <c r="B13" s="42" t="s">
        <v>634</v>
      </c>
      <c r="C13" s="42">
        <f>89108-77516</f>
        <v>11592</v>
      </c>
      <c r="D13" s="48">
        <f>115695-108912</f>
        <v>6783</v>
      </c>
      <c r="E13" s="48">
        <v>1237</v>
      </c>
      <c r="F13" s="48">
        <v>10003</v>
      </c>
      <c r="G13" s="51">
        <v>9381</v>
      </c>
      <c r="H13" s="57">
        <f>83756-689</f>
        <v>83067</v>
      </c>
    </row>
    <row r="14" spans="1:8" ht="15">
      <c r="A14" s="44" t="s">
        <v>521</v>
      </c>
      <c r="B14" s="42" t="s">
        <v>634</v>
      </c>
      <c r="C14" s="48">
        <f>+C12+C13</f>
        <v>89108</v>
      </c>
      <c r="D14" s="48">
        <f>+D12+D13</f>
        <v>115684</v>
      </c>
      <c r="E14" s="49">
        <f>+E13+E12</f>
        <v>102586</v>
      </c>
      <c r="F14" s="49">
        <f>+F13+F12</f>
        <v>68974</v>
      </c>
      <c r="G14" s="55">
        <f>+G13+G12</f>
        <v>111897</v>
      </c>
      <c r="H14" s="58">
        <f>+H13+H12</f>
        <v>83756</v>
      </c>
    </row>
    <row r="15" spans="1:8" ht="15">
      <c r="A15" s="59" t="s">
        <v>142</v>
      </c>
      <c r="B15" s="60" t="s">
        <v>634</v>
      </c>
      <c r="C15" s="60">
        <v>95919</v>
      </c>
      <c r="D15" s="60">
        <v>116118</v>
      </c>
      <c r="E15" s="60">
        <v>97975</v>
      </c>
      <c r="F15" s="60">
        <v>74336</v>
      </c>
      <c r="G15" s="61">
        <v>108595</v>
      </c>
      <c r="H15" s="62">
        <v>85558</v>
      </c>
    </row>
    <row r="16" spans="1:8">
      <c r="A16" s="31"/>
      <c r="H16" s="63"/>
    </row>
    <row r="17" spans="1:8">
      <c r="A17" s="31"/>
      <c r="H17" s="63"/>
    </row>
    <row r="18" spans="1:8">
      <c r="A18" s="31"/>
      <c r="H18" s="63"/>
    </row>
    <row r="19" spans="1:8">
      <c r="A19" s="31"/>
      <c r="H19" s="63"/>
    </row>
    <row r="20" spans="1:8" ht="18">
      <c r="A20" s="3141" t="s">
        <v>3071</v>
      </c>
      <c r="B20" s="3056"/>
      <c r="C20" s="3056"/>
      <c r="D20" s="3056"/>
      <c r="E20" s="3056"/>
      <c r="F20" s="3056"/>
      <c r="G20" s="3056"/>
      <c r="H20" s="3142"/>
    </row>
    <row r="21" spans="1:8">
      <c r="A21" s="40"/>
      <c r="B21" s="55" t="s">
        <v>519</v>
      </c>
      <c r="C21" s="41" t="s">
        <v>41</v>
      </c>
      <c r="D21" s="41" t="s">
        <v>170</v>
      </c>
      <c r="E21" s="41" t="s">
        <v>171</v>
      </c>
      <c r="F21" s="41" t="s">
        <v>807</v>
      </c>
      <c r="G21" s="64" t="s">
        <v>808</v>
      </c>
      <c r="H21" s="64" t="s">
        <v>3865</v>
      </c>
    </row>
    <row r="22" spans="1:8">
      <c r="A22" s="40"/>
      <c r="B22" s="55"/>
      <c r="C22" s="41" t="s">
        <v>312</v>
      </c>
      <c r="D22" s="41" t="s">
        <v>312</v>
      </c>
      <c r="E22" s="41" t="s">
        <v>312</v>
      </c>
      <c r="F22" s="41" t="s">
        <v>312</v>
      </c>
      <c r="G22" s="64" t="s">
        <v>312</v>
      </c>
      <c r="H22" s="64" t="s">
        <v>312</v>
      </c>
    </row>
    <row r="23" spans="1:8" ht="18">
      <c r="A23" s="65" t="s">
        <v>687</v>
      </c>
      <c r="B23" s="55"/>
      <c r="C23" s="13"/>
      <c r="D23" s="13"/>
      <c r="E23" s="13"/>
      <c r="F23" s="13"/>
      <c r="G23" s="43"/>
      <c r="H23" s="64"/>
    </row>
    <row r="24" spans="1:8">
      <c r="A24" s="66" t="s">
        <v>3072</v>
      </c>
      <c r="B24" s="55" t="s">
        <v>520</v>
      </c>
      <c r="C24" s="67">
        <v>704.65</v>
      </c>
      <c r="D24" s="67">
        <v>657.78</v>
      </c>
      <c r="E24" s="67">
        <v>660.47</v>
      </c>
      <c r="F24" s="67">
        <v>644.9</v>
      </c>
      <c r="G24" s="68">
        <v>735.16</v>
      </c>
      <c r="H24" s="64">
        <v>755</v>
      </c>
    </row>
    <row r="25" spans="1:8">
      <c r="A25" s="66" t="s">
        <v>3073</v>
      </c>
      <c r="B25" s="55" t="s">
        <v>698</v>
      </c>
      <c r="C25" s="67">
        <v>5.55</v>
      </c>
      <c r="D25" s="67">
        <v>5.49</v>
      </c>
      <c r="E25" s="67">
        <v>5.52</v>
      </c>
      <c r="F25" s="67">
        <v>5.03</v>
      </c>
      <c r="G25" s="68">
        <v>5.52</v>
      </c>
      <c r="H25" s="64">
        <v>5.71</v>
      </c>
    </row>
    <row r="26" spans="1:8">
      <c r="A26" s="66" t="s">
        <v>3074</v>
      </c>
      <c r="B26" s="55" t="s">
        <v>320</v>
      </c>
      <c r="C26" s="41">
        <v>96.42</v>
      </c>
      <c r="D26" s="41">
        <v>96.59</v>
      </c>
      <c r="E26" s="41">
        <v>96.56</v>
      </c>
      <c r="F26" s="69">
        <v>96.5</v>
      </c>
      <c r="G26" s="64">
        <v>96.61</v>
      </c>
      <c r="H26" s="64">
        <v>96.6</v>
      </c>
    </row>
    <row r="27" spans="1:8">
      <c r="A27" s="66" t="s">
        <v>3866</v>
      </c>
      <c r="B27" s="55" t="s">
        <v>3867</v>
      </c>
      <c r="C27" s="41">
        <v>0.27700000000000002</v>
      </c>
      <c r="D27" s="41">
        <v>0.32600000000000001</v>
      </c>
      <c r="E27" s="41">
        <v>0.32800000000000001</v>
      </c>
      <c r="F27" s="69">
        <v>0.79100000000000004</v>
      </c>
      <c r="G27" s="64">
        <v>0.52300000000000002</v>
      </c>
      <c r="H27" s="64">
        <v>0.442</v>
      </c>
    </row>
    <row r="28" spans="1:8" ht="20.25">
      <c r="A28" s="70" t="s">
        <v>711</v>
      </c>
      <c r="B28" s="55"/>
      <c r="C28" s="13"/>
      <c r="D28" s="13"/>
      <c r="E28" s="13"/>
      <c r="F28" s="13"/>
      <c r="G28" s="43"/>
      <c r="H28" s="64"/>
    </row>
    <row r="29" spans="1:8">
      <c r="A29" s="66" t="s">
        <v>3075</v>
      </c>
      <c r="B29" s="55" t="s">
        <v>520</v>
      </c>
      <c r="C29" s="69">
        <v>116.54</v>
      </c>
      <c r="D29" s="69">
        <v>104.34</v>
      </c>
      <c r="E29" s="69">
        <v>104.15</v>
      </c>
      <c r="F29" s="69">
        <v>131.16999999999999</v>
      </c>
      <c r="G29" s="71">
        <v>106.01</v>
      </c>
      <c r="H29" s="71">
        <v>104.96</v>
      </c>
    </row>
    <row r="30" spans="1:8">
      <c r="A30" s="66" t="s">
        <v>3866</v>
      </c>
      <c r="B30" s="55" t="s">
        <v>3867</v>
      </c>
      <c r="C30" s="72">
        <v>0.439</v>
      </c>
      <c r="D30" s="72">
        <v>0.45100000000000001</v>
      </c>
      <c r="E30" s="72">
        <v>0.45200000000000001</v>
      </c>
      <c r="F30" s="72">
        <v>0.498</v>
      </c>
      <c r="G30" s="73">
        <v>0.48799999999999999</v>
      </c>
      <c r="H30" s="73">
        <v>0.50800000000000001</v>
      </c>
    </row>
    <row r="31" spans="1:8">
      <c r="A31" s="74" t="s">
        <v>702</v>
      </c>
      <c r="B31" s="75" t="s">
        <v>320</v>
      </c>
      <c r="C31" s="76">
        <v>88.57</v>
      </c>
      <c r="D31" s="76">
        <v>89.64</v>
      </c>
      <c r="E31" s="76">
        <v>89.03</v>
      </c>
      <c r="F31" s="76">
        <v>89.76</v>
      </c>
      <c r="G31" s="77">
        <v>89.4</v>
      </c>
      <c r="H31" s="77">
        <v>88.58</v>
      </c>
    </row>
    <row r="32" spans="1:8">
      <c r="A32" s="31"/>
      <c r="H32" s="63"/>
    </row>
    <row r="33" spans="1:8" ht="20.25">
      <c r="A33" s="70" t="s">
        <v>1279</v>
      </c>
      <c r="B33" s="55"/>
      <c r="C33" s="13"/>
      <c r="D33" s="13"/>
      <c r="E33" s="13"/>
      <c r="F33" s="13"/>
      <c r="G33" s="43"/>
      <c r="H33" s="64"/>
    </row>
    <row r="34" spans="1:8">
      <c r="A34" s="66" t="s">
        <v>3075</v>
      </c>
      <c r="B34" s="55" t="s">
        <v>520</v>
      </c>
      <c r="C34" s="69">
        <v>256</v>
      </c>
      <c r="D34" s="69">
        <v>243</v>
      </c>
      <c r="E34" s="69">
        <v>246</v>
      </c>
      <c r="F34" s="69">
        <v>266</v>
      </c>
      <c r="G34" s="71">
        <v>216</v>
      </c>
      <c r="H34" s="71">
        <v>206</v>
      </c>
    </row>
    <row r="35" spans="1:8">
      <c r="A35" s="66" t="s">
        <v>3866</v>
      </c>
      <c r="B35" s="55" t="s">
        <v>3867</v>
      </c>
      <c r="C35" s="76">
        <v>3.84</v>
      </c>
      <c r="D35" s="76">
        <v>3.89</v>
      </c>
      <c r="E35" s="76">
        <v>3.92</v>
      </c>
      <c r="F35" s="76">
        <v>3.72</v>
      </c>
      <c r="G35" s="77">
        <v>3.37</v>
      </c>
      <c r="H35" s="77">
        <v>3.07</v>
      </c>
    </row>
    <row r="36" spans="1:8">
      <c r="A36" s="7"/>
      <c r="B36" s="8"/>
      <c r="C36" s="8"/>
      <c r="D36" s="8"/>
      <c r="E36" s="8"/>
      <c r="F36" s="8"/>
      <c r="G36" s="8"/>
      <c r="H36" s="9"/>
    </row>
  </sheetData>
  <mergeCells count="2">
    <mergeCell ref="A3:H3"/>
    <mergeCell ref="A20:H20"/>
  </mergeCell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S27"/>
  <sheetViews>
    <sheetView zoomScaleSheetLayoutView="100" workbookViewId="0">
      <selection activeCell="C45" sqref="C45"/>
    </sheetView>
  </sheetViews>
  <sheetFormatPr defaultColWidth="9" defaultRowHeight="12.75"/>
  <cols>
    <col min="1" max="1" width="19.5703125" customWidth="1"/>
    <col min="2" max="2" width="9.5703125" customWidth="1"/>
  </cols>
  <sheetData>
    <row r="5" spans="1:19" ht="18">
      <c r="A5" s="2970" t="s">
        <v>3868</v>
      </c>
      <c r="B5" s="2971"/>
      <c r="C5" s="2971"/>
      <c r="D5" s="2971"/>
      <c r="E5" s="2971"/>
      <c r="F5" s="2971"/>
      <c r="G5" s="2971"/>
      <c r="H5" s="2971"/>
      <c r="I5" s="2971"/>
      <c r="J5" s="2971"/>
      <c r="K5" s="2971"/>
      <c r="L5" s="2971"/>
      <c r="M5" s="2971"/>
      <c r="N5" s="2971"/>
      <c r="O5" s="2971"/>
      <c r="P5" s="2971"/>
      <c r="Q5" s="2971"/>
      <c r="R5" s="2971"/>
      <c r="S5" s="2972"/>
    </row>
    <row r="6" spans="1:19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4"/>
    </row>
    <row r="7" spans="1:19">
      <c r="A7" s="17" t="s">
        <v>477</v>
      </c>
      <c r="B7" s="18" t="s">
        <v>519</v>
      </c>
      <c r="C7" s="18" t="s">
        <v>3869</v>
      </c>
      <c r="D7" s="2793" t="s">
        <v>242</v>
      </c>
      <c r="E7" s="2793"/>
      <c r="F7" s="2793" t="s">
        <v>243</v>
      </c>
      <c r="G7" s="2793"/>
      <c r="H7" s="2793" t="s">
        <v>244</v>
      </c>
      <c r="I7" s="2793"/>
      <c r="J7" s="2793" t="s">
        <v>245</v>
      </c>
      <c r="K7" s="2793"/>
      <c r="L7" s="2793" t="s">
        <v>3870</v>
      </c>
      <c r="M7" s="2793"/>
      <c r="N7" s="2793" t="s">
        <v>2411</v>
      </c>
      <c r="O7" s="2793"/>
      <c r="P7" s="2793" t="s">
        <v>2412</v>
      </c>
      <c r="Q7" s="2793"/>
      <c r="R7" s="2793" t="s">
        <v>2351</v>
      </c>
      <c r="S7" s="2802"/>
    </row>
    <row r="8" spans="1:19">
      <c r="A8" s="17"/>
      <c r="B8" s="18"/>
      <c r="C8" s="18"/>
      <c r="D8" s="18" t="s">
        <v>275</v>
      </c>
      <c r="E8" s="18" t="s">
        <v>312</v>
      </c>
      <c r="F8" s="18" t="s">
        <v>639</v>
      </c>
      <c r="G8" s="18" t="s">
        <v>312</v>
      </c>
      <c r="H8" s="18" t="s">
        <v>639</v>
      </c>
      <c r="I8" s="18" t="s">
        <v>312</v>
      </c>
      <c r="J8" s="18" t="s">
        <v>639</v>
      </c>
      <c r="K8" s="18" t="s">
        <v>312</v>
      </c>
      <c r="L8" s="18" t="s">
        <v>275</v>
      </c>
      <c r="M8" s="18" t="s">
        <v>312</v>
      </c>
      <c r="N8" s="18" t="s">
        <v>275</v>
      </c>
      <c r="O8" s="18" t="s">
        <v>312</v>
      </c>
      <c r="P8" s="18" t="s">
        <v>275</v>
      </c>
      <c r="Q8" s="18" t="s">
        <v>312</v>
      </c>
      <c r="R8" s="18" t="s">
        <v>275</v>
      </c>
      <c r="S8" s="24" t="s">
        <v>312</v>
      </c>
    </row>
    <row r="9" spans="1:19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4"/>
    </row>
    <row r="10" spans="1:19">
      <c r="A10" s="17" t="s">
        <v>36</v>
      </c>
      <c r="B10" s="18" t="s">
        <v>463</v>
      </c>
      <c r="C10" s="18">
        <v>119338</v>
      </c>
      <c r="D10" s="18">
        <v>9943</v>
      </c>
      <c r="E10" s="18">
        <v>8663</v>
      </c>
      <c r="F10" s="18">
        <v>9960</v>
      </c>
      <c r="G10" s="18">
        <v>9335</v>
      </c>
      <c r="H10" s="18">
        <v>9943</v>
      </c>
      <c r="I10" s="18">
        <v>7516</v>
      </c>
      <c r="J10" s="18">
        <v>9962</v>
      </c>
      <c r="K10" s="18">
        <v>7063</v>
      </c>
      <c r="L10" s="18">
        <f>+F10+D10+H10+J10</f>
        <v>39808</v>
      </c>
      <c r="M10" s="18">
        <f>+G10+E10+I10+K10</f>
        <v>32577</v>
      </c>
      <c r="N10" s="18">
        <v>98668</v>
      </c>
      <c r="O10" s="18">
        <v>108356</v>
      </c>
      <c r="P10" s="18">
        <v>90977</v>
      </c>
      <c r="Q10" s="18">
        <v>96037</v>
      </c>
      <c r="R10" s="18">
        <v>73228</v>
      </c>
      <c r="S10" s="24">
        <v>92183</v>
      </c>
    </row>
    <row r="11" spans="1:19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24"/>
    </row>
    <row r="12" spans="1:19">
      <c r="A12" s="17" t="s">
        <v>37</v>
      </c>
      <c r="B12" s="18" t="s">
        <v>463</v>
      </c>
      <c r="C12" s="18">
        <v>130650</v>
      </c>
      <c r="D12" s="18">
        <v>10967</v>
      </c>
      <c r="E12" s="18">
        <v>10001</v>
      </c>
      <c r="F12" s="18">
        <v>10729</v>
      </c>
      <c r="G12" s="18">
        <v>6750</v>
      </c>
      <c r="H12" s="18">
        <v>10972</v>
      </c>
      <c r="I12" s="18">
        <v>10370</v>
      </c>
      <c r="J12" s="18">
        <v>10972</v>
      </c>
      <c r="K12" s="18">
        <v>9043</v>
      </c>
      <c r="L12" s="18">
        <f>+F12+D12+H12+J12</f>
        <v>43640</v>
      </c>
      <c r="M12" s="18">
        <f>+G12+E12+I12+K12</f>
        <v>36164</v>
      </c>
      <c r="N12" s="18">
        <v>118900</v>
      </c>
      <c r="O12" s="18">
        <v>119011</v>
      </c>
      <c r="P12" s="18">
        <v>117544</v>
      </c>
      <c r="Q12" s="18">
        <v>101809</v>
      </c>
      <c r="R12" s="18">
        <v>108876</v>
      </c>
      <c r="S12" s="24">
        <v>108897</v>
      </c>
    </row>
    <row r="13" spans="1:19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4"/>
    </row>
    <row r="14" spans="1:19">
      <c r="A14" s="17" t="s">
        <v>142</v>
      </c>
      <c r="B14" s="18" t="s">
        <v>463</v>
      </c>
      <c r="C14" s="18">
        <v>132650</v>
      </c>
      <c r="D14" s="18">
        <v>11117</v>
      </c>
      <c r="E14" s="18">
        <v>10611</v>
      </c>
      <c r="F14" s="18">
        <v>10879</v>
      </c>
      <c r="G14" s="18">
        <v>9163</v>
      </c>
      <c r="H14" s="18">
        <v>11172</v>
      </c>
      <c r="I14" s="18">
        <v>9846</v>
      </c>
      <c r="J14" s="18">
        <v>11122</v>
      </c>
      <c r="K14" s="18">
        <v>10085</v>
      </c>
      <c r="L14" s="18">
        <f>+F14+D14+H14+J14</f>
        <v>44290</v>
      </c>
      <c r="M14" s="18">
        <f>+G14+E14+I14+K14</f>
        <v>39705</v>
      </c>
      <c r="N14" s="18">
        <v>120900</v>
      </c>
      <c r="O14" s="18">
        <v>118427</v>
      </c>
      <c r="P14" s="18">
        <v>119544</v>
      </c>
      <c r="Q14" s="18">
        <v>102847</v>
      </c>
      <c r="R14" s="18">
        <v>110876</v>
      </c>
      <c r="S14" s="24">
        <v>108595</v>
      </c>
    </row>
    <row r="15" spans="1:19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4"/>
    </row>
    <row r="16" spans="1:19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4"/>
    </row>
    <row r="17" spans="1:19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24"/>
    </row>
    <row r="18" spans="1:19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24"/>
    </row>
    <row r="19" spans="1:19">
      <c r="A19" s="2794" t="s">
        <v>3871</v>
      </c>
      <c r="B19" s="2793"/>
      <c r="C19" s="2793"/>
      <c r="D19" s="2793"/>
      <c r="E19" s="2793"/>
      <c r="F19" s="2793"/>
      <c r="G19" s="2793"/>
      <c r="H19" s="2793"/>
      <c r="I19" s="2793"/>
      <c r="J19" s="2793"/>
      <c r="K19" s="2793"/>
      <c r="L19" s="2793"/>
      <c r="M19" s="2793"/>
      <c r="N19" s="2793"/>
      <c r="O19" s="2793"/>
      <c r="P19" s="2793"/>
      <c r="Q19" s="2793"/>
      <c r="R19" s="2793"/>
      <c r="S19" s="2802"/>
    </row>
    <row r="20" spans="1:19">
      <c r="A20" s="17" t="s">
        <v>477</v>
      </c>
      <c r="B20" s="18" t="s">
        <v>519</v>
      </c>
      <c r="C20" s="18" t="s">
        <v>3321</v>
      </c>
      <c r="D20" s="2793" t="s">
        <v>242</v>
      </c>
      <c r="E20" s="2793"/>
      <c r="F20" s="2793" t="s">
        <v>243</v>
      </c>
      <c r="G20" s="2793"/>
      <c r="H20" s="18"/>
      <c r="I20" s="18"/>
      <c r="J20" s="18"/>
      <c r="K20" s="18"/>
      <c r="L20" s="2793" t="s">
        <v>3870</v>
      </c>
      <c r="M20" s="2793"/>
      <c r="N20" s="2793" t="s">
        <v>2411</v>
      </c>
      <c r="O20" s="2793"/>
      <c r="P20" s="2793" t="s">
        <v>2412</v>
      </c>
      <c r="Q20" s="2793"/>
      <c r="R20" s="2793" t="s">
        <v>2351</v>
      </c>
      <c r="S20" s="2802"/>
    </row>
    <row r="21" spans="1:19">
      <c r="A21" s="17"/>
      <c r="B21" s="18"/>
      <c r="C21" s="18" t="s">
        <v>684</v>
      </c>
      <c r="D21" s="18" t="s">
        <v>684</v>
      </c>
      <c r="E21" s="18" t="s">
        <v>312</v>
      </c>
      <c r="F21" s="18" t="s">
        <v>684</v>
      </c>
      <c r="G21" s="18" t="s">
        <v>312</v>
      </c>
      <c r="H21" s="18"/>
      <c r="I21" s="18"/>
      <c r="J21" s="18"/>
      <c r="K21" s="18"/>
      <c r="L21" s="18" t="s">
        <v>684</v>
      </c>
      <c r="M21" s="18" t="s">
        <v>312</v>
      </c>
      <c r="N21" s="18" t="s">
        <v>684</v>
      </c>
      <c r="O21" s="18" t="s">
        <v>312</v>
      </c>
      <c r="P21" s="18" t="s">
        <v>684</v>
      </c>
      <c r="Q21" s="18" t="s">
        <v>312</v>
      </c>
      <c r="R21" s="18" t="s">
        <v>684</v>
      </c>
      <c r="S21" s="24" t="s">
        <v>312</v>
      </c>
    </row>
    <row r="22" spans="1:19">
      <c r="A22" s="19" t="s">
        <v>3872</v>
      </c>
      <c r="B22" s="18" t="s">
        <v>3873</v>
      </c>
      <c r="C22" s="18">
        <v>4.6399999999999997</v>
      </c>
      <c r="D22" s="18">
        <v>4.6399999999999997</v>
      </c>
      <c r="E22" s="18">
        <v>4.34</v>
      </c>
      <c r="F22" s="18">
        <v>4.6399999999999997</v>
      </c>
      <c r="G22" s="18">
        <v>6.49</v>
      </c>
      <c r="H22" s="18"/>
      <c r="I22" s="18"/>
      <c r="J22" s="18"/>
      <c r="K22" s="18"/>
      <c r="L22" s="18">
        <v>4.6399999999999997</v>
      </c>
      <c r="M22" s="20">
        <v>5.2</v>
      </c>
      <c r="N22" s="18">
        <v>4.6399999999999997</v>
      </c>
      <c r="O22" s="18">
        <v>4.6500000000000004</v>
      </c>
      <c r="P22" s="18">
        <v>4.6399999999999997</v>
      </c>
      <c r="Q22" s="18" t="s">
        <v>3874</v>
      </c>
      <c r="R22" s="18">
        <v>4.6399999999999997</v>
      </c>
      <c r="S22" s="24">
        <v>4.6900000000000004</v>
      </c>
    </row>
    <row r="23" spans="1:19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24"/>
    </row>
    <row r="24" spans="1:19">
      <c r="A24" s="17" t="s">
        <v>3875</v>
      </c>
      <c r="B24" s="18" t="s">
        <v>320</v>
      </c>
      <c r="C24" s="18">
        <v>96.62</v>
      </c>
      <c r="D24" s="18">
        <v>96.62</v>
      </c>
      <c r="E24" s="18">
        <v>96.36</v>
      </c>
      <c r="F24" s="18">
        <v>96.62</v>
      </c>
      <c r="G24" s="18">
        <v>96.64</v>
      </c>
      <c r="H24" s="18"/>
      <c r="I24" s="18"/>
      <c r="J24" s="18"/>
      <c r="K24" s="18"/>
      <c r="L24" s="18">
        <v>96.62</v>
      </c>
      <c r="M24" s="20">
        <v>96.5</v>
      </c>
      <c r="N24" s="18">
        <v>96.61</v>
      </c>
      <c r="O24" s="18">
        <v>96.45</v>
      </c>
      <c r="P24" s="18">
        <v>96.61</v>
      </c>
      <c r="Q24" s="18">
        <v>96.62</v>
      </c>
      <c r="R24" s="20">
        <v>96.5</v>
      </c>
      <c r="S24" s="24">
        <v>96.61</v>
      </c>
    </row>
    <row r="25" spans="1:19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4"/>
    </row>
    <row r="26" spans="1:19">
      <c r="A26" s="17" t="s">
        <v>3876</v>
      </c>
      <c r="B26" s="18" t="s">
        <v>320</v>
      </c>
      <c r="C26" s="20">
        <v>89</v>
      </c>
      <c r="D26" s="20">
        <v>89</v>
      </c>
      <c r="E26" s="18">
        <v>89.06</v>
      </c>
      <c r="F26" s="20">
        <v>89</v>
      </c>
      <c r="G26" s="18">
        <v>89.14</v>
      </c>
      <c r="H26" s="18"/>
      <c r="I26" s="18"/>
      <c r="J26" s="18"/>
      <c r="K26" s="18"/>
      <c r="L26" s="20">
        <v>89</v>
      </c>
      <c r="M26" s="18">
        <v>89.09</v>
      </c>
      <c r="N26" s="20">
        <v>89</v>
      </c>
      <c r="O26" s="20">
        <v>88.76</v>
      </c>
      <c r="P26" s="20">
        <v>89.5</v>
      </c>
      <c r="Q26" s="20">
        <v>88.59</v>
      </c>
      <c r="R26" s="20">
        <v>90</v>
      </c>
      <c r="S26" s="25">
        <v>89.4</v>
      </c>
    </row>
    <row r="27" spans="1:19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6"/>
    </row>
  </sheetData>
  <mergeCells count="16">
    <mergeCell ref="A19:S19"/>
    <mergeCell ref="D20:E20"/>
    <mergeCell ref="F20:G20"/>
    <mergeCell ref="L20:M20"/>
    <mergeCell ref="N20:O20"/>
    <mergeCell ref="P20:Q20"/>
    <mergeCell ref="R20:S20"/>
    <mergeCell ref="A5:S5"/>
    <mergeCell ref="D7:E7"/>
    <mergeCell ref="F7:G7"/>
    <mergeCell ref="H7:I7"/>
    <mergeCell ref="J7:K7"/>
    <mergeCell ref="L7:M7"/>
    <mergeCell ref="N7:O7"/>
    <mergeCell ref="P7:Q7"/>
    <mergeCell ref="R7:S7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W68"/>
  <sheetViews>
    <sheetView topLeftCell="B1" zoomScaleSheetLayoutView="100" workbookViewId="0">
      <selection activeCell="F16" sqref="F16"/>
    </sheetView>
  </sheetViews>
  <sheetFormatPr defaultColWidth="9" defaultRowHeight="12.75"/>
  <cols>
    <col min="4" max="4" width="12.5703125" customWidth="1"/>
    <col min="5" max="5" width="11.140625" customWidth="1"/>
    <col min="6" max="6" width="19.85546875" customWidth="1"/>
    <col min="7" max="7" width="11.28515625" customWidth="1"/>
    <col min="8" max="8" width="15.7109375" customWidth="1"/>
    <col min="10" max="10" width="14.5703125" customWidth="1"/>
    <col min="11" max="11" width="11.42578125" customWidth="1"/>
    <col min="12" max="13" width="10" customWidth="1"/>
  </cols>
  <sheetData>
    <row r="1" spans="4:23" ht="20.25">
      <c r="D1" s="3134" t="s">
        <v>3877</v>
      </c>
      <c r="E1" s="3134"/>
      <c r="F1" s="3134"/>
      <c r="G1" s="3134"/>
      <c r="H1" s="3134"/>
      <c r="I1" s="3134"/>
      <c r="J1" s="3134"/>
      <c r="K1" s="3134"/>
      <c r="L1" s="3134"/>
      <c r="M1" s="3134"/>
      <c r="N1" s="3134"/>
      <c r="O1" s="3134"/>
      <c r="P1" s="3134"/>
      <c r="Q1" s="3134"/>
      <c r="R1" s="3134"/>
      <c r="S1" s="3134"/>
      <c r="T1" s="3134"/>
      <c r="U1" s="3134"/>
      <c r="V1" s="3134"/>
      <c r="W1" s="3134"/>
    </row>
    <row r="2" spans="4:23" ht="18"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3"/>
    </row>
    <row r="3" spans="4:23" ht="18">
      <c r="D3" s="11"/>
      <c r="E3" s="2967" t="s">
        <v>36</v>
      </c>
      <c r="F3" s="2967"/>
      <c r="G3" s="2967"/>
      <c r="H3" s="2967"/>
      <c r="I3" s="2967" t="s">
        <v>3878</v>
      </c>
      <c r="J3" s="2967"/>
      <c r="K3" s="2967"/>
      <c r="L3" s="2967"/>
      <c r="M3" s="11"/>
      <c r="N3" s="2967" t="s">
        <v>37</v>
      </c>
      <c r="O3" s="2967"/>
      <c r="P3" s="2967"/>
      <c r="Q3" s="2967"/>
      <c r="R3" s="11"/>
      <c r="S3" s="2967" t="s">
        <v>142</v>
      </c>
      <c r="T3" s="2967"/>
      <c r="U3" s="2967"/>
      <c r="V3" s="2967"/>
      <c r="W3" s="13"/>
    </row>
    <row r="4" spans="4:23" ht="18">
      <c r="D4" s="11"/>
      <c r="E4" s="4" t="s">
        <v>2609</v>
      </c>
      <c r="F4" s="4" t="s">
        <v>2610</v>
      </c>
      <c r="G4" s="4" t="s">
        <v>2611</v>
      </c>
      <c r="H4" s="4" t="s">
        <v>2612</v>
      </c>
      <c r="I4" s="4" t="s">
        <v>2609</v>
      </c>
      <c r="J4" s="4" t="s">
        <v>2610</v>
      </c>
      <c r="K4" s="4" t="s">
        <v>2611</v>
      </c>
      <c r="L4" s="4" t="s">
        <v>2612</v>
      </c>
      <c r="M4" s="11"/>
      <c r="N4" s="4" t="s">
        <v>2609</v>
      </c>
      <c r="O4" s="4" t="s">
        <v>2610</v>
      </c>
      <c r="P4" s="4" t="s">
        <v>2611</v>
      </c>
      <c r="Q4" s="4" t="s">
        <v>2612</v>
      </c>
      <c r="R4" s="11"/>
      <c r="S4" s="4" t="s">
        <v>2609</v>
      </c>
      <c r="T4" s="4" t="s">
        <v>2610</v>
      </c>
      <c r="U4" s="4" t="s">
        <v>2611</v>
      </c>
      <c r="V4" s="4" t="s">
        <v>2612</v>
      </c>
      <c r="W4" s="13"/>
    </row>
    <row r="5" spans="4:23" ht="18">
      <c r="D5" s="11" t="s">
        <v>34</v>
      </c>
      <c r="E5" s="11">
        <v>21400</v>
      </c>
      <c r="F5" s="11">
        <v>23632</v>
      </c>
      <c r="G5" s="11">
        <v>23431</v>
      </c>
      <c r="H5" s="11">
        <v>22257</v>
      </c>
      <c r="I5" s="11">
        <v>27429</v>
      </c>
      <c r="J5" s="11">
        <v>26727</v>
      </c>
      <c r="K5" s="11">
        <v>26035</v>
      </c>
      <c r="L5" s="11">
        <v>23318</v>
      </c>
      <c r="M5" s="11"/>
      <c r="N5" s="11">
        <v>19235</v>
      </c>
      <c r="O5" s="11">
        <v>22203</v>
      </c>
      <c r="P5" s="11">
        <v>20989</v>
      </c>
      <c r="Q5" s="11">
        <v>20113</v>
      </c>
      <c r="R5" s="11"/>
      <c r="S5" s="11">
        <v>17031</v>
      </c>
      <c r="T5" s="11">
        <v>23577</v>
      </c>
      <c r="U5" s="11">
        <v>18756</v>
      </c>
      <c r="V5" s="11">
        <v>18076</v>
      </c>
      <c r="W5" s="13"/>
    </row>
    <row r="6" spans="4:23" ht="18">
      <c r="D6" s="11" t="s">
        <v>40</v>
      </c>
      <c r="E6" s="11">
        <v>22633</v>
      </c>
      <c r="F6" s="11">
        <v>22685</v>
      </c>
      <c r="G6" s="11">
        <v>22705</v>
      </c>
      <c r="H6" s="11">
        <v>20085</v>
      </c>
      <c r="I6" s="11">
        <v>24225</v>
      </c>
      <c r="J6" s="11">
        <v>24690</v>
      </c>
      <c r="K6" s="11">
        <v>25967</v>
      </c>
      <c r="L6" s="11">
        <v>19998</v>
      </c>
      <c r="M6" s="11"/>
      <c r="N6" s="11">
        <v>21538</v>
      </c>
      <c r="O6" s="11">
        <v>21795</v>
      </c>
      <c r="P6" s="11">
        <v>21866</v>
      </c>
      <c r="Q6" s="11">
        <v>17908</v>
      </c>
      <c r="R6" s="11"/>
      <c r="S6" s="11">
        <v>21718</v>
      </c>
      <c r="T6" s="11">
        <v>18882</v>
      </c>
      <c r="U6" s="11">
        <v>20333</v>
      </c>
      <c r="V6" s="11">
        <v>19483</v>
      </c>
      <c r="W6" s="13"/>
    </row>
    <row r="7" spans="4:23" ht="18">
      <c r="D7" s="11" t="s">
        <v>41</v>
      </c>
      <c r="E7" s="11">
        <v>23192</v>
      </c>
      <c r="F7" s="11">
        <v>24809</v>
      </c>
      <c r="G7" s="11">
        <v>21950</v>
      </c>
      <c r="H7" s="11">
        <v>25331</v>
      </c>
      <c r="I7" s="11">
        <v>21192</v>
      </c>
      <c r="J7" s="11">
        <v>21290</v>
      </c>
      <c r="K7" s="11">
        <v>22467</v>
      </c>
      <c r="L7" s="11">
        <v>27870</v>
      </c>
      <c r="M7" s="11"/>
      <c r="N7" s="11">
        <v>21003</v>
      </c>
      <c r="O7" s="11">
        <v>23054</v>
      </c>
      <c r="P7" s="11">
        <v>20122</v>
      </c>
      <c r="Q7" s="11">
        <v>24830</v>
      </c>
      <c r="R7" s="11"/>
      <c r="S7" s="11">
        <v>23372</v>
      </c>
      <c r="T7" s="11">
        <v>22618</v>
      </c>
      <c r="U7" s="11">
        <v>21085</v>
      </c>
      <c r="V7" s="11">
        <v>28844</v>
      </c>
      <c r="W7" s="13"/>
    </row>
    <row r="8" spans="4:23" ht="18">
      <c r="D8" s="11" t="s">
        <v>170</v>
      </c>
      <c r="E8" s="11">
        <v>23487</v>
      </c>
      <c r="F8" s="11">
        <v>24439</v>
      </c>
      <c r="G8" s="11">
        <v>27092</v>
      </c>
      <c r="H8" s="11">
        <v>26193</v>
      </c>
      <c r="I8" s="11">
        <f>26513+1319</f>
        <v>27832</v>
      </c>
      <c r="J8" s="11">
        <f>31003+1593</f>
        <v>32596</v>
      </c>
      <c r="K8" s="11">
        <f>32445+1004</f>
        <v>33449</v>
      </c>
      <c r="L8" s="11">
        <f>31003+1059</f>
        <v>32062</v>
      </c>
      <c r="M8" s="11"/>
      <c r="N8" s="11">
        <v>29385</v>
      </c>
      <c r="O8" s="11">
        <v>29487</v>
      </c>
      <c r="P8" s="11">
        <v>29819</v>
      </c>
      <c r="Q8" s="11">
        <v>26804</v>
      </c>
      <c r="R8" s="11"/>
      <c r="S8" s="11">
        <v>27454</v>
      </c>
      <c r="T8" s="11">
        <v>30041</v>
      </c>
      <c r="U8" s="11">
        <v>29449</v>
      </c>
      <c r="V8" s="11">
        <v>29175</v>
      </c>
      <c r="W8" s="13"/>
    </row>
    <row r="9" spans="4:23" ht="18">
      <c r="D9" s="11" t="s">
        <v>171</v>
      </c>
      <c r="E9" s="11">
        <v>25970</v>
      </c>
      <c r="F9" s="11">
        <v>30366</v>
      </c>
      <c r="G9" s="11">
        <v>27693</v>
      </c>
      <c r="H9" s="11">
        <v>19619</v>
      </c>
      <c r="I9" s="11">
        <f>27737+782</f>
        <v>28519</v>
      </c>
      <c r="J9" s="11">
        <f>31904+1887</f>
        <v>33791</v>
      </c>
      <c r="K9" s="11">
        <f>30544+1663</f>
        <v>32207</v>
      </c>
      <c r="L9" s="11">
        <f>24906+1061</f>
        <v>25967</v>
      </c>
      <c r="M9" s="11"/>
      <c r="N9" s="11">
        <v>25008</v>
      </c>
      <c r="O9" s="11">
        <v>27836</v>
      </c>
      <c r="P9" s="11">
        <v>26169</v>
      </c>
      <c r="Q9" s="11">
        <v>23521</v>
      </c>
      <c r="R9" s="11"/>
      <c r="S9" s="11">
        <v>27056</v>
      </c>
      <c r="T9" s="11">
        <v>27774</v>
      </c>
      <c r="U9" s="11">
        <v>24443</v>
      </c>
      <c r="V9" s="11">
        <v>18702</v>
      </c>
      <c r="W9" s="13"/>
    </row>
    <row r="10" spans="4:23" ht="18">
      <c r="D10" s="11" t="s">
        <v>807</v>
      </c>
      <c r="E10" s="11">
        <v>6081</v>
      </c>
      <c r="F10" s="11">
        <v>14428</v>
      </c>
      <c r="G10" s="11">
        <v>16757</v>
      </c>
      <c r="H10" s="11">
        <v>20887</v>
      </c>
      <c r="I10" s="11">
        <f>5951+378</f>
        <v>6329</v>
      </c>
      <c r="J10" s="11">
        <f>17307+1297</f>
        <v>18604</v>
      </c>
      <c r="K10" s="11">
        <f>19272+1368</f>
        <v>20640</v>
      </c>
      <c r="L10" s="11">
        <f>23402+1443</f>
        <v>24845</v>
      </c>
      <c r="M10" s="11"/>
      <c r="N10" s="11">
        <v>6728</v>
      </c>
      <c r="O10" s="11">
        <v>17235</v>
      </c>
      <c r="P10" s="11">
        <v>20733</v>
      </c>
      <c r="Q10" s="11">
        <v>24295</v>
      </c>
      <c r="R10" s="11"/>
      <c r="S10" s="11">
        <v>8385</v>
      </c>
      <c r="T10" s="11">
        <v>18446</v>
      </c>
      <c r="U10" s="11">
        <v>21432</v>
      </c>
      <c r="V10" s="11">
        <v>26073</v>
      </c>
      <c r="W10" s="13"/>
    </row>
    <row r="11" spans="4:23" ht="18">
      <c r="D11" s="11" t="s">
        <v>808</v>
      </c>
      <c r="E11" s="11">
        <v>22043</v>
      </c>
      <c r="F11" s="11">
        <v>24324</v>
      </c>
      <c r="G11" s="11">
        <v>22746</v>
      </c>
      <c r="H11" s="11">
        <v>23070</v>
      </c>
      <c r="I11" s="11">
        <f>25561+1329</f>
        <v>26890</v>
      </c>
      <c r="J11" s="11">
        <f>26160+1369</f>
        <v>27529</v>
      </c>
      <c r="K11" s="11">
        <f>25126+2288</f>
        <v>27414</v>
      </c>
      <c r="L11" s="11">
        <f>2953+1450</f>
        <v>4403</v>
      </c>
      <c r="M11" s="11"/>
      <c r="N11" s="11">
        <v>27133</v>
      </c>
      <c r="O11" s="11">
        <v>27441</v>
      </c>
      <c r="P11" s="11">
        <v>26123</v>
      </c>
      <c r="Q11" s="11">
        <v>28181</v>
      </c>
      <c r="R11" s="11"/>
      <c r="S11" s="11">
        <v>26555</v>
      </c>
      <c r="T11" s="11">
        <v>28525</v>
      </c>
      <c r="U11" s="11">
        <v>25688</v>
      </c>
      <c r="V11" s="11">
        <v>27729</v>
      </c>
      <c r="W11" s="13"/>
    </row>
    <row r="12" spans="4:23" ht="18">
      <c r="D12" s="11" t="s">
        <v>809</v>
      </c>
      <c r="E12" s="11">
        <v>20266</v>
      </c>
      <c r="F12" s="11">
        <v>24493</v>
      </c>
      <c r="G12" s="11">
        <v>24358</v>
      </c>
      <c r="H12" s="11">
        <v>27005</v>
      </c>
      <c r="I12" s="11">
        <v>22925</v>
      </c>
      <c r="J12" s="11">
        <v>30187</v>
      </c>
      <c r="K12" s="11">
        <v>25670</v>
      </c>
      <c r="L12" s="11">
        <v>32717</v>
      </c>
      <c r="M12" s="11"/>
      <c r="N12" s="11">
        <v>22025</v>
      </c>
      <c r="O12" s="11">
        <v>28026</v>
      </c>
      <c r="P12" s="11">
        <v>24683</v>
      </c>
      <c r="Q12" s="11">
        <v>27075</v>
      </c>
      <c r="R12" s="11"/>
      <c r="S12" s="11">
        <v>23171</v>
      </c>
      <c r="T12" s="11">
        <v>28932</v>
      </c>
      <c r="U12" s="11">
        <v>25729</v>
      </c>
      <c r="V12" s="11">
        <v>25016</v>
      </c>
      <c r="W12" s="13"/>
    </row>
    <row r="13" spans="4:23" ht="18">
      <c r="D13" s="11" t="s">
        <v>2363</v>
      </c>
      <c r="E13" s="11">
        <v>28226</v>
      </c>
      <c r="F13" s="11">
        <v>26589</v>
      </c>
      <c r="G13" s="11">
        <v>27997</v>
      </c>
      <c r="H13" s="11">
        <v>26643</v>
      </c>
      <c r="I13" s="11">
        <v>36840</v>
      </c>
      <c r="J13" s="11">
        <v>34958</v>
      </c>
      <c r="K13" s="11">
        <v>33674</v>
      </c>
      <c r="L13" s="11">
        <v>32283</v>
      </c>
      <c r="M13" s="11"/>
      <c r="N13" s="11">
        <v>31585</v>
      </c>
      <c r="O13" s="11">
        <v>30788</v>
      </c>
      <c r="P13" s="11">
        <v>29026</v>
      </c>
      <c r="Q13" s="11">
        <v>27612</v>
      </c>
      <c r="R13" s="11"/>
      <c r="S13" s="11">
        <v>31622</v>
      </c>
      <c r="T13" s="11">
        <v>31063</v>
      </c>
      <c r="U13" s="11">
        <v>27599</v>
      </c>
      <c r="V13" s="11">
        <v>28143</v>
      </c>
      <c r="W13" s="13"/>
    </row>
    <row r="14" spans="4:23" ht="18">
      <c r="D14" s="11" t="s">
        <v>2410</v>
      </c>
      <c r="E14" s="11">
        <v>25519</v>
      </c>
      <c r="F14" s="11">
        <v>25085</v>
      </c>
      <c r="G14" s="11">
        <v>29552</v>
      </c>
      <c r="H14" s="11">
        <v>33054</v>
      </c>
      <c r="I14" s="11">
        <v>30941</v>
      </c>
      <c r="J14" s="11">
        <v>32239</v>
      </c>
      <c r="K14" s="11">
        <v>37382</v>
      </c>
      <c r="L14" s="11">
        <v>39048</v>
      </c>
      <c r="M14" s="11"/>
      <c r="N14" s="11">
        <v>27098</v>
      </c>
      <c r="O14" s="11">
        <v>27647</v>
      </c>
      <c r="P14" s="11">
        <v>31066</v>
      </c>
      <c r="Q14" s="11">
        <v>32844</v>
      </c>
      <c r="R14" s="11"/>
      <c r="S14" s="11">
        <v>29620</v>
      </c>
      <c r="T14" s="11">
        <v>30176</v>
      </c>
      <c r="U14" s="11">
        <v>29960</v>
      </c>
      <c r="V14" s="11">
        <v>32033</v>
      </c>
      <c r="W14" s="13"/>
    </row>
    <row r="15" spans="4:23" ht="18">
      <c r="D15" s="11" t="s">
        <v>274</v>
      </c>
      <c r="E15" s="12">
        <v>29842</v>
      </c>
      <c r="F15" s="12">
        <v>36617.32</v>
      </c>
      <c r="G15" s="11">
        <v>28547.18</v>
      </c>
      <c r="H15" s="12">
        <v>30911.360000000001</v>
      </c>
      <c r="I15" s="12">
        <v>33372.398000000001</v>
      </c>
      <c r="J15" s="12">
        <v>41843.31</v>
      </c>
      <c r="K15" s="12">
        <v>33522.864000000001</v>
      </c>
      <c r="L15" s="12">
        <v>35013.226999999999</v>
      </c>
      <c r="M15" s="11"/>
      <c r="N15" s="12">
        <v>28648.975000000002</v>
      </c>
      <c r="O15" s="12">
        <v>34095.758000000002</v>
      </c>
      <c r="P15" s="12">
        <v>27357.732</v>
      </c>
      <c r="Q15" s="12">
        <v>29024.550999999999</v>
      </c>
      <c r="R15" s="11"/>
      <c r="S15" s="12">
        <v>27642</v>
      </c>
      <c r="T15" s="12">
        <v>32430.423999999999</v>
      </c>
      <c r="U15" s="12">
        <v>20694.32</v>
      </c>
      <c r="V15" s="12">
        <v>31602.584999999999</v>
      </c>
      <c r="W15" s="13"/>
    </row>
    <row r="16" spans="4:23" ht="18">
      <c r="D16" s="11" t="s">
        <v>4132</v>
      </c>
      <c r="E16" s="11">
        <f>'md cell'!E49+'md cell'!D49+'md cell'!C49</f>
        <v>22247.190999999999</v>
      </c>
      <c r="F16" s="11">
        <f>'md cell'!F49+'md cell'!G49+'md cell'!H49</f>
        <v>0</v>
      </c>
      <c r="G16" s="11">
        <f>'md cell'!J49+'md cell'!K49+'md cell'!L49</f>
        <v>0</v>
      </c>
      <c r="H16" s="11">
        <f>'md cell'!M49+'md cell'!N49+'md cell'!O49</f>
        <v>0</v>
      </c>
      <c r="I16" s="11">
        <f>'md cell'!C60+'md cell'!D60+'md cell'!E60</f>
        <v>25549.398999999998</v>
      </c>
      <c r="J16" s="11">
        <f>'md cell'!F60+'md cell'!G60+'md cell'!H60</f>
        <v>0</v>
      </c>
      <c r="K16" s="11">
        <f>'md cell'!J60+'md cell'!K60+'md cell'!L60</f>
        <v>0</v>
      </c>
      <c r="L16" s="11">
        <f>'md cell'!M60+'md cell'!N60+'md cell'!O60</f>
        <v>0</v>
      </c>
      <c r="M16" s="11"/>
      <c r="N16" s="11">
        <f>'md cell'!C54+'md cell'!D54+'md cell'!E54</f>
        <v>22620.088</v>
      </c>
      <c r="O16" s="11">
        <f>'md cell'!F54+'md cell'!G54+'md cell'!H54</f>
        <v>0</v>
      </c>
      <c r="P16" s="11">
        <f>'md cell'!J54+'md cell'!K54+'md cell'!L54</f>
        <v>0</v>
      </c>
      <c r="Q16" s="11">
        <f>'md cell'!M54+'md cell'!N54+'md cell'!O54</f>
        <v>0</v>
      </c>
      <c r="R16" s="11"/>
      <c r="S16" s="11">
        <f>'md cell'!C57+'md cell'!D57+'md cell'!E57</f>
        <v>23199.279999999999</v>
      </c>
      <c r="T16" s="11">
        <f>'md cell'!F57+'md cell'!G57+'md cell'!H57</f>
        <v>0</v>
      </c>
      <c r="U16" s="11">
        <f>'md cell'!J57+'md cell'!K57+'md cell'!L57</f>
        <v>0</v>
      </c>
      <c r="V16" s="11">
        <f>'md cell'!M57+'md cell'!N57+'md cell'!O57</f>
        <v>0</v>
      </c>
      <c r="W16" s="13"/>
    </row>
    <row r="18" spans="6:13" ht="13.5" thickBot="1"/>
    <row r="19" spans="6:13" ht="20.25">
      <c r="F19" s="3049" t="s">
        <v>3901</v>
      </c>
      <c r="G19" s="3050"/>
      <c r="H19" s="3050"/>
      <c r="I19" s="3050"/>
      <c r="J19" s="3050"/>
      <c r="K19" s="3050"/>
      <c r="L19" s="3050"/>
      <c r="M19" s="3051"/>
    </row>
    <row r="20" spans="6:13" ht="20.25">
      <c r="F20" s="3143" t="s">
        <v>809</v>
      </c>
      <c r="G20" s="3144"/>
      <c r="H20" s="3144" t="s">
        <v>2363</v>
      </c>
      <c r="I20" s="3144"/>
      <c r="J20" s="3144" t="s">
        <v>2410</v>
      </c>
      <c r="K20" s="3144"/>
      <c r="L20" s="3144" t="s">
        <v>3887</v>
      </c>
      <c r="M20" s="3145"/>
    </row>
    <row r="21" spans="6:13" ht="20.25">
      <c r="F21" s="834" t="s">
        <v>704</v>
      </c>
      <c r="G21" s="596" t="s">
        <v>463</v>
      </c>
      <c r="H21" s="596" t="s">
        <v>704</v>
      </c>
      <c r="I21" s="596" t="s">
        <v>463</v>
      </c>
      <c r="J21" s="596" t="s">
        <v>704</v>
      </c>
      <c r="K21" s="596" t="s">
        <v>463</v>
      </c>
      <c r="L21" s="596" t="s">
        <v>704</v>
      </c>
      <c r="M21" s="892" t="s">
        <v>463</v>
      </c>
    </row>
    <row r="22" spans="6:13" ht="15.75">
      <c r="F22" s="2523" t="s">
        <v>3902</v>
      </c>
      <c r="G22" s="550">
        <v>52.728999999999999</v>
      </c>
      <c r="H22" s="550" t="s">
        <v>3903</v>
      </c>
      <c r="I22" s="550">
        <v>52.23</v>
      </c>
      <c r="J22" s="550" t="s">
        <v>3903</v>
      </c>
      <c r="K22" s="550">
        <v>50.232999999999997</v>
      </c>
      <c r="L22" s="550" t="s">
        <v>420</v>
      </c>
      <c r="M22" s="2524">
        <v>2985.069</v>
      </c>
    </row>
    <row r="23" spans="6:13" ht="15.75">
      <c r="F23" s="2523" t="s">
        <v>325</v>
      </c>
      <c r="G23" s="550">
        <v>628.98099999999999</v>
      </c>
      <c r="H23" s="550" t="s">
        <v>325</v>
      </c>
      <c r="I23" s="550">
        <v>2558.1970000000001</v>
      </c>
      <c r="J23" s="550" t="s">
        <v>325</v>
      </c>
      <c r="K23" s="550">
        <v>4126.9309999999996</v>
      </c>
      <c r="L23" s="550" t="s">
        <v>444</v>
      </c>
      <c r="M23" s="2524">
        <v>98.435000000000002</v>
      </c>
    </row>
    <row r="24" spans="6:13" ht="15.75">
      <c r="F24" s="2523" t="s">
        <v>444</v>
      </c>
      <c r="G24" s="550">
        <v>202.62700000000001</v>
      </c>
      <c r="H24" s="550" t="s">
        <v>123</v>
      </c>
      <c r="I24" s="550">
        <v>138.11799999999999</v>
      </c>
      <c r="J24" s="550" t="s">
        <v>123</v>
      </c>
      <c r="K24" s="550">
        <v>140.30099999999999</v>
      </c>
      <c r="L24" s="550" t="s">
        <v>466</v>
      </c>
      <c r="M24" s="2524">
        <v>51.866999999999997</v>
      </c>
    </row>
    <row r="25" spans="6:13" ht="15.75">
      <c r="F25" s="2523" t="s">
        <v>123</v>
      </c>
      <c r="G25" s="550">
        <v>355.76400000000001</v>
      </c>
      <c r="H25" s="550" t="s">
        <v>3904</v>
      </c>
      <c r="I25" s="550">
        <v>157.489</v>
      </c>
      <c r="J25" s="550" t="s">
        <v>3904</v>
      </c>
      <c r="K25" s="550">
        <v>122.419</v>
      </c>
      <c r="L25" s="550" t="s">
        <v>123</v>
      </c>
      <c r="M25" s="2524">
        <v>496.07100000000003</v>
      </c>
    </row>
    <row r="26" spans="6:13" ht="15.75">
      <c r="F26" s="2523" t="s">
        <v>332</v>
      </c>
      <c r="G26" s="550">
        <v>152.90899999999999</v>
      </c>
      <c r="H26" s="550" t="s">
        <v>332</v>
      </c>
      <c r="I26" s="550">
        <v>97.593999999999994</v>
      </c>
      <c r="J26" s="550"/>
      <c r="K26" s="550"/>
      <c r="L26" s="550" t="s">
        <v>3904</v>
      </c>
      <c r="M26" s="2524">
        <v>96.856999999999999</v>
      </c>
    </row>
    <row r="27" spans="6:13" ht="16.5" thickBot="1">
      <c r="F27" s="2525" t="s">
        <v>23</v>
      </c>
      <c r="G27" s="2526">
        <f>SUM(G22:G26)</f>
        <v>1393.0100000000002</v>
      </c>
      <c r="H27" s="2526"/>
      <c r="I27" s="2526">
        <f>SUM(I22:I26)</f>
        <v>3003.6280000000002</v>
      </c>
      <c r="J27" s="2526"/>
      <c r="K27" s="2526">
        <f>SUM(K22:K26)</f>
        <v>4439.884</v>
      </c>
      <c r="L27" s="2526"/>
      <c r="M27" s="2527">
        <f>SUM(M22:M26)</f>
        <v>3728.299</v>
      </c>
    </row>
    <row r="30" spans="6:13" ht="13.5" thickBot="1"/>
    <row r="31" spans="6:13" ht="20.25">
      <c r="F31" s="2528" t="s">
        <v>3901</v>
      </c>
      <c r="G31" s="2529"/>
      <c r="H31" s="2529"/>
      <c r="I31" s="2529"/>
      <c r="J31" s="2530"/>
    </row>
    <row r="32" spans="6:13" ht="20.25">
      <c r="F32" s="3143" t="s">
        <v>809</v>
      </c>
      <c r="G32" s="3144"/>
      <c r="H32" s="2531" t="s">
        <v>2363</v>
      </c>
      <c r="I32" s="2532" t="s">
        <v>3226</v>
      </c>
      <c r="J32" s="892" t="s">
        <v>321</v>
      </c>
    </row>
    <row r="33" spans="6:10" ht="20.25">
      <c r="F33" s="834" t="s">
        <v>704</v>
      </c>
      <c r="G33" s="596" t="s">
        <v>463</v>
      </c>
      <c r="H33" s="596" t="s">
        <v>463</v>
      </c>
      <c r="I33" s="596" t="s">
        <v>463</v>
      </c>
      <c r="J33" s="892" t="s">
        <v>463</v>
      </c>
    </row>
    <row r="34" spans="6:10" ht="20.25">
      <c r="F34" s="834" t="s">
        <v>3902</v>
      </c>
      <c r="G34" s="596">
        <v>52.728999999999999</v>
      </c>
      <c r="H34" s="596"/>
      <c r="I34" s="596"/>
      <c r="J34" s="892"/>
    </row>
    <row r="35" spans="6:10" ht="20.25">
      <c r="F35" s="834" t="s">
        <v>325</v>
      </c>
      <c r="G35" s="596">
        <v>628.98099999999999</v>
      </c>
      <c r="H35" s="596">
        <v>2558</v>
      </c>
      <c r="I35" s="596">
        <v>4127</v>
      </c>
      <c r="J35" s="892">
        <f>3890.756</f>
        <v>3890.7559999999999</v>
      </c>
    </row>
    <row r="36" spans="6:10" ht="20.25">
      <c r="F36" s="834" t="s">
        <v>3905</v>
      </c>
      <c r="G36" s="596"/>
      <c r="H36" s="596"/>
      <c r="I36" s="596">
        <v>50.23</v>
      </c>
      <c r="J36" s="892"/>
    </row>
    <row r="37" spans="6:10" ht="20.25">
      <c r="F37" s="834" t="s">
        <v>444</v>
      </c>
      <c r="G37" s="596">
        <v>202.62700000000001</v>
      </c>
      <c r="H37" s="596">
        <v>52.23</v>
      </c>
      <c r="I37" s="596"/>
      <c r="J37" s="892">
        <v>98.435000000000002</v>
      </c>
    </row>
    <row r="38" spans="6:10" ht="20.25">
      <c r="F38" s="834" t="s">
        <v>123</v>
      </c>
      <c r="G38" s="596">
        <v>355.76400000000001</v>
      </c>
      <c r="H38" s="596">
        <v>138.1</v>
      </c>
      <c r="I38" s="596">
        <v>140.30000000000001</v>
      </c>
      <c r="J38" s="892">
        <v>859.68899999999996</v>
      </c>
    </row>
    <row r="39" spans="6:10" ht="20.25">
      <c r="F39" s="834" t="s">
        <v>332</v>
      </c>
      <c r="G39" s="596">
        <v>152.90899999999999</v>
      </c>
      <c r="H39" s="596">
        <v>97.59</v>
      </c>
      <c r="I39" s="596"/>
      <c r="J39" s="892"/>
    </row>
    <row r="40" spans="6:10" ht="20.25">
      <c r="F40" s="2533" t="s">
        <v>3904</v>
      </c>
      <c r="G40" s="2534"/>
      <c r="H40" s="2534">
        <v>157.5</v>
      </c>
      <c r="I40" s="2534">
        <v>122.4</v>
      </c>
      <c r="J40" s="2535">
        <v>96.856999999999999</v>
      </c>
    </row>
    <row r="41" spans="6:10" ht="20.25">
      <c r="F41" s="2533" t="s">
        <v>466</v>
      </c>
      <c r="G41" s="2534"/>
      <c r="H41" s="2534"/>
      <c r="I41" s="2534"/>
      <c r="J41" s="2535">
        <v>51.866999999999997</v>
      </c>
    </row>
    <row r="42" spans="6:10" ht="21" thickBot="1">
      <c r="F42" s="835" t="s">
        <v>23</v>
      </c>
      <c r="G42" s="2536">
        <f>SUM(G34:G41)</f>
        <v>1393.0100000000002</v>
      </c>
      <c r="H42" s="2536">
        <f>SUM(H34:H41)</f>
        <v>3003.42</v>
      </c>
      <c r="I42" s="2536">
        <f>SUM(I34:I41)</f>
        <v>4439.9299999999994</v>
      </c>
      <c r="J42" s="2536">
        <f>SUM(J34:J41)</f>
        <v>4997.6040000000003</v>
      </c>
    </row>
    <row r="68" spans="3:21" ht="18"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</sheetData>
  <mergeCells count="11">
    <mergeCell ref="F32:G32"/>
    <mergeCell ref="D1:W1"/>
    <mergeCell ref="E3:H3"/>
    <mergeCell ref="I3:L3"/>
    <mergeCell ref="N3:Q3"/>
    <mergeCell ref="S3:V3"/>
    <mergeCell ref="F20:G20"/>
    <mergeCell ref="H20:I20"/>
    <mergeCell ref="J20:K20"/>
    <mergeCell ref="L20:M20"/>
    <mergeCell ref="F19:M19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Z86"/>
  <sheetViews>
    <sheetView topLeftCell="A43" zoomScaleSheetLayoutView="100" workbookViewId="0">
      <selection activeCell="A3" sqref="A3:L13"/>
    </sheetView>
  </sheetViews>
  <sheetFormatPr defaultColWidth="9" defaultRowHeight="12.75"/>
  <cols>
    <col min="1" max="1" width="29.85546875" customWidth="1"/>
    <col min="2" max="2" width="18.28515625" customWidth="1"/>
    <col min="3" max="3" width="19" customWidth="1"/>
    <col min="4" max="4" width="19.140625" customWidth="1"/>
    <col min="5" max="5" width="19.85546875" customWidth="1"/>
    <col min="6" max="6" width="15.5703125" customWidth="1"/>
    <col min="7" max="7" width="21" customWidth="1"/>
    <col min="8" max="9" width="17.5703125" customWidth="1"/>
    <col min="10" max="10" width="18.140625" customWidth="1"/>
    <col min="11" max="11" width="16.85546875" customWidth="1"/>
    <col min="12" max="13" width="14.42578125" customWidth="1"/>
    <col min="14" max="14" width="19.28515625" customWidth="1"/>
    <col min="18" max="18" width="10" bestFit="1" customWidth="1"/>
    <col min="19" max="19" width="13.42578125" customWidth="1"/>
    <col min="24" max="24" width="23.42578125" customWidth="1"/>
  </cols>
  <sheetData>
    <row r="3" spans="1:12" ht="23.25">
      <c r="A3" s="6" t="s">
        <v>704</v>
      </c>
      <c r="B3" s="6" t="s">
        <v>34</v>
      </c>
      <c r="C3" s="6" t="s">
        <v>40</v>
      </c>
      <c r="D3" s="6" t="s">
        <v>41</v>
      </c>
      <c r="E3" s="6" t="s">
        <v>170</v>
      </c>
      <c r="F3" s="6" t="s">
        <v>171</v>
      </c>
      <c r="G3" s="6" t="s">
        <v>807</v>
      </c>
      <c r="H3" s="6" t="s">
        <v>808</v>
      </c>
      <c r="I3" s="6" t="s">
        <v>809</v>
      </c>
      <c r="J3" s="6" t="s">
        <v>2363</v>
      </c>
      <c r="K3" s="6" t="s">
        <v>2410</v>
      </c>
      <c r="L3" s="2685" t="s">
        <v>274</v>
      </c>
    </row>
    <row r="4" spans="1:12" ht="23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3.25">
      <c r="A5" s="6" t="s">
        <v>2045</v>
      </c>
      <c r="B5" s="6">
        <v>2871.9989999999998</v>
      </c>
      <c r="C5" s="6">
        <v>2514.71</v>
      </c>
      <c r="D5" s="6">
        <v>2270.7399999999998</v>
      </c>
      <c r="E5" s="6">
        <v>1446.9849999999999</v>
      </c>
      <c r="F5" s="6">
        <v>1101.01</v>
      </c>
      <c r="G5" s="6">
        <v>864.51</v>
      </c>
      <c r="H5" s="6"/>
      <c r="I5" s="6"/>
      <c r="J5" s="6"/>
      <c r="K5" s="6"/>
      <c r="L5" s="6"/>
    </row>
    <row r="6" spans="1:12" ht="23.25">
      <c r="A6" s="6" t="s">
        <v>4019</v>
      </c>
      <c r="B6" s="6"/>
      <c r="C6" s="6">
        <v>329.43</v>
      </c>
      <c r="D6" s="6">
        <v>620.38</v>
      </c>
      <c r="E6" s="6">
        <v>267.14999999999998</v>
      </c>
      <c r="F6" s="6"/>
      <c r="G6" s="6"/>
      <c r="H6" s="6"/>
      <c r="I6" s="6"/>
      <c r="J6" s="6"/>
      <c r="K6" s="6"/>
      <c r="L6" s="6"/>
    </row>
    <row r="7" spans="1:12" ht="23.25">
      <c r="A7" s="6" t="s">
        <v>325</v>
      </c>
      <c r="B7" s="6"/>
      <c r="C7" s="6"/>
      <c r="D7" s="6"/>
      <c r="E7" s="6"/>
      <c r="F7" s="6"/>
      <c r="G7" s="6">
        <v>1229.6849999999999</v>
      </c>
      <c r="H7" s="6">
        <v>737.34</v>
      </c>
      <c r="I7" s="6">
        <v>626.14200000000005</v>
      </c>
      <c r="J7" s="6">
        <v>2474.712</v>
      </c>
      <c r="K7" s="6">
        <v>4195</v>
      </c>
      <c r="L7" s="6">
        <v>4489.2839999999997</v>
      </c>
    </row>
    <row r="8" spans="1:12" ht="23.25">
      <c r="A8" s="6" t="s">
        <v>339</v>
      </c>
      <c r="B8" s="6"/>
      <c r="C8" s="6"/>
      <c r="D8" s="6"/>
      <c r="E8" s="6"/>
      <c r="F8" s="6"/>
      <c r="G8" s="6">
        <v>357.15</v>
      </c>
      <c r="H8" s="6">
        <v>78.22</v>
      </c>
      <c r="I8" s="6">
        <v>159.26</v>
      </c>
      <c r="J8" s="6">
        <v>459.9</v>
      </c>
      <c r="K8" s="6">
        <v>614.80999999999995</v>
      </c>
      <c r="L8" s="6">
        <v>858.69</v>
      </c>
    </row>
    <row r="9" spans="1:12" ht="23.25">
      <c r="A9" s="6" t="s">
        <v>123</v>
      </c>
      <c r="B9" s="6">
        <v>185.79900000000001</v>
      </c>
      <c r="C9" s="6">
        <v>1053.3699999999999</v>
      </c>
      <c r="D9" s="6">
        <v>986.86</v>
      </c>
      <c r="E9" s="6">
        <v>427.27</v>
      </c>
      <c r="F9" s="6">
        <v>49.78</v>
      </c>
      <c r="G9" s="6">
        <v>345.03</v>
      </c>
      <c r="H9" s="6">
        <v>474.04</v>
      </c>
      <c r="I9" s="6">
        <v>288.06700000000001</v>
      </c>
      <c r="J9" s="6">
        <v>140.56</v>
      </c>
      <c r="K9" s="6">
        <v>92.73</v>
      </c>
      <c r="L9" s="6">
        <f>943.83+36.08</f>
        <v>979.91000000000008</v>
      </c>
    </row>
    <row r="10" spans="1:12" ht="23.25">
      <c r="A10" s="6" t="s">
        <v>470</v>
      </c>
      <c r="B10" s="6"/>
      <c r="C10" s="6"/>
      <c r="D10" s="6"/>
      <c r="E10" s="6"/>
      <c r="F10" s="6"/>
      <c r="G10" s="6"/>
      <c r="H10" s="6"/>
      <c r="I10" s="6">
        <v>163.048</v>
      </c>
      <c r="J10" s="6"/>
      <c r="K10" s="6"/>
      <c r="L10" s="6">
        <v>98.96</v>
      </c>
    </row>
    <row r="11" spans="1:12" ht="23.25">
      <c r="A11" s="6" t="s">
        <v>332</v>
      </c>
      <c r="B11" s="6"/>
      <c r="C11" s="6"/>
      <c r="D11" s="6"/>
      <c r="E11" s="6"/>
      <c r="F11" s="6"/>
      <c r="G11" s="6"/>
      <c r="H11" s="6"/>
      <c r="I11" s="6">
        <v>37</v>
      </c>
      <c r="J11" s="6">
        <f>99.49+76.169</f>
        <v>175.65899999999999</v>
      </c>
      <c r="K11" s="6"/>
      <c r="L11" s="6"/>
    </row>
    <row r="12" spans="1:12" ht="23.25">
      <c r="A12" s="6" t="s">
        <v>23</v>
      </c>
      <c r="B12" s="6">
        <f t="shared" ref="B12:H12" si="0">SUM(B5:B11)</f>
        <v>3057.7979999999998</v>
      </c>
      <c r="C12" s="6">
        <f t="shared" si="0"/>
        <v>3897.5099999999998</v>
      </c>
      <c r="D12" s="6">
        <f t="shared" si="0"/>
        <v>3877.98</v>
      </c>
      <c r="E12" s="6">
        <f t="shared" si="0"/>
        <v>2141.4049999999997</v>
      </c>
      <c r="F12" s="6">
        <f t="shared" si="0"/>
        <v>1150.79</v>
      </c>
      <c r="G12" s="6">
        <f t="shared" si="0"/>
        <v>2796.375</v>
      </c>
      <c r="H12" s="6">
        <f t="shared" si="0"/>
        <v>1289.6000000000001</v>
      </c>
      <c r="I12" s="6">
        <f>SUM(I5:I11)</f>
        <v>1273.5170000000001</v>
      </c>
      <c r="J12" s="6">
        <f>SUM(J7:J11)</f>
        <v>3250.8310000000001</v>
      </c>
      <c r="K12" s="6">
        <f>SUM(K7:K11)</f>
        <v>4902.5399999999991</v>
      </c>
      <c r="L12" s="6">
        <f>SUM(L7:L11)</f>
        <v>6426.8440000000001</v>
      </c>
    </row>
    <row r="13" spans="1:12" ht="24" thickBot="1">
      <c r="A13" s="7"/>
      <c r="B13" s="6"/>
      <c r="C13" s="6"/>
      <c r="D13" s="6"/>
      <c r="E13" s="6"/>
      <c r="F13" s="6"/>
      <c r="G13" s="6"/>
      <c r="H13" s="6"/>
      <c r="I13" s="8"/>
      <c r="J13" s="8"/>
      <c r="K13" s="8"/>
      <c r="L13" s="9"/>
    </row>
    <row r="17" spans="1:2" ht="15.75">
      <c r="A17" s="3146" t="s">
        <v>3888</v>
      </c>
      <c r="B17" s="3147"/>
    </row>
    <row r="18" spans="1:2" ht="15.75">
      <c r="A18" s="547" t="s">
        <v>308</v>
      </c>
      <c r="B18" s="547" t="s">
        <v>2337</v>
      </c>
    </row>
    <row r="19" spans="1:2" ht="15.75">
      <c r="A19" s="547" t="s">
        <v>864</v>
      </c>
      <c r="B19" s="547">
        <v>127.36</v>
      </c>
    </row>
    <row r="20" spans="1:2" ht="15.75">
      <c r="A20" s="547" t="s">
        <v>865</v>
      </c>
      <c r="B20" s="547">
        <v>47.38</v>
      </c>
    </row>
    <row r="21" spans="1:2" ht="15.75">
      <c r="A21" s="547" t="s">
        <v>866</v>
      </c>
      <c r="B21" s="547">
        <v>76.92</v>
      </c>
    </row>
    <row r="22" spans="1:2" ht="15.75">
      <c r="A22" s="547" t="s">
        <v>867</v>
      </c>
      <c r="B22" s="547">
        <v>0</v>
      </c>
    </row>
    <row r="23" spans="1:2" ht="15.75">
      <c r="A23" s="547" t="s">
        <v>868</v>
      </c>
      <c r="B23" s="547">
        <v>99.43</v>
      </c>
    </row>
    <row r="24" spans="1:2" ht="15.75">
      <c r="A24" s="547" t="s">
        <v>315</v>
      </c>
      <c r="B24" s="547">
        <v>44.65</v>
      </c>
    </row>
    <row r="25" spans="1:2" ht="15.75">
      <c r="A25" s="547" t="s">
        <v>305</v>
      </c>
      <c r="B25" s="547">
        <v>32.770000000000003</v>
      </c>
    </row>
    <row r="26" spans="1:2" ht="15.75">
      <c r="A26" s="547" t="s">
        <v>3886</v>
      </c>
      <c r="B26" s="547">
        <v>61.48</v>
      </c>
    </row>
    <row r="27" spans="1:2" ht="15.75">
      <c r="A27" s="547" t="s">
        <v>3941</v>
      </c>
      <c r="B27" s="547">
        <v>294.94</v>
      </c>
    </row>
    <row r="28" spans="1:2" ht="15.75">
      <c r="A28" s="547" t="s">
        <v>3949</v>
      </c>
      <c r="B28" s="547">
        <v>278.31799999999998</v>
      </c>
    </row>
    <row r="29" spans="1:2" ht="15.75">
      <c r="A29" s="547" t="s">
        <v>3986</v>
      </c>
      <c r="B29" s="547"/>
    </row>
    <row r="30" spans="1:2" ht="15.75">
      <c r="A30" s="547" t="s">
        <v>23</v>
      </c>
      <c r="B30" s="547">
        <f>SUM(B19:B28)</f>
        <v>1063.248</v>
      </c>
    </row>
    <row r="32" spans="1:2" ht="13.5" thickBot="1"/>
    <row r="33" spans="1:24" ht="20.25">
      <c r="A33" s="3046"/>
      <c r="B33" s="3047"/>
      <c r="C33" s="3047"/>
      <c r="D33" s="3047"/>
      <c r="E33" s="3047"/>
      <c r="F33" s="3047"/>
      <c r="G33" s="3047"/>
      <c r="H33" s="3048"/>
    </row>
    <row r="34" spans="1:24">
      <c r="A34" s="40"/>
      <c r="B34" s="41"/>
      <c r="C34" s="41"/>
      <c r="D34" s="41"/>
      <c r="E34" s="41"/>
      <c r="F34" s="41"/>
      <c r="G34" s="41"/>
      <c r="H34" s="64"/>
    </row>
    <row r="35" spans="1:24">
      <c r="A35" s="40"/>
      <c r="B35" s="41"/>
      <c r="C35" s="41"/>
      <c r="D35" s="41"/>
      <c r="E35" s="41"/>
      <c r="F35" s="41"/>
      <c r="G35" s="41"/>
      <c r="H35" s="64"/>
    </row>
    <row r="36" spans="1:24">
      <c r="A36" s="40"/>
      <c r="B36" s="41"/>
      <c r="C36" s="321"/>
      <c r="D36" s="41"/>
      <c r="E36" s="41"/>
      <c r="F36" s="41"/>
      <c r="G36" s="41"/>
      <c r="H36" s="64"/>
    </row>
    <row r="37" spans="1:24">
      <c r="A37" s="40"/>
      <c r="B37" s="41"/>
      <c r="C37" s="41"/>
      <c r="D37" s="41"/>
      <c r="E37" s="41"/>
      <c r="F37" s="41"/>
      <c r="G37" s="41"/>
      <c r="H37" s="64"/>
    </row>
    <row r="38" spans="1:24">
      <c r="A38" s="40"/>
      <c r="B38" s="41"/>
      <c r="C38" s="321"/>
      <c r="D38" s="41"/>
      <c r="E38" s="41"/>
      <c r="F38" s="41"/>
      <c r="G38" s="41"/>
      <c r="H38" s="64"/>
    </row>
    <row r="39" spans="1:24" ht="13.5" thickBot="1">
      <c r="A39" s="40"/>
      <c r="B39" s="41"/>
      <c r="C39" s="41"/>
      <c r="D39" s="41"/>
      <c r="E39" s="41"/>
      <c r="F39" s="41"/>
      <c r="G39" s="41"/>
      <c r="H39" s="64"/>
    </row>
    <row r="40" spans="1:24" ht="20.25">
      <c r="A40" s="40"/>
      <c r="B40" s="41"/>
      <c r="C40" s="321"/>
      <c r="D40" s="41"/>
      <c r="E40" s="41"/>
      <c r="F40" s="41"/>
      <c r="G40" s="41"/>
      <c r="H40" s="64"/>
      <c r="O40" t="s">
        <v>3916</v>
      </c>
      <c r="Q40" s="3046" t="s">
        <v>3907</v>
      </c>
      <c r="R40" s="3047"/>
      <c r="S40" s="3047"/>
      <c r="T40" s="3047"/>
      <c r="U40" s="3047"/>
      <c r="V40" s="3047"/>
      <c r="W40" s="3047"/>
      <c r="X40" s="3048"/>
    </row>
    <row r="41" spans="1:24">
      <c r="A41" s="40"/>
      <c r="B41" s="41"/>
      <c r="C41" s="41"/>
      <c r="D41" s="41"/>
      <c r="E41" s="41"/>
      <c r="F41" s="41"/>
      <c r="G41" s="41"/>
      <c r="H41" s="64"/>
      <c r="Q41" s="40"/>
      <c r="R41" s="41"/>
      <c r="S41" s="41"/>
      <c r="T41" s="41"/>
      <c r="U41" s="41"/>
      <c r="V41" s="41"/>
      <c r="W41" s="41"/>
      <c r="X41" s="64"/>
    </row>
    <row r="42" spans="1:24">
      <c r="A42" s="40"/>
      <c r="B42" s="41"/>
      <c r="C42" s="321"/>
      <c r="D42" s="41"/>
      <c r="E42" s="41"/>
      <c r="F42" s="41"/>
      <c r="G42" s="41"/>
      <c r="H42" s="64"/>
      <c r="Q42" s="40"/>
      <c r="R42" s="41" t="s">
        <v>2538</v>
      </c>
      <c r="S42" s="41" t="s">
        <v>3911</v>
      </c>
      <c r="T42" s="41" t="s">
        <v>3908</v>
      </c>
      <c r="U42" s="41" t="s">
        <v>3054</v>
      </c>
      <c r="V42" s="41" t="s">
        <v>3909</v>
      </c>
      <c r="W42" s="41" t="s">
        <v>3914</v>
      </c>
      <c r="X42" s="64" t="s">
        <v>3910</v>
      </c>
    </row>
    <row r="43" spans="1:24">
      <c r="A43" s="40"/>
      <c r="B43" s="41"/>
      <c r="C43" s="41"/>
      <c r="D43" s="41"/>
      <c r="E43" s="41"/>
      <c r="F43" s="41"/>
      <c r="G43" s="41"/>
      <c r="H43" s="64"/>
      <c r="Q43" s="40"/>
      <c r="R43" s="41">
        <v>2520670</v>
      </c>
      <c r="S43" s="321">
        <v>45920</v>
      </c>
      <c r="T43" s="41">
        <v>46.23</v>
      </c>
      <c r="U43" s="41">
        <v>44.04</v>
      </c>
      <c r="V43" s="41">
        <v>2.95</v>
      </c>
      <c r="W43" s="41">
        <v>44.65</v>
      </c>
      <c r="X43" s="64" t="s">
        <v>3913</v>
      </c>
    </row>
    <row r="44" spans="1:24">
      <c r="A44" s="40"/>
      <c r="B44" s="41"/>
      <c r="C44" s="321"/>
      <c r="D44" s="41"/>
      <c r="E44" s="41"/>
      <c r="F44" s="41"/>
      <c r="G44" s="41"/>
      <c r="H44" s="64"/>
      <c r="Q44" s="40"/>
      <c r="R44" s="41"/>
      <c r="S44" s="41"/>
      <c r="T44" s="41"/>
      <c r="U44" s="41"/>
      <c r="V44" s="41"/>
      <c r="W44" s="41"/>
      <c r="X44" s="64"/>
    </row>
    <row r="45" spans="1:24">
      <c r="A45" s="40"/>
      <c r="B45" s="41"/>
      <c r="C45" s="41"/>
      <c r="D45" s="41"/>
      <c r="E45" s="41"/>
      <c r="F45" s="41"/>
      <c r="G45" s="41"/>
      <c r="H45" s="64"/>
      <c r="Q45" s="40"/>
      <c r="R45" s="41">
        <v>2520706</v>
      </c>
      <c r="S45" s="321">
        <v>45927</v>
      </c>
      <c r="T45" s="41">
        <f>24.47+25.79</f>
        <v>50.26</v>
      </c>
      <c r="U45" s="41">
        <v>13.7</v>
      </c>
      <c r="V45" s="41">
        <f>18.48+18.41</f>
        <v>36.89</v>
      </c>
      <c r="W45" s="41">
        <v>13.7</v>
      </c>
      <c r="X45" s="64">
        <v>1060253002</v>
      </c>
    </row>
    <row r="46" spans="1:24">
      <c r="A46" s="40"/>
      <c r="B46" s="41"/>
      <c r="C46" s="41"/>
      <c r="D46" s="41"/>
      <c r="E46" s="41"/>
      <c r="F46" s="41"/>
      <c r="G46" s="41"/>
      <c r="H46" s="64"/>
      <c r="Q46" s="40"/>
      <c r="R46" s="41"/>
      <c r="S46" s="41"/>
      <c r="T46" s="41"/>
      <c r="U46" s="41"/>
      <c r="V46" s="41"/>
      <c r="W46" s="41"/>
      <c r="X46" s="64"/>
    </row>
    <row r="47" spans="1:24">
      <c r="A47" s="40"/>
      <c r="B47" s="41"/>
      <c r="C47" s="321"/>
      <c r="D47" s="41"/>
      <c r="E47" s="41"/>
      <c r="F47" s="41"/>
      <c r="G47" s="41"/>
      <c r="H47" s="64"/>
      <c r="O47" s="1228"/>
      <c r="Q47" s="40"/>
      <c r="R47" s="41">
        <v>2020710</v>
      </c>
      <c r="S47" s="321">
        <v>45928</v>
      </c>
      <c r="T47" s="41">
        <v>47.9</v>
      </c>
      <c r="U47" s="41">
        <v>18.7</v>
      </c>
      <c r="V47" s="41">
        <v>29.48</v>
      </c>
      <c r="W47" s="41">
        <v>19.14</v>
      </c>
      <c r="X47" s="64">
        <v>1060253003</v>
      </c>
    </row>
    <row r="48" spans="1:24">
      <c r="A48" s="40"/>
      <c r="B48" s="41"/>
      <c r="C48" s="41"/>
      <c r="D48" s="41"/>
      <c r="E48" s="41"/>
      <c r="F48" s="41"/>
      <c r="G48" s="41"/>
      <c r="H48" s="64"/>
      <c r="Q48" s="40"/>
      <c r="R48" s="41"/>
      <c r="S48" s="41"/>
      <c r="T48" s="41"/>
      <c r="U48" s="41"/>
      <c r="V48" s="41"/>
      <c r="W48" s="41"/>
      <c r="X48" s="64"/>
    </row>
    <row r="49" spans="1:24">
      <c r="A49" s="40"/>
      <c r="B49" s="41"/>
      <c r="C49" s="321"/>
      <c r="D49" s="41"/>
      <c r="E49" s="41"/>
      <c r="F49" s="41"/>
      <c r="G49" s="41"/>
      <c r="H49" s="64"/>
      <c r="Q49" s="40" t="s">
        <v>402</v>
      </c>
      <c r="R49" s="41">
        <v>2530540</v>
      </c>
      <c r="S49" s="321">
        <v>45980</v>
      </c>
      <c r="T49" s="41">
        <v>40.799999999999997</v>
      </c>
      <c r="U49" s="41">
        <f>32.3+3.75</f>
        <v>36.049999999999997</v>
      </c>
      <c r="V49" s="41">
        <v>0</v>
      </c>
      <c r="W49" s="41">
        <v>31.78</v>
      </c>
      <c r="X49" s="64">
        <v>1060253701</v>
      </c>
    </row>
    <row r="50" spans="1:24">
      <c r="A50" s="40"/>
      <c r="B50" s="41"/>
      <c r="C50" s="41"/>
      <c r="D50" s="41"/>
      <c r="E50" s="41"/>
      <c r="F50" s="41"/>
      <c r="G50" s="41"/>
      <c r="H50" s="64"/>
      <c r="Q50" s="40"/>
      <c r="R50" s="41"/>
      <c r="S50" s="41"/>
      <c r="T50" s="41"/>
      <c r="U50" s="41"/>
      <c r="V50" s="41"/>
      <c r="W50" s="41"/>
      <c r="X50" s="64"/>
    </row>
    <row r="51" spans="1:24">
      <c r="A51" s="40"/>
      <c r="B51" s="41"/>
      <c r="C51" s="321"/>
      <c r="D51" s="41"/>
      <c r="E51" s="41"/>
      <c r="F51" s="41"/>
      <c r="G51" s="41"/>
      <c r="H51" s="64"/>
      <c r="Q51" s="40"/>
      <c r="R51" s="41">
        <v>2530553</v>
      </c>
      <c r="S51" s="321">
        <v>45983</v>
      </c>
      <c r="T51" s="41">
        <v>32.46</v>
      </c>
      <c r="U51" s="41">
        <v>32.450000000000003</v>
      </c>
      <c r="V51" s="41">
        <v>0</v>
      </c>
      <c r="W51" s="41">
        <v>33.049999999999997</v>
      </c>
      <c r="X51" s="64" t="s">
        <v>3912</v>
      </c>
    </row>
    <row r="52" spans="1:24">
      <c r="A52" s="40"/>
      <c r="B52" s="41"/>
      <c r="C52" s="41"/>
      <c r="D52" s="41"/>
      <c r="E52" s="41"/>
      <c r="F52" s="41"/>
      <c r="G52" s="41"/>
      <c r="H52" s="64"/>
      <c r="Q52" s="40"/>
      <c r="R52" s="41"/>
      <c r="S52" s="41"/>
      <c r="T52" s="41"/>
      <c r="U52" s="41"/>
      <c r="V52" s="41"/>
      <c r="W52" s="41"/>
      <c r="X52" s="64"/>
    </row>
    <row r="53" spans="1:24">
      <c r="A53" s="40"/>
      <c r="B53" s="41"/>
      <c r="C53" s="321"/>
      <c r="D53" s="41"/>
      <c r="E53" s="41"/>
      <c r="F53" s="41"/>
      <c r="G53" s="41"/>
      <c r="H53" s="64"/>
      <c r="Q53" s="40"/>
      <c r="R53" s="41"/>
      <c r="S53" s="41"/>
      <c r="T53" s="41"/>
      <c r="U53" s="41"/>
      <c r="V53" s="41"/>
      <c r="W53" s="41"/>
      <c r="X53" s="64"/>
    </row>
    <row r="54" spans="1:24">
      <c r="A54" s="40"/>
      <c r="B54" s="18"/>
      <c r="C54" s="18"/>
      <c r="D54" s="18"/>
      <c r="E54" s="18"/>
      <c r="F54" s="18"/>
      <c r="G54" s="18"/>
      <c r="H54" s="24"/>
      <c r="Q54" s="40"/>
      <c r="R54" s="41">
        <v>2520837</v>
      </c>
      <c r="S54" s="321">
        <v>45990</v>
      </c>
      <c r="T54" s="41">
        <v>47.9</v>
      </c>
      <c r="U54" s="41">
        <v>37.409999999999997</v>
      </c>
      <c r="V54" s="41"/>
      <c r="W54" s="41">
        <v>37.46</v>
      </c>
      <c r="X54" s="64">
        <v>1060253602</v>
      </c>
    </row>
    <row r="55" spans="1:24">
      <c r="A55" s="522"/>
      <c r="B55" s="41"/>
      <c r="C55" s="321"/>
      <c r="D55" s="41"/>
      <c r="E55" s="41"/>
      <c r="F55" s="13"/>
      <c r="G55" s="13"/>
      <c r="H55" s="64"/>
      <c r="Q55" s="40"/>
      <c r="R55" s="41"/>
      <c r="S55" s="41"/>
      <c r="T55" s="41"/>
      <c r="U55" s="41"/>
      <c r="V55" s="41"/>
      <c r="W55" s="41"/>
      <c r="X55" s="64"/>
    </row>
    <row r="56" spans="1:24">
      <c r="A56" s="31"/>
      <c r="B56" s="41"/>
      <c r="C56" s="41"/>
      <c r="D56" s="41"/>
      <c r="E56" s="41"/>
      <c r="F56" s="13"/>
      <c r="G56" s="13"/>
      <c r="H56" s="43"/>
      <c r="Q56" s="40"/>
      <c r="R56" s="41">
        <v>2520838</v>
      </c>
      <c r="S56" s="321">
        <v>45991</v>
      </c>
      <c r="T56" s="41">
        <v>47.9</v>
      </c>
      <c r="U56" s="41">
        <v>37.409999999999997</v>
      </c>
      <c r="V56" s="41"/>
      <c r="W56" s="41">
        <v>37.49</v>
      </c>
      <c r="X56" s="64">
        <v>1060253602</v>
      </c>
    </row>
    <row r="57" spans="1:24">
      <c r="A57" s="31"/>
      <c r="B57" s="41"/>
      <c r="C57" s="321"/>
      <c r="D57" s="41"/>
      <c r="E57" s="41"/>
      <c r="F57" s="13"/>
      <c r="G57" s="13"/>
      <c r="H57" s="64"/>
      <c r="Q57" s="40"/>
      <c r="R57" s="41"/>
      <c r="S57" s="41"/>
      <c r="T57" s="41"/>
      <c r="U57" s="41"/>
      <c r="V57" s="41"/>
      <c r="W57" s="41"/>
      <c r="X57" s="64"/>
    </row>
    <row r="58" spans="1:24">
      <c r="A58" s="31"/>
      <c r="B58" s="13"/>
      <c r="C58" s="41"/>
      <c r="D58" s="41"/>
      <c r="E58" s="41"/>
      <c r="F58" s="13"/>
      <c r="G58" s="13"/>
      <c r="H58" s="43"/>
      <c r="Q58" s="40"/>
      <c r="R58" s="41">
        <v>2530594</v>
      </c>
      <c r="S58" s="321">
        <v>45994</v>
      </c>
      <c r="T58" s="41">
        <v>31.29</v>
      </c>
      <c r="U58" s="41">
        <v>24.29</v>
      </c>
      <c r="V58" s="41"/>
      <c r="W58" s="41">
        <v>24.36</v>
      </c>
      <c r="X58" s="64">
        <v>1060253602</v>
      </c>
    </row>
    <row r="59" spans="1:24">
      <c r="A59" s="31"/>
      <c r="B59" s="328"/>
      <c r="C59" s="1661"/>
      <c r="D59" s="1661"/>
      <c r="E59" s="41"/>
      <c r="F59" s="328"/>
      <c r="G59" s="328"/>
      <c r="H59" s="2544"/>
      <c r="Q59" s="40"/>
      <c r="R59" s="41"/>
      <c r="S59" s="41"/>
      <c r="T59" s="41"/>
      <c r="U59" s="41"/>
      <c r="V59" s="41"/>
      <c r="W59" s="41"/>
      <c r="X59" s="64"/>
    </row>
    <row r="60" spans="1:24" ht="13.5" thickBot="1">
      <c r="A60" s="7"/>
      <c r="B60" s="886"/>
      <c r="C60" s="2538"/>
      <c r="D60" s="886"/>
      <c r="E60" s="41"/>
      <c r="F60" s="109"/>
      <c r="G60" s="109"/>
      <c r="H60" s="64"/>
      <c r="Q60" s="40"/>
      <c r="R60" s="41">
        <v>2520849</v>
      </c>
      <c r="S60" s="321">
        <v>45997</v>
      </c>
      <c r="T60" s="41">
        <v>28.85</v>
      </c>
      <c r="U60" s="41">
        <v>21.78</v>
      </c>
      <c r="V60" s="41"/>
      <c r="W60" s="41">
        <v>22.19</v>
      </c>
      <c r="X60" s="64">
        <v>1060253602</v>
      </c>
    </row>
    <row r="61" spans="1:24">
      <c r="B61" s="18"/>
      <c r="C61" s="2545"/>
      <c r="D61" s="18"/>
      <c r="E61" s="18"/>
      <c r="H61" s="18"/>
      <c r="I61" s="18"/>
      <c r="J61" s="18"/>
      <c r="Q61" s="40"/>
      <c r="R61" s="18"/>
      <c r="S61" s="18"/>
      <c r="T61" s="18"/>
      <c r="U61" s="18"/>
      <c r="V61" s="18"/>
      <c r="W61" s="18"/>
      <c r="X61" s="24"/>
    </row>
    <row r="62" spans="1:24">
      <c r="B62" s="18"/>
      <c r="C62" s="2545"/>
      <c r="D62" s="18"/>
      <c r="E62" s="18"/>
      <c r="F62" s="18"/>
      <c r="G62" s="18"/>
      <c r="H62" s="18"/>
      <c r="Q62" s="522"/>
      <c r="R62" s="41">
        <v>2530619</v>
      </c>
      <c r="S62" s="321">
        <v>46000</v>
      </c>
      <c r="T62" s="41">
        <v>36.85</v>
      </c>
      <c r="U62" s="41">
        <v>33.67</v>
      </c>
      <c r="V62" s="13"/>
      <c r="W62" s="13">
        <v>34.200000000000003</v>
      </c>
      <c r="X62" s="64">
        <v>1060253602</v>
      </c>
    </row>
    <row r="63" spans="1:24">
      <c r="Q63" s="31"/>
      <c r="R63" s="41"/>
      <c r="S63" s="41"/>
      <c r="T63" s="41"/>
      <c r="U63" s="41"/>
      <c r="V63" s="13"/>
      <c r="W63" s="13"/>
      <c r="X63" s="43"/>
    </row>
    <row r="64" spans="1:24">
      <c r="Q64" s="31"/>
      <c r="R64" s="41">
        <v>2630624</v>
      </c>
      <c r="S64" s="321">
        <v>46001</v>
      </c>
      <c r="T64" s="41">
        <v>48.094999999999999</v>
      </c>
      <c r="U64" s="41">
        <f>9.33+14.96+20.6</f>
        <v>44.89</v>
      </c>
      <c r="V64" s="13"/>
      <c r="W64" s="13">
        <v>44.58</v>
      </c>
      <c r="X64" s="64">
        <v>1060253602</v>
      </c>
    </row>
    <row r="65" spans="17:26">
      <c r="Q65" s="31"/>
      <c r="R65" s="13"/>
      <c r="S65" s="41"/>
      <c r="T65" s="41"/>
      <c r="U65" s="41"/>
      <c r="V65" s="13"/>
      <c r="W65" s="13"/>
      <c r="X65" s="43"/>
    </row>
    <row r="66" spans="17:26">
      <c r="Q66" s="31"/>
      <c r="R66" s="328"/>
      <c r="S66" s="1661"/>
      <c r="T66" s="1661"/>
      <c r="U66" s="41"/>
      <c r="V66" s="328"/>
      <c r="W66" s="328"/>
      <c r="X66" s="2544"/>
    </row>
    <row r="67" spans="17:26" ht="13.5" thickBot="1">
      <c r="Q67" s="7"/>
      <c r="R67" s="886">
        <v>2520854</v>
      </c>
      <c r="S67" s="2538">
        <v>46002</v>
      </c>
      <c r="T67" s="886">
        <v>42.582999999999998</v>
      </c>
      <c r="U67" s="41">
        <v>43.32</v>
      </c>
      <c r="V67" s="109"/>
      <c r="W67" s="109"/>
      <c r="X67" s="64" t="s">
        <v>3932</v>
      </c>
    </row>
    <row r="68" spans="17:26">
      <c r="R68" s="18"/>
      <c r="S68" s="2545"/>
      <c r="T68" s="18"/>
      <c r="U68" s="18"/>
      <c r="X68" s="18"/>
      <c r="Y68" s="18"/>
    </row>
    <row r="69" spans="17:26">
      <c r="R69" s="18">
        <v>2530628</v>
      </c>
      <c r="S69" s="2545">
        <v>46004</v>
      </c>
      <c r="T69" s="18">
        <f>11.43+11.82+13.91+10.68</f>
        <v>47.839999999999996</v>
      </c>
      <c r="U69" s="18">
        <v>48.2</v>
      </c>
      <c r="V69" s="18">
        <v>0</v>
      </c>
      <c r="W69" s="18">
        <v>48.05</v>
      </c>
      <c r="X69" s="18"/>
    </row>
    <row r="70" spans="17:26" ht="13.5" thickBot="1"/>
    <row r="71" spans="17:26" ht="20.25">
      <c r="Q71" s="3046" t="s">
        <v>3907</v>
      </c>
      <c r="R71" s="3047"/>
      <c r="S71" s="3047"/>
      <c r="T71" s="3047"/>
      <c r="U71" s="3047"/>
      <c r="V71" s="3047"/>
      <c r="W71" s="3047"/>
      <c r="X71" s="3048"/>
    </row>
    <row r="72" spans="17:26">
      <c r="Q72" s="40"/>
      <c r="R72" s="41"/>
      <c r="S72" s="41"/>
      <c r="T72" s="41"/>
      <c r="U72" s="41"/>
      <c r="V72" s="41"/>
      <c r="W72" s="41"/>
      <c r="X72" s="64"/>
      <c r="Z72" t="s">
        <v>479</v>
      </c>
    </row>
    <row r="73" spans="17:26">
      <c r="Q73" s="40"/>
      <c r="R73" s="41" t="s">
        <v>2538</v>
      </c>
      <c r="S73" s="41" t="s">
        <v>3911</v>
      </c>
      <c r="T73" s="41" t="s">
        <v>3908</v>
      </c>
      <c r="U73" s="41" t="s">
        <v>3054</v>
      </c>
      <c r="V73" s="41" t="s">
        <v>3909</v>
      </c>
      <c r="W73" s="41" t="s">
        <v>3914</v>
      </c>
      <c r="X73" s="64" t="s">
        <v>3910</v>
      </c>
    </row>
    <row r="74" spans="17:26">
      <c r="Q74" s="40"/>
      <c r="R74" s="41">
        <v>2520926</v>
      </c>
      <c r="S74" s="321">
        <v>46026</v>
      </c>
      <c r="T74" s="41">
        <f>6.12+3.27+14.74+12.1+12.52</f>
        <v>48.75</v>
      </c>
      <c r="U74" s="41">
        <v>34.119999999999997</v>
      </c>
      <c r="V74" s="41">
        <v>15.31</v>
      </c>
      <c r="W74" s="41">
        <v>34.26</v>
      </c>
      <c r="X74" s="64" t="s">
        <v>4032</v>
      </c>
    </row>
    <row r="75" spans="17:26">
      <c r="Q75" s="40"/>
      <c r="R75" s="41"/>
      <c r="S75" s="41"/>
      <c r="T75" s="41">
        <v>9</v>
      </c>
      <c r="U75" s="41">
        <v>7</v>
      </c>
      <c r="V75" s="41">
        <v>2</v>
      </c>
      <c r="W75" s="41">
        <v>7</v>
      </c>
      <c r="X75" s="64"/>
    </row>
    <row r="76" spans="17:26">
      <c r="Q76" s="40"/>
      <c r="R76" s="41">
        <v>2520931</v>
      </c>
      <c r="S76" s="321">
        <v>46027</v>
      </c>
      <c r="T76" s="41">
        <f>15.3+6.54+23.64</f>
        <v>45.480000000000004</v>
      </c>
      <c r="U76" s="41">
        <v>39.14</v>
      </c>
      <c r="V76" s="41">
        <v>3.08</v>
      </c>
      <c r="W76" s="41">
        <v>39</v>
      </c>
      <c r="X76" s="64" t="s">
        <v>4033</v>
      </c>
    </row>
    <row r="77" spans="17:26">
      <c r="Q77" s="40"/>
      <c r="R77" s="41"/>
      <c r="S77" s="41"/>
      <c r="T77" s="41">
        <v>9</v>
      </c>
      <c r="U77" s="41">
        <v>7</v>
      </c>
      <c r="V77" s="41">
        <v>1</v>
      </c>
      <c r="W77" s="41">
        <v>7</v>
      </c>
      <c r="X77" s="64"/>
    </row>
    <row r="78" spans="17:26">
      <c r="Q78" s="40"/>
      <c r="R78" s="41">
        <v>2520936</v>
      </c>
      <c r="S78" s="321">
        <v>46028</v>
      </c>
      <c r="T78" s="41">
        <f>22.87+9.6+13.07</f>
        <v>45.54</v>
      </c>
      <c r="U78" s="41">
        <v>36.049999999999997</v>
      </c>
      <c r="V78" s="41">
        <v>9.9499999999999993</v>
      </c>
      <c r="W78" s="41">
        <v>26.33</v>
      </c>
      <c r="X78" s="64" t="s">
        <v>4035</v>
      </c>
      <c r="Z78">
        <f t="shared" ref="Z78:Z83" si="1">+U78-W78</f>
        <v>9.7199999999999989</v>
      </c>
    </row>
    <row r="79" spans="17:26">
      <c r="Q79" s="40"/>
      <c r="R79" s="41"/>
      <c r="S79" s="41"/>
      <c r="T79" s="41">
        <v>9</v>
      </c>
      <c r="U79" s="41">
        <v>6</v>
      </c>
      <c r="V79" s="41">
        <v>3</v>
      </c>
      <c r="W79" s="41">
        <v>5</v>
      </c>
      <c r="X79" s="64"/>
      <c r="Z79">
        <f t="shared" si="1"/>
        <v>1</v>
      </c>
    </row>
    <row r="80" spans="17:26">
      <c r="Q80" s="40"/>
      <c r="R80" s="41">
        <v>2520956</v>
      </c>
      <c r="S80" s="321">
        <v>46032</v>
      </c>
      <c r="T80" s="41">
        <f>35.82+12.61</f>
        <v>48.43</v>
      </c>
      <c r="U80" s="41">
        <v>36.83</v>
      </c>
      <c r="V80" s="41">
        <v>12.07</v>
      </c>
      <c r="W80" s="41">
        <v>24.62</v>
      </c>
      <c r="X80" s="64">
        <v>1060254701</v>
      </c>
      <c r="Z80">
        <f t="shared" si="1"/>
        <v>12.209999999999997</v>
      </c>
    </row>
    <row r="81" spans="17:26">
      <c r="Q81" s="40"/>
      <c r="R81" s="41"/>
      <c r="S81" s="41"/>
      <c r="T81" s="41">
        <v>4</v>
      </c>
      <c r="U81" s="41">
        <v>3</v>
      </c>
      <c r="V81" s="41">
        <v>1</v>
      </c>
      <c r="W81" s="41">
        <v>2</v>
      </c>
      <c r="X81" s="64"/>
      <c r="Z81">
        <f t="shared" si="1"/>
        <v>1</v>
      </c>
    </row>
    <row r="82" spans="17:26">
      <c r="Q82" s="40"/>
      <c r="R82" s="41">
        <v>25201021</v>
      </c>
      <c r="S82" s="321">
        <v>46046</v>
      </c>
      <c r="T82" s="41">
        <f>11.57+9.8+9.73+11.12</f>
        <v>42.22</v>
      </c>
      <c r="U82" s="41">
        <v>42.22</v>
      </c>
      <c r="V82" s="41">
        <v>0</v>
      </c>
      <c r="W82" s="41">
        <v>33.049999999999997</v>
      </c>
      <c r="X82" s="64" t="s">
        <v>4034</v>
      </c>
      <c r="Z82">
        <f t="shared" si="1"/>
        <v>9.1700000000000017</v>
      </c>
    </row>
    <row r="83" spans="17:26">
      <c r="Q83" s="40"/>
      <c r="R83" s="41"/>
      <c r="S83" s="41"/>
      <c r="T83" s="41">
        <v>9</v>
      </c>
      <c r="U83" s="41">
        <v>9</v>
      </c>
      <c r="V83" s="41">
        <v>0</v>
      </c>
      <c r="W83" s="41">
        <v>8</v>
      </c>
      <c r="X83" s="64"/>
      <c r="Z83">
        <f t="shared" si="1"/>
        <v>1</v>
      </c>
    </row>
    <row r="84" spans="17:26">
      <c r="Q84" s="40"/>
      <c r="R84" s="41"/>
      <c r="S84" s="41"/>
      <c r="T84" s="41"/>
      <c r="U84" s="41"/>
      <c r="V84" s="41"/>
      <c r="W84" s="41"/>
      <c r="X84" s="64"/>
    </row>
    <row r="85" spans="17:26">
      <c r="Q85" s="40"/>
      <c r="R85" s="41">
        <v>25201025</v>
      </c>
      <c r="S85" s="2632" t="s">
        <v>4031</v>
      </c>
      <c r="T85" s="41">
        <f>9.18+3.27+35.46</f>
        <v>47.91</v>
      </c>
      <c r="U85" s="41">
        <v>48.47</v>
      </c>
      <c r="V85" s="41">
        <v>0</v>
      </c>
      <c r="W85" s="41">
        <v>12.6</v>
      </c>
      <c r="X85" s="64" t="s">
        <v>4036</v>
      </c>
      <c r="Z85">
        <f>+U85-W85</f>
        <v>35.869999999999997</v>
      </c>
    </row>
    <row r="86" spans="17:26">
      <c r="Q86" s="40"/>
      <c r="R86" s="41"/>
      <c r="S86" s="41"/>
      <c r="T86" s="41">
        <v>7</v>
      </c>
      <c r="U86" s="41">
        <v>7</v>
      </c>
      <c r="V86" s="41">
        <v>0</v>
      </c>
      <c r="W86" s="41">
        <v>4</v>
      </c>
      <c r="X86" s="64"/>
      <c r="Z86">
        <f>+U86-W86</f>
        <v>3</v>
      </c>
    </row>
  </sheetData>
  <mergeCells count="4">
    <mergeCell ref="A17:B17"/>
    <mergeCell ref="A33:H33"/>
    <mergeCell ref="Q40:X40"/>
    <mergeCell ref="Q71:X71"/>
  </mergeCells>
  <pageMargins left="0.70866141732283505" right="0.70866141732283505" top="0.74803149606299202" bottom="0.74803149606299202" header="0.31496062992126" footer="0.31496062992126"/>
  <pageSetup paperSize="9" scale="5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0"/>
  <sheetViews>
    <sheetView topLeftCell="C1" zoomScaleSheetLayoutView="100" workbookViewId="0">
      <selection activeCell="M43" sqref="M43"/>
    </sheetView>
  </sheetViews>
  <sheetFormatPr defaultColWidth="9" defaultRowHeight="12.75"/>
  <cols>
    <col min="2" max="7" width="24.7109375" customWidth="1"/>
    <col min="8" max="8" width="18.5703125" customWidth="1"/>
    <col min="9" max="9" width="18.42578125" customWidth="1"/>
    <col min="10" max="10" width="15.42578125" customWidth="1"/>
    <col min="11" max="11" width="17.140625" customWidth="1"/>
    <col min="12" max="12" width="16.42578125" customWidth="1"/>
    <col min="13" max="13" width="19.5703125" customWidth="1"/>
  </cols>
  <sheetData>
    <row r="1" spans="2:15" ht="13.5" thickBot="1"/>
    <row r="2" spans="2:15" ht="20.25">
      <c r="B2" s="3148" t="s">
        <v>3092</v>
      </c>
      <c r="C2" s="3149"/>
      <c r="D2" s="3149"/>
      <c r="E2" s="3149"/>
      <c r="F2" s="3149"/>
      <c r="G2" s="3149"/>
      <c r="H2" s="3149"/>
      <c r="I2" s="3149"/>
      <c r="J2" s="3149"/>
      <c r="K2" s="3149"/>
      <c r="L2" s="3149"/>
      <c r="M2" s="3150"/>
      <c r="N2" s="3047"/>
      <c r="O2" s="3047"/>
    </row>
    <row r="3" spans="2:15" ht="18">
      <c r="B3" s="3"/>
      <c r="C3" s="4" t="s">
        <v>34</v>
      </c>
      <c r="D3" s="4" t="s">
        <v>40</v>
      </c>
      <c r="E3" s="4" t="s">
        <v>41</v>
      </c>
      <c r="F3" s="4" t="s">
        <v>170</v>
      </c>
      <c r="G3" s="4" t="s">
        <v>171</v>
      </c>
      <c r="H3" s="4" t="s">
        <v>807</v>
      </c>
      <c r="I3" s="4" t="s">
        <v>808</v>
      </c>
      <c r="J3" s="4" t="s">
        <v>809</v>
      </c>
      <c r="K3" s="4" t="s">
        <v>2363</v>
      </c>
      <c r="L3" s="4" t="s">
        <v>2410</v>
      </c>
      <c r="M3" s="5" t="s">
        <v>274</v>
      </c>
      <c r="N3" s="2630"/>
      <c r="O3" s="4"/>
    </row>
    <row r="4" spans="2:15" ht="18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630"/>
      <c r="O4" s="4"/>
    </row>
    <row r="5" spans="2:15" ht="23.25">
      <c r="B5" s="2387" t="s">
        <v>3094</v>
      </c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2630"/>
      <c r="O5" s="4"/>
    </row>
    <row r="6" spans="2:15" ht="18">
      <c r="B6" s="3" t="s">
        <v>349</v>
      </c>
      <c r="C6" s="4">
        <v>105.63</v>
      </c>
      <c r="D6" s="4">
        <v>1261.42</v>
      </c>
      <c r="E6" s="4">
        <v>1412.99</v>
      </c>
      <c r="F6" s="4"/>
      <c r="G6" s="4"/>
      <c r="H6" s="4">
        <v>206.65</v>
      </c>
      <c r="I6" s="4">
        <f>318.76+101.52</f>
        <v>420.28</v>
      </c>
      <c r="J6" s="4">
        <f>1325.91+297.47+34.91</f>
        <v>1658.2900000000002</v>
      </c>
      <c r="K6" s="4">
        <v>1204.1400000000001</v>
      </c>
      <c r="L6" s="4">
        <v>1972.65</v>
      </c>
      <c r="M6" s="5"/>
      <c r="N6" s="2630"/>
      <c r="O6" s="4"/>
    </row>
    <row r="7" spans="2:15" ht="18">
      <c r="B7" s="3" t="s">
        <v>3095</v>
      </c>
      <c r="C7" s="4">
        <f>2393.995+712</f>
        <v>3105.9949999999999</v>
      </c>
      <c r="D7" s="4">
        <f>2211.59+13</f>
        <v>2224.59</v>
      </c>
      <c r="E7" s="4">
        <f>1180.48+166.79</f>
        <v>1347.27</v>
      </c>
      <c r="F7" s="4">
        <f>3237.11+736.39</f>
        <v>3973.5</v>
      </c>
      <c r="G7" s="4">
        <f>5392.55+1108.77</f>
        <v>6501.32</v>
      </c>
      <c r="H7" s="4">
        <v>39.24</v>
      </c>
      <c r="I7" s="4"/>
      <c r="J7" s="4">
        <v>2393.6</v>
      </c>
      <c r="K7" s="4">
        <v>1072.51</v>
      </c>
      <c r="L7" s="4">
        <v>2915.24</v>
      </c>
      <c r="M7" s="5">
        <v>3422.51</v>
      </c>
      <c r="N7" s="2630"/>
      <c r="O7" s="4"/>
    </row>
    <row r="8" spans="2:15" ht="18">
      <c r="B8" s="3" t="s">
        <v>2272</v>
      </c>
      <c r="C8" s="4"/>
      <c r="D8" s="4"/>
      <c r="E8" s="4">
        <v>183.67</v>
      </c>
      <c r="F8" s="4"/>
      <c r="G8" s="4">
        <f>321.22+166.87</f>
        <v>488.09000000000003</v>
      </c>
      <c r="H8" s="4"/>
      <c r="I8" s="4">
        <v>103.96</v>
      </c>
      <c r="J8" s="4">
        <v>634.54999999999995</v>
      </c>
      <c r="K8" s="4">
        <f>786.03+364.76</f>
        <v>1150.79</v>
      </c>
      <c r="L8" s="4">
        <v>601.65</v>
      </c>
      <c r="M8" s="5">
        <v>176.87</v>
      </c>
      <c r="N8" s="2630"/>
      <c r="O8" s="4"/>
    </row>
    <row r="9" spans="2:15" ht="18">
      <c r="B9" s="3" t="s">
        <v>3099</v>
      </c>
      <c r="C9" s="4">
        <v>50.03</v>
      </c>
      <c r="D9" s="4">
        <v>14.77</v>
      </c>
      <c r="E9" s="4">
        <f>601.8+76.42</f>
        <v>678.21999999999991</v>
      </c>
      <c r="F9" s="4">
        <f>520.15+170.43</f>
        <v>690.57999999999993</v>
      </c>
      <c r="G9" s="4">
        <v>51.39</v>
      </c>
      <c r="H9" s="4"/>
      <c r="I9" s="4"/>
      <c r="J9" s="4"/>
      <c r="K9" s="4"/>
      <c r="L9" s="4"/>
      <c r="M9" s="5"/>
      <c r="N9" s="2630"/>
      <c r="O9" s="4"/>
    </row>
    <row r="10" spans="2:15" ht="18">
      <c r="B10" s="3" t="s">
        <v>4021</v>
      </c>
      <c r="C10" s="4">
        <f>1919.185+1652.75</f>
        <v>3571.9349999999999</v>
      </c>
      <c r="D10" s="4">
        <f>2774.83+2648.16</f>
        <v>5422.99</v>
      </c>
      <c r="E10" s="4">
        <v>2935.82</v>
      </c>
      <c r="F10" s="4">
        <v>644.88</v>
      </c>
      <c r="G10" s="4"/>
      <c r="H10" s="4"/>
      <c r="I10" s="4"/>
      <c r="J10" s="4"/>
      <c r="K10" s="4"/>
      <c r="L10" s="4"/>
      <c r="M10" s="5"/>
      <c r="N10" s="2630"/>
      <c r="O10" s="4"/>
    </row>
    <row r="11" spans="2:15" ht="18">
      <c r="B11" s="3" t="s">
        <v>3584</v>
      </c>
      <c r="C11" s="4"/>
      <c r="D11" s="4">
        <f>238.16+0</f>
        <v>238.16</v>
      </c>
      <c r="E11" s="4">
        <f>105.79+258.85</f>
        <v>364.64000000000004</v>
      </c>
      <c r="F11" s="4">
        <f>137.09+308.09</f>
        <v>445.17999999999995</v>
      </c>
      <c r="G11" s="4"/>
      <c r="H11" s="4"/>
      <c r="I11" s="4"/>
      <c r="J11" s="4"/>
      <c r="K11" s="4"/>
      <c r="L11" s="4"/>
      <c r="M11" s="5"/>
      <c r="N11" s="2630"/>
      <c r="O11" s="4"/>
    </row>
    <row r="12" spans="2:15" ht="18">
      <c r="B12" s="3" t="s">
        <v>4025</v>
      </c>
      <c r="C12" s="4"/>
      <c r="D12" s="4"/>
      <c r="E12" s="4">
        <v>44.1</v>
      </c>
      <c r="F12" s="4">
        <v>20.100000000000001</v>
      </c>
      <c r="G12" s="4"/>
      <c r="H12" s="4"/>
      <c r="I12" s="4"/>
      <c r="J12" s="4"/>
      <c r="K12" s="4"/>
      <c r="L12" s="4"/>
      <c r="M12" s="5"/>
      <c r="N12" s="2630"/>
      <c r="O12" s="4"/>
    </row>
    <row r="13" spans="2:15" ht="18">
      <c r="B13" s="3" t="s">
        <v>4026</v>
      </c>
      <c r="C13" s="4"/>
      <c r="D13" s="4"/>
      <c r="E13" s="4">
        <v>54.83</v>
      </c>
      <c r="F13" s="4"/>
      <c r="G13" s="4"/>
      <c r="H13" s="4"/>
      <c r="I13" s="4"/>
      <c r="J13" s="4"/>
      <c r="K13" s="4"/>
      <c r="L13" s="4"/>
      <c r="M13" s="5"/>
      <c r="N13" s="2630"/>
      <c r="O13" s="4"/>
    </row>
    <row r="14" spans="2:15" ht="18">
      <c r="B14" s="3" t="s">
        <v>353</v>
      </c>
      <c r="C14" s="4"/>
      <c r="D14" s="4"/>
      <c r="E14" s="4"/>
      <c r="F14" s="4"/>
      <c r="G14" s="4"/>
      <c r="H14" s="4"/>
      <c r="I14" s="4"/>
      <c r="J14" s="4"/>
      <c r="K14" s="4">
        <v>2090.8000000000002</v>
      </c>
      <c r="L14" s="4">
        <v>1740.89</v>
      </c>
      <c r="M14" s="5">
        <v>1223.6300000000001</v>
      </c>
      <c r="N14" s="2630"/>
      <c r="O14" s="4"/>
    </row>
    <row r="15" spans="2:15" ht="18">
      <c r="B15" s="3" t="s">
        <v>4020</v>
      </c>
      <c r="C15" s="4"/>
      <c r="D15" s="4"/>
      <c r="E15" s="4"/>
      <c r="F15" s="4">
        <v>30</v>
      </c>
      <c r="G15" s="4">
        <v>20.149999999999999</v>
      </c>
      <c r="H15" s="4"/>
      <c r="I15" s="4"/>
      <c r="J15" s="4"/>
      <c r="K15" s="4"/>
      <c r="L15" s="4"/>
      <c r="M15" s="5"/>
      <c r="N15" s="2630"/>
      <c r="O15" s="4"/>
    </row>
    <row r="16" spans="2:15" ht="18">
      <c r="B16" s="3" t="s">
        <v>3096</v>
      </c>
      <c r="C16" s="4"/>
      <c r="D16" s="4"/>
      <c r="E16" s="4"/>
      <c r="F16" s="4"/>
      <c r="G16" s="4"/>
      <c r="H16" s="4"/>
      <c r="I16" s="4"/>
      <c r="J16" s="4"/>
      <c r="K16" s="4">
        <v>72.5</v>
      </c>
      <c r="L16" s="4"/>
      <c r="M16" s="5"/>
      <c r="N16" s="2630"/>
      <c r="O16" s="4"/>
    </row>
    <row r="17" spans="2:16" ht="23.25">
      <c r="B17" s="3" t="s">
        <v>3097</v>
      </c>
      <c r="C17" s="6">
        <f>SUM(C6:C16)</f>
        <v>6833.59</v>
      </c>
      <c r="D17" s="6">
        <f t="shared" ref="D17:F17" si="0">SUM(D6:D16)</f>
        <v>9161.93</v>
      </c>
      <c r="E17" s="6">
        <f t="shared" si="0"/>
        <v>7021.5400000000009</v>
      </c>
      <c r="F17" s="6">
        <f t="shared" si="0"/>
        <v>5804.2400000000007</v>
      </c>
      <c r="G17" s="6">
        <f t="shared" ref="G17:M17" si="1">SUM(G6:G16)</f>
        <v>7060.95</v>
      </c>
      <c r="H17" s="6">
        <f t="shared" si="1"/>
        <v>245.89000000000001</v>
      </c>
      <c r="I17" s="6">
        <f t="shared" si="1"/>
        <v>524.24</v>
      </c>
      <c r="J17" s="6">
        <f t="shared" si="1"/>
        <v>4686.4400000000005</v>
      </c>
      <c r="K17" s="6">
        <f t="shared" si="1"/>
        <v>5590.74</v>
      </c>
      <c r="L17" s="6">
        <f t="shared" si="1"/>
        <v>7230.4299999999994</v>
      </c>
      <c r="M17" s="2389">
        <f t="shared" si="1"/>
        <v>4823.01</v>
      </c>
      <c r="N17" s="2630"/>
      <c r="O17" s="6"/>
    </row>
    <row r="18" spans="2:16" ht="18">
      <c r="B18" s="3" t="s">
        <v>3098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  <c r="N18" s="2630"/>
      <c r="O18" s="4"/>
    </row>
    <row r="19" spans="2:16" ht="18">
      <c r="B19" s="3" t="s">
        <v>349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5">
        <v>2406.1799999999998</v>
      </c>
      <c r="N19" s="2630"/>
      <c r="O19" s="4"/>
    </row>
    <row r="20" spans="2:16" ht="18">
      <c r="B20" s="3" t="s">
        <v>3099</v>
      </c>
      <c r="C20" s="4">
        <f>4105.02+221.285</f>
        <v>4326.3050000000003</v>
      </c>
      <c r="D20" s="4">
        <f>1191.93+2311.61</f>
        <v>3503.54</v>
      </c>
      <c r="E20" s="4">
        <v>1199.49</v>
      </c>
      <c r="F20" s="4">
        <v>151.22999999999999</v>
      </c>
      <c r="G20" s="4">
        <f>208.35+613.5</f>
        <v>821.85</v>
      </c>
      <c r="H20" s="4"/>
      <c r="I20" s="4"/>
      <c r="J20" s="4"/>
      <c r="K20" s="4">
        <f>249.65+652.13</f>
        <v>901.78</v>
      </c>
      <c r="L20" s="4">
        <v>1.2</v>
      </c>
      <c r="M20" s="5">
        <v>1913.03</v>
      </c>
      <c r="N20" s="2630"/>
      <c r="O20" s="4"/>
    </row>
    <row r="21" spans="2:16" ht="18">
      <c r="B21" s="3" t="s">
        <v>3100</v>
      </c>
      <c r="C21" s="4"/>
      <c r="D21" s="4"/>
      <c r="E21" s="4"/>
      <c r="F21" s="4"/>
      <c r="G21" s="4"/>
      <c r="H21" s="4"/>
      <c r="I21" s="4"/>
      <c r="J21" s="4"/>
      <c r="K21" s="4">
        <f>138.79+288.66</f>
        <v>427.45000000000005</v>
      </c>
      <c r="L21" s="4">
        <v>71.27</v>
      </c>
      <c r="M21" s="5">
        <f>333.25+204.29</f>
        <v>537.54</v>
      </c>
      <c r="N21" s="2630"/>
      <c r="O21" s="4"/>
    </row>
    <row r="22" spans="2:16" ht="18">
      <c r="B22" s="3" t="s">
        <v>2163</v>
      </c>
      <c r="C22" s="4"/>
      <c r="D22" s="4"/>
      <c r="E22" s="4">
        <v>318.7</v>
      </c>
      <c r="F22" s="4">
        <v>74.61</v>
      </c>
      <c r="G22" s="4">
        <v>246.06</v>
      </c>
      <c r="H22" s="4"/>
      <c r="I22" s="4"/>
      <c r="J22" s="4"/>
      <c r="K22" s="4"/>
      <c r="L22" s="4">
        <v>117.46</v>
      </c>
      <c r="M22" s="5">
        <f>315.99+508.1+161.2</f>
        <v>985.29</v>
      </c>
      <c r="N22" s="2630"/>
      <c r="O22" s="4"/>
    </row>
    <row r="23" spans="2:16" ht="18">
      <c r="B23" s="3" t="s">
        <v>4022</v>
      </c>
      <c r="C23" s="4"/>
      <c r="D23" s="4"/>
      <c r="E23" s="4">
        <v>8.0280000000000005</v>
      </c>
      <c r="F23" s="4">
        <v>12.98</v>
      </c>
      <c r="G23" s="4"/>
      <c r="H23" s="4"/>
      <c r="I23" s="4"/>
      <c r="J23" s="4"/>
      <c r="K23" s="4"/>
      <c r="L23" s="4"/>
      <c r="M23" s="5"/>
      <c r="N23" s="2630"/>
      <c r="O23" s="4"/>
    </row>
    <row r="24" spans="2:16" ht="18">
      <c r="B24" s="3" t="s">
        <v>3101</v>
      </c>
      <c r="C24" s="4"/>
      <c r="D24" s="4"/>
      <c r="E24" s="4"/>
      <c r="F24" s="4"/>
      <c r="G24" s="4"/>
      <c r="H24" s="4"/>
      <c r="I24" s="4"/>
      <c r="J24" s="4"/>
      <c r="K24" s="4">
        <v>80.599999999999994</v>
      </c>
      <c r="L24" s="4">
        <v>1094.8</v>
      </c>
      <c r="M24" s="5"/>
      <c r="N24" s="2630"/>
      <c r="O24" s="4"/>
    </row>
    <row r="25" spans="2:16" ht="18">
      <c r="B25" s="3" t="s">
        <v>2270</v>
      </c>
      <c r="C25" s="4">
        <v>950.27</v>
      </c>
      <c r="D25" s="4">
        <v>982.73</v>
      </c>
      <c r="E25" s="4">
        <v>250.36</v>
      </c>
      <c r="F25" s="4">
        <v>148.63</v>
      </c>
      <c r="G25" s="4"/>
      <c r="H25" s="4"/>
      <c r="I25" s="4"/>
      <c r="J25" s="4"/>
      <c r="K25" s="4">
        <f>230.6+166.55</f>
        <v>397.15</v>
      </c>
      <c r="L25" s="4"/>
      <c r="M25" s="5"/>
      <c r="N25" s="2630"/>
      <c r="O25" s="4"/>
    </row>
    <row r="26" spans="2:16" ht="18">
      <c r="B26" s="3" t="s">
        <v>3102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5">
        <v>130.78</v>
      </c>
      <c r="N26" s="2630"/>
      <c r="O26" s="4"/>
    </row>
    <row r="27" spans="2:16" ht="18">
      <c r="B27" s="3" t="s">
        <v>3103</v>
      </c>
      <c r="C27" s="4">
        <v>1516.19</v>
      </c>
      <c r="D27" s="4">
        <v>1297.2</v>
      </c>
      <c r="E27" s="4">
        <v>986.55200000000002</v>
      </c>
      <c r="F27" s="4">
        <v>989.74</v>
      </c>
      <c r="G27" s="4"/>
      <c r="H27" s="4">
        <v>365.13</v>
      </c>
      <c r="I27" s="4"/>
      <c r="J27" s="4"/>
      <c r="K27" s="4">
        <f>326.74+316.52</f>
        <v>643.26</v>
      </c>
      <c r="L27" s="4"/>
      <c r="M27" s="5"/>
      <c r="N27" s="2630"/>
      <c r="O27" s="4"/>
    </row>
    <row r="28" spans="2:16" ht="18">
      <c r="B28" s="3" t="s">
        <v>3104</v>
      </c>
      <c r="C28" s="4"/>
      <c r="D28" s="4"/>
      <c r="E28" s="4"/>
      <c r="F28" s="4">
        <v>86.73</v>
      </c>
      <c r="G28" s="4"/>
      <c r="H28" s="4">
        <f>55.99+108.54</f>
        <v>164.53</v>
      </c>
      <c r="I28" s="4"/>
      <c r="J28" s="4"/>
      <c r="K28" s="4">
        <v>80.900000000000006</v>
      </c>
      <c r="L28" s="4"/>
      <c r="M28" s="5"/>
      <c r="N28" s="2630"/>
      <c r="O28" s="4"/>
    </row>
    <row r="29" spans="2:16" ht="18">
      <c r="B29" s="3" t="s">
        <v>2272</v>
      </c>
      <c r="C29" s="4"/>
      <c r="D29" s="4"/>
      <c r="E29" s="4"/>
      <c r="F29" s="4"/>
      <c r="G29" s="4"/>
      <c r="H29" s="4"/>
      <c r="I29" s="4"/>
      <c r="J29" s="4"/>
      <c r="K29" s="4">
        <v>933.06600000000003</v>
      </c>
      <c r="L29" s="4"/>
      <c r="M29" s="5"/>
      <c r="N29" s="2630"/>
      <c r="O29" s="4"/>
    </row>
    <row r="30" spans="2:16" ht="23.25">
      <c r="B30" s="3" t="s">
        <v>2284</v>
      </c>
      <c r="C30" s="6">
        <f t="shared" ref="C30:M30" si="2">SUM(C19:C29)</f>
        <v>6792.7650000000012</v>
      </c>
      <c r="D30" s="6">
        <f t="shared" si="2"/>
        <v>5783.47</v>
      </c>
      <c r="E30" s="6">
        <f t="shared" si="2"/>
        <v>2763.13</v>
      </c>
      <c r="F30" s="6">
        <f t="shared" si="2"/>
        <v>1463.92</v>
      </c>
      <c r="G30" s="6">
        <f t="shared" si="2"/>
        <v>1067.9100000000001</v>
      </c>
      <c r="H30" s="6">
        <f t="shared" si="2"/>
        <v>529.66</v>
      </c>
      <c r="I30" s="6">
        <f t="shared" si="2"/>
        <v>0</v>
      </c>
      <c r="J30" s="6">
        <f t="shared" si="2"/>
        <v>0</v>
      </c>
      <c r="K30" s="6">
        <f t="shared" si="2"/>
        <v>3464.2060000000001</v>
      </c>
      <c r="L30" s="6">
        <f t="shared" si="2"/>
        <v>1284.73</v>
      </c>
      <c r="M30" s="2389">
        <f t="shared" si="2"/>
        <v>5972.82</v>
      </c>
      <c r="N30" s="2630"/>
      <c r="O30" s="6"/>
      <c r="P30">
        <f>4815.68+1157.14</f>
        <v>5972.8200000000006</v>
      </c>
    </row>
    <row r="31" spans="2:16" ht="23.25">
      <c r="B31" s="3" t="s">
        <v>4023</v>
      </c>
      <c r="C31" s="4"/>
      <c r="D31" s="4"/>
      <c r="E31" s="4"/>
      <c r="F31" s="6"/>
      <c r="G31" s="6"/>
      <c r="H31" s="6"/>
      <c r="I31" s="6"/>
      <c r="J31" s="6"/>
      <c r="K31" s="6"/>
      <c r="L31" s="6"/>
      <c r="M31" s="2389"/>
      <c r="N31" s="2630"/>
      <c r="O31" s="6"/>
    </row>
    <row r="32" spans="2:16" ht="23.25">
      <c r="B32" s="3" t="s">
        <v>4024</v>
      </c>
      <c r="C32" s="4"/>
      <c r="D32" s="4">
        <v>160</v>
      </c>
      <c r="E32" s="4"/>
      <c r="F32" s="6">
        <v>221.75</v>
      </c>
      <c r="G32" s="6"/>
      <c r="H32" s="6"/>
      <c r="I32" s="6"/>
      <c r="J32" s="6"/>
      <c r="K32" s="6"/>
      <c r="L32" s="6"/>
      <c r="M32" s="2389"/>
      <c r="N32" s="2630"/>
      <c r="O32" s="6"/>
    </row>
    <row r="33" spans="2:15" ht="23.25">
      <c r="B33" s="3" t="s">
        <v>4027</v>
      </c>
      <c r="C33" s="4"/>
      <c r="D33" s="4"/>
      <c r="E33" s="4">
        <v>161.95400000000001</v>
      </c>
      <c r="F33" s="6"/>
      <c r="G33" s="6"/>
      <c r="H33" s="6"/>
      <c r="I33" s="6"/>
      <c r="J33" s="6"/>
      <c r="K33" s="6"/>
      <c r="L33" s="6"/>
      <c r="M33" s="2389"/>
      <c r="N33" s="2630"/>
      <c r="O33" s="6"/>
    </row>
    <row r="34" spans="2:15" ht="23.25">
      <c r="B34" s="3" t="s">
        <v>4028</v>
      </c>
      <c r="C34" s="4"/>
      <c r="D34" s="4"/>
      <c r="E34" s="4">
        <v>1.9970000000000001</v>
      </c>
      <c r="F34" s="6"/>
      <c r="G34" s="6"/>
      <c r="H34" s="6"/>
      <c r="I34" s="6"/>
      <c r="J34" s="6"/>
      <c r="K34" s="6"/>
      <c r="L34" s="6"/>
      <c r="M34" s="2389"/>
      <c r="N34" s="2630"/>
      <c r="O34" s="6"/>
    </row>
    <row r="35" spans="2:15" ht="23.25">
      <c r="B35" s="3" t="s">
        <v>2284</v>
      </c>
      <c r="C35" s="4">
        <f>SUM(C32:C34)</f>
        <v>0</v>
      </c>
      <c r="D35" s="4">
        <f>SUM(D32:D34)</f>
        <v>160</v>
      </c>
      <c r="E35" s="4">
        <f>SUM(E32:E34)</f>
        <v>163.95100000000002</v>
      </c>
      <c r="F35" s="4">
        <f>SUM(F32:F34)</f>
        <v>221.75</v>
      </c>
      <c r="G35" s="4">
        <f t="shared" ref="G35:M35" si="3">SUM(G32:G34)</f>
        <v>0</v>
      </c>
      <c r="H35" s="4">
        <f t="shared" si="3"/>
        <v>0</v>
      </c>
      <c r="I35" s="4">
        <f t="shared" si="3"/>
        <v>0</v>
      </c>
      <c r="J35" s="4">
        <f t="shared" si="3"/>
        <v>0</v>
      </c>
      <c r="K35" s="4">
        <f t="shared" si="3"/>
        <v>0</v>
      </c>
      <c r="L35" s="4">
        <f t="shared" si="3"/>
        <v>0</v>
      </c>
      <c r="M35" s="5">
        <f t="shared" si="3"/>
        <v>0</v>
      </c>
      <c r="N35" s="2630"/>
      <c r="O35" s="6"/>
    </row>
    <row r="36" spans="2:15" ht="23.25">
      <c r="B36" s="3" t="s">
        <v>4029</v>
      </c>
      <c r="C36" s="4"/>
      <c r="D36" s="4"/>
      <c r="E36" s="4"/>
      <c r="F36" s="4"/>
      <c r="G36" s="6"/>
      <c r="H36" s="6"/>
      <c r="I36" s="6"/>
      <c r="J36" s="6"/>
      <c r="K36" s="6"/>
      <c r="L36" s="6"/>
      <c r="M36" s="2389"/>
      <c r="N36" s="2630"/>
      <c r="O36" s="6"/>
    </row>
    <row r="37" spans="2:15" ht="23.25">
      <c r="B37" s="3" t="s">
        <v>444</v>
      </c>
      <c r="C37" s="4"/>
      <c r="D37" s="4"/>
      <c r="E37" s="4">
        <v>52.54</v>
      </c>
      <c r="F37" s="4"/>
      <c r="G37" s="6"/>
      <c r="H37" s="6"/>
      <c r="I37" s="6"/>
      <c r="J37" s="6"/>
      <c r="K37" s="6"/>
      <c r="L37" s="6"/>
      <c r="M37" s="2389"/>
      <c r="N37" s="2630"/>
      <c r="O37" s="6"/>
    </row>
    <row r="38" spans="2:15" ht="23.25">
      <c r="B38" s="3" t="s">
        <v>3904</v>
      </c>
      <c r="C38" s="4">
        <v>21.32</v>
      </c>
      <c r="D38" s="4">
        <v>19.905000000000001</v>
      </c>
      <c r="E38" s="4"/>
      <c r="F38" s="4"/>
      <c r="G38" s="6"/>
      <c r="H38" s="6"/>
      <c r="I38" s="6"/>
      <c r="J38" s="6"/>
      <c r="K38" s="6"/>
      <c r="L38" s="6"/>
      <c r="M38" s="2389"/>
      <c r="N38" s="2630"/>
      <c r="O38" s="6"/>
    </row>
    <row r="39" spans="2:15" ht="23.25">
      <c r="B39" s="3" t="s">
        <v>4030</v>
      </c>
      <c r="C39" s="4">
        <f>SUM(C37:C38)</f>
        <v>21.32</v>
      </c>
      <c r="D39" s="4">
        <f>SUM(D37:D38)</f>
        <v>19.905000000000001</v>
      </c>
      <c r="E39" s="4">
        <f t="shared" ref="E39:M39" si="4">SUM(E37:E38)</f>
        <v>52.54</v>
      </c>
      <c r="F39" s="4">
        <f t="shared" si="4"/>
        <v>0</v>
      </c>
      <c r="G39" s="4">
        <f t="shared" si="4"/>
        <v>0</v>
      </c>
      <c r="H39" s="4">
        <f t="shared" si="4"/>
        <v>0</v>
      </c>
      <c r="I39" s="4">
        <f t="shared" si="4"/>
        <v>0</v>
      </c>
      <c r="J39" s="4">
        <f t="shared" si="4"/>
        <v>0</v>
      </c>
      <c r="K39" s="4">
        <f t="shared" si="4"/>
        <v>0</v>
      </c>
      <c r="L39" s="4">
        <f t="shared" si="4"/>
        <v>0</v>
      </c>
      <c r="M39" s="5">
        <f t="shared" si="4"/>
        <v>0</v>
      </c>
      <c r="N39" s="2630"/>
      <c r="O39" s="6"/>
    </row>
    <row r="40" spans="2:15" ht="18" customHeight="1">
      <c r="B40" s="309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43"/>
      <c r="N40" s="2631"/>
      <c r="O40" s="13"/>
    </row>
    <row r="41" spans="2:15" ht="18">
      <c r="B41" s="3" t="s">
        <v>3105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2630"/>
      <c r="O41" s="4"/>
    </row>
    <row r="42" spans="2:15" ht="18">
      <c r="B42" s="3" t="s">
        <v>351</v>
      </c>
      <c r="C42" s="4"/>
      <c r="D42" s="4"/>
      <c r="E42" s="4"/>
      <c r="F42" s="4"/>
      <c r="G42" s="4"/>
      <c r="H42" s="4"/>
      <c r="I42" s="4">
        <v>646.42999999999995</v>
      </c>
      <c r="J42" s="4">
        <v>4225.91</v>
      </c>
      <c r="K42" s="4">
        <v>8395.27</v>
      </c>
      <c r="L42" s="4">
        <v>10117.900000000001</v>
      </c>
      <c r="M42" s="5">
        <v>9920.3799999999992</v>
      </c>
      <c r="N42" s="2630"/>
      <c r="O42" s="4"/>
    </row>
    <row r="43" spans="2:15" ht="18">
      <c r="B43" s="3" t="s">
        <v>468</v>
      </c>
      <c r="C43" s="4"/>
      <c r="D43" s="4"/>
      <c r="E43" s="4"/>
      <c r="F43" s="4"/>
      <c r="G43" s="4"/>
      <c r="H43" s="4"/>
      <c r="I43" s="4"/>
      <c r="J43" s="4"/>
      <c r="K43" s="4">
        <v>138.65</v>
      </c>
      <c r="L43" s="4">
        <v>855.74</v>
      </c>
      <c r="M43" s="5">
        <v>666</v>
      </c>
      <c r="N43" s="2630"/>
      <c r="O43" s="4"/>
    </row>
    <row r="44" spans="2:15" ht="23.25">
      <c r="B44" s="3" t="s">
        <v>2284</v>
      </c>
      <c r="C44" s="4"/>
      <c r="D44" s="4"/>
      <c r="E44" s="4"/>
      <c r="F44" s="4"/>
      <c r="G44" s="4"/>
      <c r="H44" s="6">
        <f t="shared" ref="H44:M44" si="5">SUM(H42:H43)</f>
        <v>0</v>
      </c>
      <c r="I44" s="6">
        <f t="shared" si="5"/>
        <v>646.42999999999995</v>
      </c>
      <c r="J44" s="6">
        <f t="shared" si="5"/>
        <v>4225.91</v>
      </c>
      <c r="K44" s="6">
        <f t="shared" si="5"/>
        <v>8533.92</v>
      </c>
      <c r="L44" s="6">
        <f t="shared" si="5"/>
        <v>10973.640000000001</v>
      </c>
      <c r="M44" s="6">
        <f t="shared" si="5"/>
        <v>10586.38</v>
      </c>
      <c r="N44" s="2630"/>
      <c r="O44" s="6"/>
    </row>
    <row r="45" spans="2:15" ht="23.25">
      <c r="B45" s="3"/>
      <c r="C45" s="4"/>
      <c r="D45" s="4"/>
      <c r="E45" s="4"/>
      <c r="F45" s="4"/>
      <c r="G45" s="4"/>
      <c r="H45" s="6"/>
      <c r="I45" s="6"/>
      <c r="J45" s="6"/>
      <c r="K45" s="6"/>
      <c r="L45" s="6"/>
      <c r="M45" s="5"/>
      <c r="N45" s="2630"/>
      <c r="O45" s="6"/>
    </row>
    <row r="46" spans="2:15" ht="23.25">
      <c r="B46" s="3" t="s">
        <v>3106</v>
      </c>
      <c r="C46" s="6">
        <f t="shared" ref="C46:G46" si="6">+C44+C30+C17+C39+C35</f>
        <v>13647.675000000001</v>
      </c>
      <c r="D46" s="6">
        <f t="shared" si="6"/>
        <v>15125.305000000002</v>
      </c>
      <c r="E46" s="6">
        <f t="shared" si="6"/>
        <v>10001.161000000004</v>
      </c>
      <c r="F46" s="6">
        <f t="shared" si="6"/>
        <v>7489.9100000000008</v>
      </c>
      <c r="G46" s="6">
        <f t="shared" si="6"/>
        <v>8128.86</v>
      </c>
      <c r="H46" s="6">
        <f t="shared" ref="H46:L46" si="7">+H44+H30+H17</f>
        <v>775.55</v>
      </c>
      <c r="I46" s="6">
        <f t="shared" si="7"/>
        <v>1170.67</v>
      </c>
      <c r="J46" s="6">
        <f t="shared" si="7"/>
        <v>8912.35</v>
      </c>
      <c r="K46" s="6">
        <f t="shared" si="7"/>
        <v>17588.866000000002</v>
      </c>
      <c r="L46" s="6">
        <f t="shared" si="7"/>
        <v>19488.8</v>
      </c>
      <c r="M46" s="2389">
        <f>+M44+M30+M17+M39+M35</f>
        <v>21382.21</v>
      </c>
      <c r="N46" s="2630"/>
      <c r="O46" s="6"/>
    </row>
    <row r="47" spans="2:15" ht="13.5" thickBot="1">
      <c r="B47" s="107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318"/>
      <c r="N47" s="8"/>
      <c r="O47" s="8"/>
    </row>
    <row r="48" spans="2:15" ht="20.25">
      <c r="B48" s="3151"/>
      <c r="C48" s="3134"/>
      <c r="D48" s="3134"/>
      <c r="E48" s="3134"/>
      <c r="F48" s="3134"/>
      <c r="G48" s="3134"/>
      <c r="H48" s="3134"/>
      <c r="I48" s="3134"/>
      <c r="J48" s="3134"/>
      <c r="K48" s="3134"/>
      <c r="L48" s="3134"/>
      <c r="M48" s="3152"/>
      <c r="N48" s="3046"/>
      <c r="O48" s="3047"/>
    </row>
    <row r="50" spans="3:13">
      <c r="C50">
        <f t="shared" ref="C50:H50" si="8">+C46-C44</f>
        <v>13647.675000000001</v>
      </c>
      <c r="D50">
        <f t="shared" si="8"/>
        <v>15125.305000000002</v>
      </c>
      <c r="E50">
        <f t="shared" si="8"/>
        <v>10001.161000000004</v>
      </c>
      <c r="F50">
        <f t="shared" si="8"/>
        <v>7489.9100000000008</v>
      </c>
      <c r="G50">
        <f t="shared" si="8"/>
        <v>8128.86</v>
      </c>
      <c r="H50">
        <f t="shared" si="8"/>
        <v>775.55</v>
      </c>
      <c r="I50">
        <f>+I46-I44</f>
        <v>524.24000000000012</v>
      </c>
      <c r="J50">
        <f t="shared" ref="J50:M50" si="9">+J46-J44</f>
        <v>4686.4400000000005</v>
      </c>
      <c r="K50">
        <f t="shared" si="9"/>
        <v>9054.9460000000017</v>
      </c>
      <c r="L50">
        <f t="shared" si="9"/>
        <v>8515.159999999998</v>
      </c>
      <c r="M50">
        <f t="shared" si="9"/>
        <v>10795.83</v>
      </c>
    </row>
  </sheetData>
  <mergeCells count="4">
    <mergeCell ref="B2:M2"/>
    <mergeCell ref="N2:O2"/>
    <mergeCell ref="B48:M48"/>
    <mergeCell ref="N48:O48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N19"/>
  <sheetViews>
    <sheetView workbookViewId="0">
      <selection activeCell="N10" sqref="N10"/>
    </sheetView>
  </sheetViews>
  <sheetFormatPr defaultRowHeight="12.75"/>
  <cols>
    <col min="4" max="4" width="24" customWidth="1"/>
    <col min="5" max="5" width="19.140625" customWidth="1"/>
    <col min="6" max="6" width="14.5703125" customWidth="1"/>
    <col min="7" max="7" width="13.5703125" customWidth="1"/>
    <col min="8" max="8" width="13.85546875" customWidth="1"/>
    <col min="9" max="9" width="12.85546875" customWidth="1"/>
    <col min="10" max="10" width="16.85546875" customWidth="1"/>
    <col min="12" max="12" width="18.7109375" customWidth="1"/>
    <col min="13" max="13" width="17.28515625" customWidth="1"/>
    <col min="14" max="14" width="15.5703125" customWidth="1"/>
  </cols>
  <sheetData>
    <row r="5" spans="4:14" ht="13.5" thickBot="1"/>
    <row r="6" spans="4:14" ht="21">
      <c r="D6" s="3153" t="s">
        <v>4037</v>
      </c>
      <c r="E6" s="3154"/>
      <c r="F6" s="3154"/>
      <c r="G6" s="3154"/>
      <c r="H6" s="3154"/>
      <c r="I6" s="3154"/>
      <c r="J6" s="3154"/>
      <c r="K6" s="3154"/>
      <c r="L6" s="3154"/>
      <c r="M6" s="3154"/>
      <c r="N6" s="3155"/>
    </row>
    <row r="7" spans="4:14" ht="21">
      <c r="D7" s="2637"/>
      <c r="E7" s="3156" t="s">
        <v>808</v>
      </c>
      <c r="F7" s="3156"/>
      <c r="G7" s="3156" t="s">
        <v>809</v>
      </c>
      <c r="H7" s="3156"/>
      <c r="I7" s="3156" t="s">
        <v>2363</v>
      </c>
      <c r="J7" s="3156"/>
      <c r="K7" s="3156" t="s">
        <v>2410</v>
      </c>
      <c r="L7" s="3156"/>
      <c r="M7" s="3157" t="s">
        <v>274</v>
      </c>
      <c r="N7" s="3158"/>
    </row>
    <row r="8" spans="4:14" ht="21">
      <c r="D8" s="2637"/>
      <c r="E8" s="2638" t="s">
        <v>4038</v>
      </c>
      <c r="F8" s="2638" t="s">
        <v>640</v>
      </c>
      <c r="G8" s="2638" t="s">
        <v>4038</v>
      </c>
      <c r="H8" s="2638" t="s">
        <v>640</v>
      </c>
      <c r="I8" s="2638" t="s">
        <v>4038</v>
      </c>
      <c r="J8" s="2638" t="s">
        <v>640</v>
      </c>
      <c r="K8" s="2638" t="s">
        <v>4038</v>
      </c>
      <c r="L8" s="2638" t="s">
        <v>640</v>
      </c>
      <c r="M8" s="2638" t="s">
        <v>275</v>
      </c>
      <c r="N8" s="2639" t="s">
        <v>312</v>
      </c>
    </row>
    <row r="9" spans="4:14" ht="21">
      <c r="D9" s="2637" t="s">
        <v>633</v>
      </c>
      <c r="E9" s="2638">
        <v>73728</v>
      </c>
      <c r="F9" s="2638">
        <v>92183</v>
      </c>
      <c r="G9" s="2638">
        <v>90977</v>
      </c>
      <c r="H9" s="2638">
        <v>96037</v>
      </c>
      <c r="I9" s="2638">
        <v>98668</v>
      </c>
      <c r="J9" s="2638">
        <v>108356</v>
      </c>
      <c r="K9" s="2638">
        <v>119338</v>
      </c>
      <c r="L9" s="2638">
        <v>113208</v>
      </c>
      <c r="M9" s="2638">
        <v>137676</v>
      </c>
      <c r="N9" s="2638">
        <v>125909</v>
      </c>
    </row>
    <row r="10" spans="4:14" ht="21">
      <c r="D10" s="2637"/>
      <c r="E10" s="2638"/>
      <c r="F10" s="2638"/>
      <c r="G10" s="2638"/>
      <c r="H10" s="2638"/>
      <c r="I10" s="2638"/>
      <c r="J10" s="2638"/>
      <c r="K10" s="2638"/>
      <c r="L10" s="2638"/>
      <c r="M10" s="2638"/>
      <c r="N10" s="2638"/>
    </row>
    <row r="11" spans="4:14" ht="21">
      <c r="D11" s="2637" t="s">
        <v>290</v>
      </c>
      <c r="E11" s="2638">
        <v>113846</v>
      </c>
      <c r="F11" s="2638">
        <v>112826</v>
      </c>
      <c r="G11" s="2638">
        <v>125997</v>
      </c>
      <c r="H11" s="2638">
        <v>111498</v>
      </c>
      <c r="I11" s="2638">
        <v>135651</v>
      </c>
      <c r="J11" s="2638">
        <v>137755</v>
      </c>
      <c r="K11" s="2638">
        <v>146614</v>
      </c>
      <c r="L11" s="2638">
        <v>140596</v>
      </c>
      <c r="M11" s="2638">
        <v>155974</v>
      </c>
      <c r="N11" s="2638">
        <v>143752</v>
      </c>
    </row>
    <row r="12" spans="4:14" ht="21">
      <c r="D12" s="2637"/>
      <c r="E12" s="2638"/>
      <c r="F12" s="2638"/>
      <c r="G12" s="2638"/>
      <c r="H12" s="2638"/>
      <c r="I12" s="2638"/>
      <c r="J12" s="2638"/>
      <c r="K12" s="2638"/>
      <c r="L12" s="2638"/>
      <c r="M12" s="2638"/>
      <c r="N12" s="2638"/>
    </row>
    <row r="13" spans="4:14" ht="21">
      <c r="D13" s="2637" t="s">
        <v>37</v>
      </c>
      <c r="E13" s="2638">
        <v>108876</v>
      </c>
      <c r="F13" s="2638">
        <v>108897</v>
      </c>
      <c r="G13" s="2638">
        <v>117544</v>
      </c>
      <c r="H13" s="2638">
        <v>101809</v>
      </c>
      <c r="I13" s="2638">
        <v>118900</v>
      </c>
      <c r="J13" s="2638">
        <v>119011</v>
      </c>
      <c r="K13" s="2638">
        <v>130650</v>
      </c>
      <c r="L13" s="2638">
        <v>118655</v>
      </c>
      <c r="M13" s="2638">
        <v>139825</v>
      </c>
      <c r="N13" s="2638">
        <v>119127</v>
      </c>
    </row>
    <row r="14" spans="4:14" ht="21">
      <c r="D14" s="2637"/>
      <c r="E14" s="2638"/>
      <c r="F14" s="2638"/>
      <c r="G14" s="2638"/>
      <c r="H14" s="2638"/>
      <c r="I14" s="2638"/>
      <c r="J14" s="2638"/>
      <c r="K14" s="2638"/>
      <c r="L14" s="2638"/>
      <c r="M14" s="2638"/>
      <c r="N14" s="2638"/>
    </row>
    <row r="15" spans="4:14" ht="21">
      <c r="D15" s="2637" t="s">
        <v>142</v>
      </c>
      <c r="E15" s="2638">
        <v>110876</v>
      </c>
      <c r="F15" s="2638">
        <v>108595</v>
      </c>
      <c r="G15" s="2638">
        <v>119544</v>
      </c>
      <c r="H15" s="2638">
        <v>102847</v>
      </c>
      <c r="I15" s="2638">
        <v>120900</v>
      </c>
      <c r="J15" s="2638">
        <v>118427</v>
      </c>
      <c r="K15" s="2638">
        <v>132650</v>
      </c>
      <c r="L15" s="2638">
        <v>121789</v>
      </c>
      <c r="M15" s="2638">
        <v>141825</v>
      </c>
      <c r="N15" s="2638">
        <v>112369</v>
      </c>
    </row>
    <row r="16" spans="4:14" ht="21">
      <c r="D16" s="2637"/>
      <c r="E16" s="2638"/>
      <c r="F16" s="2638"/>
      <c r="G16" s="2638"/>
      <c r="H16" s="2638"/>
      <c r="I16" s="2638"/>
      <c r="J16" s="2638"/>
      <c r="K16" s="2638"/>
      <c r="L16" s="2638"/>
      <c r="M16" s="2638"/>
      <c r="N16" s="2638"/>
    </row>
    <row r="17" spans="4:14" ht="21">
      <c r="D17" s="2637" t="s">
        <v>487</v>
      </c>
      <c r="E17" s="2638">
        <v>24000</v>
      </c>
      <c r="F17" s="2638">
        <v>10936</v>
      </c>
      <c r="G17" s="2638">
        <v>18000</v>
      </c>
      <c r="H17" s="2638">
        <v>12589</v>
      </c>
      <c r="I17" s="2638">
        <v>18000</v>
      </c>
      <c r="J17" s="2638">
        <v>14464</v>
      </c>
      <c r="K17" s="2638">
        <v>18000</v>
      </c>
      <c r="L17" s="2638">
        <v>8078</v>
      </c>
      <c r="M17" s="2638">
        <v>9000</v>
      </c>
      <c r="N17" s="2638">
        <v>7433</v>
      </c>
    </row>
    <row r="18" spans="4:14" ht="21">
      <c r="D18" s="2637"/>
      <c r="E18" s="2638"/>
      <c r="F18" s="2638"/>
      <c r="G18" s="2638"/>
      <c r="H18" s="2638"/>
      <c r="I18" s="2638"/>
      <c r="J18" s="2638"/>
      <c r="K18" s="2638"/>
      <c r="L18" s="2638"/>
      <c r="M18" s="2638"/>
      <c r="N18" s="2638"/>
    </row>
    <row r="19" spans="4:14" ht="21.75" thickBot="1">
      <c r="D19" s="2640" t="s">
        <v>514</v>
      </c>
      <c r="E19" s="2641">
        <v>30000</v>
      </c>
      <c r="F19" s="2641">
        <v>27849</v>
      </c>
      <c r="G19" s="2641">
        <v>36000</v>
      </c>
      <c r="H19" s="2641">
        <v>33924</v>
      </c>
      <c r="I19" s="2641">
        <v>36000</v>
      </c>
      <c r="J19" s="2641">
        <v>47576</v>
      </c>
      <c r="K19" s="2641">
        <v>42000</v>
      </c>
      <c r="L19" s="2641">
        <v>56301</v>
      </c>
      <c r="M19" s="2641">
        <v>48000</v>
      </c>
      <c r="N19" s="2638">
        <v>34143</v>
      </c>
    </row>
  </sheetData>
  <mergeCells count="6">
    <mergeCell ref="D6:N6"/>
    <mergeCell ref="E7:F7"/>
    <mergeCell ref="G7:H7"/>
    <mergeCell ref="I7:J7"/>
    <mergeCell ref="K7:L7"/>
    <mergeCell ref="M7:N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43"/>
  <sheetViews>
    <sheetView workbookViewId="0">
      <selection activeCell="B4" sqref="B4:R41"/>
    </sheetView>
  </sheetViews>
  <sheetFormatPr defaultRowHeight="12.75"/>
  <cols>
    <col min="2" max="2" width="23" customWidth="1"/>
  </cols>
  <sheetData>
    <row r="3" spans="2:18" ht="15.75">
      <c r="C3" s="2803"/>
      <c r="D3" s="2803"/>
      <c r="E3" s="2803"/>
      <c r="F3" s="2803"/>
      <c r="G3" s="2803"/>
      <c r="H3" s="2803"/>
      <c r="I3" s="2803"/>
      <c r="J3" s="2803"/>
      <c r="K3" s="2803"/>
      <c r="L3" s="2803"/>
      <c r="M3" s="2803"/>
      <c r="N3" s="2803"/>
      <c r="O3" s="2803"/>
      <c r="P3" s="2803"/>
      <c r="Q3" s="2803"/>
      <c r="R3" s="2803"/>
    </row>
    <row r="5" spans="2:18">
      <c r="B5" t="s">
        <v>4150</v>
      </c>
      <c r="C5" t="s">
        <v>864</v>
      </c>
      <c r="D5" t="s">
        <v>865</v>
      </c>
      <c r="E5" t="s">
        <v>866</v>
      </c>
      <c r="F5" t="s">
        <v>867</v>
      </c>
      <c r="G5" t="s">
        <v>868</v>
      </c>
      <c r="H5" t="s">
        <v>315</v>
      </c>
      <c r="I5" t="s">
        <v>305</v>
      </c>
      <c r="J5" t="s">
        <v>3886</v>
      </c>
      <c r="K5" t="s">
        <v>3941</v>
      </c>
      <c r="L5" t="s">
        <v>3949</v>
      </c>
      <c r="M5" t="s">
        <v>3986</v>
      </c>
      <c r="N5" t="s">
        <v>3987</v>
      </c>
    </row>
    <row r="6" spans="2:18">
      <c r="B6" t="s">
        <v>563</v>
      </c>
      <c r="C6">
        <v>3793</v>
      </c>
      <c r="D6">
        <v>5217</v>
      </c>
      <c r="E6">
        <v>3358</v>
      </c>
      <c r="F6">
        <v>3607</v>
      </c>
      <c r="G6">
        <v>5101</v>
      </c>
      <c r="H6">
        <v>6386</v>
      </c>
      <c r="I6">
        <v>5982</v>
      </c>
      <c r="J6">
        <v>387</v>
      </c>
      <c r="K6">
        <v>827</v>
      </c>
      <c r="L6">
        <v>1537</v>
      </c>
      <c r="M6">
        <v>4065</v>
      </c>
      <c r="N6">
        <v>4709</v>
      </c>
      <c r="O6">
        <f>SUM(C6:N6)</f>
        <v>44969</v>
      </c>
    </row>
    <row r="7" spans="2:18">
      <c r="B7" t="s">
        <v>385</v>
      </c>
      <c r="C7">
        <v>845</v>
      </c>
      <c r="D7">
        <v>1564</v>
      </c>
      <c r="E7">
        <v>2257</v>
      </c>
      <c r="F7">
        <v>2895</v>
      </c>
      <c r="G7">
        <v>2345</v>
      </c>
      <c r="H7">
        <v>1398</v>
      </c>
      <c r="I7">
        <v>974</v>
      </c>
      <c r="J7">
        <v>4503</v>
      </c>
      <c r="K7">
        <v>2140</v>
      </c>
      <c r="L7">
        <v>3613</v>
      </c>
      <c r="M7">
        <v>1785</v>
      </c>
      <c r="N7">
        <v>1718</v>
      </c>
      <c r="O7">
        <f t="shared" ref="O7:O19" si="0">SUM(C7:N7)</f>
        <v>26037</v>
      </c>
    </row>
    <row r="8" spans="2:18">
      <c r="B8" t="s">
        <v>564</v>
      </c>
      <c r="C8">
        <v>280</v>
      </c>
      <c r="D8">
        <v>84</v>
      </c>
      <c r="E8">
        <v>84</v>
      </c>
      <c r="F8">
        <v>286</v>
      </c>
      <c r="G8">
        <v>127</v>
      </c>
      <c r="H8">
        <v>0</v>
      </c>
      <c r="I8">
        <v>79</v>
      </c>
      <c r="J8">
        <v>39</v>
      </c>
      <c r="K8" s="520">
        <v>121.4</v>
      </c>
      <c r="L8" s="520">
        <v>84.5</v>
      </c>
      <c r="M8" s="520">
        <v>0</v>
      </c>
      <c r="N8" s="520">
        <v>85.5</v>
      </c>
      <c r="O8" s="520">
        <f t="shared" si="0"/>
        <v>1270.4000000000001</v>
      </c>
    </row>
    <row r="9" spans="2:18">
      <c r="B9" t="s">
        <v>264</v>
      </c>
      <c r="C9">
        <v>603</v>
      </c>
      <c r="D9">
        <v>155</v>
      </c>
      <c r="E9">
        <v>322</v>
      </c>
      <c r="F9">
        <v>230</v>
      </c>
      <c r="G9">
        <v>732</v>
      </c>
      <c r="H9">
        <v>491</v>
      </c>
      <c r="I9">
        <v>481</v>
      </c>
      <c r="J9">
        <v>528</v>
      </c>
      <c r="K9">
        <v>126</v>
      </c>
      <c r="L9" s="520">
        <v>357.5</v>
      </c>
      <c r="M9" s="520">
        <v>434.5</v>
      </c>
      <c r="N9">
        <v>588</v>
      </c>
      <c r="O9">
        <f t="shared" si="0"/>
        <v>5048</v>
      </c>
    </row>
    <row r="10" spans="2:18">
      <c r="B10" t="s">
        <v>4151</v>
      </c>
      <c r="C10">
        <v>239</v>
      </c>
      <c r="D10">
        <v>241</v>
      </c>
      <c r="E10">
        <v>191</v>
      </c>
      <c r="F10">
        <v>181</v>
      </c>
      <c r="G10">
        <v>289</v>
      </c>
      <c r="H10">
        <v>182</v>
      </c>
      <c r="I10">
        <v>234</v>
      </c>
      <c r="J10">
        <v>288</v>
      </c>
      <c r="K10">
        <v>314</v>
      </c>
      <c r="L10" s="520">
        <v>309.10000000000002</v>
      </c>
      <c r="M10" s="520">
        <v>139.4</v>
      </c>
      <c r="N10">
        <v>183</v>
      </c>
      <c r="O10" s="520">
        <f t="shared" si="0"/>
        <v>2790.5</v>
      </c>
    </row>
    <row r="11" spans="2:18">
      <c r="B11" t="s">
        <v>500</v>
      </c>
      <c r="C11">
        <v>261</v>
      </c>
      <c r="D11">
        <v>391</v>
      </c>
      <c r="E11">
        <v>227</v>
      </c>
      <c r="F11">
        <v>444</v>
      </c>
      <c r="G11">
        <v>366</v>
      </c>
      <c r="H11">
        <v>4</v>
      </c>
      <c r="I11">
        <v>122</v>
      </c>
      <c r="J11">
        <v>246</v>
      </c>
      <c r="K11">
        <v>164</v>
      </c>
      <c r="L11">
        <v>265</v>
      </c>
      <c r="M11">
        <v>0</v>
      </c>
      <c r="N11">
        <v>409</v>
      </c>
      <c r="O11">
        <f t="shared" si="0"/>
        <v>2899</v>
      </c>
    </row>
    <row r="12" spans="2:18">
      <c r="B12" t="s">
        <v>325</v>
      </c>
      <c r="C12">
        <v>520</v>
      </c>
      <c r="D12">
        <v>592</v>
      </c>
      <c r="E12">
        <v>480</v>
      </c>
      <c r="F12">
        <v>504</v>
      </c>
      <c r="G12">
        <v>448</v>
      </c>
      <c r="H12">
        <v>659</v>
      </c>
      <c r="I12">
        <v>354</v>
      </c>
      <c r="J12">
        <v>594</v>
      </c>
      <c r="K12">
        <v>639</v>
      </c>
      <c r="L12">
        <v>237</v>
      </c>
      <c r="M12">
        <v>211</v>
      </c>
      <c r="N12">
        <v>812</v>
      </c>
      <c r="O12">
        <f t="shared" si="0"/>
        <v>6050</v>
      </c>
    </row>
    <row r="13" spans="2:18">
      <c r="B13" t="s">
        <v>4152</v>
      </c>
      <c r="D13">
        <v>54</v>
      </c>
      <c r="E13">
        <v>112</v>
      </c>
      <c r="F13">
        <v>124</v>
      </c>
      <c r="G13">
        <v>77</v>
      </c>
      <c r="H13">
        <v>111</v>
      </c>
      <c r="I13">
        <v>45</v>
      </c>
      <c r="J13">
        <v>112</v>
      </c>
      <c r="K13">
        <v>104</v>
      </c>
      <c r="L13">
        <v>87</v>
      </c>
      <c r="M13">
        <v>30</v>
      </c>
      <c r="N13">
        <v>77</v>
      </c>
      <c r="O13">
        <f t="shared" si="0"/>
        <v>933</v>
      </c>
    </row>
    <row r="14" spans="2:18">
      <c r="B14" t="s">
        <v>4153</v>
      </c>
      <c r="C14">
        <v>100</v>
      </c>
      <c r="D14">
        <v>148</v>
      </c>
      <c r="E14">
        <v>148</v>
      </c>
      <c r="F14">
        <v>113</v>
      </c>
      <c r="G14">
        <v>166</v>
      </c>
      <c r="H14">
        <v>112</v>
      </c>
      <c r="I14">
        <v>174</v>
      </c>
      <c r="J14">
        <v>122</v>
      </c>
      <c r="K14">
        <v>121</v>
      </c>
      <c r="L14">
        <v>161</v>
      </c>
      <c r="M14">
        <v>98</v>
      </c>
      <c r="N14">
        <v>82</v>
      </c>
      <c r="O14">
        <f t="shared" si="0"/>
        <v>1545</v>
      </c>
    </row>
    <row r="15" spans="2:18">
      <c r="B15" t="s">
        <v>4154</v>
      </c>
      <c r="C15">
        <v>24</v>
      </c>
      <c r="D15">
        <v>32</v>
      </c>
      <c r="E15">
        <v>28</v>
      </c>
      <c r="F15">
        <v>25</v>
      </c>
      <c r="G15">
        <v>14</v>
      </c>
      <c r="H15">
        <v>52</v>
      </c>
      <c r="I15">
        <v>81</v>
      </c>
      <c r="J15">
        <v>48</v>
      </c>
      <c r="K15">
        <v>49</v>
      </c>
      <c r="L15">
        <v>22</v>
      </c>
      <c r="M15">
        <v>49</v>
      </c>
      <c r="N15">
        <v>129</v>
      </c>
      <c r="O15">
        <f t="shared" si="0"/>
        <v>553</v>
      </c>
    </row>
    <row r="16" spans="2:18">
      <c r="B16" t="s">
        <v>4155</v>
      </c>
      <c r="C16">
        <v>432</v>
      </c>
      <c r="D16">
        <v>690</v>
      </c>
      <c r="E16">
        <v>771</v>
      </c>
      <c r="F16">
        <v>643</v>
      </c>
      <c r="G16">
        <v>497</v>
      </c>
      <c r="H16">
        <v>366</v>
      </c>
      <c r="I16">
        <v>382</v>
      </c>
      <c r="J16">
        <v>302</v>
      </c>
      <c r="K16">
        <v>339</v>
      </c>
      <c r="L16">
        <v>438</v>
      </c>
      <c r="M16">
        <v>181</v>
      </c>
      <c r="N16">
        <v>267</v>
      </c>
      <c r="O16">
        <f t="shared" si="0"/>
        <v>5308</v>
      </c>
    </row>
    <row r="17" spans="2:18">
      <c r="B17" t="s">
        <v>4156</v>
      </c>
      <c r="C17">
        <v>424</v>
      </c>
      <c r="D17">
        <v>257</v>
      </c>
      <c r="E17">
        <v>618</v>
      </c>
      <c r="F17">
        <v>539</v>
      </c>
      <c r="G17">
        <v>879</v>
      </c>
      <c r="H17">
        <v>999</v>
      </c>
      <c r="I17">
        <v>1010</v>
      </c>
      <c r="J17">
        <v>964</v>
      </c>
      <c r="K17">
        <v>1106</v>
      </c>
      <c r="L17">
        <v>856</v>
      </c>
      <c r="M17">
        <v>1376</v>
      </c>
      <c r="N17">
        <v>880</v>
      </c>
      <c r="O17">
        <f t="shared" si="0"/>
        <v>9908</v>
      </c>
    </row>
    <row r="18" spans="2:18">
      <c r="B18" t="s">
        <v>4157</v>
      </c>
      <c r="C18">
        <v>304</v>
      </c>
      <c r="D18">
        <v>817</v>
      </c>
      <c r="E18">
        <v>442</v>
      </c>
      <c r="F18">
        <v>295</v>
      </c>
      <c r="G18" s="520">
        <v>598.5</v>
      </c>
      <c r="H18" s="520">
        <v>476.5</v>
      </c>
      <c r="I18">
        <v>440</v>
      </c>
      <c r="J18">
        <v>333</v>
      </c>
      <c r="K18">
        <v>708</v>
      </c>
      <c r="L18">
        <v>280</v>
      </c>
      <c r="M18">
        <v>337</v>
      </c>
      <c r="N18">
        <v>439</v>
      </c>
      <c r="O18">
        <f t="shared" si="0"/>
        <v>5470</v>
      </c>
    </row>
    <row r="19" spans="2:18">
      <c r="B19" t="s">
        <v>2113</v>
      </c>
      <c r="C19">
        <v>541</v>
      </c>
      <c r="D19">
        <v>643</v>
      </c>
      <c r="E19">
        <v>372</v>
      </c>
      <c r="F19">
        <v>420</v>
      </c>
      <c r="G19">
        <v>366</v>
      </c>
      <c r="H19">
        <v>546</v>
      </c>
      <c r="I19">
        <v>405</v>
      </c>
      <c r="J19">
        <v>863</v>
      </c>
      <c r="K19">
        <v>507</v>
      </c>
      <c r="L19">
        <v>873</v>
      </c>
      <c r="M19">
        <v>444</v>
      </c>
      <c r="N19">
        <v>366</v>
      </c>
      <c r="O19">
        <f t="shared" si="0"/>
        <v>6346</v>
      </c>
    </row>
    <row r="20" spans="2:18">
      <c r="B20" t="s">
        <v>3106</v>
      </c>
      <c r="C20">
        <f>SUM(C6:C19)</f>
        <v>8366</v>
      </c>
      <c r="D20">
        <f t="shared" ref="D20:O20" si="1">SUM(D6:D19)</f>
        <v>10885</v>
      </c>
      <c r="E20">
        <f t="shared" si="1"/>
        <v>9410</v>
      </c>
      <c r="F20">
        <f t="shared" si="1"/>
        <v>10306</v>
      </c>
      <c r="G20">
        <f t="shared" si="1"/>
        <v>12005.5</v>
      </c>
      <c r="H20">
        <f t="shared" si="1"/>
        <v>11782.5</v>
      </c>
      <c r="I20">
        <f t="shared" si="1"/>
        <v>10763</v>
      </c>
      <c r="J20">
        <f t="shared" si="1"/>
        <v>9329</v>
      </c>
      <c r="K20">
        <f t="shared" si="1"/>
        <v>7265.4</v>
      </c>
      <c r="L20">
        <f t="shared" si="1"/>
        <v>9120.1</v>
      </c>
      <c r="M20">
        <f t="shared" si="1"/>
        <v>9149.9</v>
      </c>
      <c r="N20">
        <f t="shared" si="1"/>
        <v>10744.5</v>
      </c>
      <c r="O20" s="520">
        <f t="shared" si="1"/>
        <v>119126.9</v>
      </c>
    </row>
    <row r="23" spans="2:18" ht="15.75">
      <c r="C23" s="2803"/>
      <c r="D23" s="2803"/>
      <c r="E23" s="2803"/>
      <c r="F23" s="2803"/>
      <c r="G23" s="2803"/>
      <c r="H23" s="2803"/>
      <c r="I23" s="2803"/>
      <c r="J23" s="2803"/>
      <c r="K23" s="2803"/>
      <c r="L23" s="2803"/>
      <c r="M23" s="2803"/>
      <c r="N23" s="2803"/>
      <c r="O23" s="2803"/>
      <c r="P23" s="2803"/>
      <c r="Q23" s="2803"/>
      <c r="R23" s="2803"/>
    </row>
    <row r="26" spans="2:18">
      <c r="B26" t="s">
        <v>4150</v>
      </c>
      <c r="C26" t="s">
        <v>864</v>
      </c>
      <c r="D26" t="s">
        <v>865</v>
      </c>
      <c r="E26" t="s">
        <v>866</v>
      </c>
      <c r="F26" t="s">
        <v>867</v>
      </c>
      <c r="G26" t="s">
        <v>868</v>
      </c>
      <c r="H26" t="s">
        <v>315</v>
      </c>
      <c r="I26" t="s">
        <v>305</v>
      </c>
      <c r="J26" t="s">
        <v>3886</v>
      </c>
      <c r="K26" t="s">
        <v>3941</v>
      </c>
      <c r="L26" t="s">
        <v>3949</v>
      </c>
      <c r="M26" t="s">
        <v>3986</v>
      </c>
      <c r="N26" t="s">
        <v>3987</v>
      </c>
    </row>
    <row r="27" spans="2:18">
      <c r="B27" t="s">
        <v>563</v>
      </c>
      <c r="C27">
        <v>3736</v>
      </c>
      <c r="D27">
        <v>5123</v>
      </c>
      <c r="E27">
        <v>3297</v>
      </c>
      <c r="F27">
        <v>3748</v>
      </c>
      <c r="G27">
        <v>5164</v>
      </c>
      <c r="H27">
        <v>5072</v>
      </c>
      <c r="I27">
        <v>2369</v>
      </c>
      <c r="J27">
        <v>414</v>
      </c>
      <c r="K27">
        <v>828</v>
      </c>
      <c r="L27">
        <v>1363</v>
      </c>
      <c r="M27">
        <v>4884</v>
      </c>
      <c r="N27">
        <v>5253</v>
      </c>
      <c r="O27">
        <f>SUM(C27:N27)</f>
        <v>41251</v>
      </c>
    </row>
    <row r="28" spans="2:18">
      <c r="B28" t="s">
        <v>385</v>
      </c>
      <c r="C28">
        <v>790</v>
      </c>
      <c r="D28">
        <v>1537</v>
      </c>
      <c r="E28">
        <v>2037</v>
      </c>
      <c r="F28">
        <v>2327</v>
      </c>
      <c r="G28">
        <v>1899</v>
      </c>
      <c r="H28">
        <v>1219</v>
      </c>
      <c r="I28">
        <v>1671</v>
      </c>
      <c r="J28">
        <v>1963</v>
      </c>
      <c r="K28">
        <v>1576</v>
      </c>
      <c r="L28">
        <v>1998</v>
      </c>
      <c r="M28">
        <v>3055</v>
      </c>
      <c r="N28">
        <v>1682</v>
      </c>
      <c r="O28">
        <f t="shared" ref="O28:O41" si="2">SUM(C28:N28)</f>
        <v>21754</v>
      </c>
    </row>
    <row r="29" spans="2:18">
      <c r="B29" t="s">
        <v>564</v>
      </c>
      <c r="C29">
        <v>95</v>
      </c>
      <c r="D29">
        <v>150</v>
      </c>
      <c r="E29">
        <v>192</v>
      </c>
      <c r="F29">
        <v>173</v>
      </c>
      <c r="G29">
        <v>213</v>
      </c>
      <c r="H29">
        <v>35</v>
      </c>
      <c r="I29">
        <v>71</v>
      </c>
      <c r="J29">
        <v>31</v>
      </c>
      <c r="K29">
        <v>115</v>
      </c>
      <c r="L29">
        <v>71</v>
      </c>
      <c r="M29">
        <v>36</v>
      </c>
      <c r="N29">
        <v>69</v>
      </c>
      <c r="O29">
        <f t="shared" si="2"/>
        <v>1251</v>
      </c>
    </row>
    <row r="30" spans="2:18">
      <c r="B30" t="s">
        <v>264</v>
      </c>
      <c r="C30">
        <v>556</v>
      </c>
      <c r="D30">
        <v>165</v>
      </c>
      <c r="E30">
        <v>340</v>
      </c>
      <c r="F30">
        <v>365</v>
      </c>
      <c r="G30">
        <v>658</v>
      </c>
      <c r="H30">
        <v>497</v>
      </c>
      <c r="I30">
        <v>470</v>
      </c>
      <c r="J30">
        <v>460</v>
      </c>
      <c r="K30">
        <v>265</v>
      </c>
      <c r="L30">
        <v>349</v>
      </c>
      <c r="M30">
        <v>389</v>
      </c>
      <c r="N30">
        <v>537</v>
      </c>
      <c r="O30">
        <f t="shared" si="2"/>
        <v>5051</v>
      </c>
    </row>
    <row r="31" spans="2:18">
      <c r="B31" t="s">
        <v>4151</v>
      </c>
      <c r="C31">
        <v>337</v>
      </c>
      <c r="D31">
        <v>249</v>
      </c>
      <c r="E31">
        <v>194</v>
      </c>
      <c r="F31">
        <v>287</v>
      </c>
      <c r="G31">
        <v>228</v>
      </c>
      <c r="H31">
        <v>200</v>
      </c>
      <c r="I31">
        <v>204</v>
      </c>
      <c r="J31">
        <v>297</v>
      </c>
      <c r="K31">
        <v>203</v>
      </c>
      <c r="L31">
        <v>163</v>
      </c>
      <c r="M31">
        <v>198</v>
      </c>
      <c r="N31">
        <v>263</v>
      </c>
      <c r="O31">
        <f t="shared" si="2"/>
        <v>2823</v>
      </c>
    </row>
    <row r="32" spans="2:18">
      <c r="B32" t="s">
        <v>500</v>
      </c>
      <c r="C32">
        <v>391</v>
      </c>
      <c r="D32">
        <v>378</v>
      </c>
      <c r="E32">
        <v>383</v>
      </c>
      <c r="F32">
        <v>541</v>
      </c>
      <c r="G32">
        <v>89</v>
      </c>
      <c r="H32">
        <v>141</v>
      </c>
      <c r="I32">
        <v>315</v>
      </c>
      <c r="J32">
        <v>104</v>
      </c>
      <c r="K32">
        <v>399</v>
      </c>
      <c r="L32">
        <v>0</v>
      </c>
      <c r="M32">
        <v>0</v>
      </c>
      <c r="N32">
        <v>698</v>
      </c>
      <c r="O32">
        <f t="shared" si="2"/>
        <v>3439</v>
      </c>
    </row>
    <row r="33" spans="2:15">
      <c r="B33" t="s">
        <v>325</v>
      </c>
      <c r="C33">
        <v>468</v>
      </c>
      <c r="D33">
        <v>548</v>
      </c>
      <c r="E33">
        <v>545</v>
      </c>
      <c r="F33">
        <v>390</v>
      </c>
      <c r="G33">
        <v>554</v>
      </c>
      <c r="H33">
        <v>506</v>
      </c>
      <c r="I33">
        <v>470</v>
      </c>
      <c r="J33">
        <v>492</v>
      </c>
      <c r="K33">
        <v>294</v>
      </c>
      <c r="L33">
        <v>288</v>
      </c>
      <c r="M33">
        <v>494</v>
      </c>
      <c r="N33">
        <v>483</v>
      </c>
      <c r="O33">
        <f t="shared" si="2"/>
        <v>5532</v>
      </c>
    </row>
    <row r="34" spans="2:15">
      <c r="B34" t="s">
        <v>4152</v>
      </c>
      <c r="C34">
        <v>0</v>
      </c>
      <c r="D34">
        <v>48</v>
      </c>
      <c r="E34">
        <v>106</v>
      </c>
      <c r="F34">
        <v>144</v>
      </c>
      <c r="G34">
        <v>79</v>
      </c>
      <c r="H34">
        <v>68</v>
      </c>
      <c r="I34">
        <v>89</v>
      </c>
      <c r="J34">
        <v>110</v>
      </c>
      <c r="K34">
        <v>42</v>
      </c>
      <c r="L34">
        <v>114</v>
      </c>
      <c r="M34">
        <v>64</v>
      </c>
      <c r="N34">
        <v>31</v>
      </c>
      <c r="O34">
        <f t="shared" si="2"/>
        <v>895</v>
      </c>
    </row>
    <row r="35" spans="2:15">
      <c r="B35" t="s">
        <v>4153</v>
      </c>
      <c r="C35">
        <v>39</v>
      </c>
      <c r="D35">
        <v>150</v>
      </c>
      <c r="E35">
        <v>83</v>
      </c>
      <c r="F35">
        <v>135</v>
      </c>
      <c r="G35">
        <v>100</v>
      </c>
      <c r="H35">
        <v>61</v>
      </c>
      <c r="I35">
        <v>171</v>
      </c>
      <c r="J35">
        <v>125</v>
      </c>
      <c r="K35">
        <v>90</v>
      </c>
      <c r="L35">
        <v>81</v>
      </c>
      <c r="M35">
        <v>69</v>
      </c>
      <c r="N35">
        <v>121</v>
      </c>
      <c r="O35">
        <f t="shared" si="2"/>
        <v>1225</v>
      </c>
    </row>
    <row r="36" spans="2:15">
      <c r="B36" t="s">
        <v>4154</v>
      </c>
      <c r="C36">
        <v>65</v>
      </c>
      <c r="D36">
        <v>66</v>
      </c>
      <c r="E36">
        <v>0</v>
      </c>
      <c r="F36">
        <v>12</v>
      </c>
      <c r="G36">
        <v>34</v>
      </c>
      <c r="H36">
        <v>34</v>
      </c>
      <c r="I36">
        <v>43</v>
      </c>
      <c r="J36">
        <v>27</v>
      </c>
      <c r="K36">
        <v>64</v>
      </c>
      <c r="L36">
        <v>0</v>
      </c>
      <c r="M36">
        <v>41</v>
      </c>
      <c r="N36">
        <v>147</v>
      </c>
      <c r="O36">
        <f t="shared" si="2"/>
        <v>533</v>
      </c>
    </row>
    <row r="37" spans="2:15">
      <c r="B37" t="s">
        <v>4155</v>
      </c>
      <c r="C37">
        <v>495</v>
      </c>
      <c r="D37">
        <v>385</v>
      </c>
      <c r="E37">
        <v>324</v>
      </c>
      <c r="F37">
        <v>700</v>
      </c>
      <c r="G37">
        <v>449</v>
      </c>
      <c r="H37">
        <v>679</v>
      </c>
      <c r="I37">
        <v>248</v>
      </c>
      <c r="J37">
        <v>569</v>
      </c>
      <c r="K37">
        <v>476</v>
      </c>
      <c r="L37">
        <v>517</v>
      </c>
      <c r="M37">
        <v>272</v>
      </c>
      <c r="N37">
        <v>503</v>
      </c>
      <c r="O37">
        <f t="shared" si="2"/>
        <v>5617</v>
      </c>
    </row>
    <row r="38" spans="2:15">
      <c r="B38" t="s">
        <v>4156</v>
      </c>
      <c r="C38">
        <v>384</v>
      </c>
      <c r="D38">
        <v>513</v>
      </c>
      <c r="E38">
        <v>345</v>
      </c>
      <c r="F38">
        <v>1110</v>
      </c>
      <c r="G38">
        <v>959</v>
      </c>
      <c r="H38">
        <v>875</v>
      </c>
      <c r="I38">
        <v>704</v>
      </c>
      <c r="J38">
        <v>1018</v>
      </c>
      <c r="K38">
        <v>1152</v>
      </c>
      <c r="L38">
        <v>1083</v>
      </c>
      <c r="M38">
        <v>1065</v>
      </c>
      <c r="N38">
        <v>1610</v>
      </c>
      <c r="O38">
        <f t="shared" si="2"/>
        <v>10818</v>
      </c>
    </row>
    <row r="39" spans="2:15">
      <c r="B39" t="s">
        <v>4157</v>
      </c>
      <c r="C39">
        <v>400</v>
      </c>
      <c r="D39">
        <v>684</v>
      </c>
      <c r="E39">
        <v>513</v>
      </c>
      <c r="F39">
        <v>468</v>
      </c>
      <c r="G39">
        <v>485</v>
      </c>
      <c r="H39">
        <v>455</v>
      </c>
      <c r="I39">
        <v>341</v>
      </c>
      <c r="J39">
        <v>367</v>
      </c>
      <c r="K39">
        <v>373</v>
      </c>
      <c r="L39">
        <v>668</v>
      </c>
      <c r="M39">
        <v>763</v>
      </c>
      <c r="N39">
        <v>583</v>
      </c>
      <c r="O39">
        <f t="shared" si="2"/>
        <v>6100</v>
      </c>
    </row>
    <row r="40" spans="2:15">
      <c r="B40" t="s">
        <v>2113</v>
      </c>
      <c r="C40">
        <v>364</v>
      </c>
      <c r="D40">
        <v>648</v>
      </c>
      <c r="E40">
        <v>450</v>
      </c>
      <c r="F40">
        <v>357</v>
      </c>
      <c r="G40">
        <v>475</v>
      </c>
      <c r="H40">
        <v>446</v>
      </c>
      <c r="I40">
        <v>377</v>
      </c>
      <c r="J40">
        <v>799</v>
      </c>
      <c r="K40">
        <v>574</v>
      </c>
      <c r="L40">
        <v>574</v>
      </c>
      <c r="M40">
        <v>462</v>
      </c>
      <c r="N40">
        <v>554</v>
      </c>
      <c r="O40">
        <f t="shared" si="2"/>
        <v>6080</v>
      </c>
    </row>
    <row r="41" spans="2:15">
      <c r="B41" t="s">
        <v>3106</v>
      </c>
      <c r="C41">
        <f>SUM(C27:C40)</f>
        <v>8120</v>
      </c>
      <c r="D41">
        <f t="shared" ref="D41:N41" si="3">SUM(D27:D40)</f>
        <v>10644</v>
      </c>
      <c r="E41">
        <f t="shared" si="3"/>
        <v>8809</v>
      </c>
      <c r="F41">
        <f t="shared" si="3"/>
        <v>10757</v>
      </c>
      <c r="G41">
        <f t="shared" si="3"/>
        <v>11386</v>
      </c>
      <c r="H41">
        <f t="shared" si="3"/>
        <v>10288</v>
      </c>
      <c r="I41">
        <f t="shared" si="3"/>
        <v>7543</v>
      </c>
      <c r="J41">
        <f t="shared" si="3"/>
        <v>6776</v>
      </c>
      <c r="K41">
        <f t="shared" si="3"/>
        <v>6451</v>
      </c>
      <c r="L41">
        <f t="shared" si="3"/>
        <v>7269</v>
      </c>
      <c r="M41">
        <f t="shared" si="3"/>
        <v>11792</v>
      </c>
      <c r="N41">
        <f t="shared" si="3"/>
        <v>12534</v>
      </c>
      <c r="O41">
        <f t="shared" si="2"/>
        <v>112369</v>
      </c>
    </row>
    <row r="42" spans="2:15">
      <c r="C42" t="s">
        <v>271</v>
      </c>
    </row>
    <row r="43" spans="2:15">
      <c r="C43" t="s">
        <v>271</v>
      </c>
    </row>
  </sheetData>
  <mergeCells count="2">
    <mergeCell ref="C3:R3"/>
    <mergeCell ref="C23:R23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8"/>
  <sheetViews>
    <sheetView workbookViewId="0">
      <selection activeCell="B1" sqref="B1:R38"/>
    </sheetView>
  </sheetViews>
  <sheetFormatPr defaultRowHeight="12.75"/>
  <cols>
    <col min="2" max="2" width="20.28515625" customWidth="1"/>
  </cols>
  <sheetData>
    <row r="1" spans="2:15">
      <c r="B1" t="s">
        <v>4160</v>
      </c>
    </row>
    <row r="2" spans="2:15">
      <c r="B2" s="13" t="s">
        <v>4150</v>
      </c>
      <c r="C2" s="13" t="s">
        <v>219</v>
      </c>
      <c r="D2" s="13" t="s">
        <v>220</v>
      </c>
      <c r="E2" s="13" t="s">
        <v>221</v>
      </c>
      <c r="F2" s="13" t="s">
        <v>222</v>
      </c>
      <c r="G2" s="13" t="s">
        <v>223</v>
      </c>
      <c r="H2" s="13" t="s">
        <v>224</v>
      </c>
      <c r="I2" s="13" t="s">
        <v>225</v>
      </c>
      <c r="J2" s="2753">
        <v>45231</v>
      </c>
      <c r="K2" s="13" t="s">
        <v>227</v>
      </c>
      <c r="L2" s="13" t="s">
        <v>239</v>
      </c>
      <c r="M2" s="13" t="s">
        <v>240</v>
      </c>
      <c r="N2" s="2753">
        <v>45352</v>
      </c>
      <c r="O2" s="13"/>
    </row>
    <row r="3" spans="2:15">
      <c r="B3" s="13" t="s">
        <v>563</v>
      </c>
      <c r="C3" s="13">
        <v>3640</v>
      </c>
      <c r="D3" s="13">
        <v>3108</v>
      </c>
      <c r="E3" s="13">
        <v>3965</v>
      </c>
      <c r="F3" s="13">
        <v>3784</v>
      </c>
      <c r="G3" s="13">
        <v>4281</v>
      </c>
      <c r="H3" s="13">
        <v>3465</v>
      </c>
      <c r="I3" s="13">
        <v>3264</v>
      </c>
      <c r="J3" s="13">
        <v>4685</v>
      </c>
      <c r="K3" s="13">
        <v>4136</v>
      </c>
      <c r="L3" s="13">
        <v>3500</v>
      </c>
      <c r="M3" s="13">
        <v>2891</v>
      </c>
      <c r="N3" s="13">
        <v>4156</v>
      </c>
      <c r="O3" s="13">
        <f>SUM(C3:N3)</f>
        <v>44875</v>
      </c>
    </row>
    <row r="4" spans="2:15">
      <c r="B4" s="13" t="s">
        <v>385</v>
      </c>
      <c r="C4" s="13">
        <v>966</v>
      </c>
      <c r="D4" s="13">
        <v>1556</v>
      </c>
      <c r="E4" s="13">
        <v>1118</v>
      </c>
      <c r="F4" s="13">
        <v>1226</v>
      </c>
      <c r="G4" s="13">
        <v>1093</v>
      </c>
      <c r="H4" s="13">
        <v>1580</v>
      </c>
      <c r="I4" s="13">
        <v>1636</v>
      </c>
      <c r="J4" s="13">
        <v>1461</v>
      </c>
      <c r="K4" s="13">
        <v>2044</v>
      </c>
      <c r="L4" s="13">
        <v>2195</v>
      </c>
      <c r="M4" s="13">
        <v>2098</v>
      </c>
      <c r="N4" s="13">
        <v>1028</v>
      </c>
      <c r="O4" s="13">
        <f t="shared" ref="O4:O16" si="0">SUM(C4:N4)</f>
        <v>18001</v>
      </c>
    </row>
    <row r="5" spans="2:15">
      <c r="B5" s="13" t="s">
        <v>564</v>
      </c>
      <c r="C5" s="13">
        <v>17</v>
      </c>
      <c r="D5" s="13">
        <v>128</v>
      </c>
      <c r="E5" s="13">
        <v>372</v>
      </c>
      <c r="F5" s="13">
        <v>203</v>
      </c>
      <c r="G5" s="13">
        <v>29</v>
      </c>
      <c r="H5" s="13">
        <v>40</v>
      </c>
      <c r="I5" s="13">
        <v>129</v>
      </c>
      <c r="J5" s="13">
        <v>71</v>
      </c>
      <c r="K5" s="13">
        <v>0</v>
      </c>
      <c r="L5" s="13">
        <v>119</v>
      </c>
      <c r="M5" s="13">
        <v>256</v>
      </c>
      <c r="N5" s="13">
        <v>160</v>
      </c>
      <c r="O5" s="560">
        <f t="shared" si="0"/>
        <v>1524</v>
      </c>
    </row>
    <row r="6" spans="2:15">
      <c r="B6" s="13" t="s">
        <v>264</v>
      </c>
      <c r="C6" s="13">
        <v>211</v>
      </c>
      <c r="D6" s="13">
        <v>329</v>
      </c>
      <c r="E6" s="13">
        <v>503</v>
      </c>
      <c r="F6" s="13">
        <v>141</v>
      </c>
      <c r="G6" s="13">
        <v>969</v>
      </c>
      <c r="H6" s="13">
        <v>701</v>
      </c>
      <c r="I6" s="13">
        <v>179</v>
      </c>
      <c r="J6" s="13">
        <v>262</v>
      </c>
      <c r="K6" s="13">
        <v>119</v>
      </c>
      <c r="L6" s="13">
        <v>549</v>
      </c>
      <c r="M6" s="13">
        <v>324</v>
      </c>
      <c r="N6" s="13">
        <v>62</v>
      </c>
      <c r="O6" s="13">
        <f t="shared" si="0"/>
        <v>4349</v>
      </c>
    </row>
    <row r="7" spans="2:15">
      <c r="B7" s="13" t="s">
        <v>4151</v>
      </c>
      <c r="C7" s="13">
        <v>503</v>
      </c>
      <c r="D7" s="13">
        <v>486</v>
      </c>
      <c r="E7" s="13">
        <v>479</v>
      </c>
      <c r="F7" s="13">
        <v>401</v>
      </c>
      <c r="G7" s="13">
        <v>352</v>
      </c>
      <c r="H7" s="13">
        <v>360</v>
      </c>
      <c r="I7" s="13">
        <v>275</v>
      </c>
      <c r="J7" s="13">
        <v>310</v>
      </c>
      <c r="K7" s="13">
        <v>288</v>
      </c>
      <c r="L7" s="13">
        <v>191</v>
      </c>
      <c r="M7" s="13">
        <v>268</v>
      </c>
      <c r="N7" s="13">
        <v>327</v>
      </c>
      <c r="O7" s="560">
        <f t="shared" si="0"/>
        <v>4240</v>
      </c>
    </row>
    <row r="8" spans="2:15">
      <c r="B8" s="13" t="s">
        <v>500</v>
      </c>
      <c r="C8" s="13">
        <v>1114</v>
      </c>
      <c r="D8" s="13">
        <v>873</v>
      </c>
      <c r="E8" s="13">
        <v>1267</v>
      </c>
      <c r="F8" s="13">
        <v>812</v>
      </c>
      <c r="G8" s="13">
        <v>20</v>
      </c>
      <c r="H8" s="13">
        <v>291</v>
      </c>
      <c r="I8" s="13">
        <v>333</v>
      </c>
      <c r="J8" s="13">
        <v>533</v>
      </c>
      <c r="K8" s="13">
        <v>549</v>
      </c>
      <c r="L8" s="13">
        <v>483</v>
      </c>
      <c r="M8" s="13">
        <v>316</v>
      </c>
      <c r="N8" s="13">
        <v>289</v>
      </c>
      <c r="O8" s="13">
        <f t="shared" si="0"/>
        <v>6880</v>
      </c>
    </row>
    <row r="9" spans="2:15">
      <c r="B9" s="13" t="s">
        <v>325</v>
      </c>
      <c r="C9" s="13"/>
      <c r="D9" s="13">
        <v>343</v>
      </c>
      <c r="E9" s="13">
        <v>299</v>
      </c>
      <c r="F9" s="13">
        <v>299</v>
      </c>
      <c r="G9" s="13">
        <v>202</v>
      </c>
      <c r="H9" s="13">
        <v>240</v>
      </c>
      <c r="I9" s="13"/>
      <c r="J9" s="13">
        <v>296</v>
      </c>
      <c r="K9" s="13">
        <v>390</v>
      </c>
      <c r="L9" s="13">
        <v>195</v>
      </c>
      <c r="M9" s="13">
        <v>314</v>
      </c>
      <c r="N9" s="13">
        <v>255</v>
      </c>
      <c r="O9" s="13">
        <f t="shared" si="0"/>
        <v>2833</v>
      </c>
    </row>
    <row r="10" spans="2:15">
      <c r="B10" s="13" t="s">
        <v>4152</v>
      </c>
      <c r="C10" s="13"/>
      <c r="D10" s="13"/>
      <c r="E10" s="13"/>
      <c r="F10" s="13"/>
      <c r="G10" s="13"/>
      <c r="H10" s="13">
        <v>40</v>
      </c>
      <c r="I10" s="13">
        <v>153</v>
      </c>
      <c r="J10" s="13"/>
      <c r="K10" s="13"/>
      <c r="L10" s="13">
        <v>75</v>
      </c>
      <c r="M10" s="13">
        <v>84</v>
      </c>
      <c r="N10" s="13">
        <v>107</v>
      </c>
      <c r="O10" s="13">
        <f t="shared" si="0"/>
        <v>459</v>
      </c>
    </row>
    <row r="11" spans="2:15">
      <c r="B11" s="13" t="s">
        <v>4153</v>
      </c>
      <c r="C11" s="13">
        <v>90</v>
      </c>
      <c r="D11" s="13">
        <v>107</v>
      </c>
      <c r="E11" s="13">
        <v>98</v>
      </c>
      <c r="F11" s="13">
        <v>88</v>
      </c>
      <c r="G11" s="13">
        <v>92</v>
      </c>
      <c r="H11" s="13">
        <v>56</v>
      </c>
      <c r="I11" s="13">
        <v>80</v>
      </c>
      <c r="J11" s="13">
        <v>50</v>
      </c>
      <c r="K11" s="13">
        <v>47</v>
      </c>
      <c r="L11" s="13">
        <v>68</v>
      </c>
      <c r="M11" s="13">
        <v>80</v>
      </c>
      <c r="N11" s="13">
        <v>17</v>
      </c>
      <c r="O11" s="13">
        <f t="shared" si="0"/>
        <v>873</v>
      </c>
    </row>
    <row r="12" spans="2:15">
      <c r="B12" s="13" t="s">
        <v>4154</v>
      </c>
      <c r="C12" s="13">
        <v>25</v>
      </c>
      <c r="D12" s="13">
        <v>76</v>
      </c>
      <c r="E12" s="13">
        <v>11</v>
      </c>
      <c r="F12" s="13">
        <v>49</v>
      </c>
      <c r="G12" s="13">
        <v>22</v>
      </c>
      <c r="H12" s="13">
        <v>87</v>
      </c>
      <c r="I12" s="13">
        <v>52</v>
      </c>
      <c r="J12" s="13">
        <v>47</v>
      </c>
      <c r="K12" s="13">
        <v>78</v>
      </c>
      <c r="L12" s="13">
        <v>39</v>
      </c>
      <c r="M12" s="13">
        <v>37</v>
      </c>
      <c r="N12" s="13">
        <v>66</v>
      </c>
      <c r="O12" s="13">
        <f t="shared" si="0"/>
        <v>589</v>
      </c>
    </row>
    <row r="13" spans="2:15">
      <c r="B13" s="13" t="s">
        <v>4155</v>
      </c>
      <c r="C13" s="13">
        <v>981</v>
      </c>
      <c r="D13" s="13">
        <v>897</v>
      </c>
      <c r="E13" s="13">
        <v>1008</v>
      </c>
      <c r="F13" s="13">
        <v>877</v>
      </c>
      <c r="G13" s="13">
        <v>1412</v>
      </c>
      <c r="H13" s="13">
        <v>510</v>
      </c>
      <c r="I13" s="13">
        <v>754</v>
      </c>
      <c r="J13" s="13">
        <v>679</v>
      </c>
      <c r="K13" s="13">
        <v>713</v>
      </c>
      <c r="L13" s="13">
        <v>632</v>
      </c>
      <c r="M13" s="13">
        <v>629</v>
      </c>
      <c r="N13" s="13">
        <v>692</v>
      </c>
      <c r="O13" s="13">
        <f t="shared" si="0"/>
        <v>9784</v>
      </c>
    </row>
    <row r="14" spans="2:15">
      <c r="B14" s="13" t="s">
        <v>4156</v>
      </c>
      <c r="C14" s="13">
        <v>1039</v>
      </c>
      <c r="D14" s="13">
        <v>1393</v>
      </c>
      <c r="E14" s="13">
        <v>1318</v>
      </c>
      <c r="F14" s="13">
        <v>1405</v>
      </c>
      <c r="G14" s="13">
        <v>1232</v>
      </c>
      <c r="H14" s="13">
        <v>1330</v>
      </c>
      <c r="I14" s="13">
        <v>1347</v>
      </c>
      <c r="J14" s="13">
        <v>713</v>
      </c>
      <c r="K14" s="13">
        <v>636</v>
      </c>
      <c r="L14" s="13">
        <v>494</v>
      </c>
      <c r="M14" s="13">
        <v>790</v>
      </c>
      <c r="N14" s="13">
        <v>643</v>
      </c>
      <c r="O14" s="13">
        <f t="shared" si="0"/>
        <v>12340</v>
      </c>
    </row>
    <row r="15" spans="2:15">
      <c r="B15" s="13" t="s">
        <v>4157</v>
      </c>
      <c r="C15" s="13">
        <v>65</v>
      </c>
      <c r="D15" s="13">
        <v>76</v>
      </c>
      <c r="E15" s="13">
        <v>58</v>
      </c>
      <c r="F15" s="13">
        <v>48</v>
      </c>
      <c r="G15" s="13">
        <v>245</v>
      </c>
      <c r="H15" s="13">
        <v>509</v>
      </c>
      <c r="I15" s="13">
        <v>19</v>
      </c>
      <c r="J15" s="13">
        <v>397</v>
      </c>
      <c r="K15" s="13">
        <v>52</v>
      </c>
      <c r="L15" s="13">
        <v>704</v>
      </c>
      <c r="M15" s="13">
        <v>149</v>
      </c>
      <c r="N15" s="13">
        <v>415</v>
      </c>
      <c r="O15" s="13">
        <f t="shared" si="0"/>
        <v>2737</v>
      </c>
    </row>
    <row r="16" spans="2:15">
      <c r="B16" s="13" t="s">
        <v>2113</v>
      </c>
      <c r="C16" s="13">
        <v>1415</v>
      </c>
      <c r="D16" s="13">
        <v>935</v>
      </c>
      <c r="E16" s="13">
        <v>720</v>
      </c>
      <c r="F16" s="13">
        <v>889</v>
      </c>
      <c r="G16" s="13">
        <v>721</v>
      </c>
      <c r="H16" s="13">
        <v>702</v>
      </c>
      <c r="I16" s="13">
        <v>799</v>
      </c>
      <c r="J16" s="13">
        <v>498</v>
      </c>
      <c r="K16" s="13">
        <v>952</v>
      </c>
      <c r="L16" s="13">
        <v>763</v>
      </c>
      <c r="M16" s="13">
        <v>818</v>
      </c>
      <c r="N16" s="13">
        <v>326</v>
      </c>
      <c r="O16" s="13">
        <f t="shared" si="0"/>
        <v>9538</v>
      </c>
    </row>
    <row r="17" spans="2:18">
      <c r="B17" s="13" t="s">
        <v>3106</v>
      </c>
      <c r="C17" s="13">
        <f>SUM(C3:C16)</f>
        <v>10066</v>
      </c>
      <c r="D17" s="13">
        <f t="shared" ref="D17:O17" si="1">SUM(D3:D16)</f>
        <v>10307</v>
      </c>
      <c r="E17" s="13">
        <f t="shared" si="1"/>
        <v>11216</v>
      </c>
      <c r="F17" s="13">
        <f t="shared" si="1"/>
        <v>10222</v>
      </c>
      <c r="G17" s="13">
        <f t="shared" si="1"/>
        <v>10670</v>
      </c>
      <c r="H17" s="13">
        <f t="shared" si="1"/>
        <v>9911</v>
      </c>
      <c r="I17" s="13">
        <f t="shared" si="1"/>
        <v>9020</v>
      </c>
      <c r="J17" s="13">
        <f t="shared" si="1"/>
        <v>10002</v>
      </c>
      <c r="K17" s="13">
        <f t="shared" si="1"/>
        <v>10004</v>
      </c>
      <c r="L17" s="13">
        <f t="shared" si="1"/>
        <v>10007</v>
      </c>
      <c r="M17" s="13">
        <f t="shared" si="1"/>
        <v>9054</v>
      </c>
      <c r="N17" s="13">
        <f t="shared" si="1"/>
        <v>8543</v>
      </c>
      <c r="O17" s="560">
        <f t="shared" si="1"/>
        <v>119022</v>
      </c>
    </row>
    <row r="20" spans="2:18" ht="15.75">
      <c r="C20" s="2803"/>
      <c r="D20" s="2803"/>
      <c r="E20" s="2803"/>
      <c r="F20" s="2803"/>
      <c r="G20" s="2803"/>
      <c r="H20" s="2803"/>
      <c r="I20" s="2803"/>
      <c r="J20" s="2803"/>
      <c r="K20" s="2803"/>
      <c r="L20" s="2803"/>
      <c r="M20" s="2803"/>
      <c r="N20" s="2803"/>
      <c r="O20" s="2803"/>
      <c r="P20" s="2803"/>
      <c r="Q20" s="2803"/>
      <c r="R20" s="2803"/>
    </row>
    <row r="22" spans="2:18">
      <c r="B22" t="s">
        <v>4161</v>
      </c>
    </row>
    <row r="23" spans="2:18">
      <c r="B23" s="13" t="s">
        <v>4150</v>
      </c>
      <c r="C23" s="13" t="s">
        <v>219</v>
      </c>
      <c r="D23" s="13" t="s">
        <v>220</v>
      </c>
      <c r="E23" s="13" t="s">
        <v>221</v>
      </c>
      <c r="F23" s="13" t="s">
        <v>222</v>
      </c>
      <c r="G23" s="13" t="s">
        <v>223</v>
      </c>
      <c r="H23" s="13" t="s">
        <v>224</v>
      </c>
      <c r="I23" s="13" t="s">
        <v>225</v>
      </c>
      <c r="J23" s="2753">
        <v>45231</v>
      </c>
      <c r="K23" s="13" t="s">
        <v>227</v>
      </c>
      <c r="L23" s="13" t="s">
        <v>239</v>
      </c>
      <c r="M23" s="13" t="s">
        <v>240</v>
      </c>
      <c r="N23" s="2753">
        <v>45352</v>
      </c>
      <c r="O23" s="13"/>
    </row>
    <row r="24" spans="2:18">
      <c r="B24" s="13" t="s">
        <v>563</v>
      </c>
      <c r="C24" s="13">
        <v>3562</v>
      </c>
      <c r="D24" s="13">
        <v>3517</v>
      </c>
      <c r="E24" s="13">
        <v>4647</v>
      </c>
      <c r="F24" s="13">
        <v>4161</v>
      </c>
      <c r="G24" s="13">
        <v>5143</v>
      </c>
      <c r="H24" s="13">
        <v>3395</v>
      </c>
      <c r="I24" s="13">
        <v>4010</v>
      </c>
      <c r="J24" s="13">
        <v>3927</v>
      </c>
      <c r="K24" s="13">
        <v>4002</v>
      </c>
      <c r="L24" s="13">
        <v>3279</v>
      </c>
      <c r="M24" s="13">
        <v>758</v>
      </c>
      <c r="N24" s="13">
        <v>5921</v>
      </c>
      <c r="O24" s="13">
        <f>SUM(C24:N24)</f>
        <v>46322</v>
      </c>
    </row>
    <row r="25" spans="2:18">
      <c r="B25" s="13" t="s">
        <v>385</v>
      </c>
      <c r="C25" s="13">
        <v>900</v>
      </c>
      <c r="D25" s="13">
        <v>1489</v>
      </c>
      <c r="E25" s="13">
        <v>758</v>
      </c>
      <c r="F25" s="13">
        <v>1003</v>
      </c>
      <c r="G25" s="13">
        <v>1319</v>
      </c>
      <c r="H25" s="13">
        <v>1889</v>
      </c>
      <c r="I25" s="13">
        <v>1517</v>
      </c>
      <c r="J25" s="13">
        <v>1582</v>
      </c>
      <c r="K25" s="13">
        <v>1860</v>
      </c>
      <c r="L25" s="13">
        <v>2530</v>
      </c>
      <c r="M25" s="13">
        <v>2165</v>
      </c>
      <c r="N25" s="13">
        <v>1017</v>
      </c>
      <c r="O25" s="13">
        <f t="shared" ref="O25:O38" si="2">SUM(C25:N25)</f>
        <v>18029</v>
      </c>
    </row>
    <row r="26" spans="2:18">
      <c r="B26" s="13" t="s">
        <v>564</v>
      </c>
      <c r="C26" s="13"/>
      <c r="D26" s="13">
        <v>191</v>
      </c>
      <c r="E26" s="13">
        <v>307</v>
      </c>
      <c r="F26" s="13">
        <v>183</v>
      </c>
      <c r="G26" s="13">
        <v>111</v>
      </c>
      <c r="H26" s="13">
        <v>30</v>
      </c>
      <c r="I26" s="13">
        <v>120</v>
      </c>
      <c r="J26" s="13">
        <v>50</v>
      </c>
      <c r="K26" s="13">
        <v>0</v>
      </c>
      <c r="L26" s="13">
        <v>61</v>
      </c>
      <c r="M26" s="13">
        <v>219</v>
      </c>
      <c r="N26" s="13">
        <v>251</v>
      </c>
      <c r="O26" s="13">
        <f t="shared" si="2"/>
        <v>1523</v>
      </c>
    </row>
    <row r="27" spans="2:18">
      <c r="B27" s="13" t="s">
        <v>264</v>
      </c>
      <c r="C27" s="13">
        <v>216</v>
      </c>
      <c r="D27" s="13">
        <v>253</v>
      </c>
      <c r="E27" s="13">
        <v>540</v>
      </c>
      <c r="F27" s="13">
        <v>201</v>
      </c>
      <c r="G27" s="13">
        <v>887</v>
      </c>
      <c r="H27" s="13">
        <v>647</v>
      </c>
      <c r="I27" s="13">
        <v>303</v>
      </c>
      <c r="J27" s="13">
        <v>265</v>
      </c>
      <c r="K27" s="13">
        <v>100</v>
      </c>
      <c r="L27" s="13">
        <v>497</v>
      </c>
      <c r="M27" s="13">
        <v>165</v>
      </c>
      <c r="N27" s="13">
        <v>35</v>
      </c>
      <c r="O27" s="13">
        <f t="shared" si="2"/>
        <v>4109</v>
      </c>
    </row>
    <row r="28" spans="2:18">
      <c r="B28" s="13" t="s">
        <v>4151</v>
      </c>
      <c r="C28" s="13">
        <v>640</v>
      </c>
      <c r="D28" s="13">
        <v>367</v>
      </c>
      <c r="E28" s="13">
        <v>512</v>
      </c>
      <c r="F28" s="13">
        <v>373</v>
      </c>
      <c r="G28" s="13">
        <v>194</v>
      </c>
      <c r="H28" s="13">
        <v>345</v>
      </c>
      <c r="I28" s="13">
        <v>462</v>
      </c>
      <c r="J28" s="13">
        <v>377</v>
      </c>
      <c r="K28" s="13">
        <v>196</v>
      </c>
      <c r="L28" s="13">
        <v>461</v>
      </c>
      <c r="M28" s="13">
        <v>243</v>
      </c>
      <c r="N28" s="13">
        <v>278</v>
      </c>
      <c r="O28" s="13">
        <f t="shared" si="2"/>
        <v>4448</v>
      </c>
    </row>
    <row r="29" spans="2:18">
      <c r="B29" s="13" t="s">
        <v>500</v>
      </c>
      <c r="C29" s="13">
        <v>864</v>
      </c>
      <c r="D29" s="13">
        <v>1467</v>
      </c>
      <c r="E29" s="13">
        <v>666</v>
      </c>
      <c r="F29" s="13">
        <v>314</v>
      </c>
      <c r="G29" s="13">
        <v>707</v>
      </c>
      <c r="H29" s="13">
        <v>68</v>
      </c>
      <c r="I29" s="13">
        <v>317</v>
      </c>
      <c r="J29" s="13">
        <v>428</v>
      </c>
      <c r="K29" s="13">
        <v>836</v>
      </c>
      <c r="L29" s="13">
        <v>371</v>
      </c>
      <c r="M29" s="13">
        <v>233</v>
      </c>
      <c r="N29" s="13">
        <v>497</v>
      </c>
      <c r="O29" s="13">
        <f t="shared" si="2"/>
        <v>6768</v>
      </c>
    </row>
    <row r="30" spans="2:18">
      <c r="B30" s="13" t="s">
        <v>325</v>
      </c>
      <c r="C30" s="13"/>
      <c r="D30" s="13">
        <v>265</v>
      </c>
      <c r="E30" s="13">
        <v>316</v>
      </c>
      <c r="F30" s="13">
        <v>350</v>
      </c>
      <c r="G30" s="13">
        <v>200</v>
      </c>
      <c r="H30" s="13">
        <v>173</v>
      </c>
      <c r="I30" s="13">
        <v>255</v>
      </c>
      <c r="J30" s="13">
        <v>274</v>
      </c>
      <c r="K30" s="13">
        <v>309</v>
      </c>
      <c r="L30" s="13">
        <v>336</v>
      </c>
      <c r="M30" s="13">
        <v>375</v>
      </c>
      <c r="N30" s="13">
        <v>321</v>
      </c>
      <c r="O30" s="13">
        <f t="shared" si="2"/>
        <v>3174</v>
      </c>
    </row>
    <row r="31" spans="2:18">
      <c r="B31" s="13" t="s">
        <v>4152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>
        <f t="shared" si="2"/>
        <v>0</v>
      </c>
    </row>
    <row r="32" spans="2:18">
      <c r="B32" s="13" t="s">
        <v>4153</v>
      </c>
      <c r="C32" s="13">
        <v>140</v>
      </c>
      <c r="D32" s="13">
        <v>149</v>
      </c>
      <c r="E32" s="13">
        <v>125</v>
      </c>
      <c r="F32" s="13">
        <v>167</v>
      </c>
      <c r="G32" s="13">
        <v>78</v>
      </c>
      <c r="H32" s="13">
        <v>92</v>
      </c>
      <c r="I32" s="13">
        <v>133</v>
      </c>
      <c r="J32" s="13">
        <v>82</v>
      </c>
      <c r="K32" s="13">
        <v>150</v>
      </c>
      <c r="L32" s="13">
        <v>135</v>
      </c>
      <c r="M32" s="13">
        <v>92</v>
      </c>
      <c r="N32" s="13">
        <v>70</v>
      </c>
      <c r="O32" s="13">
        <f t="shared" si="2"/>
        <v>1413</v>
      </c>
    </row>
    <row r="33" spans="2:15">
      <c r="B33" s="13" t="s">
        <v>4154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>
        <f t="shared" si="2"/>
        <v>0</v>
      </c>
    </row>
    <row r="34" spans="2:15">
      <c r="B34" s="13" t="s">
        <v>4155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f t="shared" si="2"/>
        <v>0</v>
      </c>
    </row>
    <row r="35" spans="2:15">
      <c r="B35" s="13" t="s">
        <v>4156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>
        <f t="shared" si="2"/>
        <v>0</v>
      </c>
    </row>
    <row r="36" spans="2:15">
      <c r="B36" s="13" t="s">
        <v>4157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>
        <f t="shared" si="2"/>
        <v>0</v>
      </c>
    </row>
    <row r="37" spans="2:15">
      <c r="B37" s="13" t="s">
        <v>2113</v>
      </c>
      <c r="C37" s="13">
        <v>3127</v>
      </c>
      <c r="D37" s="13">
        <v>3196</v>
      </c>
      <c r="E37" s="13">
        <f>3408-88</f>
        <v>3320</v>
      </c>
      <c r="F37" s="13">
        <v>3191</v>
      </c>
      <c r="G37" s="13">
        <v>3875</v>
      </c>
      <c r="H37" s="13">
        <v>1981</v>
      </c>
      <c r="I37" s="13">
        <v>2343</v>
      </c>
      <c r="J37" s="13">
        <v>1874</v>
      </c>
      <c r="K37" s="13">
        <v>1900</v>
      </c>
      <c r="L37" s="13">
        <v>2677</v>
      </c>
      <c r="M37" s="13">
        <v>2296</v>
      </c>
      <c r="N37" s="13">
        <v>2861</v>
      </c>
      <c r="O37" s="13">
        <f t="shared" si="2"/>
        <v>32641</v>
      </c>
    </row>
    <row r="38" spans="2:15">
      <c r="B38" s="13" t="s">
        <v>3106</v>
      </c>
      <c r="C38" s="13">
        <f>SUM(C24:C37)</f>
        <v>9449</v>
      </c>
      <c r="D38" s="13">
        <f t="shared" ref="D38:N38" si="3">SUM(D24:D37)</f>
        <v>10894</v>
      </c>
      <c r="E38" s="13">
        <f t="shared" si="3"/>
        <v>11191</v>
      </c>
      <c r="F38" s="13">
        <f t="shared" si="3"/>
        <v>9943</v>
      </c>
      <c r="G38" s="13">
        <f t="shared" si="3"/>
        <v>12514</v>
      </c>
      <c r="H38" s="13">
        <f t="shared" si="3"/>
        <v>8620</v>
      </c>
      <c r="I38" s="13">
        <f t="shared" si="3"/>
        <v>9460</v>
      </c>
      <c r="J38" s="13">
        <f t="shared" si="3"/>
        <v>8859</v>
      </c>
      <c r="K38" s="13">
        <f t="shared" si="3"/>
        <v>9353</v>
      </c>
      <c r="L38" s="13">
        <f t="shared" si="3"/>
        <v>10347</v>
      </c>
      <c r="M38" s="13">
        <f t="shared" si="3"/>
        <v>6546</v>
      </c>
      <c r="N38" s="13">
        <f t="shared" si="3"/>
        <v>11251</v>
      </c>
      <c r="O38" s="13">
        <f t="shared" si="2"/>
        <v>118427</v>
      </c>
    </row>
  </sheetData>
  <mergeCells count="1">
    <mergeCell ref="C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21</vt:i4>
      </vt:variant>
    </vt:vector>
  </HeadingPairs>
  <TitlesOfParts>
    <vt:vector size="58" baseType="lpstr">
      <vt:lpstr>CM REPORT</vt:lpstr>
      <vt:lpstr>DAILY FLASH</vt:lpstr>
      <vt:lpstr>md cell</vt:lpstr>
      <vt:lpstr>Seg wise Saleable &amp; desp 24-25</vt:lpstr>
      <vt:lpstr>SEGMMENT WISE SAL &amp; DESP 26-27</vt:lpstr>
      <vt:lpstr>SAL STOCK</vt:lpstr>
      <vt:lpstr>DMR GRADE DESPATCHED</vt:lpstr>
      <vt:lpstr>MESSAGE</vt:lpstr>
      <vt:lpstr>GRD GROUP SAL</vt:lpstr>
      <vt:lpstr>STOCK 4 YRS</vt:lpstr>
      <vt:lpstr>MIS MONTH WISE FUEL NMGCAL </vt:lpstr>
      <vt:lpstr> QTR WISE CRUDE SAL &amp; DS</vt:lpstr>
      <vt:lpstr>dsp hot metal</vt:lpstr>
      <vt:lpstr>YEAR WISE IPT DESP  FROM15-16</vt:lpstr>
      <vt:lpstr>TE DASTUR</vt:lpstr>
      <vt:lpstr>STOCK AS ON  011025</vt:lpstr>
      <vt:lpstr>PERF DASTUR  POW. GREEN ST</vt:lpstr>
      <vt:lpstr>DESP &amp; SALABLE MORE THAN 10000T</vt:lpstr>
      <vt:lpstr>size wise ingot prodn</vt:lpstr>
      <vt:lpstr>WAP195 R 16 CUTTING DETAILS</vt:lpstr>
      <vt:lpstr>comparative statement for Tech </vt:lpstr>
      <vt:lpstr>Heats &amp; BBM Ch Wt</vt:lpstr>
      <vt:lpstr>SIZE WISE SAL ROUND</vt:lpstr>
      <vt:lpstr>int stock 010725</vt:lpstr>
      <vt:lpstr>WAP9260 SAL DESP</vt:lpstr>
      <vt:lpstr>ISP BRC</vt:lpstr>
      <vt:lpstr>YR ABP PIONT-SAL</vt:lpstr>
      <vt:lpstr>SECTOR-WISE DESPATCH</vt:lpstr>
      <vt:lpstr>SECTOR-WISE SALEABLE</vt:lpstr>
      <vt:lpstr>BUDGET22-23</vt:lpstr>
      <vt:lpstr>Min of Steel</vt:lpstr>
      <vt:lpstr>QTR-WISE PRODN</vt:lpstr>
      <vt:lpstr>RSP DESP</vt:lpstr>
      <vt:lpstr>DESP TO DEF</vt:lpstr>
      <vt:lpstr>ABP VS ACTUAL</vt:lpstr>
      <vt:lpstr>segment wise sal &amp; desp 25-26</vt:lpstr>
      <vt:lpstr>segwise saleable &amp; Desp 23-24</vt:lpstr>
      <vt:lpstr>'MIS MONTH WISE FUEL NMGCAL '!_Hlk158901410</vt:lpstr>
      <vt:lpstr>AA</vt:lpstr>
      <vt:lpstr>' QTR WISE CRUDE SAL &amp; DS'!Print_Area</vt:lpstr>
      <vt:lpstr>'BUDGET22-23'!Print_Area</vt:lpstr>
      <vt:lpstr>'CM REPORT'!Print_Area</vt:lpstr>
      <vt:lpstr>'DAILY FLASH'!Print_Area</vt:lpstr>
      <vt:lpstr>'DESP &amp; SALABLE MORE THAN 10000T'!Print_Area</vt:lpstr>
      <vt:lpstr>'DESP TO DEF'!Print_Area</vt:lpstr>
      <vt:lpstr>'dsp hot metal'!Print_Area</vt:lpstr>
      <vt:lpstr>'GRD GROUP SAL'!Print_Area</vt:lpstr>
      <vt:lpstr>'ISP BRC'!Print_Area</vt:lpstr>
      <vt:lpstr>'md cell'!Print_Area</vt:lpstr>
      <vt:lpstr>MESSAGE!Print_Area</vt:lpstr>
      <vt:lpstr>'MIS MONTH WISE FUEL NMGCAL '!Print_Area</vt:lpstr>
      <vt:lpstr>'PERF DASTUR  POW. GREEN ST'!Print_Area</vt:lpstr>
      <vt:lpstr>'RSP DESP'!Print_Area</vt:lpstr>
      <vt:lpstr>'SAL STOCK'!Print_Area</vt:lpstr>
      <vt:lpstr>'STOCK 4 YRS'!Print_Area</vt:lpstr>
      <vt:lpstr>'TE DASTUR'!Print_Area</vt:lpstr>
      <vt:lpstr>'WAP9260 SAL DESP'!Print_Area</vt:lpstr>
      <vt:lpstr>'YR ABP PIONT-SAL'!Print_Area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MDTC</dc:creator>
  <cp:lastModifiedBy>Mr. Rajesh Kumar</cp:lastModifiedBy>
  <cp:lastPrinted>2026-06-01T03:32:05Z</cp:lastPrinted>
  <dcterms:created xsi:type="dcterms:W3CDTF">1996-10-14T23:33:00Z</dcterms:created>
  <dcterms:modified xsi:type="dcterms:W3CDTF">2026-06-01T03:32:07Z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1033-12.2.0.23147</vt:lpwstr>
  </property>
  <property fmtid="{D5CDD505-2E9C-101B-9397-08002B2CF9AE}" pid="3" name="ICV">
    <vt:lpwstr>85F9D10D60A54D03B2BD0AAAEEC564F5_13</vt:lpwstr>
  </property>
</Properties>
</file>