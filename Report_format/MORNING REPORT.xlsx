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PC2140\Desktop\"/>
    </mc:Choice>
  </mc:AlternateContent>
  <xr:revisionPtr revIDLastSave="0" documentId="13_ncr:1_{F14D4B1D-4A66-4FA3-B1FC-E99D2D0F5818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CEOREPORT" sheetId="9" state="hidden" r:id="rId1"/>
    <sheet name="RAWMATERIALS" sheetId="7" state="hidden" r:id="rId2"/>
    <sheet name="DAILYREPORT1" sheetId="48" r:id="rId3"/>
    <sheet name="RAWMATERIAL &amp; CONSTRAINTS" sheetId="68" r:id="rId4"/>
    <sheet name="ECR DELHI" sheetId="74" state="hidden" r:id="rId5"/>
    <sheet name="DIC REPORT-1" sheetId="71" state="hidden" r:id="rId6"/>
    <sheet name="DIC REPORT-2" sheetId="72" state="hidden" r:id="rId7"/>
    <sheet name="PROCESS FLOW" sheetId="49" state="hidden" r:id="rId8"/>
    <sheet name="SEMIS" sheetId="46" state="hidden" r:id="rId9"/>
  </sheets>
  <definedNames>
    <definedName name="_xlnm._FilterDatabase" localSheetId="3" hidden="1">'RAWMATERIAL &amp; CONSTRAINTS'!$A$65:$HJ$78</definedName>
    <definedName name="AV">#REF!</definedName>
    <definedName name="HQ">#REF!</definedName>
    <definedName name="IE">#REF!</definedName>
    <definedName name="IP">#REF!</definedName>
    <definedName name="KQ">#REF!</definedName>
    <definedName name="LoadName0" localSheetId="0">CEOREPORT!$K$105</definedName>
    <definedName name="LoadName1" localSheetId="0">CEOREPORT!$L$106</definedName>
    <definedName name="LoadName2" localSheetId="0">CEOREPORT!$L$107</definedName>
    <definedName name="LoadName3" localSheetId="0">CEOREPORT!$L$108</definedName>
    <definedName name="LoadName4" localSheetId="0">CEOREPORT!$L$109</definedName>
    <definedName name="LoadName5" localSheetId="0">CEOREPORT!$L$110</definedName>
    <definedName name="LoadName6" localSheetId="0">CEOREPORT!$L$111</definedName>
    <definedName name="ly">#REF!</definedName>
    <definedName name="_xlnm.Print_Area" localSheetId="0">CEOREPORT!$B$3:$Q$105</definedName>
    <definedName name="_xlnm.Print_Area" localSheetId="2">DAILYREPORT1!$B$4:$K$113</definedName>
    <definedName name="_xlnm.Print_Area" localSheetId="5">'DIC REPORT-1'!$B$4:$J$60</definedName>
    <definedName name="_xlnm.Print_Area" localSheetId="6">'DIC REPORT-2'!$B$3:$L$86</definedName>
    <definedName name="_xlnm.Print_Area" localSheetId="3">'RAWMATERIAL &amp; CONSTRAINTS'!$B$2:$V$79</definedName>
    <definedName name="_xlnm.Print_Area" localSheetId="1">RAWMATERIALS!$B$2:$P$101</definedName>
    <definedName name="_xlnm.Print_Area" localSheetId="8">SEMIS!$B$3:$U$24</definedName>
    <definedName name="SLAG">#REF!</definedName>
    <definedName name="usmtonn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71" l="1"/>
  <c r="G17" i="71"/>
  <c r="B61" i="74" l="1"/>
  <c r="B53" i="74"/>
  <c r="B107" i="74" l="1"/>
  <c r="B91" i="74" l="1" a="1"/>
  <c r="B91" i="74" s="1"/>
  <c r="B93" i="74" l="1" a="1"/>
  <c r="B93" i="74" s="1"/>
  <c r="B92" i="74" a="1"/>
  <c r="B92" i="74" s="1"/>
  <c r="B80" i="74"/>
  <c r="B78" i="74"/>
  <c r="B76" i="74"/>
  <c r="B75" i="74"/>
  <c r="B73" i="74"/>
  <c r="B69" i="74"/>
  <c r="B67" i="74"/>
  <c r="B65" i="74"/>
  <c r="B63" i="74"/>
  <c r="B60" i="74"/>
  <c r="B59" i="74"/>
  <c r="B57" i="74"/>
  <c r="B56" i="74"/>
  <c r="B55" i="74"/>
  <c r="B37" i="74"/>
  <c r="B36" i="74"/>
  <c r="B20" i="74" l="1"/>
  <c r="B24" i="74"/>
  <c r="B22" i="74"/>
  <c r="B38" i="74"/>
  <c r="B34" i="74"/>
  <c r="B40" i="74"/>
  <c r="B45" i="74"/>
  <c r="B47" i="74"/>
  <c r="B43" i="74"/>
  <c r="B44" i="74"/>
  <c r="B49" i="74"/>
  <c r="B29" i="74" l="1" a="1"/>
  <c r="B29" i="74" s="1"/>
  <c r="B23" i="74" a="1"/>
  <c r="B23" i="74" s="1"/>
  <c r="B25" i="74" a="1"/>
  <c r="B25" i="74" s="1"/>
  <c r="B42" i="74"/>
  <c r="B50" i="74"/>
  <c r="B48" i="74"/>
  <c r="B46" i="74"/>
  <c r="B41" i="74"/>
  <c r="B39" i="74"/>
  <c r="B35" i="74"/>
  <c r="B21" i="74" a="1"/>
  <c r="B21" i="74" s="1"/>
  <c r="B17" i="74"/>
  <c r="B18" i="74" s="1"/>
  <c r="B30" i="74"/>
  <c r="B31" i="74" l="1" a="1"/>
  <c r="B31" i="74" s="1"/>
  <c r="B19" i="74" a="1"/>
  <c r="B19" i="74" s="1"/>
  <c r="B32" i="74"/>
  <c r="B33" i="74" l="1" a="1"/>
  <c r="B33" i="74" s="1"/>
  <c r="E74" i="72" l="1"/>
  <c r="E58" i="72"/>
  <c r="M23" i="7" l="1"/>
  <c r="M22" i="7"/>
  <c r="F74" i="72" l="1"/>
  <c r="M24" i="7" l="1"/>
  <c r="K11" i="7" l="1"/>
  <c r="E37" i="72" l="1"/>
  <c r="L76" i="72"/>
  <c r="L75" i="72"/>
  <c r="L74" i="72"/>
  <c r="L73" i="72"/>
  <c r="L72" i="72"/>
  <c r="G38" i="72" l="1"/>
  <c r="F38" i="72"/>
  <c r="G37" i="72"/>
  <c r="F37" i="72"/>
  <c r="D35" i="72"/>
  <c r="E35" i="72"/>
  <c r="F35" i="72"/>
  <c r="G35" i="72"/>
  <c r="C35" i="72"/>
  <c r="F20" i="72"/>
  <c r="E20" i="72"/>
  <c r="C36" i="74" l="1"/>
  <c r="C74" i="72" l="1"/>
  <c r="D11" i="7" l="1"/>
  <c r="F58" i="72" l="1"/>
  <c r="C58" i="72"/>
  <c r="E23" i="72" l="1"/>
  <c r="S9" i="71" l="1"/>
  <c r="B70" i="74" l="1"/>
  <c r="B81" i="74" l="1"/>
  <c r="B79" i="74"/>
  <c r="B71" i="74" l="1"/>
  <c r="H9" i="71" l="1"/>
  <c r="G9" i="71"/>
  <c r="B105" i="74" l="1"/>
  <c r="B10" i="7" l="1"/>
  <c r="K12" i="7" l="1"/>
  <c r="K10" i="7"/>
  <c r="F77" i="72" l="1"/>
  <c r="F78" i="72"/>
  <c r="F79" i="72"/>
  <c r="F75" i="72"/>
  <c r="F73" i="72"/>
  <c r="F72" i="72"/>
  <c r="F80" i="72"/>
  <c r="F81" i="72" l="1"/>
  <c r="F85" i="72"/>
  <c r="G3" i="9" l="1"/>
  <c r="F3" i="9"/>
  <c r="G4" i="9"/>
  <c r="F4" i="9"/>
  <c r="F23" i="72" l="1"/>
  <c r="E80" i="72" l="1"/>
  <c r="E64" i="72"/>
  <c r="E16" i="72"/>
  <c r="E63" i="72" l="1"/>
  <c r="B32" i="7" l="1"/>
  <c r="O75" i="72" l="1"/>
  <c r="P75" i="72" s="1"/>
  <c r="O76" i="72" l="1"/>
  <c r="O77" i="72" s="1"/>
  <c r="I33" i="7" l="1"/>
  <c r="I20" i="7"/>
  <c r="C80" i="72" l="1"/>
  <c r="F64" i="72"/>
  <c r="C64" i="72"/>
  <c r="B14" i="7" l="1"/>
  <c r="B104" i="74" l="1"/>
  <c r="H33" i="71" l="1"/>
  <c r="H41" i="71" l="1"/>
  <c r="S43" i="71" l="1"/>
  <c r="S33" i="71" l="1"/>
  <c r="S27" i="71"/>
  <c r="S23" i="71"/>
  <c r="C55" i="71" l="1"/>
  <c r="C52" i="71"/>
  <c r="C51" i="71"/>
  <c r="C50" i="71"/>
  <c r="C54" i="71" l="1"/>
  <c r="G23" i="71" l="1"/>
  <c r="G21" i="71" s="1"/>
  <c r="S17" i="71" l="1"/>
  <c r="D10" i="71"/>
  <c r="H13" i="71" l="1"/>
  <c r="E85" i="72" l="1"/>
  <c r="E78" i="72"/>
  <c r="E79" i="72"/>
  <c r="E77" i="72"/>
  <c r="E73" i="72"/>
  <c r="E75" i="72"/>
  <c r="E72" i="72"/>
  <c r="E69" i="72"/>
  <c r="E62" i="72"/>
  <c r="E61" i="72"/>
  <c r="E57" i="72"/>
  <c r="E59" i="72"/>
  <c r="E56" i="72"/>
  <c r="E51" i="72"/>
  <c r="E50" i="72"/>
  <c r="E49" i="72"/>
  <c r="E48" i="72"/>
  <c r="E45" i="72"/>
  <c r="E38" i="72"/>
  <c r="D38" i="72"/>
  <c r="C38" i="72"/>
  <c r="D37" i="72"/>
  <c r="C37" i="72"/>
  <c r="E81" i="72" l="1"/>
  <c r="E65" i="72"/>
  <c r="E60" i="72"/>
  <c r="E76" i="72"/>
  <c r="E70" i="72" l="1"/>
  <c r="E86" i="72"/>
  <c r="E31" i="72"/>
  <c r="F31" i="72"/>
  <c r="E30" i="72" l="1"/>
  <c r="E29" i="72"/>
  <c r="E28" i="72"/>
  <c r="E27" i="72"/>
  <c r="E26" i="72"/>
  <c r="E22" i="72"/>
  <c r="E21" i="72"/>
  <c r="E19" i="72"/>
  <c r="E18" i="72"/>
  <c r="E17" i="72"/>
  <c r="E15" i="72"/>
  <c r="E13" i="72"/>
  <c r="E12" i="72"/>
  <c r="E11" i="72"/>
  <c r="E9" i="72"/>
  <c r="E8" i="72"/>
  <c r="B3" i="71"/>
  <c r="B3" i="72" s="1"/>
  <c r="E7" i="72"/>
  <c r="E14" i="72" l="1"/>
  <c r="E25" i="72"/>
  <c r="F55" i="71" l="1"/>
  <c r="F52" i="71"/>
  <c r="F51" i="71"/>
  <c r="F50" i="71"/>
  <c r="F54" i="71" l="1"/>
  <c r="D43" i="71" l="1"/>
  <c r="D42" i="71"/>
  <c r="H46" i="71"/>
  <c r="D46" i="71" l="1"/>
  <c r="H47" i="71" l="1"/>
  <c r="G33" i="71"/>
  <c r="G32" i="71" s="1"/>
  <c r="J20" i="71"/>
  <c r="I20" i="71"/>
  <c r="G13" i="71" l="1"/>
  <c r="F56" i="72" l="1"/>
  <c r="C57" i="72"/>
  <c r="C73" i="72"/>
  <c r="C59" i="72"/>
  <c r="C75" i="72"/>
  <c r="C61" i="72"/>
  <c r="C77" i="72"/>
  <c r="C62" i="72"/>
  <c r="C78" i="72"/>
  <c r="C63" i="72"/>
  <c r="F63" i="72"/>
  <c r="C43" i="72"/>
  <c r="C49" i="72"/>
  <c r="C44" i="72"/>
  <c r="C45" i="72"/>
  <c r="C51" i="72"/>
  <c r="C46" i="72"/>
  <c r="C47" i="72"/>
  <c r="C48" i="72"/>
  <c r="C65" i="72" l="1"/>
  <c r="E47" i="72"/>
  <c r="E46" i="72"/>
  <c r="C79" i="72"/>
  <c r="C81" i="72" s="1"/>
  <c r="C85" i="72"/>
  <c r="C72" i="72"/>
  <c r="C76" i="72" s="1"/>
  <c r="C56" i="72"/>
  <c r="C60" i="72" s="1"/>
  <c r="F47" i="72"/>
  <c r="F46" i="72"/>
  <c r="F45" i="72"/>
  <c r="F44" i="72"/>
  <c r="F43" i="72"/>
  <c r="F62" i="72"/>
  <c r="F59" i="72"/>
  <c r="F61" i="72"/>
  <c r="F57" i="72"/>
  <c r="F48" i="72"/>
  <c r="G48" i="72"/>
  <c r="C69" i="72"/>
  <c r="F65" i="72" l="1"/>
  <c r="E44" i="72"/>
  <c r="E43" i="72"/>
  <c r="D12" i="71"/>
  <c r="D11" i="71"/>
  <c r="F60" i="72"/>
  <c r="F69" i="72"/>
  <c r="C86" i="72"/>
  <c r="C70" i="72"/>
  <c r="F70" i="72" l="1"/>
  <c r="F76" i="72"/>
  <c r="F86" i="72" l="1"/>
  <c r="E51" i="71" l="1"/>
  <c r="H51" i="71" s="1"/>
  <c r="C59" i="71" l="1"/>
  <c r="C56" i="71" s="1"/>
  <c r="C60" i="71" l="1"/>
  <c r="E43" i="71" l="1"/>
  <c r="E52" i="71"/>
  <c r="H52" i="71" s="1"/>
  <c r="E55" i="71" l="1"/>
  <c r="H55" i="71" s="1"/>
  <c r="E50" i="71" l="1"/>
  <c r="H50" i="71" l="1"/>
  <c r="E54" i="71"/>
  <c r="D32" i="7" l="1"/>
  <c r="H54" i="71"/>
  <c r="D18" i="7" l="1"/>
  <c r="D14" i="7"/>
  <c r="B16" i="7" l="1"/>
  <c r="A6" i="71" l="1"/>
  <c r="A17" i="71" s="1"/>
  <c r="A18" i="71" s="1"/>
  <c r="H40" i="7" l="1"/>
  <c r="G40" i="7"/>
  <c r="H68" i="9" l="1"/>
  <c r="H67" i="9"/>
  <c r="F43" i="71" l="1"/>
  <c r="J43" i="71" s="1"/>
  <c r="E10" i="71" l="1"/>
  <c r="Z2" i="7"/>
  <c r="E6" i="71" l="1"/>
  <c r="V45" i="7" l="1"/>
  <c r="V49" i="7" s="1"/>
  <c r="U49" i="7"/>
  <c r="L51" i="9" l="1"/>
  <c r="K51" i="9"/>
  <c r="K33" i="7" l="1"/>
  <c r="AC3" i="49" l="1"/>
  <c r="B31" i="7" l="1"/>
  <c r="J31" i="7" s="1"/>
  <c r="B30" i="7"/>
  <c r="J30" i="7" s="1"/>
  <c r="B29" i="7" l="1"/>
  <c r="B26" i="7"/>
  <c r="B25" i="7"/>
  <c r="B13" i="7"/>
  <c r="B12" i="7"/>
  <c r="B19" i="7"/>
  <c r="B15" i="7"/>
  <c r="AO29" i="49" l="1"/>
  <c r="AO26" i="49"/>
  <c r="AO22" i="49"/>
  <c r="AO19" i="49"/>
  <c r="AM29" i="49"/>
  <c r="AM26" i="49"/>
  <c r="AM22" i="49"/>
  <c r="AM19" i="49"/>
  <c r="N39" i="7" l="1"/>
  <c r="H11" i="49" s="1"/>
  <c r="B17" i="7" l="1"/>
  <c r="N62" i="7" l="1"/>
  <c r="E33" i="7" l="1"/>
  <c r="H47" i="9" l="1"/>
  <c r="L79" i="9" l="1"/>
  <c r="N79" i="9"/>
  <c r="AT28" i="49" l="1"/>
  <c r="AT26" i="49"/>
  <c r="AT22" i="49"/>
  <c r="AT19" i="49"/>
  <c r="O55" i="9" l="1"/>
  <c r="O54" i="9"/>
  <c r="O52" i="9"/>
  <c r="O48" i="9"/>
  <c r="P48" i="9"/>
  <c r="P43" i="9"/>
  <c r="P44" i="9"/>
  <c r="P45" i="9"/>
  <c r="P46" i="9"/>
  <c r="O43" i="9"/>
  <c r="O44" i="9"/>
  <c r="O45" i="9"/>
  <c r="O42" i="9"/>
  <c r="P42" i="9"/>
  <c r="O35" i="9"/>
  <c r="P35" i="9"/>
  <c r="O36" i="9"/>
  <c r="P36" i="9"/>
  <c r="O37" i="9"/>
  <c r="P37" i="9"/>
  <c r="O34" i="9"/>
  <c r="P34" i="9"/>
  <c r="J30" i="9"/>
  <c r="J29" i="9"/>
  <c r="O30" i="9"/>
  <c r="P30" i="9"/>
  <c r="O29" i="9"/>
  <c r="P29" i="9"/>
  <c r="O20" i="9"/>
  <c r="P20" i="9"/>
  <c r="O15" i="9"/>
  <c r="P15" i="9"/>
  <c r="O11" i="9"/>
  <c r="O10" i="9"/>
  <c r="P10" i="9"/>
  <c r="O9" i="9"/>
  <c r="P9" i="9"/>
  <c r="N4" i="9" l="1"/>
  <c r="N4" i="7"/>
  <c r="I56" i="9" l="1"/>
  <c r="G54" i="9"/>
  <c r="P53" i="9"/>
  <c r="N53" i="9"/>
  <c r="D52" i="9"/>
  <c r="G51" i="9"/>
  <c r="D51" i="9"/>
  <c r="G48" i="9"/>
  <c r="D48" i="9"/>
  <c r="G46" i="9"/>
  <c r="D46" i="9"/>
  <c r="G45" i="9"/>
  <c r="G44" i="9"/>
  <c r="D44" i="9"/>
  <c r="G43" i="9"/>
  <c r="D43" i="9"/>
  <c r="D42" i="9"/>
  <c r="G41" i="9"/>
  <c r="D41" i="9"/>
  <c r="G39" i="9"/>
  <c r="D39" i="9"/>
  <c r="O31" i="9"/>
  <c r="G36" i="9"/>
  <c r="F36" i="9"/>
  <c r="E36" i="9"/>
  <c r="D36" i="9"/>
  <c r="F35" i="9"/>
  <c r="P31" i="9"/>
  <c r="G33" i="9"/>
  <c r="D33" i="9"/>
  <c r="G31" i="9"/>
  <c r="D31" i="9"/>
  <c r="G30" i="9"/>
  <c r="D30" i="9"/>
  <c r="G29" i="9"/>
  <c r="D29" i="9"/>
  <c r="G28" i="9"/>
  <c r="D28" i="9"/>
  <c r="G27" i="9"/>
  <c r="D27" i="9"/>
  <c r="G26" i="9"/>
  <c r="D26" i="9"/>
  <c r="G25" i="9"/>
  <c r="D25" i="9"/>
  <c r="G24" i="9"/>
  <c r="D24" i="9"/>
  <c r="G23" i="9"/>
  <c r="D23" i="9"/>
  <c r="G22" i="9"/>
  <c r="D22" i="9"/>
  <c r="G21" i="9"/>
  <c r="D21" i="9"/>
  <c r="G18" i="9"/>
  <c r="D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P8" i="9"/>
  <c r="O8" i="9"/>
  <c r="M8" i="9"/>
  <c r="L8" i="9"/>
  <c r="K8" i="9"/>
  <c r="Q5" i="9"/>
  <c r="M62" i="7"/>
  <c r="L62" i="7"/>
  <c r="O61" i="7"/>
  <c r="N59" i="7"/>
  <c r="N55" i="7"/>
  <c r="N54" i="7"/>
  <c r="N51" i="7"/>
  <c r="N50" i="7"/>
  <c r="N49" i="7"/>
  <c r="N48" i="7"/>
  <c r="N47" i="7"/>
  <c r="F42" i="7"/>
  <c r="N41" i="7"/>
  <c r="N40" i="7"/>
  <c r="E40" i="7"/>
  <c r="C40" i="7"/>
  <c r="B51" i="74" s="1"/>
  <c r="N38" i="7"/>
  <c r="N37" i="7"/>
  <c r="N36" i="7"/>
  <c r="X34" i="7"/>
  <c r="W34" i="7"/>
  <c r="V34" i="7"/>
  <c r="U34" i="7"/>
  <c r="H33" i="7"/>
  <c r="G33" i="7"/>
  <c r="C33" i="7"/>
  <c r="J32" i="7"/>
  <c r="C30" i="9"/>
  <c r="C28" i="9"/>
  <c r="J28" i="7"/>
  <c r="B27" i="7"/>
  <c r="C26" i="9" s="1"/>
  <c r="J26" i="7"/>
  <c r="C24" i="9"/>
  <c r="B24" i="7"/>
  <c r="J24" i="7" s="1"/>
  <c r="B23" i="7"/>
  <c r="C22" i="9" s="1"/>
  <c r="B22" i="7"/>
  <c r="J29" i="7" s="1"/>
  <c r="H20" i="7"/>
  <c r="G20" i="7"/>
  <c r="E20" i="7"/>
  <c r="C20" i="7"/>
  <c r="C18" i="9"/>
  <c r="C17" i="9"/>
  <c r="C16" i="9"/>
  <c r="C15" i="9"/>
  <c r="C14" i="9"/>
  <c r="C13" i="9"/>
  <c r="C12" i="9"/>
  <c r="C11" i="9"/>
  <c r="C10" i="9"/>
  <c r="C9" i="9"/>
  <c r="I8" i="7"/>
  <c r="T1" i="7"/>
  <c r="N78" i="9"/>
  <c r="L78" i="9"/>
  <c r="N77" i="9"/>
  <c r="L77" i="9"/>
  <c r="N75" i="9"/>
  <c r="L75" i="9"/>
  <c r="N74" i="9"/>
  <c r="L74" i="9"/>
  <c r="D53" i="7"/>
  <c r="D52" i="7"/>
  <c r="D51" i="7"/>
  <c r="D50" i="7"/>
  <c r="C47" i="74" s="1"/>
  <c r="D48" i="7"/>
  <c r="C43" i="74" s="1"/>
  <c r="D39" i="7"/>
  <c r="D38" i="7"/>
  <c r="D37" i="7"/>
  <c r="D25" i="7"/>
  <c r="D29" i="7"/>
  <c r="D26" i="7"/>
  <c r="D30" i="7"/>
  <c r="D78" i="72"/>
  <c r="D27" i="7"/>
  <c r="D31" i="7"/>
  <c r="D23" i="7"/>
  <c r="D22" i="7"/>
  <c r="D15" i="7"/>
  <c r="D17" i="7"/>
  <c r="D16" i="7"/>
  <c r="D12" i="7"/>
  <c r="D73" i="72" l="1"/>
  <c r="D48" i="72"/>
  <c r="D58" i="72"/>
  <c r="D74" i="72"/>
  <c r="D46" i="72"/>
  <c r="D63" i="72"/>
  <c r="D51" i="72"/>
  <c r="C50" i="72"/>
  <c r="D79" i="72"/>
  <c r="D75" i="72"/>
  <c r="D80" i="72"/>
  <c r="F51" i="72"/>
  <c r="D64" i="72"/>
  <c r="E10" i="9"/>
  <c r="E22" i="9"/>
  <c r="D56" i="72"/>
  <c r="O39" i="7"/>
  <c r="O50" i="7"/>
  <c r="O54" i="7"/>
  <c r="O51" i="7"/>
  <c r="O36" i="7"/>
  <c r="O55" i="7"/>
  <c r="D6" i="71"/>
  <c r="C42" i="7"/>
  <c r="G35" i="9"/>
  <c r="G37" i="9" s="1"/>
  <c r="D35" i="9"/>
  <c r="D37" i="9" s="1"/>
  <c r="E48" i="9"/>
  <c r="E46" i="9"/>
  <c r="E45" i="9"/>
  <c r="E44" i="9"/>
  <c r="E26" i="9"/>
  <c r="E17" i="9"/>
  <c r="E16" i="9"/>
  <c r="E15" i="9"/>
  <c r="E13" i="9"/>
  <c r="E42" i="9"/>
  <c r="D10" i="7"/>
  <c r="F7" i="72"/>
  <c r="E14" i="9"/>
  <c r="D19" i="7"/>
  <c r="E11" i="9"/>
  <c r="D13" i="7"/>
  <c r="E28" i="9"/>
  <c r="E30" i="9"/>
  <c r="E31" i="9"/>
  <c r="E25" i="9"/>
  <c r="D28" i="7"/>
  <c r="E24" i="9"/>
  <c r="E29" i="9"/>
  <c r="N15" i="49"/>
  <c r="M18" i="49"/>
  <c r="G20" i="49"/>
  <c r="K16" i="49"/>
  <c r="N23" i="49"/>
  <c r="P9" i="49"/>
  <c r="E23" i="49"/>
  <c r="F9" i="49"/>
  <c r="D11" i="49"/>
  <c r="F37" i="9"/>
  <c r="C31" i="9"/>
  <c r="AN19" i="49"/>
  <c r="C23" i="9"/>
  <c r="C27" i="9"/>
  <c r="J23" i="7"/>
  <c r="J25" i="7"/>
  <c r="J27" i="7"/>
  <c r="C21" i="9"/>
  <c r="C25" i="9"/>
  <c r="C29" i="9"/>
  <c r="D40" i="7"/>
  <c r="E21" i="9"/>
  <c r="O62" i="7"/>
  <c r="D32" i="9"/>
  <c r="K16" i="9"/>
  <c r="D55" i="9"/>
  <c r="D54" i="9"/>
  <c r="E42" i="7"/>
  <c r="G32" i="9"/>
  <c r="D19" i="9"/>
  <c r="G19" i="9"/>
  <c r="AP22" i="49"/>
  <c r="AP19" i="49"/>
  <c r="I55" i="7"/>
  <c r="O57" i="7"/>
  <c r="O58" i="7"/>
  <c r="E52" i="9" s="1"/>
  <c r="T18" i="49"/>
  <c r="D34" i="7"/>
  <c r="C34" i="74" s="1"/>
  <c r="C22" i="74" l="1"/>
  <c r="C12" i="74"/>
  <c r="C30" i="74"/>
  <c r="D47" i="72"/>
  <c r="C49" i="74"/>
  <c r="C17" i="74"/>
  <c r="C18" i="74" s="1"/>
  <c r="B52" i="74"/>
  <c r="D61" i="72"/>
  <c r="D77" i="72"/>
  <c r="D81" i="72" s="1"/>
  <c r="D69" i="72"/>
  <c r="D59" i="72"/>
  <c r="O37" i="7"/>
  <c r="O38" i="7"/>
  <c r="O47" i="7"/>
  <c r="D49" i="72"/>
  <c r="D62" i="72"/>
  <c r="D57" i="72"/>
  <c r="O49" i="7"/>
  <c r="O40" i="7"/>
  <c r="D42" i="7"/>
  <c r="E35" i="9"/>
  <c r="E37" i="9" s="1"/>
  <c r="E33" i="9"/>
  <c r="E18" i="9"/>
  <c r="E12" i="9"/>
  <c r="I11" i="49"/>
  <c r="O41" i="7"/>
  <c r="O48" i="7"/>
  <c r="E27" i="9"/>
  <c r="O15" i="49"/>
  <c r="N18" i="49"/>
  <c r="G9" i="49"/>
  <c r="AR19" i="49"/>
  <c r="D20" i="7"/>
  <c r="E9" i="9"/>
  <c r="O59" i="7"/>
  <c r="E51" i="9"/>
  <c r="D65" i="72" l="1"/>
  <c r="D50" i="72"/>
  <c r="C51" i="74"/>
  <c r="G50" i="72"/>
  <c r="F50" i="72"/>
  <c r="D60" i="72"/>
  <c r="D85" i="72"/>
  <c r="E37" i="71"/>
  <c r="L16" i="49"/>
  <c r="F23" i="49"/>
  <c r="E54" i="9"/>
  <c r="E19" i="9"/>
  <c r="R9" i="49"/>
  <c r="H20" i="49"/>
  <c r="E55" i="9"/>
  <c r="L16" i="9"/>
  <c r="M16" i="9" s="1"/>
  <c r="O23" i="49"/>
  <c r="E11" i="49"/>
  <c r="P11" i="9"/>
  <c r="D70" i="72" l="1"/>
  <c r="E12" i="71"/>
  <c r="E11" i="71"/>
  <c r="P38" i="9"/>
  <c r="O38" i="9"/>
  <c r="O4" i="7" l="1"/>
  <c r="O4" i="9" l="1"/>
  <c r="O46" i="9" l="1"/>
  <c r="H23" i="71" l="1"/>
  <c r="H21" i="71" s="1"/>
  <c r="B102" i="74"/>
  <c r="B64" i="74"/>
  <c r="B103" i="74" l="1"/>
  <c r="B62" i="74"/>
  <c r="M14" i="9" l="1"/>
  <c r="P7" i="9" l="1"/>
  <c r="O7" i="9"/>
  <c r="AJ28" i="49" l="1"/>
  <c r="AJ29" i="49" l="1"/>
  <c r="B13" i="74"/>
  <c r="H76" i="7" l="1"/>
  <c r="H77" i="7"/>
  <c r="H78" i="7"/>
  <c r="T54" i="9"/>
  <c r="B12" i="74" l="1"/>
  <c r="B11" i="74"/>
  <c r="K55" i="9"/>
  <c r="K54" i="9"/>
  <c r="K52" i="9"/>
  <c r="F22" i="7"/>
  <c r="F14" i="7"/>
  <c r="F24" i="7"/>
  <c r="F13" i="7"/>
  <c r="F12" i="7"/>
  <c r="D17" i="71"/>
  <c r="D39" i="71"/>
  <c r="D38" i="71"/>
  <c r="D37" i="71"/>
  <c r="D34" i="71"/>
  <c r="D30" i="71"/>
  <c r="D29" i="71"/>
  <c r="D28" i="71"/>
  <c r="D25" i="71"/>
  <c r="D24" i="71"/>
  <c r="D20" i="71"/>
  <c r="D15" i="71"/>
  <c r="D14" i="71"/>
  <c r="D8" i="71"/>
  <c r="D7" i="71"/>
  <c r="F28" i="7"/>
  <c r="F26" i="7"/>
  <c r="F30" i="7"/>
  <c r="F27" i="7"/>
  <c r="F31" i="7"/>
  <c r="F32" i="7"/>
  <c r="F25" i="7"/>
  <c r="F23" i="7"/>
  <c r="F29" i="7"/>
  <c r="F11" i="7"/>
  <c r="F15" i="7"/>
  <c r="F19" i="7"/>
  <c r="F16" i="7"/>
  <c r="F10" i="7"/>
  <c r="F17" i="7"/>
  <c r="F18" i="7"/>
  <c r="K30" i="9"/>
  <c r="K29" i="9"/>
  <c r="AO31" i="49"/>
  <c r="AM31" i="49"/>
  <c r="K45" i="9"/>
  <c r="AQ29" i="49"/>
  <c r="K44" i="9"/>
  <c r="AQ26" i="49"/>
  <c r="K43" i="9"/>
  <c r="AQ22" i="49"/>
  <c r="K42" i="9"/>
  <c r="AQ19" i="49"/>
  <c r="K37" i="9"/>
  <c r="K36" i="9"/>
  <c r="K35" i="9"/>
  <c r="K34" i="9"/>
  <c r="K23" i="9"/>
  <c r="K22" i="9"/>
  <c r="K21" i="9"/>
  <c r="K14" i="9"/>
  <c r="K13" i="9"/>
  <c r="K10" i="9"/>
  <c r="F23" i="9" s="1"/>
  <c r="K9" i="9"/>
  <c r="T55" i="9"/>
  <c r="F41" i="9" l="1"/>
  <c r="B14" i="74"/>
  <c r="B10" i="74"/>
  <c r="B15" i="74"/>
  <c r="B8" i="74"/>
  <c r="G64" i="72"/>
  <c r="G58" i="72"/>
  <c r="G74" i="72"/>
  <c r="G80" i="72"/>
  <c r="F46" i="9"/>
  <c r="D23" i="71"/>
  <c r="D9" i="71"/>
  <c r="D33" i="71"/>
  <c r="D32" i="71" s="1"/>
  <c r="D16" i="71"/>
  <c r="D13" i="71"/>
  <c r="D41" i="71"/>
  <c r="D47" i="71" s="1"/>
  <c r="D21" i="71"/>
  <c r="AJ19" i="49"/>
  <c r="K31" i="9"/>
  <c r="K11" i="9"/>
  <c r="AQ31" i="49"/>
  <c r="F48" i="9"/>
  <c r="K46" i="9"/>
  <c r="K38" i="9"/>
  <c r="K28" i="9"/>
  <c r="K27" i="9"/>
  <c r="K20" i="9"/>
  <c r="K15" i="9"/>
  <c r="H31" i="9"/>
  <c r="H22" i="9"/>
  <c r="H25" i="9"/>
  <c r="F29" i="9"/>
  <c r="F22" i="9"/>
  <c r="F26" i="9"/>
  <c r="F30" i="9"/>
  <c r="H32" i="9"/>
  <c r="H26" i="9"/>
  <c r="H30" i="9"/>
  <c r="H27" i="9"/>
  <c r="H23" i="9"/>
  <c r="F27" i="9"/>
  <c r="F31" i="9"/>
  <c r="F24" i="9"/>
  <c r="F28" i="9"/>
  <c r="F21" i="9"/>
  <c r="H24" i="9"/>
  <c r="H28" i="9"/>
  <c r="H21" i="9"/>
  <c r="F25" i="9"/>
  <c r="H29" i="9"/>
  <c r="H11" i="9"/>
  <c r="H18" i="9"/>
  <c r="F9" i="9"/>
  <c r="H12" i="9"/>
  <c r="F11" i="9"/>
  <c r="H14" i="9"/>
  <c r="H15" i="9"/>
  <c r="F10" i="9"/>
  <c r="F18" i="9"/>
  <c r="F13" i="9"/>
  <c r="F15" i="9"/>
  <c r="H10" i="9"/>
  <c r="F16" i="9"/>
  <c r="F17" i="9"/>
  <c r="H9" i="9"/>
  <c r="F14" i="9"/>
  <c r="H17" i="9"/>
  <c r="F12" i="9"/>
  <c r="H16" i="9"/>
  <c r="H13" i="9"/>
  <c r="B16" i="74" l="1"/>
  <c r="F39" i="9"/>
  <c r="G63" i="72"/>
  <c r="G61" i="72"/>
  <c r="G56" i="72"/>
  <c r="G75" i="72"/>
  <c r="G79" i="72"/>
  <c r="G77" i="72"/>
  <c r="G73" i="72"/>
  <c r="G78" i="72"/>
  <c r="G72" i="72"/>
  <c r="G59" i="72"/>
  <c r="G62" i="72"/>
  <c r="G57" i="72"/>
  <c r="H48" i="9"/>
  <c r="H46" i="9"/>
  <c r="H41" i="9"/>
  <c r="F32" i="9"/>
  <c r="H19" i="9"/>
  <c r="F19" i="9"/>
  <c r="B84" i="74"/>
  <c r="B82" i="74"/>
  <c r="B83" i="74"/>
  <c r="B77" i="74"/>
  <c r="B74" i="74"/>
  <c r="B68" i="74"/>
  <c r="B66" i="74"/>
  <c r="B90" i="74"/>
  <c r="B89" i="74"/>
  <c r="B88" i="74"/>
  <c r="H39" i="9" l="1"/>
  <c r="B72" i="74"/>
  <c r="G69" i="72"/>
  <c r="F20" i="7"/>
  <c r="F33" i="7"/>
  <c r="G43" i="72" l="1"/>
  <c r="G85" i="72"/>
  <c r="G44" i="72" l="1"/>
  <c r="B98" i="74" l="1"/>
  <c r="W7" i="49"/>
  <c r="E8" i="71" l="1"/>
  <c r="L10" i="9"/>
  <c r="X7" i="49"/>
  <c r="AJ22" i="49" l="1"/>
  <c r="AC26" i="49"/>
  <c r="AC21" i="49"/>
  <c r="B96" i="74" l="1"/>
  <c r="B95" i="74"/>
  <c r="B94" i="74"/>
  <c r="B101" i="74"/>
  <c r="B100" i="74"/>
  <c r="B99" i="74"/>
  <c r="B97" i="74"/>
  <c r="B87" i="74"/>
  <c r="B86" i="74"/>
  <c r="B85" i="74"/>
  <c r="B6" i="74"/>
  <c r="AB28" i="49"/>
  <c r="AB23" i="49"/>
  <c r="AB19" i="49"/>
  <c r="Y28" i="49"/>
  <c r="Y23" i="49"/>
  <c r="Y19" i="49"/>
  <c r="S26" i="49"/>
  <c r="S23" i="49"/>
  <c r="I23" i="49"/>
  <c r="I19" i="49"/>
  <c r="S18" i="49"/>
  <c r="F33" i="9"/>
  <c r="AJ26" i="49"/>
  <c r="K7" i="49"/>
  <c r="AJ31" i="49"/>
  <c r="AB29" i="49"/>
  <c r="D19" i="71"/>
  <c r="B3" i="74" l="1"/>
  <c r="B9" i="74"/>
  <c r="B7" i="74"/>
  <c r="B5" i="74"/>
  <c r="B4" i="74"/>
  <c r="F42" i="9"/>
  <c r="F45" i="9"/>
  <c r="Y29" i="49"/>
  <c r="AC30" i="49"/>
  <c r="S20" i="49"/>
  <c r="K21" i="49"/>
  <c r="F44" i="9" l="1"/>
  <c r="H45" i="9"/>
  <c r="G47" i="72" l="1"/>
  <c r="G46" i="72"/>
  <c r="H44" i="9"/>
  <c r="F8" i="72" l="1"/>
  <c r="C105" i="74" l="1"/>
  <c r="C104" i="74"/>
  <c r="F9" i="72"/>
  <c r="L55" i="9"/>
  <c r="U54" i="9"/>
  <c r="F54" i="9" s="1"/>
  <c r="C96" i="74" l="1"/>
  <c r="C95" i="74"/>
  <c r="C94" i="74"/>
  <c r="Z28" i="49"/>
  <c r="Z23" i="49"/>
  <c r="Z19" i="49"/>
  <c r="E20" i="71"/>
  <c r="E7" i="71"/>
  <c r="L52" i="9"/>
  <c r="L54" i="9"/>
  <c r="L7" i="49"/>
  <c r="AC28" i="49"/>
  <c r="AC23" i="49"/>
  <c r="AC19" i="49"/>
  <c r="L23" i="9"/>
  <c r="T26" i="49"/>
  <c r="L48" i="9"/>
  <c r="L9" i="9"/>
  <c r="U55" i="9"/>
  <c r="F55" i="9" s="1"/>
  <c r="Q55" i="9"/>
  <c r="C87" i="74"/>
  <c r="C86" i="74"/>
  <c r="C85" i="74"/>
  <c r="C101" i="74"/>
  <c r="C7" i="74" l="1"/>
  <c r="C97" i="74"/>
  <c r="M55" i="9"/>
  <c r="M52" i="9"/>
  <c r="Z29" i="49"/>
  <c r="C7" i="71"/>
  <c r="C8" i="71"/>
  <c r="E15" i="71"/>
  <c r="E14" i="71"/>
  <c r="E9" i="71"/>
  <c r="F8" i="71"/>
  <c r="F7" i="71"/>
  <c r="Q52" i="9"/>
  <c r="Q54" i="9"/>
  <c r="Q10" i="9"/>
  <c r="C100" i="74"/>
  <c r="Q9" i="9"/>
  <c r="J19" i="49"/>
  <c r="J23" i="49"/>
  <c r="P54" i="9"/>
  <c r="I56" i="7"/>
  <c r="AK28" i="49"/>
  <c r="M9" i="9"/>
  <c r="AC29" i="49"/>
  <c r="L28" i="9"/>
  <c r="L27" i="9"/>
  <c r="L21" i="49"/>
  <c r="L15" i="9"/>
  <c r="L14" i="9"/>
  <c r="L13" i="9"/>
  <c r="L11" i="9"/>
  <c r="M10" i="9"/>
  <c r="M54" i="9"/>
  <c r="C99" i="74"/>
  <c r="N52" i="9" l="1"/>
  <c r="N54" i="9"/>
  <c r="Q48" i="9"/>
  <c r="N55" i="9"/>
  <c r="C98" i="74"/>
  <c r="C3" i="74"/>
  <c r="M48" i="9"/>
  <c r="F14" i="71"/>
  <c r="F15" i="71"/>
  <c r="C9" i="71"/>
  <c r="C13" i="71"/>
  <c r="E13" i="71"/>
  <c r="J8" i="71"/>
  <c r="I8" i="71"/>
  <c r="F9" i="71"/>
  <c r="I7" i="71"/>
  <c r="J7" i="71"/>
  <c r="Q11" i="9"/>
  <c r="Q15" i="9"/>
  <c r="I57" i="7"/>
  <c r="I60" i="7" s="1"/>
  <c r="N10" i="9"/>
  <c r="N9" i="9"/>
  <c r="M11" i="9"/>
  <c r="C8" i="74"/>
  <c r="N48" i="9" l="1"/>
  <c r="C4" i="74"/>
  <c r="M15" i="9"/>
  <c r="I9" i="71"/>
  <c r="J9" i="71"/>
  <c r="J14" i="71"/>
  <c r="F13" i="71"/>
  <c r="I14" i="71"/>
  <c r="J15" i="71"/>
  <c r="I15" i="71"/>
  <c r="P49" i="7"/>
  <c r="N11" i="9"/>
  <c r="N15" i="9" l="1"/>
  <c r="J13" i="71"/>
  <c r="I13" i="71"/>
  <c r="L42" i="9" l="1"/>
  <c r="F37" i="71" l="1"/>
  <c r="Q42" i="9"/>
  <c r="M42" i="9"/>
  <c r="J37" i="71" l="1"/>
  <c r="N42" i="9"/>
  <c r="E28" i="71" l="1"/>
  <c r="AK19" i="49"/>
  <c r="L34" i="9"/>
  <c r="F28" i="71" l="1"/>
  <c r="J28" i="71" s="1"/>
  <c r="C28" i="71"/>
  <c r="Q34" i="9"/>
  <c r="M34" i="9"/>
  <c r="C10" i="74"/>
  <c r="I28" i="71" l="1"/>
  <c r="N34" i="9"/>
  <c r="F26" i="72" l="1"/>
  <c r="F28" i="72"/>
  <c r="F27" i="72"/>
  <c r="C81" i="74" l="1"/>
  <c r="F29" i="72"/>
  <c r="F30" i="72"/>
  <c r="F25" i="72"/>
  <c r="F43" i="9"/>
  <c r="H43" i="9" l="1"/>
  <c r="H42" i="9" l="1"/>
  <c r="AN26" i="49" l="1"/>
  <c r="AN22" i="49" l="1"/>
  <c r="AR22" i="49" l="1"/>
  <c r="E38" i="71" l="1"/>
  <c r="L43" i="9"/>
  <c r="F38" i="71" l="1"/>
  <c r="M43" i="9"/>
  <c r="Q43" i="9"/>
  <c r="J38" i="71" l="1"/>
  <c r="N43" i="9"/>
  <c r="C6" i="74" l="1"/>
  <c r="E19" i="71"/>
  <c r="T23" i="49"/>
  <c r="L22" i="9"/>
  <c r="D24" i="7" l="1"/>
  <c r="J19" i="71"/>
  <c r="I19" i="71"/>
  <c r="C32" i="74" l="1"/>
  <c r="C20" i="74"/>
  <c r="D33" i="7"/>
  <c r="E23" i="9"/>
  <c r="E32" i="9" s="1"/>
  <c r="D72" i="72"/>
  <c r="D76" i="72" s="1"/>
  <c r="D86" i="72" s="1"/>
  <c r="G51" i="72" l="1"/>
  <c r="F49" i="72"/>
  <c r="P55" i="9"/>
  <c r="G49" i="72" l="1"/>
  <c r="AK26" i="49" l="1"/>
  <c r="L36" i="9"/>
  <c r="E30" i="71"/>
  <c r="F30" i="71" l="1"/>
  <c r="J30" i="71" s="1"/>
  <c r="M36" i="9"/>
  <c r="Q36" i="9"/>
  <c r="C30" i="71"/>
  <c r="I30" i="71" l="1"/>
  <c r="N36" i="9"/>
  <c r="H32" i="71"/>
  <c r="G45" i="72"/>
  <c r="S30" i="71" l="1"/>
  <c r="S14" i="71"/>
  <c r="D46" i="7" l="1"/>
  <c r="E39" i="9" l="1"/>
  <c r="D44" i="72" l="1"/>
  <c r="C40" i="74"/>
  <c r="AN29" i="49"/>
  <c r="AN31" i="49" s="1"/>
  <c r="C13" i="74" l="1"/>
  <c r="AK29" i="49"/>
  <c r="F34" i="71" l="1"/>
  <c r="M37" i="9"/>
  <c r="AT29" i="49" l="1"/>
  <c r="E59" i="71"/>
  <c r="N37" i="9"/>
  <c r="I34" i="71"/>
  <c r="J34" i="71"/>
  <c r="E56" i="71" l="1"/>
  <c r="E60" i="71"/>
  <c r="AD21" i="49" l="1"/>
  <c r="L29" i="9"/>
  <c r="E24" i="71"/>
  <c r="Q29" i="9" l="1"/>
  <c r="F24" i="71"/>
  <c r="C24" i="71"/>
  <c r="M29" i="9"/>
  <c r="N29" i="9" l="1"/>
  <c r="J24" i="71"/>
  <c r="I24" i="71"/>
  <c r="D45" i="7" l="1"/>
  <c r="C38" i="74" s="1"/>
  <c r="E41" i="9" l="1"/>
  <c r="D43" i="72"/>
  <c r="AR29" i="49" l="1"/>
  <c r="AP29" i="49"/>
  <c r="Q45" i="9" l="1"/>
  <c r="L45" i="9"/>
  <c r="E42" i="71" l="1"/>
  <c r="E46" i="71" s="1"/>
  <c r="F42" i="71"/>
  <c r="J42" i="71" l="1"/>
  <c r="F46" i="71"/>
  <c r="N45" i="9"/>
  <c r="M45" i="9"/>
  <c r="E34" i="71"/>
  <c r="L37" i="9"/>
  <c r="Q37" i="9" l="1"/>
  <c r="J46" i="71"/>
  <c r="AK22" i="49" l="1"/>
  <c r="E29" i="71"/>
  <c r="E33" i="71" s="1"/>
  <c r="E32" i="71" s="1"/>
  <c r="L35" i="9"/>
  <c r="C15" i="74" l="1"/>
  <c r="C11" i="74"/>
  <c r="L38" i="9"/>
  <c r="AK31" i="49"/>
  <c r="Q35" i="9"/>
  <c r="M35" i="9"/>
  <c r="C29" i="71"/>
  <c r="C33" i="71" s="1"/>
  <c r="F29" i="71"/>
  <c r="F33" i="71" s="1"/>
  <c r="C14" i="74" l="1"/>
  <c r="Q38" i="9"/>
  <c r="C32" i="71"/>
  <c r="C34" i="71" s="1"/>
  <c r="M38" i="9"/>
  <c r="N35" i="9"/>
  <c r="J29" i="71"/>
  <c r="I29" i="71"/>
  <c r="F32" i="71"/>
  <c r="I33" i="71"/>
  <c r="J33" i="71"/>
  <c r="N38" i="9" l="1"/>
  <c r="I32" i="71"/>
  <c r="J32" i="71"/>
  <c r="F10" i="71"/>
  <c r="J10" i="71" s="1"/>
  <c r="F6" i="71"/>
  <c r="I6" i="71" s="1"/>
  <c r="A10" i="71"/>
  <c r="A11" i="71" s="1"/>
  <c r="A7" i="71"/>
  <c r="C37" i="71" s="1"/>
  <c r="A13" i="71"/>
  <c r="F12" i="71" s="1"/>
  <c r="J12" i="71" s="1"/>
  <c r="F11" i="71" l="1"/>
  <c r="I11" i="71" s="1"/>
  <c r="A14" i="71"/>
  <c r="C42" i="71"/>
  <c r="I12" i="71"/>
  <c r="C6" i="71"/>
  <c r="C38" i="71"/>
  <c r="J6" i="71"/>
  <c r="C10" i="71"/>
  <c r="I10" i="71"/>
  <c r="C43" i="71"/>
  <c r="J11" i="71" l="1"/>
  <c r="C12" i="71"/>
  <c r="C11" i="71"/>
  <c r="C46" i="71"/>
  <c r="AP26" i="49" l="1"/>
  <c r="AP31" i="49" s="1"/>
  <c r="AR26" i="49" l="1"/>
  <c r="AR31" i="49" s="1"/>
  <c r="E39" i="71" l="1"/>
  <c r="C39" i="71" s="1"/>
  <c r="C41" i="71" s="1"/>
  <c r="C47" i="71" s="1"/>
  <c r="L44" i="9"/>
  <c r="Q44" i="9" l="1"/>
  <c r="L46" i="9"/>
  <c r="Q46" i="9"/>
  <c r="E41" i="71"/>
  <c r="E47" i="71" s="1"/>
  <c r="M44" i="9"/>
  <c r="F39" i="71"/>
  <c r="J39" i="71" s="1"/>
  <c r="N44" i="9" l="1"/>
  <c r="C16" i="74"/>
  <c r="F41" i="71"/>
  <c r="J41" i="71" s="1"/>
  <c r="M46" i="9"/>
  <c r="F47" i="71" l="1"/>
  <c r="J47" i="71" s="1"/>
  <c r="N46" i="9"/>
  <c r="D49" i="7" l="1"/>
  <c r="E43" i="9" l="1"/>
  <c r="D45" i="72" l="1"/>
  <c r="C45" i="74"/>
  <c r="T20" i="49" l="1"/>
  <c r="L21" i="9"/>
  <c r="E17" i="71"/>
  <c r="E16" i="71"/>
  <c r="L20" i="9"/>
  <c r="C70" i="74" l="1"/>
  <c r="C68" i="74"/>
  <c r="F17" i="72"/>
  <c r="C77" i="74"/>
  <c r="C84" i="74"/>
  <c r="C74" i="74"/>
  <c r="C5" i="74"/>
  <c r="C16" i="71"/>
  <c r="Q20" i="9"/>
  <c r="F18" i="72"/>
  <c r="C83" i="74"/>
  <c r="F12" i="72"/>
  <c r="C82" i="74"/>
  <c r="F21" i="72"/>
  <c r="F22" i="72"/>
  <c r="F15" i="72"/>
  <c r="F16" i="71"/>
  <c r="M20" i="9"/>
  <c r="F19" i="72"/>
  <c r="F11" i="72" l="1"/>
  <c r="C66" i="74"/>
  <c r="C72" i="74"/>
  <c r="F13" i="72"/>
  <c r="P52" i="9"/>
  <c r="J16" i="71"/>
  <c r="I16" i="71"/>
  <c r="N20" i="9"/>
  <c r="F14" i="72" l="1"/>
  <c r="B106" i="74"/>
  <c r="F17" i="71" l="1"/>
  <c r="C75" i="74" l="1"/>
  <c r="F16" i="72"/>
  <c r="AD26" i="49" l="1"/>
  <c r="L30" i="9"/>
  <c r="L31" i="9" s="1"/>
  <c r="E25" i="71"/>
  <c r="E23" i="71" s="1"/>
  <c r="M30" i="9" l="1"/>
  <c r="M31" i="9" s="1"/>
  <c r="Q30" i="9"/>
  <c r="F25" i="71"/>
  <c r="F21" i="71" s="1"/>
  <c r="I21" i="71" s="1"/>
  <c r="C25" i="71"/>
  <c r="C9" i="74"/>
  <c r="E21" i="71"/>
  <c r="AD30" i="49"/>
  <c r="F59" i="71"/>
  <c r="F60" i="71" s="1"/>
  <c r="H60" i="71" s="1"/>
  <c r="B54" i="74"/>
  <c r="F23" i="71" l="1"/>
  <c r="I23" i="71" s="1"/>
  <c r="N30" i="9"/>
  <c r="I25" i="71"/>
  <c r="J25" i="71"/>
  <c r="J21" i="71"/>
  <c r="N31" i="9"/>
  <c r="C21" i="71"/>
  <c r="C23" i="71" s="1"/>
  <c r="Q31" i="9"/>
  <c r="F56" i="71"/>
  <c r="H56" i="71" s="1"/>
  <c r="B58" i="74"/>
  <c r="H59" i="71"/>
  <c r="AT31" i="49"/>
  <c r="J23" i="7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ppc1095</author>
  </authors>
  <commentList>
    <comment ref="H100" authorId="0" shapeId="0" xr:uid="{00000000-0006-0000-0300-000001000000}">
      <text>
        <r>
          <rPr>
            <b/>
            <sz val="20"/>
            <color indexed="81"/>
            <rFont val="Tahoma"/>
            <family val="2"/>
          </rPr>
          <t>USM REPORT + CCP CASTER #3 E250</t>
        </r>
      </text>
    </comment>
    <comment ref="J100" authorId="0" shapeId="0" xr:uid="{00000000-0006-0000-0300-000002000000}">
      <text>
        <r>
          <rPr>
            <b/>
            <sz val="20"/>
            <color indexed="81"/>
            <rFont val="Tahoma"/>
            <family val="2"/>
          </rPr>
          <t>CASTER #3 ASSORTED CC BLOOM + NDL IN CASTER SHEET</t>
        </r>
      </text>
    </comment>
    <comment ref="C111" authorId="1" shapeId="0" xr:uid="{3889AB1B-011A-4D5C-9C70-B39E19A57F41}">
      <text>
        <r>
          <rPr>
            <b/>
            <sz val="18"/>
            <color indexed="81"/>
            <rFont val="Tahoma"/>
            <family val="2"/>
          </rPr>
          <t>Weathered (Old) Slag + New Slag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<sst xmlns="http://schemas.openxmlformats.org/spreadsheetml/2006/main" count="1496" uniqueCount="891">
  <si>
    <t>DATE</t>
  </si>
  <si>
    <t>TOTAL</t>
  </si>
  <si>
    <t>A</t>
  </si>
  <si>
    <t>B</t>
  </si>
  <si>
    <t>C</t>
  </si>
  <si>
    <t>RATE</t>
  </si>
  <si>
    <t>SINTER PLANT</t>
  </si>
  <si>
    <t>ESSB STOCK</t>
  </si>
  <si>
    <t>HOT METAL PRODUCTION</t>
  </si>
  <si>
    <t>WIRE ROD MILL</t>
  </si>
  <si>
    <t>BAR MILL</t>
  </si>
  <si>
    <t>SALEABLE STEEL PRODUCTION</t>
  </si>
  <si>
    <t>TOTAL SALEABLE STEEL</t>
  </si>
  <si>
    <t>BASE MIX PLANT</t>
  </si>
  <si>
    <t>BASE MIX PREPARATION</t>
  </si>
  <si>
    <t>BASE MIX SENT TO SINTER PLANT</t>
  </si>
  <si>
    <t>BASE MIX STOCK IN BINS</t>
  </si>
  <si>
    <t>BF COKE</t>
  </si>
  <si>
    <t>COKE BREEZE</t>
  </si>
  <si>
    <t>COAL TAR</t>
  </si>
  <si>
    <t>TRTG</t>
  </si>
  <si>
    <t>OXYGEN PLANT</t>
  </si>
  <si>
    <t>ASH</t>
  </si>
  <si>
    <t>M-40</t>
  </si>
  <si>
    <t>M-10</t>
  </si>
  <si>
    <t>S</t>
  </si>
  <si>
    <t>P</t>
  </si>
  <si>
    <t>BLAST FURNACE TECHNO PARAMETERS</t>
  </si>
  <si>
    <t>IRON ORE FINES</t>
  </si>
  <si>
    <t>LIMESTONE</t>
  </si>
  <si>
    <t>DOLOMITE</t>
  </si>
  <si>
    <t>BF SINTER</t>
  </si>
  <si>
    <t>I/ORE LUMPS</t>
  </si>
  <si>
    <t>QUARTZITE</t>
  </si>
  <si>
    <t>LD SLAG</t>
  </si>
  <si>
    <t>TOTAL CRUDE STEEL</t>
  </si>
  <si>
    <t>TOTAL SINTER PRODUCTION</t>
  </si>
  <si>
    <t>IRON ORE SCREENING REPORT</t>
  </si>
  <si>
    <t>RAJRAPPA</t>
  </si>
  <si>
    <t>CDI COAL</t>
  </si>
  <si>
    <t xml:space="preserve">TIPPLING </t>
  </si>
  <si>
    <t>ON HAND</t>
  </si>
  <si>
    <t>CONSUMPTION</t>
  </si>
  <si>
    <t>STOCK</t>
  </si>
  <si>
    <t>PRODUCTION</t>
  </si>
  <si>
    <t>AMMONIUM SULPHATE</t>
  </si>
  <si>
    <t>SULPHUR</t>
  </si>
  <si>
    <t>SMS TECHNO PARAMETERS</t>
  </si>
  <si>
    <t>COKE OVEN TECHNO PARAMETERS</t>
  </si>
  <si>
    <t>CONVERTER LIFE</t>
  </si>
  <si>
    <t>TOTAL DESPATCH</t>
  </si>
  <si>
    <t>TO DATE</t>
  </si>
  <si>
    <t>ON DATE</t>
  </si>
  <si>
    <t>ITEM</t>
  </si>
  <si>
    <t>Mn</t>
  </si>
  <si>
    <t>Si</t>
  </si>
  <si>
    <t>COB-11</t>
  </si>
  <si>
    <t>Sp. Lime Consumption  (Kg/TCS)</t>
  </si>
  <si>
    <t>COB-10</t>
  </si>
  <si>
    <t>Scrap Consumption (Kg/TCS)</t>
  </si>
  <si>
    <t>MOIST</t>
  </si>
  <si>
    <t>Gross Hotmetal Consumption (Kg/TCS)</t>
  </si>
  <si>
    <t>Avg. Hot Metal Temperature (⁰C)</t>
  </si>
  <si>
    <t>Hot Blast Temperature (⁰C)</t>
  </si>
  <si>
    <t>Si in Hotmetal (%)</t>
  </si>
  <si>
    <t>BF Slag Rate (Kg / THM)</t>
  </si>
  <si>
    <t>BF Productivity (t/cum/day)</t>
  </si>
  <si>
    <t>LIME DOLO CALCINATION PLANT</t>
  </si>
  <si>
    <t>Sinter in Burden (%)</t>
  </si>
  <si>
    <t>ARGON (T)</t>
  </si>
  <si>
    <t>CDI Rate (Kg / THM)</t>
  </si>
  <si>
    <t>NITROGEN (T)</t>
  </si>
  <si>
    <t>Nut Coke Rate (Kg / THM)</t>
  </si>
  <si>
    <t>OXYGEN (T)</t>
  </si>
  <si>
    <t>PBS (STGs)</t>
  </si>
  <si>
    <t>POWER &amp; BLOWING STATIONS</t>
  </si>
  <si>
    <t xml:space="preserve">BF COKE  </t>
  </si>
  <si>
    <t xml:space="preserve"> </t>
  </si>
  <si>
    <t xml:space="preserve">IPT/OTHER DESPATCH </t>
  </si>
  <si>
    <t>USM</t>
  </si>
  <si>
    <t xml:space="preserve">BAR MILL   </t>
  </si>
  <si>
    <t>WR MILL</t>
  </si>
  <si>
    <t>ASKING RATE</t>
  </si>
  <si>
    <t>ABP</t>
  </si>
  <si>
    <t>STOCK AS ON</t>
  </si>
  <si>
    <t>TOTAL CASTS</t>
  </si>
  <si>
    <t>CCP - 3 :- No. OF CASTS</t>
  </si>
  <si>
    <t>CCP - 2 :- No. OF CASTS</t>
  </si>
  <si>
    <t>CCP - 1 :- No. OF CASTS</t>
  </si>
  <si>
    <t>TOTAL HEATS</t>
  </si>
  <si>
    <t>BOF-3</t>
  </si>
  <si>
    <t>BOF - 3 :- No. OF HEATS</t>
  </si>
  <si>
    <t>BOF-2</t>
  </si>
  <si>
    <t>BOF - 2 :- No. OF HEATS</t>
  </si>
  <si>
    <t>BOF - 1 :- No. OF HEATS</t>
  </si>
  <si>
    <t xml:space="preserve">TO DATE </t>
  </si>
  <si>
    <t xml:space="preserve">GRANULATED SLAG </t>
  </si>
  <si>
    <t>PCM</t>
  </si>
  <si>
    <t>DISTRIBUTION : BOF</t>
  </si>
  <si>
    <t>SINTER M/C-2 PRODUCTION</t>
  </si>
  <si>
    <t>SINTER STOCK AT ESSB</t>
  </si>
  <si>
    <t>SINTER M/C-1 PRODUCTION</t>
  </si>
  <si>
    <t>TOTAL (EQUIVALENT. No'S.)</t>
  </si>
  <si>
    <t>ASKING</t>
  </si>
  <si>
    <t>ACTUAL</t>
  </si>
  <si>
    <t>RAW MATERIALS  REPORT</t>
  </si>
  <si>
    <t>RECEIPT</t>
  </si>
  <si>
    <t>SOURCE</t>
  </si>
  <si>
    <t>CLOSING STOCK</t>
  </si>
  <si>
    <t>COAL BLEND</t>
  </si>
  <si>
    <t>COKING  COAL :</t>
  </si>
  <si>
    <t>OLD PLANT</t>
  </si>
  <si>
    <t>PCC</t>
  </si>
  <si>
    <t>NEW PLANT</t>
  </si>
  <si>
    <t>RAW MATERIAL TRANSFER TO BASEMIX PLANT</t>
  </si>
  <si>
    <t>IRONORE FINES</t>
  </si>
  <si>
    <t>BOILER COAL :</t>
  </si>
  <si>
    <t xml:space="preserve"> STOCK ↓</t>
  </si>
  <si>
    <t>UNLOAD</t>
  </si>
  <si>
    <t>BY RAIL : ECL</t>
  </si>
  <si>
    <t xml:space="preserve"> TOTAL ECL</t>
  </si>
  <si>
    <t>BASE MIX STOCK IN BEDS</t>
  </si>
  <si>
    <t>RAMNAGAR (BY ROAD)</t>
  </si>
  <si>
    <t>SP M/C-1</t>
  </si>
  <si>
    <t>TOTAL BOILER COAL</t>
  </si>
  <si>
    <t>SP M/C-2</t>
  </si>
  <si>
    <t>ORE &amp; FLUX</t>
  </si>
  <si>
    <t>RAW MATERIALS TRANSFER TO BF-5</t>
  </si>
  <si>
    <t>IRON ORE LUMPS</t>
  </si>
  <si>
    <t>FLUX:</t>
  </si>
  <si>
    <t>LIMESTONE (SMS Grade)</t>
  </si>
  <si>
    <t>DOLOMITE (BF/SP Grade)</t>
  </si>
  <si>
    <t>RAW MATERIALS TRANSFER TO LDCP</t>
  </si>
  <si>
    <t>DOLOMITE (SMS Grade)</t>
  </si>
  <si>
    <t>LIME STONE</t>
  </si>
  <si>
    <t xml:space="preserve">ONDATE </t>
  </si>
  <si>
    <t>TODATE</t>
  </si>
  <si>
    <t>BLAST FURNACE-5</t>
  </si>
  <si>
    <t>WRM</t>
  </si>
  <si>
    <t>CDI</t>
  </si>
  <si>
    <t>DOLOMITE (SP Grade)</t>
  </si>
  <si>
    <t>LIMESTONE (SP Grade)</t>
  </si>
  <si>
    <t>ICC</t>
  </si>
  <si>
    <t>8)</t>
  </si>
  <si>
    <t>7)</t>
  </si>
  <si>
    <t>6)</t>
  </si>
  <si>
    <t>5)</t>
  </si>
  <si>
    <t>4)</t>
  </si>
  <si>
    <t>2)</t>
  </si>
  <si>
    <t>1)</t>
  </si>
  <si>
    <t>FOR NEW PLANT</t>
  </si>
  <si>
    <t>3)</t>
  </si>
  <si>
    <t xml:space="preserve">STEEL RAKE OUT POSITION </t>
  </si>
  <si>
    <t>FOR OLD PLANT</t>
  </si>
  <si>
    <t>ARRIVAL FORECAST OF RAW MATERIALS</t>
  </si>
  <si>
    <t>(COB #11)</t>
  </si>
  <si>
    <t>(COB #10)</t>
  </si>
  <si>
    <t>BY PRODUCT PLANT</t>
  </si>
  <si>
    <t>Σ HRS</t>
  </si>
  <si>
    <t>FREE TIME</t>
  </si>
  <si>
    <t>OUT TIME</t>
  </si>
  <si>
    <t>RECEIVED TIME</t>
  </si>
  <si>
    <t>S.No</t>
  </si>
  <si>
    <t xml:space="preserve">RAKE HANDLING </t>
  </si>
  <si>
    <t>*Coke Breeze (0-15 mm)</t>
  </si>
  <si>
    <t xml:space="preserve">SENT TO SINTER PLANT </t>
  </si>
  <si>
    <t>*Nut Coke  (15-30 mm)</t>
  </si>
  <si>
    <t>SCHEDULE DAYS</t>
  </si>
  <si>
    <t>WORKING  DAYS</t>
  </si>
  <si>
    <t>*Mixed Coke  (15-80 mm)</t>
  </si>
  <si>
    <t>BASEMIX STOCK</t>
  </si>
  <si>
    <t xml:space="preserve">RATE </t>
  </si>
  <si>
    <t>*BF Coke (30-80 mm)</t>
  </si>
  <si>
    <t>SCREENED IRONORE  FINES</t>
  </si>
  <si>
    <t>IPT/ OTHER DESPATCH</t>
  </si>
  <si>
    <t>SCREENED IRONORE LUMPS</t>
  </si>
  <si>
    <t>PIG IRON (BF-5)</t>
  </si>
  <si>
    <t>TOTAL SALEBLE STEEL</t>
  </si>
  <si>
    <t>BLOOMS</t>
  </si>
  <si>
    <t>DESPATCH OF SALEABLE  STEEL</t>
  </si>
  <si>
    <t>-</t>
  </si>
  <si>
    <t>IRONORE LUMPS</t>
  </si>
  <si>
    <t>SALEBLE STEEL PRODUCTION</t>
  </si>
  <si>
    <t>RAMNAGAR (For  ISP)</t>
  </si>
  <si>
    <t>ECL/CCL</t>
  </si>
  <si>
    <t>BOILER COAL</t>
  </si>
  <si>
    <t>CCP : CASTS</t>
  </si>
  <si>
    <t>BOF : HEATS</t>
  </si>
  <si>
    <t xml:space="preserve"> TOTAL COKING COAL</t>
  </si>
  <si>
    <t>SMS-2</t>
  </si>
  <si>
    <t>SAND PITS</t>
  </si>
  <si>
    <t>HOT METAL</t>
  </si>
  <si>
    <t>COKING COAL-FOR NEW PLANT</t>
  </si>
  <si>
    <t>SINTER SENT TO BF-5</t>
  </si>
  <si>
    <t>TOTAL COKING COAL</t>
  </si>
  <si>
    <t>TOTAL SINTER</t>
  </si>
  <si>
    <t>SINTER STOCK</t>
  </si>
  <si>
    <t>SINTER M/C-2</t>
  </si>
  <si>
    <t xml:space="preserve">SINTER  M/C-1 </t>
  </si>
  <si>
    <t>TOTAL (EQUIV NO.S)</t>
  </si>
  <si>
    <t>COB-8</t>
  </si>
  <si>
    <t>COKING COAL-FOR OLD PLANT</t>
  </si>
  <si>
    <t>COKE OVENS</t>
  </si>
  <si>
    <t>(T)</t>
  </si>
  <si>
    <t>% FF</t>
  </si>
  <si>
    <t>REQUIRED STOCK</t>
  </si>
  <si>
    <t>RECEIPT (T)</t>
  </si>
  <si>
    <t>RAWMATERIAL</t>
  </si>
  <si>
    <t xml:space="preserve">STOCK </t>
  </si>
  <si>
    <t>RATE AS ON</t>
  </si>
  <si>
    <t>PREPARATION</t>
  </si>
  <si>
    <t>SINTER</t>
  </si>
  <si>
    <t>SALEABLE STEEL</t>
  </si>
  <si>
    <t>% L.O.I</t>
  </si>
  <si>
    <t>`</t>
  </si>
  <si>
    <t>UNLOADING +     LOADING RATE (WGNS/HOUR)</t>
  </si>
  <si>
    <t xml:space="preserve">5 H </t>
  </si>
  <si>
    <t>OLD PLANT &amp; BACK LOADING RAKES</t>
  </si>
  <si>
    <t>COKING  COAL IN BED-4</t>
  </si>
  <si>
    <t>UNLOADING RATE (WGNS/HOUR)</t>
  </si>
  <si>
    <t>SMS</t>
  </si>
  <si>
    <t xml:space="preserve">AWAITING </t>
  </si>
  <si>
    <t>∑07°00'</t>
  </si>
  <si>
    <t>58 N IOF GUA</t>
  </si>
  <si>
    <t>∑08°00'</t>
  </si>
  <si>
    <t>59 N ICC(MZ/H)</t>
  </si>
  <si>
    <t>10:25 H(29.08.17)</t>
  </si>
  <si>
    <t>18 H</t>
  </si>
  <si>
    <t>59 N ICC(AUS-H)</t>
  </si>
  <si>
    <t>03:30 H(30.08.17)</t>
  </si>
  <si>
    <t>01:05 H(30.08.17)</t>
  </si>
  <si>
    <t>11.30 H(30.08.17)</t>
  </si>
  <si>
    <t>08.05H(30.08.17)</t>
  </si>
  <si>
    <t>15.15H(30.08.17)</t>
  </si>
  <si>
    <t>59 N IOF BOLANI LEFT MDKD AT 05:15 H</t>
  </si>
  <si>
    <t>59 N L/STN JSM LEFT BKI AT 23:25 H</t>
  </si>
  <si>
    <t>59 N L/STN JSM ARRIVED GMC  AT 3:20 H</t>
  </si>
  <si>
    <t xml:space="preserve">59 N L/STN JSM STABLE MHQ FROM 0:00 H </t>
  </si>
  <si>
    <t>59 N IOF MBR LEFT MXW AT 04:40 H</t>
  </si>
  <si>
    <t>59 N ICC AUS-H LEFT BERO AT 05:20 H</t>
  </si>
  <si>
    <t>55 S IOL BOLANI U/FORMATION FROM 21:00 H</t>
  </si>
  <si>
    <t>59 N IOF GUA U/LOADING FROM 05:00 H</t>
  </si>
  <si>
    <t>4 N PENDING</t>
  </si>
  <si>
    <t>58 N LIMESTONE(SMS Gr.)</t>
  </si>
  <si>
    <t>CRUDE STEEL</t>
  </si>
  <si>
    <t>SALEBLE STEEL</t>
  </si>
  <si>
    <t>HOT METAL ANALYSIS</t>
  </si>
  <si>
    <t>BCDL (NMCL)</t>
  </si>
  <si>
    <t>SILOS STOCK IN COB#11</t>
  </si>
  <si>
    <t>OTHER DESPATCH</t>
  </si>
  <si>
    <t>COKE ANALYSIS</t>
  </si>
  <si>
    <t>UNLOADING (WGNS/HOUR)</t>
  </si>
  <si>
    <t>DESTINATION</t>
  </si>
  <si>
    <t>DETENTION (HRS)</t>
  </si>
  <si>
    <t>WEIGHT (T)</t>
  </si>
  <si>
    <t>NO OF WAGONS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</si>
  <si>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</si>
  <si>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SEMIS STOCK</t>
  </si>
  <si>
    <t>KILN-3 [LIME]</t>
  </si>
  <si>
    <t>KILN-2 [LIME]</t>
  </si>
  <si>
    <t>COKE OVEN PUSHING         COB-8</t>
  </si>
  <si>
    <t>(SMS) TECHNO PARAMETERS</t>
  </si>
  <si>
    <t>Imported Coal in Blend-COB-11(%)</t>
  </si>
  <si>
    <t>AVERAGE HEATS</t>
  </si>
  <si>
    <t>AVERAGE CASTS</t>
  </si>
  <si>
    <t>STEEL RAKES DESPATCH</t>
  </si>
  <si>
    <t xml:space="preserve"> PIG IRON RAKE DESPATCH</t>
  </si>
  <si>
    <t>GRANULATED SLAG RAKE DESPATCH</t>
  </si>
  <si>
    <t xml:space="preserve">NORTH YARD </t>
  </si>
  <si>
    <t xml:space="preserve">SOUTH YARD </t>
  </si>
  <si>
    <t>RAKES IN TRANSIT</t>
  </si>
  <si>
    <t>ARRIVAL AT DAMODAR YARD :-</t>
  </si>
  <si>
    <t xml:space="preserve">  (FOR 15 DAYS)</t>
  </si>
  <si>
    <t>AUS- SOFT</t>
  </si>
  <si>
    <t>RAKES UNDER LOADING/ UNDER FORMATION</t>
  </si>
  <si>
    <t xml:space="preserve">CC BLOOMS </t>
  </si>
  <si>
    <t xml:space="preserve">ACTUAL </t>
  </si>
  <si>
    <t xml:space="preserve">PIG  IRON (BF-5)    </t>
  </si>
  <si>
    <t>6 AM TODAY</t>
  </si>
  <si>
    <t xml:space="preserve">  STOCK AS ON </t>
  </si>
  <si>
    <t>EXPORT</t>
  </si>
  <si>
    <t>KILN-4 [LIME]</t>
  </si>
  <si>
    <t xml:space="preserve">CCM - 1 &amp; 2 : [150X150X12] </t>
  </si>
  <si>
    <t>BASE MIX</t>
  </si>
  <si>
    <t>jodaburi</t>
  </si>
  <si>
    <t>COB-12 site</t>
  </si>
  <si>
    <t>FINISHED STEEL STOCK</t>
  </si>
  <si>
    <t>COKE RATE (Kg / THM)</t>
  </si>
  <si>
    <t>MIN</t>
  </si>
  <si>
    <t xml:space="preserve"> MAX</t>
  </si>
  <si>
    <t xml:space="preserve"> TONS</t>
  </si>
  <si>
    <t>CAL. LIME FINES TO SINTER PLANT  (NO. OF TANKERS)</t>
  </si>
  <si>
    <t xml:space="preserve">संयंत्र नियंत्रण </t>
  </si>
  <si>
    <t>निष्पादन प्रतिवेदन</t>
  </si>
  <si>
    <t>भारतीय इस्पात प्राधिकरण लिमिटेड़</t>
  </si>
  <si>
    <t>SAIL: Semis Stock ( In-process/Sale)- daily report</t>
  </si>
  <si>
    <t>Unit: 'T'</t>
  </si>
  <si>
    <t>Plant</t>
  </si>
  <si>
    <t>Blooms/Beam Blanks</t>
  </si>
  <si>
    <t>Billet</t>
  </si>
  <si>
    <t>Round</t>
  </si>
  <si>
    <t>Slab</t>
  </si>
  <si>
    <t xml:space="preserve">Ingot </t>
  </si>
  <si>
    <t>Pig Iron</t>
  </si>
  <si>
    <t>In process</t>
  </si>
  <si>
    <t>For sales</t>
  </si>
  <si>
    <t>Total stock</t>
  </si>
  <si>
    <t>For sales/IPT</t>
  </si>
  <si>
    <t>BSP</t>
  </si>
  <si>
    <t>DSP</t>
  </si>
  <si>
    <t>RSP</t>
  </si>
  <si>
    <t>BSL</t>
  </si>
  <si>
    <t>ISP</t>
  </si>
  <si>
    <t>SAIL</t>
  </si>
  <si>
    <t>In-process</t>
  </si>
  <si>
    <t>Billets</t>
  </si>
  <si>
    <t xml:space="preserve">Blooms </t>
  </si>
  <si>
    <t xml:space="preserve"> इस्को इस्पात संयंत्र - बर्नपुर</t>
  </si>
  <si>
    <t>FUEL Rate (Kg / THM)</t>
  </si>
  <si>
    <t>SiO2</t>
  </si>
  <si>
    <t>Fe</t>
  </si>
  <si>
    <t>CaO</t>
  </si>
  <si>
    <t>FeO</t>
  </si>
  <si>
    <t xml:space="preserve">SINTER </t>
  </si>
  <si>
    <t>Al2O3</t>
  </si>
  <si>
    <t>MgO</t>
  </si>
  <si>
    <t>ACTUAL YEARLY PRODUCTION</t>
  </si>
  <si>
    <t>KWH/TSS</t>
  </si>
  <si>
    <t>BOF-1</t>
  </si>
  <si>
    <t>CCM-1</t>
  </si>
  <si>
    <t>CCM-2</t>
  </si>
  <si>
    <t>CCM-3</t>
  </si>
  <si>
    <t>150X150 BILLETS</t>
  </si>
  <si>
    <t>SINTER PLANT M/C-1</t>
  </si>
  <si>
    <t>SINTER PLANT M/C-2</t>
  </si>
  <si>
    <t>BASE MIXPLANT</t>
  </si>
  <si>
    <t>ROAD</t>
  </si>
  <si>
    <t>RAIL</t>
  </si>
  <si>
    <t>COILS</t>
  </si>
  <si>
    <t>BARS</t>
  </si>
  <si>
    <t>STRUCTURALS</t>
  </si>
  <si>
    <t>SEMIS</t>
  </si>
  <si>
    <t>FLUXES</t>
  </si>
  <si>
    <t>CONSUMPTION  (T)</t>
  </si>
  <si>
    <t>STOCK(DAYS)</t>
  </si>
  <si>
    <t>QUARTZITE :</t>
  </si>
  <si>
    <t>ICC HARD</t>
  </si>
  <si>
    <t>ICC SOFT</t>
  </si>
  <si>
    <t>INDIGENOUS</t>
  </si>
  <si>
    <t>COB-11    COAL BLEND %</t>
  </si>
  <si>
    <t>COB-10      COAL BLEND %</t>
  </si>
  <si>
    <t>COKE FINES RECEIVED FROM BF-5</t>
  </si>
  <si>
    <t>COKE FINES</t>
  </si>
  <si>
    <t>200X280 BLOOMS/BB-2/BB-3</t>
  </si>
  <si>
    <t>SALEABLE STEEL DESPATCH</t>
  </si>
  <si>
    <t>STEEL MELTING SHOP</t>
  </si>
  <si>
    <t>SAIL - ISP PRODUCTION FLOW</t>
  </si>
  <si>
    <t>US - HARD</t>
  </si>
  <si>
    <t>AUS - HARD</t>
  </si>
  <si>
    <t>KESTREL - SOFT</t>
  </si>
  <si>
    <t>LVHR-HARD</t>
  </si>
  <si>
    <t>USA-SOFT</t>
  </si>
  <si>
    <t>Saleable Semis</t>
  </si>
  <si>
    <t>Finished Steel</t>
  </si>
  <si>
    <t>Saleable Steel</t>
  </si>
  <si>
    <t>Movable</t>
  </si>
  <si>
    <t>Non-movable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</si>
  <si>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Total stock</t>
    </r>
  </si>
  <si>
    <t>STEEL RAKES RECIEPT</t>
  </si>
  <si>
    <t>FROM</t>
  </si>
  <si>
    <t>STOCK (SOUTH+ NORTH YARD+ JODABURI)</t>
  </si>
  <si>
    <t>st (v)</t>
  </si>
  <si>
    <t>cr</t>
  </si>
  <si>
    <t>ECSY</t>
  </si>
  <si>
    <t>DSP BILLETS (125*125)</t>
  </si>
  <si>
    <t>15.09.20</t>
  </si>
  <si>
    <t>17.09.20</t>
  </si>
  <si>
    <t>27.09.20</t>
  </si>
  <si>
    <t>05.10.20</t>
  </si>
  <si>
    <t>09.10.20</t>
  </si>
  <si>
    <t>QUANTITY (T)</t>
  </si>
  <si>
    <t xml:space="preserve"> GRN QTY</t>
  </si>
  <si>
    <t>CC BILLETS FOR SALE(150X150)</t>
  </si>
  <si>
    <t>SALEABLE STEEL STOCK</t>
  </si>
  <si>
    <t>JAMADOBA</t>
  </si>
  <si>
    <t>CONSUMPTION/DAY</t>
  </si>
  <si>
    <t>IRONORE FINES(IN SP)</t>
  </si>
  <si>
    <t>\</t>
  </si>
  <si>
    <t>LIMESTONE (LDCP RETURN)</t>
  </si>
  <si>
    <t>V.M</t>
  </si>
  <si>
    <t>NO. OF RAKES</t>
  </si>
  <si>
    <t xml:space="preserve">PRODUCTION </t>
  </si>
  <si>
    <t>AS ON 01.06.21</t>
  </si>
  <si>
    <t xml:space="preserve">AS ON 06:00 AM </t>
  </si>
  <si>
    <t>DOLOMITE (FINES)</t>
  </si>
  <si>
    <t>58 N GUA (IOF)</t>
  </si>
  <si>
    <t>∑06°00'</t>
  </si>
  <si>
    <t>∑05°00'</t>
  </si>
  <si>
    <t>01:50 H(20.08.21)</t>
  </si>
  <si>
    <t>NEW PLANT RECEIVED RAKE DETAILS</t>
  </si>
  <si>
    <t>OLD PLANT RECEIVED AND BACK LOADING RAKE DETAILS</t>
  </si>
  <si>
    <t>STEEL RAKE DETAILS</t>
  </si>
  <si>
    <t>S.NO</t>
  </si>
  <si>
    <t>No. of wagons</t>
  </si>
  <si>
    <t>Destination</t>
  </si>
  <si>
    <t>Out time</t>
  </si>
  <si>
    <t>Detention</t>
  </si>
  <si>
    <t>Rakes in transit</t>
  </si>
  <si>
    <t>GROUND COKE USED BY BF</t>
  </si>
  <si>
    <t>SALEABLE</t>
  </si>
  <si>
    <t>BEAM BLANKS</t>
  </si>
  <si>
    <t>TOTAL SEMIS</t>
  </si>
  <si>
    <t>FLUX/ORES/OTHERS</t>
  </si>
  <si>
    <t xml:space="preserve">COAL </t>
  </si>
  <si>
    <t>200X280 BLOOMS</t>
  </si>
  <si>
    <t>07:50 H(20.08.21)</t>
  </si>
  <si>
    <t>56 N ICC (USA-H)</t>
  </si>
  <si>
    <t>09:05 H(20.08.21)</t>
  </si>
  <si>
    <t>11:55 H(20.08.21)</t>
  </si>
  <si>
    <t>14:05 H(20.08.21)</t>
  </si>
  <si>
    <t>5 H</t>
  </si>
  <si>
    <t>∑00°00'</t>
  </si>
  <si>
    <t>Source</t>
  </si>
  <si>
    <t xml:space="preserve"> Coal Blend</t>
  </si>
  <si>
    <t>Received on Date</t>
  </si>
  <si>
    <t xml:space="preserve"> Received To Date</t>
  </si>
  <si>
    <t>Consumption on Date</t>
  </si>
  <si>
    <t xml:space="preserve">Tippling </t>
  </si>
  <si>
    <t>on Hand</t>
  </si>
  <si>
    <t>Old Plant</t>
  </si>
  <si>
    <t xml:space="preserve">New Plant </t>
  </si>
  <si>
    <t xml:space="preserve">ICC  Hard </t>
  </si>
  <si>
    <t>ICC Soft</t>
  </si>
  <si>
    <t>Total PCC</t>
  </si>
  <si>
    <t>Grand Total</t>
  </si>
  <si>
    <t>Location</t>
  </si>
  <si>
    <t>Tonnes</t>
  </si>
  <si>
    <t xml:space="preserve">Iron Ore / Fluxes </t>
  </si>
  <si>
    <t>WT (T)</t>
  </si>
  <si>
    <t>Actual Closing Stock</t>
  </si>
  <si>
    <t>Rake Forcast</t>
  </si>
  <si>
    <t>STEEL RAKE DESPATCH</t>
  </si>
  <si>
    <t>Rake Forecast</t>
  </si>
  <si>
    <t>स्टील अथॉरिटी ऑफ़ इंडिया लिमिटेड</t>
  </si>
  <si>
    <t xml:space="preserve"> Closing Stock</t>
  </si>
  <si>
    <t>INPROCESS</t>
  </si>
  <si>
    <t>BF Coke</t>
  </si>
  <si>
    <t>Item</t>
  </si>
  <si>
    <t xml:space="preserve">To Date </t>
  </si>
  <si>
    <t xml:space="preserve">Coke Breeze </t>
  </si>
  <si>
    <t>Fines</t>
  </si>
  <si>
    <t>Lump</t>
  </si>
  <si>
    <t xml:space="preserve">Tentative </t>
  </si>
  <si>
    <t xml:space="preserve">PIG IRON (BF-5)    </t>
  </si>
  <si>
    <t>BELHATAND</t>
  </si>
  <si>
    <t>IPT</t>
  </si>
  <si>
    <t xml:space="preserve"> उत्पादन </t>
  </si>
  <si>
    <t xml:space="preserve">तिथि पर </t>
  </si>
  <si>
    <t xml:space="preserve">तिथि तक </t>
  </si>
  <si>
    <t xml:space="preserve">मासिक दर </t>
  </si>
  <si>
    <t xml:space="preserve">प्रतिशत पूर्ति </t>
  </si>
  <si>
    <t xml:space="preserve">प्रेषण </t>
  </si>
  <si>
    <t>कच्चे माल की गुणवत्ता</t>
  </si>
  <si>
    <t xml:space="preserve">बिक्री योग्य स्टॉक </t>
  </si>
  <si>
    <t xml:space="preserve">BF-5 को भेजा गया कच्चा माल </t>
  </si>
  <si>
    <t xml:space="preserve">बेस मिक्स प्लांट को भेजा गया कच्चा माल </t>
  </si>
  <si>
    <t xml:space="preserve">संयंत्र (पुराना) में प्राप्त तथा बैक लोडिंग रेक विवरण </t>
  </si>
  <si>
    <t xml:space="preserve">स्टॉक </t>
  </si>
  <si>
    <t>SIO2</t>
  </si>
  <si>
    <t>COKE FRACTIONS</t>
  </si>
  <si>
    <t>STOCK AVAILABILITY (DAYS)</t>
  </si>
  <si>
    <t>IPT BILLETS/BLOOMS</t>
  </si>
  <si>
    <t xml:space="preserve">     DESPATCH      (RAIL&amp; ROAD) </t>
  </si>
  <si>
    <t>RAWMATERIALS</t>
  </si>
  <si>
    <t>BOILERCOAL</t>
  </si>
  <si>
    <t>ITEMS</t>
  </si>
  <si>
    <t>Received To Date</t>
  </si>
  <si>
    <t xml:space="preserve">Base Mix Stock </t>
  </si>
  <si>
    <t>SOA</t>
  </si>
  <si>
    <t>CAL. DOLO PRODUCTION (T)</t>
  </si>
  <si>
    <t>CAL. LIME PRODUCTION (T)</t>
  </si>
  <si>
    <t>CAL. LIME/DOLO ANALYSIS</t>
  </si>
  <si>
    <t>(OVEN-78) COB-10</t>
  </si>
  <si>
    <t>(OVEN -74) COB-11</t>
  </si>
  <si>
    <t>DOLOMITE SP Grade</t>
  </si>
  <si>
    <t>LIMESTONE SMS Grade</t>
  </si>
  <si>
    <t>DOLOMITE SMS Grade</t>
  </si>
  <si>
    <t>DOLOMITE FINES</t>
  </si>
  <si>
    <t>No. of Wagons</t>
  </si>
  <si>
    <t xml:space="preserve">TOTAL SALEABLE STEEL       </t>
  </si>
  <si>
    <t>(In Tons, unless otherwise mentioned)</t>
  </si>
  <si>
    <t>PRODUCTION  SHOP/ITEMS</t>
  </si>
  <si>
    <t>TILL DATE</t>
  </si>
  <si>
    <t>M. RATE</t>
  </si>
  <si>
    <t>APP</t>
  </si>
  <si>
    <t>MP</t>
  </si>
  <si>
    <t>%APP</t>
  </si>
  <si>
    <t>%MP</t>
  </si>
  <si>
    <t>CHP TIPPLING (NOS)</t>
  </si>
  <si>
    <t>COB#10 PUSHING (NOS)</t>
  </si>
  <si>
    <t>COB#11 PUSHING (NOS)</t>
  </si>
  <si>
    <t>EQUIVALENT  OVEN PUSHING (NOS.)</t>
  </si>
  <si>
    <t>RMHP TIPPLING (NOS)</t>
  </si>
  <si>
    <t>BLEND MIX PRODUCTION</t>
  </si>
  <si>
    <t xml:space="preserve">BLEND MIX DESPATCH </t>
  </si>
  <si>
    <t xml:space="preserve">TOTAL SINTER </t>
  </si>
  <si>
    <t>SINTER PLANT -1</t>
  </si>
  <si>
    <t>SINTER PLANT -2</t>
  </si>
  <si>
    <t xml:space="preserve">HOT METAL </t>
  </si>
  <si>
    <t>HOT METAL TO BOF</t>
  </si>
  <si>
    <t>HOT METAL TO ASP</t>
  </si>
  <si>
    <t>PIG IRON</t>
  </si>
  <si>
    <t>DRY PIT/SAND PIT</t>
  </si>
  <si>
    <t>BOTTOM-POURING INGOTS</t>
  </si>
  <si>
    <t>TOTAL CASTER</t>
  </si>
  <si>
    <t xml:space="preserve">BILLET </t>
  </si>
  <si>
    <t>BRC ROUND</t>
  </si>
  <si>
    <t>WRM / SECTION MILL</t>
  </si>
  <si>
    <t>BAR MILL / MERCHANT MILL</t>
  </si>
  <si>
    <t>USM / MSM</t>
  </si>
  <si>
    <t>WHEEL &amp; AXLE</t>
  </si>
  <si>
    <t>FINISHED STEEL</t>
  </si>
  <si>
    <t>SEMI FINISHED STEEL</t>
  </si>
  <si>
    <t>DESPATCH ITEMS</t>
  </si>
  <si>
    <t>CMO PLAN</t>
  </si>
  <si>
    <t>BILLET</t>
  </si>
  <si>
    <t>BLOOM (INC. BEAM BLANKS)</t>
  </si>
  <si>
    <t>BRC BLOOM (INCL. ROUND)</t>
  </si>
  <si>
    <t>SPECIAL STEEL INGOTS (ASP)</t>
  </si>
  <si>
    <t>STOCK DETAILS</t>
  </si>
  <si>
    <t>1ST DAY</t>
  </si>
  <si>
    <t>VAR. W.R.T. 1ST</t>
  </si>
  <si>
    <t>BLOOM ( INCLUDING BEAM BLANK)</t>
  </si>
  <si>
    <t>TECHNO ECONOMIC PARAMETERS</t>
  </si>
  <si>
    <t>UNIT</t>
  </si>
  <si>
    <t xml:space="preserve">BF Coke yield </t>
  </si>
  <si>
    <t>%</t>
  </si>
  <si>
    <t>Imported Coal in Blend- COB-10</t>
  </si>
  <si>
    <t>Imported Coal in Blend-COB-11</t>
  </si>
  <si>
    <t>BF Coke Rate</t>
  </si>
  <si>
    <t>Kg/THM</t>
  </si>
  <si>
    <t>Nut Coke Rate</t>
  </si>
  <si>
    <t>CDI Rate</t>
  </si>
  <si>
    <t>Fuel Rate</t>
  </si>
  <si>
    <t>Sinter in Burden</t>
  </si>
  <si>
    <t>BF Productivity</t>
  </si>
  <si>
    <t>T/M³/Day</t>
  </si>
  <si>
    <t xml:space="preserve">BF Slag Rate </t>
  </si>
  <si>
    <t>Si in Hot Metal</t>
  </si>
  <si>
    <t>S in Hot Metal</t>
  </si>
  <si>
    <t xml:space="preserve">Hot Blast Temperature </t>
  </si>
  <si>
    <t>⁰C</t>
  </si>
  <si>
    <t xml:space="preserve">Avg. Hot Metal Temperature </t>
  </si>
  <si>
    <t>TMI</t>
  </si>
  <si>
    <t>Kg/TCS</t>
  </si>
  <si>
    <t xml:space="preserve">Gross Hot Metal Consumption </t>
  </si>
  <si>
    <t>Scrap Consumption</t>
  </si>
  <si>
    <t>Sp. Lime Consumption</t>
  </si>
  <si>
    <t xml:space="preserve">BOF Slag Rate </t>
  </si>
  <si>
    <t>Kg/TLS</t>
  </si>
  <si>
    <t xml:space="preserve">Sp. Energy Consumption </t>
  </si>
  <si>
    <t>Gcal/TCS</t>
  </si>
  <si>
    <t>Specific Power consumption</t>
  </si>
  <si>
    <t xml:space="preserve">ON DATE QUALITY </t>
  </si>
  <si>
    <t xml:space="preserve">DSP </t>
  </si>
  <si>
    <t>Coke</t>
  </si>
  <si>
    <t>CSR</t>
  </si>
  <si>
    <t>CRI</t>
  </si>
  <si>
    <t>M10</t>
  </si>
  <si>
    <t>M40</t>
  </si>
  <si>
    <t xml:space="preserve">% Moisture </t>
  </si>
  <si>
    <t xml:space="preserve">Ore </t>
  </si>
  <si>
    <t>% Fe</t>
  </si>
  <si>
    <t>% Si</t>
  </si>
  <si>
    <t>%Al</t>
  </si>
  <si>
    <t>OS</t>
  </si>
  <si>
    <t>US</t>
  </si>
  <si>
    <t>RAW MATERIAL DETAILS</t>
  </si>
  <si>
    <t>RECEIVED</t>
  </si>
  <si>
    <t>STOCK LEVEL (DAYS)</t>
  </si>
  <si>
    <t>DOLOMITE Fines</t>
  </si>
  <si>
    <t>BOILER COAL/MIDDLINGS</t>
  </si>
  <si>
    <t>COB-10 / COB-DSP</t>
  </si>
  <si>
    <t>ICC  HARD</t>
  </si>
  <si>
    <t>CHASNALLA</t>
  </si>
  <si>
    <t>TOTAL PCC</t>
  </si>
  <si>
    <t>GRAND TOTAL</t>
  </si>
  <si>
    <t>BLOOM/BEAM BLANK</t>
  </si>
  <si>
    <t>BRC BLOOM</t>
  </si>
  <si>
    <t>PREV MONTH</t>
  </si>
  <si>
    <t>DAILY PERFORMANCE SUMMARY</t>
  </si>
  <si>
    <t xml:space="preserve">DAILY PERFORMANCE SUMMARY </t>
  </si>
  <si>
    <t>Mixed Coke</t>
  </si>
  <si>
    <t>Major points - DSP:</t>
  </si>
  <si>
    <t>Specific Power Consumption (ISP)</t>
  </si>
  <si>
    <t>Dept</t>
  </si>
  <si>
    <t>Unit</t>
  </si>
  <si>
    <t>KwH/T</t>
  </si>
  <si>
    <t>Blast Furnace</t>
  </si>
  <si>
    <t xml:space="preserve">Sinter Plant </t>
  </si>
  <si>
    <t>KwH/Pushing</t>
  </si>
  <si>
    <t>Av Arcing time</t>
  </si>
  <si>
    <t>Minutes/Heat</t>
  </si>
  <si>
    <t>ASKING  RATE W.R.T MP</t>
  </si>
  <si>
    <t>ASKING RATE W.R.T CMO PLAN</t>
  </si>
  <si>
    <t>LIMESTONE  SP Grade/LDCP RETURN</t>
  </si>
  <si>
    <t xml:space="preserve">      SAND PIT/DRY PIT</t>
  </si>
  <si>
    <t>% Moist/Ash</t>
  </si>
  <si>
    <t>CC BLOOMS FOR SALE(200X280)</t>
  </si>
  <si>
    <t>TOTAL SEMIS STOCK FOR SALE (Incl. Non rollable BB)</t>
  </si>
  <si>
    <t>Pellet</t>
  </si>
  <si>
    <t xml:space="preserve">Incoming Other Rawmaterial Status </t>
  </si>
  <si>
    <t>Closing Stock</t>
  </si>
  <si>
    <t>Imported Coal in Blend-COB-10(%)</t>
  </si>
  <si>
    <t>Pellet in Burden (%)</t>
  </si>
  <si>
    <t>On Date</t>
  </si>
  <si>
    <t xml:space="preserve"> PLANT SALES</t>
  </si>
  <si>
    <t xml:space="preserve">DESPATCH BY ROAD </t>
  </si>
  <si>
    <t>HOME SALES</t>
  </si>
  <si>
    <t>TOTAL HOT CHARGING IN BAR MILL (BILLETS)</t>
  </si>
  <si>
    <t>DS HEATS</t>
  </si>
  <si>
    <t>RETURN HEATS</t>
  </si>
  <si>
    <t>RUS-SOFT</t>
  </si>
  <si>
    <t>ICC-Soft</t>
  </si>
  <si>
    <t>PELLET</t>
  </si>
  <si>
    <t>Coal (New Plant)</t>
  </si>
  <si>
    <t xml:space="preserve">                               PCM</t>
  </si>
  <si>
    <t xml:space="preserve">                               NET PIG</t>
  </si>
  <si>
    <t>BOF Slag Rate (KG/TLS)</t>
  </si>
  <si>
    <t>Pellet in Burden</t>
  </si>
  <si>
    <t>BF COKE YIELD (COB - 11) (%)</t>
  </si>
  <si>
    <t>GRANULATED SLAG (LOADABLE BY ROAD)</t>
  </si>
  <si>
    <t>LIQUID OXYGEN (T)</t>
  </si>
  <si>
    <t>CC BILLETS (150 X 150)</t>
  </si>
  <si>
    <t>Ground Coke sent to BF-5</t>
  </si>
  <si>
    <t>)</t>
  </si>
  <si>
    <t>OTHERS</t>
  </si>
  <si>
    <t>01.04.24</t>
  </si>
  <si>
    <t xml:space="preserve">**ALL FIGURES ARE PROVISIONAL. </t>
  </si>
  <si>
    <t>RH HEATS</t>
  </si>
  <si>
    <t>AVG CAST WEIGHT</t>
  </si>
  <si>
    <t>INDO-HARD/CAVAL-HARD</t>
  </si>
  <si>
    <t>Beam Blank</t>
  </si>
  <si>
    <t>includes F/C Discard,Bottom layer billets &amp; DSP billets</t>
  </si>
  <si>
    <t xml:space="preserve">Saleable </t>
  </si>
  <si>
    <t>Non rollable assorted beam blank</t>
  </si>
  <si>
    <t xml:space="preserve">Norm </t>
  </si>
  <si>
    <t>*</t>
  </si>
  <si>
    <t>प्रतिशत पूर्ति</t>
  </si>
  <si>
    <t xml:space="preserve">JHAMA COAL </t>
  </si>
  <si>
    <t>JHAMA COAL</t>
  </si>
  <si>
    <t>SINTER PLANT TECHNO PARAMETERS</t>
  </si>
  <si>
    <t>Av.Lime</t>
  </si>
  <si>
    <t>SONEPUR BAZARI</t>
  </si>
  <si>
    <t>Sonepur Bazari Consp in Total PCI (%)</t>
  </si>
  <si>
    <t xml:space="preserve">दैनिक प्रदर्शन प्रतिवेदन
</t>
  </si>
  <si>
    <t xml:space="preserve">PELLET CONSUMPTION </t>
  </si>
  <si>
    <t xml:space="preserve">BF COKE
 </t>
  </si>
  <si>
    <t>:</t>
  </si>
  <si>
    <t>LIQUID STOCK (T)</t>
  </si>
  <si>
    <t>ALUMINA IN SLAG (%)</t>
  </si>
  <si>
    <t xml:space="preserve"> O2 Enrichment in BF (%)</t>
  </si>
  <si>
    <t>TRIAL MABU-HARD</t>
  </si>
  <si>
    <t>TRIAL MLV HARD</t>
  </si>
  <si>
    <t>ACTUAL YEARLY DESPATCH 
(2025-26)</t>
  </si>
  <si>
    <t xml:space="preserve">  STOCK AS ON  6 AM TODAY </t>
  </si>
  <si>
    <t>For sales (incl Non rollable assorted BB)</t>
  </si>
  <si>
    <t>On Hold</t>
  </si>
  <si>
    <t>On date</t>
  </si>
  <si>
    <t>Till date</t>
  </si>
  <si>
    <t>Sulphur</t>
  </si>
  <si>
    <t xml:space="preserve">Jun'25 ABP </t>
  </si>
  <si>
    <t>Jun'25 (Till date)</t>
  </si>
  <si>
    <t>REACTIVITY (Avg)</t>
  </si>
  <si>
    <t>AVG.POWER GEN. (MW)</t>
  </si>
  <si>
    <t xml:space="preserve">TOTAL PLANT LOAD (MW) </t>
  </si>
  <si>
    <t>LVHR</t>
  </si>
  <si>
    <t>MUNIDIH</t>
  </si>
  <si>
    <t>USA - HARD</t>
  </si>
  <si>
    <t>COKE BREEZE CONSUMPTION (kg/TGS)</t>
  </si>
  <si>
    <t>MOZ-HARD/LVHR-HARD/MLV HARD</t>
  </si>
  <si>
    <t xml:space="preserve">Parameter Name </t>
  </si>
  <si>
    <t>Cumulative</t>
  </si>
  <si>
    <t>Remarks</t>
  </si>
  <si>
    <t>Sinter</t>
  </si>
  <si>
    <t>PI</t>
  </si>
  <si>
    <t>Heats</t>
  </si>
  <si>
    <t>Casts</t>
  </si>
  <si>
    <t>Bar Mill</t>
  </si>
  <si>
    <t>SS- PROD.</t>
  </si>
  <si>
    <t>SS- DESP</t>
  </si>
  <si>
    <t>pcc receipt on date</t>
  </si>
  <si>
    <t>total indegenous coal receipt on date</t>
  </si>
  <si>
    <t>total indegenous coal stock</t>
  </si>
  <si>
    <t>Imported (AH) receipt</t>
  </si>
  <si>
    <t>Imported (AH) stock</t>
  </si>
  <si>
    <t>Imported (LVHR) receipt</t>
  </si>
  <si>
    <t>Imported (LVHR) stock</t>
  </si>
  <si>
    <t>Imported (USH) receipt</t>
  </si>
  <si>
    <t>Imported (MZH) receipt</t>
  </si>
  <si>
    <t>Imported (MZH) stock</t>
  </si>
  <si>
    <t>Imp. (Others) receipt</t>
  </si>
  <si>
    <t>Imp. (Others) stock</t>
  </si>
  <si>
    <t>Imported (Soft) receipt</t>
  </si>
  <si>
    <t>Imported (Soft) stock</t>
  </si>
  <si>
    <t>Total Coking Coal receipt</t>
  </si>
  <si>
    <t>Total Coking Coal stock</t>
  </si>
  <si>
    <t>CDI receipt</t>
  </si>
  <si>
    <t>CDI stock</t>
  </si>
  <si>
    <t>Pellet receipt</t>
  </si>
  <si>
    <t>Pellet stock</t>
  </si>
  <si>
    <t>Iron Ore Lump receipt</t>
  </si>
  <si>
    <t>Iron Ore Lump stock</t>
  </si>
  <si>
    <t>Iron Ore fines receipt</t>
  </si>
  <si>
    <t>Iron Ore fines stock</t>
  </si>
  <si>
    <t>Lime Stone BF receipt</t>
  </si>
  <si>
    <t>Lime Stone BF stock</t>
  </si>
  <si>
    <t>Lime Stone SMS receipt</t>
  </si>
  <si>
    <t>Lime Stone SMS stock</t>
  </si>
  <si>
    <t>Dolomite BF receipt</t>
  </si>
  <si>
    <t>Dolomite BF stock</t>
  </si>
  <si>
    <t>Dolomite SMS receipt</t>
  </si>
  <si>
    <t>Dolomite SMS stock</t>
  </si>
  <si>
    <t>Boiler Coal (PP-1) receipt</t>
  </si>
  <si>
    <t>Boiler Coal (PP-1) stock</t>
  </si>
  <si>
    <t>Semis on 1st</t>
  </si>
  <si>
    <t>Semis on date</t>
  </si>
  <si>
    <t>Finished on 1st</t>
  </si>
  <si>
    <t>Finished on date</t>
  </si>
  <si>
    <t>Saleable steel on 1st</t>
  </si>
  <si>
    <t>Saleable steel on date</t>
  </si>
  <si>
    <t>Pig Iron on 1st</t>
  </si>
  <si>
    <t>Pig Iron on date</t>
  </si>
  <si>
    <t>New P&amp;BS</t>
  </si>
  <si>
    <t>Drawl</t>
  </si>
  <si>
    <t>Imp. Coal in blend Norm</t>
  </si>
  <si>
    <t>Imp. Coal in blend on date</t>
  </si>
  <si>
    <t>Coke rate norm</t>
  </si>
  <si>
    <t>CDI rate norm</t>
  </si>
  <si>
    <t>Nut coke rate norm</t>
  </si>
  <si>
    <t>Fuel rate norm</t>
  </si>
  <si>
    <t>Sinter in BF  burden norm</t>
  </si>
  <si>
    <t>Pellet Charging on date in BF</t>
  </si>
  <si>
    <t>BF Prodvty norm</t>
  </si>
  <si>
    <t>TMI in SMS norm</t>
  </si>
  <si>
    <t>Specific Energy Consumption norm</t>
  </si>
  <si>
    <t>Specific Energy Consumption on dt</t>
  </si>
  <si>
    <t>conv1(heats)</t>
  </si>
  <si>
    <t>conv2(heats)</t>
  </si>
  <si>
    <t>conv3(heats)</t>
  </si>
  <si>
    <t>conv1 lining</t>
  </si>
  <si>
    <t>conv2 lining</t>
  </si>
  <si>
    <t>conv3 lining</t>
  </si>
  <si>
    <t>O2 Enrich (%)</t>
  </si>
  <si>
    <t>Slag rate (Kg/Thm)</t>
  </si>
  <si>
    <t xml:space="preserve">HBT (o C) </t>
  </si>
  <si>
    <t xml:space="preserve">BF Prodvty </t>
  </si>
  <si>
    <t xml:space="preserve">TMI in SMS </t>
  </si>
  <si>
    <t xml:space="preserve">Sinter in BF  burden </t>
  </si>
  <si>
    <t xml:space="preserve">Nut coke rate </t>
  </si>
  <si>
    <t xml:space="preserve">Fuel rate </t>
  </si>
  <si>
    <t xml:space="preserve">CDI rate </t>
  </si>
  <si>
    <t xml:space="preserve">Coke rate </t>
  </si>
  <si>
    <t>WRM Rolling hrs</t>
  </si>
  <si>
    <t>BM Rolling hrs</t>
  </si>
  <si>
    <t>USM Rolling hrs</t>
  </si>
  <si>
    <t>Coal (Old Plant)</t>
  </si>
  <si>
    <t>BF COKE SENT TO JORABURI</t>
  </si>
  <si>
    <t>Caster1(Heat)</t>
  </si>
  <si>
    <t>Caster2(Heat)</t>
  </si>
  <si>
    <t>Caster3(Heat)</t>
  </si>
  <si>
    <t>COB10</t>
  </si>
  <si>
    <t>COB11</t>
  </si>
  <si>
    <t>SP1</t>
  </si>
  <si>
    <t>SP2</t>
  </si>
  <si>
    <t>Sandpit</t>
  </si>
  <si>
    <t>BPTG_others</t>
  </si>
  <si>
    <t>ds_heat</t>
  </si>
  <si>
    <t>rh_heat</t>
  </si>
  <si>
    <t>TOTAL HOT CHARGING IN USM (BB)</t>
  </si>
  <si>
    <t>Ov.Pushing (EQ nos.)</t>
  </si>
  <si>
    <t>bf_coke_stock_od</t>
  </si>
  <si>
    <t>bf_coke_stock_1st</t>
  </si>
  <si>
    <t>Base Mix stock</t>
  </si>
  <si>
    <t>ROLLING HOURS ( HH:MM )</t>
  </si>
  <si>
    <t>Imported (USH + INDO) stock</t>
  </si>
  <si>
    <t>MOZ-H/INDO-H/USA-H</t>
  </si>
  <si>
    <t>TRIAL MABU-H</t>
  </si>
  <si>
    <t>Cummulative delay of 2 hrs 20 mins for Section change (12mm/16mm WRC).</t>
  </si>
  <si>
    <t xml:space="preserve">Cummulative delay of 8 hrs for TD mill UR vertical roll drive side bearing seized. </t>
  </si>
  <si>
    <t xml:space="preserve">बाध्यताएं /CONSTRAINTS                    																			</t>
  </si>
  <si>
    <t>Cummulative delay of 3 hrs 30 mins for stand pass change &amp; TMB#1 motor coupling allignment jobs.</t>
  </si>
  <si>
    <t>BED</t>
  </si>
  <si>
    <t>QUARTZITE + BHQ</t>
  </si>
  <si>
    <t>TRTG/BPTG</t>
  </si>
  <si>
    <t xml:space="preserve"> OTHERS POWER GEN.</t>
  </si>
  <si>
    <t xml:space="preserve">संयंत्र (नये) में प्राप्त रेक विवरण </t>
  </si>
  <si>
    <t>AVG. DVC/IPCL IMPORT (MW)</t>
  </si>
  <si>
    <t>[TRAIN-1] TURBINE-A  &amp; 
[TRAIN-2] TURBINE-A</t>
  </si>
  <si>
    <t xml:space="preserve"> (2026-27)</t>
  </si>
  <si>
    <t>01.04.26</t>
  </si>
  <si>
    <t xml:space="preserve">JHAMA COAL IN COKE BREEZE  (kg/T) </t>
  </si>
  <si>
    <t xml:space="preserve"> इस्को इस्पात संयंत्र - बर्नपुर </t>
  </si>
  <si>
    <t>SINTER PLANT #1</t>
  </si>
  <si>
    <t>SINTER PLANT #2</t>
  </si>
  <si>
    <t xml:space="preserve">CC BLOOMS (150 X 150 ) </t>
  </si>
  <si>
    <t>USA - SOFT</t>
  </si>
  <si>
    <t>उपलब्धियां /HIGHLIGHTS</t>
  </si>
  <si>
    <t>BF#5</t>
  </si>
  <si>
    <t>COB #11</t>
  </si>
  <si>
    <t>GROWTH OVER CPLY (%)</t>
  </si>
  <si>
    <t xml:space="preserve">May'26 ABP </t>
  </si>
  <si>
    <t>May'26 (Till date)</t>
  </si>
  <si>
    <t>STOCK AS ON 01.05.26</t>
  </si>
  <si>
    <t>01.05.26</t>
  </si>
  <si>
    <t>CMO PLAN MAY-26</t>
  </si>
  <si>
    <t>ABP MAY-26</t>
  </si>
  <si>
    <t>ACTUAL MAY-25</t>
  </si>
  <si>
    <t>Opening Stock  01.05.26</t>
  </si>
  <si>
    <t xml:space="preserve"> TOTAL S.STEEL DESPATCH     
</t>
  </si>
  <si>
    <t>"MAY-26 IS DESIGNATED AS THE CAPITAL REPAIR MONTH"</t>
  </si>
  <si>
    <t>CCM-3 : [BB-2]</t>
  </si>
  <si>
    <t>KILN-1 [LIME]</t>
  </si>
  <si>
    <t>WRM ( 6 mm WRC )</t>
  </si>
  <si>
    <t>AWAITING</t>
  </si>
  <si>
    <t>∑02°00'</t>
  </si>
  <si>
    <t xml:space="preserve">Sp.Power consumption (KWH/TSS) </t>
  </si>
  <si>
    <t xml:space="preserve">2 H </t>
  </si>
  <si>
    <t>BLAST FURNACE</t>
  </si>
  <si>
    <t>12 H</t>
  </si>
  <si>
    <t>BAR MILL ( 16 mm TMT)</t>
  </si>
  <si>
    <t>58 S GUA (MIXED)</t>
  </si>
  <si>
    <t>59 N USA (H)</t>
  </si>
  <si>
    <t>19:35 H (30.05.26)</t>
  </si>
  <si>
    <t>58 N DSEY (BF COKE) ARRIVED DSPY AT 19:15 H.</t>
  </si>
  <si>
    <t>58 N BOLANI (MIXED)</t>
  </si>
  <si>
    <t>04:50 H (31.05.26)</t>
  </si>
  <si>
    <t>∑12°00'</t>
  </si>
  <si>
    <t>∑24°00'</t>
  </si>
  <si>
    <t>Sp.Power consumption with Oxygen Plant (KWH/TSS) (30.05.26)</t>
  </si>
  <si>
    <t>09:35 H (31.05.26)</t>
  </si>
  <si>
    <t>∑14°00'</t>
  </si>
  <si>
    <t>59 N (AUS-H + AUS-S)</t>
  </si>
  <si>
    <t>09:30 H (31.05.26)</t>
  </si>
  <si>
    <t>09:50 H (31.05.26)</t>
  </si>
  <si>
    <t>58 S GUA (IOF)</t>
  </si>
  <si>
    <t>09:25 H (31.05.26)</t>
  </si>
  <si>
    <t>11:25 H (31.05.26)</t>
  </si>
  <si>
    <t>∑27°00'</t>
  </si>
  <si>
    <t>46 BOST</t>
  </si>
  <si>
    <t>SAIL/KKU</t>
  </si>
  <si>
    <t>13:00 H</t>
  </si>
  <si>
    <t>57 S GUA (IOF)</t>
  </si>
  <si>
    <t>14:35 H (31.05.26)</t>
  </si>
  <si>
    <t>16:35 H (31.05.26)</t>
  </si>
  <si>
    <t>15:35 H (31.05.26)</t>
  </si>
  <si>
    <t>57 N BOLANI (MIXED)</t>
  </si>
  <si>
    <t>21:30 H (31.05.26)</t>
  </si>
  <si>
    <t>59 N AUS-S</t>
  </si>
  <si>
    <t>34 BOST</t>
  </si>
  <si>
    <t>DSEY/DGR</t>
  </si>
  <si>
    <t>18:45 H</t>
  </si>
  <si>
    <t>∑28°00'</t>
  </si>
  <si>
    <t>∑17°00'</t>
  </si>
  <si>
    <t>20:15 H</t>
  </si>
  <si>
    <t>KIS/VNCW</t>
  </si>
  <si>
    <t>30 BOST</t>
  </si>
  <si>
    <t>TODAY'S PLAN</t>
  </si>
  <si>
    <t>59 N HDCB (LVHR) ARRIVED GKL AT 22:13 H.</t>
  </si>
  <si>
    <t>59 N HDCB (LIMESTONE) LEFT JPH AT 03:00 H.</t>
  </si>
  <si>
    <t>59 N HDCB (LIMESTONE) ARRIVED JPR AT 04:24 H.</t>
  </si>
  <si>
    <t>59 N DLO (DOLOMITE) LEFT LCAB AT 02:15 H.</t>
  </si>
  <si>
    <t>59 N DLO (DOLOMITE) ARRIVED MFA AT 00:03 H.</t>
  </si>
  <si>
    <t>58 N SONU (LIMESTONE) READY SONU AT 00:06 H.</t>
  </si>
  <si>
    <t>54 S GUA U/TXR DPS AT 21:30 H.</t>
  </si>
  <si>
    <t>58 S GUA ARRIVED NOMD AT 23:07 H.</t>
  </si>
  <si>
    <t>39 N PENDING</t>
  </si>
  <si>
    <t>23:55 H (31.05.26)</t>
  </si>
  <si>
    <t>03:00 H (01.06.26)</t>
  </si>
  <si>
    <t>05:00 H (01.06.26)</t>
  </si>
  <si>
    <t xml:space="preserve">06:30/08:30 H:- BD MILL ENTRY MANIPULATOR MOVEMENT TROUBLE.
16:30 H/18:45 H :- TD MILL UR STAND OPERATOR SIDE VERTICAL ROLL BEARING SEIZED &amp; ROLL CHANGED.
TD MILL UR STAND GONE INTO LOCAL MODE, EFFECTIVE DELAY ∑04°00'.
BD MILL SCHEDULE ADJUSTMENT, EFFECTIVE DELAY ∑00°30'.
COBBLE AT BD MILL DUE TO MATERIAL HEAD GOT DAMAGED, EFFECTIVE DELAY ∑00°15'.
MILL CHECKING, EFFECTIVE DELAY ∑00°30'.
</t>
  </si>
  <si>
    <t>CDCP CHAMBER #3- 15:00 H (22.05.26)/---&gt;SHUTDOWN TAKEN FOR BOILER LEAKAGE ARRESTING JOBS. 1st BUCKET OF COLD COKE TAKEN AT 23:30 H (30.05.26).</t>
  </si>
  <si>
    <t>BLAST FURNACE #5 WILL TAKE SHUTDOWN FOR A DURATION OF 6 HRS TENTATIVELY FROM 09:30 H FOR STOVE#4 COLD BLAST JOINT EXPANSION JOB.      
SINTER PLANT #2 WILL TAKE 8 HRS SHUTDOWN TENTATIVELY FROM 08.00 H FOR VARIED MAINTENANCE JOBS.</t>
  </si>
  <si>
    <t xml:space="preserve">22:30/23:30 H :- STAND #11 CHANGED AND STAND #30 PASS CHANGED.
STANDS PASS CHANGED &amp; TMB #2 ALIGNMENT JOBS, EFFECTIVE DELAY ∑01°30'.
MILL CHECKING &amp; GRADE CHANGED, EFFECTIVE DELAY ∑00°30'.
</t>
  </si>
  <si>
    <t xml:space="preserve">15:30 H/16:15 H :- BC-1 CHAIN TRANSFER-1 DRIVE CHANGED.
'STANDS PASS CHANGE &amp; DESCALER ROLLER CHANGED, EFFECTIVE DELAY ∑02°15'.
04:30/06:00 H :- BAD MATERIAL KNOCKED AT STAND-4 ENTRY GUIDE.
</t>
  </si>
  <si>
    <t>Sp.Power consumption (KWH/TSS) (31.05.26)</t>
  </si>
  <si>
    <t>Sp.Energy consumption (Gcal/TCS) (31.05.26)</t>
  </si>
  <si>
    <t>59 N HDCB (AUS-S) ARRIVED HDCG AT 23:38 H.</t>
  </si>
  <si>
    <t>USM ( ISMC-250 )</t>
  </si>
  <si>
    <t>GRANULATED SLAG  (BF-5)</t>
  </si>
  <si>
    <t xml:space="preserve">LD SLAG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</si>
</sst>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0_);[Black]\(0\)"/>
    <numFmt numFmtId="168" formatCode="0.000"/>
    <numFmt numFmtId="169" formatCode="0.0000"/>
    <numFmt numFmtId="170" formatCode="[$-14009]hh:mm:ss;@"/>
    <numFmt numFmtId="171" formatCode="[$-F800]dddd\,\ mmmm\ dd\,\ yyyy"/>
    <numFmt numFmtId="172" formatCode="[$-409]mmm/yy;@"/>
    <numFmt numFmtId="173" formatCode="0.000000"/>
    <numFmt numFmtId="174" formatCode="m/d;@"/>
    <numFmt numFmtId="176" formatCode="[$-14009]dd/mm/yyyy;@"/>
    <numFmt numFmtId="178" formatCode="0.00000"/>
    <numFmt numFmtId="181" formatCode="mmm/yyyy"/>
    <numFmt numFmtId="183" formatCode="0.0%"/>
    <numFmt numFmtId="184" formatCode="h:mm:ss;@"/>
    <numFmt numFmtId="186" formatCode="\∑hh:mm"/>
  </numFmts>
  <fonts count="14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  <scheme val="minor"/>
    </font>
    <font>
      <sz val="12"/>
      <color theme="1"/>
      <name val="Arial"/>
      <family val="2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20"/>
      <name val="Calibri"/>
      <family val="2"/>
      <scheme val="minor"/>
    </font>
    <font>
      <sz val="18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name val="Calibri"/>
      <family val="2"/>
      <scheme val="minor"/>
    </font>
    <font>
      <sz val="2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1"/>
      <name val="Arial"/>
      <family val="2"/>
    </font>
    <font>
      <sz val="2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0"/>
      <name val="Lucida Sans"/>
      <family val="2"/>
    </font>
    <font>
      <b/>
      <sz val="14"/>
      <color theme="0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26"/>
      <color theme="0"/>
      <name val="Calibri"/>
      <family val="2"/>
      <scheme val="minor"/>
    </font>
    <font>
      <sz val="26"/>
      <name val="Calibri"/>
      <family val="2"/>
    </font>
    <font>
      <sz val="24"/>
      <name val="Calibri"/>
      <family val="2"/>
      <scheme val="minor"/>
    </font>
    <font>
      <sz val="8"/>
      <name val="Calibri"/>
      <family val="2"/>
      <scheme val="minor"/>
    </font>
    <font>
      <b/>
      <sz val="26"/>
      <name val="Calibri"/>
      <family val="2"/>
    </font>
    <font>
      <b/>
      <sz val="9"/>
      <color theme="1"/>
      <name val="Calibri"/>
      <family val="2"/>
      <scheme val="minor"/>
    </font>
    <font>
      <b/>
      <sz val="32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5"/>
      <name val="Calibri"/>
      <family val="2"/>
      <scheme val="minor"/>
    </font>
    <font>
      <b/>
      <sz val="16"/>
      <color theme="5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2.5"/>
      <color rgb="FFFF0000"/>
      <name val="Calibri"/>
      <family val="2"/>
      <scheme val="minor"/>
    </font>
    <font>
      <sz val="36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sz val="32"/>
      <name val="Calibri"/>
      <family val="2"/>
      <scheme val="minor"/>
    </font>
    <font>
      <b/>
      <u/>
      <sz val="11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2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36"/>
      <color rgb="FFFF0000"/>
      <name val="Calibri"/>
      <family val="2"/>
      <scheme val="minor"/>
    </font>
    <font>
      <sz val="11"/>
      <color theme="1"/>
      <name val="Calibri"/>
      <family val="2"/>
    </font>
    <font>
      <b/>
      <u/>
      <sz val="26"/>
      <name val="Calibri"/>
      <family val="2"/>
      <scheme val="minor"/>
    </font>
    <font>
      <b/>
      <i/>
      <sz val="26"/>
      <name val="Calibri"/>
      <family val="2"/>
      <scheme val="minor"/>
    </font>
    <font>
      <i/>
      <sz val="26"/>
      <name val="Calibri"/>
      <family val="2"/>
      <scheme val="minor"/>
    </font>
    <font>
      <sz val="9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b/>
      <sz val="11"/>
      <color theme="4"/>
      <name val="Arial"/>
      <family val="2"/>
    </font>
    <font>
      <i/>
      <sz val="11"/>
      <color theme="1"/>
      <name val="Arial"/>
      <family val="2"/>
    </font>
    <font>
      <b/>
      <sz val="11"/>
      <color rgb="FFC00000"/>
      <name val="Arial"/>
      <family val="2"/>
    </font>
    <font>
      <b/>
      <sz val="11"/>
      <color rgb="FFFF0000"/>
      <name val="Arial"/>
      <family val="2"/>
    </font>
    <font>
      <sz val="32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36"/>
      <name val="Calibri"/>
      <family val="2"/>
      <scheme val="minor"/>
    </font>
    <font>
      <b/>
      <sz val="20"/>
      <color indexed="81"/>
      <name val="Tahoma"/>
      <family val="2"/>
    </font>
    <font>
      <b/>
      <sz val="11"/>
      <name val="Calibri"/>
      <family val="2"/>
    </font>
    <font>
      <sz val="36"/>
      <color theme="0"/>
      <name val="Calibri"/>
      <family val="2"/>
      <scheme val="minor"/>
    </font>
    <font>
      <sz val="48"/>
      <name val="Calibri"/>
      <family val="2"/>
      <scheme val="minor"/>
    </font>
    <font>
      <b/>
      <sz val="32"/>
      <name val="Arial Narrow"/>
      <family val="2"/>
    </font>
    <font>
      <sz val="32"/>
      <name val="Arial"/>
      <family val="2"/>
    </font>
    <font>
      <b/>
      <sz val="32"/>
      <name val="Arial"/>
      <family val="2"/>
    </font>
    <font>
      <sz val="32"/>
      <name val="Arial Narrow"/>
      <family val="2"/>
    </font>
    <font>
      <b/>
      <sz val="18"/>
      <color indexed="81"/>
      <name val="Tahoma"/>
      <family val="2"/>
    </font>
    <font>
      <b/>
      <sz val="32"/>
      <color theme="0"/>
      <name val="Calibri"/>
      <family val="2"/>
      <scheme val="minor"/>
    </font>
    <font>
      <sz val="32"/>
      <name val="Calibri"/>
      <family val="2"/>
    </font>
    <font>
      <b/>
      <sz val="32"/>
      <color theme="1"/>
      <name val="Calibri"/>
      <family val="2"/>
      <scheme val="minor"/>
    </font>
    <font>
      <b/>
      <u/>
      <sz val="32"/>
      <color theme="1"/>
      <name val="Calibri"/>
      <family val="2"/>
      <scheme val="minor"/>
    </font>
    <font>
      <b/>
      <i/>
      <sz val="32"/>
      <color rgb="FFFF0000"/>
      <name val="Calibri"/>
      <family val="2"/>
      <scheme val="minor"/>
    </font>
    <font>
      <b/>
      <sz val="32"/>
      <color indexed="8"/>
      <name val="Calibri"/>
      <family val="2"/>
    </font>
    <font>
      <sz val="32"/>
      <color indexed="9"/>
      <name val="Calibri"/>
      <family val="2"/>
    </font>
    <font>
      <b/>
      <sz val="32"/>
      <color rgb="FFFF0000"/>
      <name val="Calibri"/>
      <family val="2"/>
      <scheme val="minor"/>
    </font>
    <font>
      <u/>
      <sz val="32"/>
      <name val="Calibri"/>
      <family val="2"/>
      <scheme val="minor"/>
    </font>
    <font>
      <i/>
      <sz val="32"/>
      <color theme="0"/>
      <name val="Calibri"/>
      <family val="2"/>
      <scheme val="minor"/>
    </font>
    <font>
      <b/>
      <sz val="48"/>
      <color rgb="FFFF0000"/>
      <name val="Calibri"/>
      <family val="2"/>
    </font>
    <font>
      <b/>
      <sz val="48"/>
      <name val="Calibri"/>
      <family val="2"/>
    </font>
    <font>
      <b/>
      <sz val="36"/>
      <name val="Arial Narrow"/>
      <family val="2"/>
    </font>
    <font>
      <b/>
      <sz val="36"/>
      <color theme="0"/>
      <name val="Calibri"/>
      <family val="2"/>
      <scheme val="minor"/>
    </font>
    <font>
      <sz val="36"/>
      <name val="Calibri"/>
      <family val="2"/>
    </font>
    <font>
      <b/>
      <sz val="30"/>
      <name val="Calibri"/>
      <family val="2"/>
      <scheme val="minor"/>
    </font>
    <font>
      <sz val="48"/>
      <name val="Calibri"/>
      <family val="2"/>
    </font>
    <font>
      <b/>
      <sz val="48"/>
      <name val="Calibri"/>
      <family val="2"/>
      <scheme val="minor"/>
    </font>
    <font>
      <b/>
      <sz val="40"/>
      <name val="Calibri"/>
      <family val="2"/>
    </font>
    <font>
      <sz val="48"/>
      <color theme="0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36"/>
      <name val="Arial"/>
      <family val="2"/>
    </font>
    <font>
      <b/>
      <sz val="36"/>
      <name val="Calibri"/>
      <family val="2"/>
    </font>
    <font>
      <sz val="38"/>
      <name val="Calibri"/>
      <family val="2"/>
      <scheme val="minor"/>
    </font>
    <font>
      <sz val="38"/>
      <name val="Calibri"/>
      <family val="2"/>
    </font>
    <font>
      <sz val="42"/>
      <name val="Calibri"/>
      <family val="2"/>
      <scheme val="minor"/>
    </font>
    <font>
      <sz val="40"/>
      <name val="Calibri"/>
      <family val="2"/>
      <scheme val="minor"/>
    </font>
    <font>
      <sz val="42"/>
      <name val="Calibri"/>
      <family val="2"/>
    </font>
    <font>
      <b/>
      <sz val="34"/>
      <name val="Arial Narrow"/>
      <family val="2"/>
    </font>
    <font>
      <b/>
      <sz val="48"/>
      <color theme="1"/>
      <name val="Calibri"/>
      <family val="2"/>
    </font>
    <font>
      <sz val="39"/>
      <name val="Calibri"/>
      <family val="2"/>
      <scheme val="minor"/>
    </font>
    <font>
      <sz val="39"/>
      <name val="Calibri"/>
      <family val="2"/>
    </font>
    <font>
      <b/>
      <i/>
      <sz val="28"/>
      <color rgb="FFFF0000"/>
      <name val="Calibri"/>
      <family val="2"/>
      <scheme val="minor"/>
    </font>
    <font>
      <b/>
      <sz val="48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9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</borders>
  <cellStyleXfs count="23">
    <xf numFmtId="0" fontId="0" fillId="0" borderId="0"/>
    <xf numFmtId="0" fontId="3" fillId="3" borderId="0" applyNumberFormat="0" applyBorder="0" applyAlignment="0" applyProtection="0"/>
    <xf numFmtId="0" fontId="8" fillId="0" borderId="0"/>
    <xf numFmtId="0" fontId="14" fillId="0" borderId="0" applyFont="0" applyFill="0" applyBorder="0" applyAlignment="0" applyProtection="0"/>
    <xf numFmtId="0" fontId="14" fillId="0" borderId="0"/>
    <xf numFmtId="0" fontId="45" fillId="0" borderId="0"/>
    <xf numFmtId="0" fontId="44" fillId="0" borderId="0"/>
    <xf numFmtId="0" fontId="44" fillId="0" borderId="0"/>
    <xf numFmtId="0" fontId="44" fillId="0" borderId="0"/>
    <xf numFmtId="0" fontId="45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2" fillId="0" borderId="0" applyNumberFormat="0" applyFill="0" applyBorder="0" applyAlignment="0" applyProtection="0"/>
    <xf numFmtId="164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84" fillId="0" borderId="0" applyNumberFormat="0" applyFill="0" applyBorder="0" applyAlignment="0" applyProtection="0"/>
    <xf numFmtId="9" fontId="44" fillId="0" borderId="0" applyFont="0" applyFill="0" applyBorder="0" applyAlignment="0" applyProtection="0"/>
    <xf numFmtId="0" fontId="14" fillId="0" borderId="0"/>
    <xf numFmtId="0" fontId="44" fillId="0" borderId="0"/>
    <xf numFmtId="0" fontId="44" fillId="0" borderId="0">
      <alignment horizontal="center"/>
    </xf>
    <xf numFmtId="0" fontId="44" fillId="0" borderId="0">
      <alignment horizontal="center"/>
    </xf>
  </cellStyleXfs>
  <cellXfs count="2058">
    <xf numFmtId="0" fontId="0" fillId="0" borderId="0" xfId="0"/>
    <xf numFmtId="0" fontId="0" fillId="0" borderId="34" xfId="0" applyBorder="1" applyAlignment="1">
      <alignment vertical="center"/>
    </xf>
    <xf numFmtId="0" fontId="1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2" xfId="0" applyBorder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58" xfId="0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1" fillId="0" borderId="58" xfId="0" applyFont="1" applyBorder="1" applyAlignment="1">
      <alignment vertical="center"/>
    </xf>
    <xf numFmtId="0" fontId="2" fillId="2" borderId="27" xfId="0" applyFont="1" applyFill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1" fontId="25" fillId="0" borderId="70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5" fillId="0" borderId="72" xfId="0" applyFont="1" applyBorder="1" applyAlignment="1">
      <alignment horizontal="center" vertical="center"/>
    </xf>
    <xf numFmtId="0" fontId="29" fillId="0" borderId="72" xfId="0" applyFont="1" applyBorder="1" applyAlignment="1">
      <alignment horizontal="center" vertical="center" wrapText="1"/>
    </xf>
    <xf numFmtId="0" fontId="29" fillId="0" borderId="45" xfId="0" applyFont="1" applyBorder="1" applyAlignment="1">
      <alignment horizontal="center" vertical="center" wrapText="1"/>
    </xf>
    <xf numFmtId="1" fontId="30" fillId="0" borderId="12" xfId="0" applyNumberFormat="1" applyFont="1" applyBorder="1" applyAlignment="1">
      <alignment horizontal="center" vertical="center"/>
    </xf>
    <xf numFmtId="1" fontId="30" fillId="0" borderId="49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1" fontId="24" fillId="0" borderId="70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/>
    </xf>
    <xf numFmtId="0" fontId="24" fillId="0" borderId="7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" fontId="27" fillId="0" borderId="33" xfId="0" applyNumberFormat="1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" fontId="25" fillId="0" borderId="21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0" fillId="0" borderId="63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" fontId="2" fillId="0" borderId="74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1" fillId="2" borderId="62" xfId="0" applyFont="1" applyFill="1" applyBorder="1" applyAlignment="1">
      <alignment vertical="center"/>
    </xf>
    <xf numFmtId="0" fontId="29" fillId="0" borderId="36" xfId="0" applyFont="1" applyBorder="1" applyAlignment="1">
      <alignment horizontal="center" vertical="center" wrapText="1"/>
    </xf>
    <xf numFmtId="0" fontId="21" fillId="2" borderId="13" xfId="0" applyFont="1" applyFill="1" applyBorder="1" applyAlignment="1">
      <alignment vertical="center"/>
    </xf>
    <xf numFmtId="1" fontId="13" fillId="0" borderId="0" xfId="0" applyNumberFormat="1" applyFont="1" applyAlignment="1">
      <alignment horizontal="center"/>
    </xf>
    <xf numFmtId="1" fontId="13" fillId="2" borderId="22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1" fillId="2" borderId="7" xfId="0" applyFont="1" applyFill="1" applyBorder="1" applyAlignment="1">
      <alignment vertical="center"/>
    </xf>
    <xf numFmtId="0" fontId="13" fillId="2" borderId="67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0" fillId="0" borderId="58" xfId="0" applyBorder="1"/>
    <xf numFmtId="0" fontId="0" fillId="0" borderId="30" xfId="0" applyBorder="1"/>
    <xf numFmtId="0" fontId="0" fillId="0" borderId="38" xfId="0" applyBorder="1"/>
    <xf numFmtId="0" fontId="0" fillId="0" borderId="62" xfId="0" applyBorder="1"/>
    <xf numFmtId="0" fontId="17" fillId="0" borderId="0" xfId="0" applyFont="1"/>
    <xf numFmtId="172" fontId="6" fillId="0" borderId="23" xfId="0" applyNumberFormat="1" applyFont="1" applyBorder="1" applyAlignment="1">
      <alignment horizontal="left" vertical="center"/>
    </xf>
    <xf numFmtId="1" fontId="2" fillId="0" borderId="57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21" xfId="0" applyNumberFormat="1" applyFont="1" applyBorder="1" applyAlignment="1">
      <alignment horizontal="center" vertical="center"/>
    </xf>
    <xf numFmtId="0" fontId="21" fillId="2" borderId="63" xfId="0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21" fillId="0" borderId="70" xfId="0" applyFont="1" applyBorder="1" applyAlignment="1">
      <alignment horizontal="center" vertical="center"/>
    </xf>
    <xf numFmtId="0" fontId="29" fillId="0" borderId="0" xfId="0" applyFont="1"/>
    <xf numFmtId="0" fontId="0" fillId="0" borderId="36" xfId="0" applyBorder="1"/>
    <xf numFmtId="0" fontId="0" fillId="0" borderId="37" xfId="0" applyBorder="1"/>
    <xf numFmtId="0" fontId="30" fillId="0" borderId="67" xfId="0" applyFont="1" applyBorder="1" applyAlignment="1">
      <alignment horizontal="center" vertical="center"/>
    </xf>
    <xf numFmtId="0" fontId="0" fillId="0" borderId="3" xfId="0" applyBorder="1"/>
    <xf numFmtId="0" fontId="21" fillId="0" borderId="47" xfId="0" applyFont="1" applyBorder="1" applyAlignment="1">
      <alignment vertical="center"/>
    </xf>
    <xf numFmtId="0" fontId="41" fillId="0" borderId="0" xfId="0" applyFont="1"/>
    <xf numFmtId="0" fontId="16" fillId="0" borderId="9" xfId="0" applyFont="1" applyBorder="1" applyAlignment="1">
      <alignment horizontal="center" vertical="center"/>
    </xf>
    <xf numFmtId="0" fontId="44" fillId="0" borderId="0" xfId="10"/>
    <xf numFmtId="0" fontId="13" fillId="0" borderId="0" xfId="0" applyFont="1" applyAlignment="1">
      <alignment horizontal="center" vertical="center"/>
    </xf>
    <xf numFmtId="0" fontId="17" fillId="2" borderId="0" xfId="0" applyFont="1" applyFill="1"/>
    <xf numFmtId="0" fontId="0" fillId="2" borderId="0" xfId="0" applyFill="1"/>
    <xf numFmtId="0" fontId="21" fillId="0" borderId="19" xfId="0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1" fontId="13" fillId="2" borderId="12" xfId="0" applyNumberFormat="1" applyFont="1" applyFill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1" fontId="30" fillId="0" borderId="67" xfId="0" applyNumberFormat="1" applyFont="1" applyBorder="1" applyAlignment="1">
      <alignment horizontal="center" vertical="center"/>
    </xf>
    <xf numFmtId="1" fontId="13" fillId="2" borderId="68" xfId="0" applyNumberFormat="1" applyFont="1" applyFill="1" applyBorder="1" applyAlignment="1">
      <alignment horizontal="center" vertical="center"/>
    </xf>
    <xf numFmtId="0" fontId="25" fillId="0" borderId="5" xfId="0" applyFont="1" applyBorder="1" applyAlignment="1">
      <alignment vertical="center"/>
    </xf>
    <xf numFmtId="0" fontId="32" fillId="0" borderId="66" xfId="0" applyFont="1" applyBorder="1" applyAlignment="1">
      <alignment horizontal="center" vertical="center" wrapText="1"/>
    </xf>
    <xf numFmtId="0" fontId="13" fillId="0" borderId="67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/>
    </xf>
    <xf numFmtId="1" fontId="30" fillId="0" borderId="69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1" fontId="2" fillId="0" borderId="70" xfId="0" applyNumberFormat="1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center"/>
    </xf>
    <xf numFmtId="1" fontId="32" fillId="0" borderId="12" xfId="0" applyNumberFormat="1" applyFont="1" applyBorder="1" applyAlignment="1">
      <alignment horizontal="center" vertical="center"/>
    </xf>
    <xf numFmtId="0" fontId="53" fillId="0" borderId="68" xfId="0" applyFont="1" applyBorder="1" applyAlignment="1">
      <alignment horizontal="center" vertical="center"/>
    </xf>
    <xf numFmtId="0" fontId="29" fillId="0" borderId="62" xfId="0" applyFont="1" applyBorder="1"/>
    <xf numFmtId="0" fontId="16" fillId="0" borderId="79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55" fillId="0" borderId="0" xfId="0" applyFont="1"/>
    <xf numFmtId="1" fontId="7" fillId="2" borderId="12" xfId="0" applyNumberFormat="1" applyFont="1" applyFill="1" applyBorder="1" applyAlignment="1">
      <alignment horizontal="center" vertical="center"/>
    </xf>
    <xf numFmtId="1" fontId="2" fillId="0" borderId="47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1" fillId="0" borderId="75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1" fontId="24" fillId="2" borderId="20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41" fillId="0" borderId="12" xfId="0" applyFont="1" applyBorder="1"/>
    <xf numFmtId="1" fontId="21" fillId="0" borderId="7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2" borderId="0" xfId="0" applyFont="1" applyFill="1" applyAlignment="1">
      <alignment horizontal="right" vertical="center"/>
    </xf>
    <xf numFmtId="0" fontId="30" fillId="0" borderId="14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0" fillId="0" borderId="34" xfId="0" applyBorder="1"/>
    <xf numFmtId="174" fontId="0" fillId="0" borderId="0" xfId="0" applyNumberFormat="1"/>
    <xf numFmtId="0" fontId="16" fillId="0" borderId="0" xfId="0" applyFont="1" applyAlignment="1">
      <alignment horizontal="center"/>
    </xf>
    <xf numFmtId="0" fontId="21" fillId="0" borderId="31" xfId="0" applyFont="1" applyBorder="1" applyAlignment="1">
      <alignment vertical="top"/>
    </xf>
    <xf numFmtId="0" fontId="0" fillId="0" borderId="62" xfId="0" applyBorder="1" applyAlignment="1">
      <alignment vertical="top"/>
    </xf>
    <xf numFmtId="0" fontId="16" fillId="0" borderId="12" xfId="0" applyFont="1" applyBorder="1" applyAlignment="1">
      <alignment horizontal="center" vertical="center"/>
    </xf>
    <xf numFmtId="0" fontId="21" fillId="0" borderId="1" xfId="0" applyFont="1" applyBorder="1" applyAlignment="1">
      <alignment vertical="top"/>
    </xf>
    <xf numFmtId="0" fontId="16" fillId="0" borderId="5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21" fillId="0" borderId="4" xfId="0" applyFont="1" applyBorder="1" applyAlignment="1">
      <alignment vertical="top"/>
    </xf>
    <xf numFmtId="0" fontId="16" fillId="0" borderId="14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1" fillId="0" borderId="10" xfId="0" applyFont="1" applyBorder="1" applyAlignment="1">
      <alignment vertical="top"/>
    </xf>
    <xf numFmtId="1" fontId="16" fillId="0" borderId="40" xfId="0" applyNumberFormat="1" applyFont="1" applyBorder="1" applyAlignment="1">
      <alignment horizontal="center" vertical="center"/>
    </xf>
    <xf numFmtId="1" fontId="16" fillId="0" borderId="67" xfId="0" applyNumberFormat="1" applyFont="1" applyBorder="1" applyAlignment="1">
      <alignment horizontal="center" vertical="center"/>
    </xf>
    <xf numFmtId="1" fontId="16" fillId="0" borderId="68" xfId="0" applyNumberFormat="1" applyFont="1" applyBorder="1" applyAlignment="1">
      <alignment horizontal="center" vertical="center"/>
    </xf>
    <xf numFmtId="1" fontId="16" fillId="2" borderId="68" xfId="0" applyNumberFormat="1" applyFont="1" applyFill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6" xfId="0" applyFont="1" applyBorder="1" applyAlignment="1">
      <alignment horizontal="center" vertical="center"/>
    </xf>
    <xf numFmtId="1" fontId="16" fillId="2" borderId="67" xfId="0" applyNumberFormat="1" applyFont="1" applyFill="1" applyBorder="1" applyAlignment="1">
      <alignment horizontal="center" vertical="center"/>
    </xf>
    <xf numFmtId="0" fontId="16" fillId="0" borderId="32" xfId="0" applyFont="1" applyBorder="1" applyAlignment="1">
      <alignment vertical="top"/>
    </xf>
    <xf numFmtId="1" fontId="16" fillId="0" borderId="15" xfId="0" applyNumberFormat="1" applyFont="1" applyBorder="1" applyAlignment="1">
      <alignment horizontal="center" vertical="center"/>
    </xf>
    <xf numFmtId="1" fontId="16" fillId="0" borderId="17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51" xfId="0" applyFont="1" applyBorder="1" applyAlignment="1">
      <alignment horizontal="left" vertical="center"/>
    </xf>
    <xf numFmtId="1" fontId="0" fillId="0" borderId="55" xfId="0" applyNumberForma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1" fontId="0" fillId="2" borderId="46" xfId="0" applyNumberFormat="1" applyFill="1" applyBorder="1" applyAlignment="1">
      <alignment horizontal="center" vertical="center"/>
    </xf>
    <xf numFmtId="1" fontId="0" fillId="0" borderId="0" xfId="0" applyNumberFormat="1"/>
    <xf numFmtId="0" fontId="16" fillId="0" borderId="66" xfId="0" applyFont="1" applyBorder="1" applyAlignment="1">
      <alignment horizontal="left" vertical="center"/>
    </xf>
    <xf numFmtId="1" fontId="0" fillId="2" borderId="68" xfId="0" applyNumberForma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" fillId="2" borderId="70" xfId="0" applyFont="1" applyFill="1" applyBorder="1" applyAlignment="1">
      <alignment horizontal="center" vertical="center"/>
    </xf>
    <xf numFmtId="1" fontId="25" fillId="2" borderId="70" xfId="0" applyNumberFormat="1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21" fillId="2" borderId="6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5" fillId="2" borderId="57" xfId="0" applyFont="1" applyFill="1" applyBorder="1" applyAlignment="1">
      <alignment horizontal="center" vertical="center"/>
    </xf>
    <xf numFmtId="0" fontId="24" fillId="2" borderId="61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1" fontId="25" fillId="2" borderId="58" xfId="0" applyNumberFormat="1" applyFont="1" applyFill="1" applyBorder="1" applyAlignment="1">
      <alignment horizontal="center" vertical="center"/>
    </xf>
    <xf numFmtId="1" fontId="2" fillId="2" borderId="70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right" vertical="center"/>
    </xf>
    <xf numFmtId="0" fontId="21" fillId="2" borderId="58" xfId="0" applyFont="1" applyFill="1" applyBorder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21" fillId="2" borderId="70" xfId="0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21" fillId="2" borderId="5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" fontId="2" fillId="2" borderId="22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right" vertical="center"/>
    </xf>
    <xf numFmtId="0" fontId="2" fillId="2" borderId="47" xfId="0" applyFont="1" applyFill="1" applyBorder="1" applyAlignment="1">
      <alignment horizontal="center" vertical="center"/>
    </xf>
    <xf numFmtId="1" fontId="25" fillId="2" borderId="22" xfId="0" applyNumberFormat="1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9" fillId="2" borderId="0" xfId="0" applyFont="1" applyFill="1"/>
    <xf numFmtId="0" fontId="21" fillId="2" borderId="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" fontId="2" fillId="2" borderId="20" xfId="0" applyNumberFormat="1" applyFont="1" applyFill="1" applyBorder="1" applyAlignment="1">
      <alignment horizontal="center" vertical="center"/>
    </xf>
    <xf numFmtId="1" fontId="24" fillId="2" borderId="12" xfId="0" applyNumberFormat="1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32" fillId="2" borderId="58" xfId="0" applyFont="1" applyFill="1" applyBorder="1" applyAlignment="1">
      <alignment horizontal="center" vertical="center" wrapText="1"/>
    </xf>
    <xf numFmtId="165" fontId="30" fillId="2" borderId="0" xfId="0" applyNumberFormat="1" applyFont="1" applyFill="1" applyAlignment="1">
      <alignment horizontal="center" vertical="center"/>
    </xf>
    <xf numFmtId="165" fontId="30" fillId="2" borderId="58" xfId="0" applyNumberFormat="1" applyFont="1" applyFill="1" applyBorder="1" applyAlignment="1">
      <alignment horizontal="center" vertical="center"/>
    </xf>
    <xf numFmtId="1" fontId="30" fillId="2" borderId="0" xfId="0" applyNumberFormat="1" applyFont="1" applyFill="1" applyAlignment="1">
      <alignment horizontal="center" vertical="center"/>
    </xf>
    <xf numFmtId="1" fontId="30" fillId="2" borderId="58" xfId="0" applyNumberFormat="1" applyFont="1" applyFill="1" applyBorder="1" applyAlignment="1">
      <alignment horizontal="center" vertical="center"/>
    </xf>
    <xf numFmtId="0" fontId="24" fillId="2" borderId="58" xfId="0" applyFont="1" applyFill="1" applyBorder="1" applyAlignment="1">
      <alignment vertical="center"/>
    </xf>
    <xf numFmtId="0" fontId="29" fillId="2" borderId="58" xfId="0" applyFont="1" applyFill="1" applyBorder="1"/>
    <xf numFmtId="14" fontId="21" fillId="2" borderId="46" xfId="0" applyNumberFormat="1" applyFont="1" applyFill="1" applyBorder="1" applyAlignment="1">
      <alignment horizontal="center" vertical="center"/>
    </xf>
    <xf numFmtId="0" fontId="25" fillId="2" borderId="52" xfId="0" applyFont="1" applyFill="1" applyBorder="1" applyAlignment="1">
      <alignment horizontal="center" vertical="center"/>
    </xf>
    <xf numFmtId="1" fontId="25" fillId="2" borderId="52" xfId="0" applyNumberFormat="1" applyFont="1" applyFill="1" applyBorder="1" applyAlignment="1">
      <alignment horizontal="center" vertical="center"/>
    </xf>
    <xf numFmtId="0" fontId="24" fillId="2" borderId="41" xfId="0" applyFont="1" applyFill="1" applyBorder="1" applyAlignment="1">
      <alignment vertical="center"/>
    </xf>
    <xf numFmtId="0" fontId="24" fillId="2" borderId="27" xfId="0" applyFont="1" applyFill="1" applyBorder="1" applyAlignment="1">
      <alignment vertical="center"/>
    </xf>
    <xf numFmtId="0" fontId="21" fillId="2" borderId="43" xfId="0" applyFont="1" applyFill="1" applyBorder="1" applyAlignment="1">
      <alignment horizontal="center" vertical="center"/>
    </xf>
    <xf numFmtId="0" fontId="21" fillId="2" borderId="53" xfId="0" applyFont="1" applyFill="1" applyBorder="1" applyAlignment="1">
      <alignment horizontal="center" vertical="center"/>
    </xf>
    <xf numFmtId="0" fontId="25" fillId="2" borderId="76" xfId="0" applyFont="1" applyFill="1" applyBorder="1" applyAlignment="1">
      <alignment horizontal="center" vertical="center"/>
    </xf>
    <xf numFmtId="0" fontId="67" fillId="2" borderId="13" xfId="0" applyFont="1" applyFill="1" applyBorder="1" applyAlignment="1">
      <alignment horizontal="center" vertical="center" wrapText="1"/>
    </xf>
    <xf numFmtId="1" fontId="36" fillId="2" borderId="49" xfId="0" applyNumberFormat="1" applyFont="1" applyFill="1" applyBorder="1" applyAlignment="1">
      <alignment horizontal="center" vertical="center"/>
    </xf>
    <xf numFmtId="0" fontId="36" fillId="2" borderId="12" xfId="0" applyFont="1" applyFill="1" applyBorder="1" applyAlignment="1">
      <alignment horizontal="center" vertical="center"/>
    </xf>
    <xf numFmtId="1" fontId="36" fillId="2" borderId="12" xfId="0" applyNumberFormat="1" applyFont="1" applyFill="1" applyBorder="1" applyAlignment="1">
      <alignment horizontal="center" vertical="center"/>
    </xf>
    <xf numFmtId="1" fontId="22" fillId="4" borderId="0" xfId="0" applyNumberFormat="1" applyFont="1" applyFill="1" applyAlignment="1">
      <alignment horizontal="center" vertical="center"/>
    </xf>
    <xf numFmtId="1" fontId="22" fillId="6" borderId="0" xfId="0" applyNumberFormat="1" applyFont="1" applyFill="1" applyAlignment="1">
      <alignment horizontal="center" vertical="center"/>
    </xf>
    <xf numFmtId="1" fontId="22" fillId="6" borderId="0" xfId="0" applyNumberFormat="1" applyFont="1" applyFill="1" applyAlignment="1">
      <alignment vertical="center"/>
    </xf>
    <xf numFmtId="1" fontId="22" fillId="6" borderId="63" xfId="0" applyNumberFormat="1" applyFont="1" applyFill="1" applyBorder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1" fontId="22" fillId="2" borderId="0" xfId="0" applyNumberFormat="1" applyFont="1" applyFill="1" applyAlignment="1">
      <alignment vertical="center"/>
    </xf>
    <xf numFmtId="1" fontId="22" fillId="4" borderId="0" xfId="0" applyNumberFormat="1" applyFont="1" applyFill="1" applyAlignment="1">
      <alignment horizontal="center" vertical="center" wrapText="1"/>
    </xf>
    <xf numFmtId="1" fontId="66" fillId="4" borderId="0" xfId="0" applyNumberFormat="1" applyFont="1" applyFill="1" applyAlignment="1">
      <alignment horizontal="center" vertical="center"/>
    </xf>
    <xf numFmtId="1" fontId="22" fillId="6" borderId="0" xfId="0" applyNumberFormat="1" applyFont="1" applyFill="1" applyAlignment="1">
      <alignment horizontal="center" vertical="center" wrapText="1"/>
    </xf>
    <xf numFmtId="0" fontId="22" fillId="2" borderId="34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36" xfId="0" applyFont="1" applyFill="1" applyBorder="1" applyAlignment="1">
      <alignment horizontal="center" vertical="center"/>
    </xf>
    <xf numFmtId="0" fontId="22" fillId="2" borderId="62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58" xfId="0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1" fontId="22" fillId="2" borderId="62" xfId="0" applyNumberFormat="1" applyFont="1" applyFill="1" applyBorder="1" applyAlignment="1">
      <alignment horizontal="center" vertical="center"/>
    </xf>
    <xf numFmtId="0" fontId="66" fillId="2" borderId="0" xfId="0" applyFont="1" applyFill="1" applyAlignment="1">
      <alignment horizontal="center" vertical="center"/>
    </xf>
    <xf numFmtId="0" fontId="22" fillId="2" borderId="62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68" fillId="2" borderId="0" xfId="0" applyFont="1" applyFill="1" applyAlignment="1">
      <alignment vertical="center"/>
    </xf>
    <xf numFmtId="0" fontId="22" fillId="2" borderId="37" xfId="0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horizontal="center" vertical="center"/>
    </xf>
    <xf numFmtId="0" fontId="22" fillId="2" borderId="30" xfId="0" applyFont="1" applyFill="1" applyBorder="1" applyAlignment="1">
      <alignment vertical="center"/>
    </xf>
    <xf numFmtId="0" fontId="22" fillId="2" borderId="38" xfId="0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2" fillId="15" borderId="0" xfId="0" applyFont="1" applyFill="1" applyAlignment="1">
      <alignment vertical="center"/>
    </xf>
    <xf numFmtId="0" fontId="22" fillId="15" borderId="0" xfId="0" applyFont="1" applyFill="1" applyAlignment="1">
      <alignment horizontal="center" vertical="center"/>
    </xf>
    <xf numFmtId="0" fontId="65" fillId="17" borderId="0" xfId="0" applyFont="1" applyFill="1" applyAlignment="1">
      <alignment horizontal="center" vertical="center"/>
    </xf>
    <xf numFmtId="0" fontId="65" fillId="12" borderId="0" xfId="0" applyFont="1" applyFill="1" applyAlignment="1">
      <alignment horizontal="center" vertical="center" wrapText="1"/>
    </xf>
    <xf numFmtId="0" fontId="22" fillId="18" borderId="0" xfId="0" applyFont="1" applyFill="1" applyAlignment="1">
      <alignment horizontal="center" vertical="center"/>
    </xf>
    <xf numFmtId="1" fontId="22" fillId="18" borderId="0" xfId="0" applyNumberFormat="1" applyFont="1" applyFill="1" applyAlignment="1">
      <alignment horizontal="center" vertical="center" wrapText="1"/>
    </xf>
    <xf numFmtId="0" fontId="70" fillId="2" borderId="0" xfId="0" applyFont="1" applyFill="1" applyAlignment="1">
      <alignment vertical="center"/>
    </xf>
    <xf numFmtId="1" fontId="66" fillId="9" borderId="0" xfId="0" applyNumberFormat="1" applyFont="1" applyFill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16" fillId="2" borderId="61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1" fillId="2" borderId="66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1" fillId="2" borderId="67" xfId="0" applyFont="1" applyFill="1" applyBorder="1" applyAlignment="1">
      <alignment horizontal="center" vertical="center"/>
    </xf>
    <xf numFmtId="0" fontId="21" fillId="2" borderId="65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1" fillId="2" borderId="78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74" xfId="0" applyFont="1" applyFill="1" applyBorder="1" applyAlignment="1">
      <alignment horizontal="center" vertical="center"/>
    </xf>
    <xf numFmtId="0" fontId="21" fillId="2" borderId="47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65" fillId="2" borderId="0" xfId="0" applyFont="1" applyFill="1" applyAlignment="1">
      <alignment horizontal="center" vertical="center"/>
    </xf>
    <xf numFmtId="1" fontId="22" fillId="6" borderId="0" xfId="0" applyNumberFormat="1" applyFont="1" applyFill="1" applyAlignment="1">
      <alignment horizontal="left" vertical="center"/>
    </xf>
    <xf numFmtId="1" fontId="16" fillId="0" borderId="39" xfId="0" applyNumberFormat="1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" fontId="2" fillId="2" borderId="15" xfId="0" applyNumberFormat="1" applyFont="1" applyFill="1" applyBorder="1" applyAlignment="1">
      <alignment horizontal="center" vertical="center"/>
    </xf>
    <xf numFmtId="1" fontId="13" fillId="0" borderId="12" xfId="0" applyNumberFormat="1" applyFont="1" applyBorder="1" applyAlignment="1">
      <alignment horizontal="center" vertical="center" wrapText="1"/>
    </xf>
    <xf numFmtId="1" fontId="13" fillId="2" borderId="14" xfId="0" applyNumberFormat="1" applyFont="1" applyFill="1" applyBorder="1" applyAlignment="1">
      <alignment horizontal="center" vertical="center"/>
    </xf>
    <xf numFmtId="1" fontId="23" fillId="0" borderId="0" xfId="0" applyNumberFormat="1" applyFont="1" applyAlignment="1">
      <alignment horizontal="left" vertical="center"/>
    </xf>
    <xf numFmtId="0" fontId="0" fillId="0" borderId="70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3" fillId="2" borderId="67" xfId="0" applyNumberFormat="1" applyFont="1" applyFill="1" applyBorder="1" applyAlignment="1">
      <alignment horizontal="center" vertical="center"/>
    </xf>
    <xf numFmtId="0" fontId="0" fillId="2" borderId="71" xfId="0" applyFill="1" applyBorder="1" applyAlignment="1">
      <alignment horizontal="center" vertical="center" wrapText="1"/>
    </xf>
    <xf numFmtId="1" fontId="22" fillId="2" borderId="46" xfId="0" applyNumberFormat="1" applyFont="1" applyFill="1" applyBorder="1" applyAlignment="1">
      <alignment horizontal="center" vertical="center"/>
    </xf>
    <xf numFmtId="0" fontId="65" fillId="2" borderId="68" xfId="0" applyFont="1" applyFill="1" applyBorder="1" applyAlignment="1">
      <alignment horizontal="center" vertical="center"/>
    </xf>
    <xf numFmtId="0" fontId="76" fillId="2" borderId="30" xfId="0" applyFont="1" applyFill="1" applyBorder="1" applyAlignment="1">
      <alignment vertical="center" wrapText="1"/>
    </xf>
    <xf numFmtId="0" fontId="76" fillId="2" borderId="30" xfId="0" applyFont="1" applyFill="1" applyBorder="1" applyAlignment="1">
      <alignment wrapText="1"/>
    </xf>
    <xf numFmtId="0" fontId="76" fillId="2" borderId="38" xfId="0" applyFont="1" applyFill="1" applyBorder="1" applyAlignment="1">
      <alignment vertical="center" wrapText="1"/>
    </xf>
    <xf numFmtId="0" fontId="41" fillId="2" borderId="62" xfId="0" applyFont="1" applyFill="1" applyBorder="1" applyAlignment="1">
      <alignment horizontal="left" vertical="center"/>
    </xf>
    <xf numFmtId="0" fontId="0" fillId="2" borderId="58" xfId="0" applyFill="1" applyBorder="1"/>
    <xf numFmtId="0" fontId="76" fillId="2" borderId="3" xfId="0" applyFont="1" applyFill="1" applyBorder="1" applyAlignment="1">
      <alignment vertical="center"/>
    </xf>
    <xf numFmtId="0" fontId="76" fillId="2" borderId="36" xfId="0" applyFont="1" applyFill="1" applyBorder="1" applyAlignment="1">
      <alignment vertical="center"/>
    </xf>
    <xf numFmtId="0" fontId="41" fillId="2" borderId="0" xfId="0" applyFont="1" applyFill="1" applyAlignment="1">
      <alignment vertical="center"/>
    </xf>
    <xf numFmtId="0" fontId="76" fillId="2" borderId="31" xfId="0" applyFont="1" applyFill="1" applyBorder="1" applyAlignment="1">
      <alignment horizontal="center" vertical="center" wrapText="1"/>
    </xf>
    <xf numFmtId="0" fontId="76" fillId="2" borderId="31" xfId="0" applyFont="1" applyFill="1" applyBorder="1" applyAlignment="1">
      <alignment horizontal="center" vertical="center"/>
    </xf>
    <xf numFmtId="0" fontId="76" fillId="2" borderId="36" xfId="0" applyFont="1" applyFill="1" applyBorder="1" applyAlignment="1">
      <alignment horizontal="center" vertical="center"/>
    </xf>
    <xf numFmtId="0" fontId="76" fillId="2" borderId="76" xfId="0" applyFont="1" applyFill="1" applyBorder="1" applyAlignment="1">
      <alignment horizontal="center" vertical="center" wrapText="1"/>
    </xf>
    <xf numFmtId="0" fontId="41" fillId="2" borderId="62" xfId="0" applyFont="1" applyFill="1" applyBorder="1" applyAlignment="1">
      <alignment vertical="center"/>
    </xf>
    <xf numFmtId="0" fontId="77" fillId="2" borderId="78" xfId="0" applyFont="1" applyFill="1" applyBorder="1" applyAlignment="1">
      <alignment horizontal="center" vertical="center"/>
    </xf>
    <xf numFmtId="0" fontId="77" fillId="2" borderId="78" xfId="0" applyFont="1" applyFill="1" applyBorder="1" applyAlignment="1">
      <alignment horizontal="center" vertical="center" wrapText="1"/>
    </xf>
    <xf numFmtId="165" fontId="77" fillId="2" borderId="78" xfId="0" applyNumberFormat="1" applyFont="1" applyFill="1" applyBorder="1" applyAlignment="1">
      <alignment horizontal="center" vertical="center"/>
    </xf>
    <xf numFmtId="165" fontId="77" fillId="2" borderId="36" xfId="0" applyNumberFormat="1" applyFont="1" applyFill="1" applyBorder="1" applyAlignment="1">
      <alignment horizontal="center" vertical="center" wrapText="1"/>
    </xf>
    <xf numFmtId="0" fontId="77" fillId="2" borderId="30" xfId="0" applyFont="1" applyFill="1" applyBorder="1" applyAlignment="1">
      <alignment vertical="center" wrapText="1"/>
    </xf>
    <xf numFmtId="0" fontId="77" fillId="2" borderId="36" xfId="0" applyFont="1" applyFill="1" applyBorder="1" applyAlignment="1">
      <alignment vertical="center" wrapText="1"/>
    </xf>
    <xf numFmtId="0" fontId="76" fillId="2" borderId="30" xfId="0" applyFont="1" applyFill="1" applyBorder="1" applyAlignment="1">
      <alignment vertical="top" wrapText="1"/>
    </xf>
    <xf numFmtId="0" fontId="76" fillId="2" borderId="30" xfId="0" applyFont="1" applyFill="1" applyBorder="1" applyAlignment="1">
      <alignment vertical="center"/>
    </xf>
    <xf numFmtId="0" fontId="76" fillId="2" borderId="38" xfId="0" applyFont="1" applyFill="1" applyBorder="1" applyAlignment="1">
      <alignment vertical="center"/>
    </xf>
    <xf numFmtId="0" fontId="77" fillId="2" borderId="3" xfId="0" applyFont="1" applyFill="1" applyBorder="1" applyAlignment="1">
      <alignment vertical="center"/>
    </xf>
    <xf numFmtId="0" fontId="77" fillId="2" borderId="30" xfId="0" applyFont="1" applyFill="1" applyBorder="1" applyAlignment="1">
      <alignment vertical="center"/>
    </xf>
    <xf numFmtId="0" fontId="41" fillId="2" borderId="0" xfId="0" applyFont="1" applyFill="1" applyAlignment="1">
      <alignment horizontal="left" vertical="center"/>
    </xf>
    <xf numFmtId="0" fontId="77" fillId="2" borderId="0" xfId="0" applyFont="1" applyFill="1" applyAlignment="1">
      <alignment horizontal="left"/>
    </xf>
    <xf numFmtId="0" fontId="77" fillId="2" borderId="0" xfId="0" applyFont="1" applyFill="1" applyAlignment="1">
      <alignment horizontal="center" vertical="top"/>
    </xf>
    <xf numFmtId="0" fontId="77" fillId="2" borderId="0" xfId="0" applyFont="1" applyFill="1"/>
    <xf numFmtId="165" fontId="77" fillId="2" borderId="0" xfId="0" applyNumberFormat="1" applyFont="1" applyFill="1" applyAlignment="1">
      <alignment horizontal="center" vertical="center"/>
    </xf>
    <xf numFmtId="0" fontId="76" fillId="2" borderId="58" xfId="0" applyFont="1" applyFill="1" applyBorder="1" applyAlignment="1">
      <alignment vertical="center"/>
    </xf>
    <xf numFmtId="0" fontId="76" fillId="2" borderId="72" xfId="0" applyFont="1" applyFill="1" applyBorder="1" applyAlignment="1">
      <alignment horizontal="center" vertical="center"/>
    </xf>
    <xf numFmtId="0" fontId="76" fillId="2" borderId="71" xfId="0" applyFont="1" applyFill="1" applyBorder="1" applyAlignment="1">
      <alignment horizontal="center" vertical="center" wrapText="1"/>
    </xf>
    <xf numFmtId="0" fontId="55" fillId="2" borderId="38" xfId="0" applyFont="1" applyFill="1" applyBorder="1" applyAlignment="1">
      <alignment horizontal="center" vertical="center"/>
    </xf>
    <xf numFmtId="0" fontId="77" fillId="2" borderId="12" xfId="0" applyFont="1" applyFill="1" applyBorder="1" applyAlignment="1">
      <alignment horizontal="center" vertical="center"/>
    </xf>
    <xf numFmtId="20" fontId="77" fillId="2" borderId="12" xfId="0" applyNumberFormat="1" applyFont="1" applyFill="1" applyBorder="1" applyAlignment="1">
      <alignment horizontal="center" vertical="center" wrapText="1"/>
    </xf>
    <xf numFmtId="165" fontId="77" fillId="2" borderId="12" xfId="0" applyNumberFormat="1" applyFont="1" applyFill="1" applyBorder="1" applyAlignment="1">
      <alignment horizontal="center" vertical="center"/>
    </xf>
    <xf numFmtId="165" fontId="77" fillId="2" borderId="46" xfId="0" applyNumberFormat="1" applyFont="1" applyFill="1" applyBorder="1" applyAlignment="1">
      <alignment horizontal="center" vertical="center"/>
    </xf>
    <xf numFmtId="0" fontId="0" fillId="2" borderId="12" xfId="0" applyFill="1" applyBorder="1"/>
    <xf numFmtId="0" fontId="0" fillId="2" borderId="46" xfId="0" applyFill="1" applyBorder="1"/>
    <xf numFmtId="0" fontId="0" fillId="2" borderId="67" xfId="0" applyFill="1" applyBorder="1"/>
    <xf numFmtId="0" fontId="0" fillId="2" borderId="68" xfId="0" applyFill="1" applyBorder="1"/>
    <xf numFmtId="0" fontId="28" fillId="0" borderId="0" xfId="0" applyFont="1" applyAlignment="1">
      <alignment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67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72" xfId="0" applyFont="1" applyFill="1" applyBorder="1" applyAlignment="1">
      <alignment horizontal="center" vertical="center"/>
    </xf>
    <xf numFmtId="0" fontId="33" fillId="2" borderId="37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1" fontId="17" fillId="2" borderId="0" xfId="0" applyNumberFormat="1" applyFont="1" applyFill="1" applyAlignment="1">
      <alignment horizontal="center" vertical="center"/>
    </xf>
    <xf numFmtId="0" fontId="21" fillId="2" borderId="5" xfId="0" applyFont="1" applyFill="1" applyBorder="1" applyAlignment="1">
      <alignment vertical="center"/>
    </xf>
    <xf numFmtId="0" fontId="0" fillId="0" borderId="72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80" fillId="2" borderId="62" xfId="0" applyFont="1" applyFill="1" applyBorder="1" applyAlignment="1">
      <alignment vertical="center"/>
    </xf>
    <xf numFmtId="0" fontId="80" fillId="2" borderId="32" xfId="0" applyFont="1" applyFill="1" applyBorder="1" applyAlignment="1">
      <alignment horizontal="left" vertical="center"/>
    </xf>
    <xf numFmtId="0" fontId="55" fillId="2" borderId="15" xfId="0" applyFont="1" applyFill="1" applyBorder="1" applyAlignment="1">
      <alignment horizontal="center" vertical="center"/>
    </xf>
    <xf numFmtId="0" fontId="55" fillId="2" borderId="32" xfId="0" applyFont="1" applyFill="1" applyBorder="1" applyAlignment="1">
      <alignment horizontal="center" vertical="center"/>
    </xf>
    <xf numFmtId="0" fontId="80" fillId="2" borderId="15" xfId="0" applyFont="1" applyFill="1" applyBorder="1" applyAlignment="1">
      <alignment horizontal="left" vertical="center"/>
    </xf>
    <xf numFmtId="0" fontId="81" fillId="2" borderId="37" xfId="0" applyFont="1" applyFill="1" applyBorder="1" applyAlignment="1">
      <alignment vertical="center"/>
    </xf>
    <xf numFmtId="0" fontId="81" fillId="2" borderId="32" xfId="0" applyFont="1" applyFill="1" applyBorder="1" applyAlignment="1">
      <alignment vertical="center" wrapText="1"/>
    </xf>
    <xf numFmtId="0" fontId="81" fillId="2" borderId="16" xfId="0" applyFont="1" applyFill="1" applyBorder="1" applyAlignment="1">
      <alignment vertical="center"/>
    </xf>
    <xf numFmtId="0" fontId="81" fillId="2" borderId="31" xfId="0" applyFont="1" applyFill="1" applyBorder="1" applyAlignment="1">
      <alignment vertical="center"/>
    </xf>
    <xf numFmtId="0" fontId="81" fillId="2" borderId="15" xfId="0" applyFont="1" applyFill="1" applyBorder="1" applyAlignment="1">
      <alignment horizontal="center" vertical="center"/>
    </xf>
    <xf numFmtId="0" fontId="81" fillId="2" borderId="36" xfId="0" applyFont="1" applyFill="1" applyBorder="1" applyAlignment="1">
      <alignment horizontal="center" vertical="center"/>
    </xf>
    <xf numFmtId="0" fontId="82" fillId="2" borderId="80" xfId="0" applyFont="1" applyFill="1" applyBorder="1" applyAlignment="1">
      <alignment vertical="center"/>
    </xf>
    <xf numFmtId="0" fontId="82" fillId="2" borderId="30" xfId="0" applyFont="1" applyFill="1" applyBorder="1" applyAlignment="1">
      <alignment vertical="center" wrapText="1"/>
    </xf>
    <xf numFmtId="0" fontId="81" fillId="2" borderId="30" xfId="0" applyFont="1" applyFill="1" applyBorder="1" applyAlignment="1">
      <alignment vertical="top" wrapText="1"/>
    </xf>
    <xf numFmtId="0" fontId="82" fillId="2" borderId="80" xfId="0" applyFont="1" applyFill="1" applyBorder="1" applyAlignment="1">
      <alignment vertical="center" wrapText="1"/>
    </xf>
    <xf numFmtId="0" fontId="81" fillId="2" borderId="30" xfId="0" applyFont="1" applyFill="1" applyBorder="1" applyAlignment="1">
      <alignment vertical="center"/>
    </xf>
    <xf numFmtId="0" fontId="82" fillId="2" borderId="65" xfId="0" applyFont="1" applyFill="1" applyBorder="1" applyAlignment="1">
      <alignment vertical="center"/>
    </xf>
    <xf numFmtId="0" fontId="82" fillId="2" borderId="30" xfId="0" applyFont="1" applyFill="1" applyBorder="1" applyAlignment="1">
      <alignment vertical="center"/>
    </xf>
    <xf numFmtId="0" fontId="81" fillId="2" borderId="60" xfId="0" applyFont="1" applyFill="1" applyBorder="1" applyAlignment="1">
      <alignment horizontal="left" vertical="center"/>
    </xf>
    <xf numFmtId="0" fontId="81" fillId="2" borderId="62" xfId="0" applyFont="1" applyFill="1" applyBorder="1"/>
    <xf numFmtId="0" fontId="81" fillId="2" borderId="5" xfId="0" applyFont="1" applyFill="1" applyBorder="1" applyAlignment="1">
      <alignment horizontal="center" vertical="center"/>
    </xf>
    <xf numFmtId="0" fontId="81" fillId="2" borderId="72" xfId="0" applyFont="1" applyFill="1" applyBorder="1" applyAlignment="1">
      <alignment horizontal="center" vertical="center"/>
    </xf>
    <xf numFmtId="0" fontId="81" fillId="2" borderId="13" xfId="0" applyFont="1" applyFill="1" applyBorder="1" applyAlignment="1">
      <alignment horizontal="center" vertical="center"/>
    </xf>
    <xf numFmtId="0" fontId="82" fillId="2" borderId="12" xfId="0" applyFont="1" applyFill="1" applyBorder="1" applyAlignment="1">
      <alignment horizontal="left" vertical="center"/>
    </xf>
    <xf numFmtId="0" fontId="17" fillId="2" borderId="13" xfId="0" applyFont="1" applyFill="1" applyBorder="1"/>
    <xf numFmtId="0" fontId="17" fillId="2" borderId="12" xfId="0" applyFont="1" applyFill="1" applyBorder="1"/>
    <xf numFmtId="0" fontId="17" fillId="2" borderId="66" xfId="0" applyFont="1" applyFill="1" applyBorder="1"/>
    <xf numFmtId="0" fontId="17" fillId="2" borderId="67" xfId="0" applyFont="1" applyFill="1" applyBorder="1"/>
    <xf numFmtId="1" fontId="28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0" fontId="2" fillId="2" borderId="63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58" xfId="0" applyFont="1" applyFill="1" applyBorder="1" applyAlignment="1">
      <alignment vertical="center"/>
    </xf>
    <xf numFmtId="165" fontId="7" fillId="2" borderId="12" xfId="0" applyNumberFormat="1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vertical="center"/>
    </xf>
    <xf numFmtId="165" fontId="7" fillId="2" borderId="72" xfId="0" applyNumberFormat="1" applyFont="1" applyFill="1" applyBorder="1" applyAlignment="1">
      <alignment horizontal="center" vertical="center"/>
    </xf>
    <xf numFmtId="1" fontId="7" fillId="2" borderId="68" xfId="0" applyNumberFormat="1" applyFont="1" applyFill="1" applyBorder="1" applyAlignment="1">
      <alignment horizontal="center" vertical="center"/>
    </xf>
    <xf numFmtId="165" fontId="7" fillId="2" borderId="22" xfId="0" applyNumberFormat="1" applyFont="1" applyFill="1" applyBorder="1" applyAlignment="1">
      <alignment horizontal="center" vertical="center"/>
    </xf>
    <xf numFmtId="0" fontId="12" fillId="2" borderId="0" xfId="0" applyFont="1" applyFill="1"/>
    <xf numFmtId="1" fontId="7" fillId="2" borderId="67" xfId="0" applyNumberFormat="1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" fontId="2" fillId="0" borderId="61" xfId="0" applyNumberFormat="1" applyFont="1" applyBorder="1" applyAlignment="1">
      <alignment horizontal="center" vertical="center"/>
    </xf>
    <xf numFmtId="1" fontId="2" fillId="2" borderId="67" xfId="0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7" fillId="2" borderId="46" xfId="0" applyNumberFormat="1" applyFont="1" applyFill="1" applyBorder="1" applyAlignment="1">
      <alignment horizontal="center" vertical="center"/>
    </xf>
    <xf numFmtId="165" fontId="7" fillId="2" borderId="71" xfId="0" applyNumberFormat="1" applyFont="1" applyFill="1" applyBorder="1" applyAlignment="1">
      <alignment horizontal="center" vertical="center"/>
    </xf>
    <xf numFmtId="0" fontId="7" fillId="2" borderId="74" xfId="0" applyFont="1" applyFill="1" applyBorder="1" applyAlignment="1">
      <alignment horizontal="center" vertical="center"/>
    </xf>
    <xf numFmtId="1" fontId="21" fillId="0" borderId="70" xfId="0" applyNumberFormat="1" applyFont="1" applyBorder="1" applyAlignment="1">
      <alignment horizontal="center" vertical="center"/>
    </xf>
    <xf numFmtId="0" fontId="21" fillId="2" borderId="66" xfId="0" applyFont="1" applyFill="1" applyBorder="1" applyAlignment="1">
      <alignment vertical="center"/>
    </xf>
    <xf numFmtId="0" fontId="24" fillId="2" borderId="70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7" fillId="2" borderId="79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57" fillId="2" borderId="12" xfId="0" applyFont="1" applyFill="1" applyBorder="1" applyAlignment="1">
      <alignment horizontal="center" vertical="center"/>
    </xf>
    <xf numFmtId="0" fontId="24" fillId="2" borderId="46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172" fontId="21" fillId="2" borderId="12" xfId="0" applyNumberFormat="1" applyFon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64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5" fillId="2" borderId="0" xfId="0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28" fillId="2" borderId="0" xfId="0" applyFont="1" applyFill="1" applyAlignment="1">
      <alignment vertical="center"/>
    </xf>
    <xf numFmtId="173" fontId="17" fillId="2" borderId="0" xfId="0" applyNumberFormat="1" applyFont="1" applyFill="1"/>
    <xf numFmtId="0" fontId="17" fillId="2" borderId="30" xfId="0" applyFont="1" applyFill="1" applyBorder="1"/>
    <xf numFmtId="0" fontId="21" fillId="2" borderId="22" xfId="0" applyFont="1" applyFill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6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1" fontId="21" fillId="2" borderId="21" xfId="0" applyNumberFormat="1" applyFont="1" applyFill="1" applyBorder="1" applyAlignment="1">
      <alignment horizontal="center" vertical="center"/>
    </xf>
    <xf numFmtId="1" fontId="24" fillId="2" borderId="22" xfId="0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vertical="center"/>
    </xf>
    <xf numFmtId="0" fontId="8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6" fillId="2" borderId="0" xfId="0" applyFont="1" applyFill="1" applyAlignment="1">
      <alignment vertical="center"/>
    </xf>
    <xf numFmtId="0" fontId="0" fillId="2" borderId="58" xfId="0" applyFill="1" applyBorder="1" applyAlignment="1">
      <alignment vertical="center"/>
    </xf>
    <xf numFmtId="0" fontId="25" fillId="2" borderId="25" xfId="0" applyFont="1" applyFill="1" applyBorder="1" applyAlignment="1">
      <alignment horizontal="center" vertical="center"/>
    </xf>
    <xf numFmtId="0" fontId="21" fillId="2" borderId="39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/>
    </xf>
    <xf numFmtId="1" fontId="13" fillId="2" borderId="52" xfId="0" applyNumberFormat="1" applyFont="1" applyFill="1" applyBorder="1" applyAlignment="1">
      <alignment horizontal="center" vertical="center"/>
    </xf>
    <xf numFmtId="1" fontId="29" fillId="0" borderId="58" xfId="0" applyNumberFormat="1" applyFont="1" applyBorder="1"/>
    <xf numFmtId="1" fontId="17" fillId="0" borderId="58" xfId="0" applyNumberFormat="1" applyFont="1" applyBorder="1"/>
    <xf numFmtId="1" fontId="16" fillId="0" borderId="12" xfId="0" applyNumberFormat="1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/>
    </xf>
    <xf numFmtId="0" fontId="67" fillId="0" borderId="63" xfId="0" applyFont="1" applyBorder="1" applyAlignment="1">
      <alignment horizontal="center" vertical="center"/>
    </xf>
    <xf numFmtId="1" fontId="67" fillId="0" borderId="12" xfId="0" applyNumberFormat="1" applyFont="1" applyBorder="1" applyAlignment="1">
      <alignment horizontal="center" vertical="center"/>
    </xf>
    <xf numFmtId="165" fontId="32" fillId="0" borderId="12" xfId="0" applyNumberFormat="1" applyFont="1" applyBorder="1" applyAlignment="1">
      <alignment horizontal="center" vertical="center"/>
    </xf>
    <xf numFmtId="1" fontId="32" fillId="0" borderId="33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1" fontId="21" fillId="2" borderId="12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2" borderId="62" xfId="0" applyFont="1" applyFill="1" applyBorder="1" applyAlignment="1">
      <alignment vertical="center"/>
    </xf>
    <xf numFmtId="0" fontId="12" fillId="2" borderId="0" xfId="0" applyFont="1" applyFill="1" applyAlignment="1">
      <alignment vertical="center" wrapText="1"/>
    </xf>
    <xf numFmtId="0" fontId="32" fillId="0" borderId="57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" fontId="16" fillId="0" borderId="6" xfId="0" applyNumberFormat="1" applyFont="1" applyBorder="1"/>
    <xf numFmtId="0" fontId="86" fillId="2" borderId="12" xfId="0" applyFont="1" applyFill="1" applyBorder="1" applyAlignment="1">
      <alignment horizontal="left" vertical="center"/>
    </xf>
    <xf numFmtId="20" fontId="0" fillId="2" borderId="12" xfId="0" applyNumberFormat="1" applyFill="1" applyBorder="1" applyAlignment="1">
      <alignment horizontal="center" vertical="center"/>
    </xf>
    <xf numFmtId="0" fontId="86" fillId="2" borderId="12" xfId="0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165" fontId="86" fillId="2" borderId="12" xfId="0" applyNumberFormat="1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49" fontId="87" fillId="2" borderId="3" xfId="0" applyNumberFormat="1" applyFont="1" applyFill="1" applyBorder="1" applyAlignment="1">
      <alignment vertical="center"/>
    </xf>
    <xf numFmtId="0" fontId="87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12" fillId="0" borderId="0" xfId="0" applyFont="1"/>
    <xf numFmtId="0" fontId="87" fillId="2" borderId="0" xfId="0" applyFont="1" applyFill="1" applyAlignment="1">
      <alignment vertical="center"/>
    </xf>
    <xf numFmtId="0" fontId="7" fillId="2" borderId="16" xfId="0" applyFont="1" applyFill="1" applyBorder="1" applyAlignment="1">
      <alignment vertical="center"/>
    </xf>
    <xf numFmtId="172" fontId="7" fillId="2" borderId="23" xfId="0" applyNumberFormat="1" applyFont="1" applyFill="1" applyBorder="1" applyAlignment="1">
      <alignment horizontal="left" vertical="center"/>
    </xf>
    <xf numFmtId="171" fontId="7" fillId="2" borderId="62" xfId="0" applyNumberFormat="1" applyFont="1" applyFill="1" applyBorder="1" applyAlignment="1">
      <alignment vertical="center"/>
    </xf>
    <xf numFmtId="170" fontId="7" fillId="2" borderId="0" xfId="0" applyNumberFormat="1" applyFont="1" applyFill="1" applyAlignment="1">
      <alignment vertical="center"/>
    </xf>
    <xf numFmtId="0" fontId="12" fillId="0" borderId="34" xfId="0" applyFont="1" applyBorder="1"/>
    <xf numFmtId="0" fontId="12" fillId="0" borderId="3" xfId="0" applyFont="1" applyBorder="1"/>
    <xf numFmtId="0" fontId="12" fillId="0" borderId="36" xfId="0" applyFont="1" applyBorder="1"/>
    <xf numFmtId="0" fontId="12" fillId="0" borderId="62" xfId="0" applyFont="1" applyBorder="1"/>
    <xf numFmtId="0" fontId="12" fillId="0" borderId="58" xfId="0" applyFont="1" applyBorder="1"/>
    <xf numFmtId="0" fontId="7" fillId="2" borderId="44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7" fillId="2" borderId="5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1" fontId="12" fillId="2" borderId="46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2" fillId="2" borderId="75" xfId="0" applyFont="1" applyFill="1" applyBorder="1" applyAlignment="1">
      <alignment horizontal="center" vertical="center"/>
    </xf>
    <xf numFmtId="1" fontId="12" fillId="2" borderId="75" xfId="0" applyNumberFormat="1" applyFont="1" applyFill="1" applyBorder="1" applyAlignment="1">
      <alignment horizontal="center" vertical="center"/>
    </xf>
    <xf numFmtId="1" fontId="12" fillId="2" borderId="74" xfId="0" applyNumberFormat="1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vertical="center"/>
    </xf>
    <xf numFmtId="0" fontId="7" fillId="2" borderId="36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12" fillId="2" borderId="78" xfId="0" applyFont="1" applyFill="1" applyBorder="1" applyAlignment="1">
      <alignment horizontal="center" vertical="center"/>
    </xf>
    <xf numFmtId="1" fontId="12" fillId="2" borderId="72" xfId="0" applyNumberFormat="1" applyFont="1" applyFill="1" applyBorder="1" applyAlignment="1">
      <alignment horizontal="center" vertical="center"/>
    </xf>
    <xf numFmtId="1" fontId="12" fillId="2" borderId="78" xfId="0" applyNumberFormat="1" applyFont="1" applyFill="1" applyBorder="1" applyAlignment="1">
      <alignment horizontal="center" vertical="center"/>
    </xf>
    <xf numFmtId="0" fontId="12" fillId="2" borderId="72" xfId="0" applyFont="1" applyFill="1" applyBorder="1" applyAlignment="1">
      <alignment horizontal="center" vertical="center"/>
    </xf>
    <xf numFmtId="1" fontId="12" fillId="2" borderId="76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2" borderId="68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vertical="center"/>
    </xf>
    <xf numFmtId="0" fontId="7" fillId="2" borderId="77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12" fillId="2" borderId="71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vertical="center"/>
    </xf>
    <xf numFmtId="0" fontId="12" fillId="2" borderId="67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17" xfId="0" applyFont="1" applyFill="1" applyBorder="1" applyAlignment="1">
      <alignment vertical="center"/>
    </xf>
    <xf numFmtId="0" fontId="7" fillId="2" borderId="15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2" fontId="12" fillId="2" borderId="46" xfId="0" applyNumberFormat="1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vertical="center"/>
    </xf>
    <xf numFmtId="0" fontId="88" fillId="2" borderId="0" xfId="0" applyFont="1" applyFill="1" applyAlignment="1">
      <alignment vertical="center"/>
    </xf>
    <xf numFmtId="0" fontId="12" fillId="2" borderId="27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 wrapText="1"/>
    </xf>
    <xf numFmtId="0" fontId="12" fillId="2" borderId="46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7" fillId="2" borderId="46" xfId="0" applyFont="1" applyFill="1" applyBorder="1" applyAlignment="1">
      <alignment vertical="center" wrapText="1"/>
    </xf>
    <xf numFmtId="0" fontId="7" fillId="2" borderId="5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vertical="center" wrapText="1"/>
    </xf>
    <xf numFmtId="0" fontId="7" fillId="2" borderId="17" xfId="0" applyFont="1" applyFill="1" applyBorder="1" applyAlignment="1">
      <alignment wrapText="1"/>
    </xf>
    <xf numFmtId="0" fontId="7" fillId="2" borderId="23" xfId="0" applyFont="1" applyFill="1" applyBorder="1" applyAlignment="1">
      <alignment vertical="center" wrapText="1"/>
    </xf>
    <xf numFmtId="0" fontId="12" fillId="0" borderId="37" xfId="0" applyFont="1" applyBorder="1"/>
    <xf numFmtId="0" fontId="12" fillId="0" borderId="30" xfId="0" applyFont="1" applyBorder="1"/>
    <xf numFmtId="0" fontId="12" fillId="0" borderId="38" xfId="0" applyFont="1" applyBorder="1"/>
    <xf numFmtId="0" fontId="7" fillId="2" borderId="31" xfId="0" applyFont="1" applyFill="1" applyBorder="1" applyAlignment="1">
      <alignment vertical="center"/>
    </xf>
    <xf numFmtId="0" fontId="7" fillId="2" borderId="58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78" xfId="0" applyFont="1" applyFill="1" applyBorder="1" applyAlignment="1">
      <alignment horizontal="center" vertical="center"/>
    </xf>
    <xf numFmtId="0" fontId="7" fillId="2" borderId="71" xfId="0" applyFont="1" applyFill="1" applyBorder="1" applyAlignment="1">
      <alignment horizontal="center" vertical="center" wrapText="1"/>
    </xf>
    <xf numFmtId="0" fontId="7" fillId="2" borderId="62" xfId="0" applyFont="1" applyFill="1" applyBorder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0" fontId="12" fillId="2" borderId="0" xfId="1" applyFont="1" applyFill="1" applyBorder="1" applyAlignment="1">
      <alignment vertical="center"/>
    </xf>
    <xf numFmtId="165" fontId="7" fillId="2" borderId="47" xfId="0" applyNumberFormat="1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/>
    </xf>
    <xf numFmtId="0" fontId="57" fillId="2" borderId="12" xfId="0" applyFont="1" applyFill="1" applyBorder="1" applyAlignment="1">
      <alignment horizontal="left" vertical="center"/>
    </xf>
    <xf numFmtId="20" fontId="12" fillId="2" borderId="12" xfId="0" applyNumberFormat="1" applyFont="1" applyFill="1" applyBorder="1" applyAlignment="1">
      <alignment horizontal="center" vertical="center"/>
    </xf>
    <xf numFmtId="165" fontId="57" fillId="2" borderId="46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20" fontId="12" fillId="2" borderId="12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7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vertical="center"/>
    </xf>
    <xf numFmtId="0" fontId="7" fillId="2" borderId="66" xfId="0" applyFont="1" applyFill="1" applyBorder="1" applyAlignment="1">
      <alignment vertical="center" wrapText="1"/>
    </xf>
    <xf numFmtId="1" fontId="12" fillId="2" borderId="67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1" fontId="7" fillId="2" borderId="72" xfId="0" applyNumberFormat="1" applyFont="1" applyFill="1" applyBorder="1" applyAlignment="1">
      <alignment horizontal="center" vertical="center"/>
    </xf>
    <xf numFmtId="1" fontId="7" fillId="2" borderId="71" xfId="0" applyNumberFormat="1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12" fillId="2" borderId="67" xfId="0" applyFont="1" applyFill="1" applyBorder="1" applyAlignment="1">
      <alignment horizontal="left" vertical="center" wrapText="1"/>
    </xf>
    <xf numFmtId="0" fontId="12" fillId="2" borderId="67" xfId="0" applyFont="1" applyFill="1" applyBorder="1" applyAlignment="1">
      <alignment horizontal="center" vertical="center" wrapText="1"/>
    </xf>
    <xf numFmtId="20" fontId="12" fillId="2" borderId="67" xfId="0" applyNumberFormat="1" applyFont="1" applyFill="1" applyBorder="1" applyAlignment="1">
      <alignment horizontal="center" vertical="center"/>
    </xf>
    <xf numFmtId="165" fontId="12" fillId="2" borderId="68" xfId="0" applyNumberFormat="1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vertical="center"/>
    </xf>
    <xf numFmtId="0" fontId="87" fillId="2" borderId="62" xfId="0" applyFont="1" applyFill="1" applyBorder="1" applyAlignment="1">
      <alignment vertical="center"/>
    </xf>
    <xf numFmtId="0" fontId="12" fillId="2" borderId="62" xfId="0" applyFont="1" applyFill="1" applyBorder="1" applyAlignment="1">
      <alignment horizontal="left" vertical="center"/>
    </xf>
    <xf numFmtId="1" fontId="7" fillId="2" borderId="0" xfId="0" applyNumberFormat="1" applyFont="1" applyFill="1" applyAlignment="1">
      <alignment vertical="center"/>
    </xf>
    <xf numFmtId="0" fontId="12" fillId="2" borderId="30" xfId="0" applyFont="1" applyFill="1" applyBorder="1" applyAlignment="1">
      <alignment vertical="center"/>
    </xf>
    <xf numFmtId="0" fontId="12" fillId="2" borderId="38" xfId="0" applyFont="1" applyFill="1" applyBorder="1" applyAlignment="1">
      <alignment vertical="center"/>
    </xf>
    <xf numFmtId="0" fontId="88" fillId="2" borderId="17" xfId="0" applyFont="1" applyFill="1" applyBorder="1" applyAlignment="1">
      <alignment vertical="center"/>
    </xf>
    <xf numFmtId="0" fontId="57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left"/>
    </xf>
    <xf numFmtId="0" fontId="57" fillId="2" borderId="3" xfId="0" applyFont="1" applyFill="1" applyBorder="1" applyAlignment="1">
      <alignment vertical="center"/>
    </xf>
    <xf numFmtId="0" fontId="88" fillId="2" borderId="5" xfId="0" applyFont="1" applyFill="1" applyBorder="1" applyAlignment="1">
      <alignment vertical="center"/>
    </xf>
    <xf numFmtId="0" fontId="88" fillId="2" borderId="72" xfId="0" applyFont="1" applyFill="1" applyBorder="1" applyAlignment="1">
      <alignment horizontal="center" vertical="center"/>
    </xf>
    <xf numFmtId="0" fontId="88" fillId="2" borderId="71" xfId="0" applyFont="1" applyFill="1" applyBorder="1" applyAlignment="1">
      <alignment horizontal="center" vertical="center"/>
    </xf>
    <xf numFmtId="0" fontId="88" fillId="2" borderId="58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57" fillId="2" borderId="0" xfId="0" quotePrefix="1" applyFont="1" applyFill="1" applyAlignment="1">
      <alignment vertical="center"/>
    </xf>
    <xf numFmtId="0" fontId="88" fillId="2" borderId="66" xfId="0" applyFont="1" applyFill="1" applyBorder="1" applyAlignment="1">
      <alignment horizontal="center" vertical="center"/>
    </xf>
    <xf numFmtId="0" fontId="88" fillId="2" borderId="67" xfId="0" applyFont="1" applyFill="1" applyBorder="1" applyAlignment="1">
      <alignment horizontal="center" vertical="center"/>
    </xf>
    <xf numFmtId="1" fontId="88" fillId="2" borderId="67" xfId="0" applyNumberFormat="1" applyFont="1" applyFill="1" applyBorder="1" applyAlignment="1">
      <alignment horizontal="center" vertical="center" wrapText="1"/>
    </xf>
    <xf numFmtId="1" fontId="88" fillId="2" borderId="68" xfId="0" applyNumberFormat="1" applyFont="1" applyFill="1" applyBorder="1" applyAlignment="1">
      <alignment horizontal="center" vertical="center"/>
    </xf>
    <xf numFmtId="1" fontId="88" fillId="2" borderId="0" xfId="0" applyNumberFormat="1" applyFont="1" applyFill="1" applyAlignment="1">
      <alignment vertical="center"/>
    </xf>
    <xf numFmtId="0" fontId="89" fillId="2" borderId="0" xfId="0" applyFont="1" applyFill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57" fillId="2" borderId="30" xfId="0" applyFont="1" applyFill="1" applyBorder="1" applyAlignment="1">
      <alignment vertical="center"/>
    </xf>
    <xf numFmtId="165" fontId="7" fillId="2" borderId="65" xfId="0" applyNumberFormat="1" applyFont="1" applyFill="1" applyBorder="1" applyAlignment="1">
      <alignment horizontal="center" vertical="center"/>
    </xf>
    <xf numFmtId="165" fontId="7" fillId="2" borderId="78" xfId="0" applyNumberFormat="1" applyFont="1" applyFill="1" applyBorder="1" applyAlignment="1">
      <alignment horizontal="center" vertical="center"/>
    </xf>
    <xf numFmtId="165" fontId="7" fillId="2" borderId="76" xfId="0" applyNumberFormat="1" applyFont="1" applyFill="1" applyBorder="1" applyAlignment="1">
      <alignment horizontal="center" vertical="center"/>
    </xf>
    <xf numFmtId="0" fontId="87" fillId="2" borderId="62" xfId="0" applyFont="1" applyFill="1" applyBorder="1" applyAlignment="1">
      <alignment horizontal="left" vertical="center"/>
    </xf>
    <xf numFmtId="0" fontId="8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vertical="center"/>
    </xf>
    <xf numFmtId="0" fontId="7" fillId="2" borderId="63" xfId="0" applyFont="1" applyFill="1" applyBorder="1" applyAlignment="1">
      <alignment horizontal="center" vertical="center"/>
    </xf>
    <xf numFmtId="165" fontId="60" fillId="2" borderId="13" xfId="0" applyNumberFormat="1" applyFont="1" applyFill="1" applyBorder="1" applyAlignment="1">
      <alignment horizontal="center" vertical="center" wrapText="1"/>
    </xf>
    <xf numFmtId="165" fontId="60" fillId="2" borderId="12" xfId="0" applyNumberFormat="1" applyFont="1" applyFill="1" applyBorder="1" applyAlignment="1">
      <alignment horizontal="center" vertical="center" wrapText="1"/>
    </xf>
    <xf numFmtId="0" fontId="60" fillId="2" borderId="46" xfId="0" applyFont="1" applyFill="1" applyBorder="1" applyAlignment="1">
      <alignment horizontal="center" vertical="center"/>
    </xf>
    <xf numFmtId="165" fontId="60" fillId="2" borderId="43" xfId="0" applyNumberFormat="1" applyFont="1" applyFill="1" applyBorder="1" applyAlignment="1">
      <alignment horizontal="center" vertical="center" wrapText="1"/>
    </xf>
    <xf numFmtId="0" fontId="57" fillId="2" borderId="58" xfId="0" applyFont="1" applyFill="1" applyBorder="1" applyAlignment="1">
      <alignment vertical="center"/>
    </xf>
    <xf numFmtId="0" fontId="57" fillId="2" borderId="36" xfId="0" applyFont="1" applyFill="1" applyBorder="1" applyAlignment="1">
      <alignment vertical="center"/>
    </xf>
    <xf numFmtId="0" fontId="7" fillId="2" borderId="27" xfId="0" applyFont="1" applyFill="1" applyBorder="1" applyAlignment="1">
      <alignment horizontal="center" vertical="center"/>
    </xf>
    <xf numFmtId="20" fontId="7" fillId="2" borderId="12" xfId="0" applyNumberFormat="1" applyFont="1" applyFill="1" applyBorder="1" applyAlignment="1">
      <alignment horizontal="center" vertical="center"/>
    </xf>
    <xf numFmtId="0" fontId="57" fillId="2" borderId="62" xfId="0" applyFont="1" applyFill="1" applyBorder="1" applyAlignment="1">
      <alignment vertical="center"/>
    </xf>
    <xf numFmtId="165" fontId="7" fillId="2" borderId="13" xfId="0" applyNumberFormat="1" applyFont="1" applyFill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/>
    </xf>
    <xf numFmtId="0" fontId="12" fillId="2" borderId="62" xfId="0" applyFont="1" applyFill="1" applyBorder="1"/>
    <xf numFmtId="165" fontId="7" fillId="2" borderId="58" xfId="0" applyNumberFormat="1" applyFont="1" applyFill="1" applyBorder="1" applyAlignment="1">
      <alignment vertical="center"/>
    </xf>
    <xf numFmtId="0" fontId="7" fillId="2" borderId="59" xfId="0" applyFont="1" applyFill="1" applyBorder="1" applyAlignment="1">
      <alignment horizontal="center" vertical="center"/>
    </xf>
    <xf numFmtId="0" fontId="60" fillId="2" borderId="68" xfId="0" applyFont="1" applyFill="1" applyBorder="1" applyAlignment="1">
      <alignment horizontal="center" vertical="center"/>
    </xf>
    <xf numFmtId="0" fontId="57" fillId="2" borderId="37" xfId="0" applyFont="1" applyFill="1" applyBorder="1" applyAlignment="1">
      <alignment vertical="center"/>
    </xf>
    <xf numFmtId="0" fontId="57" fillId="2" borderId="30" xfId="0" applyFont="1" applyFill="1" applyBorder="1" applyAlignment="1">
      <alignment horizontal="left" vertical="center" wrapText="1"/>
    </xf>
    <xf numFmtId="0" fontId="57" fillId="2" borderId="38" xfId="0" applyFont="1" applyFill="1" applyBorder="1" applyAlignment="1">
      <alignment horizontal="left" vertical="center" wrapText="1"/>
    </xf>
    <xf numFmtId="0" fontId="60" fillId="2" borderId="67" xfId="0" applyFont="1" applyFill="1" applyBorder="1" applyAlignment="1">
      <alignment horizontal="center" vertical="center"/>
    </xf>
    <xf numFmtId="0" fontId="7" fillId="2" borderId="68" xfId="0" applyFont="1" applyFill="1" applyBorder="1" applyAlignment="1">
      <alignment horizontal="center" vertical="center"/>
    </xf>
    <xf numFmtId="20" fontId="7" fillId="2" borderId="72" xfId="0" applyNumberFormat="1" applyFont="1" applyFill="1" applyBorder="1" applyAlignment="1">
      <alignment horizontal="center" vertical="center"/>
    </xf>
    <xf numFmtId="0" fontId="60" fillId="2" borderId="72" xfId="0" applyFont="1" applyFill="1" applyBorder="1" applyAlignment="1">
      <alignment horizontal="center" vertical="center"/>
    </xf>
    <xf numFmtId="1" fontId="60" fillId="2" borderId="71" xfId="0" applyNumberFormat="1" applyFont="1" applyFill="1" applyBorder="1" applyAlignment="1">
      <alignment horizontal="center" vertical="center"/>
    </xf>
    <xf numFmtId="0" fontId="60" fillId="2" borderId="12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vertical="center"/>
    </xf>
    <xf numFmtId="1" fontId="60" fillId="2" borderId="46" xfId="0" applyNumberFormat="1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vertical="center"/>
    </xf>
    <xf numFmtId="0" fontId="12" fillId="2" borderId="67" xfId="0" applyFont="1" applyFill="1" applyBorder="1" applyAlignment="1">
      <alignment horizontal="center" wrapText="1"/>
    </xf>
    <xf numFmtId="0" fontId="12" fillId="2" borderId="68" xfId="0" applyFont="1" applyFill="1" applyBorder="1" applyAlignment="1">
      <alignment horizontal="center" wrapText="1"/>
    </xf>
    <xf numFmtId="0" fontId="12" fillId="2" borderId="30" xfId="0" applyFont="1" applyFill="1" applyBorder="1" applyAlignment="1">
      <alignment wrapText="1"/>
    </xf>
    <xf numFmtId="165" fontId="7" fillId="2" borderId="30" xfId="0" applyNumberFormat="1" applyFont="1" applyFill="1" applyBorder="1" applyAlignment="1">
      <alignment vertical="center"/>
    </xf>
    <xf numFmtId="165" fontId="7" fillId="2" borderId="38" xfId="0" applyNumberFormat="1" applyFont="1" applyFill="1" applyBorder="1" applyAlignment="1">
      <alignment vertical="center"/>
    </xf>
    <xf numFmtId="0" fontId="12" fillId="2" borderId="0" xfId="0" applyFont="1" applyFill="1" applyAlignment="1">
      <alignment wrapText="1"/>
    </xf>
    <xf numFmtId="2" fontId="12" fillId="2" borderId="0" xfId="0" applyNumberFormat="1" applyFont="1" applyFill="1" applyAlignment="1">
      <alignment horizontal="center" vertical="center" wrapText="1"/>
    </xf>
    <xf numFmtId="2" fontId="12" fillId="2" borderId="0" xfId="0" applyNumberFormat="1" applyFont="1" applyFill="1" applyAlignment="1">
      <alignment wrapText="1"/>
    </xf>
    <xf numFmtId="0" fontId="89" fillId="2" borderId="0" xfId="0" applyFont="1" applyFill="1" applyAlignment="1">
      <alignment wrapText="1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21" fillId="2" borderId="12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32" fillId="0" borderId="14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1" fontId="2" fillId="2" borderId="12" xfId="0" applyNumberFormat="1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32" fillId="2" borderId="5" xfId="0" applyFont="1" applyFill="1" applyBorder="1" applyAlignment="1">
      <alignment horizontal="center"/>
    </xf>
    <xf numFmtId="0" fontId="32" fillId="2" borderId="72" xfId="0" applyFont="1" applyFill="1" applyBorder="1" applyAlignment="1">
      <alignment horizontal="center"/>
    </xf>
    <xf numFmtId="0" fontId="32" fillId="2" borderId="71" xfId="0" applyFont="1" applyFill="1" applyBorder="1" applyAlignment="1">
      <alignment horizontal="center"/>
    </xf>
    <xf numFmtId="0" fontId="32" fillId="2" borderId="66" xfId="0" applyFont="1" applyFill="1" applyBorder="1" applyAlignment="1">
      <alignment wrapText="1"/>
    </xf>
    <xf numFmtId="0" fontId="13" fillId="2" borderId="14" xfId="0" applyFont="1" applyFill="1" applyBorder="1" applyAlignment="1">
      <alignment horizontal="center" vertical="center"/>
    </xf>
    <xf numFmtId="1" fontId="21" fillId="0" borderId="0" xfId="0" applyNumberFormat="1" applyFont="1" applyAlignment="1">
      <alignment vertical="center"/>
    </xf>
    <xf numFmtId="0" fontId="48" fillId="2" borderId="67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8" fillId="2" borderId="68" xfId="0" applyFont="1" applyFill="1" applyBorder="1" applyAlignment="1">
      <alignment horizontal="center" vertical="center"/>
    </xf>
    <xf numFmtId="1" fontId="41" fillId="0" borderId="12" xfId="0" applyNumberFormat="1" applyFont="1" applyBorder="1" applyAlignment="1">
      <alignment horizontal="center" vertical="center"/>
    </xf>
    <xf numFmtId="1" fontId="46" fillId="2" borderId="12" xfId="0" applyNumberFormat="1" applyFont="1" applyFill="1" applyBorder="1" applyAlignment="1">
      <alignment horizontal="center" vertical="center"/>
    </xf>
    <xf numFmtId="0" fontId="41" fillId="2" borderId="0" xfId="0" applyFont="1" applyFill="1"/>
    <xf numFmtId="0" fontId="55" fillId="2" borderId="0" xfId="0" applyFont="1" applyFill="1" applyAlignment="1">
      <alignment horizontal="right"/>
    </xf>
    <xf numFmtId="0" fontId="54" fillId="0" borderId="20" xfId="0" applyFont="1" applyBorder="1" applyAlignment="1">
      <alignment horizontal="center" vertical="center" wrapText="1"/>
    </xf>
    <xf numFmtId="0" fontId="54" fillId="0" borderId="47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vertical="center" wrapText="1"/>
    </xf>
    <xf numFmtId="0" fontId="46" fillId="2" borderId="42" xfId="0" applyFont="1" applyFill="1" applyBorder="1" applyAlignment="1">
      <alignment vertical="center"/>
    </xf>
    <xf numFmtId="1" fontId="46" fillId="2" borderId="5" xfId="0" applyNumberFormat="1" applyFont="1" applyFill="1" applyBorder="1" applyAlignment="1">
      <alignment horizontal="center" vertical="center"/>
    </xf>
    <xf numFmtId="0" fontId="46" fillId="0" borderId="72" xfId="0" applyFont="1" applyBorder="1" applyAlignment="1">
      <alignment horizontal="center" vertical="center"/>
    </xf>
    <xf numFmtId="1" fontId="46" fillId="0" borderId="72" xfId="0" applyNumberFormat="1" applyFont="1" applyBorder="1" applyAlignment="1">
      <alignment horizontal="center" vertical="center"/>
    </xf>
    <xf numFmtId="1" fontId="46" fillId="2" borderId="72" xfId="0" applyNumberFormat="1" applyFont="1" applyFill="1" applyBorder="1" applyAlignment="1">
      <alignment horizontal="center" vertical="center"/>
    </xf>
    <xf numFmtId="0" fontId="46" fillId="0" borderId="71" xfId="0" applyFont="1" applyBorder="1" applyAlignment="1">
      <alignment horizontal="center" vertical="center"/>
    </xf>
    <xf numFmtId="0" fontId="46" fillId="2" borderId="35" xfId="0" applyFont="1" applyFill="1" applyBorder="1" applyAlignment="1">
      <alignment vertical="center"/>
    </xf>
    <xf numFmtId="1" fontId="46" fillId="2" borderId="51" xfId="0" applyNumberFormat="1" applyFont="1" applyFill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1" fontId="46" fillId="2" borderId="22" xfId="0" applyNumberFormat="1" applyFont="1" applyFill="1" applyBorder="1" applyAlignment="1">
      <alignment horizontal="center" vertical="center"/>
    </xf>
    <xf numFmtId="0" fontId="46" fillId="0" borderId="55" xfId="0" applyFont="1" applyBorder="1" applyAlignment="1">
      <alignment horizontal="center" vertical="center"/>
    </xf>
    <xf numFmtId="0" fontId="46" fillId="2" borderId="43" xfId="0" applyFont="1" applyFill="1" applyBorder="1" applyAlignment="1">
      <alignment horizontal="left" vertical="center"/>
    </xf>
    <xf numFmtId="1" fontId="54" fillId="2" borderId="13" xfId="0" applyNumberFormat="1" applyFont="1" applyFill="1" applyBorder="1" applyAlignment="1">
      <alignment horizontal="center" vertical="center"/>
    </xf>
    <xf numFmtId="1" fontId="54" fillId="0" borderId="12" xfId="0" applyNumberFormat="1" applyFont="1" applyBorder="1" applyAlignment="1">
      <alignment horizontal="center" vertical="center"/>
    </xf>
    <xf numFmtId="1" fontId="54" fillId="2" borderId="12" xfId="0" applyNumberFormat="1" applyFont="1" applyFill="1" applyBorder="1" applyAlignment="1">
      <alignment horizontal="center" vertical="center"/>
    </xf>
    <xf numFmtId="1" fontId="54" fillId="0" borderId="46" xfId="0" applyNumberFormat="1" applyFont="1" applyBorder="1" applyAlignment="1">
      <alignment horizontal="center" vertical="center"/>
    </xf>
    <xf numFmtId="0" fontId="46" fillId="2" borderId="43" xfId="0" applyFont="1" applyFill="1" applyBorder="1" applyAlignment="1">
      <alignment vertical="center"/>
    </xf>
    <xf numFmtId="1" fontId="46" fillId="2" borderId="13" xfId="0" applyNumberFormat="1" applyFont="1" applyFill="1" applyBorder="1" applyAlignment="1">
      <alignment horizontal="center" vertical="center"/>
    </xf>
    <xf numFmtId="1" fontId="46" fillId="0" borderId="12" xfId="0" applyNumberFormat="1" applyFont="1" applyBorder="1" applyAlignment="1">
      <alignment horizontal="center" vertical="center"/>
    </xf>
    <xf numFmtId="1" fontId="46" fillId="0" borderId="46" xfId="0" applyNumberFormat="1" applyFont="1" applyBorder="1" applyAlignment="1">
      <alignment horizontal="center" vertical="center"/>
    </xf>
    <xf numFmtId="0" fontId="46" fillId="2" borderId="43" xfId="0" applyFont="1" applyFill="1" applyBorder="1" applyAlignment="1">
      <alignment vertical="center" wrapText="1"/>
    </xf>
    <xf numFmtId="0" fontId="54" fillId="2" borderId="43" xfId="0" applyFont="1" applyFill="1" applyBorder="1" applyAlignment="1">
      <alignment vertical="center"/>
    </xf>
    <xf numFmtId="0" fontId="46" fillId="2" borderId="43" xfId="0" applyFont="1" applyFill="1" applyBorder="1" applyAlignment="1">
      <alignment horizontal="right" vertical="center"/>
    </xf>
    <xf numFmtId="0" fontId="46" fillId="2" borderId="53" xfId="0" applyFont="1" applyFill="1" applyBorder="1" applyAlignment="1">
      <alignment horizontal="right" vertical="center"/>
    </xf>
    <xf numFmtId="1" fontId="46" fillId="2" borderId="66" xfId="0" applyNumberFormat="1" applyFont="1" applyFill="1" applyBorder="1" applyAlignment="1">
      <alignment horizontal="center" vertical="center"/>
    </xf>
    <xf numFmtId="0" fontId="46" fillId="0" borderId="67" xfId="0" applyFont="1" applyBorder="1" applyAlignment="1">
      <alignment horizontal="center" vertical="center"/>
    </xf>
    <xf numFmtId="1" fontId="46" fillId="0" borderId="67" xfId="0" applyNumberFormat="1" applyFont="1" applyBorder="1" applyAlignment="1">
      <alignment horizontal="center" vertical="center"/>
    </xf>
    <xf numFmtId="1" fontId="46" fillId="2" borderId="67" xfId="0" applyNumberFormat="1" applyFont="1" applyFill="1" applyBorder="1" applyAlignment="1">
      <alignment horizontal="center" vertical="center"/>
    </xf>
    <xf numFmtId="1" fontId="46" fillId="0" borderId="68" xfId="0" applyNumberFormat="1" applyFont="1" applyBorder="1" applyAlignment="1">
      <alignment horizontal="center" vertical="center"/>
    </xf>
    <xf numFmtId="0" fontId="54" fillId="2" borderId="42" xfId="0" applyFont="1" applyFill="1" applyBorder="1" applyAlignment="1">
      <alignment vertical="center"/>
    </xf>
    <xf numFmtId="1" fontId="54" fillId="2" borderId="5" xfId="0" applyNumberFormat="1" applyFont="1" applyFill="1" applyBorder="1" applyAlignment="1">
      <alignment horizontal="center" vertical="center"/>
    </xf>
    <xf numFmtId="1" fontId="54" fillId="0" borderId="72" xfId="0" applyNumberFormat="1" applyFont="1" applyBorder="1" applyAlignment="1">
      <alignment horizontal="center" vertical="center"/>
    </xf>
    <xf numFmtId="1" fontId="54" fillId="2" borderId="72" xfId="0" applyNumberFormat="1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/>
    </xf>
    <xf numFmtId="1" fontId="54" fillId="0" borderId="71" xfId="0" applyNumberFormat="1" applyFont="1" applyBorder="1" applyAlignment="1">
      <alignment horizontal="center" vertical="center"/>
    </xf>
    <xf numFmtId="0" fontId="46" fillId="2" borderId="13" xfId="0" applyFont="1" applyFill="1" applyBorder="1" applyAlignment="1">
      <alignment horizontal="center" vertical="center"/>
    </xf>
    <xf numFmtId="0" fontId="46" fillId="2" borderId="66" xfId="0" applyFont="1" applyFill="1" applyBorder="1" applyAlignment="1">
      <alignment horizontal="center" vertical="center"/>
    </xf>
    <xf numFmtId="1" fontId="46" fillId="0" borderId="71" xfId="0" applyNumberFormat="1" applyFont="1" applyBorder="1" applyAlignment="1">
      <alignment horizontal="center" vertical="center"/>
    </xf>
    <xf numFmtId="0" fontId="46" fillId="2" borderId="53" xfId="0" applyFont="1" applyFill="1" applyBorder="1" applyAlignment="1">
      <alignment vertical="center"/>
    </xf>
    <xf numFmtId="1" fontId="54" fillId="2" borderId="51" xfId="0" applyNumberFormat="1" applyFont="1" applyFill="1" applyBorder="1" applyAlignment="1">
      <alignment horizontal="center" vertical="center"/>
    </xf>
    <xf numFmtId="1" fontId="54" fillId="0" borderId="22" xfId="0" applyNumberFormat="1" applyFont="1" applyBorder="1" applyAlignment="1">
      <alignment horizontal="center" vertical="center"/>
    </xf>
    <xf numFmtId="1" fontId="54" fillId="2" borderId="22" xfId="0" applyNumberFormat="1" applyFont="1" applyFill="1" applyBorder="1" applyAlignment="1">
      <alignment horizontal="center" vertical="center"/>
    </xf>
    <xf numFmtId="0" fontId="54" fillId="2" borderId="51" xfId="0" applyFont="1" applyFill="1" applyBorder="1" applyAlignment="1">
      <alignment horizontal="center" vertical="center"/>
    </xf>
    <xf numFmtId="1" fontId="54" fillId="0" borderId="55" xfId="0" applyNumberFormat="1" applyFont="1" applyBorder="1" applyAlignment="1">
      <alignment horizontal="center" vertical="center"/>
    </xf>
    <xf numFmtId="0" fontId="54" fillId="2" borderId="13" xfId="0" applyFont="1" applyFill="1" applyBorder="1" applyAlignment="1">
      <alignment horizontal="center" vertical="center"/>
    </xf>
    <xf numFmtId="0" fontId="54" fillId="0" borderId="67" xfId="0" applyFont="1" applyBorder="1" applyAlignment="1">
      <alignment horizontal="center" vertical="center" wrapText="1"/>
    </xf>
    <xf numFmtId="0" fontId="54" fillId="0" borderId="68" xfId="0" applyFont="1" applyBorder="1" applyAlignment="1">
      <alignment horizontal="center" vertical="center" wrapText="1"/>
    </xf>
    <xf numFmtId="0" fontId="54" fillId="2" borderId="66" xfId="0" applyFont="1" applyFill="1" applyBorder="1" applyAlignment="1">
      <alignment horizontal="center" vertical="center" wrapText="1"/>
    </xf>
    <xf numFmtId="0" fontId="46" fillId="2" borderId="4" xfId="0" applyFont="1" applyFill="1" applyBorder="1" applyAlignment="1">
      <alignment vertical="center"/>
    </xf>
    <xf numFmtId="1" fontId="41" fillId="2" borderId="56" xfId="0" applyNumberFormat="1" applyFont="1" applyFill="1" applyBorder="1" applyAlignment="1">
      <alignment horizontal="center" vertical="center" wrapText="1"/>
    </xf>
    <xf numFmtId="1" fontId="41" fillId="0" borderId="22" xfId="0" applyNumberFormat="1" applyFont="1" applyBorder="1" applyAlignment="1">
      <alignment horizontal="center" vertical="center" wrapText="1"/>
    </xf>
    <xf numFmtId="1" fontId="41" fillId="0" borderId="55" xfId="0" applyNumberFormat="1" applyFont="1" applyBorder="1" applyAlignment="1">
      <alignment horizontal="center" vertical="center" wrapText="1"/>
    </xf>
    <xf numFmtId="1" fontId="41" fillId="2" borderId="14" xfId="0" applyNumberFormat="1" applyFont="1" applyFill="1" applyBorder="1" applyAlignment="1">
      <alignment horizontal="center" vertical="center" wrapText="1"/>
    </xf>
    <xf numFmtId="1" fontId="41" fillId="0" borderId="12" xfId="0" applyNumberFormat="1" applyFont="1" applyBorder="1" applyAlignment="1">
      <alignment horizontal="center" vertical="center" wrapText="1"/>
    </xf>
    <xf numFmtId="1" fontId="41" fillId="0" borderId="46" xfId="0" applyNumberFormat="1" applyFont="1" applyBorder="1" applyAlignment="1">
      <alignment horizontal="center" vertical="center" wrapText="1"/>
    </xf>
    <xf numFmtId="1" fontId="55" fillId="2" borderId="14" xfId="0" applyNumberFormat="1" applyFont="1" applyFill="1" applyBorder="1" applyAlignment="1">
      <alignment horizontal="center" vertical="center" wrapText="1"/>
    </xf>
    <xf numFmtId="1" fontId="55" fillId="0" borderId="12" xfId="0" applyNumberFormat="1" applyFont="1" applyBorder="1" applyAlignment="1">
      <alignment horizontal="center" vertical="center" wrapText="1"/>
    </xf>
    <xf numFmtId="1" fontId="55" fillId="0" borderId="46" xfId="0" applyNumberFormat="1" applyFont="1" applyBorder="1" applyAlignment="1">
      <alignment horizontal="center" vertical="center" wrapText="1"/>
    </xf>
    <xf numFmtId="1" fontId="41" fillId="0" borderId="63" xfId="0" applyNumberFormat="1" applyFont="1" applyBorder="1" applyAlignment="1">
      <alignment horizontal="center" vertical="center" wrapText="1"/>
    </xf>
    <xf numFmtId="1" fontId="41" fillId="0" borderId="14" xfId="0" applyNumberFormat="1" applyFont="1" applyBorder="1" applyAlignment="1">
      <alignment horizontal="center" vertical="center" wrapText="1"/>
    </xf>
    <xf numFmtId="0" fontId="54" fillId="2" borderId="4" xfId="0" applyFont="1" applyFill="1" applyBorder="1" applyAlignment="1">
      <alignment vertical="center"/>
    </xf>
    <xf numFmtId="1" fontId="41" fillId="2" borderId="14" xfId="0" applyNumberFormat="1" applyFont="1" applyFill="1" applyBorder="1" applyAlignment="1">
      <alignment horizontal="center" vertical="center"/>
    </xf>
    <xf numFmtId="1" fontId="41" fillId="0" borderId="46" xfId="0" applyNumberFormat="1" applyFont="1" applyBorder="1" applyAlignment="1">
      <alignment horizontal="center" vertical="center"/>
    </xf>
    <xf numFmtId="1" fontId="55" fillId="2" borderId="14" xfId="0" applyNumberFormat="1" applyFont="1" applyFill="1" applyBorder="1" applyAlignment="1">
      <alignment horizontal="center" vertical="center"/>
    </xf>
    <xf numFmtId="1" fontId="55" fillId="0" borderId="12" xfId="0" applyNumberFormat="1" applyFont="1" applyBorder="1" applyAlignment="1">
      <alignment horizontal="center" vertical="center"/>
    </xf>
    <xf numFmtId="1" fontId="55" fillId="0" borderId="46" xfId="0" applyNumberFormat="1" applyFont="1" applyBorder="1" applyAlignment="1">
      <alignment horizontal="center" vertical="center"/>
    </xf>
    <xf numFmtId="1" fontId="96" fillId="2" borderId="40" xfId="0" applyNumberFormat="1" applyFont="1" applyFill="1" applyBorder="1" applyAlignment="1">
      <alignment horizontal="center" vertical="center"/>
    </xf>
    <xf numFmtId="1" fontId="96" fillId="0" borderId="67" xfId="0" applyNumberFormat="1" applyFont="1" applyBorder="1" applyAlignment="1">
      <alignment horizontal="center" vertical="center"/>
    </xf>
    <xf numFmtId="1" fontId="96" fillId="0" borderId="68" xfId="0" applyNumberFormat="1" applyFont="1" applyBorder="1" applyAlignment="1">
      <alignment horizontal="center" vertical="center"/>
    </xf>
    <xf numFmtId="0" fontId="54" fillId="2" borderId="67" xfId="0" applyFont="1" applyFill="1" applyBorder="1" applyAlignment="1">
      <alignment horizontal="center" vertical="center" wrapText="1"/>
    </xf>
    <xf numFmtId="0" fontId="41" fillId="0" borderId="56" xfId="0" applyFont="1" applyBorder="1"/>
    <xf numFmtId="0" fontId="41" fillId="0" borderId="72" xfId="0" applyFont="1" applyBorder="1"/>
    <xf numFmtId="0" fontId="41" fillId="0" borderId="14" xfId="0" applyFont="1" applyBorder="1"/>
    <xf numFmtId="0" fontId="41" fillId="0" borderId="63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0" fontId="41" fillId="0" borderId="27" xfId="0" applyFont="1" applyBorder="1" applyAlignment="1">
      <alignment horizontal="center"/>
    </xf>
    <xf numFmtId="0" fontId="41" fillId="0" borderId="49" xfId="0" applyFont="1" applyBorder="1" applyAlignment="1">
      <alignment horizontal="center"/>
    </xf>
    <xf numFmtId="0" fontId="41" fillId="0" borderId="40" xfId="0" applyFont="1" applyBorder="1"/>
    <xf numFmtId="0" fontId="41" fillId="0" borderId="67" xfId="0" applyFont="1" applyBorder="1"/>
    <xf numFmtId="14" fontId="55" fillId="2" borderId="0" xfId="0" applyNumberFormat="1" applyFont="1" applyFill="1" applyAlignment="1">
      <alignment horizontal="left" vertical="center"/>
    </xf>
    <xf numFmtId="0" fontId="54" fillId="0" borderId="66" xfId="0" applyFont="1" applyBorder="1" applyAlignment="1">
      <alignment horizontal="center" vertical="center" wrapText="1"/>
    </xf>
    <xf numFmtId="0" fontId="54" fillId="0" borderId="39" xfId="0" applyFont="1" applyBorder="1" applyAlignment="1">
      <alignment horizontal="center" vertical="center" wrapText="1"/>
    </xf>
    <xf numFmtId="0" fontId="54" fillId="0" borderId="7" xfId="0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 wrapText="1"/>
    </xf>
    <xf numFmtId="0" fontId="54" fillId="0" borderId="48" xfId="0" applyFont="1" applyBorder="1" applyAlignment="1">
      <alignment horizontal="center" vertical="center" wrapText="1"/>
    </xf>
    <xf numFmtId="0" fontId="54" fillId="2" borderId="1" xfId="0" applyFont="1" applyFill="1" applyBorder="1" applyAlignment="1">
      <alignment vertical="center"/>
    </xf>
    <xf numFmtId="0" fontId="46" fillId="0" borderId="5" xfId="0" applyFont="1" applyBorder="1" applyAlignment="1">
      <alignment horizontal="center" vertical="center"/>
    </xf>
    <xf numFmtId="1" fontId="46" fillId="2" borderId="71" xfId="0" applyNumberFormat="1" applyFont="1" applyFill="1" applyBorder="1" applyAlignment="1">
      <alignment horizontal="center" vertical="center"/>
    </xf>
    <xf numFmtId="0" fontId="41" fillId="0" borderId="4" xfId="0" applyFont="1" applyBorder="1" applyAlignment="1">
      <alignment horizontal="left" vertical="center"/>
    </xf>
    <xf numFmtId="1" fontId="55" fillId="0" borderId="13" xfId="0" applyNumberFormat="1" applyFont="1" applyBorder="1" applyAlignment="1">
      <alignment horizontal="center" vertical="center"/>
    </xf>
    <xf numFmtId="1" fontId="46" fillId="2" borderId="46" xfId="0" applyNumberFormat="1" applyFont="1" applyFill="1" applyBorder="1" applyAlignment="1">
      <alignment horizontal="center" vertical="center"/>
    </xf>
    <xf numFmtId="0" fontId="46" fillId="2" borderId="84" xfId="0" applyFont="1" applyFill="1" applyBorder="1" applyAlignment="1">
      <alignment vertical="center"/>
    </xf>
    <xf numFmtId="1" fontId="46" fillId="2" borderId="85" xfId="0" applyNumberFormat="1" applyFont="1" applyFill="1" applyBorder="1" applyAlignment="1">
      <alignment horizontal="center" vertical="center"/>
    </xf>
    <xf numFmtId="0" fontId="54" fillId="2" borderId="73" xfId="0" applyFont="1" applyFill="1" applyBorder="1" applyAlignment="1">
      <alignment vertical="center"/>
    </xf>
    <xf numFmtId="1" fontId="46" fillId="0" borderId="51" xfId="0" applyNumberFormat="1" applyFont="1" applyBorder="1" applyAlignment="1">
      <alignment horizontal="center" vertical="center"/>
    </xf>
    <xf numFmtId="1" fontId="46" fillId="2" borderId="55" xfId="0" applyNumberFormat="1" applyFont="1" applyFill="1" applyBorder="1" applyAlignment="1">
      <alignment horizontal="center" vertical="center"/>
    </xf>
    <xf numFmtId="1" fontId="46" fillId="0" borderId="13" xfId="0" applyNumberFormat="1" applyFont="1" applyBorder="1" applyAlignment="1">
      <alignment horizontal="center" vertical="center"/>
    </xf>
    <xf numFmtId="0" fontId="46" fillId="2" borderId="81" xfId="0" applyFont="1" applyFill="1" applyBorder="1" applyAlignment="1">
      <alignment horizontal="center" vertical="center"/>
    </xf>
    <xf numFmtId="1" fontId="46" fillId="2" borderId="82" xfId="0" applyNumberFormat="1" applyFont="1" applyFill="1" applyBorder="1" applyAlignment="1">
      <alignment horizontal="center" vertical="center"/>
    </xf>
    <xf numFmtId="0" fontId="46" fillId="2" borderId="51" xfId="0" applyFont="1" applyFill="1" applyBorder="1" applyAlignment="1">
      <alignment horizontal="center" vertical="center"/>
    </xf>
    <xf numFmtId="1" fontId="54" fillId="0" borderId="13" xfId="0" applyNumberFormat="1" applyFont="1" applyBorder="1" applyAlignment="1">
      <alignment horizontal="center" vertical="center"/>
    </xf>
    <xf numFmtId="1" fontId="54" fillId="2" borderId="46" xfId="0" applyNumberFormat="1" applyFont="1" applyFill="1" applyBorder="1" applyAlignment="1">
      <alignment horizontal="center" vertical="center"/>
    </xf>
    <xf numFmtId="0" fontId="46" fillId="2" borderId="10" xfId="0" applyFont="1" applyFill="1" applyBorder="1" applyAlignment="1">
      <alignment vertical="center"/>
    </xf>
    <xf numFmtId="1" fontId="46" fillId="2" borderId="68" xfId="0" applyNumberFormat="1" applyFont="1" applyFill="1" applyBorder="1" applyAlignment="1">
      <alignment horizontal="center" vertical="center"/>
    </xf>
    <xf numFmtId="0" fontId="95" fillId="0" borderId="34" xfId="0" applyFont="1" applyBorder="1" applyAlignment="1">
      <alignment horizontal="center" vertical="center"/>
    </xf>
    <xf numFmtId="0" fontId="46" fillId="2" borderId="1" xfId="0" applyFont="1" applyFill="1" applyBorder="1" applyAlignment="1">
      <alignment vertical="center"/>
    </xf>
    <xf numFmtId="0" fontId="41" fillId="0" borderId="71" xfId="0" applyFont="1" applyBorder="1"/>
    <xf numFmtId="0" fontId="41" fillId="0" borderId="5" xfId="0" applyFont="1" applyBorder="1"/>
    <xf numFmtId="0" fontId="54" fillId="2" borderId="15" xfId="0" applyFont="1" applyFill="1" applyBorder="1" applyAlignment="1">
      <alignment vertical="center"/>
    </xf>
    <xf numFmtId="0" fontId="41" fillId="0" borderId="75" xfId="0" applyFont="1" applyBorder="1"/>
    <xf numFmtId="0" fontId="41" fillId="0" borderId="74" xfId="0" applyFont="1" applyBorder="1"/>
    <xf numFmtId="0" fontId="41" fillId="0" borderId="2" xfId="0" applyFont="1" applyBorder="1"/>
    <xf numFmtId="0" fontId="54" fillId="2" borderId="22" xfId="0" applyFont="1" applyFill="1" applyBorder="1" applyAlignment="1">
      <alignment horizontal="center" vertical="center"/>
    </xf>
    <xf numFmtId="0" fontId="55" fillId="0" borderId="12" xfId="0" applyFont="1" applyBorder="1" applyAlignment="1">
      <alignment horizontal="center" vertical="center"/>
    </xf>
    <xf numFmtId="0" fontId="41" fillId="0" borderId="46" xfId="0" applyFont="1" applyBorder="1"/>
    <xf numFmtId="0" fontId="41" fillId="0" borderId="13" xfId="0" applyFont="1" applyBorder="1"/>
    <xf numFmtId="0" fontId="41" fillId="0" borderId="68" xfId="0" applyFont="1" applyBorder="1"/>
    <xf numFmtId="0" fontId="41" fillId="0" borderId="66" xfId="0" applyFont="1" applyBorder="1"/>
    <xf numFmtId="0" fontId="54" fillId="2" borderId="53" xfId="0" applyFont="1" applyFill="1" applyBorder="1" applyAlignment="1">
      <alignment vertical="center"/>
    </xf>
    <xf numFmtId="1" fontId="46" fillId="0" borderId="55" xfId="18" applyNumberFormat="1" applyFont="1" applyFill="1" applyBorder="1" applyAlignment="1">
      <alignment horizontal="center" vertical="center"/>
    </xf>
    <xf numFmtId="1" fontId="46" fillId="2" borderId="12" xfId="18" applyNumberFormat="1" applyFont="1" applyFill="1" applyBorder="1" applyAlignment="1">
      <alignment horizontal="center" vertical="center"/>
    </xf>
    <xf numFmtId="1" fontId="54" fillId="2" borderId="12" xfId="18" applyNumberFormat="1" applyFont="1" applyFill="1" applyBorder="1" applyAlignment="1">
      <alignment horizontal="center" vertical="center"/>
    </xf>
    <xf numFmtId="0" fontId="46" fillId="2" borderId="6" xfId="0" applyFont="1" applyFill="1" applyBorder="1" applyAlignment="1">
      <alignment horizontal="center" vertical="center"/>
    </xf>
    <xf numFmtId="0" fontId="46" fillId="2" borderId="14" xfId="0" applyFont="1" applyFill="1" applyBorder="1" applyAlignment="1">
      <alignment horizontal="center" vertical="center"/>
    </xf>
    <xf numFmtId="0" fontId="46" fillId="2" borderId="40" xfId="0" applyFont="1" applyFill="1" applyBorder="1" applyAlignment="1">
      <alignment horizontal="center" vertical="center"/>
    </xf>
    <xf numFmtId="1" fontId="46" fillId="0" borderId="5" xfId="0" applyNumberFormat="1" applyFont="1" applyBorder="1" applyAlignment="1">
      <alignment horizontal="center" vertical="center"/>
    </xf>
    <xf numFmtId="1" fontId="46" fillId="2" borderId="72" xfId="18" applyNumberFormat="1" applyFont="1" applyFill="1" applyBorder="1" applyAlignment="1">
      <alignment horizontal="center" vertical="center"/>
    </xf>
    <xf numFmtId="1" fontId="46" fillId="0" borderId="71" xfId="18" applyNumberFormat="1" applyFont="1" applyFill="1" applyBorder="1" applyAlignment="1">
      <alignment horizontal="center" vertical="center"/>
    </xf>
    <xf numFmtId="1" fontId="46" fillId="0" borderId="46" xfId="18" applyNumberFormat="1" applyFont="1" applyFill="1" applyBorder="1" applyAlignment="1">
      <alignment horizontal="center" vertical="center"/>
    </xf>
    <xf numFmtId="0" fontId="54" fillId="2" borderId="56" xfId="0" applyFont="1" applyFill="1" applyBorder="1" applyAlignment="1">
      <alignment horizontal="center" vertical="center"/>
    </xf>
    <xf numFmtId="0" fontId="54" fillId="2" borderId="14" xfId="0" applyFont="1" applyFill="1" applyBorder="1" applyAlignment="1">
      <alignment horizontal="center" vertical="center"/>
    </xf>
    <xf numFmtId="1" fontId="46" fillId="2" borderId="67" xfId="18" applyNumberFormat="1" applyFont="1" applyFill="1" applyBorder="1" applyAlignment="1">
      <alignment horizontal="center" vertical="center"/>
    </xf>
    <xf numFmtId="1" fontId="46" fillId="0" borderId="68" xfId="18" applyNumberFormat="1" applyFont="1" applyFill="1" applyBorder="1" applyAlignment="1">
      <alignment horizontal="center" vertical="center"/>
    </xf>
    <xf numFmtId="1" fontId="54" fillId="2" borderId="66" xfId="0" applyNumberFormat="1" applyFont="1" applyFill="1" applyBorder="1" applyAlignment="1">
      <alignment horizontal="center" vertical="center"/>
    </xf>
    <xf numFmtId="0" fontId="95" fillId="2" borderId="53" xfId="0" applyFont="1" applyFill="1" applyBorder="1" applyAlignment="1">
      <alignment vertical="center"/>
    </xf>
    <xf numFmtId="1" fontId="41" fillId="0" borderId="72" xfId="0" applyNumberFormat="1" applyFont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67" xfId="0" applyFont="1" applyBorder="1" applyAlignment="1">
      <alignment horizontal="center" vertical="center"/>
    </xf>
    <xf numFmtId="1" fontId="41" fillId="0" borderId="14" xfId="0" applyNumberFormat="1" applyFont="1" applyBorder="1" applyAlignment="1">
      <alignment horizontal="center"/>
    </xf>
    <xf numFmtId="1" fontId="41" fillId="0" borderId="14" xfId="0" applyNumberFormat="1" applyFont="1" applyBorder="1" applyAlignment="1">
      <alignment horizontal="center" vertical="center"/>
    </xf>
    <xf numFmtId="1" fontId="46" fillId="2" borderId="6" xfId="0" applyNumberFormat="1" applyFont="1" applyFill="1" applyBorder="1" applyAlignment="1">
      <alignment horizontal="center" vertical="center"/>
    </xf>
    <xf numFmtId="1" fontId="46" fillId="2" borderId="56" xfId="0" applyNumberFormat="1" applyFont="1" applyFill="1" applyBorder="1" applyAlignment="1">
      <alignment horizontal="center" vertical="center"/>
    </xf>
    <xf numFmtId="1" fontId="54" fillId="2" borderId="14" xfId="0" applyNumberFormat="1" applyFont="1" applyFill="1" applyBorder="1" applyAlignment="1">
      <alignment horizontal="center" vertical="center"/>
    </xf>
    <xf numFmtId="1" fontId="46" fillId="2" borderId="14" xfId="0" applyNumberFormat="1" applyFont="1" applyFill="1" applyBorder="1" applyAlignment="1">
      <alignment horizontal="center" vertical="center"/>
    </xf>
    <xf numFmtId="1" fontId="46" fillId="2" borderId="40" xfId="0" applyNumberFormat="1" applyFont="1" applyFill="1" applyBorder="1" applyAlignment="1">
      <alignment horizontal="center" vertical="center"/>
    </xf>
    <xf numFmtId="1" fontId="54" fillId="0" borderId="46" xfId="18" applyNumberFormat="1" applyFont="1" applyFill="1" applyBorder="1" applyAlignment="1">
      <alignment horizontal="center" vertical="center"/>
    </xf>
    <xf numFmtId="0" fontId="54" fillId="2" borderId="6" xfId="0" applyFont="1" applyFill="1" applyBorder="1" applyAlignment="1">
      <alignment horizontal="center" vertical="center"/>
    </xf>
    <xf numFmtId="165" fontId="55" fillId="0" borderId="13" xfId="0" applyNumberFormat="1" applyFont="1" applyBorder="1" applyAlignment="1">
      <alignment horizontal="center" vertical="center"/>
    </xf>
    <xf numFmtId="165" fontId="46" fillId="0" borderId="13" xfId="0" applyNumberFormat="1" applyFont="1" applyBorder="1" applyAlignment="1">
      <alignment horizontal="center" vertical="center"/>
    </xf>
    <xf numFmtId="165" fontId="46" fillId="0" borderId="81" xfId="0" applyNumberFormat="1" applyFont="1" applyBorder="1" applyAlignment="1">
      <alignment horizontal="center" vertical="center"/>
    </xf>
    <xf numFmtId="1" fontId="41" fillId="0" borderId="13" xfId="0" applyNumberFormat="1" applyFont="1" applyBorder="1" applyAlignment="1">
      <alignment horizontal="center" vertical="center"/>
    </xf>
    <xf numFmtId="1" fontId="55" fillId="0" borderId="66" xfId="0" applyNumberFormat="1" applyFont="1" applyBorder="1" applyAlignment="1">
      <alignment horizontal="center" vertical="center"/>
    </xf>
    <xf numFmtId="1" fontId="55" fillId="0" borderId="67" xfId="0" applyNumberFormat="1" applyFont="1" applyBorder="1" applyAlignment="1">
      <alignment horizontal="center" vertical="center"/>
    </xf>
    <xf numFmtId="165" fontId="46" fillId="2" borderId="46" xfId="0" applyNumberFormat="1" applyFont="1" applyFill="1" applyBorder="1" applyAlignment="1">
      <alignment horizontal="center" vertical="center"/>
    </xf>
    <xf numFmtId="165" fontId="46" fillId="2" borderId="85" xfId="0" applyNumberFormat="1" applyFont="1" applyFill="1" applyBorder="1" applyAlignment="1">
      <alignment horizontal="center" vertical="center"/>
    </xf>
    <xf numFmtId="2" fontId="46" fillId="2" borderId="46" xfId="0" applyNumberFormat="1" applyFont="1" applyFill="1" applyBorder="1" applyAlignment="1">
      <alignment horizontal="center" vertical="center"/>
    </xf>
    <xf numFmtId="168" fontId="54" fillId="0" borderId="13" xfId="0" applyNumberFormat="1" applyFont="1" applyBorder="1" applyAlignment="1">
      <alignment horizontal="center" vertical="center"/>
    </xf>
    <xf numFmtId="168" fontId="54" fillId="2" borderId="46" xfId="0" applyNumberFormat="1" applyFont="1" applyFill="1" applyBorder="1" applyAlignment="1">
      <alignment horizontal="center" vertical="center"/>
    </xf>
    <xf numFmtId="165" fontId="55" fillId="0" borderId="12" xfId="0" applyNumberFormat="1" applyFont="1" applyBorder="1" applyAlignment="1">
      <alignment horizontal="center" vertical="center"/>
    </xf>
    <xf numFmtId="165" fontId="55" fillId="0" borderId="63" xfId="0" applyNumberFormat="1" applyFont="1" applyBorder="1" applyAlignment="1">
      <alignment horizontal="center" vertical="center"/>
    </xf>
    <xf numFmtId="14" fontId="95" fillId="2" borderId="0" xfId="0" applyNumberFormat="1" applyFont="1" applyFill="1"/>
    <xf numFmtId="165" fontId="46" fillId="0" borderId="12" xfId="0" applyNumberFormat="1" applyFont="1" applyBorder="1" applyAlignment="1">
      <alignment horizontal="center" vertical="center"/>
    </xf>
    <xf numFmtId="168" fontId="54" fillId="0" borderId="12" xfId="0" applyNumberFormat="1" applyFont="1" applyBorder="1" applyAlignment="1">
      <alignment horizontal="center" vertical="center"/>
    </xf>
    <xf numFmtId="1" fontId="46" fillId="2" borderId="43" xfId="0" applyNumberFormat="1" applyFont="1" applyFill="1" applyBorder="1" applyAlignment="1">
      <alignment horizontal="center" vertical="center"/>
    </xf>
    <xf numFmtId="1" fontId="54" fillId="2" borderId="43" xfId="0" applyNumberFormat="1" applyFont="1" applyFill="1" applyBorder="1" applyAlignment="1">
      <alignment horizontal="center" vertical="center"/>
    </xf>
    <xf numFmtId="0" fontId="46" fillId="2" borderId="43" xfId="0" applyFont="1" applyFill="1" applyBorder="1" applyAlignment="1">
      <alignment horizontal="center" vertical="center"/>
    </xf>
    <xf numFmtId="1" fontId="54" fillId="2" borderId="89" xfId="0" applyNumberFormat="1" applyFont="1" applyFill="1" applyBorder="1" applyAlignment="1">
      <alignment horizontal="center" vertical="center"/>
    </xf>
    <xf numFmtId="165" fontId="46" fillId="2" borderId="12" xfId="0" applyNumberFormat="1" applyFont="1" applyFill="1" applyBorder="1" applyAlignment="1">
      <alignment horizontal="center" vertical="center"/>
    </xf>
    <xf numFmtId="168" fontId="54" fillId="2" borderId="12" xfId="0" applyNumberFormat="1" applyFont="1" applyFill="1" applyBorder="1" applyAlignment="1">
      <alignment horizontal="center" vertical="center"/>
    </xf>
    <xf numFmtId="2" fontId="46" fillId="0" borderId="12" xfId="0" applyNumberFormat="1" applyFont="1" applyBorder="1" applyAlignment="1">
      <alignment horizontal="center" vertical="center"/>
    </xf>
    <xf numFmtId="1" fontId="46" fillId="2" borderId="42" xfId="0" applyNumberFormat="1" applyFont="1" applyFill="1" applyBorder="1" applyAlignment="1">
      <alignment horizontal="center" vertical="center"/>
    </xf>
    <xf numFmtId="1" fontId="55" fillId="0" borderId="43" xfId="0" applyNumberFormat="1" applyFont="1" applyBorder="1" applyAlignment="1">
      <alignment horizontal="center" vertical="center"/>
    </xf>
    <xf numFmtId="1" fontId="46" fillId="2" borderId="35" xfId="0" applyNumberFormat="1" applyFont="1" applyFill="1" applyBorder="1" applyAlignment="1">
      <alignment horizontal="center" vertical="center"/>
    </xf>
    <xf numFmtId="0" fontId="46" fillId="2" borderId="79" xfId="0" applyFont="1" applyFill="1" applyBorder="1" applyAlignment="1">
      <alignment vertical="center"/>
    </xf>
    <xf numFmtId="1" fontId="54" fillId="2" borderId="44" xfId="0" applyNumberFormat="1" applyFont="1" applyFill="1" applyBorder="1" applyAlignment="1">
      <alignment horizontal="center" vertical="center"/>
    </xf>
    <xf numFmtId="165" fontId="46" fillId="0" borderId="9" xfId="0" applyNumberFormat="1" applyFont="1" applyBorder="1" applyAlignment="1">
      <alignment horizontal="center" vertical="center"/>
    </xf>
    <xf numFmtId="165" fontId="46" fillId="0" borderId="20" xfId="0" applyNumberFormat="1" applyFont="1" applyBorder="1" applyAlignment="1">
      <alignment horizontal="center" vertical="center"/>
    </xf>
    <xf numFmtId="165" fontId="46" fillId="2" borderId="20" xfId="0" applyNumberFormat="1" applyFont="1" applyFill="1" applyBorder="1" applyAlignment="1">
      <alignment horizontal="center" vertical="center"/>
    </xf>
    <xf numFmtId="165" fontId="46" fillId="2" borderId="47" xfId="0" applyNumberFormat="1" applyFont="1" applyFill="1" applyBorder="1" applyAlignment="1">
      <alignment horizontal="center" vertical="center"/>
    </xf>
    <xf numFmtId="0" fontId="46" fillId="2" borderId="12" xfId="0" applyFont="1" applyFill="1" applyBorder="1" applyAlignment="1">
      <alignment horizontal="center" vertical="center"/>
    </xf>
    <xf numFmtId="0" fontId="54" fillId="2" borderId="12" xfId="0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vertical="center"/>
    </xf>
    <xf numFmtId="0" fontId="46" fillId="2" borderId="72" xfId="0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vertical="center"/>
    </xf>
    <xf numFmtId="0" fontId="46" fillId="2" borderId="13" xfId="0" applyFont="1" applyFill="1" applyBorder="1" applyAlignment="1">
      <alignment horizontal="right" vertical="center"/>
    </xf>
    <xf numFmtId="0" fontId="46" fillId="2" borderId="13" xfId="0" applyFont="1" applyFill="1" applyBorder="1" applyAlignment="1">
      <alignment vertical="center"/>
    </xf>
    <xf numFmtId="0" fontId="46" fillId="2" borderId="66" xfId="0" applyFont="1" applyFill="1" applyBorder="1" applyAlignment="1">
      <alignment vertical="center"/>
    </xf>
    <xf numFmtId="0" fontId="41" fillId="21" borderId="6" xfId="0" applyFont="1" applyFill="1" applyBorder="1" applyAlignment="1">
      <alignment horizontal="center"/>
    </xf>
    <xf numFmtId="0" fontId="41" fillId="21" borderId="72" xfId="0" applyFont="1" applyFill="1" applyBorder="1" applyAlignment="1">
      <alignment horizontal="center"/>
    </xf>
    <xf numFmtId="0" fontId="41" fillId="21" borderId="71" xfId="0" applyFont="1" applyFill="1" applyBorder="1" applyAlignment="1">
      <alignment horizontal="center"/>
    </xf>
    <xf numFmtId="0" fontId="41" fillId="21" borderId="5" xfId="0" applyFont="1" applyFill="1" applyBorder="1" applyAlignment="1">
      <alignment horizontal="center"/>
    </xf>
    <xf numFmtId="0" fontId="41" fillId="2" borderId="72" xfId="0" applyFont="1" applyFill="1" applyBorder="1"/>
    <xf numFmtId="0" fontId="41" fillId="2" borderId="71" xfId="0" applyFont="1" applyFill="1" applyBorder="1"/>
    <xf numFmtId="0" fontId="41" fillId="2" borderId="5" xfId="0" applyFont="1" applyFill="1" applyBorder="1"/>
    <xf numFmtId="0" fontId="54" fillId="2" borderId="1" xfId="0" applyFont="1" applyFill="1" applyBorder="1" applyAlignment="1">
      <alignment horizontal="right" vertical="center"/>
    </xf>
    <xf numFmtId="1" fontId="41" fillId="0" borderId="6" xfId="0" applyNumberFormat="1" applyFont="1" applyBorder="1" applyAlignment="1">
      <alignment horizontal="center" vertical="center"/>
    </xf>
    <xf numFmtId="1" fontId="41" fillId="0" borderId="40" xfId="0" applyNumberFormat="1" applyFont="1" applyBorder="1" applyAlignment="1">
      <alignment horizontal="center"/>
    </xf>
    <xf numFmtId="1" fontId="41" fillId="0" borderId="67" xfId="0" applyNumberFormat="1" applyFont="1" applyBorder="1" applyAlignment="1">
      <alignment horizontal="center" vertical="center"/>
    </xf>
    <xf numFmtId="0" fontId="41" fillId="0" borderId="72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55" fillId="0" borderId="13" xfId="0" applyFont="1" applyBorder="1" applyAlignment="1">
      <alignment horizontal="center" vertical="center"/>
    </xf>
    <xf numFmtId="1" fontId="55" fillId="0" borderId="9" xfId="0" applyNumberFormat="1" applyFont="1" applyBorder="1" applyAlignment="1">
      <alignment horizontal="center" vertical="center"/>
    </xf>
    <xf numFmtId="1" fontId="55" fillId="0" borderId="20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4" fillId="2" borderId="10" xfId="0" applyFont="1" applyFill="1" applyBorder="1" applyAlignment="1">
      <alignment vertical="center"/>
    </xf>
    <xf numFmtId="0" fontId="54" fillId="2" borderId="72" xfId="0" applyFont="1" applyFill="1" applyBorder="1" applyAlignment="1">
      <alignment vertical="center"/>
    </xf>
    <xf numFmtId="0" fontId="54" fillId="2" borderId="71" xfId="0" applyFont="1" applyFill="1" applyBorder="1" applyAlignment="1">
      <alignment vertical="center"/>
    </xf>
    <xf numFmtId="0" fontId="2" fillId="20" borderId="67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2" fillId="20" borderId="20" xfId="0" applyFont="1" applyFill="1" applyBorder="1" applyAlignment="1">
      <alignment horizontal="center" vertical="center"/>
    </xf>
    <xf numFmtId="1" fontId="54" fillId="2" borderId="22" xfId="18" applyNumberFormat="1" applyFont="1" applyFill="1" applyBorder="1" applyAlignment="1">
      <alignment horizontal="center" vertical="center"/>
    </xf>
    <xf numFmtId="1" fontId="54" fillId="0" borderId="68" xfId="18" applyNumberFormat="1" applyFont="1" applyFill="1" applyBorder="1" applyAlignment="1">
      <alignment horizontal="center" vertical="center"/>
    </xf>
    <xf numFmtId="2" fontId="46" fillId="0" borderId="13" xfId="0" applyNumberFormat="1" applyFont="1" applyBorder="1" applyAlignment="1">
      <alignment horizontal="center" vertical="center"/>
    </xf>
    <xf numFmtId="165" fontId="46" fillId="2" borderId="63" xfId="0" applyNumberFormat="1" applyFont="1" applyFill="1" applyBorder="1" applyAlignment="1">
      <alignment horizontal="center" vertical="center"/>
    </xf>
    <xf numFmtId="165" fontId="46" fillId="0" borderId="82" xfId="0" applyNumberFormat="1" applyFont="1" applyBorder="1" applyAlignment="1">
      <alignment horizontal="center" vertical="center"/>
    </xf>
    <xf numFmtId="165" fontId="46" fillId="2" borderId="83" xfId="0" applyNumberFormat="1" applyFont="1" applyFill="1" applyBorder="1" applyAlignment="1">
      <alignment horizontal="center" vertical="center"/>
    </xf>
    <xf numFmtId="168" fontId="46" fillId="0" borderId="13" xfId="0" applyNumberFormat="1" applyFont="1" applyBorder="1" applyAlignment="1">
      <alignment horizontal="center" vertical="center"/>
    </xf>
    <xf numFmtId="1" fontId="41" fillId="0" borderId="0" xfId="0" applyNumberFormat="1" applyFont="1"/>
    <xf numFmtId="0" fontId="46" fillId="0" borderId="46" xfId="0" applyFont="1" applyBorder="1"/>
    <xf numFmtId="1" fontId="54" fillId="0" borderId="47" xfId="0" applyNumberFormat="1" applyFont="1" applyBorder="1" applyAlignment="1">
      <alignment horizontal="center" vertical="center"/>
    </xf>
    <xf numFmtId="0" fontId="54" fillId="0" borderId="46" xfId="0" applyFont="1" applyBorder="1" applyAlignment="1">
      <alignment horizontal="center"/>
    </xf>
    <xf numFmtId="1" fontId="54" fillId="0" borderId="46" xfId="0" applyNumberFormat="1" applyFont="1" applyBorder="1" applyAlignment="1">
      <alignment horizontal="center"/>
    </xf>
    <xf numFmtId="1" fontId="54" fillId="0" borderId="68" xfId="0" applyNumberFormat="1" applyFont="1" applyBorder="1" applyAlignment="1">
      <alignment horizontal="center"/>
    </xf>
    <xf numFmtId="0" fontId="21" fillId="0" borderId="76" xfId="0" applyFont="1" applyBorder="1" applyAlignment="1">
      <alignment horizontal="center" vertical="center"/>
    </xf>
    <xf numFmtId="2" fontId="41" fillId="2" borderId="6" xfId="0" applyNumberFormat="1" applyFont="1" applyFill="1" applyBorder="1" applyAlignment="1">
      <alignment horizontal="center" vertical="center"/>
    </xf>
    <xf numFmtId="2" fontId="41" fillId="2" borderId="72" xfId="0" applyNumberFormat="1" applyFont="1" applyFill="1" applyBorder="1" applyAlignment="1">
      <alignment horizontal="center" vertical="center"/>
    </xf>
    <xf numFmtId="1" fontId="54" fillId="2" borderId="46" xfId="18" applyNumberFormat="1" applyFont="1" applyFill="1" applyBorder="1" applyAlignment="1">
      <alignment horizontal="center" vertical="center"/>
    </xf>
    <xf numFmtId="1" fontId="46" fillId="2" borderId="46" xfId="18" applyNumberFormat="1" applyFont="1" applyFill="1" applyBorder="1" applyAlignment="1">
      <alignment horizontal="center" vertical="center"/>
    </xf>
    <xf numFmtId="1" fontId="46" fillId="2" borderId="68" xfId="18" applyNumberFormat="1" applyFont="1" applyFill="1" applyBorder="1" applyAlignment="1">
      <alignment horizontal="center" vertical="center"/>
    </xf>
    <xf numFmtId="1" fontId="54" fillId="2" borderId="55" xfId="18" applyNumberFormat="1" applyFont="1" applyFill="1" applyBorder="1" applyAlignment="1">
      <alignment horizontal="center" vertical="center"/>
    </xf>
    <xf numFmtId="0" fontId="41" fillId="0" borderId="54" xfId="0" applyFont="1" applyBorder="1" applyAlignment="1">
      <alignment vertical="top"/>
    </xf>
    <xf numFmtId="0" fontId="55" fillId="0" borderId="15" xfId="0" applyFont="1" applyBorder="1" applyAlignment="1">
      <alignment vertical="top"/>
    </xf>
    <xf numFmtId="0" fontId="55" fillId="0" borderId="15" xfId="0" applyFont="1" applyBorder="1" applyAlignment="1">
      <alignment horizontal="center" vertical="center"/>
    </xf>
    <xf numFmtId="0" fontId="55" fillId="0" borderId="18" xfId="0" applyFont="1" applyBorder="1" applyAlignment="1">
      <alignment vertical="top"/>
    </xf>
    <xf numFmtId="0" fontId="55" fillId="0" borderId="74" xfId="0" applyFont="1" applyBorder="1" applyAlignment="1">
      <alignment vertical="top"/>
    </xf>
    <xf numFmtId="0" fontId="41" fillId="0" borderId="49" xfId="0" applyFont="1" applyBorder="1" applyAlignment="1">
      <alignment vertical="top"/>
    </xf>
    <xf numFmtId="0" fontId="41" fillId="0" borderId="69" xfId="0" applyFont="1" applyBorder="1"/>
    <xf numFmtId="0" fontId="41" fillId="0" borderId="4" xfId="0" applyFont="1" applyBorder="1" applyAlignment="1">
      <alignment horizontal="center"/>
    </xf>
    <xf numFmtId="0" fontId="41" fillId="0" borderId="10" xfId="0" applyFont="1" applyBorder="1" applyAlignment="1">
      <alignment horizontal="center" vertical="top"/>
    </xf>
    <xf numFmtId="178" fontId="41" fillId="0" borderId="40" xfId="0" applyNumberFormat="1" applyFont="1" applyBorder="1" applyAlignment="1">
      <alignment horizontal="center" vertical="center"/>
    </xf>
    <xf numFmtId="165" fontId="55" fillId="2" borderId="46" xfId="0" applyNumberFormat="1" applyFont="1" applyFill="1" applyBorder="1" applyAlignment="1">
      <alignment horizontal="center" vertical="center"/>
    </xf>
    <xf numFmtId="168" fontId="46" fillId="2" borderId="46" xfId="0" applyNumberFormat="1" applyFont="1" applyFill="1" applyBorder="1" applyAlignment="1">
      <alignment horizontal="center" vertical="center"/>
    </xf>
    <xf numFmtId="168" fontId="46" fillId="2" borderId="12" xfId="0" applyNumberFormat="1" applyFont="1" applyFill="1" applyBorder="1" applyAlignment="1">
      <alignment horizontal="center" vertical="center"/>
    </xf>
    <xf numFmtId="2" fontId="46" fillId="2" borderId="12" xfId="0" applyNumberFormat="1" applyFont="1" applyFill="1" applyBorder="1" applyAlignment="1">
      <alignment horizontal="center" vertical="center"/>
    </xf>
    <xf numFmtId="2" fontId="41" fillId="2" borderId="6" xfId="0" quotePrefix="1" applyNumberFormat="1" applyFont="1" applyFill="1" applyBorder="1" applyAlignment="1">
      <alignment horizontal="center" vertical="center"/>
    </xf>
    <xf numFmtId="2" fontId="41" fillId="2" borderId="71" xfId="0" applyNumberFormat="1" applyFont="1" applyFill="1" applyBorder="1" applyAlignment="1">
      <alignment horizontal="center"/>
    </xf>
    <xf numFmtId="1" fontId="41" fillId="2" borderId="55" xfId="0" quotePrefix="1" applyNumberFormat="1" applyFont="1" applyFill="1" applyBorder="1" applyAlignment="1">
      <alignment horizontal="center" vertical="center"/>
    </xf>
    <xf numFmtId="1" fontId="41" fillId="2" borderId="46" xfId="0" applyNumberFormat="1" applyFont="1" applyFill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1" fontId="54" fillId="2" borderId="67" xfId="0" applyNumberFormat="1" applyFont="1" applyFill="1" applyBorder="1" applyAlignment="1">
      <alignment horizontal="center" vertical="center"/>
    </xf>
    <xf numFmtId="0" fontId="95" fillId="2" borderId="3" xfId="0" applyFont="1" applyFill="1" applyBorder="1" applyAlignment="1">
      <alignment horizontal="center" vertical="center" wrapText="1"/>
    </xf>
    <xf numFmtId="0" fontId="54" fillId="2" borderId="65" xfId="0" applyFont="1" applyFill="1" applyBorder="1" applyAlignment="1">
      <alignment horizontal="center" vertical="center" wrapText="1"/>
    </xf>
    <xf numFmtId="0" fontId="54" fillId="0" borderId="78" xfId="0" applyFont="1" applyBorder="1" applyAlignment="1">
      <alignment horizontal="center" vertical="center" wrapText="1"/>
    </xf>
    <xf numFmtId="0" fontId="54" fillId="0" borderId="76" xfId="0" applyFont="1" applyBorder="1" applyAlignment="1">
      <alignment horizontal="center" vertical="center" wrapText="1"/>
    </xf>
    <xf numFmtId="1" fontId="46" fillId="2" borderId="43" xfId="0" applyNumberFormat="1" applyFont="1" applyFill="1" applyBorder="1" applyAlignment="1">
      <alignment horizontal="center" vertical="center" wrapText="1"/>
    </xf>
    <xf numFmtId="0" fontId="46" fillId="2" borderId="53" xfId="0" applyFont="1" applyFill="1" applyBorder="1" applyAlignment="1">
      <alignment horizontal="center" vertical="center"/>
    </xf>
    <xf numFmtId="1" fontId="54" fillId="2" borderId="35" xfId="0" applyNumberFormat="1" applyFont="1" applyFill="1" applyBorder="1" applyAlignment="1">
      <alignment horizontal="center" vertical="center"/>
    </xf>
    <xf numFmtId="1" fontId="54" fillId="2" borderId="71" xfId="0" applyNumberFormat="1" applyFont="1" applyFill="1" applyBorder="1" applyAlignment="1">
      <alignment horizontal="center" vertical="center"/>
    </xf>
    <xf numFmtId="0" fontId="54" fillId="0" borderId="75" xfId="0" applyFont="1" applyBorder="1" applyAlignment="1">
      <alignment horizontal="center" vertical="center" wrapText="1"/>
    </xf>
    <xf numFmtId="0" fontId="54" fillId="0" borderId="74" xfId="0" applyFont="1" applyBorder="1" applyAlignment="1">
      <alignment horizontal="center" vertical="center" wrapText="1"/>
    </xf>
    <xf numFmtId="0" fontId="54" fillId="2" borderId="75" xfId="0" applyFont="1" applyFill="1" applyBorder="1" applyAlignment="1">
      <alignment horizontal="center" vertical="center" wrapText="1"/>
    </xf>
    <xf numFmtId="1" fontId="9" fillId="2" borderId="12" xfId="0" applyNumberFormat="1" applyFont="1" applyFill="1" applyBorder="1" applyAlignment="1">
      <alignment horizontal="center" vertical="center"/>
    </xf>
    <xf numFmtId="1" fontId="79" fillId="2" borderId="0" xfId="0" applyNumberFormat="1" applyFont="1" applyFill="1"/>
    <xf numFmtId="1" fontId="29" fillId="2" borderId="0" xfId="0" applyNumberFormat="1" applyFont="1" applyFill="1"/>
    <xf numFmtId="1" fontId="41" fillId="2" borderId="56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vertical="center"/>
    </xf>
    <xf numFmtId="0" fontId="7" fillId="0" borderId="14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27" xfId="0" applyFont="1" applyBorder="1" applyAlignment="1">
      <alignment vertical="center"/>
    </xf>
    <xf numFmtId="0" fontId="88" fillId="0" borderId="0" xfId="0" applyFont="1" applyAlignment="1">
      <alignment vertical="center"/>
    </xf>
    <xf numFmtId="0" fontId="54" fillId="2" borderId="18" xfId="0" applyFont="1" applyFill="1" applyBorder="1" applyAlignment="1">
      <alignment horizontal="center" vertical="center" wrapText="1"/>
    </xf>
    <xf numFmtId="1" fontId="46" fillId="2" borderId="53" xfId="0" applyNumberFormat="1" applyFont="1" applyFill="1" applyBorder="1" applyAlignment="1">
      <alignment horizontal="center" vertical="center"/>
    </xf>
    <xf numFmtId="1" fontId="46" fillId="2" borderId="51" xfId="0" applyNumberFormat="1" applyFont="1" applyFill="1" applyBorder="1" applyAlignment="1">
      <alignment horizontal="center" vertical="center" wrapText="1"/>
    </xf>
    <xf numFmtId="1" fontId="46" fillId="0" borderId="22" xfId="0" applyNumberFormat="1" applyFont="1" applyBorder="1" applyAlignment="1">
      <alignment horizontal="center" vertical="center" wrapText="1"/>
    </xf>
    <xf numFmtId="1" fontId="46" fillId="2" borderId="13" xfId="0" applyNumberFormat="1" applyFont="1" applyFill="1" applyBorder="1" applyAlignment="1">
      <alignment horizontal="center" vertical="center" wrapText="1"/>
    </xf>
    <xf numFmtId="1" fontId="46" fillId="0" borderId="12" xfId="0" applyNumberFormat="1" applyFont="1" applyBorder="1" applyAlignment="1">
      <alignment horizontal="center" vertical="center" wrapText="1"/>
    </xf>
    <xf numFmtId="1" fontId="46" fillId="0" borderId="22" xfId="0" applyNumberFormat="1" applyFont="1" applyBorder="1" applyAlignment="1">
      <alignment horizontal="center" vertical="center"/>
    </xf>
    <xf numFmtId="1" fontId="54" fillId="0" borderId="67" xfId="0" applyNumberFormat="1" applyFont="1" applyBorder="1" applyAlignment="1">
      <alignment horizontal="center" vertical="center"/>
    </xf>
    <xf numFmtId="1" fontId="47" fillId="2" borderId="68" xfId="0" applyNumberFormat="1" applyFont="1" applyFill="1" applyBorder="1" applyAlignment="1">
      <alignment horizontal="center" vertical="center"/>
    </xf>
    <xf numFmtId="1" fontId="47" fillId="2" borderId="67" xfId="18" applyNumberFormat="1" applyFont="1" applyFill="1" applyBorder="1" applyAlignment="1">
      <alignment horizontal="center" vertical="center"/>
    </xf>
    <xf numFmtId="1" fontId="47" fillId="2" borderId="68" xfId="18" applyNumberFormat="1" applyFont="1" applyFill="1" applyBorder="1" applyAlignment="1">
      <alignment horizontal="center" vertical="center"/>
    </xf>
    <xf numFmtId="1" fontId="47" fillId="2" borderId="12" xfId="18" applyNumberFormat="1" applyFont="1" applyFill="1" applyBorder="1" applyAlignment="1">
      <alignment horizontal="center" vertical="center"/>
    </xf>
    <xf numFmtId="1" fontId="47" fillId="2" borderId="46" xfId="18" applyNumberFormat="1" applyFont="1" applyFill="1" applyBorder="1" applyAlignment="1">
      <alignment horizontal="center" vertical="center"/>
    </xf>
    <xf numFmtId="0" fontId="24" fillId="2" borderId="65" xfId="0" applyFont="1" applyFill="1" applyBorder="1" applyAlignment="1">
      <alignment horizontal="center" vertical="center"/>
    </xf>
    <xf numFmtId="0" fontId="2" fillId="2" borderId="78" xfId="0" applyFont="1" applyFill="1" applyBorder="1" applyAlignment="1">
      <alignment horizontal="center" vertical="center"/>
    </xf>
    <xf numFmtId="1" fontId="25" fillId="2" borderId="78" xfId="0" applyNumberFormat="1" applyFont="1" applyFill="1" applyBorder="1" applyAlignment="1">
      <alignment horizontal="center" vertical="center"/>
    </xf>
    <xf numFmtId="1" fontId="25" fillId="2" borderId="20" xfId="0" applyNumberFormat="1" applyFont="1" applyFill="1" applyBorder="1" applyAlignment="1">
      <alignment horizontal="center" vertical="center"/>
    </xf>
    <xf numFmtId="0" fontId="2" fillId="2" borderId="80" xfId="0" applyFont="1" applyFill="1" applyBorder="1" applyAlignment="1">
      <alignment horizontal="center" vertical="center"/>
    </xf>
    <xf numFmtId="0" fontId="24" fillId="6" borderId="46" xfId="0" applyFont="1" applyFill="1" applyBorder="1" applyAlignment="1">
      <alignment horizontal="center" vertical="center"/>
    </xf>
    <xf numFmtId="0" fontId="24" fillId="6" borderId="68" xfId="0" applyFont="1" applyFill="1" applyBorder="1" applyAlignment="1">
      <alignment horizontal="center" vertical="center"/>
    </xf>
    <xf numFmtId="0" fontId="46" fillId="0" borderId="0" xfId="0" applyFont="1"/>
    <xf numFmtId="0" fontId="21" fillId="2" borderId="46" xfId="0" applyFont="1" applyFill="1" applyBorder="1" applyAlignment="1">
      <alignment horizontal="center" vertical="center"/>
    </xf>
    <xf numFmtId="1" fontId="12" fillId="22" borderId="12" xfId="0" applyNumberFormat="1" applyFont="1" applyFill="1" applyBorder="1" applyAlignment="1">
      <alignment horizontal="center" vertical="center"/>
    </xf>
    <xf numFmtId="1" fontId="61" fillId="0" borderId="15" xfId="0" applyNumberFormat="1" applyFont="1" applyBorder="1" applyAlignment="1">
      <alignment horizontal="left" vertical="center" wrapText="1"/>
    </xf>
    <xf numFmtId="1" fontId="0" fillId="0" borderId="46" xfId="0" applyNumberFormat="1" applyBorder="1" applyAlignment="1">
      <alignment horizontal="center" vertical="center"/>
    </xf>
    <xf numFmtId="1" fontId="25" fillId="2" borderId="32" xfId="0" applyNumberFormat="1" applyFont="1" applyFill="1" applyBorder="1" applyAlignment="1">
      <alignment horizontal="center" vertical="center"/>
    </xf>
    <xf numFmtId="1" fontId="46" fillId="2" borderId="0" xfId="0" applyNumberFormat="1" applyFont="1" applyFill="1"/>
    <xf numFmtId="0" fontId="46" fillId="2" borderId="0" xfId="0" applyFont="1" applyFill="1"/>
    <xf numFmtId="1" fontId="46" fillId="0" borderId="0" xfId="0" applyNumberFormat="1" applyFont="1"/>
    <xf numFmtId="0" fontId="21" fillId="2" borderId="68" xfId="0" applyFont="1" applyFill="1" applyBorder="1" applyAlignment="1">
      <alignment horizontal="center" vertical="center"/>
    </xf>
    <xf numFmtId="0" fontId="0" fillId="0" borderId="0" xfId="0" applyFont="1"/>
    <xf numFmtId="0" fontId="54" fillId="2" borderId="78" xfId="0" applyFont="1" applyFill="1" applyBorder="1" applyAlignment="1">
      <alignment horizontal="center" vertical="center" wrapText="1"/>
    </xf>
    <xf numFmtId="1" fontId="46" fillId="2" borderId="43" xfId="0" applyNumberFormat="1" applyFont="1" applyFill="1" applyBorder="1" applyAlignment="1">
      <alignment horizontal="center" vertical="center"/>
    </xf>
    <xf numFmtId="0" fontId="46" fillId="2" borderId="43" xfId="0" applyFont="1" applyFill="1" applyBorder="1" applyAlignment="1">
      <alignment horizontal="center" vertical="center"/>
    </xf>
    <xf numFmtId="1" fontId="46" fillId="2" borderId="55" xfId="18" applyNumberFormat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0" fillId="0" borderId="72" xfId="0" applyBorder="1"/>
    <xf numFmtId="1" fontId="102" fillId="2" borderId="66" xfId="0" applyNumberFormat="1" applyFont="1" applyFill="1" applyBorder="1" applyAlignment="1">
      <alignment horizontal="center" vertical="center" wrapText="1"/>
    </xf>
    <xf numFmtId="1" fontId="102" fillId="4" borderId="67" xfId="0" applyNumberFormat="1" applyFont="1" applyFill="1" applyBorder="1" applyAlignment="1">
      <alignment horizontal="center" vertical="center" wrapText="1"/>
    </xf>
    <xf numFmtId="1" fontId="102" fillId="2" borderId="67" xfId="0" applyNumberFormat="1" applyFont="1" applyFill="1" applyBorder="1" applyAlignment="1">
      <alignment horizontal="center" vertical="center" wrapText="1"/>
    </xf>
    <xf numFmtId="1" fontId="29" fillId="4" borderId="67" xfId="0" applyNumberFormat="1" applyFont="1" applyFill="1" applyBorder="1" applyAlignment="1">
      <alignment horizontal="center" vertical="center" wrapText="1"/>
    </xf>
    <xf numFmtId="0" fontId="0" fillId="4" borderId="67" xfId="0" applyFill="1" applyBorder="1" applyAlignment="1">
      <alignment horizontal="center"/>
    </xf>
    <xf numFmtId="0" fontId="0" fillId="0" borderId="67" xfId="0" applyBorder="1"/>
    <xf numFmtId="1" fontId="29" fillId="2" borderId="67" xfId="0" applyNumberFormat="1" applyFont="1" applyFill="1" applyBorder="1" applyAlignment="1">
      <alignment horizontal="center" vertical="center" wrapText="1"/>
    </xf>
    <xf numFmtId="1" fontId="29" fillId="2" borderId="68" xfId="0" applyNumberFormat="1" applyFont="1" applyFill="1" applyBorder="1" applyAlignment="1">
      <alignment horizontal="center" vertical="center" wrapText="1"/>
    </xf>
    <xf numFmtId="0" fontId="102" fillId="2" borderId="13" xfId="0" applyFont="1" applyFill="1" applyBorder="1" applyAlignment="1">
      <alignment horizontal="center" vertical="center" wrapText="1"/>
    </xf>
    <xf numFmtId="0" fontId="102" fillId="2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02" fillId="2" borderId="46" xfId="0" applyFont="1" applyFill="1" applyBorder="1" applyAlignment="1">
      <alignment horizontal="center" vertical="center" wrapText="1"/>
    </xf>
    <xf numFmtId="0" fontId="41" fillId="2" borderId="6" xfId="0" applyFont="1" applyFill="1" applyBorder="1" applyAlignment="1">
      <alignment horizontal="center"/>
    </xf>
    <xf numFmtId="0" fontId="41" fillId="2" borderId="72" xfId="0" applyFont="1" applyFill="1" applyBorder="1" applyAlignment="1">
      <alignment horizontal="center"/>
    </xf>
    <xf numFmtId="0" fontId="41" fillId="2" borderId="71" xfId="0" applyFont="1" applyFill="1" applyBorder="1" applyAlignment="1">
      <alignment horizontal="center"/>
    </xf>
    <xf numFmtId="0" fontId="55" fillId="2" borderId="31" xfId="0" applyFont="1" applyFill="1" applyBorder="1" applyAlignment="1">
      <alignment vertical="center" wrapText="1"/>
    </xf>
    <xf numFmtId="0" fontId="55" fillId="2" borderId="15" xfId="0" applyFont="1" applyFill="1" applyBorder="1" applyAlignment="1">
      <alignment vertical="top"/>
    </xf>
    <xf numFmtId="0" fontId="55" fillId="2" borderId="18" xfId="0" applyFont="1" applyFill="1" applyBorder="1" applyAlignment="1">
      <alignment vertical="top"/>
    </xf>
    <xf numFmtId="0" fontId="55" fillId="2" borderId="74" xfId="0" applyFont="1" applyFill="1" applyBorder="1" applyAlignment="1">
      <alignment vertical="top"/>
    </xf>
    <xf numFmtId="0" fontId="55" fillId="2" borderId="60" xfId="0" applyFont="1" applyFill="1" applyBorder="1" applyAlignment="1">
      <alignment vertical="center" wrapText="1"/>
    </xf>
    <xf numFmtId="0" fontId="41" fillId="2" borderId="54" xfId="0" applyFont="1" applyFill="1" applyBorder="1" applyAlignment="1">
      <alignment vertical="top"/>
    </xf>
    <xf numFmtId="0" fontId="41" fillId="2" borderId="60" xfId="0" applyFont="1" applyFill="1" applyBorder="1" applyAlignment="1">
      <alignment horizontal="center" vertical="center"/>
    </xf>
    <xf numFmtId="0" fontId="41" fillId="2" borderId="49" xfId="0" applyFont="1" applyFill="1" applyBorder="1" applyAlignment="1">
      <alignment vertical="top"/>
    </xf>
    <xf numFmtId="0" fontId="41" fillId="2" borderId="73" xfId="0" applyFont="1" applyFill="1" applyBorder="1" applyAlignment="1">
      <alignment horizontal="center" vertical="center"/>
    </xf>
    <xf numFmtId="0" fontId="55" fillId="2" borderId="32" xfId="0" applyFont="1" applyFill="1" applyBorder="1" applyAlignment="1">
      <alignment vertical="center" wrapText="1"/>
    </xf>
    <xf numFmtId="0" fontId="41" fillId="2" borderId="69" xfId="0" applyFont="1" applyFill="1" applyBorder="1"/>
    <xf numFmtId="0" fontId="41" fillId="2" borderId="4" xfId="0" applyFont="1" applyFill="1" applyBorder="1" applyAlignment="1">
      <alignment horizontal="center"/>
    </xf>
    <xf numFmtId="0" fontId="41" fillId="2" borderId="16" xfId="0" applyFont="1" applyFill="1" applyBorder="1" applyAlignment="1">
      <alignment vertical="top"/>
    </xf>
    <xf numFmtId="0" fontId="41" fillId="2" borderId="23" xfId="0" applyFont="1" applyFill="1" applyBorder="1" applyAlignment="1">
      <alignment vertical="top"/>
    </xf>
    <xf numFmtId="0" fontId="41" fillId="2" borderId="10" xfId="0" applyFont="1" applyFill="1" applyBorder="1" applyAlignment="1">
      <alignment horizontal="center" vertical="top"/>
    </xf>
    <xf numFmtId="178" fontId="41" fillId="2" borderId="40" xfId="0" applyNumberFormat="1" applyFont="1" applyFill="1" applyBorder="1" applyAlignment="1">
      <alignment horizontal="center" vertical="center"/>
    </xf>
    <xf numFmtId="2" fontId="41" fillId="2" borderId="55" xfId="0" quotePrefix="1" applyNumberFormat="1" applyFont="1" applyFill="1" applyBorder="1" applyAlignment="1">
      <alignment horizontal="center" vertical="center"/>
    </xf>
    <xf numFmtId="0" fontId="51" fillId="0" borderId="0" xfId="0" applyFont="1"/>
    <xf numFmtId="0" fontId="0" fillId="0" borderId="0" xfId="0" applyFill="1"/>
    <xf numFmtId="1" fontId="4" fillId="0" borderId="0" xfId="0" applyNumberFormat="1" applyFont="1" applyFill="1"/>
    <xf numFmtId="0" fontId="4" fillId="0" borderId="0" xfId="0" applyFont="1" applyFill="1"/>
    <xf numFmtId="0" fontId="6" fillId="0" borderId="0" xfId="0" applyFont="1" applyFill="1"/>
    <xf numFmtId="0" fontId="11" fillId="0" borderId="0" xfId="0" applyFont="1" applyFill="1"/>
    <xf numFmtId="0" fontId="16" fillId="0" borderId="12" xfId="0" applyFont="1" applyBorder="1"/>
    <xf numFmtId="0" fontId="0" fillId="0" borderId="12" xfId="0" applyBorder="1"/>
    <xf numFmtId="1" fontId="0" fillId="0" borderId="12" xfId="0" applyNumberFormat="1" applyBorder="1"/>
    <xf numFmtId="0" fontId="0" fillId="0" borderId="12" xfId="0" applyBorder="1" applyAlignment="1">
      <alignment wrapText="1"/>
    </xf>
    <xf numFmtId="0" fontId="17" fillId="0" borderId="12" xfId="0" applyFont="1" applyBorder="1"/>
    <xf numFmtId="0" fontId="0" fillId="4" borderId="12" xfId="0" applyFill="1" applyBorder="1"/>
    <xf numFmtId="2" fontId="0" fillId="0" borderId="12" xfId="0" applyNumberFormat="1" applyBorder="1"/>
    <xf numFmtId="0" fontId="0" fillId="0" borderId="12" xfId="0" applyFill="1" applyBorder="1"/>
    <xf numFmtId="0" fontId="2" fillId="4" borderId="52" xfId="0" applyFont="1" applyFill="1" applyBorder="1" applyAlignment="1">
      <alignment horizontal="center" vertical="center"/>
    </xf>
    <xf numFmtId="0" fontId="2" fillId="4" borderId="55" xfId="0" applyFont="1" applyFill="1" applyBorder="1" applyAlignment="1">
      <alignment horizontal="center" vertical="center"/>
    </xf>
    <xf numFmtId="20" fontId="0" fillId="0" borderId="12" xfId="0" applyNumberFormat="1" applyBorder="1"/>
    <xf numFmtId="2" fontId="0" fillId="0" borderId="12" xfId="0" applyNumberFormat="1" applyFont="1" applyBorder="1"/>
    <xf numFmtId="1" fontId="0" fillId="0" borderId="12" xfId="0" applyNumberFormat="1" applyFont="1" applyBorder="1"/>
    <xf numFmtId="0" fontId="0" fillId="0" borderId="12" xfId="0" applyFont="1" applyBorder="1"/>
    <xf numFmtId="0" fontId="25" fillId="4" borderId="52" xfId="0" applyFont="1" applyFill="1" applyBorder="1" applyAlignment="1">
      <alignment horizontal="center" vertical="center"/>
    </xf>
    <xf numFmtId="0" fontId="0" fillId="4" borderId="12" xfId="0" applyNumberFormat="1" applyFill="1" applyBorder="1"/>
    <xf numFmtId="1" fontId="0" fillId="4" borderId="12" xfId="0" applyNumberFormat="1" applyFill="1" applyBorder="1"/>
    <xf numFmtId="0" fontId="25" fillId="6" borderId="52" xfId="0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 vertical="center"/>
    </xf>
    <xf numFmtId="0" fontId="17" fillId="4" borderId="12" xfId="0" applyFont="1" applyFill="1" applyBorder="1"/>
    <xf numFmtId="0" fontId="0" fillId="0" borderId="12" xfId="0" quotePrefix="1" applyBorder="1" applyAlignment="1">
      <alignment vertical="top" wrapText="1"/>
    </xf>
    <xf numFmtId="0" fontId="0" fillId="0" borderId="22" xfId="0" applyBorder="1" applyAlignment="1"/>
    <xf numFmtId="2" fontId="0" fillId="0" borderId="12" xfId="0" applyNumberFormat="1" applyFont="1" applyBorder="1" applyAlignment="1">
      <alignment vertical="center"/>
    </xf>
    <xf numFmtId="1" fontId="10" fillId="0" borderId="0" xfId="0" applyNumberFormat="1" applyFont="1" applyFill="1"/>
    <xf numFmtId="10" fontId="11" fillId="0" borderId="0" xfId="18" applyNumberFormat="1" applyFont="1" applyFill="1"/>
    <xf numFmtId="0" fontId="29" fillId="0" borderId="0" xfId="0" applyFont="1" applyFill="1"/>
    <xf numFmtId="0" fontId="17" fillId="0" borderId="0" xfId="0" applyFont="1" applyFill="1"/>
    <xf numFmtId="169" fontId="35" fillId="0" borderId="0" xfId="0" applyNumberFormat="1" applyFont="1" applyFill="1"/>
    <xf numFmtId="169" fontId="29" fillId="0" borderId="0" xfId="0" applyNumberFormat="1" applyFont="1" applyFill="1"/>
    <xf numFmtId="1" fontId="6" fillId="0" borderId="0" xfId="0" applyNumberFormat="1" applyFont="1" applyFill="1"/>
    <xf numFmtId="0" fontId="20" fillId="0" borderId="0" xfId="0" applyFont="1" applyFill="1"/>
    <xf numFmtId="1" fontId="74" fillId="0" borderId="0" xfId="0" applyNumberFormat="1" applyFont="1" applyFill="1"/>
    <xf numFmtId="1" fontId="12" fillId="0" borderId="0" xfId="0" applyNumberFormat="1" applyFont="1" applyFill="1"/>
    <xf numFmtId="0" fontId="15" fillId="0" borderId="0" xfId="0" applyFont="1" applyFill="1"/>
    <xf numFmtId="1" fontId="38" fillId="0" borderId="0" xfId="0" applyNumberFormat="1" applyFont="1" applyFill="1"/>
    <xf numFmtId="1" fontId="9" fillId="0" borderId="0" xfId="0" applyNumberFormat="1" applyFont="1" applyFill="1"/>
    <xf numFmtId="169" fontId="12" fillId="0" borderId="0" xfId="0" applyNumberFormat="1" applyFont="1" applyFill="1"/>
    <xf numFmtId="183" fontId="74" fillId="0" borderId="0" xfId="18" applyNumberFormat="1" applyFont="1" applyFill="1"/>
    <xf numFmtId="1" fontId="58" fillId="0" borderId="0" xfId="0" applyNumberFormat="1" applyFont="1" applyFill="1"/>
    <xf numFmtId="0" fontId="10" fillId="0" borderId="0" xfId="0" applyFont="1" applyFill="1"/>
    <xf numFmtId="10" fontId="12" fillId="0" borderId="0" xfId="18" applyNumberFormat="1" applyFont="1" applyFill="1"/>
    <xf numFmtId="1" fontId="12" fillId="0" borderId="0" xfId="0" applyNumberFormat="1" applyFont="1" applyFill="1" applyAlignment="1">
      <alignment horizontal="center" vertical="center"/>
    </xf>
    <xf numFmtId="0" fontId="38" fillId="0" borderId="0" xfId="0" applyFont="1" applyFill="1"/>
    <xf numFmtId="10" fontId="34" fillId="0" borderId="0" xfId="18" applyNumberFormat="1" applyFont="1" applyFill="1"/>
    <xf numFmtId="1" fontId="0" fillId="0" borderId="0" xfId="0" applyNumberFormat="1" applyFill="1"/>
    <xf numFmtId="1" fontId="56" fillId="0" borderId="0" xfId="0" applyNumberFormat="1" applyFont="1" applyFill="1" applyAlignment="1">
      <alignment horizontal="center" vertical="center"/>
    </xf>
    <xf numFmtId="1" fontId="34" fillId="0" borderId="0" xfId="0" applyNumberFormat="1" applyFont="1" applyFill="1"/>
    <xf numFmtId="1" fontId="104" fillId="0" borderId="0" xfId="0" applyNumberFormat="1" applyFont="1" applyFill="1"/>
    <xf numFmtId="0" fontId="37" fillId="0" borderId="0" xfId="0" applyFont="1" applyFill="1"/>
    <xf numFmtId="0" fontId="30" fillId="0" borderId="0" xfId="0" applyFont="1" applyFill="1"/>
    <xf numFmtId="183" fontId="9" fillId="0" borderId="0" xfId="18" applyNumberFormat="1" applyFont="1" applyFill="1" applyBorder="1" applyAlignment="1">
      <alignment horizontal="center" vertical="center"/>
    </xf>
    <xf numFmtId="0" fontId="0" fillId="0" borderId="0" xfId="0" applyFill="1" applyBorder="1"/>
    <xf numFmtId="1" fontId="11" fillId="0" borderId="0" xfId="0" applyNumberFormat="1" applyFont="1" applyFill="1"/>
    <xf numFmtId="1" fontId="5" fillId="0" borderId="0" xfId="0" applyNumberFormat="1" applyFont="1" applyFill="1"/>
    <xf numFmtId="1" fontId="63" fillId="0" borderId="0" xfId="0" applyNumberFormat="1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165" fontId="12" fillId="0" borderId="0" xfId="0" applyNumberFormat="1" applyFont="1" applyFill="1"/>
    <xf numFmtId="0" fontId="0" fillId="0" borderId="33" xfId="0" applyFill="1" applyBorder="1"/>
    <xf numFmtId="1" fontId="91" fillId="0" borderId="0" xfId="0" applyNumberFormat="1" applyFont="1" applyFill="1"/>
    <xf numFmtId="1" fontId="40" fillId="0" borderId="0" xfId="0" applyNumberFormat="1" applyFont="1" applyFill="1"/>
    <xf numFmtId="1" fontId="85" fillId="0" borderId="0" xfId="0" applyNumberFormat="1" applyFont="1" applyFill="1"/>
    <xf numFmtId="1" fontId="20" fillId="0" borderId="0" xfId="0" applyNumberFormat="1" applyFont="1" applyFill="1"/>
    <xf numFmtId="165" fontId="0" fillId="0" borderId="0" xfId="0" applyNumberFormat="1" applyFill="1"/>
    <xf numFmtId="1" fontId="35" fillId="0" borderId="0" xfId="0" applyNumberFormat="1" applyFont="1" applyFill="1"/>
    <xf numFmtId="0" fontId="99" fillId="0" borderId="0" xfId="0" applyFont="1" applyFill="1"/>
    <xf numFmtId="1" fontId="98" fillId="0" borderId="0" xfId="0" applyNumberFormat="1" applyFont="1" applyFill="1"/>
    <xf numFmtId="0" fontId="9" fillId="0" borderId="0" xfId="0" applyFont="1" applyFill="1"/>
    <xf numFmtId="1" fontId="92" fillId="0" borderId="0" xfId="0" applyNumberFormat="1" applyFont="1" applyFill="1"/>
    <xf numFmtId="0" fontId="92" fillId="0" borderId="0" xfId="0" applyFont="1" applyFill="1"/>
    <xf numFmtId="0" fontId="90" fillId="0" borderId="0" xfId="0" applyFont="1" applyFill="1"/>
    <xf numFmtId="0" fontId="90" fillId="0" borderId="36" xfId="0" applyFont="1" applyFill="1" applyBorder="1"/>
    <xf numFmtId="0" fontId="90" fillId="0" borderId="58" xfId="0" applyFont="1" applyFill="1" applyBorder="1"/>
    <xf numFmtId="0" fontId="11" fillId="0" borderId="58" xfId="0" applyFont="1" applyFill="1" applyBorder="1"/>
    <xf numFmtId="0" fontId="5" fillId="0" borderId="58" xfId="0" applyFont="1" applyFill="1" applyBorder="1"/>
    <xf numFmtId="0" fontId="10" fillId="0" borderId="58" xfId="0" applyFont="1" applyFill="1" applyBorder="1"/>
    <xf numFmtId="1" fontId="20" fillId="0" borderId="58" xfId="0" applyNumberFormat="1" applyFont="1" applyFill="1" applyBorder="1"/>
    <xf numFmtId="1" fontId="6" fillId="0" borderId="58" xfId="0" applyNumberFormat="1" applyFont="1" applyFill="1" applyBorder="1"/>
    <xf numFmtId="0" fontId="6" fillId="0" borderId="58" xfId="0" applyFont="1" applyFill="1" applyBorder="1"/>
    <xf numFmtId="0" fontId="4" fillId="0" borderId="58" xfId="0" applyFont="1" applyFill="1" applyBorder="1"/>
    <xf numFmtId="1" fontId="13" fillId="0" borderId="58" xfId="0" applyNumberFormat="1" applyFont="1" applyFill="1" applyBorder="1"/>
    <xf numFmtId="1" fontId="13" fillId="0" borderId="0" xfId="0" applyNumberFormat="1" applyFont="1" applyFill="1"/>
    <xf numFmtId="1" fontId="9" fillId="0" borderId="0" xfId="0" applyNumberFormat="1" applyFont="1" applyFill="1" applyAlignment="1">
      <alignment horizontal="center" vertical="center"/>
    </xf>
    <xf numFmtId="1" fontId="92" fillId="0" borderId="0" xfId="0" applyNumberFormat="1" applyFont="1" applyFill="1" applyAlignment="1">
      <alignment horizontal="center" vertical="center"/>
    </xf>
    <xf numFmtId="1" fontId="9" fillId="0" borderId="0" xfId="0" applyNumberFormat="1" applyFont="1" applyFill="1" applyBorder="1"/>
    <xf numFmtId="165" fontId="13" fillId="0" borderId="0" xfId="0" applyNumberFormat="1" applyFont="1" applyFill="1"/>
    <xf numFmtId="1" fontId="13" fillId="0" borderId="0" xfId="0" applyNumberFormat="1" applyFont="1" applyFill="1" applyBorder="1"/>
    <xf numFmtId="1" fontId="97" fillId="0" borderId="0" xfId="0" applyNumberFormat="1" applyFont="1" applyFill="1" applyAlignment="1">
      <alignment horizontal="center" vertical="center"/>
    </xf>
    <xf numFmtId="1" fontId="79" fillId="0" borderId="27" xfId="0" applyNumberFormat="1" applyFont="1" applyFill="1" applyBorder="1" applyAlignment="1">
      <alignment horizontal="center" vertical="center"/>
    </xf>
    <xf numFmtId="186" fontId="100" fillId="0" borderId="54" xfId="0" quotePrefix="1" applyNumberFormat="1" applyFont="1" applyFill="1" applyBorder="1" applyAlignment="1">
      <alignment vertical="center" wrapText="1"/>
    </xf>
    <xf numFmtId="0" fontId="13" fillId="0" borderId="58" xfId="0" applyFont="1" applyFill="1" applyBorder="1"/>
    <xf numFmtId="0" fontId="2" fillId="0" borderId="0" xfId="0" applyFont="1" applyFill="1"/>
    <xf numFmtId="20" fontId="74" fillId="0" borderId="49" xfId="0" applyNumberFormat="1" applyFont="1" applyFill="1" applyBorder="1" applyAlignment="1">
      <alignment vertical="center" wrapText="1"/>
    </xf>
    <xf numFmtId="0" fontId="106" fillId="0" borderId="50" xfId="0" applyFont="1" applyFill="1" applyBorder="1" applyAlignment="1">
      <alignment horizontal="left" vertical="center" wrapText="1"/>
    </xf>
    <xf numFmtId="0" fontId="106" fillId="0" borderId="49" xfId="0" applyFont="1" applyFill="1" applyBorder="1" applyAlignment="1">
      <alignment horizontal="left" vertical="center" wrapText="1"/>
    </xf>
    <xf numFmtId="0" fontId="106" fillId="0" borderId="50" xfId="0" applyFont="1" applyFill="1" applyBorder="1" applyAlignment="1">
      <alignment vertical="center"/>
    </xf>
    <xf numFmtId="0" fontId="90" fillId="0" borderId="45" xfId="0" applyFont="1" applyFill="1" applyBorder="1"/>
    <xf numFmtId="0" fontId="90" fillId="0" borderId="54" xfId="0" applyFont="1" applyFill="1" applyBorder="1"/>
    <xf numFmtId="0" fontId="9" fillId="0" borderId="49" xfId="0" applyFont="1" applyFill="1" applyBorder="1"/>
    <xf numFmtId="0" fontId="90" fillId="0" borderId="49" xfId="0" applyFont="1" applyFill="1" applyBorder="1"/>
    <xf numFmtId="0" fontId="90" fillId="0" borderId="0" xfId="0" applyFont="1" applyFill="1" applyBorder="1"/>
    <xf numFmtId="0" fontId="11" fillId="0" borderId="49" xfId="0" applyFont="1" applyFill="1" applyBorder="1"/>
    <xf numFmtId="184" fontId="103" fillId="0" borderId="27" xfId="0" applyNumberFormat="1" applyFont="1" applyFill="1" applyBorder="1"/>
    <xf numFmtId="184" fontId="103" fillId="0" borderId="0" xfId="0" applyNumberFormat="1" applyFont="1" applyFill="1" applyBorder="1"/>
    <xf numFmtId="0" fontId="42" fillId="0" borderId="0" xfId="0" applyFont="1" applyFill="1" applyBorder="1"/>
    <xf numFmtId="0" fontId="90" fillId="0" borderId="50" xfId="0" applyFont="1" applyFill="1" applyBorder="1"/>
    <xf numFmtId="184" fontId="103" fillId="0" borderId="59" xfId="0" applyNumberFormat="1" applyFont="1" applyFill="1" applyBorder="1"/>
    <xf numFmtId="0" fontId="106" fillId="0" borderId="27" xfId="0" quotePrefix="1" applyFont="1" applyFill="1" applyBorder="1" applyAlignment="1">
      <alignment horizontal="left" vertical="center" wrapText="1"/>
    </xf>
    <xf numFmtId="0" fontId="90" fillId="2" borderId="0" xfId="0" applyFont="1" applyFill="1"/>
    <xf numFmtId="0" fontId="122" fillId="0" borderId="13" xfId="0" applyFont="1" applyFill="1" applyBorder="1" applyAlignment="1">
      <alignment horizontal="center" vertical="center" wrapText="1"/>
    </xf>
    <xf numFmtId="0" fontId="122" fillId="0" borderId="12" xfId="0" applyFont="1" applyFill="1" applyBorder="1" applyAlignment="1">
      <alignment horizontal="center" vertical="center"/>
    </xf>
    <xf numFmtId="0" fontId="138" fillId="0" borderId="12" xfId="0" applyFont="1" applyFill="1" applyBorder="1" applyAlignment="1">
      <alignment horizontal="center" vertical="center" wrapText="1"/>
    </xf>
    <xf numFmtId="0" fontId="74" fillId="0" borderId="13" xfId="0" applyFont="1" applyFill="1" applyBorder="1" applyAlignment="1">
      <alignment horizontal="center"/>
    </xf>
    <xf numFmtId="0" fontId="74" fillId="0" borderId="12" xfId="0" applyFont="1" applyFill="1" applyBorder="1" applyAlignment="1">
      <alignment horizontal="center"/>
    </xf>
    <xf numFmtId="0" fontId="74" fillId="0" borderId="13" xfId="0" applyFont="1" applyFill="1" applyBorder="1" applyAlignment="1">
      <alignment vertical="center"/>
    </xf>
    <xf numFmtId="0" fontId="104" fillId="0" borderId="12" xfId="0" applyFont="1" applyFill="1" applyBorder="1" applyAlignment="1">
      <alignment horizontal="center" vertical="center"/>
    </xf>
    <xf numFmtId="0" fontId="74" fillId="0" borderId="12" xfId="0" applyFont="1" applyFill="1" applyBorder="1" applyAlignment="1">
      <alignment vertical="center"/>
    </xf>
    <xf numFmtId="0" fontId="100" fillId="0" borderId="13" xfId="0" applyFont="1" applyFill="1" applyBorder="1" applyAlignment="1">
      <alignment vertical="center"/>
    </xf>
    <xf numFmtId="0" fontId="127" fillId="0" borderId="12" xfId="0" applyFont="1" applyFill="1" applyBorder="1" applyAlignment="1">
      <alignment horizontal="center" vertical="center"/>
    </xf>
    <xf numFmtId="0" fontId="100" fillId="0" borderId="12" xfId="0" applyFont="1" applyFill="1" applyBorder="1" applyAlignment="1">
      <alignment vertical="center"/>
    </xf>
    <xf numFmtId="0" fontId="74" fillId="0" borderId="12" xfId="0" applyFont="1" applyFill="1" applyBorder="1" applyAlignment="1">
      <alignment vertical="center" wrapText="1"/>
    </xf>
    <xf numFmtId="1" fontId="100" fillId="0" borderId="12" xfId="0" applyNumberFormat="1" applyFont="1" applyFill="1" applyBorder="1" applyAlignment="1">
      <alignment horizontal="center" vertical="center" wrapText="1"/>
    </xf>
    <xf numFmtId="1" fontId="104" fillId="0" borderId="12" xfId="0" applyNumberFormat="1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1" fontId="12" fillId="22" borderId="46" xfId="0" quotePrefix="1" applyNumberFormat="1" applyFont="1" applyFill="1" applyBorder="1" applyAlignment="1">
      <alignment horizontal="center" vertical="center"/>
    </xf>
    <xf numFmtId="0" fontId="92" fillId="2" borderId="34" xfId="0" applyFont="1" applyFill="1" applyBorder="1"/>
    <xf numFmtId="0" fontId="112" fillId="2" borderId="3" xfId="0" applyFont="1" applyFill="1" applyBorder="1"/>
    <xf numFmtId="0" fontId="92" fillId="2" borderId="3" xfId="0" applyFont="1" applyFill="1" applyBorder="1"/>
    <xf numFmtId="0" fontId="142" fillId="2" borderId="3" xfId="0" applyFont="1" applyFill="1" applyBorder="1" applyAlignment="1">
      <alignment vertical="top"/>
    </xf>
    <xf numFmtId="0" fontId="112" fillId="2" borderId="17" xfId="0" applyFont="1" applyFill="1" applyBorder="1" applyAlignment="1">
      <alignment horizontal="center"/>
    </xf>
    <xf numFmtId="0" fontId="112" fillId="2" borderId="23" xfId="0" applyFont="1" applyFill="1" applyBorder="1" applyAlignment="1">
      <alignment horizontal="center"/>
    </xf>
    <xf numFmtId="0" fontId="92" fillId="2" borderId="37" xfId="0" applyFont="1" applyFill="1" applyBorder="1"/>
    <xf numFmtId="0" fontId="113" fillId="2" borderId="30" xfId="0" applyFont="1" applyFill="1" applyBorder="1"/>
    <xf numFmtId="0" fontId="92" fillId="2" borderId="30" xfId="0" applyFont="1" applyFill="1" applyBorder="1"/>
    <xf numFmtId="0" fontId="62" fillId="2" borderId="17" xfId="0" applyFont="1" applyFill="1" applyBorder="1" applyAlignment="1">
      <alignment horizontal="right" vertical="center"/>
    </xf>
    <xf numFmtId="181" fontId="62" fillId="2" borderId="23" xfId="0" applyNumberFormat="1" applyFont="1" applyFill="1" applyBorder="1" applyAlignment="1">
      <alignment horizontal="left" vertical="center"/>
    </xf>
    <xf numFmtId="0" fontId="112" fillId="2" borderId="6" xfId="0" applyFont="1" applyFill="1" applyBorder="1" applyAlignment="1">
      <alignment horizontal="center" vertical="center"/>
    </xf>
    <xf numFmtId="0" fontId="112" fillId="2" borderId="72" xfId="0" applyFont="1" applyFill="1" applyBorder="1" applyAlignment="1">
      <alignment horizontal="center" vertical="center"/>
    </xf>
    <xf numFmtId="0" fontId="112" fillId="2" borderId="77" xfId="0" applyFont="1" applyFill="1" applyBorder="1" applyAlignment="1">
      <alignment horizontal="center" vertical="center"/>
    </xf>
    <xf numFmtId="0" fontId="112" fillId="2" borderId="78" xfId="0" applyFont="1" applyFill="1" applyBorder="1" applyAlignment="1">
      <alignment horizontal="center" vertical="center"/>
    </xf>
    <xf numFmtId="0" fontId="62" fillId="2" borderId="76" xfId="0" applyFont="1" applyFill="1" applyBorder="1" applyAlignment="1">
      <alignment horizontal="center" vertical="center" wrapText="1"/>
    </xf>
    <xf numFmtId="172" fontId="115" fillId="2" borderId="71" xfId="0" applyNumberFormat="1" applyFont="1" applyFill="1" applyBorder="1" applyAlignment="1">
      <alignment horizontal="center" vertical="center" wrapText="1"/>
    </xf>
    <xf numFmtId="0" fontId="92" fillId="2" borderId="41" xfId="0" applyFont="1" applyFill="1" applyBorder="1" applyAlignment="1">
      <alignment vertical="center"/>
    </xf>
    <xf numFmtId="17" fontId="112" fillId="2" borderId="21" xfId="0" applyNumberFormat="1" applyFont="1" applyFill="1" applyBorder="1" applyAlignment="1">
      <alignment horizontal="center"/>
    </xf>
    <xf numFmtId="0" fontId="62" fillId="2" borderId="48" xfId="0" applyFont="1" applyFill="1" applyBorder="1" applyAlignment="1">
      <alignment horizontal="center" vertical="center" wrapText="1"/>
    </xf>
    <xf numFmtId="172" fontId="115" fillId="2" borderId="48" xfId="0" applyNumberFormat="1" applyFont="1" applyFill="1" applyBorder="1" applyAlignment="1">
      <alignment horizontal="center" vertical="center" wrapText="1"/>
    </xf>
    <xf numFmtId="0" fontId="92" fillId="2" borderId="51" xfId="0" applyFont="1" applyFill="1" applyBorder="1" applyAlignment="1">
      <alignment horizontal="center" vertical="center"/>
    </xf>
    <xf numFmtId="0" fontId="92" fillId="2" borderId="22" xfId="0" applyFont="1" applyFill="1" applyBorder="1"/>
    <xf numFmtId="0" fontId="79" fillId="2" borderId="52" xfId="0" applyFont="1" applyFill="1" applyBorder="1"/>
    <xf numFmtId="1" fontId="116" fillId="2" borderId="55" xfId="0" applyNumberFormat="1" applyFont="1" applyFill="1" applyBorder="1" applyAlignment="1">
      <alignment horizontal="center" vertical="center"/>
    </xf>
    <xf numFmtId="0" fontId="112" fillId="2" borderId="43" xfId="0" applyFont="1" applyFill="1" applyBorder="1" applyAlignment="1">
      <alignment horizontal="left" vertical="center"/>
    </xf>
    <xf numFmtId="1" fontId="92" fillId="2" borderId="12" xfId="0" applyNumberFormat="1" applyFont="1" applyFill="1" applyBorder="1" applyAlignment="1">
      <alignment horizontal="center" vertical="center"/>
    </xf>
    <xf numFmtId="1" fontId="79" fillId="2" borderId="12" xfId="0" applyNumberFormat="1" applyFont="1" applyFill="1" applyBorder="1" applyAlignment="1">
      <alignment horizontal="center" vertical="center"/>
    </xf>
    <xf numFmtId="1" fontId="79" fillId="2" borderId="63" xfId="0" applyNumberFormat="1" applyFont="1" applyFill="1" applyBorder="1" applyAlignment="1">
      <alignment horizontal="center" vertical="center"/>
    </xf>
    <xf numFmtId="1" fontId="92" fillId="2" borderId="49" xfId="0" applyNumberFormat="1" applyFont="1" applyFill="1" applyBorder="1" applyAlignment="1">
      <alignment horizontal="center" vertical="center"/>
    </xf>
    <xf numFmtId="1" fontId="79" fillId="2" borderId="20" xfId="0" applyNumberFormat="1" applyFont="1" applyFill="1" applyBorder="1" applyAlignment="1">
      <alignment horizontal="center" vertical="center"/>
    </xf>
    <xf numFmtId="1" fontId="62" fillId="2" borderId="16" xfId="0" applyNumberFormat="1" applyFont="1" applyFill="1" applyBorder="1" applyAlignment="1">
      <alignment horizontal="center" vertical="center"/>
    </xf>
    <xf numFmtId="1" fontId="79" fillId="2" borderId="74" xfId="0" applyNumberFormat="1" applyFont="1" applyFill="1" applyBorder="1" applyAlignment="1">
      <alignment horizontal="center" vertical="center"/>
    </xf>
    <xf numFmtId="1" fontId="79" fillId="2" borderId="14" xfId="0" applyNumberFormat="1" applyFont="1" applyFill="1" applyBorder="1" applyAlignment="1">
      <alignment horizontal="center" vertical="center"/>
    </xf>
    <xf numFmtId="1" fontId="79" fillId="2" borderId="22" xfId="0" applyNumberFormat="1" applyFont="1" applyFill="1" applyBorder="1" applyAlignment="1">
      <alignment horizontal="center" vertical="center"/>
    </xf>
    <xf numFmtId="0" fontId="62" fillId="2" borderId="43" xfId="0" applyFont="1" applyFill="1" applyBorder="1" applyAlignment="1">
      <alignment horizontal="left" vertical="center"/>
    </xf>
    <xf numFmtId="1" fontId="79" fillId="2" borderId="49" xfId="0" applyNumberFormat="1" applyFont="1" applyFill="1" applyBorder="1" applyAlignment="1">
      <alignment horizontal="center" vertical="center"/>
    </xf>
    <xf numFmtId="1" fontId="97" fillId="2" borderId="12" xfId="0" applyNumberFormat="1" applyFont="1" applyFill="1" applyBorder="1" applyAlignment="1">
      <alignment horizontal="center" vertical="center"/>
    </xf>
    <xf numFmtId="1" fontId="97" fillId="2" borderId="4" xfId="0" applyNumberFormat="1" applyFont="1" applyFill="1" applyBorder="1" applyAlignment="1">
      <alignment horizontal="center" vertical="center"/>
    </xf>
    <xf numFmtId="0" fontId="62" fillId="2" borderId="44" xfId="0" applyFont="1" applyFill="1" applyBorder="1" applyAlignment="1">
      <alignment vertical="center"/>
    </xf>
    <xf numFmtId="0" fontId="62" fillId="2" borderId="13" xfId="0" applyFont="1" applyFill="1" applyBorder="1" applyAlignment="1">
      <alignment horizontal="center" vertical="center"/>
    </xf>
    <xf numFmtId="0" fontId="62" fillId="2" borderId="35" xfId="0" applyFont="1" applyFill="1" applyBorder="1" applyAlignment="1">
      <alignment horizontal="left" vertical="center"/>
    </xf>
    <xf numFmtId="1" fontId="79" fillId="2" borderId="28" xfId="0" applyNumberFormat="1" applyFont="1" applyFill="1" applyBorder="1" applyAlignment="1">
      <alignment horizontal="center" vertical="center"/>
    </xf>
    <xf numFmtId="1" fontId="79" fillId="2" borderId="10" xfId="0" applyNumberFormat="1" applyFont="1" applyFill="1" applyBorder="1" applyAlignment="1">
      <alignment horizontal="center" vertical="center"/>
    </xf>
    <xf numFmtId="1" fontId="79" fillId="2" borderId="42" xfId="0" applyNumberFormat="1" applyFont="1" applyFill="1" applyBorder="1" applyAlignment="1">
      <alignment horizontal="center" vertical="center"/>
    </xf>
    <xf numFmtId="1" fontId="62" fillId="2" borderId="5" xfId="0" applyNumberFormat="1" applyFont="1" applyFill="1" applyBorder="1" applyAlignment="1">
      <alignment horizontal="center" vertical="center" wrapText="1"/>
    </xf>
    <xf numFmtId="1" fontId="62" fillId="2" borderId="72" xfId="0" applyNumberFormat="1" applyFont="1" applyFill="1" applyBorder="1" applyAlignment="1">
      <alignment horizontal="center" vertical="center"/>
    </xf>
    <xf numFmtId="1" fontId="62" fillId="2" borderId="71" xfId="0" applyNumberFormat="1" applyFont="1" applyFill="1" applyBorder="1" applyAlignment="1">
      <alignment horizontal="center" vertical="center"/>
    </xf>
    <xf numFmtId="0" fontId="79" fillId="2" borderId="36" xfId="0" applyFont="1" applyFill="1" applyBorder="1"/>
    <xf numFmtId="1" fontId="79" fillId="2" borderId="43" xfId="0" applyNumberFormat="1" applyFont="1" applyFill="1" applyBorder="1" applyAlignment="1">
      <alignment horizontal="center" vertical="center"/>
    </xf>
    <xf numFmtId="1" fontId="62" fillId="2" borderId="13" xfId="0" applyNumberFormat="1" applyFont="1" applyFill="1" applyBorder="1" applyAlignment="1">
      <alignment horizontal="center" vertical="center"/>
    </xf>
    <xf numFmtId="165" fontId="79" fillId="2" borderId="12" xfId="0" applyNumberFormat="1" applyFont="1" applyFill="1" applyBorder="1" applyAlignment="1">
      <alignment horizontal="center" vertical="center"/>
    </xf>
    <xf numFmtId="165" fontId="79" fillId="2" borderId="46" xfId="0" applyNumberFormat="1" applyFont="1" applyFill="1" applyBorder="1" applyAlignment="1">
      <alignment horizontal="center" vertical="center"/>
    </xf>
    <xf numFmtId="1" fontId="79" fillId="2" borderId="58" xfId="0" applyNumberFormat="1" applyFont="1" applyFill="1" applyBorder="1"/>
    <xf numFmtId="1" fontId="79" fillId="2" borderId="53" xfId="0" applyNumberFormat="1" applyFont="1" applyFill="1" applyBorder="1" applyAlignment="1">
      <alignment horizontal="center" vertical="center"/>
    </xf>
    <xf numFmtId="0" fontId="79" fillId="2" borderId="12" xfId="0" applyFont="1" applyFill="1" applyBorder="1" applyAlignment="1">
      <alignment horizontal="center" vertical="center"/>
    </xf>
    <xf numFmtId="1" fontId="79" fillId="2" borderId="46" xfId="0" applyNumberFormat="1" applyFont="1" applyFill="1" applyBorder="1" applyAlignment="1">
      <alignment horizontal="center" vertical="center"/>
    </xf>
    <xf numFmtId="0" fontId="79" fillId="2" borderId="58" xfId="0" applyFont="1" applyFill="1" applyBorder="1"/>
    <xf numFmtId="1" fontId="62" fillId="2" borderId="34" xfId="0" applyNumberFormat="1" applyFont="1" applyFill="1" applyBorder="1" applyAlignment="1">
      <alignment horizontal="center" vertical="center"/>
    </xf>
    <xf numFmtId="1" fontId="62" fillId="2" borderId="14" xfId="0" applyNumberFormat="1" applyFont="1" applyFill="1" applyBorder="1" applyAlignment="1">
      <alignment horizontal="center" vertical="center"/>
    </xf>
    <xf numFmtId="1" fontId="62" fillId="2" borderId="58" xfId="0" applyNumberFormat="1" applyFont="1" applyFill="1" applyBorder="1" applyAlignment="1">
      <alignment vertical="center"/>
    </xf>
    <xf numFmtId="1" fontId="62" fillId="2" borderId="40" xfId="0" applyNumberFormat="1" applyFont="1" applyFill="1" applyBorder="1" applyAlignment="1">
      <alignment vertical="center" wrapText="1"/>
    </xf>
    <xf numFmtId="1" fontId="79" fillId="2" borderId="67" xfId="0" applyNumberFormat="1" applyFont="1" applyFill="1" applyBorder="1" applyAlignment="1">
      <alignment horizontal="center" vertical="center"/>
    </xf>
    <xf numFmtId="1" fontId="79" fillId="2" borderId="68" xfId="0" applyNumberFormat="1" applyFont="1" applyFill="1" applyBorder="1" applyAlignment="1">
      <alignment horizontal="center" vertical="center"/>
    </xf>
    <xf numFmtId="9" fontId="79" fillId="2" borderId="58" xfId="18" applyFont="1" applyFill="1" applyBorder="1" applyAlignment="1"/>
    <xf numFmtId="168" fontId="62" fillId="2" borderId="16" xfId="0" applyNumberFormat="1" applyFont="1" applyFill="1" applyBorder="1" applyAlignment="1">
      <alignment horizontal="center" vertical="center"/>
    </xf>
    <xf numFmtId="0" fontId="79" fillId="2" borderId="60" xfId="0" applyFont="1" applyFill="1" applyBorder="1"/>
    <xf numFmtId="0" fontId="79" fillId="2" borderId="32" xfId="0" applyFont="1" applyFill="1" applyBorder="1"/>
    <xf numFmtId="0" fontId="62" fillId="2" borderId="15" xfId="0" applyFont="1" applyFill="1" applyBorder="1" applyAlignment="1">
      <alignment horizontal="center" vertical="center"/>
    </xf>
    <xf numFmtId="0" fontId="62" fillId="2" borderId="44" xfId="0" applyFont="1" applyFill="1" applyBorder="1" applyAlignment="1">
      <alignment horizontal="left" vertical="center"/>
    </xf>
    <xf numFmtId="1" fontId="79" fillId="2" borderId="47" xfId="0" applyNumberFormat="1" applyFont="1" applyFill="1" applyBorder="1" applyAlignment="1">
      <alignment horizontal="center" vertical="center"/>
    </xf>
    <xf numFmtId="1" fontId="97" fillId="2" borderId="22" xfId="0" applyNumberFormat="1" applyFont="1" applyFill="1" applyBorder="1" applyAlignment="1">
      <alignment horizontal="center" vertical="center"/>
    </xf>
    <xf numFmtId="1" fontId="79" fillId="2" borderId="55" xfId="0" applyNumberFormat="1" applyFont="1" applyFill="1" applyBorder="1" applyAlignment="1">
      <alignment horizontal="center" vertical="center"/>
    </xf>
    <xf numFmtId="1" fontId="97" fillId="2" borderId="20" xfId="0" applyNumberFormat="1" applyFont="1" applyFill="1" applyBorder="1" applyAlignment="1">
      <alignment horizontal="center" vertical="center"/>
    </xf>
    <xf numFmtId="0" fontId="62" fillId="2" borderId="2" xfId="0" applyFont="1" applyFill="1" applyBorder="1" applyAlignment="1">
      <alignment horizontal="left" vertical="center"/>
    </xf>
    <xf numFmtId="1" fontId="79" fillId="2" borderId="75" xfId="0" applyNumberFormat="1" applyFont="1" applyFill="1" applyBorder="1" applyAlignment="1">
      <alignment horizontal="center" vertical="center"/>
    </xf>
    <xf numFmtId="0" fontId="62" fillId="2" borderId="7" xfId="0" applyFont="1" applyFill="1" applyBorder="1" applyAlignment="1">
      <alignment horizontal="center" vertical="center"/>
    </xf>
    <xf numFmtId="0" fontId="62" fillId="2" borderId="21" xfId="0" applyFont="1" applyFill="1" applyBorder="1" applyAlignment="1">
      <alignment horizontal="center" vertical="center"/>
    </xf>
    <xf numFmtId="0" fontId="62" fillId="2" borderId="21" xfId="0" applyFont="1" applyFill="1" applyBorder="1" applyAlignment="1">
      <alignment horizontal="center" vertical="center" wrapText="1"/>
    </xf>
    <xf numFmtId="0" fontId="62" fillId="2" borderId="29" xfId="0" applyFont="1" applyFill="1" applyBorder="1" applyAlignment="1">
      <alignment horizontal="center" vertical="center"/>
    </xf>
    <xf numFmtId="17" fontId="62" fillId="2" borderId="21" xfId="0" applyNumberFormat="1" applyFont="1" applyFill="1" applyBorder="1" applyAlignment="1">
      <alignment horizontal="center" vertical="center" wrapText="1"/>
    </xf>
    <xf numFmtId="17" fontId="62" fillId="2" borderId="21" xfId="0" applyNumberFormat="1" applyFont="1" applyFill="1" applyBorder="1" applyAlignment="1">
      <alignment horizontal="center" vertical="center"/>
    </xf>
    <xf numFmtId="0" fontId="62" fillId="2" borderId="8" xfId="0" applyFont="1" applyFill="1" applyBorder="1" applyAlignment="1">
      <alignment horizontal="center" vertical="center" wrapText="1"/>
    </xf>
    <xf numFmtId="0" fontId="62" fillId="2" borderId="48" xfId="0" applyFont="1" applyFill="1" applyBorder="1" applyAlignment="1">
      <alignment horizontal="center" vertical="center"/>
    </xf>
    <xf numFmtId="17" fontId="62" fillId="2" borderId="48" xfId="0" applyNumberFormat="1" applyFont="1" applyFill="1" applyBorder="1" applyAlignment="1">
      <alignment horizontal="center" vertical="center" wrapText="1"/>
    </xf>
    <xf numFmtId="0" fontId="62" fillId="2" borderId="51" xfId="0" applyFont="1" applyFill="1" applyBorder="1" applyAlignment="1">
      <alignment horizontal="center" vertical="center"/>
    </xf>
    <xf numFmtId="0" fontId="62" fillId="2" borderId="9" xfId="0" applyFont="1" applyFill="1" applyBorder="1" applyAlignment="1">
      <alignment horizontal="center" vertical="center"/>
    </xf>
    <xf numFmtId="0" fontId="62" fillId="2" borderId="2" xfId="0" applyFont="1" applyFill="1" applyBorder="1" applyAlignment="1">
      <alignment horizontal="center" vertical="center" wrapText="1"/>
    </xf>
    <xf numFmtId="0" fontId="62" fillId="2" borderId="66" xfId="0" applyFont="1" applyFill="1" applyBorder="1" applyAlignment="1">
      <alignment horizontal="center" vertical="center"/>
    </xf>
    <xf numFmtId="0" fontId="62" fillId="2" borderId="15" xfId="0" applyFont="1" applyFill="1" applyBorder="1" applyAlignment="1">
      <alignment horizontal="center" vertical="center" wrapText="1"/>
    </xf>
    <xf numFmtId="0" fontId="62" fillId="2" borderId="18" xfId="0" applyFont="1" applyFill="1" applyBorder="1" applyAlignment="1">
      <alignment horizontal="center" vertical="center"/>
    </xf>
    <xf numFmtId="1" fontId="62" fillId="2" borderId="75" xfId="0" applyNumberFormat="1" applyFont="1" applyFill="1" applyBorder="1" applyAlignment="1">
      <alignment horizontal="center" vertical="center"/>
    </xf>
    <xf numFmtId="1" fontId="62" fillId="2" borderId="15" xfId="0" applyNumberFormat="1" applyFont="1" applyFill="1" applyBorder="1" applyAlignment="1">
      <alignment horizontal="center" vertical="center" wrapText="1"/>
    </xf>
    <xf numFmtId="2" fontId="117" fillId="2" borderId="36" xfId="0" applyNumberFormat="1" applyFont="1" applyFill="1" applyBorder="1" applyAlignment="1">
      <alignment vertical="center"/>
    </xf>
    <xf numFmtId="0" fontId="62" fillId="2" borderId="5" xfId="0" applyFont="1" applyFill="1" applyBorder="1" applyAlignment="1">
      <alignment horizontal="center" vertical="center" wrapText="1"/>
    </xf>
    <xf numFmtId="1" fontId="79" fillId="2" borderId="72" xfId="0" applyNumberFormat="1" applyFont="1" applyFill="1" applyBorder="1" applyAlignment="1">
      <alignment horizontal="center" vertical="center"/>
    </xf>
    <xf numFmtId="1" fontId="79" fillId="2" borderId="71" xfId="0" applyNumberFormat="1" applyFont="1" applyFill="1" applyBorder="1" applyAlignment="1">
      <alignment horizontal="center" vertical="center"/>
    </xf>
    <xf numFmtId="0" fontId="117" fillId="2" borderId="58" xfId="0" applyFont="1" applyFill="1" applyBorder="1" applyAlignment="1">
      <alignment vertical="center"/>
    </xf>
    <xf numFmtId="2" fontId="117" fillId="2" borderId="58" xfId="0" applyNumberFormat="1" applyFont="1" applyFill="1" applyBorder="1" applyAlignment="1">
      <alignment vertical="center"/>
    </xf>
    <xf numFmtId="0" fontId="110" fillId="2" borderId="66" xfId="0" applyFont="1" applyFill="1" applyBorder="1" applyAlignment="1">
      <alignment horizontal="center" vertical="center"/>
    </xf>
    <xf numFmtId="1" fontId="97" fillId="2" borderId="67" xfId="0" applyNumberFormat="1" applyFont="1" applyFill="1" applyBorder="1" applyAlignment="1">
      <alignment horizontal="center" vertical="center"/>
    </xf>
    <xf numFmtId="1" fontId="97" fillId="2" borderId="68" xfId="0" applyNumberFormat="1" applyFont="1" applyFill="1" applyBorder="1" applyAlignment="1">
      <alignment horizontal="center" vertical="center"/>
    </xf>
    <xf numFmtId="0" fontId="62" fillId="2" borderId="75" xfId="0" applyFont="1" applyFill="1" applyBorder="1" applyAlignment="1">
      <alignment horizontal="center" vertical="center"/>
    </xf>
    <xf numFmtId="0" fontId="62" fillId="2" borderId="64" xfId="0" applyFont="1" applyFill="1" applyBorder="1" applyAlignment="1">
      <alignment horizontal="center" vertical="center" wrapText="1"/>
    </xf>
    <xf numFmtId="0" fontId="62" fillId="2" borderId="64" xfId="0" applyFont="1" applyFill="1" applyBorder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0" fontId="62" fillId="2" borderId="23" xfId="0" applyFont="1" applyFill="1" applyBorder="1" applyAlignment="1">
      <alignment horizontal="center" vertical="center"/>
    </xf>
    <xf numFmtId="2" fontId="79" fillId="2" borderId="12" xfId="0" applyNumberFormat="1" applyFont="1" applyFill="1" applyBorder="1" applyAlignment="1">
      <alignment horizontal="center" vertical="center"/>
    </xf>
    <xf numFmtId="165" fontId="79" fillId="2" borderId="63" xfId="0" applyNumberFormat="1" applyFont="1" applyFill="1" applyBorder="1" applyAlignment="1">
      <alignment horizontal="center" vertical="center"/>
    </xf>
    <xf numFmtId="0" fontId="62" fillId="2" borderId="2" xfId="0" applyFont="1" applyFill="1" applyBorder="1" applyAlignment="1">
      <alignment horizontal="center" vertical="center"/>
    </xf>
    <xf numFmtId="0" fontId="62" fillId="2" borderId="25" xfId="0" applyFont="1" applyFill="1" applyBorder="1" applyAlignment="1">
      <alignment horizontal="center" vertical="center" wrapText="1"/>
    </xf>
    <xf numFmtId="0" fontId="62" fillId="2" borderId="55" xfId="0" applyFont="1" applyFill="1" applyBorder="1" applyAlignment="1">
      <alignment horizontal="center" vertical="center"/>
    </xf>
    <xf numFmtId="0" fontId="62" fillId="2" borderId="35" xfId="0" applyFont="1" applyFill="1" applyBorder="1" applyAlignment="1">
      <alignment horizontal="center" vertical="center" wrapText="1"/>
    </xf>
    <xf numFmtId="165" fontId="79" fillId="2" borderId="67" xfId="0" applyNumberFormat="1" applyFont="1" applyFill="1" applyBorder="1" applyAlignment="1">
      <alignment horizontal="center" vertical="center"/>
    </xf>
    <xf numFmtId="165" fontId="79" fillId="2" borderId="68" xfId="0" applyNumberFormat="1" applyFont="1" applyFill="1" applyBorder="1" applyAlignment="1">
      <alignment horizontal="center" vertical="center"/>
    </xf>
    <xf numFmtId="0" fontId="62" fillId="2" borderId="23" xfId="0" applyFont="1" applyFill="1" applyBorder="1" applyAlignment="1">
      <alignment horizontal="center" vertical="center" wrapText="1"/>
    </xf>
    <xf numFmtId="0" fontId="62" fillId="2" borderId="16" xfId="0" applyFont="1" applyFill="1" applyBorder="1" applyAlignment="1">
      <alignment horizontal="center" vertical="center" wrapText="1"/>
    </xf>
    <xf numFmtId="0" fontId="62" fillId="2" borderId="18" xfId="0" applyFont="1" applyFill="1" applyBorder="1" applyAlignment="1">
      <alignment horizontal="center" vertical="center" wrapText="1"/>
    </xf>
    <xf numFmtId="0" fontId="62" fillId="2" borderId="74" xfId="0" applyFont="1" applyFill="1" applyBorder="1" applyAlignment="1">
      <alignment vertical="center" wrapText="1"/>
    </xf>
    <xf numFmtId="0" fontId="62" fillId="2" borderId="62" xfId="0" applyFont="1" applyFill="1" applyBorder="1" applyAlignment="1">
      <alignment vertical="center" wrapText="1"/>
    </xf>
    <xf numFmtId="0" fontId="62" fillId="2" borderId="78" xfId="0" applyFont="1" applyFill="1" applyBorder="1" applyAlignment="1">
      <alignment horizontal="center" vertical="center"/>
    </xf>
    <xf numFmtId="0" fontId="62" fillId="2" borderId="52" xfId="0" applyFont="1" applyFill="1" applyBorder="1" applyAlignment="1">
      <alignment horizontal="center" vertical="center" wrapText="1"/>
    </xf>
    <xf numFmtId="0" fontId="62" fillId="2" borderId="42" xfId="0" applyFont="1" applyFill="1" applyBorder="1" applyAlignment="1">
      <alignment vertical="center"/>
    </xf>
    <xf numFmtId="0" fontId="79" fillId="2" borderId="71" xfId="0" applyFont="1" applyFill="1" applyBorder="1" applyAlignment="1">
      <alignment horizontal="center" vertical="center"/>
    </xf>
    <xf numFmtId="0" fontId="79" fillId="2" borderId="19" xfId="0" applyFont="1" applyFill="1" applyBorder="1" applyAlignment="1">
      <alignment horizontal="center" vertical="center"/>
    </xf>
    <xf numFmtId="1" fontId="79" fillId="2" borderId="58" xfId="0" applyNumberFormat="1" applyFont="1" applyFill="1" applyBorder="1" applyAlignment="1">
      <alignment horizontal="center" vertical="center"/>
    </xf>
    <xf numFmtId="0" fontId="62" fillId="2" borderId="53" xfId="0" applyFont="1" applyFill="1" applyBorder="1" applyAlignment="1">
      <alignment vertical="center"/>
    </xf>
    <xf numFmtId="0" fontId="79" fillId="2" borderId="68" xfId="0" applyFont="1" applyFill="1" applyBorder="1" applyAlignment="1">
      <alignment horizontal="center" vertical="center"/>
    </xf>
    <xf numFmtId="2" fontId="79" fillId="2" borderId="46" xfId="0" applyNumberFormat="1" applyFont="1" applyFill="1" applyBorder="1" applyAlignment="1">
      <alignment horizontal="center" vertical="center"/>
    </xf>
    <xf numFmtId="0" fontId="62" fillId="2" borderId="5" xfId="0" applyFont="1" applyFill="1" applyBorder="1" applyAlignment="1">
      <alignment horizontal="left" vertical="center"/>
    </xf>
    <xf numFmtId="0" fontId="62" fillId="2" borderId="72" xfId="0" applyFont="1" applyFill="1" applyBorder="1" applyAlignment="1">
      <alignment horizontal="center" vertical="center"/>
    </xf>
    <xf numFmtId="0" fontId="62" fillId="2" borderId="77" xfId="0" applyFont="1" applyFill="1" applyBorder="1" applyAlignment="1">
      <alignment horizontal="center" vertical="center"/>
    </xf>
    <xf numFmtId="0" fontId="110" fillId="2" borderId="71" xfId="0" applyFont="1" applyFill="1" applyBorder="1" applyAlignment="1">
      <alignment horizontal="center" vertical="center" wrapText="1"/>
    </xf>
    <xf numFmtId="0" fontId="79" fillId="2" borderId="63" xfId="0" applyFont="1" applyFill="1" applyBorder="1" applyAlignment="1">
      <alignment horizontal="center" vertical="center"/>
    </xf>
    <xf numFmtId="0" fontId="110" fillId="2" borderId="46" xfId="0" applyFont="1" applyFill="1" applyBorder="1" applyAlignment="1">
      <alignment horizontal="center" vertical="center"/>
    </xf>
    <xf numFmtId="2" fontId="97" fillId="2" borderId="46" xfId="0" applyNumberFormat="1" applyFont="1" applyFill="1" applyBorder="1" applyAlignment="1">
      <alignment horizontal="center" vertical="center"/>
    </xf>
    <xf numFmtId="0" fontId="110" fillId="2" borderId="55" xfId="0" applyFont="1" applyFill="1" applyBorder="1" applyAlignment="1">
      <alignment horizontal="center" vertical="center"/>
    </xf>
    <xf numFmtId="2" fontId="79" fillId="2" borderId="67" xfId="0" applyNumberFormat="1" applyFont="1" applyFill="1" applyBorder="1" applyAlignment="1">
      <alignment horizontal="center" vertical="center"/>
    </xf>
    <xf numFmtId="1" fontId="79" fillId="2" borderId="39" xfId="0" applyNumberFormat="1" applyFont="1" applyFill="1" applyBorder="1" applyAlignment="1">
      <alignment horizontal="center" vertical="center"/>
    </xf>
    <xf numFmtId="2" fontId="97" fillId="2" borderId="68" xfId="0" applyNumberFormat="1" applyFont="1" applyFill="1" applyBorder="1" applyAlignment="1">
      <alignment horizontal="center" vertical="center"/>
    </xf>
    <xf numFmtId="2" fontId="97" fillId="2" borderId="21" xfId="0" applyNumberFormat="1" applyFont="1" applyFill="1" applyBorder="1" applyAlignment="1">
      <alignment horizontal="center" vertical="center"/>
    </xf>
    <xf numFmtId="1" fontId="97" fillId="2" borderId="21" xfId="0" applyNumberFormat="1" applyFont="1" applyFill="1" applyBorder="1" applyAlignment="1">
      <alignment horizontal="center" vertical="center"/>
    </xf>
    <xf numFmtId="1" fontId="97" fillId="2" borderId="48" xfId="0" applyNumberFormat="1" applyFont="1" applyFill="1" applyBorder="1" applyAlignment="1">
      <alignment horizontal="center" vertical="center"/>
    </xf>
    <xf numFmtId="0" fontId="62" fillId="2" borderId="37" xfId="0" applyFont="1" applyFill="1" applyBorder="1" applyAlignment="1">
      <alignment horizontal="center" vertical="center"/>
    </xf>
    <xf numFmtId="0" fontId="107" fillId="2" borderId="21" xfId="0" applyFont="1" applyFill="1" applyBorder="1" applyAlignment="1">
      <alignment horizontal="center" vertical="center"/>
    </xf>
    <xf numFmtId="2" fontId="79" fillId="2" borderId="22" xfId="0" applyNumberFormat="1" applyFont="1" applyFill="1" applyBorder="1" applyAlignment="1">
      <alignment horizontal="center" vertical="center"/>
    </xf>
    <xf numFmtId="2" fontId="62" fillId="2" borderId="0" xfId="0" applyNumberFormat="1" applyFont="1" applyFill="1" applyBorder="1" applyAlignment="1">
      <alignment horizontal="center" vertical="center"/>
    </xf>
    <xf numFmtId="2" fontId="62" fillId="2" borderId="0" xfId="0" applyNumberFormat="1" applyFont="1" applyFill="1" applyBorder="1" applyAlignment="1">
      <alignment vertical="center" wrapText="1"/>
    </xf>
    <xf numFmtId="2" fontId="79" fillId="2" borderId="63" xfId="0" applyNumberFormat="1" applyFont="1" applyFill="1" applyBorder="1" applyAlignment="1">
      <alignment horizontal="center" vertical="center"/>
    </xf>
    <xf numFmtId="0" fontId="107" fillId="2" borderId="2" xfId="0" applyFont="1" applyFill="1" applyBorder="1" applyAlignment="1">
      <alignment horizontal="center" vertical="center"/>
    </xf>
    <xf numFmtId="0" fontId="107" fillId="2" borderId="75" xfId="0" applyFont="1" applyFill="1" applyBorder="1" applyAlignment="1">
      <alignment horizontal="center" vertical="center"/>
    </xf>
    <xf numFmtId="0" fontId="107" fillId="2" borderId="23" xfId="0" applyFont="1" applyFill="1" applyBorder="1" applyAlignment="1">
      <alignment horizontal="center" vertical="center" wrapText="1"/>
    </xf>
    <xf numFmtId="0" fontId="62" fillId="2" borderId="61" xfId="0" applyFont="1" applyFill="1" applyBorder="1" applyAlignment="1">
      <alignment horizontal="center" vertical="center"/>
    </xf>
    <xf numFmtId="2" fontId="62" fillId="2" borderId="65" xfId="0" applyNumberFormat="1" applyFont="1" applyFill="1" applyBorder="1" applyAlignment="1">
      <alignment horizontal="center" vertical="center"/>
    </xf>
    <xf numFmtId="2" fontId="62" fillId="2" borderId="76" xfId="0" applyNumberFormat="1" applyFont="1" applyFill="1" applyBorder="1" applyAlignment="1">
      <alignment horizontal="center" vertical="center"/>
    </xf>
    <xf numFmtId="2" fontId="62" fillId="2" borderId="58" xfId="0" applyNumberFormat="1" applyFont="1" applyFill="1" applyBorder="1" applyAlignment="1">
      <alignment horizontal="center" vertical="center"/>
    </xf>
    <xf numFmtId="2" fontId="79" fillId="2" borderId="13" xfId="0" applyNumberFormat="1" applyFont="1" applyFill="1" applyBorder="1" applyAlignment="1">
      <alignment horizontal="center" vertical="center"/>
    </xf>
    <xf numFmtId="0" fontId="79" fillId="2" borderId="62" xfId="0" applyFont="1" applyFill="1" applyBorder="1"/>
    <xf numFmtId="0" fontId="79" fillId="2" borderId="0" xfId="0" applyFont="1" applyFill="1" applyBorder="1" applyAlignment="1">
      <alignment horizontal="center" vertical="center"/>
    </xf>
    <xf numFmtId="0" fontId="118" fillId="2" borderId="0" xfId="17" applyFont="1" applyFill="1" applyBorder="1" applyAlignment="1">
      <alignment horizontal="center" vertical="center"/>
    </xf>
    <xf numFmtId="0" fontId="79" fillId="2" borderId="34" xfId="0" applyFont="1" applyFill="1" applyBorder="1" applyAlignment="1">
      <alignment horizontal="center" vertical="center"/>
    </xf>
    <xf numFmtId="0" fontId="79" fillId="2" borderId="3" xfId="0" applyFont="1" applyFill="1" applyBorder="1" applyAlignment="1">
      <alignment horizontal="center" vertical="center"/>
    </xf>
    <xf numFmtId="0" fontId="62" fillId="2" borderId="0" xfId="0" applyFont="1" applyFill="1" applyBorder="1" applyAlignment="1">
      <alignment horizontal="center" vertical="center"/>
    </xf>
    <xf numFmtId="0" fontId="62" fillId="2" borderId="58" xfId="0" applyFont="1" applyFill="1" applyBorder="1" applyAlignment="1">
      <alignment horizontal="center" vertical="center"/>
    </xf>
    <xf numFmtId="0" fontId="62" fillId="2" borderId="2" xfId="0" applyFont="1" applyFill="1" applyBorder="1" applyAlignment="1">
      <alignment horizontal="center"/>
    </xf>
    <xf numFmtId="165" fontId="62" fillId="2" borderId="75" xfId="0" applyNumberFormat="1" applyFont="1" applyFill="1" applyBorder="1" applyAlignment="1">
      <alignment horizontal="center" vertical="center"/>
    </xf>
    <xf numFmtId="0" fontId="62" fillId="2" borderId="74" xfId="0" applyFont="1" applyFill="1" applyBorder="1" applyAlignment="1">
      <alignment horizontal="center" vertical="center"/>
    </xf>
    <xf numFmtId="0" fontId="62" fillId="2" borderId="51" xfId="0" applyFont="1" applyFill="1" applyBorder="1" applyAlignment="1">
      <alignment horizontal="center"/>
    </xf>
    <xf numFmtId="165" fontId="79" fillId="2" borderId="43" xfId="0" applyNumberFormat="1" applyFont="1" applyFill="1" applyBorder="1" applyAlignment="1">
      <alignment horizontal="center" vertical="center"/>
    </xf>
    <xf numFmtId="165" fontId="79" fillId="2" borderId="5" xfId="0" applyNumberFormat="1" applyFont="1" applyFill="1" applyBorder="1" applyAlignment="1">
      <alignment horizontal="center" vertical="center"/>
    </xf>
    <xf numFmtId="2" fontId="79" fillId="2" borderId="72" xfId="0" applyNumberFormat="1" applyFont="1" applyFill="1" applyBorder="1" applyAlignment="1">
      <alignment horizontal="center" vertical="center"/>
    </xf>
    <xf numFmtId="165" fontId="79" fillId="2" borderId="71" xfId="0" applyNumberFormat="1" applyFont="1" applyFill="1" applyBorder="1" applyAlignment="1">
      <alignment horizontal="center" vertical="center"/>
    </xf>
    <xf numFmtId="0" fontId="62" fillId="2" borderId="66" xfId="0" applyFont="1" applyFill="1" applyBorder="1" applyAlignment="1">
      <alignment horizontal="center"/>
    </xf>
    <xf numFmtId="165" fontId="79" fillId="2" borderId="53" xfId="0" applyNumberFormat="1" applyFont="1" applyFill="1" applyBorder="1" applyAlignment="1">
      <alignment horizontal="center" vertical="center"/>
    </xf>
    <xf numFmtId="165" fontId="79" fillId="2" borderId="66" xfId="0" applyNumberFormat="1" applyFont="1" applyFill="1" applyBorder="1" applyAlignment="1">
      <alignment horizontal="center" vertical="center"/>
    </xf>
    <xf numFmtId="0" fontId="117" fillId="2" borderId="38" xfId="0" applyFont="1" applyFill="1" applyBorder="1" applyAlignment="1">
      <alignment vertical="center"/>
    </xf>
    <xf numFmtId="18" fontId="112" fillId="2" borderId="5" xfId="0" applyNumberFormat="1" applyFont="1" applyFill="1" applyBorder="1" applyAlignment="1">
      <alignment horizontal="center"/>
    </xf>
    <xf numFmtId="2" fontId="92" fillId="2" borderId="72" xfId="0" applyNumberFormat="1" applyFont="1" applyFill="1" applyBorder="1" applyAlignment="1">
      <alignment horizontal="center" vertical="center"/>
    </xf>
    <xf numFmtId="168" fontId="92" fillId="2" borderId="72" xfId="0" applyNumberFormat="1" applyFont="1" applyFill="1" applyBorder="1" applyAlignment="1">
      <alignment horizontal="center" vertical="center"/>
    </xf>
    <xf numFmtId="0" fontId="112" fillId="2" borderId="66" xfId="0" applyFont="1" applyFill="1" applyBorder="1" applyAlignment="1">
      <alignment horizontal="center"/>
    </xf>
    <xf numFmtId="2" fontId="92" fillId="2" borderId="12" xfId="0" applyNumberFormat="1" applyFont="1" applyFill="1" applyBorder="1" applyAlignment="1">
      <alignment horizontal="center" vertical="center"/>
    </xf>
    <xf numFmtId="168" fontId="92" fillId="2" borderId="12" xfId="0" applyNumberFormat="1" applyFont="1" applyFill="1" applyBorder="1" applyAlignment="1">
      <alignment horizontal="center" vertical="center"/>
    </xf>
    <xf numFmtId="0" fontId="112" fillId="2" borderId="13" xfId="0" applyFont="1" applyFill="1" applyBorder="1" applyAlignment="1">
      <alignment horizontal="center" vertical="center"/>
    </xf>
    <xf numFmtId="0" fontId="112" fillId="2" borderId="12" xfId="0" applyFont="1" applyFill="1" applyBorder="1" applyAlignment="1">
      <alignment horizontal="center" vertical="center"/>
    </xf>
    <xf numFmtId="0" fontId="62" fillId="2" borderId="12" xfId="0" applyFont="1" applyFill="1" applyBorder="1" applyAlignment="1">
      <alignment horizontal="center" vertical="center"/>
    </xf>
    <xf numFmtId="1" fontId="62" fillId="2" borderId="46" xfId="0" applyNumberFormat="1" applyFont="1" applyFill="1" applyBorder="1" applyAlignment="1">
      <alignment horizontal="center" vertical="center"/>
    </xf>
    <xf numFmtId="0" fontId="112" fillId="2" borderId="13" xfId="0" applyFont="1" applyFill="1" applyBorder="1" applyAlignment="1">
      <alignment horizontal="left" vertical="center"/>
    </xf>
    <xf numFmtId="1" fontId="92" fillId="2" borderId="46" xfId="0" applyNumberFormat="1" applyFont="1" applyFill="1" applyBorder="1" applyAlignment="1">
      <alignment horizontal="center" vertical="center"/>
    </xf>
    <xf numFmtId="0" fontId="112" fillId="2" borderId="80" xfId="0" applyFont="1" applyFill="1" applyBorder="1" applyAlignment="1">
      <alignment horizontal="center" vertical="center"/>
    </xf>
    <xf numFmtId="0" fontId="112" fillId="2" borderId="76" xfId="0" applyFont="1" applyFill="1" applyBorder="1" applyAlignment="1">
      <alignment horizontal="center" vertical="center"/>
    </xf>
    <xf numFmtId="1" fontId="119" fillId="2" borderId="0" xfId="0" applyNumberFormat="1" applyFont="1" applyFill="1" applyBorder="1" applyAlignment="1">
      <alignment horizontal="center" vertical="center" wrapText="1"/>
    </xf>
    <xf numFmtId="0" fontId="112" fillId="2" borderId="8" xfId="0" applyFont="1" applyFill="1" applyBorder="1" applyAlignment="1">
      <alignment horizontal="center" vertical="center"/>
    </xf>
    <xf numFmtId="0" fontId="112" fillId="2" borderId="21" xfId="0" applyFont="1" applyFill="1" applyBorder="1" applyAlignment="1">
      <alignment horizontal="center" vertical="center"/>
    </xf>
    <xf numFmtId="0" fontId="112" fillId="2" borderId="48" xfId="0" applyFont="1" applyFill="1" applyBorder="1" applyAlignment="1">
      <alignment horizontal="center" vertical="center"/>
    </xf>
    <xf numFmtId="0" fontId="112" fillId="2" borderId="51" xfId="0" applyFont="1" applyFill="1" applyBorder="1" applyAlignment="1">
      <alignment horizontal="left" vertical="center"/>
    </xf>
    <xf numFmtId="0" fontId="112" fillId="2" borderId="66" xfId="0" applyFont="1" applyFill="1" applyBorder="1" applyAlignment="1">
      <alignment horizontal="left" vertical="center"/>
    </xf>
    <xf numFmtId="1" fontId="92" fillId="2" borderId="67" xfId="0" applyNumberFormat="1" applyFont="1" applyFill="1" applyBorder="1" applyAlignment="1">
      <alignment horizontal="center" vertical="center"/>
    </xf>
    <xf numFmtId="1" fontId="92" fillId="2" borderId="68" xfId="0" applyNumberFormat="1" applyFont="1" applyFill="1" applyBorder="1" applyAlignment="1">
      <alignment horizontal="center" vertical="center"/>
    </xf>
    <xf numFmtId="1" fontId="112" fillId="2" borderId="17" xfId="0" applyNumberFormat="1" applyFont="1" applyFill="1" applyBorder="1" applyAlignment="1">
      <alignment vertical="center"/>
    </xf>
    <xf numFmtId="1" fontId="110" fillId="2" borderId="0" xfId="0" applyNumberFormat="1" applyFont="1" applyFill="1" applyBorder="1" applyAlignment="1">
      <alignment vertical="center"/>
    </xf>
    <xf numFmtId="1" fontId="112" fillId="2" borderId="0" xfId="0" applyNumberFormat="1" applyFont="1" applyFill="1" applyBorder="1" applyAlignment="1">
      <alignment vertical="center"/>
    </xf>
    <xf numFmtId="1" fontId="117" fillId="2" borderId="3" xfId="0" applyNumberFormat="1" applyFont="1" applyFill="1" applyBorder="1" applyAlignment="1">
      <alignment horizontal="center" vertical="center"/>
    </xf>
    <xf numFmtId="1" fontId="117" fillId="2" borderId="36" xfId="0" applyNumberFormat="1" applyFont="1" applyFill="1" applyBorder="1" applyAlignment="1">
      <alignment horizontal="center" vertical="center"/>
    </xf>
    <xf numFmtId="1" fontId="62" fillId="2" borderId="58" xfId="0" applyNumberFormat="1" applyFont="1" applyFill="1" applyBorder="1" applyAlignment="1">
      <alignment horizontal="center" vertical="center"/>
    </xf>
    <xf numFmtId="0" fontId="112" fillId="2" borderId="61" xfId="0" applyFont="1" applyFill="1" applyBorder="1" applyAlignment="1">
      <alignment horizontal="left" vertical="center"/>
    </xf>
    <xf numFmtId="1" fontId="110" fillId="2" borderId="0" xfId="0" applyNumberFormat="1" applyFont="1" applyFill="1" applyBorder="1" applyAlignment="1">
      <alignment vertical="center" wrapText="1"/>
    </xf>
    <xf numFmtId="1" fontId="62" fillId="2" borderId="0" xfId="0" applyNumberFormat="1" applyFont="1" applyFill="1" applyBorder="1" applyAlignment="1">
      <alignment horizontal="center" vertical="center"/>
    </xf>
    <xf numFmtId="1" fontId="110" fillId="2" borderId="58" xfId="0" applyNumberFormat="1" applyFont="1" applyFill="1" applyBorder="1" applyAlignment="1">
      <alignment horizontal="center" vertical="center"/>
    </xf>
    <xf numFmtId="1" fontId="117" fillId="2" borderId="0" xfId="0" applyNumberFormat="1" applyFont="1" applyFill="1" applyBorder="1" applyAlignment="1">
      <alignment vertical="center" wrapText="1"/>
    </xf>
    <xf numFmtId="0" fontId="112" fillId="2" borderId="73" xfId="0" applyFont="1" applyFill="1" applyBorder="1" applyAlignment="1">
      <alignment horizontal="center" vertical="center" wrapText="1"/>
    </xf>
    <xf numFmtId="1" fontId="92" fillId="2" borderId="0" xfId="0" applyNumberFormat="1" applyFont="1" applyFill="1" applyBorder="1" applyAlignment="1">
      <alignment horizontal="center" vertical="center"/>
    </xf>
    <xf numFmtId="1" fontId="110" fillId="2" borderId="0" xfId="0" applyNumberFormat="1" applyFont="1" applyFill="1" applyBorder="1" applyAlignment="1">
      <alignment horizontal="center" vertical="center"/>
    </xf>
    <xf numFmtId="0" fontId="112" fillId="2" borderId="13" xfId="0" applyFont="1" applyFill="1" applyBorder="1" applyAlignment="1">
      <alignment horizontal="left" vertical="center" wrapText="1"/>
    </xf>
    <xf numFmtId="0" fontId="112" fillId="2" borderId="4" xfId="0" applyFont="1" applyFill="1" applyBorder="1" applyAlignment="1">
      <alignment horizontal="center" vertical="center"/>
    </xf>
    <xf numFmtId="1" fontId="92" fillId="2" borderId="14" xfId="0" applyNumberFormat="1" applyFont="1" applyFill="1" applyBorder="1" applyAlignment="1">
      <alignment horizontal="center" vertical="center"/>
    </xf>
    <xf numFmtId="1" fontId="117" fillId="2" borderId="58" xfId="0" applyNumberFormat="1" applyFont="1" applyFill="1" applyBorder="1" applyAlignment="1">
      <alignment horizontal="center" vertical="center"/>
    </xf>
    <xf numFmtId="0" fontId="112" fillId="2" borderId="79" xfId="0" applyFont="1" applyFill="1" applyBorder="1" applyAlignment="1">
      <alignment horizontal="center" vertical="center"/>
    </xf>
    <xf numFmtId="1" fontId="92" fillId="2" borderId="11" xfId="0" applyNumberFormat="1" applyFont="1" applyFill="1" applyBorder="1" applyAlignment="1">
      <alignment horizontal="center" vertical="center"/>
    </xf>
    <xf numFmtId="1" fontId="92" fillId="2" borderId="47" xfId="0" applyNumberFormat="1" applyFont="1" applyFill="1" applyBorder="1" applyAlignment="1">
      <alignment horizontal="center" vertical="center"/>
    </xf>
    <xf numFmtId="0" fontId="110" fillId="2" borderId="0" xfId="0" applyFont="1" applyFill="1" applyBorder="1" applyAlignment="1">
      <alignment horizontal="center" vertical="center" wrapText="1"/>
    </xf>
    <xf numFmtId="0" fontId="112" fillId="2" borderId="15" xfId="0" applyFont="1" applyFill="1" applyBorder="1" applyAlignment="1">
      <alignment horizontal="center" vertical="center"/>
    </xf>
    <xf numFmtId="1" fontId="92" fillId="2" borderId="18" xfId="0" applyNumberFormat="1" applyFont="1" applyFill="1" applyBorder="1" applyAlignment="1">
      <alignment horizontal="center" vertical="center"/>
    </xf>
    <xf numFmtId="1" fontId="79" fillId="2" borderId="23" xfId="0" applyNumberFormat="1" applyFont="1" applyFill="1" applyBorder="1" applyAlignment="1">
      <alignment horizontal="center" vertical="center"/>
    </xf>
    <xf numFmtId="1" fontId="110" fillId="2" borderId="60" xfId="0" applyNumberFormat="1" applyFont="1" applyFill="1" applyBorder="1" applyAlignment="1">
      <alignment horizontal="center" vertical="center"/>
    </xf>
    <xf numFmtId="0" fontId="112" fillId="2" borderId="32" xfId="0" applyFont="1" applyFill="1" applyBorder="1" applyAlignment="1">
      <alignment horizontal="center" vertical="center" wrapText="1"/>
    </xf>
    <xf numFmtId="1" fontId="92" fillId="2" borderId="8" xfId="0" applyNumberFormat="1" applyFont="1" applyFill="1" applyBorder="1" applyAlignment="1">
      <alignment horizontal="center" vertical="center"/>
    </xf>
    <xf numFmtId="1" fontId="92" fillId="2" borderId="48" xfId="0" applyNumberFormat="1" applyFont="1" applyFill="1" applyBorder="1" applyAlignment="1">
      <alignment horizontal="center" vertical="center"/>
    </xf>
    <xf numFmtId="0" fontId="110" fillId="2" borderId="66" xfId="0" applyFont="1" applyFill="1" applyBorder="1" applyAlignment="1">
      <alignment horizontal="left" vertical="center" wrapText="1"/>
    </xf>
    <xf numFmtId="1" fontId="110" fillId="2" borderId="30" xfId="0" applyNumberFormat="1" applyFont="1" applyFill="1" applyBorder="1" applyAlignment="1">
      <alignment horizontal="center" vertical="center"/>
    </xf>
    <xf numFmtId="1" fontId="62" fillId="2" borderId="30" xfId="0" applyNumberFormat="1" applyFont="1" applyFill="1" applyBorder="1" applyAlignment="1">
      <alignment horizontal="center" vertical="center"/>
    </xf>
    <xf numFmtId="1" fontId="117" fillId="2" borderId="38" xfId="0" applyNumberFormat="1" applyFont="1" applyFill="1" applyBorder="1" applyAlignment="1">
      <alignment horizontal="center" vertical="center"/>
    </xf>
    <xf numFmtId="0" fontId="112" fillId="2" borderId="0" xfId="0" applyFont="1" applyFill="1" applyBorder="1" applyAlignment="1">
      <alignment vertical="center" wrapText="1"/>
    </xf>
    <xf numFmtId="1" fontId="112" fillId="2" borderId="0" xfId="0" applyNumberFormat="1" applyFont="1" applyFill="1" applyBorder="1" applyAlignment="1">
      <alignment vertical="center" wrapText="1"/>
    </xf>
    <xf numFmtId="1" fontId="62" fillId="2" borderId="0" xfId="0" applyNumberFormat="1" applyFont="1" applyFill="1" applyBorder="1" applyAlignment="1">
      <alignment vertical="center" wrapText="1"/>
    </xf>
    <xf numFmtId="168" fontId="112" fillId="2" borderId="0" xfId="0" applyNumberFormat="1" applyFont="1" applyFill="1" applyBorder="1" applyAlignment="1">
      <alignment vertical="center" wrapText="1"/>
    </xf>
    <xf numFmtId="1" fontId="97" fillId="2" borderId="75" xfId="0" applyNumberFormat="1" applyFont="1" applyFill="1" applyBorder="1" applyAlignment="1">
      <alignment horizontal="center" vertical="center"/>
    </xf>
    <xf numFmtId="1" fontId="104" fillId="0" borderId="12" xfId="0" applyNumberFormat="1" applyFont="1" applyFill="1" applyBorder="1" applyAlignment="1">
      <alignment horizontal="center" vertical="center"/>
    </xf>
    <xf numFmtId="1" fontId="104" fillId="0" borderId="46" xfId="0" applyNumberFormat="1" applyFont="1" applyFill="1" applyBorder="1" applyAlignment="1">
      <alignment horizontal="center" vertical="center"/>
    </xf>
    <xf numFmtId="1" fontId="127" fillId="0" borderId="12" xfId="0" applyNumberFormat="1" applyFont="1" applyFill="1" applyBorder="1" applyAlignment="1">
      <alignment horizontal="center" vertical="center"/>
    </xf>
    <xf numFmtId="1" fontId="127" fillId="0" borderId="46" xfId="0" applyNumberFormat="1" applyFont="1" applyFill="1" applyBorder="1" applyAlignment="1">
      <alignment horizontal="center" vertical="center"/>
    </xf>
    <xf numFmtId="0" fontId="100" fillId="0" borderId="12" xfId="0" applyFont="1" applyFill="1" applyBorder="1" applyAlignment="1">
      <alignment horizontal="center" vertical="center"/>
    </xf>
    <xf numFmtId="0" fontId="74" fillId="0" borderId="12" xfId="0" applyFont="1" applyFill="1" applyBorder="1" applyAlignment="1">
      <alignment horizontal="left" vertical="center" wrapText="1"/>
    </xf>
    <xf numFmtId="0" fontId="74" fillId="0" borderId="13" xfId="0" applyFont="1" applyFill="1" applyBorder="1" applyAlignment="1">
      <alignment horizontal="left" vertical="center" wrapText="1"/>
    </xf>
    <xf numFmtId="0" fontId="100" fillId="0" borderId="12" xfId="0" applyFont="1" applyFill="1" applyBorder="1" applyAlignment="1">
      <alignment horizontal="center" vertical="center" wrapText="1"/>
    </xf>
    <xf numFmtId="0" fontId="122" fillId="0" borderId="12" xfId="0" applyFont="1" applyFill="1" applyBorder="1" applyAlignment="1">
      <alignment horizontal="center" vertical="center" wrapText="1"/>
    </xf>
    <xf numFmtId="0" fontId="100" fillId="0" borderId="46" xfId="0" applyFont="1" applyFill="1" applyBorder="1" applyAlignment="1">
      <alignment horizontal="center" vertical="center" wrapText="1"/>
    </xf>
    <xf numFmtId="1" fontId="79" fillId="2" borderId="20" xfId="0" applyNumberFormat="1" applyFont="1" applyFill="1" applyBorder="1" applyAlignment="1">
      <alignment horizontal="center" vertical="center"/>
    </xf>
    <xf numFmtId="1" fontId="100" fillId="0" borderId="12" xfId="0" applyNumberFormat="1" applyFont="1" applyFill="1" applyBorder="1" applyAlignment="1">
      <alignment horizontal="center" vertical="center"/>
    </xf>
    <xf numFmtId="2" fontId="100" fillId="0" borderId="12" xfId="0" applyNumberFormat="1" applyFont="1" applyFill="1" applyBorder="1" applyAlignment="1">
      <alignment horizontal="center" vertical="center" wrapText="1"/>
    </xf>
    <xf numFmtId="1" fontId="91" fillId="0" borderId="12" xfId="0" applyNumberFormat="1" applyFont="1" applyFill="1" applyBorder="1" applyAlignment="1">
      <alignment horizontal="center" vertical="center"/>
    </xf>
    <xf numFmtId="1" fontId="129" fillId="0" borderId="46" xfId="0" applyNumberFormat="1" applyFont="1" applyFill="1" applyBorder="1" applyAlignment="1">
      <alignment horizontal="center" vertical="center"/>
    </xf>
    <xf numFmtId="1" fontId="100" fillId="0" borderId="46" xfId="0" applyNumberFormat="1" applyFont="1" applyFill="1" applyBorder="1" applyAlignment="1">
      <alignment horizontal="center" vertical="center" wrapText="1"/>
    </xf>
    <xf numFmtId="1" fontId="62" fillId="0" borderId="12" xfId="0" applyNumberFormat="1" applyFont="1" applyFill="1" applyBorder="1" applyAlignment="1">
      <alignment horizontal="center" vertical="center" wrapText="1"/>
    </xf>
    <xf numFmtId="0" fontId="100" fillId="0" borderId="13" xfId="0" applyFont="1" applyFill="1" applyBorder="1" applyAlignment="1">
      <alignment horizontal="left" wrapText="1"/>
    </xf>
    <xf numFmtId="0" fontId="135" fillId="0" borderId="12" xfId="0" applyFont="1" applyFill="1" applyBorder="1" applyAlignment="1">
      <alignment vertical="center"/>
    </xf>
    <xf numFmtId="1" fontId="125" fillId="0" borderId="12" xfId="0" applyNumberFormat="1" applyFont="1" applyFill="1" applyBorder="1" applyAlignment="1">
      <alignment horizontal="center" vertical="center"/>
    </xf>
    <xf numFmtId="1" fontId="74" fillId="0" borderId="12" xfId="0" applyNumberFormat="1" applyFont="1" applyFill="1" applyBorder="1"/>
    <xf numFmtId="0" fontId="104" fillId="0" borderId="12" xfId="0" applyFont="1" applyFill="1" applyBorder="1"/>
    <xf numFmtId="1" fontId="123" fillId="0" borderId="12" xfId="0" applyNumberFormat="1" applyFont="1" applyFill="1" applyBorder="1"/>
    <xf numFmtId="1" fontId="130" fillId="0" borderId="12" xfId="0" applyNumberFormat="1" applyFont="1" applyFill="1" applyBorder="1" applyAlignment="1">
      <alignment horizontal="center"/>
    </xf>
    <xf numFmtId="0" fontId="100" fillId="0" borderId="13" xfId="0" applyFont="1" applyFill="1" applyBorder="1" applyAlignment="1">
      <alignment horizontal="left" vertical="center" wrapText="1"/>
    </xf>
    <xf numFmtId="1" fontId="123" fillId="0" borderId="12" xfId="0" applyNumberFormat="1" applyFont="1" applyFill="1" applyBorder="1" applyAlignment="1">
      <alignment horizontal="center" vertical="center" wrapText="1"/>
    </xf>
    <xf numFmtId="2" fontId="130" fillId="0" borderId="12" xfId="0" applyNumberFormat="1" applyFont="1" applyFill="1" applyBorder="1" applyAlignment="1">
      <alignment horizontal="center" vertical="center"/>
    </xf>
    <xf numFmtId="0" fontId="79" fillId="0" borderId="12" xfId="0" applyFont="1" applyFill="1" applyBorder="1"/>
    <xf numFmtId="0" fontId="62" fillId="0" borderId="12" xfId="0" applyFont="1" applyFill="1" applyBorder="1" applyAlignment="1">
      <alignment horizontal="center" vertical="center" wrapText="1"/>
    </xf>
    <xf numFmtId="0" fontId="62" fillId="0" borderId="13" xfId="0" applyFont="1" applyFill="1" applyBorder="1" applyAlignment="1">
      <alignment horizontal="center" vertical="center" wrapText="1"/>
    </xf>
    <xf numFmtId="0" fontId="131" fillId="0" borderId="12" xfId="0" applyFont="1" applyFill="1" applyBorder="1" applyAlignment="1">
      <alignment horizontal="center" vertical="center" wrapText="1"/>
    </xf>
    <xf numFmtId="0" fontId="131" fillId="0" borderId="12" xfId="0" quotePrefix="1" applyFont="1" applyFill="1" applyBorder="1" applyAlignment="1">
      <alignment horizontal="center" vertical="center"/>
    </xf>
    <xf numFmtId="0" fontId="74" fillId="0" borderId="13" xfId="0" applyFont="1" applyFill="1" applyBorder="1" applyAlignment="1">
      <alignment horizontal="center" vertical="center"/>
    </xf>
    <xf numFmtId="0" fontId="74" fillId="0" borderId="12" xfId="0" applyFont="1" applyFill="1" applyBorder="1"/>
    <xf numFmtId="20" fontId="74" fillId="0" borderId="12" xfId="0" applyNumberFormat="1" applyFont="1" applyFill="1" applyBorder="1" applyAlignment="1">
      <alignment horizontal="center" vertical="center" wrapText="1"/>
    </xf>
    <xf numFmtId="0" fontId="140" fillId="0" borderId="12" xfId="0" applyFont="1" applyFill="1" applyBorder="1" applyAlignment="1">
      <alignment vertical="center" wrapText="1"/>
    </xf>
    <xf numFmtId="0" fontId="140" fillId="0" borderId="12" xfId="0" applyFont="1" applyFill="1" applyBorder="1" applyAlignment="1">
      <alignment horizontal="center" vertical="center" wrapText="1"/>
    </xf>
    <xf numFmtId="20" fontId="140" fillId="0" borderId="12" xfId="0" applyNumberFormat="1" applyFont="1" applyFill="1" applyBorder="1" applyAlignment="1">
      <alignment horizontal="center" vertical="center" wrapText="1"/>
    </xf>
    <xf numFmtId="0" fontId="136" fillId="0" borderId="12" xfId="0" applyFont="1" applyFill="1" applyBorder="1" applyAlignment="1">
      <alignment horizontal="center" vertical="center" wrapText="1"/>
    </xf>
    <xf numFmtId="0" fontId="133" fillId="0" borderId="12" xfId="0" applyFont="1" applyFill="1" applyBorder="1" applyAlignment="1">
      <alignment horizontal="center" vertical="center" wrapText="1"/>
    </xf>
    <xf numFmtId="1" fontId="136" fillId="0" borderId="12" xfId="0" applyNumberFormat="1" applyFont="1" applyFill="1" applyBorder="1" applyAlignment="1">
      <alignment horizontal="center" vertical="center" wrapText="1"/>
    </xf>
    <xf numFmtId="20" fontId="133" fillId="0" borderId="12" xfId="0" applyNumberFormat="1" applyFont="1" applyFill="1" applyBorder="1" applyAlignment="1">
      <alignment horizontal="center" vertical="center" wrapText="1"/>
    </xf>
    <xf numFmtId="0" fontId="74" fillId="0" borderId="12" xfId="0" applyFont="1" applyFill="1" applyBorder="1" applyAlignment="1">
      <alignment horizontal="center" vertical="center"/>
    </xf>
    <xf numFmtId="20" fontId="74" fillId="0" borderId="12" xfId="0" applyNumberFormat="1" applyFont="1" applyFill="1" applyBorder="1" applyAlignment="1">
      <alignment horizontal="center" vertical="center"/>
    </xf>
    <xf numFmtId="1" fontId="133" fillId="0" borderId="12" xfId="0" applyNumberFormat="1" applyFont="1" applyFill="1" applyBorder="1" applyAlignment="1">
      <alignment horizontal="center" vertical="center" wrapText="1"/>
    </xf>
    <xf numFmtId="20" fontId="141" fillId="0" borderId="12" xfId="0" applyNumberFormat="1" applyFont="1" applyFill="1" applyBorder="1" applyAlignment="1">
      <alignment horizontal="center" vertical="center" wrapText="1"/>
    </xf>
    <xf numFmtId="0" fontId="40" fillId="0" borderId="62" xfId="0" applyFont="1" applyFill="1" applyBorder="1" applyAlignment="1">
      <alignment horizontal="center" vertical="center"/>
    </xf>
    <xf numFmtId="0" fontId="74" fillId="0" borderId="12" xfId="0" applyFont="1" applyFill="1" applyBorder="1" applyAlignment="1">
      <alignment horizontal="center" vertical="center" wrapText="1"/>
    </xf>
    <xf numFmtId="0" fontId="62" fillId="0" borderId="13" xfId="0" applyFont="1" applyFill="1" applyBorder="1" applyAlignment="1">
      <alignment horizontal="center" vertical="center"/>
    </xf>
    <xf numFmtId="0" fontId="132" fillId="0" borderId="12" xfId="0" applyFont="1" applyFill="1" applyBorder="1" applyAlignment="1">
      <alignment horizontal="center" vertical="center" wrapText="1"/>
    </xf>
    <xf numFmtId="20" fontId="132" fillId="0" borderId="12" xfId="0" applyNumberFormat="1" applyFont="1" applyFill="1" applyBorder="1" applyAlignment="1">
      <alignment horizontal="center" vertical="center" wrapText="1"/>
    </xf>
    <xf numFmtId="0" fontId="74" fillId="0" borderId="12" xfId="0" quotePrefix="1" applyFont="1" applyFill="1" applyBorder="1" applyAlignment="1">
      <alignment horizontal="center" vertical="center"/>
    </xf>
    <xf numFmtId="0" fontId="133" fillId="0" borderId="12" xfId="0" quotePrefix="1" applyFont="1" applyFill="1" applyBorder="1" applyAlignment="1">
      <alignment horizontal="center" vertical="center" wrapText="1"/>
    </xf>
    <xf numFmtId="0" fontId="62" fillId="0" borderId="12" xfId="0" applyFont="1" applyFill="1" applyBorder="1" applyAlignment="1">
      <alignment horizontal="center" vertical="center"/>
    </xf>
    <xf numFmtId="0" fontId="79" fillId="0" borderId="12" xfId="0" quotePrefix="1" applyFont="1" applyFill="1" applyBorder="1" applyAlignment="1">
      <alignment horizontal="center" vertical="center"/>
    </xf>
    <xf numFmtId="0" fontId="79" fillId="0" borderId="12" xfId="0" applyFont="1" applyFill="1" applyBorder="1" applyAlignment="1">
      <alignment horizontal="center" vertical="center"/>
    </xf>
    <xf numFmtId="1" fontId="79" fillId="0" borderId="12" xfId="0" applyNumberFormat="1" applyFont="1" applyFill="1" applyBorder="1" applyAlignment="1">
      <alignment horizontal="center" vertical="center"/>
    </xf>
    <xf numFmtId="0" fontId="79" fillId="0" borderId="12" xfId="0" applyFont="1" applyFill="1" applyBorder="1" applyAlignment="1">
      <alignment horizontal="center" vertical="center" wrapText="1"/>
    </xf>
    <xf numFmtId="0" fontId="105" fillId="0" borderId="13" xfId="0" applyFont="1" applyFill="1" applyBorder="1" applyAlignment="1">
      <alignment horizontal="center" vertical="center"/>
    </xf>
    <xf numFmtId="0" fontId="105" fillId="0" borderId="12" xfId="0" applyFont="1" applyFill="1" applyBorder="1" applyAlignment="1">
      <alignment horizontal="center" vertical="center"/>
    </xf>
    <xf numFmtId="0" fontId="107" fillId="0" borderId="13" xfId="0" applyFont="1" applyFill="1" applyBorder="1" applyAlignment="1">
      <alignment horizontal="center" vertical="center" wrapText="1"/>
    </xf>
    <xf numFmtId="0" fontId="107" fillId="0" borderId="12" xfId="0" applyFont="1" applyFill="1" applyBorder="1" applyAlignment="1">
      <alignment horizontal="center" vertical="center" wrapText="1"/>
    </xf>
    <xf numFmtId="0" fontId="107" fillId="0" borderId="13" xfId="0" applyFont="1" applyFill="1" applyBorder="1" applyAlignment="1">
      <alignment horizontal="center" vertical="center"/>
    </xf>
    <xf numFmtId="0" fontId="107" fillId="0" borderId="12" xfId="0" applyFont="1" applyFill="1" applyBorder="1" applyAlignment="1">
      <alignment horizontal="center" vertical="center"/>
    </xf>
    <xf numFmtId="20" fontId="107" fillId="0" borderId="12" xfId="0" applyNumberFormat="1" applyFont="1" applyFill="1" applyBorder="1" applyAlignment="1">
      <alignment horizontal="center" vertical="center" wrapText="1"/>
    </xf>
    <xf numFmtId="0" fontId="105" fillId="0" borderId="9" xfId="0" applyFont="1" applyFill="1" applyBorder="1" applyAlignment="1">
      <alignment horizontal="center" vertical="center"/>
    </xf>
    <xf numFmtId="0" fontId="107" fillId="0" borderId="20" xfId="0" applyFont="1" applyFill="1" applyBorder="1" applyAlignment="1">
      <alignment horizontal="center" vertical="center"/>
    </xf>
    <xf numFmtId="0" fontId="107" fillId="0" borderId="20" xfId="0" applyFont="1" applyFill="1" applyBorder="1" applyAlignment="1">
      <alignment horizontal="center" vertical="center" wrapText="1"/>
    </xf>
    <xf numFmtId="0" fontId="120" fillId="0" borderId="31" xfId="0" applyFont="1" applyFill="1" applyBorder="1" applyAlignment="1" applyProtection="1">
      <alignment horizontal="center" vertical="center"/>
      <protection locked="0"/>
    </xf>
    <xf numFmtId="0" fontId="121" fillId="0" borderId="5" xfId="0" applyFont="1" applyFill="1" applyBorder="1" applyAlignment="1" applyProtection="1">
      <alignment horizontal="center" vertical="center"/>
      <protection locked="0"/>
    </xf>
    <xf numFmtId="0" fontId="121" fillId="0" borderId="13" xfId="0" applyFont="1" applyFill="1" applyBorder="1" applyAlignment="1" applyProtection="1">
      <alignment horizontal="center" vertical="center"/>
      <protection locked="0"/>
    </xf>
    <xf numFmtId="0" fontId="139" fillId="0" borderId="13" xfId="0" applyFont="1" applyFill="1" applyBorder="1" applyAlignment="1" applyProtection="1">
      <alignment horizontal="center" vertical="center"/>
      <protection locked="0"/>
    </xf>
    <xf numFmtId="0" fontId="128" fillId="0" borderId="13" xfId="0" quotePrefix="1" applyFont="1" applyFill="1" applyBorder="1" applyAlignment="1">
      <alignment horizontal="center" vertical="center"/>
    </xf>
    <xf numFmtId="0" fontId="121" fillId="0" borderId="13" xfId="0" quotePrefix="1" applyFont="1" applyFill="1" applyBorder="1" applyAlignment="1">
      <alignment horizontal="center" vertical="center" wrapText="1"/>
    </xf>
    <xf numFmtId="0" fontId="97" fillId="2" borderId="41" xfId="0" applyFont="1" applyFill="1" applyBorder="1" applyAlignment="1">
      <alignment horizontal="center" vertical="center"/>
    </xf>
    <xf numFmtId="2" fontId="79" fillId="2" borderId="71" xfId="0" applyNumberFormat="1" applyFont="1" applyFill="1" applyBorder="1" applyAlignment="1">
      <alignment horizontal="center" vertical="center"/>
    </xf>
    <xf numFmtId="0" fontId="34" fillId="0" borderId="0" xfId="0" applyFont="1" applyFill="1"/>
    <xf numFmtId="1" fontId="97" fillId="2" borderId="1" xfId="0" applyNumberFormat="1" applyFont="1" applyFill="1" applyBorder="1" applyAlignment="1">
      <alignment horizontal="center" vertical="center"/>
    </xf>
    <xf numFmtId="1" fontId="97" fillId="2" borderId="10" xfId="0" applyNumberFormat="1" applyFont="1" applyFill="1" applyBorder="1" applyAlignment="1">
      <alignment horizontal="center" vertical="center"/>
    </xf>
    <xf numFmtId="0" fontId="143" fillId="0" borderId="15" xfId="0" applyFont="1" applyBorder="1" applyAlignment="1">
      <alignment horizontal="center" vertical="center"/>
    </xf>
    <xf numFmtId="1" fontId="127" fillId="2" borderId="4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57" fillId="2" borderId="12" xfId="0" applyFont="1" applyFill="1" applyBorder="1" applyAlignment="1">
      <alignment horizontal="center" vertical="center"/>
    </xf>
    <xf numFmtId="0" fontId="57" fillId="2" borderId="62" xfId="0" applyFont="1" applyFill="1" applyBorder="1" applyAlignment="1">
      <alignment horizontal="left" vertical="center" wrapText="1"/>
    </xf>
    <xf numFmtId="0" fontId="57" fillId="2" borderId="0" xfId="0" applyFont="1" applyFill="1" applyAlignment="1">
      <alignment horizontal="left" vertical="center" wrapText="1"/>
    </xf>
    <xf numFmtId="0" fontId="57" fillId="2" borderId="58" xfId="0" applyFont="1" applyFill="1" applyBorder="1" applyAlignment="1">
      <alignment horizontal="left" vertical="center" wrapText="1"/>
    </xf>
    <xf numFmtId="0" fontId="57" fillId="2" borderId="0" xfId="0" applyFont="1" applyFill="1" applyAlignment="1">
      <alignment vertical="center"/>
    </xf>
    <xf numFmtId="0" fontId="57" fillId="2" borderId="58" xfId="0" applyFont="1" applyFill="1" applyBorder="1" applyAlignment="1">
      <alignment vertical="center"/>
    </xf>
    <xf numFmtId="0" fontId="57" fillId="2" borderId="30" xfId="0" applyFont="1" applyFill="1" applyBorder="1" applyAlignment="1">
      <alignment vertical="center"/>
    </xf>
    <xf numFmtId="0" fontId="57" fillId="2" borderId="38" xfId="0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2" fillId="0" borderId="0" xfId="0" applyFont="1"/>
    <xf numFmtId="0" fontId="7" fillId="2" borderId="61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65" xfId="0" applyFont="1" applyFill="1" applyBorder="1" applyAlignment="1">
      <alignment horizontal="center" vertical="center"/>
    </xf>
    <xf numFmtId="0" fontId="7" fillId="2" borderId="78" xfId="0" applyFont="1" applyFill="1" applyBorder="1" applyAlignment="1">
      <alignment horizontal="center" vertical="center"/>
    </xf>
    <xf numFmtId="0" fontId="7" fillId="2" borderId="76" xfId="0" applyFont="1" applyFill="1" applyBorder="1" applyAlignment="1">
      <alignment horizontal="center" vertical="center"/>
    </xf>
    <xf numFmtId="0" fontId="57" fillId="2" borderId="34" xfId="0" applyFont="1" applyFill="1" applyBorder="1" applyAlignment="1">
      <alignment horizontal="left" vertical="center" wrapText="1"/>
    </xf>
    <xf numFmtId="0" fontId="57" fillId="2" borderId="3" xfId="0" applyFont="1" applyFill="1" applyBorder="1" applyAlignment="1">
      <alignment horizontal="left" vertical="center" wrapText="1"/>
    </xf>
    <xf numFmtId="0" fontId="60" fillId="2" borderId="34" xfId="0" applyFont="1" applyFill="1" applyBorder="1" applyAlignment="1">
      <alignment horizontal="center" vertical="center" wrapText="1"/>
    </xf>
    <xf numFmtId="0" fontId="60" fillId="2" borderId="3" xfId="0" applyFont="1" applyFill="1" applyBorder="1" applyAlignment="1">
      <alignment horizontal="center" vertical="center" wrapText="1"/>
    </xf>
    <xf numFmtId="0" fontId="60" fillId="2" borderId="37" xfId="0" applyFont="1" applyFill="1" applyBorder="1" applyAlignment="1">
      <alignment horizontal="center" vertical="center" wrapText="1"/>
    </xf>
    <xf numFmtId="0" fontId="60" fillId="2" borderId="30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36" xfId="0" applyFont="1" applyFill="1" applyBorder="1" applyAlignment="1">
      <alignment horizontal="left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60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65" xfId="0" applyFont="1" applyFill="1" applyBorder="1" applyAlignment="1">
      <alignment horizontal="left" vertical="center"/>
    </xf>
    <xf numFmtId="0" fontId="7" fillId="2" borderId="51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12" fillId="2" borderId="78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" fontId="12" fillId="2" borderId="76" xfId="0" applyNumberFormat="1" applyFont="1" applyFill="1" applyBorder="1" applyAlignment="1">
      <alignment horizontal="center" vertical="center"/>
    </xf>
    <xf numFmtId="1" fontId="12" fillId="2" borderId="55" xfId="0" applyNumberFormat="1" applyFont="1" applyFill="1" applyBorder="1" applyAlignment="1">
      <alignment horizontal="center" vertical="center"/>
    </xf>
    <xf numFmtId="1" fontId="12" fillId="2" borderId="47" xfId="0" applyNumberFormat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77" xfId="0" applyFont="1" applyFill="1" applyBorder="1" applyAlignment="1">
      <alignment horizontal="center" vertical="center"/>
    </xf>
    <xf numFmtId="0" fontId="7" fillId="2" borderId="7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6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2" fillId="0" borderId="62" xfId="0" applyFont="1" applyBorder="1"/>
    <xf numFmtId="0" fontId="7" fillId="2" borderId="6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2" xfId="0" applyNumberFormat="1" applyFont="1" applyFill="1" applyBorder="1" applyAlignment="1">
      <alignment horizontal="center" vertical="center"/>
    </xf>
    <xf numFmtId="1" fontId="12" fillId="2" borderId="78" xfId="0" applyNumberFormat="1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73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left" vertical="center"/>
    </xf>
    <xf numFmtId="0" fontId="12" fillId="2" borderId="35" xfId="0" applyFont="1" applyFill="1" applyBorder="1" applyAlignment="1">
      <alignment horizontal="left" vertical="center"/>
    </xf>
    <xf numFmtId="0" fontId="7" fillId="2" borderId="79" xfId="0" applyFont="1" applyFill="1" applyBorder="1" applyAlignment="1">
      <alignment horizontal="center" vertical="center" wrapText="1"/>
    </xf>
    <xf numFmtId="0" fontId="7" fillId="2" borderId="73" xfId="0" applyFont="1" applyFill="1" applyBorder="1" applyAlignment="1">
      <alignment horizontal="center" vertical="center" wrapText="1"/>
    </xf>
    <xf numFmtId="20" fontId="12" fillId="2" borderId="12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165" fontId="12" fillId="2" borderId="50" xfId="0" applyNumberFormat="1" applyFont="1" applyFill="1" applyBorder="1" applyAlignment="1">
      <alignment horizontal="center" vertical="center"/>
    </xf>
    <xf numFmtId="165" fontId="12" fillId="2" borderId="54" xfId="0" applyNumberFormat="1" applyFont="1" applyFill="1" applyBorder="1" applyAlignment="1">
      <alignment horizontal="center" vertical="center"/>
    </xf>
    <xf numFmtId="165" fontId="12" fillId="2" borderId="47" xfId="0" applyNumberFormat="1" applyFont="1" applyFill="1" applyBorder="1" applyAlignment="1">
      <alignment horizontal="center" vertical="center" wrapText="1"/>
    </xf>
    <xf numFmtId="165" fontId="12" fillId="2" borderId="55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/>
    </xf>
    <xf numFmtId="0" fontId="7" fillId="2" borderId="75" xfId="0" applyFont="1" applyFill="1" applyBorder="1" applyAlignment="1">
      <alignment horizontal="center" vertical="center"/>
    </xf>
    <xf numFmtId="0" fontId="7" fillId="2" borderId="7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60" fillId="2" borderId="62" xfId="0" applyFont="1" applyFill="1" applyBorder="1" applyAlignment="1">
      <alignment horizontal="center" vertical="center" wrapText="1"/>
    </xf>
    <xf numFmtId="0" fontId="60" fillId="2" borderId="0" xfId="0" applyFont="1" applyFill="1" applyAlignment="1">
      <alignment horizontal="center" vertical="center" wrapText="1"/>
    </xf>
    <xf numFmtId="0" fontId="60" fillId="2" borderId="58" xfId="0" applyFont="1" applyFill="1" applyBorder="1" applyAlignment="1">
      <alignment horizontal="center" vertical="center" wrapText="1"/>
    </xf>
    <xf numFmtId="0" fontId="60" fillId="2" borderId="16" xfId="0" applyFont="1" applyFill="1" applyBorder="1" applyAlignment="1">
      <alignment horizontal="center" vertical="center"/>
    </xf>
    <xf numFmtId="0" fontId="60" fillId="2" borderId="17" xfId="0" applyFont="1" applyFill="1" applyBorder="1" applyAlignment="1">
      <alignment horizontal="center" vertical="center"/>
    </xf>
    <xf numFmtId="0" fontId="87" fillId="2" borderId="34" xfId="0" applyFont="1" applyFill="1" applyBorder="1" applyAlignment="1">
      <alignment horizontal="left" vertical="center"/>
    </xf>
    <xf numFmtId="0" fontId="87" fillId="2" borderId="17" xfId="0" applyFont="1" applyFill="1" applyBorder="1" applyAlignment="1">
      <alignment horizontal="left" vertical="center"/>
    </xf>
    <xf numFmtId="0" fontId="87" fillId="2" borderId="23" xfId="0" applyFont="1" applyFill="1" applyBorder="1" applyAlignment="1">
      <alignment horizontal="left" vertical="center"/>
    </xf>
    <xf numFmtId="0" fontId="7" fillId="2" borderId="64" xfId="0" applyFont="1" applyFill="1" applyBorder="1" applyAlignment="1">
      <alignment horizontal="center" vertical="center"/>
    </xf>
    <xf numFmtId="2" fontId="67" fillId="2" borderId="39" xfId="0" applyNumberFormat="1" applyFont="1" applyFill="1" applyBorder="1" applyAlignment="1">
      <alignment horizontal="left"/>
    </xf>
    <xf numFmtId="2" fontId="67" fillId="2" borderId="41" xfId="0" applyNumberFormat="1" applyFont="1" applyFill="1" applyBorder="1" applyAlignment="1">
      <alignment horizontal="left"/>
    </xf>
    <xf numFmtId="2" fontId="67" fillId="2" borderId="69" xfId="0" applyNumberFormat="1" applyFont="1" applyFill="1" applyBorder="1" applyAlignment="1">
      <alignment horizontal="left"/>
    </xf>
    <xf numFmtId="2" fontId="32" fillId="2" borderId="63" xfId="0" applyNumberFormat="1" applyFont="1" applyFill="1" applyBorder="1" applyAlignment="1">
      <alignment horizontal="left"/>
    </xf>
    <xf numFmtId="2" fontId="32" fillId="2" borderId="27" xfId="0" applyNumberFormat="1" applyFont="1" applyFill="1" applyBorder="1" applyAlignment="1">
      <alignment horizontal="left"/>
    </xf>
    <xf numFmtId="2" fontId="32" fillId="2" borderId="49" xfId="0" applyNumberFormat="1" applyFont="1" applyFill="1" applyBorder="1" applyAlignment="1">
      <alignment horizontal="left"/>
    </xf>
    <xf numFmtId="0" fontId="16" fillId="0" borderId="63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2" fontId="67" fillId="2" borderId="63" xfId="0" applyNumberFormat="1" applyFont="1" applyFill="1" applyBorder="1" applyAlignment="1">
      <alignment horizontal="left"/>
    </xf>
    <xf numFmtId="2" fontId="67" fillId="2" borderId="27" xfId="0" applyNumberFormat="1" applyFont="1" applyFill="1" applyBorder="1" applyAlignment="1">
      <alignment horizontal="left"/>
    </xf>
    <xf numFmtId="2" fontId="67" fillId="2" borderId="49" xfId="0" applyNumberFormat="1" applyFont="1" applyFill="1" applyBorder="1" applyAlignment="1">
      <alignment horizontal="left"/>
    </xf>
    <xf numFmtId="0" fontId="21" fillId="2" borderId="42" xfId="0" applyFont="1" applyFill="1" applyBorder="1" applyAlignment="1">
      <alignment horizontal="center" vertical="center"/>
    </xf>
    <xf numFmtId="0" fontId="21" fillId="2" borderId="4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/>
    </xf>
    <xf numFmtId="0" fontId="28" fillId="0" borderId="53" xfId="0" applyFont="1" applyBorder="1" applyAlignment="1">
      <alignment horizontal="left" vertical="center"/>
    </xf>
    <xf numFmtId="0" fontId="28" fillId="0" borderId="41" xfId="0" applyFont="1" applyBorder="1" applyAlignment="1">
      <alignment horizontal="left" vertical="center"/>
    </xf>
    <xf numFmtId="0" fontId="28" fillId="0" borderId="40" xfId="0" applyFont="1" applyBorder="1" applyAlignment="1">
      <alignment horizontal="left" vertical="center"/>
    </xf>
    <xf numFmtId="0" fontId="50" fillId="2" borderId="16" xfId="0" applyFont="1" applyFill="1" applyBorder="1" applyAlignment="1">
      <alignment horizontal="center" vertical="center"/>
    </xf>
    <xf numFmtId="0" fontId="50" fillId="2" borderId="17" xfId="0" applyFont="1" applyFill="1" applyBorder="1" applyAlignment="1">
      <alignment horizontal="center" vertical="center"/>
    </xf>
    <xf numFmtId="0" fontId="50" fillId="2" borderId="30" xfId="0" applyFont="1" applyFill="1" applyBorder="1" applyAlignment="1">
      <alignment horizontal="center" vertical="center"/>
    </xf>
    <xf numFmtId="0" fontId="50" fillId="2" borderId="23" xfId="0" applyFont="1" applyFill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31" fillId="0" borderId="76" xfId="0" applyFont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 wrapText="1"/>
    </xf>
    <xf numFmtId="0" fontId="78" fillId="2" borderId="17" xfId="0" applyFont="1" applyFill="1" applyBorder="1" applyAlignment="1">
      <alignment horizontal="center" vertical="center"/>
    </xf>
    <xf numFmtId="0" fontId="78" fillId="2" borderId="23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65" fillId="0" borderId="72" xfId="0" applyFont="1" applyBorder="1" applyAlignment="1">
      <alignment horizontal="center"/>
    </xf>
    <xf numFmtId="0" fontId="65" fillId="0" borderId="71" xfId="0" applyFont="1" applyBorder="1" applyAlignment="1">
      <alignment horizontal="center"/>
    </xf>
    <xf numFmtId="0" fontId="24" fillId="2" borderId="42" xfId="0" applyFont="1" applyFill="1" applyBorder="1" applyAlignment="1">
      <alignment horizontal="center" vertical="center"/>
    </xf>
    <xf numFmtId="0" fontId="24" fillId="2" borderId="4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7" xfId="0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43" fillId="0" borderId="0" xfId="0" applyFont="1" applyAlignment="1">
      <alignment horizontal="center"/>
    </xf>
    <xf numFmtId="0" fontId="81" fillId="2" borderId="31" xfId="0" applyFont="1" applyFill="1" applyBorder="1" applyAlignment="1">
      <alignment horizontal="center" vertical="center"/>
    </xf>
    <xf numFmtId="0" fontId="81" fillId="2" borderId="60" xfId="0" applyFont="1" applyFill="1" applyBorder="1" applyAlignment="1">
      <alignment horizontal="center" vertical="center"/>
    </xf>
    <xf numFmtId="0" fontId="81" fillId="2" borderId="32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61" fillId="2" borderId="34" xfId="0" applyFont="1" applyFill="1" applyBorder="1" applyAlignment="1">
      <alignment horizontal="center" vertical="center" wrapText="1"/>
    </xf>
    <xf numFmtId="0" fontId="61" fillId="2" borderId="36" xfId="0" applyFont="1" applyFill="1" applyBorder="1" applyAlignment="1">
      <alignment horizontal="center" vertical="center" wrapText="1"/>
    </xf>
    <xf numFmtId="0" fontId="61" fillId="2" borderId="37" xfId="0" applyFont="1" applyFill="1" applyBorder="1" applyAlignment="1">
      <alignment horizontal="center" vertical="center" wrapText="1"/>
    </xf>
    <xf numFmtId="0" fontId="61" fillId="2" borderId="38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/>
    </xf>
    <xf numFmtId="0" fontId="117" fillId="2" borderId="3" xfId="0" applyFont="1" applyFill="1" applyBorder="1" applyAlignment="1">
      <alignment horizontal="left"/>
    </xf>
    <xf numFmtId="0" fontId="112" fillId="2" borderId="80" xfId="0" applyFont="1" applyFill="1" applyBorder="1" applyAlignment="1">
      <alignment horizontal="center" vertical="center" wrapText="1"/>
    </xf>
    <xf numFmtId="0" fontId="112" fillId="2" borderId="8" xfId="0" applyFont="1" applyFill="1" applyBorder="1" applyAlignment="1">
      <alignment horizontal="center" vertical="center" wrapText="1"/>
    </xf>
    <xf numFmtId="0" fontId="62" fillId="2" borderId="17" xfId="0" applyFont="1" applyFill="1" applyBorder="1" applyAlignment="1">
      <alignment horizontal="center" vertical="center"/>
    </xf>
    <xf numFmtId="0" fontId="62" fillId="2" borderId="18" xfId="0" applyFont="1" applyFill="1" applyBorder="1" applyAlignment="1">
      <alignment horizontal="center" vertical="center"/>
    </xf>
    <xf numFmtId="0" fontId="62" fillId="2" borderId="27" xfId="0" applyFont="1" applyFill="1" applyBorder="1" applyAlignment="1">
      <alignment horizontal="center" vertical="center"/>
    </xf>
    <xf numFmtId="0" fontId="62" fillId="2" borderId="14" xfId="0" applyFont="1" applyFill="1" applyBorder="1" applyAlignment="1">
      <alignment horizontal="center" vertical="center"/>
    </xf>
    <xf numFmtId="0" fontId="112" fillId="2" borderId="16" xfId="0" applyFont="1" applyFill="1" applyBorder="1" applyAlignment="1">
      <alignment horizontal="center"/>
    </xf>
    <xf numFmtId="0" fontId="112" fillId="2" borderId="17" xfId="0" applyFont="1" applyFill="1" applyBorder="1" applyAlignment="1">
      <alignment horizontal="center"/>
    </xf>
    <xf numFmtId="0" fontId="112" fillId="2" borderId="23" xfId="0" applyFont="1" applyFill="1" applyBorder="1" applyAlignment="1">
      <alignment horizontal="center"/>
    </xf>
    <xf numFmtId="0" fontId="62" fillId="2" borderId="43" xfId="0" applyFont="1" applyFill="1" applyBorder="1" applyAlignment="1">
      <alignment horizontal="center" vertical="center"/>
    </xf>
    <xf numFmtId="1" fontId="110" fillId="2" borderId="31" xfId="0" applyNumberFormat="1" applyFont="1" applyFill="1" applyBorder="1" applyAlignment="1">
      <alignment horizontal="center" vertical="center" wrapText="1"/>
    </xf>
    <xf numFmtId="1" fontId="110" fillId="2" borderId="60" xfId="0" applyNumberFormat="1" applyFont="1" applyFill="1" applyBorder="1" applyAlignment="1">
      <alignment horizontal="center" vertical="center" wrapText="1"/>
    </xf>
    <xf numFmtId="1" fontId="110" fillId="2" borderId="32" xfId="0" applyNumberFormat="1" applyFont="1" applyFill="1" applyBorder="1" applyAlignment="1">
      <alignment horizontal="center" vertical="center" wrapText="1"/>
    </xf>
    <xf numFmtId="1" fontId="62" fillId="2" borderId="0" xfId="0" applyNumberFormat="1" applyFont="1" applyFill="1" applyBorder="1" applyAlignment="1">
      <alignment horizontal="center" vertical="center" wrapText="1"/>
    </xf>
    <xf numFmtId="1" fontId="62" fillId="2" borderId="58" xfId="0" applyNumberFormat="1" applyFont="1" applyFill="1" applyBorder="1" applyAlignment="1">
      <alignment horizontal="center" vertical="center" wrapText="1"/>
    </xf>
    <xf numFmtId="1" fontId="62" fillId="2" borderId="30" xfId="0" applyNumberFormat="1" applyFont="1" applyFill="1" applyBorder="1" applyAlignment="1">
      <alignment horizontal="center" vertical="center" wrapText="1"/>
    </xf>
    <xf numFmtId="1" fontId="62" fillId="2" borderId="38" xfId="0" applyNumberFormat="1" applyFont="1" applyFill="1" applyBorder="1" applyAlignment="1">
      <alignment horizontal="center" vertical="center" wrapText="1"/>
    </xf>
    <xf numFmtId="0" fontId="62" fillId="2" borderId="16" xfId="0" applyFont="1" applyFill="1" applyBorder="1" applyAlignment="1">
      <alignment horizontal="center" vertical="center"/>
    </xf>
    <xf numFmtId="0" fontId="62" fillId="2" borderId="42" xfId="0" applyFont="1" applyFill="1" applyBorder="1" applyAlignment="1">
      <alignment horizontal="center" vertical="center"/>
    </xf>
    <xf numFmtId="0" fontId="62" fillId="2" borderId="6" xfId="0" applyFont="1" applyFill="1" applyBorder="1" applyAlignment="1">
      <alignment horizontal="center" vertical="center"/>
    </xf>
    <xf numFmtId="0" fontId="62" fillId="2" borderId="53" xfId="0" applyFont="1" applyFill="1" applyBorder="1" applyAlignment="1">
      <alignment horizontal="center" vertical="center" wrapText="1"/>
    </xf>
    <xf numFmtId="0" fontId="62" fillId="2" borderId="40" xfId="0" applyFont="1" applyFill="1" applyBorder="1" applyAlignment="1">
      <alignment horizontal="center" vertical="center" wrapText="1"/>
    </xf>
    <xf numFmtId="0" fontId="112" fillId="2" borderId="17" xfId="0" applyFont="1" applyFill="1" applyBorder="1" applyAlignment="1">
      <alignment horizontal="center" vertical="center" wrapText="1"/>
    </xf>
    <xf numFmtId="0" fontId="110" fillId="2" borderId="37" xfId="0" applyFont="1" applyFill="1" applyBorder="1" applyAlignment="1">
      <alignment horizontal="center" vertical="center" wrapText="1"/>
    </xf>
    <xf numFmtId="0" fontId="110" fillId="2" borderId="8" xfId="0" applyFont="1" applyFill="1" applyBorder="1" applyAlignment="1">
      <alignment horizontal="center" vertical="center" wrapText="1"/>
    </xf>
    <xf numFmtId="0" fontId="62" fillId="2" borderId="5" xfId="0" applyFont="1" applyFill="1" applyBorder="1" applyAlignment="1">
      <alignment horizontal="center" vertical="center"/>
    </xf>
    <xf numFmtId="0" fontId="62" fillId="2" borderId="72" xfId="0" applyFont="1" applyFill="1" applyBorder="1" applyAlignment="1">
      <alignment horizontal="center" vertical="center"/>
    </xf>
    <xf numFmtId="0" fontId="62" fillId="2" borderId="71" xfId="0" applyFont="1" applyFill="1" applyBorder="1" applyAlignment="1">
      <alignment horizontal="center" vertical="center"/>
    </xf>
    <xf numFmtId="0" fontId="62" fillId="2" borderId="13" xfId="0" applyFont="1" applyFill="1" applyBorder="1" applyAlignment="1">
      <alignment horizontal="center" vertical="center"/>
    </xf>
    <xf numFmtId="0" fontId="62" fillId="2" borderId="12" xfId="0" applyFont="1" applyFill="1" applyBorder="1" applyAlignment="1">
      <alignment horizontal="center" vertical="center"/>
    </xf>
    <xf numFmtId="0" fontId="62" fillId="2" borderId="46" xfId="0" applyFont="1" applyFill="1" applyBorder="1" applyAlignment="1">
      <alignment horizontal="center" vertical="center"/>
    </xf>
    <xf numFmtId="0" fontId="62" fillId="2" borderId="66" xfId="0" applyFont="1" applyFill="1" applyBorder="1" applyAlignment="1">
      <alignment horizontal="center" vertical="center"/>
    </xf>
    <xf numFmtId="0" fontId="62" fillId="2" borderId="67" xfId="0" applyFont="1" applyFill="1" applyBorder="1" applyAlignment="1">
      <alignment horizontal="center" vertical="center"/>
    </xf>
    <xf numFmtId="0" fontId="62" fillId="2" borderId="68" xfId="0" applyFont="1" applyFill="1" applyBorder="1" applyAlignment="1">
      <alignment horizontal="center" vertical="center"/>
    </xf>
    <xf numFmtId="0" fontId="62" fillId="2" borderId="9" xfId="0" applyFont="1" applyFill="1" applyBorder="1" applyAlignment="1">
      <alignment horizontal="center" vertical="center"/>
    </xf>
    <xf numFmtId="0" fontId="62" fillId="2" borderId="7" xfId="0" applyFont="1" applyFill="1" applyBorder="1" applyAlignment="1">
      <alignment horizontal="center" vertical="center"/>
    </xf>
    <xf numFmtId="1" fontId="79" fillId="2" borderId="20" xfId="0" applyNumberFormat="1" applyFont="1" applyFill="1" applyBorder="1" applyAlignment="1">
      <alignment horizontal="center" vertical="center"/>
    </xf>
    <xf numFmtId="1" fontId="79" fillId="2" borderId="21" xfId="0" applyNumberFormat="1" applyFont="1" applyFill="1" applyBorder="1" applyAlignment="1">
      <alignment horizontal="center" vertical="center"/>
    </xf>
    <xf numFmtId="1" fontId="112" fillId="2" borderId="31" xfId="0" applyNumberFormat="1" applyFont="1" applyFill="1" applyBorder="1" applyAlignment="1">
      <alignment horizontal="center" vertical="center" wrapText="1"/>
    </xf>
    <xf numFmtId="1" fontId="112" fillId="2" borderId="32" xfId="0" applyNumberFormat="1" applyFont="1" applyFill="1" applyBorder="1" applyAlignment="1">
      <alignment horizontal="center" vertical="center" wrapText="1"/>
    </xf>
    <xf numFmtId="0" fontId="112" fillId="2" borderId="80" xfId="0" applyFont="1" applyFill="1" applyBorder="1" applyAlignment="1">
      <alignment horizontal="center" vertical="center"/>
    </xf>
    <xf numFmtId="0" fontId="112" fillId="2" borderId="8" xfId="0" applyFont="1" applyFill="1" applyBorder="1" applyAlignment="1">
      <alignment horizontal="center" vertical="center"/>
    </xf>
    <xf numFmtId="1" fontId="112" fillId="2" borderId="76" xfId="0" applyNumberFormat="1" applyFont="1" applyFill="1" applyBorder="1" applyAlignment="1">
      <alignment horizontal="center" vertical="center"/>
    </xf>
    <xf numFmtId="1" fontId="112" fillId="2" borderId="48" xfId="0" applyNumberFormat="1" applyFont="1" applyFill="1" applyBorder="1" applyAlignment="1">
      <alignment horizontal="center" vertical="center"/>
    </xf>
    <xf numFmtId="0" fontId="62" fillId="2" borderId="19" xfId="0" applyFont="1" applyFill="1" applyBorder="1" applyAlignment="1">
      <alignment horizontal="center" vertical="center"/>
    </xf>
    <xf numFmtId="0" fontId="92" fillId="2" borderId="34" xfId="0" applyFont="1" applyFill="1" applyBorder="1" applyAlignment="1">
      <alignment horizontal="center"/>
    </xf>
    <xf numFmtId="0" fontId="92" fillId="2" borderId="3" xfId="0" applyFont="1" applyFill="1" applyBorder="1" applyAlignment="1">
      <alignment horizontal="center"/>
    </xf>
    <xf numFmtId="0" fontId="92" fillId="2" borderId="36" xfId="0" applyFont="1" applyFill="1" applyBorder="1" applyAlignment="1">
      <alignment horizontal="center"/>
    </xf>
    <xf numFmtId="0" fontId="112" fillId="2" borderId="53" xfId="0" applyFont="1" applyFill="1" applyBorder="1" applyAlignment="1">
      <alignment horizontal="center" vertical="center"/>
    </xf>
    <xf numFmtId="0" fontId="112" fillId="2" borderId="40" xfId="0" applyFont="1" applyFill="1" applyBorder="1" applyAlignment="1">
      <alignment horizontal="center" vertical="center"/>
    </xf>
    <xf numFmtId="0" fontId="62" fillId="2" borderId="27" xfId="0" applyFont="1" applyFill="1" applyBorder="1" applyAlignment="1">
      <alignment horizontal="center" vertical="center" wrapText="1"/>
    </xf>
    <xf numFmtId="0" fontId="62" fillId="2" borderId="14" xfId="0" applyFont="1" applyFill="1" applyBorder="1" applyAlignment="1">
      <alignment horizontal="center" vertical="center" wrapText="1"/>
    </xf>
    <xf numFmtId="0" fontId="62" fillId="2" borderId="34" xfId="0" applyFont="1" applyFill="1" applyBorder="1" applyAlignment="1">
      <alignment horizontal="center" vertical="center"/>
    </xf>
    <xf numFmtId="0" fontId="62" fillId="2" borderId="3" xfId="0" applyFont="1" applyFill="1" applyBorder="1" applyAlignment="1">
      <alignment horizontal="center" vertical="center"/>
    </xf>
    <xf numFmtId="0" fontId="62" fillId="2" borderId="0" xfId="0" applyFont="1" applyFill="1" applyBorder="1" applyAlignment="1">
      <alignment horizontal="center" vertical="center"/>
    </xf>
    <xf numFmtId="0" fontId="62" fillId="2" borderId="62" xfId="0" applyFont="1" applyFill="1" applyBorder="1" applyAlignment="1">
      <alignment horizontal="center" vertical="center"/>
    </xf>
    <xf numFmtId="0" fontId="62" fillId="2" borderId="58" xfId="0" applyFont="1" applyFill="1" applyBorder="1" applyAlignment="1">
      <alignment horizontal="center" vertical="center"/>
    </xf>
    <xf numFmtId="0" fontId="62" fillId="2" borderId="37" xfId="0" applyFont="1" applyFill="1" applyBorder="1" applyAlignment="1">
      <alignment horizontal="center" vertical="center"/>
    </xf>
    <xf numFmtId="0" fontId="62" fillId="2" borderId="30" xfId="0" applyFont="1" applyFill="1" applyBorder="1" applyAlignment="1">
      <alignment horizontal="center" vertical="center"/>
    </xf>
    <xf numFmtId="0" fontId="62" fillId="2" borderId="38" xfId="0" applyFont="1" applyFill="1" applyBorder="1" applyAlignment="1">
      <alignment horizontal="center" vertical="center"/>
    </xf>
    <xf numFmtId="0" fontId="112" fillId="2" borderId="31" xfId="0" applyFont="1" applyFill="1" applyBorder="1" applyAlignment="1">
      <alignment horizontal="center" vertical="center"/>
    </xf>
    <xf numFmtId="0" fontId="112" fillId="2" borderId="32" xfId="0" applyFont="1" applyFill="1" applyBorder="1" applyAlignment="1">
      <alignment horizontal="center" vertical="center"/>
    </xf>
    <xf numFmtId="1" fontId="62" fillId="2" borderId="34" xfId="0" applyNumberFormat="1" applyFont="1" applyFill="1" applyBorder="1" applyAlignment="1">
      <alignment horizontal="center" vertical="center" wrapText="1"/>
    </xf>
    <xf numFmtId="1" fontId="62" fillId="2" borderId="62" xfId="0" applyNumberFormat="1" applyFont="1" applyFill="1" applyBorder="1" applyAlignment="1">
      <alignment horizontal="center" vertical="center" wrapText="1"/>
    </xf>
    <xf numFmtId="1" fontId="62" fillId="2" borderId="37" xfId="0" applyNumberFormat="1" applyFont="1" applyFill="1" applyBorder="1" applyAlignment="1">
      <alignment horizontal="center" vertical="center" wrapText="1"/>
    </xf>
    <xf numFmtId="0" fontId="112" fillId="2" borderId="65" xfId="0" applyFont="1" applyFill="1" applyBorder="1" applyAlignment="1">
      <alignment horizontal="center" vertical="center" wrapText="1"/>
    </xf>
    <xf numFmtId="0" fontId="112" fillId="2" borderId="7" xfId="0" applyFont="1" applyFill="1" applyBorder="1" applyAlignment="1">
      <alignment horizontal="center" vertical="center" wrapText="1"/>
    </xf>
    <xf numFmtId="0" fontId="112" fillId="2" borderId="5" xfId="0" applyFont="1" applyFill="1" applyBorder="1" applyAlignment="1">
      <alignment horizontal="center" vertical="center"/>
    </xf>
    <xf numFmtId="0" fontId="112" fillId="2" borderId="72" xfId="0" applyFont="1" applyFill="1" applyBorder="1" applyAlignment="1">
      <alignment horizontal="center" vertical="center"/>
    </xf>
    <xf numFmtId="0" fontId="112" fillId="2" borderId="71" xfId="0" applyFont="1" applyFill="1" applyBorder="1" applyAlignment="1">
      <alignment horizontal="center" vertical="center"/>
    </xf>
    <xf numFmtId="1" fontId="79" fillId="2" borderId="28" xfId="0" applyNumberFormat="1" applyFont="1" applyFill="1" applyBorder="1" applyAlignment="1">
      <alignment horizontal="center" vertical="center"/>
    </xf>
    <xf numFmtId="1" fontId="79" fillId="2" borderId="59" xfId="0" applyNumberFormat="1" applyFont="1" applyFill="1" applyBorder="1" applyAlignment="1">
      <alignment horizontal="center" vertical="center"/>
    </xf>
    <xf numFmtId="1" fontId="79" fillId="2" borderId="50" xfId="0" applyNumberFormat="1" applyFont="1" applyFill="1" applyBorder="1" applyAlignment="1">
      <alignment horizontal="center" vertical="center"/>
    </xf>
    <xf numFmtId="1" fontId="79" fillId="2" borderId="29" xfId="0" applyNumberFormat="1" applyFont="1" applyFill="1" applyBorder="1" applyAlignment="1">
      <alignment horizontal="center" vertical="center"/>
    </xf>
    <xf numFmtId="1" fontId="79" fillId="2" borderId="30" xfId="0" applyNumberFormat="1" applyFont="1" applyFill="1" applyBorder="1" applyAlignment="1">
      <alignment horizontal="center" vertical="center"/>
    </xf>
    <xf numFmtId="1" fontId="79" fillId="2" borderId="38" xfId="0" applyNumberFormat="1" applyFont="1" applyFill="1" applyBorder="1" applyAlignment="1">
      <alignment horizontal="center" vertical="center"/>
    </xf>
    <xf numFmtId="0" fontId="79" fillId="2" borderId="3" xfId="0" applyFont="1" applyFill="1" applyBorder="1" applyAlignment="1">
      <alignment horizontal="center" vertical="center" wrapText="1"/>
    </xf>
    <xf numFmtId="0" fontId="79" fillId="2" borderId="0" xfId="0" applyFont="1" applyFill="1" applyBorder="1" applyAlignment="1">
      <alignment horizontal="center" vertical="center" wrapText="1"/>
    </xf>
    <xf numFmtId="0" fontId="79" fillId="2" borderId="30" xfId="0" applyFont="1" applyFill="1" applyBorder="1" applyAlignment="1">
      <alignment horizontal="center" vertical="center" wrapText="1"/>
    </xf>
    <xf numFmtId="0" fontId="62" fillId="2" borderId="59" xfId="0" applyFont="1" applyFill="1" applyBorder="1" applyAlignment="1">
      <alignment horizontal="center" vertical="center"/>
    </xf>
    <xf numFmtId="0" fontId="62" fillId="2" borderId="11" xfId="0" applyFont="1" applyFill="1" applyBorder="1" applyAlignment="1">
      <alignment horizontal="center" vertical="center"/>
    </xf>
    <xf numFmtId="0" fontId="62" fillId="0" borderId="42" xfId="0" applyFont="1" applyFill="1" applyBorder="1" applyAlignment="1">
      <alignment horizontal="center" vertical="center"/>
    </xf>
    <xf numFmtId="0" fontId="62" fillId="0" borderId="6" xfId="0" applyFont="1" applyFill="1" applyBorder="1" applyAlignment="1">
      <alignment horizontal="center" vertical="center"/>
    </xf>
    <xf numFmtId="0" fontId="62" fillId="0" borderId="44" xfId="0" applyFont="1" applyFill="1" applyBorder="1" applyAlignment="1">
      <alignment horizontal="center" vertical="center" wrapText="1"/>
    </xf>
    <xf numFmtId="0" fontId="62" fillId="0" borderId="11" xfId="0" applyFont="1" applyFill="1" applyBorder="1" applyAlignment="1">
      <alignment horizontal="center" vertical="center" wrapText="1"/>
    </xf>
    <xf numFmtId="0" fontId="79" fillId="2" borderId="62" xfId="0" applyFont="1" applyFill="1" applyBorder="1" applyAlignment="1">
      <alignment horizontal="center"/>
    </xf>
    <xf numFmtId="0" fontId="79" fillId="2" borderId="0" xfId="0" applyFont="1" applyFill="1" applyBorder="1" applyAlignment="1">
      <alignment horizontal="center"/>
    </xf>
    <xf numFmtId="2" fontId="79" fillId="2" borderId="0" xfId="0" applyNumberFormat="1" applyFont="1" applyFill="1" applyBorder="1" applyAlignment="1">
      <alignment horizontal="center" vertical="center" wrapText="1"/>
    </xf>
    <xf numFmtId="2" fontId="79" fillId="2" borderId="63" xfId="0" applyNumberFormat="1" applyFont="1" applyFill="1" applyBorder="1" applyAlignment="1">
      <alignment horizontal="center" vertical="center" wrapText="1"/>
    </xf>
    <xf numFmtId="2" fontId="79" fillId="2" borderId="27" xfId="0" applyNumberFormat="1" applyFont="1" applyFill="1" applyBorder="1" applyAlignment="1">
      <alignment horizontal="center" vertical="center" wrapText="1"/>
    </xf>
    <xf numFmtId="2" fontId="79" fillId="2" borderId="49" xfId="0" applyNumberFormat="1" applyFont="1" applyFill="1" applyBorder="1" applyAlignment="1">
      <alignment horizontal="center" vertical="center" wrapText="1"/>
    </xf>
    <xf numFmtId="0" fontId="114" fillId="2" borderId="30" xfId="0" applyFont="1" applyFill="1" applyBorder="1" applyAlignment="1">
      <alignment horizontal="right" vertical="top" wrapText="1"/>
    </xf>
    <xf numFmtId="0" fontId="114" fillId="2" borderId="38" xfId="0" applyFont="1" applyFill="1" applyBorder="1" applyAlignment="1">
      <alignment horizontal="right" vertical="top" wrapText="1"/>
    </xf>
    <xf numFmtId="1" fontId="62" fillId="2" borderId="33" xfId="0" applyNumberFormat="1" applyFont="1" applyFill="1" applyBorder="1" applyAlignment="1">
      <alignment horizontal="center" vertical="center"/>
    </xf>
    <xf numFmtId="1" fontId="62" fillId="2" borderId="0" xfId="0" applyNumberFormat="1" applyFont="1" applyFill="1" applyBorder="1" applyAlignment="1">
      <alignment horizontal="center" vertical="center"/>
    </xf>
    <xf numFmtId="0" fontId="62" fillId="2" borderId="16" xfId="0" applyFont="1" applyFill="1" applyBorder="1" applyAlignment="1">
      <alignment horizontal="center" vertical="center" wrapText="1"/>
    </xf>
    <xf numFmtId="0" fontId="62" fillId="2" borderId="18" xfId="0" applyFont="1" applyFill="1" applyBorder="1" applyAlignment="1">
      <alignment horizontal="center" vertical="center" wrapText="1"/>
    </xf>
    <xf numFmtId="0" fontId="62" fillId="2" borderId="17" xfId="0" applyFont="1" applyFill="1" applyBorder="1" applyAlignment="1">
      <alignment horizontal="center" vertical="center" wrapText="1"/>
    </xf>
    <xf numFmtId="0" fontId="90" fillId="2" borderId="0" xfId="0" applyFont="1" applyFill="1" applyAlignment="1">
      <alignment horizontal="center"/>
    </xf>
    <xf numFmtId="0" fontId="106" fillId="2" borderId="12" xfId="0" quotePrefix="1" applyFont="1" applyFill="1" applyBorder="1" applyAlignment="1">
      <alignment horizontal="left" vertical="center" wrapText="1"/>
    </xf>
    <xf numFmtId="0" fontId="106" fillId="2" borderId="12" xfId="0" applyFont="1" applyFill="1" applyBorder="1" applyAlignment="1">
      <alignment horizontal="left" vertical="center" wrapText="1"/>
    </xf>
    <xf numFmtId="0" fontId="106" fillId="0" borderId="12" xfId="0" quotePrefix="1" applyFont="1" applyFill="1" applyBorder="1" applyAlignment="1">
      <alignment horizontal="left" vertical="center" wrapText="1"/>
    </xf>
    <xf numFmtId="0" fontId="106" fillId="0" borderId="12" xfId="0" applyFont="1" applyFill="1" applyBorder="1" applyAlignment="1">
      <alignment horizontal="left" vertical="center" wrapText="1"/>
    </xf>
    <xf numFmtId="0" fontId="126" fillId="0" borderId="12" xfId="0" quotePrefix="1" applyFont="1" applyFill="1" applyBorder="1" applyAlignment="1">
      <alignment horizontal="left" vertical="center" wrapText="1"/>
    </xf>
    <xf numFmtId="0" fontId="126" fillId="0" borderId="46" xfId="0" quotePrefix="1" applyFont="1" applyFill="1" applyBorder="1" applyAlignment="1">
      <alignment horizontal="left" vertical="center" wrapText="1"/>
    </xf>
    <xf numFmtId="0" fontId="108" fillId="0" borderId="20" xfId="0" applyFont="1" applyFill="1" applyBorder="1" applyAlignment="1">
      <alignment horizontal="center" vertical="center"/>
    </xf>
    <xf numFmtId="0" fontId="126" fillId="0" borderId="72" xfId="0" quotePrefix="1" applyFont="1" applyFill="1" applyBorder="1" applyAlignment="1" applyProtection="1">
      <alignment horizontal="left" vertical="center"/>
      <protection locked="0"/>
    </xf>
    <xf numFmtId="0" fontId="121" fillId="0" borderId="72" xfId="0" applyFont="1" applyFill="1" applyBorder="1" applyAlignment="1" applyProtection="1">
      <alignment horizontal="left" vertical="center"/>
      <protection locked="0"/>
    </xf>
    <xf numFmtId="0" fontId="121" fillId="0" borderId="71" xfId="0" applyFont="1" applyFill="1" applyBorder="1" applyAlignment="1" applyProtection="1">
      <alignment horizontal="left" vertical="center"/>
      <protection locked="0"/>
    </xf>
    <xf numFmtId="0" fontId="126" fillId="0" borderId="12" xfId="0" quotePrefix="1" applyFont="1" applyFill="1" applyBorder="1" applyAlignment="1">
      <alignment horizontal="left" vertical="top" wrapText="1"/>
    </xf>
    <xf numFmtId="0" fontId="126" fillId="0" borderId="46" xfId="0" quotePrefix="1" applyFont="1" applyFill="1" applyBorder="1" applyAlignment="1">
      <alignment horizontal="left" vertical="top" wrapText="1"/>
    </xf>
    <xf numFmtId="46" fontId="121" fillId="2" borderId="12" xfId="0" quotePrefix="1" applyNumberFormat="1" applyFont="1" applyFill="1" applyBorder="1" applyAlignment="1">
      <alignment horizontal="center" vertical="center" wrapText="1"/>
    </xf>
    <xf numFmtId="0" fontId="127" fillId="2" borderId="46" xfId="0" quotePrefix="1" applyNumberFormat="1" applyFont="1" applyFill="1" applyBorder="1" applyAlignment="1">
      <alignment horizontal="center" vertical="center" wrapText="1"/>
    </xf>
    <xf numFmtId="0" fontId="106" fillId="0" borderId="63" xfId="0" quotePrefix="1" applyFont="1" applyFill="1" applyBorder="1" applyAlignment="1">
      <alignment horizontal="left" vertical="center" wrapText="1"/>
    </xf>
    <xf numFmtId="0" fontId="106" fillId="0" borderId="27" xfId="0" quotePrefix="1" applyFont="1" applyFill="1" applyBorder="1" applyAlignment="1">
      <alignment horizontal="left" vertical="center" wrapText="1"/>
    </xf>
    <xf numFmtId="0" fontId="106" fillId="0" borderId="49" xfId="0" quotePrefix="1" applyFont="1" applyFill="1" applyBorder="1" applyAlignment="1">
      <alignment horizontal="left" vertical="center" wrapText="1"/>
    </xf>
    <xf numFmtId="0" fontId="121" fillId="0" borderId="34" xfId="0" quotePrefix="1" applyFont="1" applyFill="1" applyBorder="1" applyAlignment="1" applyProtection="1">
      <alignment horizontal="left" vertical="center" wrapText="1"/>
      <protection locked="0"/>
    </xf>
    <xf numFmtId="0" fontId="121" fillId="0" borderId="3" xfId="0" applyFont="1" applyFill="1" applyBorder="1" applyAlignment="1" applyProtection="1">
      <alignment horizontal="left" vertical="center" wrapText="1"/>
      <protection locked="0"/>
    </xf>
    <xf numFmtId="0" fontId="121" fillId="0" borderId="36" xfId="0" applyFont="1" applyFill="1" applyBorder="1" applyAlignment="1" applyProtection="1">
      <alignment horizontal="left" vertical="center" wrapText="1"/>
      <protection locked="0"/>
    </xf>
    <xf numFmtId="0" fontId="129" fillId="2" borderId="0" xfId="0" quotePrefix="1" applyFont="1" applyFill="1" applyAlignment="1">
      <alignment horizontal="center"/>
    </xf>
    <xf numFmtId="0" fontId="129" fillId="2" borderId="0" xfId="0" applyFont="1" applyFill="1" applyAlignment="1">
      <alignment horizontal="center"/>
    </xf>
    <xf numFmtId="0" fontId="121" fillId="0" borderId="13" xfId="0" quotePrefix="1" applyFont="1" applyFill="1" applyBorder="1" applyAlignment="1">
      <alignment horizontal="center" vertical="center" wrapText="1"/>
    </xf>
    <xf numFmtId="9" fontId="126" fillId="0" borderId="12" xfId="18" quotePrefix="1" applyNumberFormat="1" applyFont="1" applyFill="1" applyBorder="1" applyAlignment="1">
      <alignment horizontal="center" vertical="center" wrapText="1"/>
    </xf>
    <xf numFmtId="0" fontId="128" fillId="0" borderId="12" xfId="0" quotePrefix="1" applyFont="1" applyFill="1" applyBorder="1" applyAlignment="1">
      <alignment horizontal="left" vertical="center" wrapText="1"/>
    </xf>
    <xf numFmtId="1" fontId="126" fillId="0" borderId="12" xfId="0" quotePrefix="1" applyNumberFormat="1" applyFont="1" applyFill="1" applyBorder="1" applyAlignment="1">
      <alignment horizontal="center" vertical="center" wrapText="1"/>
    </xf>
    <xf numFmtId="0" fontId="126" fillId="0" borderId="12" xfId="0" quotePrefix="1" applyFont="1" applyFill="1" applyBorder="1" applyAlignment="1">
      <alignment horizontal="center" vertical="top" wrapText="1"/>
    </xf>
    <xf numFmtId="0" fontId="126" fillId="0" borderId="46" xfId="0" quotePrefix="1" applyFont="1" applyFill="1" applyBorder="1" applyAlignment="1">
      <alignment horizontal="center" vertical="top" wrapText="1"/>
    </xf>
    <xf numFmtId="9" fontId="126" fillId="0" borderId="12" xfId="18" quotePrefix="1" applyFont="1" applyFill="1" applyBorder="1" applyAlignment="1">
      <alignment horizontal="center" vertical="center" wrapText="1"/>
    </xf>
    <xf numFmtId="0" fontId="126" fillId="0" borderId="12" xfId="0" quotePrefix="1" applyFont="1" applyFill="1" applyBorder="1" applyAlignment="1" applyProtection="1">
      <alignment horizontal="left" vertical="center" wrapText="1"/>
      <protection locked="0"/>
    </xf>
    <xf numFmtId="0" fontId="121" fillId="0" borderId="12" xfId="0" applyFont="1" applyFill="1" applyBorder="1" applyAlignment="1" applyProtection="1">
      <alignment horizontal="left" vertical="center"/>
      <protection locked="0"/>
    </xf>
    <xf numFmtId="0" fontId="121" fillId="0" borderId="46" xfId="0" applyFont="1" applyFill="1" applyBorder="1" applyAlignment="1" applyProtection="1">
      <alignment horizontal="left" vertical="center"/>
      <protection locked="0"/>
    </xf>
    <xf numFmtId="0" fontId="126" fillId="0" borderId="63" xfId="0" quotePrefix="1" applyFont="1" applyFill="1" applyBorder="1" applyAlignment="1" applyProtection="1">
      <alignment horizontal="left" vertical="center" wrapText="1"/>
      <protection locked="0"/>
    </xf>
    <xf numFmtId="0" fontId="126" fillId="0" borderId="27" xfId="0" quotePrefix="1" applyFont="1" applyFill="1" applyBorder="1" applyAlignment="1" applyProtection="1">
      <alignment horizontal="left" vertical="center" wrapText="1"/>
      <protection locked="0"/>
    </xf>
    <xf numFmtId="0" fontId="126" fillId="0" borderId="49" xfId="0" quotePrefix="1" applyFont="1" applyFill="1" applyBorder="1" applyAlignment="1" applyProtection="1">
      <alignment horizontal="left" vertical="center" wrapText="1"/>
      <protection locked="0"/>
    </xf>
    <xf numFmtId="0" fontId="62" fillId="0" borderId="12" xfId="0" applyFont="1" applyFill="1" applyBorder="1" applyAlignment="1">
      <alignment horizontal="center" vertical="center"/>
    </xf>
    <xf numFmtId="20" fontId="79" fillId="0" borderId="12" xfId="0" applyNumberFormat="1" applyFont="1" applyFill="1" applyBorder="1" applyAlignment="1">
      <alignment horizontal="center" vertical="center" wrapText="1"/>
    </xf>
    <xf numFmtId="0" fontId="121" fillId="0" borderId="65" xfId="0" applyFont="1" applyFill="1" applyBorder="1" applyAlignment="1" applyProtection="1">
      <alignment horizontal="center" vertical="center"/>
      <protection locked="0"/>
    </xf>
    <xf numFmtId="0" fontId="121" fillId="0" borderId="78" xfId="0" applyFont="1" applyFill="1" applyBorder="1" applyAlignment="1" applyProtection="1">
      <alignment horizontal="center" vertical="center"/>
      <protection locked="0"/>
    </xf>
    <xf numFmtId="0" fontId="121" fillId="0" borderId="76" xfId="0" applyFont="1" applyFill="1" applyBorder="1" applyAlignment="1" applyProtection="1">
      <alignment horizontal="center" vertical="center"/>
      <protection locked="0"/>
    </xf>
    <xf numFmtId="20" fontId="79" fillId="0" borderId="12" xfId="0" applyNumberFormat="1" applyFont="1" applyFill="1" applyBorder="1" applyAlignment="1">
      <alignment vertical="center" wrapText="1"/>
    </xf>
    <xf numFmtId="0" fontId="105" fillId="0" borderId="12" xfId="0" applyFont="1" applyFill="1" applyBorder="1" applyAlignment="1">
      <alignment horizontal="center" vertical="center"/>
    </xf>
    <xf numFmtId="0" fontId="62" fillId="0" borderId="12" xfId="0" applyFont="1" applyFill="1" applyBorder="1" applyAlignment="1">
      <alignment horizontal="center" vertical="center" wrapText="1"/>
    </xf>
    <xf numFmtId="0" fontId="62" fillId="0" borderId="46" xfId="0" applyFont="1" applyFill="1" applyBorder="1" applyAlignment="1">
      <alignment horizontal="center" vertical="center" wrapText="1"/>
    </xf>
    <xf numFmtId="1" fontId="131" fillId="0" borderId="12" xfId="0" applyNumberFormat="1" applyFont="1" applyFill="1" applyBorder="1" applyAlignment="1">
      <alignment horizontal="center" vertical="center" wrapText="1"/>
    </xf>
    <xf numFmtId="1" fontId="131" fillId="0" borderId="46" xfId="0" applyNumberFormat="1" applyFont="1" applyFill="1" applyBorder="1" applyAlignment="1">
      <alignment horizontal="center" vertical="center" wrapText="1"/>
    </xf>
    <xf numFmtId="20" fontId="131" fillId="0" borderId="12" xfId="0" applyNumberFormat="1" applyFont="1" applyFill="1" applyBorder="1" applyAlignment="1">
      <alignment horizontal="center" vertical="center" wrapText="1"/>
    </xf>
    <xf numFmtId="0" fontId="62" fillId="0" borderId="13" xfId="0" applyFont="1" applyFill="1" applyBorder="1" applyAlignment="1">
      <alignment horizontal="center" vertical="center" wrapText="1"/>
    </xf>
    <xf numFmtId="20" fontId="74" fillId="0" borderId="12" xfId="0" applyNumberFormat="1" applyFont="1" applyFill="1" applyBorder="1" applyAlignment="1">
      <alignment horizontal="center" vertical="center" wrapText="1"/>
    </xf>
    <xf numFmtId="20" fontId="131" fillId="0" borderId="12" xfId="0" applyNumberFormat="1" applyFont="1" applyFill="1" applyBorder="1" applyAlignment="1">
      <alignment vertical="center" wrapText="1"/>
    </xf>
    <xf numFmtId="20" fontId="74" fillId="0" borderId="12" xfId="0" applyNumberFormat="1" applyFont="1" applyFill="1" applyBorder="1" applyAlignment="1">
      <alignment vertical="center" wrapText="1"/>
    </xf>
    <xf numFmtId="1" fontId="111" fillId="0" borderId="12" xfId="0" applyNumberFormat="1" applyFont="1" applyFill="1" applyBorder="1" applyAlignment="1">
      <alignment horizontal="center" vertical="center" wrapText="1"/>
    </xf>
    <xf numFmtId="1" fontId="111" fillId="0" borderId="46" xfId="0" applyNumberFormat="1" applyFont="1" applyFill="1" applyBorder="1" applyAlignment="1">
      <alignment horizontal="center" vertical="center" wrapText="1"/>
    </xf>
    <xf numFmtId="20" fontId="131" fillId="0" borderId="12" xfId="0" quotePrefix="1" applyNumberFormat="1" applyFont="1" applyFill="1" applyBorder="1" applyAlignment="1">
      <alignment horizontal="left" vertical="center" wrapText="1"/>
    </xf>
    <xf numFmtId="1" fontId="124" fillId="0" borderId="12" xfId="0" applyNumberFormat="1" applyFont="1" applyFill="1" applyBorder="1" applyAlignment="1">
      <alignment horizontal="center" vertical="center" wrapText="1"/>
    </xf>
    <xf numFmtId="1" fontId="124" fillId="0" borderId="46" xfId="0" applyNumberFormat="1" applyFont="1" applyFill="1" applyBorder="1" applyAlignment="1">
      <alignment horizontal="center" vertical="center" wrapText="1"/>
    </xf>
    <xf numFmtId="1" fontId="131" fillId="0" borderId="12" xfId="0" applyNumberFormat="1" applyFont="1" applyFill="1" applyBorder="1" applyAlignment="1">
      <alignment horizontal="center" vertical="center"/>
    </xf>
    <xf numFmtId="1" fontId="131" fillId="0" borderId="46" xfId="0" applyNumberFormat="1" applyFont="1" applyFill="1" applyBorder="1" applyAlignment="1">
      <alignment horizontal="center" vertical="center"/>
    </xf>
    <xf numFmtId="1" fontId="131" fillId="0" borderId="63" xfId="0" applyNumberFormat="1" applyFont="1" applyFill="1" applyBorder="1" applyAlignment="1">
      <alignment horizontal="center" vertical="center"/>
    </xf>
    <xf numFmtId="1" fontId="131" fillId="0" borderId="49" xfId="0" applyNumberFormat="1" applyFont="1" applyFill="1" applyBorder="1" applyAlignment="1">
      <alignment horizontal="center" vertical="center"/>
    </xf>
    <xf numFmtId="20" fontId="131" fillId="0" borderId="12" xfId="0" applyNumberFormat="1" applyFont="1" applyFill="1" applyBorder="1" applyAlignment="1">
      <alignment horizontal="left" vertical="center" wrapText="1"/>
    </xf>
    <xf numFmtId="0" fontId="131" fillId="0" borderId="12" xfId="0" quotePrefix="1" applyFont="1" applyFill="1" applyBorder="1" applyAlignment="1">
      <alignment horizontal="left" vertical="center" wrapText="1"/>
    </xf>
    <xf numFmtId="0" fontId="62" fillId="0" borderId="13" xfId="0" applyFont="1" applyFill="1" applyBorder="1" applyAlignment="1">
      <alignment horizontal="center" vertical="center"/>
    </xf>
    <xf numFmtId="1" fontId="134" fillId="0" borderId="63" xfId="0" applyNumberFormat="1" applyFont="1" applyFill="1" applyBorder="1" applyAlignment="1">
      <alignment horizontal="center" vertical="center"/>
    </xf>
    <xf numFmtId="1" fontId="134" fillId="0" borderId="14" xfId="0" applyNumberFormat="1" applyFont="1" applyFill="1" applyBorder="1" applyAlignment="1">
      <alignment horizontal="center" vertical="center"/>
    </xf>
    <xf numFmtId="1" fontId="137" fillId="0" borderId="63" xfId="0" applyNumberFormat="1" applyFont="1" applyFill="1" applyBorder="1" applyAlignment="1">
      <alignment horizontal="center" vertical="center"/>
    </xf>
    <xf numFmtId="1" fontId="137" fillId="0" borderId="14" xfId="0" applyNumberFormat="1" applyFont="1" applyFill="1" applyBorder="1" applyAlignment="1">
      <alignment horizontal="center" vertical="center"/>
    </xf>
    <xf numFmtId="1" fontId="124" fillId="0" borderId="12" xfId="0" applyNumberFormat="1" applyFont="1" applyFill="1" applyBorder="1" applyAlignment="1">
      <alignment horizontal="center" vertical="center"/>
    </xf>
    <xf numFmtId="1" fontId="104" fillId="0" borderId="12" xfId="0" applyNumberFormat="1" applyFont="1" applyFill="1" applyBorder="1" applyAlignment="1">
      <alignment horizontal="center" vertical="center"/>
    </xf>
    <xf numFmtId="0" fontId="100" fillId="0" borderId="12" xfId="0" applyFont="1" applyFill="1" applyBorder="1" applyAlignment="1">
      <alignment horizontal="center" vertical="center" wrapText="1"/>
    </xf>
    <xf numFmtId="0" fontId="100" fillId="0" borderId="46" xfId="0" applyFont="1" applyFill="1" applyBorder="1" applyAlignment="1">
      <alignment horizontal="center" vertical="center" wrapText="1"/>
    </xf>
    <xf numFmtId="1" fontId="100" fillId="0" borderId="12" xfId="0" applyNumberFormat="1" applyFont="1" applyFill="1" applyBorder="1" applyAlignment="1">
      <alignment horizontal="center" vertical="center" wrapText="1"/>
    </xf>
    <xf numFmtId="1" fontId="100" fillId="0" borderId="46" xfId="0" applyNumberFormat="1" applyFont="1" applyFill="1" applyBorder="1" applyAlignment="1">
      <alignment horizontal="center" vertical="center" wrapText="1"/>
    </xf>
    <xf numFmtId="186" fontId="127" fillId="2" borderId="12" xfId="0" quotePrefix="1" applyNumberFormat="1" applyFont="1" applyFill="1" applyBorder="1" applyAlignment="1">
      <alignment horizontal="center" vertical="center" wrapText="1"/>
    </xf>
    <xf numFmtId="186" fontId="127" fillId="2" borderId="46" xfId="0" quotePrefix="1" applyNumberFormat="1" applyFont="1" applyFill="1" applyBorder="1" applyAlignment="1">
      <alignment horizontal="center" vertical="center" wrapText="1"/>
    </xf>
    <xf numFmtId="0" fontId="100" fillId="0" borderId="12" xfId="0" applyFont="1" applyFill="1" applyBorder="1" applyAlignment="1">
      <alignment horizontal="center" vertical="center"/>
    </xf>
    <xf numFmtId="0" fontId="74" fillId="0" borderId="12" xfId="0" applyFont="1" applyFill="1" applyBorder="1" applyAlignment="1">
      <alignment horizontal="center" vertical="center"/>
    </xf>
    <xf numFmtId="0" fontId="74" fillId="0" borderId="12" xfId="0" applyFont="1" applyFill="1" applyBorder="1" applyAlignment="1">
      <alignment horizontal="left" vertical="center"/>
    </xf>
    <xf numFmtId="0" fontId="100" fillId="0" borderId="13" xfId="0" applyFont="1" applyFill="1" applyBorder="1" applyAlignment="1">
      <alignment horizontal="center" vertical="center" wrapText="1"/>
    </xf>
    <xf numFmtId="0" fontId="74" fillId="0" borderId="12" xfId="0" applyFont="1" applyFill="1" applyBorder="1" applyAlignment="1">
      <alignment horizontal="center"/>
    </xf>
    <xf numFmtId="0" fontId="104" fillId="0" borderId="63" xfId="0" applyFont="1" applyFill="1" applyBorder="1" applyAlignment="1">
      <alignment horizontal="center" vertical="center"/>
    </xf>
    <xf numFmtId="0" fontId="104" fillId="0" borderId="27" xfId="0" applyFont="1" applyFill="1" applyBorder="1" applyAlignment="1">
      <alignment horizontal="center" vertical="center"/>
    </xf>
    <xf numFmtId="0" fontId="104" fillId="0" borderId="14" xfId="0" applyFont="1" applyFill="1" applyBorder="1" applyAlignment="1">
      <alignment horizontal="center" vertical="center"/>
    </xf>
    <xf numFmtId="1" fontId="104" fillId="0" borderId="46" xfId="0" applyNumberFormat="1" applyFont="1" applyFill="1" applyBorder="1" applyAlignment="1">
      <alignment horizontal="center" vertical="center"/>
    </xf>
    <xf numFmtId="0" fontId="74" fillId="0" borderId="12" xfId="0" applyFont="1" applyFill="1" applyBorder="1" applyAlignment="1">
      <alignment horizontal="left" vertical="center" wrapText="1"/>
    </xf>
    <xf numFmtId="1" fontId="127" fillId="0" borderId="12" xfId="0" applyNumberFormat="1" applyFont="1" applyFill="1" applyBorder="1" applyAlignment="1">
      <alignment horizontal="center" vertical="center"/>
    </xf>
    <xf numFmtId="1" fontId="127" fillId="0" borderId="46" xfId="0" applyNumberFormat="1" applyFont="1" applyFill="1" applyBorder="1" applyAlignment="1">
      <alignment horizontal="center" vertical="center"/>
    </xf>
    <xf numFmtId="0" fontId="74" fillId="0" borderId="13" xfId="0" applyFont="1" applyFill="1" applyBorder="1" applyAlignment="1">
      <alignment horizontal="left" vertical="center" wrapText="1"/>
    </xf>
    <xf numFmtId="0" fontId="100" fillId="0" borderId="13" xfId="0" applyFont="1" applyFill="1" applyBorder="1" applyAlignment="1">
      <alignment horizontal="center" vertical="center"/>
    </xf>
    <xf numFmtId="0" fontId="62" fillId="0" borderId="5" xfId="0" applyFont="1" applyFill="1" applyBorder="1" applyAlignment="1">
      <alignment horizontal="center" vertical="center"/>
    </xf>
    <xf numFmtId="0" fontId="62" fillId="0" borderId="72" xfId="0" applyFont="1" applyFill="1" applyBorder="1" applyAlignment="1">
      <alignment horizontal="center" vertical="center"/>
    </xf>
    <xf numFmtId="0" fontId="62" fillId="0" borderId="71" xfId="0" applyFont="1" applyFill="1" applyBorder="1" applyAlignment="1">
      <alignment horizontal="center" vertical="center"/>
    </xf>
    <xf numFmtId="0" fontId="79" fillId="0" borderId="13" xfId="0" applyFont="1" applyFill="1" applyBorder="1" applyAlignment="1">
      <alignment horizontal="center"/>
    </xf>
    <xf numFmtId="0" fontId="79" fillId="0" borderId="12" xfId="0" applyFont="1" applyFill="1" applyBorder="1" applyAlignment="1">
      <alignment horizontal="center"/>
    </xf>
    <xf numFmtId="0" fontId="79" fillId="0" borderId="46" xfId="0" applyFont="1" applyFill="1" applyBorder="1" applyAlignment="1">
      <alignment horizontal="center"/>
    </xf>
    <xf numFmtId="0" fontId="127" fillId="0" borderId="63" xfId="0" applyFont="1" applyFill="1" applyBorder="1" applyAlignment="1">
      <alignment horizontal="center" vertical="center"/>
    </xf>
    <xf numFmtId="0" fontId="127" fillId="0" borderId="27" xfId="0" applyFont="1" applyFill="1" applyBorder="1" applyAlignment="1">
      <alignment horizontal="center" vertical="center"/>
    </xf>
    <xf numFmtId="0" fontId="127" fillId="0" borderId="14" xfId="0" applyFont="1" applyFill="1" applyBorder="1" applyAlignment="1">
      <alignment horizontal="center" vertical="center"/>
    </xf>
    <xf numFmtId="0" fontId="122" fillId="0" borderId="12" xfId="0" applyFont="1" applyFill="1" applyBorder="1" applyAlignment="1">
      <alignment horizontal="center" vertical="center" wrapText="1"/>
    </xf>
    <xf numFmtId="0" fontId="106" fillId="0" borderId="20" xfId="0" applyFont="1" applyFill="1" applyBorder="1" applyAlignment="1">
      <alignment horizontal="left" vertical="center" wrapText="1"/>
    </xf>
    <xf numFmtId="0" fontId="106" fillId="0" borderId="47" xfId="0" applyFont="1" applyFill="1" applyBorder="1" applyAlignment="1">
      <alignment horizontal="left" vertical="center" wrapText="1"/>
    </xf>
    <xf numFmtId="0" fontId="126" fillId="0" borderId="28" xfId="0" quotePrefix="1" applyFont="1" applyFill="1" applyBorder="1" applyAlignment="1">
      <alignment horizontal="left" vertical="top" wrapText="1"/>
    </xf>
    <xf numFmtId="0" fontId="126" fillId="0" borderId="59" xfId="0" quotePrefix="1" applyFont="1" applyFill="1" applyBorder="1" applyAlignment="1">
      <alignment horizontal="left" vertical="top" wrapText="1"/>
    </xf>
    <xf numFmtId="0" fontId="126" fillId="0" borderId="50" xfId="0" quotePrefix="1" applyFont="1" applyFill="1" applyBorder="1" applyAlignment="1">
      <alignment horizontal="left" vertical="top" wrapText="1"/>
    </xf>
    <xf numFmtId="0" fontId="121" fillId="0" borderId="9" xfId="0" quotePrefix="1" applyFont="1" applyFill="1" applyBorder="1" applyAlignment="1">
      <alignment horizontal="center" vertical="center" wrapText="1"/>
    </xf>
    <xf numFmtId="0" fontId="121" fillId="0" borderId="61" xfId="0" quotePrefix="1" applyFont="1" applyFill="1" applyBorder="1" applyAlignment="1">
      <alignment horizontal="center" vertical="center" wrapText="1"/>
    </xf>
    <xf numFmtId="0" fontId="120" fillId="0" borderId="53" xfId="0" quotePrefix="1" applyFont="1" applyFill="1" applyBorder="1" applyAlignment="1">
      <alignment horizontal="left" vertical="center" wrapText="1"/>
    </xf>
    <xf numFmtId="0" fontId="120" fillId="0" borderId="41" xfId="0" quotePrefix="1" applyFont="1" applyFill="1" applyBorder="1" applyAlignment="1">
      <alignment horizontal="left" vertical="center" wrapText="1"/>
    </xf>
    <xf numFmtId="0" fontId="120" fillId="0" borderId="69" xfId="0" quotePrefix="1" applyFont="1" applyFill="1" applyBorder="1" applyAlignment="1">
      <alignment horizontal="left" vertical="center" wrapText="1"/>
    </xf>
    <xf numFmtId="1" fontId="104" fillId="2" borderId="12" xfId="0" applyNumberFormat="1" applyFont="1" applyFill="1" applyBorder="1" applyAlignment="1">
      <alignment horizontal="center" vertical="center"/>
    </xf>
    <xf numFmtId="0" fontId="79" fillId="0" borderId="13" xfId="0" applyFont="1" applyFill="1" applyBorder="1" applyAlignment="1">
      <alignment horizontal="center" vertical="center"/>
    </xf>
    <xf numFmtId="0" fontId="79" fillId="0" borderId="12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54" fillId="2" borderId="16" xfId="0" applyFont="1" applyFill="1" applyBorder="1" applyAlignment="1">
      <alignment horizontal="center" vertical="center"/>
    </xf>
    <xf numFmtId="0" fontId="54" fillId="2" borderId="17" xfId="0" applyFont="1" applyFill="1" applyBorder="1" applyAlignment="1">
      <alignment horizontal="center" vertical="center"/>
    </xf>
    <xf numFmtId="0" fontId="54" fillId="2" borderId="23" xfId="0" applyFont="1" applyFill="1" applyBorder="1" applyAlignment="1">
      <alignment horizontal="center" vertical="center"/>
    </xf>
    <xf numFmtId="0" fontId="46" fillId="2" borderId="43" xfId="0" applyFont="1" applyFill="1" applyBorder="1" applyAlignment="1">
      <alignment horizontal="center" vertical="center"/>
    </xf>
    <xf numFmtId="0" fontId="46" fillId="2" borderId="27" xfId="0" applyFont="1" applyFill="1" applyBorder="1" applyAlignment="1">
      <alignment horizontal="center" vertical="center"/>
    </xf>
    <xf numFmtId="0" fontId="46" fillId="2" borderId="49" xfId="0" applyFont="1" applyFill="1" applyBorder="1" applyAlignment="1">
      <alignment horizontal="center" vertical="center"/>
    </xf>
    <xf numFmtId="0" fontId="46" fillId="2" borderId="44" xfId="0" applyFont="1" applyFill="1" applyBorder="1" applyAlignment="1">
      <alignment horizontal="center" vertical="center"/>
    </xf>
    <xf numFmtId="0" fontId="46" fillId="2" borderId="59" xfId="0" applyFont="1" applyFill="1" applyBorder="1" applyAlignment="1">
      <alignment horizontal="center" vertical="center"/>
    </xf>
    <xf numFmtId="0" fontId="46" fillId="2" borderId="50" xfId="0" applyFont="1" applyFill="1" applyBorder="1" applyAlignment="1">
      <alignment horizontal="center" vertical="center"/>
    </xf>
    <xf numFmtId="0" fontId="46" fillId="2" borderId="35" xfId="0" applyFont="1" applyFill="1" applyBorder="1" applyAlignment="1">
      <alignment horizontal="center" vertical="center"/>
    </xf>
    <xf numFmtId="0" fontId="46" fillId="2" borderId="26" xfId="0" applyFont="1" applyFill="1" applyBorder="1" applyAlignment="1">
      <alignment horizontal="center" vertical="center"/>
    </xf>
    <xf numFmtId="0" fontId="46" fillId="2" borderId="54" xfId="0" applyFont="1" applyFill="1" applyBorder="1" applyAlignment="1">
      <alignment horizontal="center" vertical="center"/>
    </xf>
    <xf numFmtId="0" fontId="54" fillId="2" borderId="16" xfId="0" applyFont="1" applyFill="1" applyBorder="1" applyAlignment="1">
      <alignment horizontal="center" vertical="center" wrapText="1"/>
    </xf>
    <xf numFmtId="0" fontId="54" fillId="2" borderId="18" xfId="0" applyFont="1" applyFill="1" applyBorder="1" applyAlignment="1">
      <alignment horizontal="center" vertical="center" wrapText="1"/>
    </xf>
    <xf numFmtId="1" fontId="46" fillId="0" borderId="42" xfId="0" applyNumberFormat="1" applyFont="1" applyBorder="1" applyAlignment="1">
      <alignment horizontal="center" vertical="center"/>
    </xf>
    <xf numFmtId="1" fontId="46" fillId="0" borderId="6" xfId="0" applyNumberFormat="1" applyFont="1" applyBorder="1" applyAlignment="1">
      <alignment horizontal="center" vertical="center"/>
    </xf>
    <xf numFmtId="1" fontId="46" fillId="0" borderId="43" xfId="0" applyNumberFormat="1" applyFont="1" applyBorder="1" applyAlignment="1">
      <alignment horizontal="center" vertical="center"/>
    </xf>
    <xf numFmtId="1" fontId="46" fillId="0" borderId="14" xfId="0" applyNumberFormat="1" applyFont="1" applyBorder="1" applyAlignment="1">
      <alignment horizontal="center" vertical="center"/>
    </xf>
    <xf numFmtId="1" fontId="54" fillId="0" borderId="43" xfId="0" applyNumberFormat="1" applyFont="1" applyBorder="1" applyAlignment="1">
      <alignment horizontal="center" vertical="center"/>
    </xf>
    <xf numFmtId="1" fontId="54" fillId="0" borderId="14" xfId="0" applyNumberFormat="1" applyFont="1" applyBorder="1" applyAlignment="1">
      <alignment horizontal="center" vertical="center"/>
    </xf>
    <xf numFmtId="1" fontId="46" fillId="0" borderId="25" xfId="0" applyNumberFormat="1" applyFont="1" applyBorder="1" applyAlignment="1">
      <alignment horizontal="center" vertical="center"/>
    </xf>
    <xf numFmtId="1" fontId="46" fillId="0" borderId="56" xfId="0" applyNumberFormat="1" applyFont="1" applyBorder="1" applyAlignment="1">
      <alignment horizontal="center" vertical="center"/>
    </xf>
    <xf numFmtId="1" fontId="46" fillId="0" borderId="26" xfId="0" applyNumberFormat="1" applyFont="1" applyBorder="1" applyAlignment="1">
      <alignment horizontal="center" vertical="center"/>
    </xf>
    <xf numFmtId="1" fontId="46" fillId="0" borderId="54" xfId="0" applyNumberFormat="1" applyFont="1" applyBorder="1" applyAlignment="1">
      <alignment horizontal="center" vertical="center"/>
    </xf>
    <xf numFmtId="1" fontId="54" fillId="0" borderId="63" xfId="0" applyNumberFormat="1" applyFont="1" applyBorder="1" applyAlignment="1">
      <alignment horizontal="center"/>
    </xf>
    <xf numFmtId="1" fontId="54" fillId="0" borderId="27" xfId="0" applyNumberFormat="1" applyFont="1" applyBorder="1" applyAlignment="1">
      <alignment horizontal="center"/>
    </xf>
    <xf numFmtId="1" fontId="54" fillId="0" borderId="49" xfId="0" applyNumberFormat="1" applyFont="1" applyBorder="1" applyAlignment="1">
      <alignment horizontal="center"/>
    </xf>
    <xf numFmtId="1" fontId="41" fillId="0" borderId="63" xfId="0" applyNumberFormat="1" applyFont="1" applyBorder="1" applyAlignment="1">
      <alignment horizontal="center" vertical="center" wrapText="1"/>
    </xf>
    <xf numFmtId="1" fontId="41" fillId="0" borderId="14" xfId="0" applyNumberFormat="1" applyFont="1" applyBorder="1" applyAlignment="1">
      <alignment horizontal="center" vertical="center" wrapText="1"/>
    </xf>
    <xf numFmtId="1" fontId="54" fillId="0" borderId="63" xfId="0" applyNumberFormat="1" applyFont="1" applyBorder="1" applyAlignment="1">
      <alignment horizontal="center" vertical="center" wrapText="1"/>
    </xf>
    <xf numFmtId="1" fontId="54" fillId="0" borderId="14" xfId="0" applyNumberFormat="1" applyFont="1" applyBorder="1" applyAlignment="1">
      <alignment horizontal="center" vertical="center" wrapText="1"/>
    </xf>
    <xf numFmtId="0" fontId="46" fillId="2" borderId="37" xfId="0" applyFont="1" applyFill="1" applyBorder="1" applyAlignment="1">
      <alignment horizontal="center" vertical="center"/>
    </xf>
    <xf numFmtId="0" fontId="46" fillId="2" borderId="30" xfId="0" applyFont="1" applyFill="1" applyBorder="1" applyAlignment="1">
      <alignment horizontal="center" vertical="center"/>
    </xf>
    <xf numFmtId="0" fontId="46" fillId="2" borderId="38" xfId="0" applyFont="1" applyFill="1" applyBorder="1" applyAlignment="1">
      <alignment horizontal="center" vertical="center"/>
    </xf>
    <xf numFmtId="1" fontId="46" fillId="2" borderId="53" xfId="0" applyNumberFormat="1" applyFont="1" applyFill="1" applyBorder="1" applyAlignment="1">
      <alignment horizontal="center" vertical="center"/>
    </xf>
    <xf numFmtId="1" fontId="46" fillId="2" borderId="41" xfId="0" applyNumberFormat="1" applyFont="1" applyFill="1" applyBorder="1" applyAlignment="1">
      <alignment horizontal="center" vertical="center"/>
    </xf>
    <xf numFmtId="1" fontId="46" fillId="2" borderId="69" xfId="0" applyNumberFormat="1" applyFont="1" applyFill="1" applyBorder="1" applyAlignment="1">
      <alignment horizontal="center" vertical="center"/>
    </xf>
    <xf numFmtId="0" fontId="54" fillId="2" borderId="17" xfId="0" applyFont="1" applyFill="1" applyBorder="1" applyAlignment="1">
      <alignment horizontal="center" vertical="center" wrapText="1"/>
    </xf>
    <xf numFmtId="0" fontId="54" fillId="2" borderId="23" xfId="0" applyFont="1" applyFill="1" applyBorder="1" applyAlignment="1">
      <alignment horizontal="center" vertical="center" wrapText="1"/>
    </xf>
    <xf numFmtId="0" fontId="54" fillId="0" borderId="64" xfId="0" applyFont="1" applyBorder="1" applyAlignment="1">
      <alignment horizontal="center" vertical="center" wrapText="1"/>
    </xf>
    <xf numFmtId="0" fontId="54" fillId="0" borderId="18" xfId="0" applyFont="1" applyBorder="1" applyAlignment="1">
      <alignment horizontal="center" vertical="center" wrapText="1"/>
    </xf>
    <xf numFmtId="1" fontId="46" fillId="0" borderId="63" xfId="0" applyNumberFormat="1" applyFont="1" applyBorder="1" applyAlignment="1">
      <alignment horizontal="center" vertical="center" wrapText="1"/>
    </xf>
    <xf numFmtId="1" fontId="46" fillId="0" borderId="14" xfId="0" applyNumberFormat="1" applyFont="1" applyBorder="1" applyAlignment="1">
      <alignment horizontal="center" vertical="center" wrapText="1"/>
    </xf>
    <xf numFmtId="1" fontId="46" fillId="2" borderId="25" xfId="0" applyNumberFormat="1" applyFont="1" applyFill="1" applyBorder="1" applyAlignment="1">
      <alignment horizontal="center" vertical="center" wrapText="1"/>
    </xf>
    <xf numFmtId="1" fontId="46" fillId="2" borderId="56" xfId="0" applyNumberFormat="1" applyFont="1" applyFill="1" applyBorder="1" applyAlignment="1">
      <alignment horizontal="center" vertical="center" wrapText="1"/>
    </xf>
    <xf numFmtId="0" fontId="93" fillId="2" borderId="0" xfId="0" applyFont="1" applyFill="1" applyAlignment="1">
      <alignment horizontal="center"/>
    </xf>
    <xf numFmtId="0" fontId="94" fillId="2" borderId="30" xfId="0" applyFont="1" applyFill="1" applyBorder="1" applyAlignment="1">
      <alignment horizontal="center"/>
    </xf>
    <xf numFmtId="0" fontId="95" fillId="2" borderId="31" xfId="0" applyFont="1" applyFill="1" applyBorder="1" applyAlignment="1">
      <alignment horizontal="center" vertical="center" wrapText="1"/>
    </xf>
    <xf numFmtId="0" fontId="95" fillId="2" borderId="60" xfId="0" applyFont="1" applyFill="1" applyBorder="1" applyAlignment="1">
      <alignment horizontal="center" vertical="center" wrapText="1"/>
    </xf>
    <xf numFmtId="0" fontId="95" fillId="2" borderId="5" xfId="0" applyFont="1" applyFill="1" applyBorder="1" applyAlignment="1">
      <alignment horizontal="center" vertical="center"/>
    </xf>
    <xf numFmtId="0" fontId="95" fillId="2" borderId="72" xfId="0" applyFont="1" applyFill="1" applyBorder="1" applyAlignment="1">
      <alignment horizontal="center" vertical="center"/>
    </xf>
    <xf numFmtId="0" fontId="95" fillId="2" borderId="71" xfId="0" applyFont="1" applyFill="1" applyBorder="1" applyAlignment="1">
      <alignment horizontal="center" vertical="center"/>
    </xf>
    <xf numFmtId="0" fontId="95" fillId="2" borderId="3" xfId="0" applyFont="1" applyFill="1" applyBorder="1" applyAlignment="1">
      <alignment horizontal="center" vertical="center"/>
    </xf>
    <xf numFmtId="0" fontId="95" fillId="2" borderId="36" xfId="0" applyFont="1" applyFill="1" applyBorder="1" applyAlignment="1">
      <alignment horizontal="center" vertical="center"/>
    </xf>
    <xf numFmtId="0" fontId="95" fillId="2" borderId="1" xfId="0" applyFont="1" applyFill="1" applyBorder="1" applyAlignment="1">
      <alignment horizontal="center" vertical="center" wrapText="1"/>
    </xf>
    <xf numFmtId="0" fontId="95" fillId="2" borderId="10" xfId="0" applyFont="1" applyFill="1" applyBorder="1" applyAlignment="1">
      <alignment horizontal="center" vertical="center" wrapText="1"/>
    </xf>
    <xf numFmtId="0" fontId="54" fillId="0" borderId="39" xfId="0" applyFont="1" applyBorder="1" applyAlignment="1">
      <alignment horizontal="center" vertical="center" wrapText="1"/>
    </xf>
    <xf numFmtId="0" fontId="54" fillId="0" borderId="40" xfId="0" applyFont="1" applyBorder="1" applyAlignment="1">
      <alignment horizontal="center" vertical="center" wrapText="1"/>
    </xf>
    <xf numFmtId="1" fontId="46" fillId="0" borderId="25" xfId="0" applyNumberFormat="1" applyFont="1" applyBorder="1" applyAlignment="1">
      <alignment horizontal="center" vertical="center" wrapText="1"/>
    </xf>
    <xf numFmtId="1" fontId="46" fillId="0" borderId="56" xfId="0" applyNumberFormat="1" applyFont="1" applyBorder="1" applyAlignment="1">
      <alignment horizontal="center" vertical="center" wrapText="1"/>
    </xf>
    <xf numFmtId="1" fontId="41" fillId="0" borderId="77" xfId="0" applyNumberFormat="1" applyFont="1" applyBorder="1" applyAlignment="1">
      <alignment horizontal="center" vertical="center" wrapText="1"/>
    </xf>
    <xf numFmtId="1" fontId="41" fillId="0" borderId="6" xfId="0" applyNumberFormat="1" applyFont="1" applyBorder="1" applyAlignment="1">
      <alignment horizontal="center" vertical="center" wrapText="1"/>
    </xf>
    <xf numFmtId="1" fontId="54" fillId="2" borderId="39" xfId="0" applyNumberFormat="1" applyFont="1" applyFill="1" applyBorder="1" applyAlignment="1">
      <alignment horizontal="center" vertical="center"/>
    </xf>
    <xf numFmtId="1" fontId="54" fillId="2" borderId="40" xfId="0" applyNumberFormat="1" applyFont="1" applyFill="1" applyBorder="1" applyAlignment="1">
      <alignment horizontal="center" vertical="center"/>
    </xf>
    <xf numFmtId="1" fontId="96" fillId="0" borderId="39" xfId="0" applyNumberFormat="1" applyFont="1" applyBorder="1" applyAlignment="1">
      <alignment horizontal="center" vertical="center"/>
    </xf>
    <xf numFmtId="1" fontId="96" fillId="0" borderId="40" xfId="0" applyNumberFormat="1" applyFont="1" applyBorder="1" applyAlignment="1">
      <alignment horizontal="center" vertical="center"/>
    </xf>
    <xf numFmtId="1" fontId="46" fillId="2" borderId="63" xfId="0" applyNumberFormat="1" applyFont="1" applyFill="1" applyBorder="1" applyAlignment="1">
      <alignment horizontal="center" vertical="center" wrapText="1"/>
    </xf>
    <xf numFmtId="1" fontId="46" fillId="2" borderId="14" xfId="0" applyNumberFormat="1" applyFont="1" applyFill="1" applyBorder="1" applyAlignment="1">
      <alignment horizontal="center" vertical="center" wrapText="1"/>
    </xf>
    <xf numFmtId="0" fontId="41" fillId="0" borderId="77" xfId="0" applyFont="1" applyBorder="1" applyAlignment="1">
      <alignment horizontal="center"/>
    </xf>
    <xf numFmtId="0" fontId="41" fillId="0" borderId="6" xfId="0" applyFont="1" applyBorder="1" applyAlignment="1">
      <alignment horizontal="center"/>
    </xf>
    <xf numFmtId="1" fontId="54" fillId="2" borderId="63" xfId="0" applyNumberFormat="1" applyFont="1" applyFill="1" applyBorder="1" applyAlignment="1">
      <alignment horizontal="center" vertical="center"/>
    </xf>
    <xf numFmtId="1" fontId="54" fillId="2" borderId="14" xfId="0" applyNumberFormat="1" applyFont="1" applyFill="1" applyBorder="1" applyAlignment="1">
      <alignment horizontal="center" vertical="center"/>
    </xf>
    <xf numFmtId="1" fontId="46" fillId="0" borderId="63" xfId="0" applyNumberFormat="1" applyFont="1" applyBorder="1" applyAlignment="1">
      <alignment horizontal="center" vertical="center"/>
    </xf>
    <xf numFmtId="1" fontId="46" fillId="0" borderId="63" xfId="0" applyNumberFormat="1" applyFont="1" applyBorder="1" applyAlignment="1">
      <alignment horizontal="center"/>
    </xf>
    <xf numFmtId="1" fontId="46" fillId="0" borderId="27" xfId="0" applyNumberFormat="1" applyFont="1" applyBorder="1" applyAlignment="1">
      <alignment horizontal="center"/>
    </xf>
    <xf numFmtId="1" fontId="46" fillId="0" borderId="49" xfId="0" applyNumberFormat="1" applyFont="1" applyBorder="1" applyAlignment="1">
      <alignment horizontal="center"/>
    </xf>
    <xf numFmtId="0" fontId="41" fillId="0" borderId="63" xfId="0" applyFont="1" applyBorder="1" applyAlignment="1">
      <alignment horizontal="center"/>
    </xf>
    <xf numFmtId="0" fontId="41" fillId="0" borderId="14" xfId="0" applyFont="1" applyBorder="1" applyAlignment="1">
      <alignment horizontal="center"/>
    </xf>
    <xf numFmtId="0" fontId="41" fillId="0" borderId="27" xfId="0" applyFont="1" applyBorder="1" applyAlignment="1">
      <alignment horizontal="center"/>
    </xf>
    <xf numFmtId="0" fontId="41" fillId="0" borderId="49" xfId="0" applyFont="1" applyBorder="1" applyAlignment="1">
      <alignment horizontal="center"/>
    </xf>
    <xf numFmtId="0" fontId="95" fillId="2" borderId="32" xfId="0" applyFont="1" applyFill="1" applyBorder="1" applyAlignment="1">
      <alignment horizontal="center" vertical="center" wrapText="1"/>
    </xf>
    <xf numFmtId="0" fontId="54" fillId="2" borderId="64" xfId="0" applyFont="1" applyFill="1" applyBorder="1" applyAlignment="1">
      <alignment horizontal="center" vertical="center" wrapText="1"/>
    </xf>
    <xf numFmtId="0" fontId="54" fillId="2" borderId="39" xfId="0" applyFont="1" applyFill="1" applyBorder="1" applyAlignment="1">
      <alignment horizontal="center" vertical="center" wrapText="1"/>
    </xf>
    <xf numFmtId="0" fontId="54" fillId="2" borderId="40" xfId="0" applyFont="1" applyFill="1" applyBorder="1" applyAlignment="1">
      <alignment horizontal="center" vertical="center" wrapText="1"/>
    </xf>
    <xf numFmtId="0" fontId="54" fillId="2" borderId="41" xfId="0" applyFont="1" applyFill="1" applyBorder="1" applyAlignment="1">
      <alignment horizontal="center" vertical="center" wrapText="1"/>
    </xf>
    <xf numFmtId="0" fontId="54" fillId="2" borderId="69" xfId="0" applyFont="1" applyFill="1" applyBorder="1" applyAlignment="1">
      <alignment horizontal="center" vertical="center" wrapText="1"/>
    </xf>
    <xf numFmtId="0" fontId="41" fillId="0" borderId="19" xfId="0" applyFont="1" applyBorder="1" applyAlignment="1">
      <alignment horizontal="center"/>
    </xf>
    <xf numFmtId="0" fontId="41" fillId="0" borderId="45" xfId="0" applyFont="1" applyBorder="1" applyAlignment="1">
      <alignment horizontal="center"/>
    </xf>
    <xf numFmtId="1" fontId="46" fillId="0" borderId="27" xfId="0" applyNumberFormat="1" applyFont="1" applyBorder="1" applyAlignment="1">
      <alignment horizontal="center" vertical="center"/>
    </xf>
    <xf numFmtId="1" fontId="46" fillId="0" borderId="49" xfId="0" applyNumberFormat="1" applyFont="1" applyBorder="1" applyAlignment="1">
      <alignment horizontal="center" vertical="center"/>
    </xf>
    <xf numFmtId="1" fontId="54" fillId="0" borderId="63" xfId="0" applyNumberFormat="1" applyFont="1" applyBorder="1" applyAlignment="1">
      <alignment horizontal="center" vertical="center"/>
    </xf>
    <xf numFmtId="0" fontId="41" fillId="0" borderId="3" xfId="0" applyFont="1" applyBorder="1" applyAlignment="1">
      <alignment horizontal="center"/>
    </xf>
    <xf numFmtId="0" fontId="41" fillId="0" borderId="0" xfId="0" applyFont="1" applyAlignment="1">
      <alignment horizontal="center"/>
    </xf>
    <xf numFmtId="1" fontId="54" fillId="0" borderId="39" xfId="0" applyNumberFormat="1" applyFont="1" applyBorder="1" applyAlignment="1">
      <alignment horizontal="center" vertical="center"/>
    </xf>
    <xf numFmtId="1" fontId="54" fillId="0" borderId="40" xfId="0" applyNumberFormat="1" applyFon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/>
    </xf>
    <xf numFmtId="1" fontId="54" fillId="0" borderId="41" xfId="0" applyNumberFormat="1" applyFont="1" applyBorder="1" applyAlignment="1">
      <alignment horizontal="center"/>
    </xf>
    <xf numFmtId="1" fontId="54" fillId="0" borderId="69" xfId="0" applyNumberFormat="1" applyFont="1" applyBorder="1" applyAlignment="1">
      <alignment horizontal="center"/>
    </xf>
    <xf numFmtId="0" fontId="41" fillId="0" borderId="39" xfId="0" applyFont="1" applyBorder="1" applyAlignment="1">
      <alignment horizontal="center"/>
    </xf>
    <xf numFmtId="0" fontId="41" fillId="0" borderId="40" xfId="0" applyFont="1" applyBorder="1" applyAlignment="1">
      <alignment horizontal="center"/>
    </xf>
    <xf numFmtId="0" fontId="41" fillId="0" borderId="41" xfId="0" applyFont="1" applyBorder="1" applyAlignment="1">
      <alignment horizontal="center"/>
    </xf>
    <xf numFmtId="0" fontId="41" fillId="0" borderId="69" xfId="0" applyFont="1" applyBorder="1" applyAlignment="1">
      <alignment horizontal="center"/>
    </xf>
    <xf numFmtId="1" fontId="46" fillId="2" borderId="63" xfId="0" applyNumberFormat="1" applyFont="1" applyFill="1" applyBorder="1" applyAlignment="1">
      <alignment horizontal="center" vertical="center"/>
    </xf>
    <xf numFmtId="1" fontId="46" fillId="2" borderId="14" xfId="0" applyNumberFormat="1" applyFont="1" applyFill="1" applyBorder="1" applyAlignment="1">
      <alignment horizontal="center" vertical="center"/>
    </xf>
    <xf numFmtId="1" fontId="46" fillId="2" borderId="43" xfId="0" applyNumberFormat="1" applyFont="1" applyFill="1" applyBorder="1" applyAlignment="1">
      <alignment horizontal="center" vertical="center"/>
    </xf>
    <xf numFmtId="1" fontId="54" fillId="0" borderId="53" xfId="0" applyNumberFormat="1" applyFont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 wrapText="1"/>
    </xf>
    <xf numFmtId="0" fontId="54" fillId="2" borderId="10" xfId="0" applyFont="1" applyFill="1" applyBorder="1" applyAlignment="1">
      <alignment horizontal="center" vertical="center" wrapText="1"/>
    </xf>
    <xf numFmtId="0" fontId="95" fillId="2" borderId="42" xfId="0" applyFont="1" applyFill="1" applyBorder="1" applyAlignment="1">
      <alignment horizontal="center" vertical="center"/>
    </xf>
    <xf numFmtId="0" fontId="95" fillId="2" borderId="19" xfId="0" applyFont="1" applyFill="1" applyBorder="1" applyAlignment="1">
      <alignment horizontal="center" vertical="center"/>
    </xf>
    <xf numFmtId="0" fontId="95" fillId="2" borderId="45" xfId="0" applyFont="1" applyFill="1" applyBorder="1" applyAlignment="1">
      <alignment horizontal="center" vertical="center"/>
    </xf>
    <xf numFmtId="0" fontId="95" fillId="2" borderId="58" xfId="0" applyFont="1" applyFill="1" applyBorder="1" applyAlignment="1">
      <alignment horizontal="center" vertical="center"/>
    </xf>
    <xf numFmtId="0" fontId="95" fillId="2" borderId="38" xfId="0" applyFont="1" applyFill="1" applyBorder="1" applyAlignment="1">
      <alignment horizontal="center" vertical="center"/>
    </xf>
    <xf numFmtId="0" fontId="95" fillId="2" borderId="16" xfId="0" applyFont="1" applyFill="1" applyBorder="1" applyAlignment="1">
      <alignment horizontal="center" vertical="center"/>
    </xf>
    <xf numFmtId="0" fontId="95" fillId="2" borderId="17" xfId="0" applyFont="1" applyFill="1" applyBorder="1" applyAlignment="1">
      <alignment horizontal="center" vertical="center"/>
    </xf>
    <xf numFmtId="0" fontId="95" fillId="2" borderId="23" xfId="0" applyFont="1" applyFill="1" applyBorder="1" applyAlignment="1">
      <alignment horizontal="center" vertical="center"/>
    </xf>
    <xf numFmtId="1" fontId="46" fillId="2" borderId="9" xfId="0" applyNumberFormat="1" applyFont="1" applyFill="1" applyBorder="1" applyAlignment="1">
      <alignment horizontal="center" vertical="center"/>
    </xf>
    <xf numFmtId="1" fontId="46" fillId="2" borderId="86" xfId="0" applyNumberFormat="1" applyFont="1" applyFill="1" applyBorder="1" applyAlignment="1">
      <alignment horizontal="center" vertical="center"/>
    </xf>
    <xf numFmtId="1" fontId="46" fillId="2" borderId="20" xfId="0" applyNumberFormat="1" applyFont="1" applyFill="1" applyBorder="1" applyAlignment="1">
      <alignment horizontal="center" vertical="center"/>
    </xf>
    <xf numFmtId="1" fontId="46" fillId="2" borderId="87" xfId="0" applyNumberFormat="1" applyFont="1" applyFill="1" applyBorder="1" applyAlignment="1">
      <alignment horizontal="center" vertical="center"/>
    </xf>
    <xf numFmtId="1" fontId="46" fillId="2" borderId="47" xfId="0" applyNumberFormat="1" applyFont="1" applyFill="1" applyBorder="1" applyAlignment="1">
      <alignment horizontal="center" vertical="center"/>
    </xf>
    <xf numFmtId="1" fontId="46" fillId="2" borderId="88" xfId="0" applyNumberFormat="1" applyFont="1" applyFill="1" applyBorder="1" applyAlignment="1">
      <alignment horizontal="center" vertical="center"/>
    </xf>
    <xf numFmtId="14" fontId="95" fillId="0" borderId="77" xfId="0" applyNumberFormat="1" applyFont="1" applyBorder="1" applyAlignment="1">
      <alignment horizontal="center" vertical="center"/>
    </xf>
    <xf numFmtId="14" fontId="95" fillId="0" borderId="6" xfId="0" applyNumberFormat="1" applyFont="1" applyBorder="1" applyAlignment="1">
      <alignment horizontal="center" vertical="center"/>
    </xf>
    <xf numFmtId="14" fontId="95" fillId="0" borderId="72" xfId="0" applyNumberFormat="1" applyFont="1" applyBorder="1" applyAlignment="1">
      <alignment horizontal="center" vertical="center"/>
    </xf>
    <xf numFmtId="0" fontId="55" fillId="0" borderId="43" xfId="0" applyFont="1" applyBorder="1" applyAlignment="1">
      <alignment horizontal="left" vertical="top"/>
    </xf>
    <xf numFmtId="0" fontId="55" fillId="0" borderId="27" xfId="0" applyFont="1" applyBorder="1" applyAlignment="1">
      <alignment horizontal="left" vertical="top"/>
    </xf>
    <xf numFmtId="0" fontId="55" fillId="0" borderId="49" xfId="0" applyFont="1" applyBorder="1" applyAlignment="1">
      <alignment horizontal="left" vertical="top"/>
    </xf>
    <xf numFmtId="0" fontId="41" fillId="0" borderId="44" xfId="0" applyFont="1" applyBorder="1" applyAlignment="1">
      <alignment horizontal="left" vertical="top"/>
    </xf>
    <xf numFmtId="0" fontId="41" fillId="0" borderId="59" xfId="0" applyFont="1" applyBorder="1" applyAlignment="1">
      <alignment horizontal="left" vertical="top"/>
    </xf>
    <xf numFmtId="0" fontId="41" fillId="0" borderId="50" xfId="0" applyFont="1" applyBorder="1" applyAlignment="1">
      <alignment horizontal="left" vertical="top"/>
    </xf>
    <xf numFmtId="0" fontId="41" fillId="0" borderId="62" xfId="0" applyFont="1" applyBorder="1" applyAlignment="1">
      <alignment horizontal="left" vertical="top"/>
    </xf>
    <xf numFmtId="0" fontId="41" fillId="0" borderId="0" xfId="0" applyFont="1" applyAlignment="1">
      <alignment horizontal="left" vertical="top"/>
    </xf>
    <xf numFmtId="0" fontId="41" fillId="0" borderId="58" xfId="0" applyFont="1" applyBorder="1" applyAlignment="1">
      <alignment horizontal="left" vertical="top"/>
    </xf>
    <xf numFmtId="0" fontId="41" fillId="0" borderId="37" xfId="0" applyFont="1" applyBorder="1" applyAlignment="1">
      <alignment horizontal="left" vertical="top"/>
    </xf>
    <xf numFmtId="0" fontId="41" fillId="0" borderId="30" xfId="0" applyFont="1" applyBorder="1" applyAlignment="1">
      <alignment horizontal="left" vertical="top"/>
    </xf>
    <xf numFmtId="0" fontId="41" fillId="0" borderId="38" xfId="0" applyFont="1" applyBorder="1" applyAlignment="1">
      <alignment horizontal="left" vertical="top"/>
    </xf>
    <xf numFmtId="0" fontId="54" fillId="2" borderId="5" xfId="0" applyFont="1" applyFill="1" applyBorder="1" applyAlignment="1">
      <alignment horizontal="center" vertical="center"/>
    </xf>
    <xf numFmtId="0" fontId="54" fillId="2" borderId="72" xfId="0" applyFont="1" applyFill="1" applyBorder="1" applyAlignment="1">
      <alignment horizontal="center" vertical="center"/>
    </xf>
    <xf numFmtId="0" fontId="55" fillId="0" borderId="72" xfId="0" applyFont="1" applyBorder="1" applyAlignment="1">
      <alignment horizontal="center" vertical="center"/>
    </xf>
    <xf numFmtId="0" fontId="55" fillId="0" borderId="71" xfId="0" applyFont="1" applyBorder="1" applyAlignment="1">
      <alignment horizontal="center" vertical="center" wrapText="1"/>
    </xf>
    <xf numFmtId="0" fontId="55" fillId="0" borderId="46" xfId="0" applyFont="1" applyBorder="1" applyAlignment="1">
      <alignment horizontal="center" vertical="center" wrapText="1"/>
    </xf>
    <xf numFmtId="0" fontId="54" fillId="2" borderId="19" xfId="0" applyFont="1" applyFill="1" applyBorder="1" applyAlignment="1">
      <alignment horizontal="center" vertical="center"/>
    </xf>
    <xf numFmtId="0" fontId="54" fillId="2" borderId="6" xfId="0" applyFont="1" applyFill="1" applyBorder="1" applyAlignment="1">
      <alignment horizontal="center" vertical="center"/>
    </xf>
    <xf numFmtId="0" fontId="55" fillId="0" borderId="31" xfId="0" applyFont="1" applyBorder="1" applyAlignment="1">
      <alignment horizontal="center" vertical="center" wrapText="1"/>
    </xf>
    <xf numFmtId="0" fontId="55" fillId="0" borderId="60" xfId="0" applyFont="1" applyBorder="1" applyAlignment="1">
      <alignment horizontal="center" vertical="center" wrapText="1"/>
    </xf>
    <xf numFmtId="0" fontId="55" fillId="0" borderId="32" xfId="0" applyFont="1" applyBorder="1" applyAlignment="1">
      <alignment horizontal="center" vertical="center" wrapText="1"/>
    </xf>
    <xf numFmtId="0" fontId="41" fillId="0" borderId="60" xfId="0" applyFont="1" applyBorder="1" applyAlignment="1">
      <alignment horizontal="center" vertical="center"/>
    </xf>
    <xf numFmtId="0" fontId="41" fillId="0" borderId="73" xfId="0" applyFont="1" applyBorder="1" applyAlignment="1">
      <alignment horizontal="center" vertical="center"/>
    </xf>
    <xf numFmtId="0" fontId="54" fillId="0" borderId="42" xfId="0" applyFont="1" applyBorder="1" applyAlignment="1">
      <alignment horizontal="center" vertical="center"/>
    </xf>
    <xf numFmtId="0" fontId="54" fillId="0" borderId="43" xfId="0" applyFont="1" applyBorder="1" applyAlignment="1">
      <alignment horizontal="center" vertical="center"/>
    </xf>
    <xf numFmtId="0" fontId="95" fillId="0" borderId="16" xfId="0" applyFont="1" applyBorder="1" applyAlignment="1">
      <alignment horizontal="center" vertical="center"/>
    </xf>
    <xf numFmtId="0" fontId="95" fillId="0" borderId="17" xfId="0" applyFont="1" applyBorder="1" applyAlignment="1">
      <alignment horizontal="center" vertical="center"/>
    </xf>
    <xf numFmtId="0" fontId="95" fillId="0" borderId="23" xfId="0" applyFont="1" applyBorder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54" fillId="2" borderId="42" xfId="0" applyFont="1" applyFill="1" applyBorder="1" applyAlignment="1">
      <alignment horizontal="center" vertical="center"/>
    </xf>
    <xf numFmtId="0" fontId="95" fillId="0" borderId="34" xfId="0" applyFont="1" applyBorder="1" applyAlignment="1">
      <alignment horizontal="center" vertical="center"/>
    </xf>
    <xf numFmtId="0" fontId="95" fillId="0" borderId="3" xfId="0" applyFont="1" applyBorder="1" applyAlignment="1">
      <alignment horizontal="center" vertical="center"/>
    </xf>
    <xf numFmtId="0" fontId="95" fillId="0" borderId="36" xfId="0" applyFont="1" applyBorder="1" applyAlignment="1">
      <alignment horizontal="center" vertical="center"/>
    </xf>
    <xf numFmtId="0" fontId="95" fillId="0" borderId="31" xfId="0" applyFont="1" applyBorder="1" applyAlignment="1">
      <alignment horizontal="center" vertical="center"/>
    </xf>
    <xf numFmtId="0" fontId="95" fillId="0" borderId="60" xfId="0" applyFont="1" applyBorder="1" applyAlignment="1">
      <alignment horizontal="center" vertical="center"/>
    </xf>
    <xf numFmtId="0" fontId="95" fillId="0" borderId="32" xfId="0" applyFont="1" applyBorder="1" applyAlignment="1">
      <alignment horizontal="center" vertical="center"/>
    </xf>
    <xf numFmtId="0" fontId="72" fillId="2" borderId="3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66" fillId="9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 wrapText="1"/>
    </xf>
    <xf numFmtId="0" fontId="22" fillId="14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176" fontId="18" fillId="2" borderId="0" xfId="0" applyNumberFormat="1" applyFont="1" applyFill="1" applyAlignment="1">
      <alignment horizontal="center" vertical="center"/>
    </xf>
    <xf numFmtId="0" fontId="65" fillId="19" borderId="0" xfId="0" applyFont="1" applyFill="1" applyAlignment="1">
      <alignment horizontal="center" vertical="center"/>
    </xf>
    <xf numFmtId="1" fontId="65" fillId="11" borderId="0" xfId="0" applyNumberFormat="1" applyFont="1" applyFill="1" applyAlignment="1">
      <alignment horizontal="center" vertical="center"/>
    </xf>
    <xf numFmtId="0" fontId="65" fillId="7" borderId="0" xfId="0" applyFont="1" applyFill="1" applyAlignment="1">
      <alignment horizontal="center" vertical="center" wrapText="1"/>
    </xf>
    <xf numFmtId="0" fontId="39" fillId="7" borderId="0" xfId="0" applyFont="1" applyFill="1" applyAlignment="1">
      <alignment horizontal="center" vertical="center"/>
    </xf>
    <xf numFmtId="0" fontId="65" fillId="17" borderId="0" xfId="0" applyFont="1" applyFill="1" applyAlignment="1">
      <alignment horizontal="center" vertical="center"/>
    </xf>
    <xf numFmtId="0" fontId="22" fillId="16" borderId="0" xfId="0" applyFont="1" applyFill="1" applyAlignment="1">
      <alignment horizontal="center" vertical="center"/>
    </xf>
    <xf numFmtId="0" fontId="69" fillId="2" borderId="0" xfId="0" applyFont="1" applyFill="1" applyAlignment="1">
      <alignment horizontal="center" vertical="center" wrapText="1"/>
    </xf>
    <xf numFmtId="0" fontId="70" fillId="17" borderId="0" xfId="0" applyFont="1" applyFill="1" applyAlignment="1">
      <alignment horizontal="center" vertical="center"/>
    </xf>
    <xf numFmtId="0" fontId="66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 wrapText="1"/>
    </xf>
    <xf numFmtId="0" fontId="65" fillId="18" borderId="0" xfId="0" applyFont="1" applyFill="1" applyAlignment="1">
      <alignment horizontal="center" vertical="center"/>
    </xf>
    <xf numFmtId="0" fontId="71" fillId="11" borderId="0" xfId="0" applyFont="1" applyFill="1" applyAlignment="1">
      <alignment horizontal="center" vertical="center"/>
    </xf>
    <xf numFmtId="0" fontId="102" fillId="2" borderId="72" xfId="0" applyFont="1" applyFill="1" applyBorder="1" applyAlignment="1">
      <alignment horizontal="center" vertical="center" wrapText="1"/>
    </xf>
    <xf numFmtId="0" fontId="102" fillId="2" borderId="71" xfId="0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14" fontId="21" fillId="0" borderId="30" xfId="0" applyNumberFormat="1" applyFont="1" applyBorder="1" applyAlignment="1">
      <alignment horizontal="center"/>
    </xf>
    <xf numFmtId="0" fontId="21" fillId="0" borderId="42" xfId="0" applyFont="1" applyBorder="1" applyAlignment="1">
      <alignment horizontal="center" vertical="top"/>
    </xf>
    <xf numFmtId="0" fontId="21" fillId="0" borderId="19" xfId="0" applyFont="1" applyBorder="1" applyAlignment="1">
      <alignment horizontal="center" vertical="top"/>
    </xf>
    <xf numFmtId="0" fontId="21" fillId="0" borderId="45" xfId="0" applyFont="1" applyBorder="1" applyAlignment="1">
      <alignment horizontal="center" vertical="top"/>
    </xf>
    <xf numFmtId="0" fontId="102" fillId="2" borderId="5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16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</cellXfs>
  <cellStyles count="23">
    <cellStyle name="Comma 2" xfId="15" xr:uid="{00000000-0005-0000-0000-000001000000}"/>
    <cellStyle name="Comma 2 2" xfId="3" xr:uid="{00000000-0005-0000-0000-000002000000}"/>
    <cellStyle name="Comma 2 3" xfId="16" xr:uid="{00000000-0005-0000-0000-000003000000}"/>
    <cellStyle name="Good" xfId="1" builtinId="26"/>
    <cellStyle name="Hyperlink" xfId="17" builtinId="8"/>
    <cellStyle name="Normal" xfId="0" builtinId="0"/>
    <cellStyle name="Normal 2" xfId="4" xr:uid="{00000000-0005-0000-0000-000007000000}"/>
    <cellStyle name="Normal 2 2" xfId="6" xr:uid="{00000000-0005-0000-0000-000008000000}"/>
    <cellStyle name="Normal 2 2 2" xfId="8" xr:uid="{00000000-0005-0000-0000-000009000000}"/>
    <cellStyle name="Normal 2 2 2 2" xfId="11" xr:uid="{00000000-0005-0000-0000-00000A000000}"/>
    <cellStyle name="Normal 2 2 2 2 2" xfId="13" xr:uid="{00000000-0005-0000-0000-00000B000000}"/>
    <cellStyle name="Normal 2 3" xfId="9" xr:uid="{00000000-0005-0000-0000-00000C000000}"/>
    <cellStyle name="Normal 2 4" xfId="5" xr:uid="{00000000-0005-0000-0000-00000D000000}"/>
    <cellStyle name="Normal 2 5" xfId="19" xr:uid="{00000000-0005-0000-0000-00000E000000}"/>
    <cellStyle name="Normal 3" xfId="7" xr:uid="{00000000-0005-0000-0000-00000F000000}"/>
    <cellStyle name="Normal 3 2" xfId="10" xr:uid="{00000000-0005-0000-0000-000010000000}"/>
    <cellStyle name="Normal 3 2 2" xfId="12" xr:uid="{00000000-0005-0000-0000-000011000000}"/>
    <cellStyle name="Normal 3 3" xfId="20" xr:uid="{00000000-0005-0000-0000-000012000000}"/>
    <cellStyle name="Normal 4" xfId="2" xr:uid="{00000000-0005-0000-0000-000013000000}"/>
    <cellStyle name="Normal 5" xfId="21" xr:uid="{00000000-0005-0000-0000-000014000000}"/>
    <cellStyle name="Normal 6" xfId="22" xr:uid="{00000000-0005-0000-0000-000015000000}"/>
    <cellStyle name="Percent" xfId="18" builtinId="5"/>
    <cellStyle name="Pivot Table Value" xfId="14" xr:uid="{00000000-0005-0000-0000-00001700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C7CE"/>
      <color rgb="FFFF9999"/>
      <color rgb="FFC6EFCE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2">
  <dgm:title val=""/>
  <dgm:desc val=""/>
  <dgm:catLst>
    <dgm:cat type="colorful" pri="10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2"/>
      <a:schemeClr val="accent3"/>
    </dgm:fillClrLst>
    <dgm:linClrLst>
      <a:schemeClr val="accent2"/>
      <a:schemeClr val="accent3"/>
    </dgm:linClrLst>
    <dgm:effectClrLst/>
    <dgm:txLinClrLst/>
    <dgm:txFillClrLst/>
    <dgm:txEffectClrLst/>
  </dgm:styleLbl>
  <dgm:styleLbl name="lnNode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2">
        <a:alpha val="50000"/>
      </a:schemeClr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2">
        <a:tint val="50000"/>
      </a:schemeClr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2">
        <a:tint val="50000"/>
      </a:schemeClr>
      <a:schemeClr val="accent3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2"/>
      <a:schemeClr val="accent3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2"/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2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2">
        <a:tint val="5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2"/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2">
        <a:tint val="40000"/>
        <a:alpha val="90000"/>
      </a:schemeClr>
      <a:schemeClr val="accent3">
        <a:tint val="40000"/>
        <a:alpha val="90000"/>
      </a:schemeClr>
    </dgm:fillClrLst>
    <dgm:linClrLst>
      <a:schemeClr val="accent2">
        <a:tint val="40000"/>
        <a:alpha val="90000"/>
      </a:schemeClr>
      <a:schemeClr val="accent3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0EE0A89-249B-4E72-9C87-4510FBCC8A6A}" type="doc">
      <dgm:prSet loTypeId="urn:microsoft.com/office/officeart/2011/layout/ConvergingText" loCatId="process" qsTypeId="urn:microsoft.com/office/officeart/2005/8/quickstyle/simple1" qsCatId="simple" csTypeId="urn:microsoft.com/office/officeart/2005/8/colors/colorful2" csCatId="colorful" phldr="1"/>
      <dgm:spPr/>
      <dgm:t>
        <a:bodyPr/>
        <a:lstStyle/>
        <a:p>
          <a:endParaRPr lang="en-IN"/>
        </a:p>
      </dgm:t>
    </dgm:pt>
    <dgm:pt modelId="{F2E58BAC-873D-484A-9588-9BC9F42B05E7}" type="pres">
      <dgm:prSet presAssocID="{A0EE0A89-249B-4E72-9C87-4510FBCC8A6A}" presName="Name0" presStyleCnt="0">
        <dgm:presLayoutVars>
          <dgm:chMax/>
          <dgm:chPref val="1"/>
          <dgm:dir/>
          <dgm:animOne val="branch"/>
          <dgm:animLvl val="lvl"/>
          <dgm:resizeHandles/>
        </dgm:presLayoutVars>
      </dgm:prSet>
      <dgm:spPr/>
    </dgm:pt>
  </dgm:ptLst>
  <dgm:cxnLst>
    <dgm:cxn modelId="{D4C66218-DAF6-4800-8AF5-1B1572EB509D}" type="presOf" srcId="{A0EE0A89-249B-4E72-9C87-4510FBCC8A6A}" destId="{F2E58BAC-873D-484A-9588-9BC9F42B05E7}" srcOrd="0" destOrd="0" presId="urn:microsoft.com/office/officeart/2011/layout/ConvergingText"/>
  </dgm:cxnLst>
  <dgm:bg/>
  <dgm:whole/>
  <dgm:extLst>
    <a:ext uri="http://schemas.microsoft.com/office/drawing/2008/diagram">
      <dsp:dataModelExt xmlns:dsp="http://schemas.microsoft.com/office/drawing/2008/diagram" relId="rId2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11/layout/ConvergingText">
  <dgm:title val="Converging Text"/>
  <dgm:desc val="Use to show multiple steps or parts that merge into a whole. Limited to one Level 1 shape that contains text and a maximum of five Level 2 shapes."/>
  <dgm:catLst>
    <dgm:cat type="process" pri="6500"/>
    <dgm:cat type="officeonline" pri="5000"/>
  </dgm:catLst>
  <dgm:sampData>
    <dgm:dataModel>
      <dgm:ptLst>
        <dgm:pt modelId="0" type="doc"/>
        <dgm:pt modelId="10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1" srcId="0" destId="10" srcOrd="0" destOrd="0"/>
        <dgm:cxn modelId="2" srcId="10" destId="11" srcOrd="0" destOrd="0"/>
        <dgm:cxn modelId="3" srcId="10" destId="12" srcOrd="1" destOrd="0"/>
        <dgm:cxn modelId="4" srcId="10" destId="13" srcOrd="2" destOrd="0"/>
      </dgm:cxnLst>
      <dgm:bg/>
      <dgm:whole/>
    </dgm:dataModel>
  </dgm:sampData>
  <dgm:styleData>
    <dgm:dataModel>
      <dgm:ptLst>
        <dgm:pt modelId="0" type="doc"/>
        <dgm:pt modelId="10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1" srcId="0" destId="10" srcOrd="0" destOrd="0"/>
        <dgm:cxn modelId="2" srcId="10" destId="11" srcOrd="0" destOrd="0"/>
        <dgm:cxn modelId="3" srcId="10" destId="12" srcOrd="1" destOrd="0"/>
        <dgm:cxn modelId="4" srcId="10" destId="13" srcOrd="2" destOrd="0"/>
      </dgm:cxnLst>
      <dgm:bg/>
      <dgm:whole/>
    </dgm:dataModel>
  </dgm:styleData>
  <dgm:clrData>
    <dgm:dataModel>
      <dgm:ptLst>
        <dgm:pt modelId="0" type="doc"/>
        <dgm:pt modelId="10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1" srcId="0" destId="10" srcOrd="0" destOrd="0"/>
        <dgm:cxn modelId="2" srcId="10" destId="11" srcOrd="0" destOrd="0"/>
        <dgm:cxn modelId="3" srcId="10" destId="12" srcOrd="1" destOrd="0"/>
        <dgm:cxn modelId="4" srcId="10" destId="13" srcOrd="2" destOrd="0"/>
      </dgm:cxnLst>
      <dgm:bg/>
      <dgm:whole/>
    </dgm:dataModel>
  </dgm:clrData>
  <dgm:layoutNode name="Name0">
    <dgm:varLst>
      <dgm:chMax/>
      <dgm:chPref val="1"/>
      <dgm:dir/>
      <dgm:animOne val="branch"/>
      <dgm:animLvl val="lvl"/>
      <dgm:resizeHandles/>
    </dgm:varLst>
    <dgm:choose name="Name1">
      <dgm:if name="Name2" func="var" arg="dir" op="equ" val="norm">
        <dgm:alg type="lin">
          <dgm:param type="linDir" val="fromL"/>
          <dgm:param type="vertAlign" val="mid"/>
          <dgm:param type="nodeVertAlign" val="mid"/>
          <dgm:param type="horzAlign" val="ctr"/>
        </dgm:alg>
      </dgm:if>
      <dgm:else name="Name3">
        <dgm:alg type="lin">
          <dgm:param type="linDir" val="fromR"/>
          <dgm:param type="vertAlign" val="mid"/>
          <dgm:param type="nodeVertAlign" val="mid"/>
          <dgm:param type="horzAlign" val="ctr"/>
        </dgm:alg>
      </dgm:else>
    </dgm:choose>
    <dgm:shape xmlns:r="http://schemas.openxmlformats.org/officeDocument/2006/relationships" r:blip="">
      <dgm:adjLst/>
    </dgm:shape>
    <dgm:constrLst>
      <dgm:constr type="primFontSz" for="des" forName="Parent" op="equ" val="65"/>
      <dgm:constr type="primFontSz" for="des" forName="Child1" op="equ" val="65"/>
      <dgm:constr type="primFontSz" for="des" forName="Child2" refType="primFontSz" refFor="des" refForName="Child1" op="equ"/>
      <dgm:constr type="primFontSz" for="des" forName="Child3" refType="primFontSz" refFor="des" refForName="Child1" op="equ"/>
      <dgm:constr type="primFontSz" for="des" forName="Child4" refType="primFontSz" refFor="des" refForName="Child1" op="equ"/>
      <dgm:constr type="primFontSz" for="des" forName="Child5" refType="primFontSz" refFor="des" refForName="Child1" op="equ"/>
      <dgm:constr type="primFontSz" for="des" forName="Child1" refType="primFontSz" refFor="des" refForName="Parent" op="lte"/>
      <dgm:constr type="primFontSz" for="des" forName="Child2" refType="primFontSz" refFor="des" refForName="Parent" op="lte"/>
      <dgm:constr type="primFontSz" for="des" forName="Child3" refType="primFontSz" refFor="des" refForName="Parent" op="lte"/>
      <dgm:constr type="primFontSz" for="des" forName="Child4" refType="primFontSz" refFor="des" refForName="Parent" op="lte"/>
      <dgm:constr type="primFontSz" for="des" forName="Child5" refType="primFontSz" refFor="des" refForName="Parent" op="lte"/>
      <dgm:constr type="w" for="ch" forName="composite" refType="w"/>
      <dgm:constr type="h" for="ch" forName="composite" refType="h"/>
      <dgm:constr type="sp" refType="w" refFor="ch" refForName="composite" op="equ" fact="0.05"/>
      <dgm:constr type="w" for="ch" forName="sibTrans" refType="w" refFor="ch" refForName="composite" op="equ" fact="0.05"/>
      <dgm:constr type="h" for="ch" forName="sibTrans" refType="w" refFor="ch" refForName="sibTrans" op="equ"/>
    </dgm:constrLst>
    <dgm:forEach name="nodesForEach" axis="ch" ptType="node">
      <dgm:layoutNode name="composite">
        <dgm:choose name="Name4">
          <dgm:if name="Name5" func="var" arg="dir" op="equ" val="norm">
            <dgm:choose name="Name6">
              <dgm:if name="Name7" axis="ch" ptType="node" func="cnt" op="equ" val="0">
                <dgm:alg type="composite">
                  <dgm:param type="ar" val="2.1059"/>
                </dgm:alg>
                <dgm:constrLst>
                  <dgm:constr type="l" for="ch" forName="Parent" refType="w" fact="0"/>
                  <dgm:constr type="t" for="ch" forName="Parent" refType="h" fact="0"/>
                  <dgm:constr type="w" for="ch" forName="Parent" refType="w" fact="0.4749"/>
                  <dgm:constr type="h" for="ch" forName="Parent" refType="h"/>
                  <dgm:constr type="l" for="ch" forName="ParentAccent1" refType="w" fact="0.9531"/>
                  <dgm:constr type="t" for="ch" forName="ParentAccent1" refType="h" fact="0.4506"/>
                  <dgm:constr type="w" for="ch" forName="ParentAccent1" refType="w" fact="0.0469"/>
                  <dgm:constr type="h" for="ch" forName="ParentAccent1" refType="h" fact="0.0988"/>
                  <dgm:constr type="l" for="ch" forName="ParentAccent2" refType="w" fact="0.8734"/>
                  <dgm:constr type="t" for="ch" forName="ParentAccent2" refType="h" fact="0.4506"/>
                  <dgm:constr type="w" for="ch" forName="ParentAccent2" refType="w" fact="0.0469"/>
                  <dgm:constr type="h" for="ch" forName="ParentAccent2" refType="h" fact="0.0988"/>
                  <dgm:constr type="l" for="ch" forName="ParentAccent3" refType="w" fact="0.7937"/>
                  <dgm:constr type="t" for="ch" forName="ParentAccent3" refType="h" fact="0.4506"/>
                  <dgm:constr type="w" for="ch" forName="ParentAccent3" refType="w" fact="0.0469"/>
                  <dgm:constr type="h" for="ch" forName="ParentAccent3" refType="h" fact="0.0988"/>
                  <dgm:constr type="l" for="ch" forName="ParentAccent4" refType="w" fact="0.714"/>
                  <dgm:constr type="t" for="ch" forName="ParentAccent4" refType="h" fact="0.4506"/>
                  <dgm:constr type="w" for="ch" forName="ParentAccent4" refType="w" fact="0.0469"/>
                  <dgm:constr type="h" for="ch" forName="ParentAccent4" refType="h" fact="0.0988"/>
                  <dgm:constr type="l" for="ch" forName="ParentAccent5" refType="w" fact="0.6343"/>
                  <dgm:constr type="t" for="ch" forName="ParentAccent5" refType="h" fact="0.4506"/>
                  <dgm:constr type="w" for="ch" forName="ParentAccent5" refType="w" fact="0.0469"/>
                  <dgm:constr type="h" for="ch" forName="ParentAccent5" refType="h" fact="0.0988"/>
                  <dgm:constr type="l" for="ch" forName="ParentAccent6" refType="w" fact="0.5076"/>
                  <dgm:constr type="t" for="ch" forName="ParentAccent6" refType="h" fact="0.4012"/>
                  <dgm:constr type="w" for="ch" forName="ParentAccent6" refType="w" fact="0.0939"/>
                  <dgm:constr type="h" for="ch" forName="ParentAccent6" refType="h" fact="0.1976"/>
                  <dgm:constr type="l" for="ch" forName="ParentAccent7" refType="w" fact="0.8766"/>
                  <dgm:constr type="t" for="ch" forName="ParentAccent7" refType="h" fact="0.2465"/>
                  <dgm:constr type="w" for="ch" forName="ParentAccent7" refType="w" fact="0.0469"/>
                  <dgm:constr type="h" for="ch" forName="ParentAccent7" refType="h" fact="0.0988"/>
                  <dgm:constr type="l" for="ch" forName="ParentAccent8" refType="w" fact="0.8766"/>
                  <dgm:constr type="t" for="ch" forName="ParentAccent8" refType="h" fact="0.6562"/>
                  <dgm:constr type="w" for="ch" forName="ParentAccent8" refType="w" fact="0.0469"/>
                  <dgm:constr type="h" for="ch" forName="ParentAccent8" refType="h" fact="0.0988"/>
                  <dgm:constr type="l" for="ch" forName="ParentAccent9" refType="w" fact="0.9185"/>
                  <dgm:constr type="t" for="ch" forName="ParentAccent9" refType="h" fact="0.3353"/>
                  <dgm:constr type="w" for="ch" forName="ParentAccent9" refType="w" fact="0.0469"/>
                  <dgm:constr type="h" for="ch" forName="ParentAccent9" refType="h" fact="0.0988"/>
                  <dgm:constr type="l" for="ch" forName="ParentAccent10" refType="w" fact="0.9213"/>
                  <dgm:constr type="t" for="ch" forName="ParentAccent10" refType="h" fact="0.5679"/>
                  <dgm:constr type="w" for="ch" forName="ParentAccent10" refType="w" fact="0.0469"/>
                  <dgm:constr type="h" for="ch" forName="ParentAccent10" refType="h" fact="0.0988"/>
                </dgm:constrLst>
              </dgm:if>
              <dgm:if name="Name8" axis="ch" ptType="node" func="cnt" op="equ" val="1">
                <dgm:alg type="composite">
                  <dgm:param type="ar" val="3.4411"/>
                </dgm:alg>
                <dgm:constrLst>
                  <dgm:constr type="l" for="ch" forName="Child1Accent1" refType="w" fact="0.284"/>
                  <dgm:constr type="t" for="ch" forName="Child1Accent1" refType="h" fact="0.4012"/>
                  <dgm:constr type="w" for="ch" forName="Child1Accent1" refType="w" fact="0.0574"/>
                  <dgm:constr type="h" for="ch" forName="Child1Accent1" refType="h" fact="0.1976"/>
                  <dgm:constr type="l" for="ch" forName="Child1Accent2" refType="w" fact="0.2272"/>
                  <dgm:constr type="t" for="ch" forName="Child1Accent2" refType="h" fact="0.4506"/>
                  <dgm:constr type="w" for="ch" forName="Child1Accent2" refType="w" fact="0.0287"/>
                  <dgm:constr type="h" for="ch" forName="Child1Accent2" refType="h" fact="0.0988"/>
                  <dgm:constr type="l" for="ch" forName="Child1Accent3" refType="w" fact="0.1705"/>
                  <dgm:constr type="t" for="ch" forName="Child1Accent3" refType="h" fact="0.4506"/>
                  <dgm:constr type="w" for="ch" forName="Child1Accent3" refType="w" fact="0.0287"/>
                  <dgm:constr type="h" for="ch" forName="Child1Accent3" refType="h" fact="0.0988"/>
                  <dgm:constr type="l" for="ch" forName="Child1Accent4" refType="w" fact="0.1137"/>
                  <dgm:constr type="t" for="ch" forName="Child1Accent4" refType="h" fact="0.4506"/>
                  <dgm:constr type="w" for="ch" forName="Child1Accent4" refType="w" fact="0.0287"/>
                  <dgm:constr type="h" for="ch" forName="Child1Accent4" refType="h" fact="0.0988"/>
                  <dgm:constr type="l" for="ch" forName="Child1Accent5" refType="w" fact="0.057"/>
                  <dgm:constr type="t" for="ch" forName="Child1Accent5" refType="h" fact="0.4506"/>
                  <dgm:constr type="w" for="ch" forName="Child1Accent5" refType="w" fact="0.0287"/>
                  <dgm:constr type="h" for="ch" forName="Child1Accent5" refType="h" fact="0.0988"/>
                  <dgm:constr type="l" for="ch" forName="Child1Accent6" refType="w" fact="0.0002"/>
                  <dgm:constr type="t" for="ch" forName="Child1Accent6" refType="h" fact="0.4506"/>
                  <dgm:constr type="w" for="ch" forName="Child1Accent6" refType="w" fact="0.0287"/>
                  <dgm:constr type="h" for="ch" forName="Child1Accent6" refType="h" fact="0.0988"/>
                  <dgm:constr type="l" for="ch" forName="Child1Accent7" refType="w" fact="0"/>
                  <dgm:constr type="t" for="ch" forName="Child1Accent7" refType="h" fact="0"/>
                  <dgm:constr type="w" for="ch" forName="Child1Accent7" refType="w" fact="0"/>
                  <dgm:constr type="h" for="ch" forName="Child1Accent7" refType="h" fact="0"/>
                  <dgm:constr type="l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l" for="ch" forName="ParentAccent1" refType="w" fact="0.9713"/>
                  <dgm:constr type="t" for="ch" forName="ParentAccent1" refType="h" fact="0.4506"/>
                  <dgm:constr type="w" for="ch" forName="ParentAccent1" refType="w" fact="0.0287"/>
                  <dgm:constr type="h" for="ch" forName="ParentAccent1" refType="h" fact="0.0988"/>
                  <dgm:constr type="l" for="ch" forName="ParentAccent2" refType="w" fact="0.9187"/>
                  <dgm:constr type="t" for="ch" forName="ParentAccent2" refType="h" fact="0.4506"/>
                  <dgm:constr type="w" for="ch" forName="ParentAccent2" refType="w" fact="0.0287"/>
                  <dgm:constr type="h" for="ch" forName="ParentAccent2" refType="h" fact="0.0988"/>
                  <dgm:constr type="l" for="ch" forName="ParentAccent3" refType="w" fact="0.8661"/>
                  <dgm:constr type="t" for="ch" forName="ParentAccent3" refType="h" fact="0.4506"/>
                  <dgm:constr type="w" for="ch" forName="ParentAccent3" refType="w" fact="0.0287"/>
                  <dgm:constr type="h" for="ch" forName="ParentAccent3" refType="h" fact="0.0988"/>
                  <dgm:constr type="l" for="ch" forName="ParentAccent4" refType="w" fact="0.8136"/>
                  <dgm:constr type="t" for="ch" forName="ParentAccent4" refType="h" fact="0.4506"/>
                  <dgm:constr type="w" for="ch" forName="ParentAccent4" refType="w" fact="0.0287"/>
                  <dgm:constr type="h" for="ch" forName="ParentAccent4" refType="h" fact="0.0988"/>
                  <dgm:constr type="l" for="ch" forName="ParentAccent5" refType="w" fact="0.761"/>
                  <dgm:constr type="t" for="ch" forName="ParentAccent5" refType="h" fact="0.4506"/>
                  <dgm:constr type="w" for="ch" forName="ParentAccent5" refType="w" fact="0.0287"/>
                  <dgm:constr type="h" for="ch" forName="ParentAccent5" refType="h" fact="0.0988"/>
                  <dgm:constr type="l" for="ch" forName="ParentAccent6" refType="w" fact="0.6797"/>
                  <dgm:constr type="t" for="ch" forName="ParentAccent6" refType="h" fact="0.4012"/>
                  <dgm:constr type="w" for="ch" forName="ParentAccent6" refType="w" fact="0.0574"/>
                  <dgm:constr type="h" for="ch" forName="ParentAccent6" refType="h" fact="0.1976"/>
                  <dgm:constr type="l" for="ch" forName="ParentAccent7" refType="w" fact="0.9245"/>
                  <dgm:constr type="t" for="ch" forName="ParentAccent7" refType="h" fact="0.2465"/>
                  <dgm:constr type="w" for="ch" forName="ParentAccent7" refType="w" fact="0.0287"/>
                  <dgm:constr type="h" for="ch" forName="ParentAccent7" refType="h" fact="0.0988"/>
                  <dgm:constr type="l" for="ch" forName="ParentAccent8" refType="w" fact="0.9245"/>
                  <dgm:constr type="t" for="ch" forName="ParentAccent8" refType="h" fact="0.6562"/>
                  <dgm:constr type="w" for="ch" forName="ParentAccent8" refType="w" fact="0.0287"/>
                  <dgm:constr type="h" for="ch" forName="ParentAccent8" refType="h" fact="0.0988"/>
                  <dgm:constr type="l" for="ch" forName="ParentAccent9" refType="w" fact="0.9501"/>
                  <dgm:constr type="t" for="ch" forName="ParentAccent9" refType="h" fact="0.3353"/>
                  <dgm:constr type="w" for="ch" forName="ParentAccent9" refType="w" fact="0.0287"/>
                  <dgm:constr type="h" for="ch" forName="ParentAccent9" refType="h" fact="0.0988"/>
                  <dgm:constr type="l" for="ch" forName="ParentAccent10" refType="w" fact="0.9518"/>
                  <dgm:constr type="t" for="ch" forName="ParentAccent10" refType="h" fact="0.5679"/>
                  <dgm:constr type="w" for="ch" forName="ParentAccent10" refType="w" fact="0.0287"/>
                  <dgm:constr type="h" for="ch" forName="ParentAccent10" refType="h" fact="0.0988"/>
                  <dgm:constr type="l" for="ch" forName="Child1" refType="w" fact="0"/>
                  <dgm:constr type="t" for="ch" forName="Child1" refType="h" fact="0.1978"/>
                  <dgm:constr type="w" for="ch" forName="Child1" refType="w" fact="0.2544"/>
                  <dgm:constr type="h" for="ch" forName="Child1" refType="h" fact="0.2541"/>
                  <dgm:constr type="l" for="ch" forName="Parent" refType="w" fact="0.3653"/>
                  <dgm:constr type="t" for="ch" forName="Parent" refType="h" fact="0"/>
                  <dgm:constr type="w" for="ch" forName="Parent" refType="w" fact="0.2906"/>
                  <dgm:constr type="h" for="ch" forName="Parent" refType="h"/>
                </dgm:constrLst>
              </dgm:if>
              <dgm:if name="Name9" axis="ch" ptType="node" func="cnt" op="equ" val="2">
                <dgm:alg type="composite">
                  <dgm:param type="ar" val="2.1185"/>
                </dgm:alg>
                <dgm:constrLst>
                  <dgm:constr type="l" for="ch" forName="Child1Accent1" refType="w" fact="0.3436"/>
                  <dgm:constr type="t" for="ch" forName="Child1Accent1" refType="h" fact="0.2211"/>
                  <dgm:constr type="w" for="ch" forName="Child1Accent1" refType="w" fact="0.0574"/>
                  <dgm:constr type="h" for="ch" forName="Child1Accent1" refType="h" fact="0.1217"/>
                  <dgm:constr type="l" for="ch" forName="Child1Accent2" refType="w" fact="0.3068"/>
                  <dgm:constr type="t" for="ch" forName="Child1Accent2" refType="h" fact="0.1569"/>
                  <dgm:constr type="w" for="ch" forName="Child1Accent2" refType="w" fact="0.0287"/>
                  <dgm:constr type="h" for="ch" forName="Child1Accent2" refType="h" fact="0.0608"/>
                  <dgm:constr type="l" for="ch" forName="Child1Accent3" refType="w" fact="0.2455"/>
                  <dgm:constr type="t" for="ch" forName="Child1Accent3" refType="h" fact="0.1569"/>
                  <dgm:constr type="w" for="ch" forName="Child1Accent3" refType="w" fact="0.0287"/>
                  <dgm:constr type="h" for="ch" forName="Child1Accent3" refType="h" fact="0.0608"/>
                  <dgm:constr type="l" for="ch" forName="Child1Accent4" refType="w" fact="0.1842"/>
                  <dgm:constr type="t" for="ch" forName="Child1Accent4" refType="h" fact="0.1569"/>
                  <dgm:constr type="w" for="ch" forName="Child1Accent4" refType="w" fact="0.0287"/>
                  <dgm:constr type="h" for="ch" forName="Child1Accent4" refType="h" fact="0.0608"/>
                  <dgm:constr type="l" for="ch" forName="Child1Accent5" refType="w" fact="0.1229"/>
                  <dgm:constr type="t" for="ch" forName="Child1Accent5" refType="h" fact="0.1569"/>
                  <dgm:constr type="w" for="ch" forName="Child1Accent5" refType="w" fact="0.0287"/>
                  <dgm:constr type="h" for="ch" forName="Child1Accent5" refType="h" fact="0.0608"/>
                  <dgm:constr type="l" for="ch" forName="Child1Accent6" refType="w" fact="0.0615"/>
                  <dgm:constr type="t" for="ch" forName="Child1Accent6" refType="h" fact="0.1569"/>
                  <dgm:constr type="w" for="ch" forName="Child1Accent6" refType="w" fact="0.0287"/>
                  <dgm:constr type="h" for="ch" forName="Child1Accent6" refType="h" fact="0.0608"/>
                  <dgm:constr type="l" for="ch" forName="Child1Accent7" refType="w" fact="0.0002"/>
                  <dgm:constr type="t" for="ch" forName="Child1Accent7" refType="h" fact="0.1569"/>
                  <dgm:constr type="w" for="ch" forName="Child1Accent7" refType="w" fact="0.0287"/>
                  <dgm:constr type="h" for="ch" forName="Child1Accent7" refType="h" fact="0.0608"/>
                  <dgm:constr type="l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l" for="ch" forName="Child2Accent1" refType="w" fact="0.3436"/>
                  <dgm:constr type="t" for="ch" forName="Child2Accent1" refType="h" fact="0.8153"/>
                  <dgm:constr type="w" for="ch" forName="Child2Accent1" refType="w" fact="0.0574"/>
                  <dgm:constr type="h" for="ch" forName="Child2Accent1" refType="h" fact="0.1217"/>
                  <dgm:constr type="l" for="ch" forName="Child2Accent2" refType="w" fact="0.3068"/>
                  <dgm:constr type="t" for="ch" forName="Child2Accent2" refType="h" fact="0.9392"/>
                  <dgm:constr type="w" for="ch" forName="Child2Accent2" refType="w" fact="0.0287"/>
                  <dgm:constr type="h" for="ch" forName="Child2Accent2" refType="h" fact="0.0608"/>
                  <dgm:constr type="l" for="ch" forName="Child2Accent3" refType="w" fact="0.2455"/>
                  <dgm:constr type="t" for="ch" forName="Child2Accent3" refType="h" fact="0.9392"/>
                  <dgm:constr type="w" for="ch" forName="Child2Accent3" refType="w" fact="0.0287"/>
                  <dgm:constr type="h" for="ch" forName="Child2Accent3" refType="h" fact="0.0608"/>
                  <dgm:constr type="l" for="ch" forName="Child2Accent4" refType="w" fact="0.1842"/>
                  <dgm:constr type="t" for="ch" forName="Child2Accent4" refType="h" fact="0.9392"/>
                  <dgm:constr type="w" for="ch" forName="Child2Accent4" refType="w" fact="0.0287"/>
                  <dgm:constr type="h" for="ch" forName="Child2Accent4" refType="h" fact="0.0608"/>
                  <dgm:constr type="l" for="ch" forName="Child2Accent5" refType="w" fact="0.1229"/>
                  <dgm:constr type="t" for="ch" forName="Child2Accent5" refType="h" fact="0.9392"/>
                  <dgm:constr type="w" for="ch" forName="Child2Accent5" refType="w" fact="0.0287"/>
                  <dgm:constr type="h" for="ch" forName="Child2Accent5" refType="h" fact="0.0608"/>
                  <dgm:constr type="l" for="ch" forName="Child2Accent6" refType="w" fact="0.0615"/>
                  <dgm:constr type="t" for="ch" forName="Child2Accent6" refType="h" fact="0.9392"/>
                  <dgm:constr type="w" for="ch" forName="Child2Accent6" refType="w" fact="0.0287"/>
                  <dgm:constr type="h" for="ch" forName="Child2Accent6" refType="h" fact="0.0608"/>
                  <dgm:constr type="l" for="ch" forName="Child2Accent7" refType="w" fact="0.0002"/>
                  <dgm:constr type="t" for="ch" forName="Child2Accent7" refType="h" fact="0.9392"/>
                  <dgm:constr type="w" for="ch" forName="Child2Accent7" refType="w" fact="0.0287"/>
                  <dgm:constr type="h" for="ch" forName="Child2Accent7" refType="h" fact="0.0608"/>
                  <dgm:constr type="l" for="ch" forName="ParentAccent1" refType="w" fact="0.9713"/>
                  <dgm:constr type="t" for="ch" forName="ParentAccent1" refType="h" fact="0.5511"/>
                  <dgm:constr type="w" for="ch" forName="ParentAccent1" refType="w" fact="0.0287"/>
                  <dgm:constr type="h" for="ch" forName="ParentAccent1" refType="h" fact="0.0608"/>
                  <dgm:constr type="l" for="ch" forName="ParentAccent2" refType="w" fact="0.9187"/>
                  <dgm:constr type="t" for="ch" forName="ParentAccent2" refType="h" fact="0.5511"/>
                  <dgm:constr type="w" for="ch" forName="ParentAccent2" refType="w" fact="0.0287"/>
                  <dgm:constr type="h" for="ch" forName="ParentAccent2" refType="h" fact="0.0608"/>
                  <dgm:constr type="l" for="ch" forName="ParentAccent3" refType="w" fact="0.8661"/>
                  <dgm:constr type="t" for="ch" forName="ParentAccent3" refType="h" fact="0.5511"/>
                  <dgm:constr type="w" for="ch" forName="ParentAccent3" refType="w" fact="0.0287"/>
                  <dgm:constr type="h" for="ch" forName="ParentAccent3" refType="h" fact="0.0608"/>
                  <dgm:constr type="l" for="ch" forName="ParentAccent4" refType="w" fact="0.8136"/>
                  <dgm:constr type="t" for="ch" forName="ParentAccent4" refType="h" fact="0.5511"/>
                  <dgm:constr type="w" for="ch" forName="ParentAccent4" refType="w" fact="0.0287"/>
                  <dgm:constr type="h" for="ch" forName="ParentAccent4" refType="h" fact="0.0608"/>
                  <dgm:constr type="l" for="ch" forName="ParentAccent5" refType="w" fact="0.761"/>
                  <dgm:constr type="t" for="ch" forName="ParentAccent5" refType="h" fact="0.5511"/>
                  <dgm:constr type="w" for="ch" forName="ParentAccent5" refType="w" fact="0.0287"/>
                  <dgm:constr type="h" for="ch" forName="ParentAccent5" refType="h" fact="0.0608"/>
                  <dgm:constr type="l" for="ch" forName="ParentAccent6" refType="w" fact="0.6797"/>
                  <dgm:constr type="t" for="ch" forName="ParentAccent6" refType="h" fact="0.5207"/>
                  <dgm:constr type="w" for="ch" forName="ParentAccent6" refType="w" fact="0.0574"/>
                  <dgm:constr type="h" for="ch" forName="ParentAccent6" refType="h" fact="0.1217"/>
                  <dgm:constr type="l" for="ch" forName="ParentAccent7" refType="w" fact="0.9245"/>
                  <dgm:constr type="t" for="ch" forName="ParentAccent7" refType="h" fact="0.4255"/>
                  <dgm:constr type="w" for="ch" forName="ParentAccent7" refType="w" fact="0.0287"/>
                  <dgm:constr type="h" for="ch" forName="ParentAccent7" refType="h" fact="0.0608"/>
                  <dgm:constr type="l" for="ch" forName="ParentAccent8" refType="w" fact="0.9245"/>
                  <dgm:constr type="t" for="ch" forName="ParentAccent8" refType="h" fact="0.6776"/>
                  <dgm:constr type="w" for="ch" forName="ParentAccent8" refType="w" fact="0.0287"/>
                  <dgm:constr type="h" for="ch" forName="ParentAccent8" refType="h" fact="0.0608"/>
                  <dgm:constr type="l" for="ch" forName="ParentAccent9" refType="w" fact="0.9501"/>
                  <dgm:constr type="t" for="ch" forName="ParentAccent9" refType="h" fact="0.4801"/>
                  <dgm:constr type="w" for="ch" forName="ParentAccent9" refType="w" fact="0.0287"/>
                  <dgm:constr type="h" for="ch" forName="ParentAccent9" refType="h" fact="0.0608"/>
                  <dgm:constr type="l" for="ch" forName="ParentAccent10" refType="w" fact="0.9518"/>
                  <dgm:constr type="t" for="ch" forName="ParentAccent10" refType="h" fact="0.6233"/>
                  <dgm:constr type="w" for="ch" forName="ParentAccent10" refType="w" fact="0.0287"/>
                  <dgm:constr type="h" for="ch" forName="ParentAccent10" refType="h" fact="0.0608"/>
                  <dgm:constr type="l" for="ch" forName="Child2" refType="w" fact="0"/>
                  <dgm:constr type="t" for="ch" forName="Child2" refType="h" fact="0.7822"/>
                  <dgm:constr type="w" for="ch" forName="Child2" refType="w" fact="0.3364"/>
                  <dgm:constr type="h" for="ch" forName="Child2" refType="h" fact="0.1564"/>
                  <dgm:constr type="l" for="ch" forName="Child1" refType="w" fact="0"/>
                  <dgm:constr type="t" for="ch" forName="Child1" refType="h" fact="0"/>
                  <dgm:constr type="w" for="ch" forName="Child1" refType="w" fact="0.3364"/>
                  <dgm:constr type="h" for="ch" forName="Child1" refType="h" fact="0.1564"/>
                  <dgm:constr type="l" for="ch" forName="Parent" refType="w" fact="0.3653"/>
                  <dgm:constr type="t" for="ch" forName="Parent" refType="h" fact="0.2737"/>
                  <dgm:constr type="w" for="ch" forName="Parent" refType="w" fact="0.2906"/>
                  <dgm:constr type="h" for="ch" forName="Parent" refType="h" fact="0.6157"/>
                </dgm:constrLst>
              </dgm:if>
              <dgm:if name="Name10" axis="ch" ptType="node" func="cnt" op="equ" val="3">
                <dgm:alg type="composite">
                  <dgm:param type="ar" val="2.1185"/>
                </dgm:alg>
                <dgm:constrLst>
                  <dgm:constr type="l" for="ch" forName="Child1Accent1" refType="w" fact="0.3436"/>
                  <dgm:constr type="t" for="ch" forName="Child1Accent1" refType="h" fact="0.2211"/>
                  <dgm:constr type="w" for="ch" forName="Child1Accent1" refType="w" fact="0.0574"/>
                  <dgm:constr type="h" for="ch" forName="Child1Accent1" refType="h" fact="0.1217"/>
                  <dgm:constr type="l" for="ch" forName="Child1Accent2" refType="w" fact="0.3068"/>
                  <dgm:constr type="t" for="ch" forName="Child1Accent2" refType="h" fact="0.1569"/>
                  <dgm:constr type="w" for="ch" forName="Child1Accent2" refType="w" fact="0.0287"/>
                  <dgm:constr type="h" for="ch" forName="Child1Accent2" refType="h" fact="0.0608"/>
                  <dgm:constr type="l" for="ch" forName="Child1Accent3" refType="w" fact="0.2455"/>
                  <dgm:constr type="t" for="ch" forName="Child1Accent3" refType="h" fact="0.1569"/>
                  <dgm:constr type="w" for="ch" forName="Child1Accent3" refType="w" fact="0.0287"/>
                  <dgm:constr type="h" for="ch" forName="Child1Accent3" refType="h" fact="0.0608"/>
                  <dgm:constr type="l" for="ch" forName="Child1Accent4" refType="w" fact="0.1842"/>
                  <dgm:constr type="t" for="ch" forName="Child1Accent4" refType="h" fact="0.1569"/>
                  <dgm:constr type="w" for="ch" forName="Child1Accent4" refType="w" fact="0.0287"/>
                  <dgm:constr type="h" for="ch" forName="Child1Accent4" refType="h" fact="0.0608"/>
                  <dgm:constr type="l" for="ch" forName="Child1Accent5" refType="w" fact="0.1229"/>
                  <dgm:constr type="t" for="ch" forName="Child1Accent5" refType="h" fact="0.1569"/>
                  <dgm:constr type="w" for="ch" forName="Child1Accent5" refType="w" fact="0.0287"/>
                  <dgm:constr type="h" for="ch" forName="Child1Accent5" refType="h" fact="0.0608"/>
                  <dgm:constr type="l" for="ch" forName="Child2Accent1" refType="w" fact="0.284"/>
                  <dgm:constr type="t" for="ch" forName="Child2Accent1" refType="h" fact="0.5207"/>
                  <dgm:constr type="w" for="ch" forName="Child2Accent1" refType="w" fact="0.0574"/>
                  <dgm:constr type="h" for="ch" forName="Child2Accent1" refType="h" fact="0.1217"/>
                  <dgm:constr type="l" for="ch" forName="Child2Accent2" refType="w" fact="0.2272"/>
                  <dgm:constr type="t" for="ch" forName="Child2Accent2" refType="h" fact="0.5511"/>
                  <dgm:constr type="w" for="ch" forName="Child2Accent2" refType="w" fact="0.0287"/>
                  <dgm:constr type="h" for="ch" forName="Child2Accent2" refType="h" fact="0.0608"/>
                  <dgm:constr type="l" for="ch" forName="Child2Accent3" refType="w" fact="0.1705"/>
                  <dgm:constr type="t" for="ch" forName="Child2Accent3" refType="h" fact="0.5511"/>
                  <dgm:constr type="w" for="ch" forName="Child2Accent3" refType="w" fact="0.0287"/>
                  <dgm:constr type="h" for="ch" forName="Child2Accent3" refType="h" fact="0.0608"/>
                  <dgm:constr type="l" for="ch" forName="Child2Accent4" refType="w" fact="0.1137"/>
                  <dgm:constr type="t" for="ch" forName="Child2Accent4" refType="h" fact="0.5511"/>
                  <dgm:constr type="w" for="ch" forName="Child2Accent4" refType="w" fact="0.0287"/>
                  <dgm:constr type="h" for="ch" forName="Child2Accent4" refType="h" fact="0.0608"/>
                  <dgm:constr type="l" for="ch" forName="Child1Accent6" refType="w" fact="0.0615"/>
                  <dgm:constr type="t" for="ch" forName="Child1Accent6" refType="h" fact="0.1569"/>
                  <dgm:constr type="w" for="ch" forName="Child1Accent6" refType="w" fact="0.0287"/>
                  <dgm:constr type="h" for="ch" forName="Child1Accent6" refType="h" fact="0.0608"/>
                  <dgm:constr type="l" for="ch" forName="Child2Accent5" refType="w" fact="0.057"/>
                  <dgm:constr type="t" for="ch" forName="Child2Accent5" refType="h" fact="0.5511"/>
                  <dgm:constr type="w" for="ch" forName="Child2Accent5" refType="w" fact="0.0287"/>
                  <dgm:constr type="h" for="ch" forName="Child2Accent5" refType="h" fact="0.0608"/>
                  <dgm:constr type="l" for="ch" forName="Child1Accent7" refType="w" fact="0.0002"/>
                  <dgm:constr type="t" for="ch" forName="Child1Accent7" refType="h" fact="0.1569"/>
                  <dgm:constr type="w" for="ch" forName="Child1Accent7" refType="w" fact="0.0287"/>
                  <dgm:constr type="h" for="ch" forName="Child1Accent7" refType="h" fact="0.0608"/>
                  <dgm:constr type="l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l" for="ch" forName="Child2Accent6" refType="w" fact="0.0002"/>
                  <dgm:constr type="t" for="ch" forName="Child2Accent6" refType="h" fact="0.5511"/>
                  <dgm:constr type="w" for="ch" forName="Child2Accent6" refType="w" fact="0.0287"/>
                  <dgm:constr type="h" for="ch" forName="Child2Accent6" refType="h" fact="0.0608"/>
                  <dgm:constr type="l" for="ch" forName="Child2Accent7" refType="w" fact="0"/>
                  <dgm:constr type="t" for="ch" forName="Child2Accent7" refType="h" fact="0"/>
                  <dgm:constr type="w" for="ch" forName="Child2Accent7" refType="w" fact="0"/>
                  <dgm:constr type="h" for="ch" forName="Child2Accent7" refType="h" fact="0"/>
                  <dgm:constr type="l" for="ch" forName="Child3Accent1" refType="w" fact="0.3436"/>
                  <dgm:constr type="t" for="ch" forName="Child3Accent1" refType="h" fact="0.8153"/>
                  <dgm:constr type="w" for="ch" forName="Child3Accent1" refType="w" fact="0.0574"/>
                  <dgm:constr type="h" for="ch" forName="Child3Accent1" refType="h" fact="0.1217"/>
                  <dgm:constr type="l" for="ch" forName="Child3Accent2" refType="w" fact="0.3068"/>
                  <dgm:constr type="t" for="ch" forName="Child3Accent2" refType="h" fact="0.9392"/>
                  <dgm:constr type="w" for="ch" forName="Child3Accent2" refType="w" fact="0.0287"/>
                  <dgm:constr type="h" for="ch" forName="Child3Accent2" refType="h" fact="0.0608"/>
                  <dgm:constr type="l" for="ch" forName="Child3Accent3" refType="w" fact="0.2455"/>
                  <dgm:constr type="t" for="ch" forName="Child3Accent3" refType="h" fact="0.9392"/>
                  <dgm:constr type="w" for="ch" forName="Child3Accent3" refType="w" fact="0.0287"/>
                  <dgm:constr type="h" for="ch" forName="Child3Accent3" refType="h" fact="0.0608"/>
                  <dgm:constr type="l" for="ch" forName="Child3Accent4" refType="w" fact="0.1842"/>
                  <dgm:constr type="t" for="ch" forName="Child3Accent4" refType="h" fact="0.9392"/>
                  <dgm:constr type="w" for="ch" forName="Child3Accent4" refType="w" fact="0.0287"/>
                  <dgm:constr type="h" for="ch" forName="Child3Accent4" refType="h" fact="0.0608"/>
                  <dgm:constr type="l" for="ch" forName="Child3Accent5" refType="w" fact="0.1229"/>
                  <dgm:constr type="t" for="ch" forName="Child3Accent5" refType="h" fact="0.9392"/>
                  <dgm:constr type="w" for="ch" forName="Child3Accent5" refType="w" fact="0.0287"/>
                  <dgm:constr type="h" for="ch" forName="Child3Accent5" refType="h" fact="0.0608"/>
                  <dgm:constr type="l" for="ch" forName="Child3Accent6" refType="w" fact="0.0615"/>
                  <dgm:constr type="t" for="ch" forName="Child3Accent6" refType="h" fact="0.9392"/>
                  <dgm:constr type="w" for="ch" forName="Child3Accent6" refType="w" fact="0.0287"/>
                  <dgm:constr type="h" for="ch" forName="Child3Accent6" refType="h" fact="0.0608"/>
                  <dgm:constr type="l" for="ch" forName="Child3Accent7" refType="w" fact="0.0002"/>
                  <dgm:constr type="t" for="ch" forName="Child3Accent7" refType="h" fact="0.9392"/>
                  <dgm:constr type="w" for="ch" forName="Child3Accent7" refType="w" fact="0.0287"/>
                  <dgm:constr type="h" for="ch" forName="Child3Accent7" refType="h" fact="0.0608"/>
                  <dgm:constr type="l" for="ch" forName="ParentAccent1" refType="w" fact="0.9713"/>
                  <dgm:constr type="t" for="ch" forName="ParentAccent1" refType="h" fact="0.5511"/>
                  <dgm:constr type="w" for="ch" forName="ParentAccent1" refType="w" fact="0.0287"/>
                  <dgm:constr type="h" for="ch" forName="ParentAccent1" refType="h" fact="0.0608"/>
                  <dgm:constr type="l" for="ch" forName="ParentAccent2" refType="w" fact="0.9187"/>
                  <dgm:constr type="t" for="ch" forName="ParentAccent2" refType="h" fact="0.5511"/>
                  <dgm:constr type="w" for="ch" forName="ParentAccent2" refType="w" fact="0.0287"/>
                  <dgm:constr type="h" for="ch" forName="ParentAccent2" refType="h" fact="0.0608"/>
                  <dgm:constr type="l" for="ch" forName="ParentAccent3" refType="w" fact="0.8661"/>
                  <dgm:constr type="t" for="ch" forName="ParentAccent3" refType="h" fact="0.5511"/>
                  <dgm:constr type="w" for="ch" forName="ParentAccent3" refType="w" fact="0.0287"/>
                  <dgm:constr type="h" for="ch" forName="ParentAccent3" refType="h" fact="0.0608"/>
                  <dgm:constr type="l" for="ch" forName="ParentAccent4" refType="w" fact="0.8136"/>
                  <dgm:constr type="t" for="ch" forName="ParentAccent4" refType="h" fact="0.5511"/>
                  <dgm:constr type="w" for="ch" forName="ParentAccent4" refType="w" fact="0.0287"/>
                  <dgm:constr type="h" for="ch" forName="ParentAccent4" refType="h" fact="0.0608"/>
                  <dgm:constr type="l" for="ch" forName="ParentAccent5" refType="w" fact="0.761"/>
                  <dgm:constr type="t" for="ch" forName="ParentAccent5" refType="h" fact="0.5511"/>
                  <dgm:constr type="w" for="ch" forName="ParentAccent5" refType="w" fact="0.0287"/>
                  <dgm:constr type="h" for="ch" forName="ParentAccent5" refType="h" fact="0.0608"/>
                  <dgm:constr type="l" for="ch" forName="ParentAccent6" refType="w" fact="0.6797"/>
                  <dgm:constr type="t" for="ch" forName="ParentAccent6" refType="h" fact="0.5207"/>
                  <dgm:constr type="w" for="ch" forName="ParentAccent6" refType="w" fact="0.0574"/>
                  <dgm:constr type="h" for="ch" forName="ParentAccent6" refType="h" fact="0.1217"/>
                  <dgm:constr type="l" for="ch" forName="ParentAccent7" refType="w" fact="0.9245"/>
                  <dgm:constr type="t" for="ch" forName="ParentAccent7" refType="h" fact="0.4255"/>
                  <dgm:constr type="w" for="ch" forName="ParentAccent7" refType="w" fact="0.0287"/>
                  <dgm:constr type="h" for="ch" forName="ParentAccent7" refType="h" fact="0.0608"/>
                  <dgm:constr type="l" for="ch" forName="ParentAccent8" refType="w" fact="0.9245"/>
                  <dgm:constr type="t" for="ch" forName="ParentAccent8" refType="h" fact="0.6776"/>
                  <dgm:constr type="w" for="ch" forName="ParentAccent8" refType="w" fact="0.0287"/>
                  <dgm:constr type="h" for="ch" forName="ParentAccent8" refType="h" fact="0.0608"/>
                  <dgm:constr type="l" for="ch" forName="ParentAccent9" refType="w" fact="0.9501"/>
                  <dgm:constr type="t" for="ch" forName="ParentAccent9" refType="h" fact="0.4801"/>
                  <dgm:constr type="w" for="ch" forName="ParentAccent9" refType="w" fact="0.0287"/>
                  <dgm:constr type="h" for="ch" forName="ParentAccent9" refType="h" fact="0.0608"/>
                  <dgm:constr type="l" for="ch" forName="ParentAccent10" refType="w" fact="0.9518"/>
                  <dgm:constr type="t" for="ch" forName="ParentAccent10" refType="h" fact="0.6233"/>
                  <dgm:constr type="w" for="ch" forName="ParentAccent10" refType="w" fact="0.0287"/>
                  <dgm:constr type="h" for="ch" forName="ParentAccent10" refType="h" fact="0.0608"/>
                  <dgm:constr type="l" for="ch" forName="Child3" refType="w" fact="0"/>
                  <dgm:constr type="t" for="ch" forName="Child3" refType="h" fact="0.7822"/>
                  <dgm:constr type="w" for="ch" forName="Child3" refType="w" fact="0.3364"/>
                  <dgm:constr type="h" for="ch" forName="Child3" refType="h" fact="0.1564"/>
                  <dgm:constr type="l" for="ch" forName="Child2" refType="w" fact="0"/>
                  <dgm:constr type="t" for="ch" forName="Child2" refType="h" fact="0.3955"/>
                  <dgm:constr type="w" for="ch" forName="Child2" refType="w" fact="0.2544"/>
                  <dgm:constr type="h" for="ch" forName="Child2" refType="h" fact="0.1564"/>
                  <dgm:constr type="l" for="ch" forName="Child1" refType="w" fact="0"/>
                  <dgm:constr type="t" for="ch" forName="Child1" refType="h" fact="0"/>
                  <dgm:constr type="w" for="ch" forName="Child1" refType="w" fact="0.3364"/>
                  <dgm:constr type="h" for="ch" forName="Child1" refType="h" fact="0.1564"/>
                  <dgm:constr type="l" for="ch" forName="Parent" refType="w" fact="0.3653"/>
                  <dgm:constr type="t" for="ch" forName="Parent" refType="h" fact="0.2737"/>
                  <dgm:constr type="w" for="ch" forName="Parent" refType="w" fact="0.2906"/>
                  <dgm:constr type="h" for="ch" forName="Parent" refType="h" fact="0.6157"/>
                </dgm:constrLst>
              </dgm:if>
              <dgm:if name="Name11" axis="ch" ptType="node" func="cnt" op="equ" val="4">
                <dgm:alg type="composite">
                  <dgm:param type="ar" val="1.8304"/>
                </dgm:alg>
                <dgm:constrLst>
                  <dgm:constr type="l" for="ch" forName="Parent" refType="w" fact="0.3771"/>
                  <dgm:constr type="t" for="ch" forName="Parent" refType="h" fact="0.2946"/>
                  <dgm:constr type="w" for="ch" forName="Parent" refType="w" fact="0.2862"/>
                  <dgm:constr type="h" for="ch" forName="Parent" refType="h" fact="0.5239"/>
                  <dgm:constr type="l" for="ch" forName="Child1Accent1" refType="w" fact="0.3904"/>
                  <dgm:constr type="t" for="ch" forName="Child1Accent1" refType="h" fact="0.2104"/>
                  <dgm:constr type="w" for="ch" forName="Child1Accent1" refType="w" fact="0.0566"/>
                  <dgm:constr type="h" for="ch" forName="Child1Accent1" refType="h" fact="0.1035"/>
                  <dgm:constr type="l" for="ch" forName="Child1Accent3" refType="w" fact="0.3001"/>
                  <dgm:constr type="t" for="ch" forName="Child1Accent3" refType="h" fact="0.128"/>
                  <dgm:constr type="w" for="ch" forName="Child1Accent3" refType="w" fact="0.0283"/>
                  <dgm:constr type="h" for="ch" forName="Child1Accent3" refType="h" fact="0.0518"/>
                  <dgm:constr type="l" for="ch" forName="Child1Accent4" refType="w" fact="0.2418"/>
                  <dgm:constr type="t" for="ch" forName="Child1Accent4" refType="h" fact="0.128"/>
                  <dgm:constr type="w" for="ch" forName="Child1Accent4" refType="w" fact="0.0283"/>
                  <dgm:constr type="h" for="ch" forName="Child1Accent4" refType="h" fact="0.0518"/>
                  <dgm:constr type="l" for="ch" forName="Child1Accent5" refType="w" fact="0.1835"/>
                  <dgm:constr type="t" for="ch" forName="Child1Accent5" refType="h" fact="0.128"/>
                  <dgm:constr type="w" for="ch" forName="Child1Accent5" refType="w" fact="0.0283"/>
                  <dgm:constr type="h" for="ch" forName="Child1Accent5" refType="h" fact="0.0518"/>
                  <dgm:constr type="l" for="ch" forName="Child1Accent6" refType="w" fact="0.1252"/>
                  <dgm:constr type="t" for="ch" forName="Child1Accent6" refType="h" fact="0.128"/>
                  <dgm:constr type="w" for="ch" forName="Child1Accent6" refType="w" fact="0.0283"/>
                  <dgm:constr type="h" for="ch" forName="Child1Accent6" refType="h" fact="0.0518"/>
                  <dgm:constr type="l" for="ch" forName="Child3Accent1" refType="w" fact="0.3158"/>
                  <dgm:constr type="t" for="ch" forName="Child3Accent1" refType="h" fact="0.6212"/>
                  <dgm:constr type="w" for="ch" forName="Child3Accent1" refType="w" fact="0.0566"/>
                  <dgm:constr type="h" for="ch" forName="Child3Accent1" refType="h" fact="0.1035"/>
                  <dgm:constr type="l" for="ch" forName="Child3Accent2" refType="w" fact="0.2689"/>
                  <dgm:constr type="t" for="ch" forName="Child3Accent2" refType="h" fact="0.6828"/>
                  <dgm:constr type="w" for="ch" forName="Child3Accent2" refType="w" fact="0.0283"/>
                  <dgm:constr type="h" for="ch" forName="Child3Accent2" refType="h" fact="0.0518"/>
                  <dgm:constr type="l" for="ch" forName="Child3Accent4" refType="w" fact="0.1614"/>
                  <dgm:constr type="t" for="ch" forName="Child3Accent4" refType="h" fact="0.6828"/>
                  <dgm:constr type="w" for="ch" forName="Child3Accent4" refType="w" fact="0.0283"/>
                  <dgm:constr type="h" for="ch" forName="Child3Accent4" refType="h" fact="0.0518"/>
                  <dgm:constr type="l" for="ch" forName="Child3Accent5" refType="w" fact="0.1077"/>
                  <dgm:constr type="t" for="ch" forName="Child3Accent5" refType="h" fact="0.6828"/>
                  <dgm:constr type="w" for="ch" forName="Child3Accent5" refType="w" fact="0.0283"/>
                  <dgm:constr type="h" for="ch" forName="Child3Accent5" refType="h" fact="0.0518"/>
                  <dgm:constr type="l" for="ch" forName="Child1Accent7" refType="w" fact="0.0668"/>
                  <dgm:constr type="t" for="ch" forName="Child1Accent7" refType="h" fact="0.128"/>
                  <dgm:constr type="w" for="ch" forName="Child1Accent7" refType="w" fact="0.0283"/>
                  <dgm:constr type="h" for="ch" forName="Child1Accent7" refType="h" fact="0.0518"/>
                  <dgm:constr type="l" for="ch" forName="Child3Accent6" refType="w" fact="0.0539"/>
                  <dgm:constr type="t" for="ch" forName="Child3Accent6" refType="h" fact="0.6828"/>
                  <dgm:constr type="w" for="ch" forName="Child3Accent6" refType="w" fact="0.0283"/>
                  <dgm:constr type="h" for="ch" forName="Child3Accent6" refType="h" fact="0.0518"/>
                  <dgm:constr type="l" for="ch" forName="Child1Accent8" refType="w" fact="0.0085"/>
                  <dgm:constr type="t" for="ch" forName="Child1Accent8" refType="h" fact="0.128"/>
                  <dgm:constr type="w" for="ch" forName="Child1Accent8" refType="w" fact="0.0283"/>
                  <dgm:constr type="h" for="ch" forName="Child1Accent8" refType="h" fact="0.0518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l" for="ch" forName="Child3Accent7" refType="w" fact="0.0002"/>
                  <dgm:constr type="t" for="ch" forName="Child3Accent7" refType="h" fact="0.6828"/>
                  <dgm:constr type="w" for="ch" forName="Child3Accent7" refType="w" fact="0.0283"/>
                  <dgm:constr type="h" for="ch" forName="Child3Accent7" refType="h" fact="0.0518"/>
                  <dgm:constr type="l" for="ch" forName="Child4Accent1" refType="w" fact="0.3904"/>
                  <dgm:constr type="t" for="ch" forName="Child4Accent1" refType="h" fact="0.8"/>
                  <dgm:constr type="w" for="ch" forName="Child4Accent1" refType="w" fact="0.0566"/>
                  <dgm:constr type="h" for="ch" forName="Child4Accent1" refType="h" fact="0.1035"/>
                  <dgm:constr type="l" for="ch" forName="Child4Accent3" refType="w" fact="0.2998"/>
                  <dgm:constr type="t" for="ch" forName="Child4Accent3" refType="h" fact="0.9482"/>
                  <dgm:constr type="w" for="ch" forName="Child4Accent3" refType="w" fact="0.0283"/>
                  <dgm:constr type="h" for="ch" forName="Child4Accent3" refType="h" fact="0.0518"/>
                  <dgm:constr type="l" for="ch" forName="Child4Accent4" refType="w" fact="0.2415"/>
                  <dgm:constr type="t" for="ch" forName="Child4Accent4" refType="h" fact="0.9482"/>
                  <dgm:constr type="w" for="ch" forName="Child4Accent4" refType="w" fact="0.0283"/>
                  <dgm:constr type="h" for="ch" forName="Child4Accent4" refType="h" fact="0.0518"/>
                  <dgm:constr type="l" for="ch" forName="Child4Accent5" refType="w" fact="0.1833"/>
                  <dgm:constr type="t" for="ch" forName="Child4Accent5" refType="h" fact="0.9482"/>
                  <dgm:constr type="w" for="ch" forName="Child4Accent5" refType="w" fact="0.0283"/>
                  <dgm:constr type="h" for="ch" forName="Child4Accent5" refType="h" fact="0.0518"/>
                  <dgm:constr type="l" for="ch" forName="Child4Accent6" refType="w" fact="0.1251"/>
                  <dgm:constr type="t" for="ch" forName="Child4Accent6" refType="h" fact="0.9482"/>
                  <dgm:constr type="w" for="ch" forName="Child4Accent6" refType="w" fact="0.0283"/>
                  <dgm:constr type="h" for="ch" forName="Child4Accent6" refType="h" fact="0.0518"/>
                  <dgm:constr type="l" for="ch" forName="Child4Accent7" refType="w" fact="0.0668"/>
                  <dgm:constr type="t" for="ch" forName="Child4Accent7" refType="h" fact="0.9482"/>
                  <dgm:constr type="w" for="ch" forName="Child4Accent7" refType="w" fact="0.0283"/>
                  <dgm:constr type="h" for="ch" forName="Child4Accent7" refType="h" fact="0.0518"/>
                  <dgm:constr type="l" for="ch" forName="Child4Accent8" refType="w" fact="0.0086"/>
                  <dgm:constr type="t" for="ch" forName="Child4Accent8" refType="h" fact="0.9482"/>
                  <dgm:constr type="w" for="ch" forName="Child4Accent8" refType="w" fact="0.0283"/>
                  <dgm:constr type="h" for="ch" forName="Child4Accent8" refType="h" fact="0.0518"/>
                  <dgm:constr type="l" for="ch" forName="Child2Accent1" refType="w" fact="0.3158"/>
                  <dgm:constr type="t" for="ch" forName="Child2Accent1" refType="h" fact="0.3725"/>
                  <dgm:constr type="w" for="ch" forName="Child2Accent1" refType="w" fact="0.0566"/>
                  <dgm:constr type="h" for="ch" forName="Child2Accent1" refType="h" fact="0.1035"/>
                  <dgm:constr type="l" for="ch" forName="Child4Accent2" refType="w" fact="0.358"/>
                  <dgm:constr type="t" for="ch" forName="Child4Accent2" refType="h" fact="0.8993"/>
                  <dgm:constr type="w" for="ch" forName="Child4Accent2" refType="w" fact="0.0283"/>
                  <dgm:constr type="h" for="ch" forName="Child4Accent2" refType="h" fact="0.0518"/>
                  <dgm:constr type="l" for="ch" forName="Child1Accent2" refType="w" fact="0.3585"/>
                  <dgm:constr type="t" for="ch" forName="Child1Accent2" refType="h" fact="0.162"/>
                  <dgm:constr type="w" for="ch" forName="Child1Accent2" refType="w" fact="0.0283"/>
                  <dgm:constr type="h" for="ch" forName="Child1Accent2" refType="h" fact="0.0518"/>
                  <dgm:constr type="l" for="ch" forName="Child3Accent3" refType="w" fact="0.2151"/>
                  <dgm:constr type="t" for="ch" forName="Child3Accent3" refType="h" fact="0.6828"/>
                  <dgm:constr type="w" for="ch" forName="Child3Accent3" refType="w" fact="0.0283"/>
                  <dgm:constr type="h" for="ch" forName="Child3Accent3" refType="h" fact="0.0518"/>
                  <dgm:constr type="l" for="ch" forName="Child2Accent2" refType="w" fact="0.2689"/>
                  <dgm:constr type="t" for="ch" forName="Child2Accent2" refType="h" fact="0.3937"/>
                  <dgm:constr type="w" for="ch" forName="Child2Accent2" refType="w" fact="0.0283"/>
                  <dgm:constr type="h" for="ch" forName="Child2Accent2" refType="h" fact="0.0518"/>
                  <dgm:constr type="l" for="ch" forName="Child2Accent4" refType="w" fact="0.1614"/>
                  <dgm:constr type="t" for="ch" forName="Child2Accent4" refType="h" fact="0.3937"/>
                  <dgm:constr type="w" for="ch" forName="Child2Accent4" refType="w" fact="0.0283"/>
                  <dgm:constr type="h" for="ch" forName="Child2Accent4" refType="h" fact="0.0518"/>
                  <dgm:constr type="l" for="ch" forName="Child2Accent5" refType="w" fact="0.1077"/>
                  <dgm:constr type="t" for="ch" forName="Child2Accent5" refType="h" fact="0.3937"/>
                  <dgm:constr type="w" for="ch" forName="Child2Accent5" refType="w" fact="0.0283"/>
                  <dgm:constr type="h" for="ch" forName="Child2Accent5" refType="h" fact="0.0518"/>
                  <dgm:constr type="l" for="ch" forName="Child2Accent6" refType="w" fact="0.0539"/>
                  <dgm:constr type="t" for="ch" forName="Child2Accent6" refType="h" fact="0.3937"/>
                  <dgm:constr type="w" for="ch" forName="Child2Accent6" refType="w" fact="0.0283"/>
                  <dgm:constr type="h" for="ch" forName="Child2Accent6" refType="h" fact="0.0518"/>
                  <dgm:constr type="l" for="ch" forName="Child2Accent7" refType="w" fact="0.0002"/>
                  <dgm:constr type="t" for="ch" forName="Child2Accent7" refType="h" fact="0.3937"/>
                  <dgm:constr type="w" for="ch" forName="Child2Accent7" refType="w" fact="0.0283"/>
                  <dgm:constr type="h" for="ch" forName="Child2Accent7" refType="h" fact="0.0518"/>
                  <dgm:constr type="l" for="ch" forName="Child2Accent3" refType="w" fact="0.2151"/>
                  <dgm:constr type="t" for="ch" forName="Child2Accent3" refType="h" fact="0.3937"/>
                  <dgm:constr type="w" for="ch" forName="Child2Accent3" refType="w" fact="0.0283"/>
                  <dgm:constr type="h" for="ch" forName="Child2Accent3" refType="h" fact="0.0518"/>
                  <dgm:constr type="l" for="ch" forName="ParentAccent1" refType="w" fact="0.9717"/>
                  <dgm:constr type="t" for="ch" forName="ParentAccent1" refType="h" fact="0.5316"/>
                  <dgm:constr type="w" for="ch" forName="ParentAccent1" refType="w" fact="0.0283"/>
                  <dgm:constr type="h" for="ch" forName="ParentAccent1" refType="h" fact="0.0518"/>
                  <dgm:constr type="l" for="ch" forName="ParentAccent2" refType="w" fact="0.9199"/>
                  <dgm:constr type="t" for="ch" forName="ParentAccent2" refType="h" fact="0.5316"/>
                  <dgm:constr type="w" for="ch" forName="ParentAccent2" refType="w" fact="0.0283"/>
                  <dgm:constr type="h" for="ch" forName="ParentAccent2" refType="h" fact="0.0518"/>
                  <dgm:constr type="l" for="ch" forName="ParentAccent3" refType="w" fact="0.8682"/>
                  <dgm:constr type="t" for="ch" forName="ParentAccent3" refType="h" fact="0.5316"/>
                  <dgm:constr type="w" for="ch" forName="ParentAccent3" refType="w" fact="0.0283"/>
                  <dgm:constr type="h" for="ch" forName="ParentAccent3" refType="h" fact="0.0518"/>
                  <dgm:constr type="l" for="ch" forName="ParentAccent4" refType="w" fact="0.8164"/>
                  <dgm:constr type="t" for="ch" forName="ParentAccent4" refType="h" fact="0.5316"/>
                  <dgm:constr type="w" for="ch" forName="ParentAccent4" refType="w" fact="0.0283"/>
                  <dgm:constr type="h" for="ch" forName="ParentAccent4" refType="h" fact="0.0518"/>
                  <dgm:constr type="l" for="ch" forName="ParentAccent5" refType="w" fact="0.7646"/>
                  <dgm:constr type="t" for="ch" forName="ParentAccent5" refType="h" fact="0.5316"/>
                  <dgm:constr type="w" for="ch" forName="ParentAccent5" refType="w" fact="0.0283"/>
                  <dgm:constr type="h" for="ch" forName="ParentAccent5" refType="h" fact="0.0518"/>
                  <dgm:constr type="l" for="ch" forName="ParentAccent6" refType="w" fact="0.6846"/>
                  <dgm:constr type="t" for="ch" forName="ParentAccent6" refType="h" fact="0.5057"/>
                  <dgm:constr type="w" for="ch" forName="ParentAccent6" refType="w" fact="0.0566"/>
                  <dgm:constr type="h" for="ch" forName="ParentAccent6" refType="h" fact="0.1035"/>
                  <dgm:constr type="l" for="ch" forName="ParentAccent7" refType="w" fact="0.9256"/>
                  <dgm:constr type="t" for="ch" forName="ParentAccent7" refType="h" fact="0.4247"/>
                  <dgm:constr type="w" for="ch" forName="ParentAccent7" refType="w" fact="0.0283"/>
                  <dgm:constr type="h" for="ch" forName="ParentAccent7" refType="h" fact="0.0518"/>
                  <dgm:constr type="l" for="ch" forName="ParentAccent8" refType="w" fact="0.9256"/>
                  <dgm:constr type="t" for="ch" forName="ParentAccent8" refType="h" fact="0.6392"/>
                  <dgm:constr type="w" for="ch" forName="ParentAccent8" refType="w" fact="0.0283"/>
                  <dgm:constr type="h" for="ch" forName="ParentAccent8" refType="h" fact="0.0518"/>
                  <dgm:constr type="l" for="ch" forName="ParentAccent9" refType="w" fact="0.9509"/>
                  <dgm:constr type="t" for="ch" forName="ParentAccent9" refType="h" fact="0.4712"/>
                  <dgm:constr type="w" for="ch" forName="ParentAccent9" refType="w" fact="0.0283"/>
                  <dgm:constr type="h" for="ch" forName="ParentAccent9" refType="h" fact="0.0518"/>
                  <dgm:constr type="l" for="ch" forName="ParentAccent10" refType="w" fact="0.9525"/>
                  <dgm:constr type="t" for="ch" forName="ParentAccent10" refType="h" fact="0.593"/>
                  <dgm:constr type="w" for="ch" forName="ParentAccent10" refType="w" fact="0.0283"/>
                  <dgm:constr type="h" for="ch" forName="ParentAccent10" refType="h" fact="0.0518"/>
                  <dgm:constr type="l" for="ch" forName="Child4" refType="w" fact="0.0081"/>
                  <dgm:constr type="t" for="ch" forName="Child4" refType="h" fact="0.8184"/>
                  <dgm:constr type="w" for="ch" forName="Child4" refType="w" fact="0.3192"/>
                  <dgm:constr type="h" for="ch" forName="Child4" refType="h" fact="0.1294"/>
                  <dgm:constr type="l" for="ch" forName="Child3" refType="w" fact="0"/>
                  <dgm:constr type="t" for="ch" forName="Child3" refType="h" fact="0.5547"/>
                  <dgm:constr type="w" for="ch" forName="Child3" refType="w" fact="0.297"/>
                  <dgm:constr type="h" for="ch" forName="Child3" refType="h" fact="0.1294"/>
                  <dgm:constr type="l" for="ch" forName="Child2" refType="w" fact="0"/>
                  <dgm:constr type="t" for="ch" forName="Child2" refType="h" fact="0.2662"/>
                  <dgm:constr type="w" for="ch" forName="Child2" refType="w" fact="0.297"/>
                  <dgm:constr type="h" for="ch" forName="Child2" refType="h" fact="0.1294"/>
                  <dgm:constr type="l" for="ch" forName="Child1" refType="w" fact="0.0081"/>
                  <dgm:constr type="t" for="ch" forName="Child1" refType="h" fact="0"/>
                  <dgm:constr type="w" for="ch" forName="Child1" refType="w" fact="0.3192"/>
                  <dgm:constr type="h" for="ch" forName="Child1" refType="h" fact="0.1294"/>
                </dgm:constrLst>
              </dgm:if>
              <dgm:else name="Name12">
                <dgm:alg type="composite">
                  <dgm:param type="ar" val="1.3278"/>
                </dgm:alg>
                <dgm:constrLst>
                  <dgm:constr type="l" for="ch" forName="Child2Accent1" refType="w" fact="0.3436"/>
                  <dgm:constr type="t" for="ch" forName="Child2Accent1" refType="h" fact="0.3184"/>
                  <dgm:constr type="w" for="ch" forName="Child2Accent1" refType="w" fact="0.0574"/>
                  <dgm:constr type="h" for="ch" forName="Child2Accent1" refType="h" fact="0.0763"/>
                  <dgm:constr type="l" for="ch" forName="Child2Accent2" refType="w" fact="0.3068"/>
                  <dgm:constr type="t" for="ch" forName="Child2Accent2" refType="h" fact="0.2781"/>
                  <dgm:constr type="w" for="ch" forName="Child2Accent2" refType="w" fact="0.0287"/>
                  <dgm:constr type="h" for="ch" forName="Child2Accent2" refType="h" fact="0.0381"/>
                  <dgm:constr type="l" for="ch" forName="Child2Accent3" refType="w" fact="0.2455"/>
                  <dgm:constr type="t" for="ch" forName="Child2Accent3" refType="h" fact="0.2781"/>
                  <dgm:constr type="w" for="ch" forName="Child2Accent3" refType="w" fact="0.0287"/>
                  <dgm:constr type="h" for="ch" forName="Child2Accent3" refType="h" fact="0.0381"/>
                  <dgm:constr type="l" for="ch" forName="Child2Accent4" refType="w" fact="0.1842"/>
                  <dgm:constr type="t" for="ch" forName="Child2Accent4" refType="h" fact="0.2781"/>
                  <dgm:constr type="w" for="ch" forName="Child2Accent4" refType="w" fact="0.0287"/>
                  <dgm:constr type="h" for="ch" forName="Child2Accent4" refType="h" fact="0.0381"/>
                  <dgm:constr type="l" for="ch" forName="Child2Accent5" refType="w" fact="0.1229"/>
                  <dgm:constr type="t" for="ch" forName="Child2Accent5" refType="h" fact="0.2781"/>
                  <dgm:constr type="w" for="ch" forName="Child2Accent5" refType="w" fact="0.0287"/>
                  <dgm:constr type="h" for="ch" forName="Child2Accent5" refType="h" fact="0.0381"/>
                  <dgm:constr type="l" for="ch" forName="Child3Accent1" refType="w" fact="0.284"/>
                  <dgm:constr type="t" for="ch" forName="Child3Accent1" refType="h" fact="0.5061"/>
                  <dgm:constr type="w" for="ch" forName="Child3Accent1" refType="w" fact="0.0574"/>
                  <dgm:constr type="h" for="ch" forName="Child3Accent1" refType="h" fact="0.0763"/>
                  <dgm:constr type="l" for="ch" forName="Child3Accent2" refType="w" fact="0.2272"/>
                  <dgm:constr type="t" for="ch" forName="Child3Accent2" refType="h" fact="0.5252"/>
                  <dgm:constr type="w" for="ch" forName="Child3Accent2" refType="w" fact="0.0287"/>
                  <dgm:constr type="h" for="ch" forName="Child3Accent2" refType="h" fact="0.0381"/>
                  <dgm:constr type="l" for="ch" forName="Child3Accent3" refType="w" fact="0.1705"/>
                  <dgm:constr type="t" for="ch" forName="Child3Accent3" refType="h" fact="0.5252"/>
                  <dgm:constr type="w" for="ch" forName="Child3Accent3" refType="w" fact="0.0287"/>
                  <dgm:constr type="h" for="ch" forName="Child3Accent3" refType="h" fact="0.0381"/>
                  <dgm:constr type="l" for="ch" forName="Child3Accent4" refType="w" fact="0.1137"/>
                  <dgm:constr type="t" for="ch" forName="Child3Accent4" refType="h" fact="0.5252"/>
                  <dgm:constr type="w" for="ch" forName="Child3Accent4" refType="w" fact="0.0287"/>
                  <dgm:constr type="h" for="ch" forName="Child3Accent4" refType="h" fact="0.0381"/>
                  <dgm:constr type="l" for="ch" forName="Child2Accent6" refType="w" fact="0.0615"/>
                  <dgm:constr type="t" for="ch" forName="Child2Accent6" refType="h" fact="0.2781"/>
                  <dgm:constr type="w" for="ch" forName="Child2Accent6" refType="w" fact="0.0287"/>
                  <dgm:constr type="h" for="ch" forName="Child2Accent6" refType="h" fact="0.0381"/>
                  <dgm:constr type="l" for="ch" forName="Child3Accent5" refType="w" fact="0.057"/>
                  <dgm:constr type="t" for="ch" forName="Child3Accent5" refType="h" fact="0.5252"/>
                  <dgm:constr type="w" for="ch" forName="Child3Accent5" refType="w" fact="0.0287"/>
                  <dgm:constr type="h" for="ch" forName="Child3Accent5" refType="h" fact="0.0381"/>
                  <dgm:constr type="l" for="ch" forName="Child2Accent7" refType="w" fact="0.0002"/>
                  <dgm:constr type="t" for="ch" forName="Child2Accent7" refType="h" fact="0.2781"/>
                  <dgm:constr type="w" for="ch" forName="Child2Accent7" refType="w" fact="0.0287"/>
                  <dgm:constr type="h" for="ch" forName="Child2Accent7" refType="h" fact="0.0381"/>
                  <dgm:constr type="l" for="ch" forName="Child3Accent6" refType="w" fact="0.0002"/>
                  <dgm:constr type="t" for="ch" forName="Child3Accent6" refType="h" fact="0.5252"/>
                  <dgm:constr type="w" for="ch" forName="Child3Accent6" refType="w" fact="0.0287"/>
                  <dgm:constr type="h" for="ch" forName="Child3Accent6" refType="h" fact="0.0381"/>
                  <dgm:constr type="l" for="ch" forName="Child3Accent7" refType="w" fact="0"/>
                  <dgm:constr type="t" for="ch" forName="Child3Accent7" refType="h" fact="0"/>
                  <dgm:constr type="w" for="ch" forName="Child3Accent7" refType="w" fact="0"/>
                  <dgm:constr type="h" for="ch" forName="Child3Accent7" refType="h" fact="0"/>
                  <dgm:constr type="l" for="ch" forName="Child4Accent1" refType="w" fact="0.3436"/>
                  <dgm:constr type="t" for="ch" forName="Child4Accent1" refType="h" fact="0.6908"/>
                  <dgm:constr type="w" for="ch" forName="Child4Accent1" refType="w" fact="0.0574"/>
                  <dgm:constr type="h" for="ch" forName="Child4Accent1" refType="h" fact="0.0763"/>
                  <dgm:constr type="l" for="ch" forName="Child4Accent2" refType="w" fact="0.3068"/>
                  <dgm:constr type="t" for="ch" forName="Child4Accent2" refType="h" fact="0.7684"/>
                  <dgm:constr type="w" for="ch" forName="Child4Accent2" refType="w" fact="0.0287"/>
                  <dgm:constr type="h" for="ch" forName="Child4Accent2" refType="h" fact="0.0381"/>
                  <dgm:constr type="l" for="ch" forName="Child4Accent3" refType="w" fact="0.2455"/>
                  <dgm:constr type="t" for="ch" forName="Child4Accent3" refType="h" fact="0.7684"/>
                  <dgm:constr type="w" for="ch" forName="Child4Accent3" refType="w" fact="0.0287"/>
                  <dgm:constr type="h" for="ch" forName="Child4Accent3" refType="h" fact="0.0381"/>
                  <dgm:constr type="l" for="ch" forName="Child4Accent4" refType="w" fact="0.1842"/>
                  <dgm:constr type="t" for="ch" forName="Child4Accent4" refType="h" fact="0.7684"/>
                  <dgm:constr type="w" for="ch" forName="Child4Accent4" refType="w" fact="0.0287"/>
                  <dgm:constr type="h" for="ch" forName="Child4Accent4" refType="h" fact="0.0381"/>
                  <dgm:constr type="l" for="ch" forName="Child4Accent5" refType="w" fact="0.1229"/>
                  <dgm:constr type="t" for="ch" forName="Child4Accent5" refType="h" fact="0.7684"/>
                  <dgm:constr type="w" for="ch" forName="Child4Accent5" refType="w" fact="0.0287"/>
                  <dgm:constr type="h" for="ch" forName="Child4Accent5" refType="h" fact="0.0381"/>
                  <dgm:constr type="l" for="ch" forName="Child4Accent6" refType="w" fact="0.0615"/>
                  <dgm:constr type="t" for="ch" forName="Child4Accent6" refType="h" fact="0.7684"/>
                  <dgm:constr type="w" for="ch" forName="Child4Accent6" refType="w" fact="0.0287"/>
                  <dgm:constr type="h" for="ch" forName="Child4Accent6" refType="h" fact="0.0381"/>
                  <dgm:constr type="l" for="ch" forName="Child4Accent7" refType="w" fact="0.0002"/>
                  <dgm:constr type="t" for="ch" forName="Child4Accent7" refType="h" fact="0.7684"/>
                  <dgm:constr type="w" for="ch" forName="Child4Accent7" refType="w" fact="0.0287"/>
                  <dgm:constr type="h" for="ch" forName="Child4Accent7" refType="h" fact="0.0381"/>
                  <dgm:constr type="l" for="ch" forName="Child4Accent8" refType="w" fact="0"/>
                  <dgm:constr type="t" for="ch" forName="Child4Accent8" refType="h" fact="0"/>
                  <dgm:constr type="w" for="ch" forName="Child4Accent8" refType="w" fact="0"/>
                  <dgm:constr type="h" for="ch" forName="Child4Accent8" refType="h" fact="0"/>
                  <dgm:constr type="l" for="ch" forName="ParentAccent1" refType="w" fact="0.9713"/>
                  <dgm:constr type="t" for="ch" forName="ParentAccent1" refType="h" fact="0.5252"/>
                  <dgm:constr type="w" for="ch" forName="ParentAccent1" refType="w" fact="0.0287"/>
                  <dgm:constr type="h" for="ch" forName="ParentAccent1" refType="h" fact="0.0381"/>
                  <dgm:constr type="l" for="ch" forName="ParentAccent2" refType="w" fact="0.9187"/>
                  <dgm:constr type="t" for="ch" forName="ParentAccent2" refType="h" fact="0.5252"/>
                  <dgm:constr type="w" for="ch" forName="ParentAccent2" refType="w" fact="0.0287"/>
                  <dgm:constr type="h" for="ch" forName="ParentAccent2" refType="h" fact="0.0381"/>
                  <dgm:constr type="l" for="ch" forName="ParentAccent3" refType="w" fact="0.8661"/>
                  <dgm:constr type="t" for="ch" forName="ParentAccent3" refType="h" fact="0.5252"/>
                  <dgm:constr type="w" for="ch" forName="ParentAccent3" refType="w" fact="0.0287"/>
                  <dgm:constr type="h" for="ch" forName="ParentAccent3" refType="h" fact="0.0381"/>
                  <dgm:constr type="l" for="ch" forName="ParentAccent4" refType="w" fact="0.8136"/>
                  <dgm:constr type="t" for="ch" forName="ParentAccent4" refType="h" fact="0.5252"/>
                  <dgm:constr type="w" for="ch" forName="ParentAccent4" refType="w" fact="0.0287"/>
                  <dgm:constr type="h" for="ch" forName="ParentAccent4" refType="h" fact="0.0381"/>
                  <dgm:constr type="l" for="ch" forName="ParentAccent5" refType="w" fact="0.761"/>
                  <dgm:constr type="t" for="ch" forName="ParentAccent5" refType="h" fact="0.5252"/>
                  <dgm:constr type="w" for="ch" forName="ParentAccent5" refType="w" fact="0.0287"/>
                  <dgm:constr type="h" for="ch" forName="ParentAccent5" refType="h" fact="0.0381"/>
                  <dgm:constr type="l" for="ch" forName="ParentAccent6" refType="w" fact="0.6797"/>
                  <dgm:constr type="t" for="ch" forName="ParentAccent6" refType="h" fact="0.5061"/>
                  <dgm:constr type="w" for="ch" forName="ParentAccent6" refType="w" fact="0.0574"/>
                  <dgm:constr type="h" for="ch" forName="ParentAccent6" refType="h" fact="0.0763"/>
                  <dgm:constr type="l" for="ch" forName="ParentAccent7" refType="w" fact="0.9245"/>
                  <dgm:constr type="t" for="ch" forName="ParentAccent7" refType="h" fact="0.4464"/>
                  <dgm:constr type="w" for="ch" forName="ParentAccent7" refType="w" fact="0.0287"/>
                  <dgm:constr type="h" for="ch" forName="ParentAccent7" refType="h" fact="0.0381"/>
                  <dgm:constr type="l" for="ch" forName="ParentAccent8" refType="w" fact="0.9245"/>
                  <dgm:constr type="t" for="ch" forName="ParentAccent8" refType="h" fact="0.6045"/>
                  <dgm:constr type="w" for="ch" forName="ParentAccent8" refType="w" fact="0.0287"/>
                  <dgm:constr type="h" for="ch" forName="ParentAccent8" refType="h" fact="0.0381"/>
                  <dgm:constr type="l" for="ch" forName="ParentAccent9" refType="w" fact="0.9501"/>
                  <dgm:constr type="t" for="ch" forName="ParentAccent9" refType="h" fact="0.4807"/>
                  <dgm:constr type="w" for="ch" forName="ParentAccent9" refType="w" fact="0.0287"/>
                  <dgm:constr type="h" for="ch" forName="ParentAccent9" refType="h" fact="0.0381"/>
                  <dgm:constr type="l" for="ch" forName="ParentAccent10" refType="w" fact="0.9518"/>
                  <dgm:constr type="t" for="ch" forName="ParentAccent10" refType="h" fact="0.5705"/>
                  <dgm:constr type="w" for="ch" forName="ParentAccent10" refType="w" fact="0.0287"/>
                  <dgm:constr type="h" for="ch" forName="ParentAccent10" refType="h" fact="0.0381"/>
                  <dgm:constr type="l" for="ch" forName="Child1Accent1" refType="w" fact="0.4819"/>
                  <dgm:constr type="t" for="ch" forName="Child1Accent1" refType="h" fact="0.2457"/>
                  <dgm:constr type="w" for="ch" forName="Child1Accent1" refType="w" fact="0.0574"/>
                  <dgm:constr type="h" for="ch" forName="Child1Accent1" refType="h" fact="0.0763"/>
                  <dgm:constr type="l" for="ch" forName="Child1Accent4" refType="w" fact="0.3653"/>
                  <dgm:constr type="t" for="ch" forName="Child1Accent4" refType="h" fact="0.097"/>
                  <dgm:constr type="w" for="ch" forName="Child1Accent4" refType="w" fact="0.0287"/>
                  <dgm:constr type="h" for="ch" forName="Child1Accent4" refType="h" fact="0.0381"/>
                  <dgm:constr type="l" for="ch" forName="Child1Accent5" refType="w" fact="0.304"/>
                  <dgm:constr type="t" for="ch" forName="Child1Accent5" refType="h" fact="0.097"/>
                  <dgm:constr type="w" for="ch" forName="Child1Accent5" refType="w" fact="0.0287"/>
                  <dgm:constr type="h" for="ch" forName="Child1Accent5" refType="h" fact="0.0381"/>
                  <dgm:constr type="l" for="ch" forName="Child1Accent6" refType="w" fact="0.2426"/>
                  <dgm:constr type="t" for="ch" forName="Child1Accent6" refType="h" fact="0.097"/>
                  <dgm:constr type="w" for="ch" forName="Child1Accent6" refType="w" fact="0.0287"/>
                  <dgm:constr type="h" for="ch" forName="Child1Accent6" refType="h" fact="0.0381"/>
                  <dgm:constr type="l" for="ch" forName="Child1Accent7" refType="w" fact="0.1813"/>
                  <dgm:constr type="t" for="ch" forName="Child1Accent7" refType="h" fact="0.097"/>
                  <dgm:constr type="w" for="ch" forName="Child1Accent7" refType="w" fact="0.0287"/>
                  <dgm:constr type="h" for="ch" forName="Child1Accent7" refType="h" fact="0.0381"/>
                  <dgm:constr type="l" for="ch" forName="Child1Accent8" refType="w" fact="0.12"/>
                  <dgm:constr type="t" for="ch" forName="Child1Accent8" refType="h" fact="0.097"/>
                  <dgm:constr type="w" for="ch" forName="Child1Accent8" refType="w" fact="0.0287"/>
                  <dgm:constr type="h" for="ch" forName="Child1Accent8" refType="h" fact="0.0381"/>
                  <dgm:constr type="l" for="ch" forName="Child1Accent9" refType="w" fact="0.0587"/>
                  <dgm:constr type="t" for="ch" forName="Child1Accent9" refType="h" fact="0.097"/>
                  <dgm:constr type="w" for="ch" forName="Child1Accent9" refType="w" fact="0.0287"/>
                  <dgm:constr type="h" for="ch" forName="Child1Accent9" refType="h" fact="0.0381"/>
                  <dgm:constr type="l" for="ch" forName="Child5Accent1" refType="w" fact="0.4819"/>
                  <dgm:constr type="t" for="ch" forName="Child5Accent1" refType="h" fact="0.7601"/>
                  <dgm:constr type="w" for="ch" forName="Child5Accent1" refType="w" fact="0.0574"/>
                  <dgm:constr type="h" for="ch" forName="Child5Accent1" refType="h" fact="0.0763"/>
                  <dgm:constr type="l" for="ch" forName="Child5Accent4" refType="w" fact="0.3653"/>
                  <dgm:constr type="t" for="ch" forName="Child5Accent4" refType="h" fact="0.9619"/>
                  <dgm:constr type="w" for="ch" forName="Child5Accent4" refType="w" fact="0.0287"/>
                  <dgm:constr type="h" for="ch" forName="Child5Accent4" refType="h" fact="0.0381"/>
                  <dgm:constr type="l" for="ch" forName="Child5Accent5" refType="w" fact="0.304"/>
                  <dgm:constr type="t" for="ch" forName="Child5Accent5" refType="h" fact="0.9619"/>
                  <dgm:constr type="w" for="ch" forName="Child5Accent5" refType="w" fact="0.0287"/>
                  <dgm:constr type="h" for="ch" forName="Child5Accent5" refType="h" fact="0.0381"/>
                  <dgm:constr type="l" for="ch" forName="Child5Accent6" refType="w" fact="0.2426"/>
                  <dgm:constr type="t" for="ch" forName="Child5Accent6" refType="h" fact="0.9619"/>
                  <dgm:constr type="w" for="ch" forName="Child5Accent6" refType="w" fact="0.0287"/>
                  <dgm:constr type="h" for="ch" forName="Child5Accent6" refType="h" fact="0.0381"/>
                  <dgm:constr type="l" for="ch" forName="Child5Accent7" refType="w" fact="0.1813"/>
                  <dgm:constr type="t" for="ch" forName="Child5Accent7" refType="h" fact="0.9619"/>
                  <dgm:constr type="w" for="ch" forName="Child5Accent7" refType="w" fact="0.0287"/>
                  <dgm:constr type="h" for="ch" forName="Child5Accent7" refType="h" fact="0.0381"/>
                  <dgm:constr type="l" for="ch" forName="Child5Accent8" refType="w" fact="0.12"/>
                  <dgm:constr type="t" for="ch" forName="Child5Accent8" refType="h" fact="0.9619"/>
                  <dgm:constr type="w" for="ch" forName="Child5Accent8" refType="w" fact="0.0287"/>
                  <dgm:constr type="h" for="ch" forName="Child5Accent8" refType="h" fact="0.0381"/>
                  <dgm:constr type="l" for="ch" forName="Child5Accent9" refType="w" fact="0.0587"/>
                  <dgm:constr type="t" for="ch" forName="Child5Accent9" refType="h" fact="0.9619"/>
                  <dgm:constr type="w" for="ch" forName="Child5Accent9" refType="w" fact="0.0287"/>
                  <dgm:constr type="h" for="ch" forName="Child5Accent9" refType="h" fact="0.0381"/>
                  <dgm:constr type="l" for="ch" forName="Child5Accent2" refType="w" fact="0.453"/>
                  <dgm:constr type="t" for="ch" forName="Child5Accent2" refType="h" fact="0.8375"/>
                  <dgm:constr type="w" for="ch" forName="Child5Accent2" refType="w" fact="0.0287"/>
                  <dgm:constr type="h" for="ch" forName="Child5Accent2" refType="h" fact="0.0381"/>
                  <dgm:constr type="l" for="ch" forName="Child5Accent3" refType="w" fact="0.4118"/>
                  <dgm:constr type="t" for="ch" forName="Child5Accent3" refType="h" fact="0.8991"/>
                  <dgm:constr type="w" for="ch" forName="Child5Accent3" refType="w" fact="0.0287"/>
                  <dgm:constr type="h" for="ch" forName="Child5Accent3" refType="h" fact="0.0381"/>
                  <dgm:constr type="l" for="ch" forName="Child1Accent2" refType="w" fact="0.4458"/>
                  <dgm:constr type="t" for="ch" forName="Child1Accent2" refType="h" fact="0.2004"/>
                  <dgm:constr type="w" for="ch" forName="Child1Accent2" refType="w" fact="0.0287"/>
                  <dgm:constr type="h" for="ch" forName="Child1Accent2" refType="h" fact="0.0381"/>
                  <dgm:constr type="l" for="ch" forName="Child1Accent3" refType="w" fact="0.4054"/>
                  <dgm:constr type="t" for="ch" forName="Child1Accent3" refType="h" fact="0.1445"/>
                  <dgm:constr type="w" for="ch" forName="Child1Accent3" refType="w" fact="0.0287"/>
                  <dgm:constr type="h" for="ch" forName="Child1Accent3" refType="h" fact="0.0381"/>
                  <dgm:constr type="l" for="ch" forName="Child5" refType="w" fact="0.0581"/>
                  <dgm:constr type="t" for="ch" forName="Child5" refType="h" fact="0.8635"/>
                  <dgm:constr type="w" for="ch" forName="Child5" refType="w" fact="0.3364"/>
                  <dgm:constr type="h" for="ch" forName="Child5" refType="h" fact="0.0981"/>
                  <dgm:constr type="l" for="ch" forName="Child4" refType="w" fact="0"/>
                  <dgm:constr type="t" for="ch" forName="Child4" refType="h" fact="0.6701"/>
                  <dgm:constr type="w" for="ch" forName="Child4" refType="w" fact="0.3364"/>
                  <dgm:constr type="h" for="ch" forName="Child4" refType="h" fact="0.0981"/>
                  <dgm:constr type="l" for="ch" forName="Child3" refType="w" fact="0"/>
                  <dgm:constr type="t" for="ch" forName="Child3" refType="h" fact="0.4276"/>
                  <dgm:constr type="w" for="ch" forName="Child3" refType="w" fact="0.2544"/>
                  <dgm:constr type="h" for="ch" forName="Child3" refType="h" fact="0.0981"/>
                  <dgm:constr type="l" for="ch" forName="Child2" refType="w" fact="0"/>
                  <dgm:constr type="t" for="ch" forName="Child2" refType="h" fact="0.1798"/>
                  <dgm:constr type="w" for="ch" forName="Child2" refType="w" fact="0.3364"/>
                  <dgm:constr type="h" for="ch" forName="Child2" refType="h" fact="0.0981"/>
                  <dgm:constr type="l" for="ch" forName="Child1" refType="w" fact="0.0581"/>
                  <dgm:constr type="t" for="ch" forName="Child1" refType="h" fact="0"/>
                  <dgm:constr type="w" for="ch" forName="Child1" refType="w" fact="0.3364"/>
                  <dgm:constr type="h" for="ch" forName="Child1" refType="h" fact="0.0981"/>
                  <dgm:constr type="l" for="ch" forName="Parent" refType="w" fact="0.3653"/>
                  <dgm:constr type="t" for="ch" forName="Parent" refType="h" fact="0.3513"/>
                  <dgm:constr type="w" for="ch" forName="Parent" refType="w" fact="0.2906"/>
                  <dgm:constr type="h" for="ch" forName="Parent" refType="h" fact="0.3859"/>
                </dgm:constrLst>
              </dgm:else>
            </dgm:choose>
          </dgm:if>
          <dgm:else name="Name13">
            <dgm:choose name="Name14">
              <dgm:if name="Name15" axis="ch" ptType="node" func="cnt" op="equ" val="0">
                <dgm:alg type="composite">
                  <dgm:param type="ar" val="2.1059"/>
                </dgm:alg>
                <dgm:constrLst>
                  <dgm:constr type="r" for="ch" forName="Parent" refType="w"/>
                  <dgm:constr type="t" for="ch" forName="Parent" refType="h" fact="0"/>
                  <dgm:constr type="w" for="ch" forName="Parent" refType="w" fact="0.4749"/>
                  <dgm:constr type="h" for="ch" forName="Parent" refType="h"/>
                  <dgm:constr type="r" for="ch" forName="ParentAccent1" refType="w" fact="0.0469"/>
                  <dgm:constr type="t" for="ch" forName="ParentAccent1" refType="h" fact="0.4506"/>
                  <dgm:constr type="w" for="ch" forName="ParentAccent1" refType="w" fact="0.0469"/>
                  <dgm:constr type="h" for="ch" forName="ParentAccent1" refType="h" fact="0.0988"/>
                  <dgm:constr type="r" for="ch" forName="ParentAccent2" refType="w" fact="0.1266"/>
                  <dgm:constr type="t" for="ch" forName="ParentAccent2" refType="h" fact="0.4506"/>
                  <dgm:constr type="w" for="ch" forName="ParentAccent2" refType="w" fact="0.0469"/>
                  <dgm:constr type="h" for="ch" forName="ParentAccent2" refType="h" fact="0.0988"/>
                  <dgm:constr type="r" for="ch" forName="ParentAccent3" refType="w" fact="0.2063"/>
                  <dgm:constr type="t" for="ch" forName="ParentAccent3" refType="h" fact="0.4506"/>
                  <dgm:constr type="w" for="ch" forName="ParentAccent3" refType="w" fact="0.0469"/>
                  <dgm:constr type="h" for="ch" forName="ParentAccent3" refType="h" fact="0.0988"/>
                  <dgm:constr type="r" for="ch" forName="ParentAccent4" refType="w" fact="0.286"/>
                  <dgm:constr type="t" for="ch" forName="ParentAccent4" refType="h" fact="0.4506"/>
                  <dgm:constr type="w" for="ch" forName="ParentAccent4" refType="w" fact="0.0469"/>
                  <dgm:constr type="h" for="ch" forName="ParentAccent4" refType="h" fact="0.0988"/>
                  <dgm:constr type="r" for="ch" forName="ParentAccent5" refType="w" fact="0.3657"/>
                  <dgm:constr type="t" for="ch" forName="ParentAccent5" refType="h" fact="0.4506"/>
                  <dgm:constr type="w" for="ch" forName="ParentAccent5" refType="w" fact="0.0469"/>
                  <dgm:constr type="h" for="ch" forName="ParentAccent5" refType="h" fact="0.0988"/>
                  <dgm:constr type="r" for="ch" forName="ParentAccent6" refType="w" fact="0.4924"/>
                  <dgm:constr type="t" for="ch" forName="ParentAccent6" refType="h" fact="0.4012"/>
                  <dgm:constr type="w" for="ch" forName="ParentAccent6" refType="w" fact="0.0939"/>
                  <dgm:constr type="h" for="ch" forName="ParentAccent6" refType="h" fact="0.1976"/>
                  <dgm:constr type="r" for="ch" forName="ParentAccent7" refType="w" fact="0.1234"/>
                  <dgm:constr type="t" for="ch" forName="ParentAccent7" refType="h" fact="0.2465"/>
                  <dgm:constr type="w" for="ch" forName="ParentAccent7" refType="w" fact="0.0469"/>
                  <dgm:constr type="h" for="ch" forName="ParentAccent7" refType="h" fact="0.0988"/>
                  <dgm:constr type="r" for="ch" forName="ParentAccent8" refType="w" fact="0.1234"/>
                  <dgm:constr type="t" for="ch" forName="ParentAccent8" refType="h" fact="0.6562"/>
                  <dgm:constr type="w" for="ch" forName="ParentAccent8" refType="w" fact="0.0469"/>
                  <dgm:constr type="h" for="ch" forName="ParentAccent8" refType="h" fact="0.0988"/>
                  <dgm:constr type="r" for="ch" forName="ParentAccent9" refType="w" fact="0.0815"/>
                  <dgm:constr type="t" for="ch" forName="ParentAccent9" refType="h" fact="0.3353"/>
                  <dgm:constr type="w" for="ch" forName="ParentAccent9" refType="w" fact="0.0469"/>
                  <dgm:constr type="h" for="ch" forName="ParentAccent9" refType="h" fact="0.0988"/>
                  <dgm:constr type="r" for="ch" forName="ParentAccent10" refType="w" fact="0.0787"/>
                  <dgm:constr type="t" for="ch" forName="ParentAccent10" refType="h" fact="0.5679"/>
                  <dgm:constr type="w" for="ch" forName="ParentAccent10" refType="w" fact="0.0469"/>
                  <dgm:constr type="h" for="ch" forName="ParentAccent10" refType="h" fact="0.0988"/>
                </dgm:constrLst>
              </dgm:if>
              <dgm:if name="Name16" axis="ch" ptType="node" func="cnt" op="equ" val="1">
                <dgm:alg type="composite">
                  <dgm:param type="ar" val="3.4411"/>
                </dgm:alg>
                <dgm:constrLst>
                  <dgm:constr type="primFontSz" for="des" forName="Child1" val="65"/>
                  <dgm:constr type="primFontSz" for="des" forName="Child1" refType="primFontSz" refFor="des" refForName="Parent" op="lte"/>
                  <dgm:constr type="r" for="ch" forName="Child1Accent1" refType="w" fact="0.716"/>
                  <dgm:constr type="t" for="ch" forName="Child1Accent1" refType="h" fact="0.4012"/>
                  <dgm:constr type="w" for="ch" forName="Child1Accent1" refType="w" fact="0.0574"/>
                  <dgm:constr type="h" for="ch" forName="Child1Accent1" refType="h" fact="0.1976"/>
                  <dgm:constr type="r" for="ch" forName="Child1Accent2" refType="w" fact="0.7728"/>
                  <dgm:constr type="t" for="ch" forName="Child1Accent2" refType="h" fact="0.4506"/>
                  <dgm:constr type="w" for="ch" forName="Child1Accent2" refType="w" fact="0.0287"/>
                  <dgm:constr type="h" for="ch" forName="Child1Accent2" refType="h" fact="0.0988"/>
                  <dgm:constr type="r" for="ch" forName="Child1Accent3" refType="w" fact="0.8295"/>
                  <dgm:constr type="t" for="ch" forName="Child1Accent3" refType="h" fact="0.4506"/>
                  <dgm:constr type="w" for="ch" forName="Child1Accent3" refType="w" fact="0.0287"/>
                  <dgm:constr type="h" for="ch" forName="Child1Accent3" refType="h" fact="0.0988"/>
                  <dgm:constr type="r" for="ch" forName="Child1Accent4" refType="w" fact="0.8863"/>
                  <dgm:constr type="t" for="ch" forName="Child1Accent4" refType="h" fact="0.4506"/>
                  <dgm:constr type="w" for="ch" forName="Child1Accent4" refType="w" fact="0.0287"/>
                  <dgm:constr type="h" for="ch" forName="Child1Accent4" refType="h" fact="0.0988"/>
                  <dgm:constr type="r" for="ch" forName="Child1Accent5" refType="w" fact="0.943"/>
                  <dgm:constr type="t" for="ch" forName="Child1Accent5" refType="h" fact="0.4506"/>
                  <dgm:constr type="w" for="ch" forName="Child1Accent5" refType="w" fact="0.0287"/>
                  <dgm:constr type="h" for="ch" forName="Child1Accent5" refType="h" fact="0.0988"/>
                  <dgm:constr type="r" for="ch" forName="Child1Accent6" refType="w" fact="0.9998"/>
                  <dgm:constr type="t" for="ch" forName="Child1Accent6" refType="h" fact="0.4506"/>
                  <dgm:constr type="w" for="ch" forName="Child1Accent6" refType="w" fact="0.0287"/>
                  <dgm:constr type="h" for="ch" forName="Child1Accent6" refType="h" fact="0.0988"/>
                  <dgm:constr type="l" for="ch" forName="Child1Accent7" refType="w" fact="0"/>
                  <dgm:constr type="t" for="ch" forName="Child1Accent7" refType="h" fact="0"/>
                  <dgm:constr type="w" for="ch" forName="Child1Accent7" refType="w" fact="0"/>
                  <dgm:constr type="h" for="ch" forName="Child1Accent7" refType="h" fact="0"/>
                  <dgm:constr type="l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r" for="ch" forName="ParentAccent1" refType="w" fact="0.0287"/>
                  <dgm:constr type="t" for="ch" forName="ParentAccent1" refType="h" fact="0.4506"/>
                  <dgm:constr type="w" for="ch" forName="ParentAccent1" refType="w" fact="0.0287"/>
                  <dgm:constr type="h" for="ch" forName="ParentAccent1" refType="h" fact="0.0988"/>
                  <dgm:constr type="r" for="ch" forName="ParentAccent2" refType="w" fact="0.0813"/>
                  <dgm:constr type="t" for="ch" forName="ParentAccent2" refType="h" fact="0.4506"/>
                  <dgm:constr type="w" for="ch" forName="ParentAccent2" refType="w" fact="0.0287"/>
                  <dgm:constr type="h" for="ch" forName="ParentAccent2" refType="h" fact="0.0988"/>
                  <dgm:constr type="r" for="ch" forName="ParentAccent3" refType="w" fact="0.1339"/>
                  <dgm:constr type="t" for="ch" forName="ParentAccent3" refType="h" fact="0.4506"/>
                  <dgm:constr type="w" for="ch" forName="ParentAccent3" refType="w" fact="0.0287"/>
                  <dgm:constr type="h" for="ch" forName="ParentAccent3" refType="h" fact="0.0988"/>
                  <dgm:constr type="r" for="ch" forName="ParentAccent4" refType="w" fact="0.1864"/>
                  <dgm:constr type="t" for="ch" forName="ParentAccent4" refType="h" fact="0.4506"/>
                  <dgm:constr type="w" for="ch" forName="ParentAccent4" refType="w" fact="0.0287"/>
                  <dgm:constr type="h" for="ch" forName="ParentAccent4" refType="h" fact="0.0988"/>
                  <dgm:constr type="r" for="ch" forName="ParentAccent5" refType="w" fact="0.239"/>
                  <dgm:constr type="t" for="ch" forName="ParentAccent5" refType="h" fact="0.4506"/>
                  <dgm:constr type="w" for="ch" forName="ParentAccent5" refType="w" fact="0.0287"/>
                  <dgm:constr type="h" for="ch" forName="ParentAccent5" refType="h" fact="0.0988"/>
                  <dgm:constr type="r" for="ch" forName="ParentAccent6" refType="w" fact="0.3203"/>
                  <dgm:constr type="t" for="ch" forName="ParentAccent6" refType="h" fact="0.4012"/>
                  <dgm:constr type="w" for="ch" forName="ParentAccent6" refType="w" fact="0.0574"/>
                  <dgm:constr type="h" for="ch" forName="ParentAccent6" refType="h" fact="0.1976"/>
                  <dgm:constr type="r" for="ch" forName="ParentAccent7" refType="w" fact="0.0755"/>
                  <dgm:constr type="t" for="ch" forName="ParentAccent7" refType="h" fact="0.2465"/>
                  <dgm:constr type="w" for="ch" forName="ParentAccent7" refType="w" fact="0.0287"/>
                  <dgm:constr type="h" for="ch" forName="ParentAccent7" refType="h" fact="0.0988"/>
                  <dgm:constr type="r" for="ch" forName="ParentAccent8" refType="w" fact="0.0755"/>
                  <dgm:constr type="t" for="ch" forName="ParentAccent8" refType="h" fact="0.6562"/>
                  <dgm:constr type="w" for="ch" forName="ParentAccent8" refType="w" fact="0.0287"/>
                  <dgm:constr type="h" for="ch" forName="ParentAccent8" refType="h" fact="0.0988"/>
                  <dgm:constr type="r" for="ch" forName="ParentAccent9" refType="w" fact="0.0499"/>
                  <dgm:constr type="t" for="ch" forName="ParentAccent9" refType="h" fact="0.3353"/>
                  <dgm:constr type="w" for="ch" forName="ParentAccent9" refType="w" fact="0.0287"/>
                  <dgm:constr type="h" for="ch" forName="ParentAccent9" refType="h" fact="0.0988"/>
                  <dgm:constr type="r" for="ch" forName="ParentAccent10" refType="w" fact="0.0482"/>
                  <dgm:constr type="t" for="ch" forName="ParentAccent10" refType="h" fact="0.5679"/>
                  <dgm:constr type="w" for="ch" forName="ParentAccent10" refType="w" fact="0.0287"/>
                  <dgm:constr type="h" for="ch" forName="ParentAccent10" refType="h" fact="0.0988"/>
                  <dgm:constr type="r" for="ch" forName="Child1" refType="w"/>
                  <dgm:constr type="t" for="ch" forName="Child1" refType="h" fact="0.1978"/>
                  <dgm:constr type="w" for="ch" forName="Child1" refType="w" fact="0.2544"/>
                  <dgm:constr type="h" for="ch" forName="Child1" refType="h" fact="0.2541"/>
                  <dgm:constr type="r" for="ch" forName="Parent" refType="w" fact="0.6347"/>
                  <dgm:constr type="t" for="ch" forName="Parent" refType="h" fact="0"/>
                  <dgm:constr type="w" for="ch" forName="Parent" refType="w" fact="0.2906"/>
                  <dgm:constr type="h" for="ch" forName="Parent" refType="h"/>
                </dgm:constrLst>
              </dgm:if>
              <dgm:if name="Name17" axis="ch" ptType="node" func="cnt" op="equ" val="2">
                <dgm:alg type="composite">
                  <dgm:param type="ar" val="2.1185"/>
                </dgm:alg>
                <dgm:constrLst>
                  <dgm:constr type="primFontSz" for="des" forName="Child1" val="65"/>
                  <dgm:constr type="primFontSz" for="des" forName="Child1" refType="primFontSz" refFor="des" refForName="Parent" op="lte"/>
                  <dgm:constr type="primFontSz" for="des" forName="Child2" refType="primFontSz" refFor="des" refForName="Parent" op="lte"/>
                  <dgm:constr type="primFontSz" for="des" forName="Child2" refType="primFontSz" refFor="des" refForName="Child1" op="equ"/>
                  <dgm:constr type="r" for="ch" forName="Child1Accent1" refType="w" fact="0.6564"/>
                  <dgm:constr type="t" for="ch" forName="Child1Accent1" refType="h" fact="0.2211"/>
                  <dgm:constr type="w" for="ch" forName="Child1Accent1" refType="w" fact="0.0574"/>
                  <dgm:constr type="h" for="ch" forName="Child1Accent1" refType="h" fact="0.1217"/>
                  <dgm:constr type="r" for="ch" forName="Child1Accent2" refType="w" fact="0.6932"/>
                  <dgm:constr type="t" for="ch" forName="Child1Accent2" refType="h" fact="0.1569"/>
                  <dgm:constr type="w" for="ch" forName="Child1Accent2" refType="w" fact="0.0287"/>
                  <dgm:constr type="h" for="ch" forName="Child1Accent2" refType="h" fact="0.0608"/>
                  <dgm:constr type="r" for="ch" forName="Child1Accent3" refType="w" fact="0.7545"/>
                  <dgm:constr type="t" for="ch" forName="Child1Accent3" refType="h" fact="0.1569"/>
                  <dgm:constr type="w" for="ch" forName="Child1Accent3" refType="w" fact="0.0287"/>
                  <dgm:constr type="h" for="ch" forName="Child1Accent3" refType="h" fact="0.0608"/>
                  <dgm:constr type="r" for="ch" forName="Child1Accent4" refType="w" fact="0.8158"/>
                  <dgm:constr type="t" for="ch" forName="Child1Accent4" refType="h" fact="0.1569"/>
                  <dgm:constr type="w" for="ch" forName="Child1Accent4" refType="w" fact="0.0287"/>
                  <dgm:constr type="h" for="ch" forName="Child1Accent4" refType="h" fact="0.0608"/>
                  <dgm:constr type="r" for="ch" forName="Child1Accent5" refType="w" fact="0.8771"/>
                  <dgm:constr type="t" for="ch" forName="Child1Accent5" refType="h" fact="0.1569"/>
                  <dgm:constr type="w" for="ch" forName="Child1Accent5" refType="w" fact="0.0287"/>
                  <dgm:constr type="h" for="ch" forName="Child1Accent5" refType="h" fact="0.0608"/>
                  <dgm:constr type="r" for="ch" forName="Child1Accent6" refType="w" fact="0.9385"/>
                  <dgm:constr type="t" for="ch" forName="Child1Accent6" refType="h" fact="0.1569"/>
                  <dgm:constr type="w" for="ch" forName="Child1Accent6" refType="w" fact="0.0287"/>
                  <dgm:constr type="h" for="ch" forName="Child1Accent6" refType="h" fact="0.0608"/>
                  <dgm:constr type="r" for="ch" forName="Child1Accent7" refType="w" fact="0.9998"/>
                  <dgm:constr type="t" for="ch" forName="Child1Accent7" refType="h" fact="0.1569"/>
                  <dgm:constr type="w" for="ch" forName="Child1Accent7" refType="w" fact="0.0287"/>
                  <dgm:constr type="h" for="ch" forName="Child1Accent7" refType="h" fact="0.0608"/>
                  <dgm:constr type="l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l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r" for="ch" forName="Child2Accent1" refType="w" fact="0.6564"/>
                  <dgm:constr type="t" for="ch" forName="Child2Accent1" refType="h" fact="0.8153"/>
                  <dgm:constr type="w" for="ch" forName="Child2Accent1" refType="w" fact="0.0574"/>
                  <dgm:constr type="h" for="ch" forName="Child2Accent1" refType="h" fact="0.1217"/>
                  <dgm:constr type="r" for="ch" forName="Child2Accent2" refType="w" fact="0.6932"/>
                  <dgm:constr type="t" for="ch" forName="Child2Accent2" refType="h" fact="0.9392"/>
                  <dgm:constr type="w" for="ch" forName="Child2Accent2" refType="w" fact="0.0287"/>
                  <dgm:constr type="h" for="ch" forName="Child2Accent2" refType="h" fact="0.0608"/>
                  <dgm:constr type="r" for="ch" forName="Child2Accent3" refType="w" fact="0.7545"/>
                  <dgm:constr type="t" for="ch" forName="Child2Accent3" refType="h" fact="0.9392"/>
                  <dgm:constr type="w" for="ch" forName="Child2Accent3" refType="w" fact="0.0287"/>
                  <dgm:constr type="h" for="ch" forName="Child2Accent3" refType="h" fact="0.0608"/>
                  <dgm:constr type="r" for="ch" forName="Child2Accent4" refType="w" fact="0.8158"/>
                  <dgm:constr type="t" for="ch" forName="Child2Accent4" refType="h" fact="0.9392"/>
                  <dgm:constr type="w" for="ch" forName="Child2Accent4" refType="w" fact="0.0287"/>
                  <dgm:constr type="h" for="ch" forName="Child2Accent4" refType="h" fact="0.0608"/>
                  <dgm:constr type="r" for="ch" forName="Child2Accent5" refType="w" fact="0.8771"/>
                  <dgm:constr type="t" for="ch" forName="Child2Accent5" refType="h" fact="0.9392"/>
                  <dgm:constr type="w" for="ch" forName="Child2Accent5" refType="w" fact="0.0287"/>
                  <dgm:constr type="h" for="ch" forName="Child2Accent5" refType="h" fact="0.0608"/>
                  <dgm:constr type="r" for="ch" forName="Child2Accent6" refType="w" fact="0.9385"/>
                  <dgm:constr type="t" for="ch" forName="Child2Accent6" refType="h" fact="0.9392"/>
                  <dgm:constr type="w" for="ch" forName="Child2Accent6" refType="w" fact="0.0287"/>
                  <dgm:constr type="h" for="ch" forName="Child2Accent6" refType="h" fact="0.0608"/>
                  <dgm:constr type="r" for="ch" forName="Child2Accent7" refType="w" fact="0.9998"/>
                  <dgm:constr type="t" for="ch" forName="Child2Accent7" refType="h" fact="0.9392"/>
                  <dgm:constr type="w" for="ch" forName="Child2Accent7" refType="w" fact="0.0287"/>
                  <dgm:constr type="h" for="ch" forName="Child2Accent7" refType="h" fact="0.0608"/>
                  <dgm:constr type="r" for="ch" forName="ParentAccent1" refType="w" fact="0.0287"/>
                  <dgm:constr type="t" for="ch" forName="ParentAccent1" refType="h" fact="0.5511"/>
                  <dgm:constr type="w" for="ch" forName="ParentAccent1" refType="w" fact="0.0287"/>
                  <dgm:constr type="h" for="ch" forName="ParentAccent1" refType="h" fact="0.0608"/>
                  <dgm:constr type="r" for="ch" forName="ParentAccent2" refType="w" fact="0.0813"/>
                  <dgm:constr type="t" for="ch" forName="ParentAccent2" refType="h" fact="0.5511"/>
                  <dgm:constr type="w" for="ch" forName="ParentAccent2" refType="w" fact="0.0287"/>
                  <dgm:constr type="h" for="ch" forName="ParentAccent2" refType="h" fact="0.0608"/>
                  <dgm:constr type="r" for="ch" forName="ParentAccent3" refType="w" fact="0.1339"/>
                  <dgm:constr type="t" for="ch" forName="ParentAccent3" refType="h" fact="0.5511"/>
                  <dgm:constr type="w" for="ch" forName="ParentAccent3" refType="w" fact="0.0287"/>
                  <dgm:constr type="h" for="ch" forName="ParentAccent3" refType="h" fact="0.0608"/>
                  <dgm:constr type="r" for="ch" forName="ParentAccent4" refType="w" fact="0.1864"/>
                  <dgm:constr type="t" for="ch" forName="ParentAccent4" refType="h" fact="0.5511"/>
                  <dgm:constr type="w" for="ch" forName="ParentAccent4" refType="w" fact="0.0287"/>
                  <dgm:constr type="h" for="ch" forName="ParentAccent4" refType="h" fact="0.0608"/>
                  <dgm:constr type="r" for="ch" forName="ParentAccent5" refType="w" fact="0.239"/>
                  <dgm:constr type="t" for="ch" forName="ParentAccent5" refType="h" fact="0.5511"/>
                  <dgm:constr type="w" for="ch" forName="ParentAccent5" refType="w" fact="0.0287"/>
                  <dgm:constr type="h" for="ch" forName="ParentAccent5" refType="h" fact="0.0608"/>
                  <dgm:constr type="r" for="ch" forName="ParentAccent6" refType="w" fact="0.3203"/>
                  <dgm:constr type="t" for="ch" forName="ParentAccent6" refType="h" fact="0.5207"/>
                  <dgm:constr type="w" for="ch" forName="ParentAccent6" refType="w" fact="0.0574"/>
                  <dgm:constr type="h" for="ch" forName="ParentAccent6" refType="h" fact="0.1217"/>
                  <dgm:constr type="r" for="ch" forName="ParentAccent7" refType="w" fact="0.0755"/>
                  <dgm:constr type="t" for="ch" forName="ParentAccent7" refType="h" fact="0.4255"/>
                  <dgm:constr type="w" for="ch" forName="ParentAccent7" refType="w" fact="0.0287"/>
                  <dgm:constr type="h" for="ch" forName="ParentAccent7" refType="h" fact="0.0608"/>
                  <dgm:constr type="r" for="ch" forName="ParentAccent8" refType="w" fact="0.0755"/>
                  <dgm:constr type="t" for="ch" forName="ParentAccent8" refType="h" fact="0.6776"/>
                  <dgm:constr type="w" for="ch" forName="ParentAccent8" refType="w" fact="0.0287"/>
                  <dgm:constr type="h" for="ch" forName="ParentAccent8" refType="h" fact="0.0608"/>
                  <dgm:constr type="r" for="ch" forName="ParentAccent9" refType="w" fact="0.0499"/>
                  <dgm:constr type="t" for="ch" forName="ParentAccent9" refType="h" fact="0.4801"/>
                  <dgm:constr type="w" for="ch" forName="ParentAccent9" refType="w" fact="0.0287"/>
                  <dgm:constr type="h" for="ch" forName="ParentAccent9" refType="h" fact="0.0608"/>
                  <dgm:constr type="r" for="ch" forName="ParentAccent10" refType="w" fact="0.0482"/>
                  <dgm:constr type="t" for="ch" forName="ParentAccent10" refType="h" fact="0.6233"/>
                  <dgm:constr type="w" for="ch" forName="ParentAccent10" refType="w" fact="0.0287"/>
                  <dgm:constr type="h" for="ch" forName="ParentAccent10" refType="h" fact="0.0608"/>
                  <dgm:constr type="r" for="ch" forName="Child2" refType="w"/>
                  <dgm:constr type="t" for="ch" forName="Child2" refType="h" fact="0.7822"/>
                  <dgm:constr type="w" for="ch" forName="Child2" refType="w" fact="0.3364"/>
                  <dgm:constr type="h" for="ch" forName="Child2" refType="h" fact="0.1564"/>
                  <dgm:constr type="r" for="ch" forName="Child1" refType="w"/>
                  <dgm:constr type="t" for="ch" forName="Child1" refType="h" fact="0"/>
                  <dgm:constr type="w" for="ch" forName="Child1" refType="w" fact="0.3364"/>
                  <dgm:constr type="h" for="ch" forName="Child1" refType="h" fact="0.1564"/>
                  <dgm:constr type="r" for="ch" forName="Parent" refType="w" fact="0.6347"/>
                  <dgm:constr type="t" for="ch" forName="Parent" refType="h" fact="0.2737"/>
                  <dgm:constr type="w" for="ch" forName="Parent" refType="w" fact="0.2906"/>
                  <dgm:constr type="h" for="ch" forName="Parent" refType="h" fact="0.6157"/>
                </dgm:constrLst>
              </dgm:if>
              <dgm:if name="Name18" axis="ch" ptType="node" func="cnt" op="equ" val="3">
                <dgm:alg type="composite">
                  <dgm:param type="ar" val="2.1185"/>
                </dgm:alg>
                <dgm:constrLst>
                  <dgm:constr type="primFontSz" for="des" forName="Child1" val="65"/>
                  <dgm:constr type="primFontSz" for="des" forName="Child1" refType="primFontSz" refFor="des" refForName="Parent" op="lte"/>
                  <dgm:constr type="primFontSz" for="des" forName="Child2" refType="primFontSz" refFor="des" refForName="Parent" op="lte"/>
                  <dgm:constr type="primFontSz" for="des" forName="Child3" refType="primFontSz" refFor="des" refForName="Parent" op="lte"/>
                  <dgm:constr type="primFontSz" for="des" forName="Child2" refType="primFontSz" refFor="des" refForName="Child1" op="equ"/>
                  <dgm:constr type="primFontSz" for="des" forName="Child3" refType="primFontSz" refFor="des" refForName="Child1" op="equ"/>
                  <dgm:constr type="r" for="ch" forName="Child1Accent1" refType="w" fact="0.6564"/>
                  <dgm:constr type="t" for="ch" forName="Child1Accent1" refType="h" fact="0.2211"/>
                  <dgm:constr type="w" for="ch" forName="Child1Accent1" refType="w" fact="0.0574"/>
                  <dgm:constr type="h" for="ch" forName="Child1Accent1" refType="h" fact="0.1217"/>
                  <dgm:constr type="r" for="ch" forName="Child1Accent2" refType="w" fact="0.6932"/>
                  <dgm:constr type="t" for="ch" forName="Child1Accent2" refType="h" fact="0.1569"/>
                  <dgm:constr type="w" for="ch" forName="Child1Accent2" refType="w" fact="0.0287"/>
                  <dgm:constr type="h" for="ch" forName="Child1Accent2" refType="h" fact="0.0608"/>
                  <dgm:constr type="r" for="ch" forName="Child1Accent3" refType="w" fact="0.7545"/>
                  <dgm:constr type="t" for="ch" forName="Child1Accent3" refType="h" fact="0.1569"/>
                  <dgm:constr type="w" for="ch" forName="Child1Accent3" refType="w" fact="0.0287"/>
                  <dgm:constr type="h" for="ch" forName="Child1Accent3" refType="h" fact="0.0608"/>
                  <dgm:constr type="r" for="ch" forName="Child1Accent4" refType="w" fact="0.8158"/>
                  <dgm:constr type="t" for="ch" forName="Child1Accent4" refType="h" fact="0.1569"/>
                  <dgm:constr type="w" for="ch" forName="Child1Accent4" refType="w" fact="0.0287"/>
                  <dgm:constr type="h" for="ch" forName="Child1Accent4" refType="h" fact="0.0608"/>
                  <dgm:constr type="r" for="ch" forName="Child1Accent5" refType="w" fact="0.8771"/>
                  <dgm:constr type="t" for="ch" forName="Child1Accent5" refType="h" fact="0.1569"/>
                  <dgm:constr type="w" for="ch" forName="Child1Accent5" refType="w" fact="0.0287"/>
                  <dgm:constr type="h" for="ch" forName="Child1Accent5" refType="h" fact="0.0608"/>
                  <dgm:constr type="r" for="ch" forName="Child1Accent6" refType="w" fact="0.9385"/>
                  <dgm:constr type="t" for="ch" forName="Child1Accent6" refType="h" fact="0.1569"/>
                  <dgm:constr type="w" for="ch" forName="Child1Accent6" refType="w" fact="0.0287"/>
                  <dgm:constr type="h" for="ch" forName="Child1Accent6" refType="h" fact="0.0608"/>
                  <dgm:constr type="r" for="ch" forName="Child1Accent7" refType="w" fact="0.9998"/>
                  <dgm:constr type="t" for="ch" forName="Child1Accent7" refType="h" fact="0.1569"/>
                  <dgm:constr type="w" for="ch" forName="Child1Accent7" refType="w" fact="0.0287"/>
                  <dgm:constr type="h" for="ch" forName="Child1Accent7" refType="h" fact="0.0608"/>
                  <dgm:constr type="r" for="ch" forName="Child1Accent8" refType="w" fact="0"/>
                  <dgm:constr type="t" for="ch" forName="Child1Accent8" refType="h" fact="0"/>
                  <dgm:constr type="w" for="ch" forName="Child1Accent8" refType="w" fact="0"/>
                  <dgm:constr type="h" for="ch" forName="Child1Accent8" refType="h" fact="0"/>
                  <dgm:constr type="r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r" for="ch" forName="Child2Accent1" refType="w" fact="0.716"/>
                  <dgm:constr type="t" for="ch" forName="Child2Accent1" refType="h" fact="0.5207"/>
                  <dgm:constr type="w" for="ch" forName="Child2Accent1" refType="w" fact="0.0574"/>
                  <dgm:constr type="h" for="ch" forName="Child2Accent1" refType="h" fact="0.1217"/>
                  <dgm:constr type="r" for="ch" forName="Child2Accent2" refType="w" fact="0.7728"/>
                  <dgm:constr type="t" for="ch" forName="Child2Accent2" refType="h" fact="0.5511"/>
                  <dgm:constr type="w" for="ch" forName="Child2Accent2" refType="w" fact="0.0287"/>
                  <dgm:constr type="h" for="ch" forName="Child2Accent2" refType="h" fact="0.0608"/>
                  <dgm:constr type="r" for="ch" forName="Child2Accent3" refType="w" fact="0.8295"/>
                  <dgm:constr type="t" for="ch" forName="Child2Accent3" refType="h" fact="0.5511"/>
                  <dgm:constr type="w" for="ch" forName="Child2Accent3" refType="w" fact="0.0287"/>
                  <dgm:constr type="h" for="ch" forName="Child2Accent3" refType="h" fact="0.0608"/>
                  <dgm:constr type="r" for="ch" forName="Child2Accent4" refType="w" fact="0.8863"/>
                  <dgm:constr type="t" for="ch" forName="Child2Accent4" refType="h" fact="0.5511"/>
                  <dgm:constr type="w" for="ch" forName="Child2Accent4" refType="w" fact="0.0287"/>
                  <dgm:constr type="h" for="ch" forName="Child2Accent4" refType="h" fact="0.0608"/>
                  <dgm:constr type="r" for="ch" forName="Child2Accent5" refType="w" fact="0.943"/>
                  <dgm:constr type="t" for="ch" forName="Child2Accent5" refType="h" fact="0.5511"/>
                  <dgm:constr type="w" for="ch" forName="Child2Accent5" refType="w" fact="0.0287"/>
                  <dgm:constr type="h" for="ch" forName="Child2Accent5" refType="h" fact="0.0608"/>
                  <dgm:constr type="r" for="ch" forName="Child2Accent6" refType="w" fact="0.9998"/>
                  <dgm:constr type="t" for="ch" forName="Child2Accent6" refType="h" fact="0.5511"/>
                  <dgm:constr type="w" for="ch" forName="Child2Accent6" refType="w" fact="0.0287"/>
                  <dgm:constr type="h" for="ch" forName="Child2Accent6" refType="h" fact="0.0608"/>
                  <dgm:constr type="r" for="ch" forName="Child2Accent7" refType="w" fact="0"/>
                  <dgm:constr type="t" for="ch" forName="Child2Accent7" refType="h" fact="0"/>
                  <dgm:constr type="w" for="ch" forName="Child2Accent7" refType="w" fact="0"/>
                  <dgm:constr type="h" for="ch" forName="Child2Accent7" refType="h" fact="0"/>
                  <dgm:constr type="r" for="ch" forName="Child3Accent1" refType="w" fact="0.6564"/>
                  <dgm:constr type="t" for="ch" forName="Child3Accent1" refType="h" fact="0.8153"/>
                  <dgm:constr type="w" for="ch" forName="Child3Accent1" refType="w" fact="0.0574"/>
                  <dgm:constr type="h" for="ch" forName="Child3Accent1" refType="h" fact="0.1217"/>
                  <dgm:constr type="r" for="ch" forName="Child3Accent2" refType="w" fact="0.6932"/>
                  <dgm:constr type="t" for="ch" forName="Child3Accent2" refType="h" fact="0.9392"/>
                  <dgm:constr type="w" for="ch" forName="Child3Accent2" refType="w" fact="0.0287"/>
                  <dgm:constr type="h" for="ch" forName="Child3Accent2" refType="h" fact="0.0608"/>
                  <dgm:constr type="r" for="ch" forName="Child3Accent3" refType="w" fact="0.7545"/>
                  <dgm:constr type="t" for="ch" forName="Child3Accent3" refType="h" fact="0.9392"/>
                  <dgm:constr type="w" for="ch" forName="Child3Accent3" refType="w" fact="0.0287"/>
                  <dgm:constr type="h" for="ch" forName="Child3Accent3" refType="h" fact="0.0608"/>
                  <dgm:constr type="r" for="ch" forName="Child3Accent4" refType="w" fact="0.8158"/>
                  <dgm:constr type="t" for="ch" forName="Child3Accent4" refType="h" fact="0.9392"/>
                  <dgm:constr type="w" for="ch" forName="Child3Accent4" refType="w" fact="0.0287"/>
                  <dgm:constr type="h" for="ch" forName="Child3Accent4" refType="h" fact="0.0608"/>
                  <dgm:constr type="r" for="ch" forName="Child3Accent5" refType="w" fact="0.8771"/>
                  <dgm:constr type="t" for="ch" forName="Child3Accent5" refType="h" fact="0.9392"/>
                  <dgm:constr type="w" for="ch" forName="Child3Accent5" refType="w" fact="0.0287"/>
                  <dgm:constr type="h" for="ch" forName="Child3Accent5" refType="h" fact="0.0608"/>
                  <dgm:constr type="r" for="ch" forName="Child3Accent6" refType="w" fact="0.9385"/>
                  <dgm:constr type="t" for="ch" forName="Child3Accent6" refType="h" fact="0.9392"/>
                  <dgm:constr type="w" for="ch" forName="Child3Accent6" refType="w" fact="0.0287"/>
                  <dgm:constr type="h" for="ch" forName="Child3Accent6" refType="h" fact="0.0608"/>
                  <dgm:constr type="r" for="ch" forName="Child3Accent7" refType="w" fact="0.9998"/>
                  <dgm:constr type="t" for="ch" forName="Child3Accent7" refType="h" fact="0.9392"/>
                  <dgm:constr type="w" for="ch" forName="Child3Accent7" refType="w" fact="0.0287"/>
                  <dgm:constr type="h" for="ch" forName="Child3Accent7" refType="h" fact="0.0608"/>
                  <dgm:constr type="r" for="ch" forName="ParentAccent1" refType="w" fact="0.0287"/>
                  <dgm:constr type="t" for="ch" forName="ParentAccent1" refType="h" fact="0.5511"/>
                  <dgm:constr type="w" for="ch" forName="ParentAccent1" refType="w" fact="0.0287"/>
                  <dgm:constr type="h" for="ch" forName="ParentAccent1" refType="h" fact="0.0608"/>
                  <dgm:constr type="r" for="ch" forName="ParentAccent2" refType="w" fact="0.0813"/>
                  <dgm:constr type="t" for="ch" forName="ParentAccent2" refType="h" fact="0.5511"/>
                  <dgm:constr type="w" for="ch" forName="ParentAccent2" refType="w" fact="0.0287"/>
                  <dgm:constr type="h" for="ch" forName="ParentAccent2" refType="h" fact="0.0608"/>
                  <dgm:constr type="r" for="ch" forName="ParentAccent3" refType="w" fact="0.1339"/>
                  <dgm:constr type="t" for="ch" forName="ParentAccent3" refType="h" fact="0.5511"/>
                  <dgm:constr type="w" for="ch" forName="ParentAccent3" refType="w" fact="0.0287"/>
                  <dgm:constr type="h" for="ch" forName="ParentAccent3" refType="h" fact="0.0608"/>
                  <dgm:constr type="r" for="ch" forName="ParentAccent4" refType="w" fact="0.1864"/>
                  <dgm:constr type="t" for="ch" forName="ParentAccent4" refType="h" fact="0.5511"/>
                  <dgm:constr type="w" for="ch" forName="ParentAccent4" refType="w" fact="0.0287"/>
                  <dgm:constr type="h" for="ch" forName="ParentAccent4" refType="h" fact="0.0608"/>
                  <dgm:constr type="r" for="ch" forName="ParentAccent5" refType="w" fact="0.239"/>
                  <dgm:constr type="t" for="ch" forName="ParentAccent5" refType="h" fact="0.5511"/>
                  <dgm:constr type="w" for="ch" forName="ParentAccent5" refType="w" fact="0.0287"/>
                  <dgm:constr type="h" for="ch" forName="ParentAccent5" refType="h" fact="0.0608"/>
                  <dgm:constr type="r" for="ch" forName="ParentAccent6" refType="w" fact="0.3203"/>
                  <dgm:constr type="t" for="ch" forName="ParentAccent6" refType="h" fact="0.5207"/>
                  <dgm:constr type="w" for="ch" forName="ParentAccent6" refType="w" fact="0.0574"/>
                  <dgm:constr type="h" for="ch" forName="ParentAccent6" refType="h" fact="0.1217"/>
                  <dgm:constr type="r" for="ch" forName="ParentAccent7" refType="w" fact="0.0755"/>
                  <dgm:constr type="t" for="ch" forName="ParentAccent7" refType="h" fact="0.4255"/>
                  <dgm:constr type="w" for="ch" forName="ParentAccent7" refType="w" fact="0.0287"/>
                  <dgm:constr type="h" for="ch" forName="ParentAccent7" refType="h" fact="0.0608"/>
                  <dgm:constr type="r" for="ch" forName="ParentAccent8" refType="w" fact="0.0755"/>
                  <dgm:constr type="t" for="ch" forName="ParentAccent8" refType="h" fact="0.6776"/>
                  <dgm:constr type="w" for="ch" forName="ParentAccent8" refType="w" fact="0.0287"/>
                  <dgm:constr type="h" for="ch" forName="ParentAccent8" refType="h" fact="0.0608"/>
                  <dgm:constr type="r" for="ch" forName="ParentAccent9" refType="w" fact="0.0499"/>
                  <dgm:constr type="t" for="ch" forName="ParentAccent9" refType="h" fact="0.4801"/>
                  <dgm:constr type="w" for="ch" forName="ParentAccent9" refType="w" fact="0.0287"/>
                  <dgm:constr type="h" for="ch" forName="ParentAccent9" refType="h" fact="0.0608"/>
                  <dgm:constr type="r" for="ch" forName="ParentAccent10" refType="w" fact="0.0482"/>
                  <dgm:constr type="t" for="ch" forName="ParentAccent10" refType="h" fact="0.6233"/>
                  <dgm:constr type="w" for="ch" forName="ParentAccent10" refType="w" fact="0.0287"/>
                  <dgm:constr type="h" for="ch" forName="ParentAccent10" refType="h" fact="0.0608"/>
                  <dgm:constr type="r" for="ch" forName="Child3" refType="w"/>
                  <dgm:constr type="t" for="ch" forName="Child3" refType="h" fact="0.7822"/>
                  <dgm:constr type="w" for="ch" forName="Child3" refType="w" fact="0.3364"/>
                  <dgm:constr type="h" for="ch" forName="Child3" refType="h" fact="0.1564"/>
                  <dgm:constr type="r" for="ch" forName="Child2" refType="w"/>
                  <dgm:constr type="t" for="ch" forName="Child2" refType="h" fact="0.3955"/>
                  <dgm:constr type="w" for="ch" forName="Child2" refType="w" fact="0.2544"/>
                  <dgm:constr type="h" for="ch" forName="Child2" refType="h" fact="0.1564"/>
                  <dgm:constr type="r" for="ch" forName="Child1" refType="w"/>
                  <dgm:constr type="t" for="ch" forName="Child1" refType="h" fact="0"/>
                  <dgm:constr type="w" for="ch" forName="Child1" refType="w" fact="0.3364"/>
                  <dgm:constr type="h" for="ch" forName="Child1" refType="h" fact="0.1564"/>
                  <dgm:constr type="r" for="ch" forName="Parent" refType="w" fact="0.6347"/>
                  <dgm:constr type="t" for="ch" forName="Parent" refType="h" fact="0.2737"/>
                  <dgm:constr type="w" for="ch" forName="Parent" refType="w" fact="0.2906"/>
                  <dgm:constr type="h" for="ch" forName="Parent" refType="h" fact="0.6157"/>
                </dgm:constrLst>
              </dgm:if>
              <dgm:if name="Name19" axis="ch" ptType="node" func="cnt" op="equ" val="4">
                <dgm:alg type="composite">
                  <dgm:param type="ar" val="1.8304"/>
                </dgm:alg>
                <dgm:constrLst>
                  <dgm:constr type="primFontSz" for="des" forName="Child1" val="65"/>
                  <dgm:constr type="primFontSz" for="des" forName="Child1" refType="primFontSz" refFor="des" refForName="Parent" op="lte"/>
                  <dgm:constr type="primFontSz" for="des" forName="Child2" refType="primFontSz" refFor="des" refForName="Parent" op="lte"/>
                  <dgm:constr type="primFontSz" for="des" forName="Child3" refType="primFontSz" refFor="des" refForName="Parent" op="lte"/>
                  <dgm:constr type="primFontSz" for="des" forName="Child4" refType="primFontSz" refFor="des" refForName="Parent" op="lte"/>
                  <dgm:constr type="primFontSz" for="des" forName="Child2" refType="primFontSz" refFor="des" refForName="Child1" op="equ"/>
                  <dgm:constr type="primFontSz" for="des" forName="Child3" refType="primFontSz" refFor="des" refForName="Child1" op="equ"/>
                  <dgm:constr type="primFontSz" for="des" forName="Child4" refType="primFontSz" refFor="des" refForName="Child1" op="equ"/>
                  <dgm:constr type="r" for="ch" forName="Parent" refType="w" fact="0.6229"/>
                  <dgm:constr type="t" for="ch" forName="Parent" refType="h" fact="0.2946"/>
                  <dgm:constr type="w" for="ch" forName="Parent" refType="w" fact="0.2862"/>
                  <dgm:constr type="h" for="ch" forName="Parent" refType="h" fact="0.5239"/>
                  <dgm:constr type="r" for="ch" forName="Child1Accent1" refType="w" fact="0.6096"/>
                  <dgm:constr type="t" for="ch" forName="Child1Accent1" refType="h" fact="0.2104"/>
                  <dgm:constr type="w" for="ch" forName="Child1Accent1" refType="w" fact="0.0566"/>
                  <dgm:constr type="h" for="ch" forName="Child1Accent1" refType="h" fact="0.1035"/>
                  <dgm:constr type="r" for="ch" forName="Child1Accent3" refType="w" fact="0.6999"/>
                  <dgm:constr type="t" for="ch" forName="Child1Accent3" refType="h" fact="0.128"/>
                  <dgm:constr type="w" for="ch" forName="Child1Accent3" refType="w" fact="0.0283"/>
                  <dgm:constr type="h" for="ch" forName="Child1Accent3" refType="h" fact="0.0518"/>
                  <dgm:constr type="r" for="ch" forName="Child1Accent4" refType="w" fact="0.7582"/>
                  <dgm:constr type="t" for="ch" forName="Child1Accent4" refType="h" fact="0.128"/>
                  <dgm:constr type="w" for="ch" forName="Child1Accent4" refType="w" fact="0.0283"/>
                  <dgm:constr type="h" for="ch" forName="Child1Accent4" refType="h" fact="0.0518"/>
                  <dgm:constr type="r" for="ch" forName="Child1Accent5" refType="w" fact="0.8165"/>
                  <dgm:constr type="t" for="ch" forName="Child1Accent5" refType="h" fact="0.128"/>
                  <dgm:constr type="w" for="ch" forName="Child1Accent5" refType="w" fact="0.0283"/>
                  <dgm:constr type="h" for="ch" forName="Child1Accent5" refType="h" fact="0.0518"/>
                  <dgm:constr type="r" for="ch" forName="Child1Accent6" refType="w" fact="0.8748"/>
                  <dgm:constr type="t" for="ch" forName="Child1Accent6" refType="h" fact="0.128"/>
                  <dgm:constr type="w" for="ch" forName="Child1Accent6" refType="w" fact="0.0283"/>
                  <dgm:constr type="h" for="ch" forName="Child1Accent6" refType="h" fact="0.0518"/>
                  <dgm:constr type="r" for="ch" forName="Child3Accent1" refType="w" fact="0.6842"/>
                  <dgm:constr type="t" for="ch" forName="Child3Accent1" refType="h" fact="0.6212"/>
                  <dgm:constr type="w" for="ch" forName="Child3Accent1" refType="w" fact="0.0566"/>
                  <dgm:constr type="h" for="ch" forName="Child3Accent1" refType="h" fact="0.1035"/>
                  <dgm:constr type="r" for="ch" forName="Child3Accent2" refType="w" fact="0.7311"/>
                  <dgm:constr type="t" for="ch" forName="Child3Accent2" refType="h" fact="0.6828"/>
                  <dgm:constr type="w" for="ch" forName="Child3Accent2" refType="w" fact="0.0283"/>
                  <dgm:constr type="h" for="ch" forName="Child3Accent2" refType="h" fact="0.0518"/>
                  <dgm:constr type="r" for="ch" forName="Child3Accent4" refType="w" fact="0.8386"/>
                  <dgm:constr type="t" for="ch" forName="Child3Accent4" refType="h" fact="0.6828"/>
                  <dgm:constr type="w" for="ch" forName="Child3Accent4" refType="w" fact="0.0283"/>
                  <dgm:constr type="h" for="ch" forName="Child3Accent4" refType="h" fact="0.0518"/>
                  <dgm:constr type="r" for="ch" forName="Child3Accent5" refType="w" fact="0.8923"/>
                  <dgm:constr type="t" for="ch" forName="Child3Accent5" refType="h" fact="0.6828"/>
                  <dgm:constr type="w" for="ch" forName="Child3Accent5" refType="w" fact="0.0283"/>
                  <dgm:constr type="h" for="ch" forName="Child3Accent5" refType="h" fact="0.0518"/>
                  <dgm:constr type="r" for="ch" forName="Child1Accent7" refType="w" fact="0.9332"/>
                  <dgm:constr type="t" for="ch" forName="Child1Accent7" refType="h" fact="0.128"/>
                  <dgm:constr type="w" for="ch" forName="Child1Accent7" refType="w" fact="0.0283"/>
                  <dgm:constr type="h" for="ch" forName="Child1Accent7" refType="h" fact="0.0518"/>
                  <dgm:constr type="r" for="ch" forName="Child3Accent6" refType="w" fact="0.9461"/>
                  <dgm:constr type="t" for="ch" forName="Child3Accent6" refType="h" fact="0.6828"/>
                  <dgm:constr type="w" for="ch" forName="Child3Accent6" refType="w" fact="0.0283"/>
                  <dgm:constr type="h" for="ch" forName="Child3Accent6" refType="h" fact="0.0518"/>
                  <dgm:constr type="r" for="ch" forName="Child1Accent8" refType="w" fact="0.9915"/>
                  <dgm:constr type="t" for="ch" forName="Child1Accent8" refType="h" fact="0.128"/>
                  <dgm:constr type="w" for="ch" forName="Child1Accent8" refType="w" fact="0.0283"/>
                  <dgm:constr type="h" for="ch" forName="Child1Accent8" refType="h" fact="0.0518"/>
                  <dgm:constr type="r" for="ch" forName="Child1Accent9" refType="w" fact="0"/>
                  <dgm:constr type="t" for="ch" forName="Child1Accent9" refType="h" fact="0"/>
                  <dgm:constr type="w" for="ch" forName="Child1Accent9" refType="w" fact="0"/>
                  <dgm:constr type="h" for="ch" forName="Child1Accent9" refType="h" fact="0"/>
                  <dgm:constr type="r" for="ch" forName="Child3Accent7" refType="w" fact="0.9998"/>
                  <dgm:constr type="t" for="ch" forName="Child3Accent7" refType="h" fact="0.6828"/>
                  <dgm:constr type="w" for="ch" forName="Child3Accent7" refType="w" fact="0.0283"/>
                  <dgm:constr type="h" for="ch" forName="Child3Accent7" refType="h" fact="0.0518"/>
                  <dgm:constr type="r" for="ch" forName="Child4Accent1" refType="w" fact="0.6096"/>
                  <dgm:constr type="t" for="ch" forName="Child4Accent1" refType="h" fact="0.8"/>
                  <dgm:constr type="w" for="ch" forName="Child4Accent1" refType="w" fact="0.0566"/>
                  <dgm:constr type="h" for="ch" forName="Child4Accent1" refType="h" fact="0.1035"/>
                  <dgm:constr type="r" for="ch" forName="Child4Accent3" refType="w" fact="0.7002"/>
                  <dgm:constr type="t" for="ch" forName="Child4Accent3" refType="h" fact="0.9482"/>
                  <dgm:constr type="w" for="ch" forName="Child4Accent3" refType="w" fact="0.0283"/>
                  <dgm:constr type="h" for="ch" forName="Child4Accent3" refType="h" fact="0.0518"/>
                  <dgm:constr type="r" for="ch" forName="Child4Accent4" refType="w" fact="0.7585"/>
                  <dgm:constr type="t" for="ch" forName="Child4Accent4" refType="h" fact="0.9482"/>
                  <dgm:constr type="w" for="ch" forName="Child4Accent4" refType="w" fact="0.0283"/>
                  <dgm:constr type="h" for="ch" forName="Child4Accent4" refType="h" fact="0.0518"/>
                  <dgm:constr type="r" for="ch" forName="Child4Accent5" refType="w" fact="0.8167"/>
                  <dgm:constr type="t" for="ch" forName="Child4Accent5" refType="h" fact="0.9482"/>
                  <dgm:constr type="w" for="ch" forName="Child4Accent5" refType="w" fact="0.0283"/>
                  <dgm:constr type="h" for="ch" forName="Child4Accent5" refType="h" fact="0.0518"/>
                  <dgm:constr type="r" for="ch" forName="Child4Accent6" refType="w" fact="0.8749"/>
                  <dgm:constr type="t" for="ch" forName="Child4Accent6" refType="h" fact="0.9482"/>
                  <dgm:constr type="w" for="ch" forName="Child4Accent6" refType="w" fact="0.0283"/>
                  <dgm:constr type="h" for="ch" forName="Child4Accent6" refType="h" fact="0.0518"/>
                  <dgm:constr type="r" for="ch" forName="Child4Accent7" refType="w" fact="0.9332"/>
                  <dgm:constr type="t" for="ch" forName="Child4Accent7" refType="h" fact="0.9482"/>
                  <dgm:constr type="w" for="ch" forName="Child4Accent7" refType="w" fact="0.0283"/>
                  <dgm:constr type="h" for="ch" forName="Child4Accent7" refType="h" fact="0.0518"/>
                  <dgm:constr type="r" for="ch" forName="Child4Accent8" refType="w" fact="0.9914"/>
                  <dgm:constr type="t" for="ch" forName="Child4Accent8" refType="h" fact="0.9482"/>
                  <dgm:constr type="w" for="ch" forName="Child4Accent8" refType="w" fact="0.0283"/>
                  <dgm:constr type="h" for="ch" forName="Child4Accent8" refType="h" fact="0.0518"/>
                  <dgm:constr type="r" for="ch" forName="Child2Accent1" refType="w" fact="0.6842"/>
                  <dgm:constr type="t" for="ch" forName="Child2Accent1" refType="h" fact="0.3725"/>
                  <dgm:constr type="w" for="ch" forName="Child2Accent1" refType="w" fact="0.0566"/>
                  <dgm:constr type="h" for="ch" forName="Child2Accent1" refType="h" fact="0.1035"/>
                  <dgm:constr type="r" for="ch" forName="Child4Accent2" refType="w" fact="0.642"/>
                  <dgm:constr type="t" for="ch" forName="Child4Accent2" refType="h" fact="0.8993"/>
                  <dgm:constr type="w" for="ch" forName="Child4Accent2" refType="w" fact="0.0283"/>
                  <dgm:constr type="h" for="ch" forName="Child4Accent2" refType="h" fact="0.0518"/>
                  <dgm:constr type="r" for="ch" forName="Child1Accent2" refType="w" fact="0.6415"/>
                  <dgm:constr type="t" for="ch" forName="Child1Accent2" refType="h" fact="0.162"/>
                  <dgm:constr type="w" for="ch" forName="Child1Accent2" refType="w" fact="0.0283"/>
                  <dgm:constr type="h" for="ch" forName="Child1Accent2" refType="h" fact="0.0518"/>
                  <dgm:constr type="r" for="ch" forName="Child3Accent3" refType="w" fact="0.7849"/>
                  <dgm:constr type="t" for="ch" forName="Child3Accent3" refType="h" fact="0.6828"/>
                  <dgm:constr type="w" for="ch" forName="Child3Accent3" refType="w" fact="0.0283"/>
                  <dgm:constr type="h" for="ch" forName="Child3Accent3" refType="h" fact="0.0518"/>
                  <dgm:constr type="r" for="ch" forName="Child2Accent2" refType="w" fact="0.7311"/>
                  <dgm:constr type="t" for="ch" forName="Child2Accent2" refType="h" fact="0.3937"/>
                  <dgm:constr type="w" for="ch" forName="Child2Accent2" refType="w" fact="0.0283"/>
                  <dgm:constr type="h" for="ch" forName="Child2Accent2" refType="h" fact="0.0518"/>
                  <dgm:constr type="r" for="ch" forName="Child2Accent4" refType="w" fact="0.8386"/>
                  <dgm:constr type="t" for="ch" forName="Child2Accent4" refType="h" fact="0.3937"/>
                  <dgm:constr type="w" for="ch" forName="Child2Accent4" refType="w" fact="0.0283"/>
                  <dgm:constr type="h" for="ch" forName="Child2Accent4" refType="h" fact="0.0518"/>
                  <dgm:constr type="r" for="ch" forName="Child2Accent5" refType="w" fact="0.8923"/>
                  <dgm:constr type="t" for="ch" forName="Child2Accent5" refType="h" fact="0.3937"/>
                  <dgm:constr type="w" for="ch" forName="Child2Accent5" refType="w" fact="0.0283"/>
                  <dgm:constr type="h" for="ch" forName="Child2Accent5" refType="h" fact="0.0518"/>
                  <dgm:constr type="r" for="ch" forName="Child2Accent6" refType="w" fact="0.9461"/>
                  <dgm:constr type="t" for="ch" forName="Child2Accent6" refType="h" fact="0.3937"/>
                  <dgm:constr type="w" for="ch" forName="Child2Accent6" refType="w" fact="0.0283"/>
                  <dgm:constr type="h" for="ch" forName="Child2Accent6" refType="h" fact="0.0518"/>
                  <dgm:constr type="r" for="ch" forName="Child2Accent7" refType="w" fact="0.9998"/>
                  <dgm:constr type="t" for="ch" forName="Child2Accent7" refType="h" fact="0.3937"/>
                  <dgm:constr type="w" for="ch" forName="Child2Accent7" refType="w" fact="0.0283"/>
                  <dgm:constr type="h" for="ch" forName="Child2Accent7" refType="h" fact="0.0518"/>
                  <dgm:constr type="r" for="ch" forName="Child2Accent3" refType="w" fact="0.7849"/>
                  <dgm:constr type="t" for="ch" forName="Child2Accent3" refType="h" fact="0.3937"/>
                  <dgm:constr type="w" for="ch" forName="Child2Accent3" refType="w" fact="0.0283"/>
                  <dgm:constr type="h" for="ch" forName="Child2Accent3" refType="h" fact="0.0518"/>
                  <dgm:constr type="r" for="ch" forName="ParentAccent1" refType="w" fact="0.0283"/>
                  <dgm:constr type="t" for="ch" forName="ParentAccent1" refType="h" fact="0.5316"/>
                  <dgm:constr type="w" for="ch" forName="ParentAccent1" refType="w" fact="0.0283"/>
                  <dgm:constr type="h" for="ch" forName="ParentAccent1" refType="h" fact="0.0518"/>
                  <dgm:constr type="r" for="ch" forName="ParentAccent2" refType="w" fact="0.0801"/>
                  <dgm:constr type="t" for="ch" forName="ParentAccent2" refType="h" fact="0.5316"/>
                  <dgm:constr type="w" for="ch" forName="ParentAccent2" refType="w" fact="0.0283"/>
                  <dgm:constr type="h" for="ch" forName="ParentAccent2" refType="h" fact="0.0518"/>
                  <dgm:constr type="r" for="ch" forName="ParentAccent3" refType="w" fact="0.1318"/>
                  <dgm:constr type="t" for="ch" forName="ParentAccent3" refType="h" fact="0.5316"/>
                  <dgm:constr type="w" for="ch" forName="ParentAccent3" refType="w" fact="0.0283"/>
                  <dgm:constr type="h" for="ch" forName="ParentAccent3" refType="h" fact="0.0518"/>
                  <dgm:constr type="r" for="ch" forName="ParentAccent4" refType="w" fact="0.1836"/>
                  <dgm:constr type="t" for="ch" forName="ParentAccent4" refType="h" fact="0.5316"/>
                  <dgm:constr type="w" for="ch" forName="ParentAccent4" refType="w" fact="0.0283"/>
                  <dgm:constr type="h" for="ch" forName="ParentAccent4" refType="h" fact="0.0518"/>
                  <dgm:constr type="r" for="ch" forName="ParentAccent5" refType="w" fact="0.2354"/>
                  <dgm:constr type="t" for="ch" forName="ParentAccent5" refType="h" fact="0.5316"/>
                  <dgm:constr type="w" for="ch" forName="ParentAccent5" refType="w" fact="0.0283"/>
                  <dgm:constr type="h" for="ch" forName="ParentAccent5" refType="h" fact="0.0518"/>
                  <dgm:constr type="r" for="ch" forName="ParentAccent6" refType="w" fact="0.3154"/>
                  <dgm:constr type="t" for="ch" forName="ParentAccent6" refType="h" fact="0.5057"/>
                  <dgm:constr type="w" for="ch" forName="ParentAccent6" refType="w" fact="0.0566"/>
                  <dgm:constr type="h" for="ch" forName="ParentAccent6" refType="h" fact="0.1035"/>
                  <dgm:constr type="r" for="ch" forName="ParentAccent7" refType="w" fact="0.0744"/>
                  <dgm:constr type="t" for="ch" forName="ParentAccent7" refType="h" fact="0.4247"/>
                  <dgm:constr type="w" for="ch" forName="ParentAccent7" refType="w" fact="0.0283"/>
                  <dgm:constr type="h" for="ch" forName="ParentAccent7" refType="h" fact="0.0518"/>
                  <dgm:constr type="r" for="ch" forName="ParentAccent8" refType="w" fact="0.0744"/>
                  <dgm:constr type="t" for="ch" forName="ParentAccent8" refType="h" fact="0.6392"/>
                  <dgm:constr type="w" for="ch" forName="ParentAccent8" refType="w" fact="0.0283"/>
                  <dgm:constr type="h" for="ch" forName="ParentAccent8" refType="h" fact="0.0518"/>
                  <dgm:constr type="r" for="ch" forName="ParentAccent9" refType="w" fact="0.0491"/>
                  <dgm:constr type="t" for="ch" forName="ParentAccent9" refType="h" fact="0.4712"/>
                  <dgm:constr type="w" for="ch" forName="ParentAccent9" refType="w" fact="0.0283"/>
                  <dgm:constr type="h" for="ch" forName="ParentAccent9" refType="h" fact="0.0518"/>
                  <dgm:constr type="r" for="ch" forName="ParentAccent10" refType="w" fact="0.0475"/>
                  <dgm:constr type="t" for="ch" forName="ParentAccent10" refType="h" fact="0.593"/>
                  <dgm:constr type="w" for="ch" forName="ParentAccent10" refType="w" fact="0.0283"/>
                  <dgm:constr type="h" for="ch" forName="ParentAccent10" refType="h" fact="0.0518"/>
                  <dgm:constr type="r" for="ch" forName="Child4" refType="w" fact="0.9919"/>
                  <dgm:constr type="t" for="ch" forName="Child4" refType="h" fact="0.8184"/>
                  <dgm:constr type="w" for="ch" forName="Child4" refType="w" fact="0.3192"/>
                  <dgm:constr type="h" for="ch" forName="Child4" refType="h" fact="0.1294"/>
                  <dgm:constr type="r" for="ch" forName="Child3" refType="w"/>
                  <dgm:constr type="t" for="ch" forName="Child3" refType="h" fact="0.5547"/>
                  <dgm:constr type="w" for="ch" forName="Child3" refType="w" fact="0.297"/>
                  <dgm:constr type="h" for="ch" forName="Child3" refType="h" fact="0.1294"/>
                  <dgm:constr type="r" for="ch" forName="Child2" refType="w"/>
                  <dgm:constr type="t" for="ch" forName="Child2" refType="h" fact="0.2662"/>
                  <dgm:constr type="w" for="ch" forName="Child2" refType="w" fact="0.297"/>
                  <dgm:constr type="h" for="ch" forName="Child2" refType="h" fact="0.1294"/>
                  <dgm:constr type="r" for="ch" forName="Child1" refType="w" fact="0.9919"/>
                  <dgm:constr type="t" for="ch" forName="Child1" refType="h" fact="0"/>
                  <dgm:constr type="w" for="ch" forName="Child1" refType="w" fact="0.3192"/>
                  <dgm:constr type="h" for="ch" forName="Child1" refType="h" fact="0.1294"/>
                </dgm:constrLst>
              </dgm:if>
              <dgm:else name="Name20">
                <dgm:alg type="composite">
                  <dgm:param type="ar" val="1.3278"/>
                </dgm:alg>
                <dgm:constrLst>
                  <dgm:constr type="primFontSz" for="des" forName="Child1" val="65"/>
                  <dgm:constr type="primFontSz" for="des" forName="Child1" refType="primFontSz" refFor="des" refForName="Parent" op="lte"/>
                  <dgm:constr type="primFontSz" for="des" forName="Child2" refType="primFontSz" refFor="des" refForName="Parent" op="lte"/>
                  <dgm:constr type="primFontSz" for="des" forName="Child3" refType="primFontSz" refFor="des" refForName="Parent" op="lte"/>
                  <dgm:constr type="primFontSz" for="des" forName="Child4" refType="primFontSz" refFor="des" refForName="Parent" op="lte"/>
                  <dgm:constr type="primFontSz" for="des" forName="Child5" refType="primFontSz" refFor="des" refForName="Parent" op="lte"/>
                  <dgm:constr type="primFontSz" for="des" forName="Child2" refType="primFontSz" refFor="des" refForName="Child1" op="equ"/>
                  <dgm:constr type="primFontSz" for="des" forName="Child3" refType="primFontSz" refFor="des" refForName="Child1" op="equ"/>
                  <dgm:constr type="primFontSz" for="des" forName="Child4" refType="primFontSz" refFor="des" refForName="Child1" op="equ"/>
                  <dgm:constr type="primFontSz" for="des" forName="Child5" refType="primFontSz" refFor="des" refForName="Child1" op="equ"/>
                  <dgm:constr type="r" for="ch" forName="Child2Accent1" refType="w" fact="0.6564"/>
                  <dgm:constr type="t" for="ch" forName="Child2Accent1" refType="h" fact="0.3184"/>
                  <dgm:constr type="w" for="ch" forName="Child2Accent1" refType="w" fact="0.0574"/>
                  <dgm:constr type="h" for="ch" forName="Child2Accent1" refType="h" fact="0.0763"/>
                  <dgm:constr type="r" for="ch" forName="Child2Accent2" refType="w" fact="0.6932"/>
                  <dgm:constr type="t" for="ch" forName="Child2Accent2" refType="h" fact="0.2781"/>
                  <dgm:constr type="w" for="ch" forName="Child2Accent2" refType="w" fact="0.0287"/>
                  <dgm:constr type="h" for="ch" forName="Child2Accent2" refType="h" fact="0.0381"/>
                  <dgm:constr type="r" for="ch" forName="Child2Accent3" refType="w" fact="0.7545"/>
                  <dgm:constr type="t" for="ch" forName="Child2Accent3" refType="h" fact="0.2781"/>
                  <dgm:constr type="w" for="ch" forName="Child2Accent3" refType="w" fact="0.0287"/>
                  <dgm:constr type="h" for="ch" forName="Child2Accent3" refType="h" fact="0.0381"/>
                  <dgm:constr type="r" for="ch" forName="Child2Accent4" refType="w" fact="0.8158"/>
                  <dgm:constr type="t" for="ch" forName="Child2Accent4" refType="h" fact="0.2781"/>
                  <dgm:constr type="w" for="ch" forName="Child2Accent4" refType="w" fact="0.0287"/>
                  <dgm:constr type="h" for="ch" forName="Child2Accent4" refType="h" fact="0.0381"/>
                  <dgm:constr type="r" for="ch" forName="Child2Accent5" refType="w" fact="0.8771"/>
                  <dgm:constr type="t" for="ch" forName="Child2Accent5" refType="h" fact="0.2781"/>
                  <dgm:constr type="w" for="ch" forName="Child2Accent5" refType="w" fact="0.0287"/>
                  <dgm:constr type="h" for="ch" forName="Child2Accent5" refType="h" fact="0.0381"/>
                  <dgm:constr type="r" for="ch" forName="Child2Accent6" refType="w" fact="0.9385"/>
                  <dgm:constr type="t" for="ch" forName="Child2Accent6" refType="h" fact="0.2781"/>
                  <dgm:constr type="w" for="ch" forName="Child2Accent6" refType="w" fact="0.0287"/>
                  <dgm:constr type="h" for="ch" forName="Child2Accent6" refType="h" fact="0.0381"/>
                  <dgm:constr type="r" for="ch" forName="Child2Accent7" refType="w" fact="0.9998"/>
                  <dgm:constr type="t" for="ch" forName="Child2Accent7" refType="h" fact="0.2781"/>
                  <dgm:constr type="w" for="ch" forName="Child2Accent7" refType="w" fact="0.0287"/>
                  <dgm:constr type="h" for="ch" forName="Child2Accent7" refType="h" fact="0.0381"/>
                  <dgm:constr type="r" for="ch" forName="Child3Accent1" refType="w" fact="0.716"/>
                  <dgm:constr type="t" for="ch" forName="Child3Accent1" refType="h" fact="0.5061"/>
                  <dgm:constr type="w" for="ch" forName="Child3Accent1" refType="w" fact="0.0574"/>
                  <dgm:constr type="h" for="ch" forName="Child3Accent1" refType="h" fact="0.0763"/>
                  <dgm:constr type="r" for="ch" forName="Child3Accent2" refType="w" fact="0.7728"/>
                  <dgm:constr type="t" for="ch" forName="Child3Accent2" refType="h" fact="0.5252"/>
                  <dgm:constr type="w" for="ch" forName="Child3Accent2" refType="w" fact="0.0287"/>
                  <dgm:constr type="h" for="ch" forName="Child3Accent2" refType="h" fact="0.0381"/>
                  <dgm:constr type="r" for="ch" forName="Child3Accent3" refType="w" fact="0.8295"/>
                  <dgm:constr type="t" for="ch" forName="Child3Accent3" refType="h" fact="0.5252"/>
                  <dgm:constr type="w" for="ch" forName="Child3Accent3" refType="w" fact="0.0287"/>
                  <dgm:constr type="h" for="ch" forName="Child3Accent3" refType="h" fact="0.0381"/>
                  <dgm:constr type="r" for="ch" forName="Child3Accent4" refType="w" fact="0.8863"/>
                  <dgm:constr type="t" for="ch" forName="Child3Accent4" refType="h" fact="0.5252"/>
                  <dgm:constr type="w" for="ch" forName="Child3Accent4" refType="w" fact="0.0287"/>
                  <dgm:constr type="h" for="ch" forName="Child3Accent4" refType="h" fact="0.0381"/>
                  <dgm:constr type="r" for="ch" forName="Child3Accent5" refType="w" fact="0.943"/>
                  <dgm:constr type="t" for="ch" forName="Child3Accent5" refType="h" fact="0.5252"/>
                  <dgm:constr type="w" for="ch" forName="Child3Accent5" refType="w" fact="0.0287"/>
                  <dgm:constr type="h" for="ch" forName="Child3Accent5" refType="h" fact="0.0381"/>
                  <dgm:constr type="r" for="ch" forName="Child3Accent6" refType="w" fact="0.9998"/>
                  <dgm:constr type="t" for="ch" forName="Child3Accent6" refType="h" fact="0.5252"/>
                  <dgm:constr type="w" for="ch" forName="Child3Accent6" refType="w" fact="0.0287"/>
                  <dgm:constr type="h" for="ch" forName="Child3Accent6" refType="h" fact="0.0381"/>
                  <dgm:constr type="r" for="ch" forName="Child3Accent7" refType="w" fact="0"/>
                  <dgm:constr type="t" for="ch" forName="Child3Accent7" refType="h" fact="0"/>
                  <dgm:constr type="w" for="ch" forName="Child3Accent7" refType="w" fact="0"/>
                  <dgm:constr type="h" for="ch" forName="Child3Accent7" refType="h" fact="0"/>
                  <dgm:constr type="r" for="ch" forName="Child4Accent1" refType="w" fact="0.6564"/>
                  <dgm:constr type="t" for="ch" forName="Child4Accent1" refType="h" fact="0.6908"/>
                  <dgm:constr type="w" for="ch" forName="Child4Accent1" refType="w" fact="0.0574"/>
                  <dgm:constr type="h" for="ch" forName="Child4Accent1" refType="h" fact="0.0763"/>
                  <dgm:constr type="r" for="ch" forName="Child4Accent2" refType="w" fact="0.6932"/>
                  <dgm:constr type="t" for="ch" forName="Child4Accent2" refType="h" fact="0.7684"/>
                  <dgm:constr type="w" for="ch" forName="Child4Accent2" refType="w" fact="0.0287"/>
                  <dgm:constr type="h" for="ch" forName="Child4Accent2" refType="h" fact="0.0381"/>
                  <dgm:constr type="r" for="ch" forName="Child4Accent3" refType="w" fact="0.7545"/>
                  <dgm:constr type="t" for="ch" forName="Child4Accent3" refType="h" fact="0.7684"/>
                  <dgm:constr type="w" for="ch" forName="Child4Accent3" refType="w" fact="0.0287"/>
                  <dgm:constr type="h" for="ch" forName="Child4Accent3" refType="h" fact="0.0381"/>
                  <dgm:constr type="r" for="ch" forName="Child4Accent4" refType="w" fact="0.8158"/>
                  <dgm:constr type="t" for="ch" forName="Child4Accent4" refType="h" fact="0.7684"/>
                  <dgm:constr type="w" for="ch" forName="Child4Accent4" refType="w" fact="0.0287"/>
                  <dgm:constr type="h" for="ch" forName="Child4Accent4" refType="h" fact="0.0381"/>
                  <dgm:constr type="r" for="ch" forName="Child4Accent5" refType="w" fact="0.8771"/>
                  <dgm:constr type="t" for="ch" forName="Child4Accent5" refType="h" fact="0.7684"/>
                  <dgm:constr type="w" for="ch" forName="Child4Accent5" refType="w" fact="0.0287"/>
                  <dgm:constr type="h" for="ch" forName="Child4Accent5" refType="h" fact="0.0381"/>
                  <dgm:constr type="r" for="ch" forName="Child4Accent6" refType="w" fact="0.9385"/>
                  <dgm:constr type="t" for="ch" forName="Child4Accent6" refType="h" fact="0.7684"/>
                  <dgm:constr type="w" for="ch" forName="Child4Accent6" refType="w" fact="0.0287"/>
                  <dgm:constr type="h" for="ch" forName="Child4Accent6" refType="h" fact="0.0381"/>
                  <dgm:constr type="r" for="ch" forName="Child4Accent7" refType="w" fact="0.9998"/>
                  <dgm:constr type="t" for="ch" forName="Child4Accent7" refType="h" fact="0.7684"/>
                  <dgm:constr type="w" for="ch" forName="Child4Accent7" refType="w" fact="0.0287"/>
                  <dgm:constr type="h" for="ch" forName="Child4Accent7" refType="h" fact="0.0381"/>
                  <dgm:constr type="r" for="ch" forName="Child4Accent8" refType="w" fact="0"/>
                  <dgm:constr type="t" for="ch" forName="Child4Accent8" refType="h" fact="0"/>
                  <dgm:constr type="w" for="ch" forName="Child4Accent8" refType="w" fact="0"/>
                  <dgm:constr type="h" for="ch" forName="Child4Accent8" refType="h" fact="0"/>
                  <dgm:constr type="r" for="ch" forName="ParentAccent1" refType="w" fact="0.0287"/>
                  <dgm:constr type="t" for="ch" forName="ParentAccent1" refType="h" fact="0.5252"/>
                  <dgm:constr type="w" for="ch" forName="ParentAccent1" refType="w" fact="0.0287"/>
                  <dgm:constr type="h" for="ch" forName="ParentAccent1" refType="h" fact="0.0381"/>
                  <dgm:constr type="r" for="ch" forName="ParentAccent2" refType="w" fact="0.0813"/>
                  <dgm:constr type="t" for="ch" forName="ParentAccent2" refType="h" fact="0.5252"/>
                  <dgm:constr type="w" for="ch" forName="ParentAccent2" refType="w" fact="0.0287"/>
                  <dgm:constr type="h" for="ch" forName="ParentAccent2" refType="h" fact="0.0381"/>
                  <dgm:constr type="r" for="ch" forName="ParentAccent3" refType="w" fact="0.1339"/>
                  <dgm:constr type="t" for="ch" forName="ParentAccent3" refType="h" fact="0.5252"/>
                  <dgm:constr type="w" for="ch" forName="ParentAccent3" refType="w" fact="0.0287"/>
                  <dgm:constr type="h" for="ch" forName="ParentAccent3" refType="h" fact="0.0381"/>
                  <dgm:constr type="r" for="ch" forName="ParentAccent4" refType="w" fact="0.1864"/>
                  <dgm:constr type="t" for="ch" forName="ParentAccent4" refType="h" fact="0.5252"/>
                  <dgm:constr type="w" for="ch" forName="ParentAccent4" refType="w" fact="0.0287"/>
                  <dgm:constr type="h" for="ch" forName="ParentAccent4" refType="h" fact="0.0381"/>
                  <dgm:constr type="r" for="ch" forName="ParentAccent5" refType="w" fact="0.239"/>
                  <dgm:constr type="t" for="ch" forName="ParentAccent5" refType="h" fact="0.5252"/>
                  <dgm:constr type="w" for="ch" forName="ParentAccent5" refType="w" fact="0.0287"/>
                  <dgm:constr type="h" for="ch" forName="ParentAccent5" refType="h" fact="0.0381"/>
                  <dgm:constr type="r" for="ch" forName="ParentAccent6" refType="w" fact="0.3203"/>
                  <dgm:constr type="t" for="ch" forName="ParentAccent6" refType="h" fact="0.5061"/>
                  <dgm:constr type="w" for="ch" forName="ParentAccent6" refType="w" fact="0.0574"/>
                  <dgm:constr type="h" for="ch" forName="ParentAccent6" refType="h" fact="0.0763"/>
                  <dgm:constr type="r" for="ch" forName="ParentAccent7" refType="w" fact="0.0755"/>
                  <dgm:constr type="t" for="ch" forName="ParentAccent7" refType="h" fact="0.4464"/>
                  <dgm:constr type="w" for="ch" forName="ParentAccent7" refType="w" fact="0.0287"/>
                  <dgm:constr type="h" for="ch" forName="ParentAccent7" refType="h" fact="0.0381"/>
                  <dgm:constr type="r" for="ch" forName="ParentAccent8" refType="w" fact="0.0755"/>
                  <dgm:constr type="t" for="ch" forName="ParentAccent8" refType="h" fact="0.6045"/>
                  <dgm:constr type="w" for="ch" forName="ParentAccent8" refType="w" fact="0.0287"/>
                  <dgm:constr type="h" for="ch" forName="ParentAccent8" refType="h" fact="0.0381"/>
                  <dgm:constr type="r" for="ch" forName="ParentAccent9" refType="w" fact="0.0499"/>
                  <dgm:constr type="t" for="ch" forName="ParentAccent9" refType="h" fact="0.4807"/>
                  <dgm:constr type="w" for="ch" forName="ParentAccent9" refType="w" fact="0.0287"/>
                  <dgm:constr type="h" for="ch" forName="ParentAccent9" refType="h" fact="0.0381"/>
                  <dgm:constr type="r" for="ch" forName="ParentAccent10" refType="w" fact="0.0482"/>
                  <dgm:constr type="t" for="ch" forName="ParentAccent10" refType="h" fact="0.5705"/>
                  <dgm:constr type="w" for="ch" forName="ParentAccent10" refType="w" fact="0.0287"/>
                  <dgm:constr type="h" for="ch" forName="ParentAccent10" refType="h" fact="0.0381"/>
                  <dgm:constr type="r" for="ch" forName="Child1Accent1" refType="w" fact="0.5181"/>
                  <dgm:constr type="t" for="ch" forName="Child1Accent1" refType="h" fact="0.2457"/>
                  <dgm:constr type="w" for="ch" forName="Child1Accent1" refType="w" fact="0.0574"/>
                  <dgm:constr type="h" for="ch" forName="Child1Accent1" refType="h" fact="0.0763"/>
                  <dgm:constr type="r" for="ch" forName="Child1Accent2" refType="w" fact="0.5542"/>
                  <dgm:constr type="t" for="ch" forName="Child1Accent2" refType="h" fact="0.2004"/>
                  <dgm:constr type="w" for="ch" forName="Child1Accent2" refType="w" fact="0.0287"/>
                  <dgm:constr type="h" for="ch" forName="Child1Accent2" refType="h" fact="0.0381"/>
                  <dgm:constr type="r" for="ch" forName="Child1Accent3" refType="w" fact="0.5946"/>
                  <dgm:constr type="t" for="ch" forName="Child1Accent3" refType="h" fact="0.1445"/>
                  <dgm:constr type="w" for="ch" forName="Child1Accent3" refType="w" fact="0.0287"/>
                  <dgm:constr type="h" for="ch" forName="Child1Accent3" refType="h" fact="0.0381"/>
                  <dgm:constr type="r" for="ch" forName="Child1Accent4" refType="w" fact="0.6347"/>
                  <dgm:constr type="t" for="ch" forName="Child1Accent4" refType="h" fact="0.097"/>
                  <dgm:constr type="w" for="ch" forName="Child1Accent4" refType="w" fact="0.0287"/>
                  <dgm:constr type="h" for="ch" forName="Child1Accent4" refType="h" fact="0.0381"/>
                  <dgm:constr type="r" for="ch" forName="Child1Accent5" refType="w" fact="0.696"/>
                  <dgm:constr type="t" for="ch" forName="Child1Accent5" refType="h" fact="0.097"/>
                  <dgm:constr type="w" for="ch" forName="Child1Accent5" refType="w" fact="0.0287"/>
                  <dgm:constr type="h" for="ch" forName="Child1Accent5" refType="h" fact="0.0381"/>
                  <dgm:constr type="r" for="ch" forName="Child1Accent6" refType="w" fact="0.7574"/>
                  <dgm:constr type="t" for="ch" forName="Child1Accent6" refType="h" fact="0.097"/>
                  <dgm:constr type="w" for="ch" forName="Child1Accent6" refType="w" fact="0.0287"/>
                  <dgm:constr type="h" for="ch" forName="Child1Accent6" refType="h" fact="0.0381"/>
                  <dgm:constr type="r" for="ch" forName="Child1Accent7" refType="w" fact="0.8187"/>
                  <dgm:constr type="t" for="ch" forName="Child1Accent7" refType="h" fact="0.097"/>
                  <dgm:constr type="w" for="ch" forName="Child1Accent7" refType="w" fact="0.0287"/>
                  <dgm:constr type="h" for="ch" forName="Child1Accent7" refType="h" fact="0.0381"/>
                  <dgm:constr type="r" for="ch" forName="Child1Accent8" refType="w" fact="0.88"/>
                  <dgm:constr type="t" for="ch" forName="Child1Accent8" refType="h" fact="0.097"/>
                  <dgm:constr type="w" for="ch" forName="Child1Accent8" refType="w" fact="0.0287"/>
                  <dgm:constr type="h" for="ch" forName="Child1Accent8" refType="h" fact="0.0381"/>
                  <dgm:constr type="r" for="ch" forName="Child1Accent9" refType="w" fact="0.9413"/>
                  <dgm:constr type="t" for="ch" forName="Child1Accent9" refType="h" fact="0.097"/>
                  <dgm:constr type="w" for="ch" forName="Child1Accent9" refType="w" fact="0.0287"/>
                  <dgm:constr type="h" for="ch" forName="Child1Accent9" refType="h" fact="0.0381"/>
                  <dgm:constr type="r" for="ch" forName="Child5Accent1" refType="w" fact="0.5181"/>
                  <dgm:constr type="t" for="ch" forName="Child5Accent1" refType="h" fact="0.7601"/>
                  <dgm:constr type="w" for="ch" forName="Child5Accent1" refType="w" fact="0.0574"/>
                  <dgm:constr type="h" for="ch" forName="Child5Accent1" refType="h" fact="0.0763"/>
                  <dgm:constr type="r" for="ch" forName="Child5Accent2" refType="w" fact="0.547"/>
                  <dgm:constr type="t" for="ch" forName="Child5Accent2" refType="h" fact="0.8375"/>
                  <dgm:constr type="w" for="ch" forName="Child5Accent2" refType="w" fact="0.0287"/>
                  <dgm:constr type="h" for="ch" forName="Child5Accent2" refType="h" fact="0.0381"/>
                  <dgm:constr type="r" for="ch" forName="Child5Accent3" refType="w" fact="0.5882"/>
                  <dgm:constr type="t" for="ch" forName="Child5Accent3" refType="h" fact="0.8991"/>
                  <dgm:constr type="w" for="ch" forName="Child5Accent3" refType="w" fact="0.0287"/>
                  <dgm:constr type="h" for="ch" forName="Child5Accent3" refType="h" fact="0.0381"/>
                  <dgm:constr type="r" for="ch" forName="Child5Accent4" refType="w" fact="0.6347"/>
                  <dgm:constr type="t" for="ch" forName="Child5Accent4" refType="h" fact="0.9619"/>
                  <dgm:constr type="w" for="ch" forName="Child5Accent4" refType="w" fact="0.0287"/>
                  <dgm:constr type="h" for="ch" forName="Child5Accent4" refType="h" fact="0.0381"/>
                  <dgm:constr type="r" for="ch" forName="Child5Accent5" refType="w" fact="0.696"/>
                  <dgm:constr type="t" for="ch" forName="Child5Accent5" refType="h" fact="0.9619"/>
                  <dgm:constr type="w" for="ch" forName="Child5Accent5" refType="w" fact="0.0287"/>
                  <dgm:constr type="h" for="ch" forName="Child5Accent5" refType="h" fact="0.0381"/>
                  <dgm:constr type="r" for="ch" forName="Child5Accent6" refType="w" fact="0.7574"/>
                  <dgm:constr type="t" for="ch" forName="Child5Accent6" refType="h" fact="0.9619"/>
                  <dgm:constr type="w" for="ch" forName="Child5Accent6" refType="w" fact="0.0287"/>
                  <dgm:constr type="h" for="ch" forName="Child5Accent6" refType="h" fact="0.0381"/>
                  <dgm:constr type="r" for="ch" forName="Child5Accent7" refType="w" fact="0.8187"/>
                  <dgm:constr type="t" for="ch" forName="Child5Accent7" refType="h" fact="0.9619"/>
                  <dgm:constr type="w" for="ch" forName="Child5Accent7" refType="w" fact="0.0287"/>
                  <dgm:constr type="h" for="ch" forName="Child5Accent7" refType="h" fact="0.0381"/>
                  <dgm:constr type="r" for="ch" forName="Child5Accent8" refType="w" fact="0.88"/>
                  <dgm:constr type="t" for="ch" forName="Child5Accent8" refType="h" fact="0.9619"/>
                  <dgm:constr type="w" for="ch" forName="Child5Accent8" refType="w" fact="0.0287"/>
                  <dgm:constr type="h" for="ch" forName="Child5Accent8" refType="h" fact="0.0381"/>
                  <dgm:constr type="r" for="ch" forName="Child5Accent9" refType="w" fact="0.9423"/>
                  <dgm:constr type="t" for="ch" forName="Child5Accent9" refType="h" fact="0.9619"/>
                  <dgm:constr type="w" for="ch" forName="Child5Accent9" refType="w" fact="0.0287"/>
                  <dgm:constr type="h" for="ch" forName="Child5Accent9" refType="h" fact="0.0381"/>
                  <dgm:constr type="r" for="ch" forName="Child5" refType="w" fact="0.9419"/>
                  <dgm:constr type="t" for="ch" forName="Child5" refType="h" fact="0.8635"/>
                  <dgm:constr type="w" for="ch" forName="Child5" refType="w" fact="0.3364"/>
                  <dgm:constr type="h" for="ch" forName="Child5" refType="h" fact="0.0981"/>
                  <dgm:constr type="r" for="ch" forName="Child4" refType="w"/>
                  <dgm:constr type="t" for="ch" forName="Child4" refType="h" fact="0.6701"/>
                  <dgm:constr type="w" for="ch" forName="Child4" refType="w" fact="0.3364"/>
                  <dgm:constr type="h" for="ch" forName="Child4" refType="h" fact="0.0981"/>
                  <dgm:constr type="r" for="ch" forName="Child3" refType="w"/>
                  <dgm:constr type="t" for="ch" forName="Child3" refType="h" fact="0.4276"/>
                  <dgm:constr type="w" for="ch" forName="Child3" refType="w" fact="0.2544"/>
                  <dgm:constr type="h" for="ch" forName="Child3" refType="h" fact="0.0981"/>
                  <dgm:constr type="r" for="ch" forName="Child2" refType="w"/>
                  <dgm:constr type="t" for="ch" forName="Child2" refType="h" fact="0.1798"/>
                  <dgm:constr type="w" for="ch" forName="Child2" refType="w" fact="0.3364"/>
                  <dgm:constr type="h" for="ch" forName="Child2" refType="h" fact="0.0981"/>
                  <dgm:constr type="r" for="ch" forName="Child1" refType="w" fact="0.9419"/>
                  <dgm:constr type="t" for="ch" forName="Child1" refType="h" fact="0"/>
                  <dgm:constr type="w" for="ch" forName="Child1" refType="w" fact="0.3364"/>
                  <dgm:constr type="h" for="ch" forName="Child1" refType="h" fact="0.0981"/>
                  <dgm:constr type="r" for="ch" forName="Parent" refType="w" fact="0.6347"/>
                  <dgm:constr type="t" for="ch" forName="Parent" refType="h" fact="0.3513"/>
                  <dgm:constr type="w" for="ch" forName="Parent" refType="w" fact="0.2906"/>
                  <dgm:constr type="h" for="ch" forName="Parent" refType="h" fact="0.3859"/>
                </dgm:constrLst>
              </dgm:else>
            </dgm:choose>
          </dgm:else>
        </dgm:choose>
        <dgm:layoutNode name="ParentAccent1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2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3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4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5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6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7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8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9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Accent10" styleLbl="alignNode1">
          <dgm:alg type="sp"/>
          <dgm:shape xmlns:r="http://schemas.openxmlformats.org/officeDocument/2006/relationships" type="ellipse" r:blip="">
            <dgm:adjLst/>
          </dgm:shape>
          <dgm:presOf/>
        </dgm:layoutNode>
        <dgm:layoutNode name="Parent" styleLbl="alignNode1">
          <dgm:varLst>
            <dgm:chMax val="5"/>
            <dgm:chPref val="3"/>
            <dgm:bulletEnabled val="1"/>
          </dgm:varLst>
          <dgm:alg type="tx"/>
          <dgm:shape xmlns:r="http://schemas.openxmlformats.org/officeDocument/2006/relationships" type="ellipse" r:blip="">
            <dgm:adjLst/>
          </dgm:shape>
          <dgm:presOf axis="self" ptType="node"/>
          <dgm:constrLst>
            <dgm:constr type="lMarg" refType="primFontSz" fact="0.1"/>
            <dgm:constr type="rMarg" refType="primFontSz" fact="0.1"/>
            <dgm:constr type="tMarg" refType="primFontSz" fact="0.1"/>
            <dgm:constr type="bMarg" refType="primFontSz" fact="0.1"/>
          </dgm:constrLst>
          <dgm:ruleLst>
            <dgm:rule type="primFontSz" val="5" fact="NaN" max="NaN"/>
          </dgm:ruleLst>
        </dgm:layoutNode>
        <dgm:forEach name="Name21" axis="ch" ptType="node" cnt="1">
          <dgm:layoutNode name="Child1Accent1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2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3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4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5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6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7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8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Accent9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1" styleLbl="revTx">
            <dgm:varLst>
              <dgm:chMax/>
              <dgm:chPref val="0"/>
              <dgm:bulletEnabled val="1"/>
            </dgm:varLst>
            <dgm:alg type="tx">
              <dgm:param type="parTxLTRAlign" val="l"/>
              <dgm:param type="txAnchorVert" val="b"/>
              <dgm:param type="txAnchorVertCh" val="b"/>
            </dgm:alg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"/>
              <dgm:constr type="rMarg" refType="primFontSz" fact="0"/>
              <dgm:constr type="tMarg" refType="primFontSz" fact="0"/>
              <dgm:constr type="bMarg" refType="primFontSz" fact="0"/>
            </dgm:constrLst>
            <dgm:ruleLst>
              <dgm:rule type="primFontSz" val="5" fact="NaN" max="NaN"/>
            </dgm:ruleLst>
          </dgm:layoutNode>
        </dgm:forEach>
        <dgm:forEach name="Name22" axis="ch" ptType="node" st="2" cnt="1">
          <dgm:layoutNode name="Child2Accent1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2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3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4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5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6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Accent7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2" styleLbl="revTx">
            <dgm:varLst>
              <dgm:chMax/>
              <dgm:chPref val="0"/>
              <dgm:bulletEnabled val="1"/>
            </dgm:varLst>
            <dgm:alg type="tx">
              <dgm:param type="parTxLTRAlign" val="l"/>
              <dgm:param type="txAnchorVert" val="b"/>
              <dgm:param type="txAnchorVertCh" val="b"/>
            </dgm:alg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"/>
              <dgm:constr type="rMarg" refType="primFontSz" fact="0"/>
              <dgm:constr type="tMarg" refType="primFontSz" fact="0"/>
              <dgm:constr type="bMarg" refType="primFontSz" fact="0"/>
            </dgm:constrLst>
            <dgm:ruleLst>
              <dgm:rule type="primFontSz" val="5" fact="NaN" max="NaN"/>
            </dgm:ruleLst>
          </dgm:layoutNode>
        </dgm:forEach>
        <dgm:forEach name="Name23" axis="ch" ptType="node" st="3" cnt="1">
          <dgm:layoutNode name="Child3Accent1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2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3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4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5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6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Accent7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3" styleLbl="revTx">
            <dgm:varLst>
              <dgm:chMax/>
              <dgm:chPref val="0"/>
              <dgm:bulletEnabled val="1"/>
            </dgm:varLst>
            <dgm:alg type="tx">
              <dgm:param type="parTxLTRAlign" val="l"/>
              <dgm:param type="txAnchorVert" val="b"/>
              <dgm:param type="txAnchorVertCh" val="b"/>
            </dgm:alg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"/>
              <dgm:constr type="rMarg" refType="primFontSz" fact="0"/>
              <dgm:constr type="tMarg" refType="primFontSz" fact="0"/>
              <dgm:constr type="bMarg" refType="primFontSz" fact="0"/>
            </dgm:constrLst>
            <dgm:ruleLst>
              <dgm:rule type="primFontSz" val="5" fact="NaN" max="NaN"/>
            </dgm:ruleLst>
          </dgm:layoutNode>
        </dgm:forEach>
        <dgm:forEach name="Name24" axis="ch" ptType="node" st="4" cnt="1">
          <dgm:layoutNode name="Child4Accent1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2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3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4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5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6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7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Accent8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4" styleLbl="revTx">
            <dgm:varLst>
              <dgm:chMax/>
              <dgm:chPref val="0"/>
              <dgm:bulletEnabled val="1"/>
            </dgm:varLst>
            <dgm:alg type="tx">
              <dgm:param type="parTxLTRAlign" val="l"/>
              <dgm:param type="txAnchorVert" val="b"/>
              <dgm:param type="txAnchorVertCh" val="b"/>
            </dgm:alg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"/>
              <dgm:constr type="rMarg" refType="primFontSz" fact="0"/>
              <dgm:constr type="tMarg" refType="primFontSz" fact="0"/>
              <dgm:constr type="bMarg" refType="primFontSz" fact="0"/>
            </dgm:constrLst>
            <dgm:ruleLst>
              <dgm:rule type="primFontSz" val="5" fact="NaN" max="NaN"/>
            </dgm:ruleLst>
          </dgm:layoutNode>
        </dgm:forEach>
        <dgm:forEach name="Name25" axis="ch" ptType="node" st="5" cnt="1">
          <dgm:layoutNode name="Child5Accent1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2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3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4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5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6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7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8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Accent9" styleLbl="alignNode1">
            <dgm:alg type="sp"/>
            <dgm:shape xmlns:r="http://schemas.openxmlformats.org/officeDocument/2006/relationships" type="ellipse" r:blip="">
              <dgm:adjLst/>
            </dgm:shape>
            <dgm:presOf/>
          </dgm:layoutNode>
          <dgm:layoutNode name="Child5" styleLbl="revTx">
            <dgm:varLst>
              <dgm:chMax/>
              <dgm:chPref val="0"/>
              <dgm:bulletEnabled val="1"/>
            </dgm:varLst>
            <dgm:alg type="tx">
              <dgm:param type="parTxLTRAlign" val="l"/>
              <dgm:param type="txAnchorVert" val="b"/>
              <dgm:param type="txAnchorVertCh" val="b"/>
            </dgm:alg>
            <dgm:shape xmlns:r="http://schemas.openxmlformats.org/officeDocument/2006/relationships" type="rect" r:blip="">
              <dgm:adjLst/>
            </dgm:shape>
            <dgm:presOf axis="desOrSelf" ptType="node"/>
            <dgm:constrLst>
              <dgm:constr type="lMarg" refType="primFontSz" fact="0"/>
              <dgm:constr type="rMarg" refType="primFontSz" fact="0"/>
              <dgm:constr type="tMarg" refType="primFontSz" fact="0"/>
              <dgm:constr type="bMarg" refType="primFontSz" fact="0"/>
            </dgm:constrLst>
            <dgm:ruleLst>
              <dgm:rule type="primFontSz" val="5" fact="NaN" max="NaN"/>
            </dgm:ruleLst>
          </dgm:layoutNode>
        </dgm:forEach>
      </dgm:layoutNode>
      <dgm:forEach name="sibTransForEach" axis="followSib" ptType="sibTrans" cnt="1">
        <dgm:layoutNode name="sibTrans">
          <dgm:alg type="sp"/>
          <dgm:shape xmlns:r="http://schemas.openxmlformats.org/officeDocument/2006/relationships" r:blip="">
            <dgm:adjLst/>
          </dgm:shap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diagramQuickStyle" Target="../diagrams/quickStyle1.xml"/><Relationship Id="rId3" Type="http://schemas.openxmlformats.org/officeDocument/2006/relationships/image" Target="../media/image4.png"/><Relationship Id="rId21" Type="http://schemas.openxmlformats.org/officeDocument/2006/relationships/image" Target="../media/image17.jpe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diagramLayout" Target="../diagrams/layout1.xml"/><Relationship Id="rId2" Type="http://schemas.openxmlformats.org/officeDocument/2006/relationships/image" Target="../media/image3.png"/><Relationship Id="rId16" Type="http://schemas.openxmlformats.org/officeDocument/2006/relationships/diagramData" Target="../diagrams/data1.xml"/><Relationship Id="rId20" Type="http://schemas.microsoft.com/office/2007/relationships/diagramDrawing" Target="../diagrams/drawing1.xml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diagramColors" Target="../diagrams/colors1.xml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jpeg"/><Relationship Id="rId22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1887028</xdr:colOff>
      <xdr:row>2</xdr:row>
      <xdr:rowOff>161745</xdr:rowOff>
    </xdr:from>
    <xdr:to>
      <xdr:col>2</xdr:col>
      <xdr:colOff>4316441</xdr:colOff>
      <xdr:row>4</xdr:row>
      <xdr:rowOff>496018</xdr:rowOff>
    </xdr:to>
    <xdr:pic>
      <xdr:nvPicPr>
        <xdr:cNvPr id="5" name="Picture 4" descr="https://ci6.googleusercontent.com/proxy/_naBvNIkIz-v7HB7iOoqR2l8LTzgHxzPBpzMYq1POpVbMBYazmB6PvThwXtTSfeneq7isVXeL5MmzSGSZlLjaIDPkjxViVRr6A=s0-d-e1-ft#https://email.gov.in/videos/images/SAIL-images/new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5378" y="539151"/>
          <a:ext cx="2429413" cy="1897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639370</xdr:colOff>
      <xdr:row>1</xdr:row>
      <xdr:rowOff>60892</xdr:rowOff>
    </xdr:from>
    <xdr:to>
      <xdr:col>4</xdr:col>
      <xdr:colOff>944847</xdr:colOff>
      <xdr:row>4</xdr:row>
      <xdr:rowOff>101489</xdr:rowOff>
    </xdr:to>
    <xdr:pic>
      <xdr:nvPicPr>
        <xdr:cNvPr id="5" name="Picture 4" descr="https://ci6.googleusercontent.com/proxy/_naBvNIkIz-v7HB7iOoqR2l8LTzgHxzPBpzMYq1POpVbMBYazmB6PvThwXtTSfeneq7isVXeL5MmzSGSZlLjaIDPkjxViVRr6A=s0-d-e1-ft#https://email.gov.in/videos/images/SAIL-images/new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20382" y="274016"/>
          <a:ext cx="1431985" cy="1045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3686993</xdr:colOff>
      <xdr:row>3</xdr:row>
      <xdr:rowOff>44731</xdr:rowOff>
    </xdr:from>
    <xdr:to>
      <xdr:col>1</xdr:col>
      <xdr:colOff>4865055</xdr:colOff>
      <xdr:row>4</xdr:row>
      <xdr:rowOff>454483</xdr:rowOff>
    </xdr:to>
    <xdr:pic>
      <xdr:nvPicPr>
        <xdr:cNvPr id="4" name="Picture 3" descr="https://ci6.googleusercontent.com/proxy/_naBvNIkIz-v7HB7iOoqR2l8LTzgHxzPBpzMYq1POpVbMBYazmB6PvThwXtTSfeneq7isVXeL5MmzSGSZlLjaIDPkjxViVRr6A=s0-d-e1-ft#https://email.gov.in/videos/images/SAIL-images/new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0326" y="595064"/>
          <a:ext cx="1178062" cy="10447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19808</xdr:colOff>
      <xdr:row>18</xdr:row>
      <xdr:rowOff>353787</xdr:rowOff>
    </xdr:from>
    <xdr:to>
      <xdr:col>17</xdr:col>
      <xdr:colOff>512883</xdr:colOff>
      <xdr:row>28</xdr:row>
      <xdr:rowOff>462644</xdr:rowOff>
    </xdr:to>
    <xdr:pic>
      <xdr:nvPicPr>
        <xdr:cNvPr id="2" name="Picture 1" descr="C:\Users\SAIL-ISP\Desktop\flow chart\Blast_furnaces_flows.svg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3879" y="4572001"/>
          <a:ext cx="175854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297515</xdr:colOff>
      <xdr:row>22</xdr:row>
      <xdr:rowOff>116854</xdr:rowOff>
    </xdr:from>
    <xdr:to>
      <xdr:col>20</xdr:col>
      <xdr:colOff>377337</xdr:colOff>
      <xdr:row>25</xdr:row>
      <xdr:rowOff>19698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1522361" y="6139585"/>
          <a:ext cx="2146014" cy="694151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rgbClr val="C00000"/>
              </a:solidFill>
            </a:rPr>
            <a:t>PIG CASTING M/C</a:t>
          </a:r>
        </a:p>
      </xdr:txBody>
    </xdr:sp>
    <xdr:clientData/>
  </xdr:twoCellAnchor>
  <xdr:twoCellAnchor editAs="oneCell">
    <xdr:from>
      <xdr:col>20</xdr:col>
      <xdr:colOff>370829</xdr:colOff>
      <xdr:row>21</xdr:row>
      <xdr:rowOff>167528</xdr:rowOff>
    </xdr:from>
    <xdr:to>
      <xdr:col>22</xdr:col>
      <xdr:colOff>93394</xdr:colOff>
      <xdr:row>23</xdr:row>
      <xdr:rowOff>168864</xdr:rowOff>
    </xdr:to>
    <xdr:pic>
      <xdr:nvPicPr>
        <xdr:cNvPr id="7" name="Picture 6" descr="C:\Users\SAIL-ISP\Desktop\flow chart\images.png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8598" y="5897182"/>
          <a:ext cx="513873" cy="55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480724</xdr:colOff>
      <xdr:row>14</xdr:row>
      <xdr:rowOff>29309</xdr:rowOff>
    </xdr:from>
    <xdr:to>
      <xdr:col>25</xdr:col>
      <xdr:colOff>58615</xdr:colOff>
      <xdr:row>17</xdr:row>
      <xdr:rowOff>211965</xdr:rowOff>
    </xdr:to>
    <xdr:pic>
      <xdr:nvPicPr>
        <xdr:cNvPr id="16" name="Picture 15" descr="C:\Users\SAIL-ISP\Desktop\flow chart\convertor2_image_w700.png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2032" y="967155"/>
          <a:ext cx="1043275" cy="944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556846</xdr:colOff>
      <xdr:row>18</xdr:row>
      <xdr:rowOff>293077</xdr:rowOff>
    </xdr:from>
    <xdr:to>
      <xdr:col>25</xdr:col>
      <xdr:colOff>43962</xdr:colOff>
      <xdr:row>21</xdr:row>
      <xdr:rowOff>199698</xdr:rowOff>
    </xdr:to>
    <xdr:pic>
      <xdr:nvPicPr>
        <xdr:cNvPr id="17" name="Picture 16" descr="C:\Users\SAIL-ISP\Desktop\flow chart\convertor2_image_w700.png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88154" y="2168769"/>
          <a:ext cx="952500" cy="991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556846</xdr:colOff>
      <xdr:row>23</xdr:row>
      <xdr:rowOff>1</xdr:rowOff>
    </xdr:from>
    <xdr:to>
      <xdr:col>25</xdr:col>
      <xdr:colOff>29307</xdr:colOff>
      <xdr:row>27</xdr:row>
      <xdr:rowOff>14313</xdr:rowOff>
    </xdr:to>
    <xdr:pic>
      <xdr:nvPicPr>
        <xdr:cNvPr id="18" name="Picture 17" descr="C:\Users\SAIL-ISP\Desktop\flow chart\convertor2_image_w700.png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88154" y="3487616"/>
          <a:ext cx="937845" cy="1010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584067</xdr:colOff>
      <xdr:row>14</xdr:row>
      <xdr:rowOff>199206</xdr:rowOff>
    </xdr:from>
    <xdr:to>
      <xdr:col>26</xdr:col>
      <xdr:colOff>598645</xdr:colOff>
      <xdr:row>17</xdr:row>
      <xdr:rowOff>223465</xdr:rowOff>
    </xdr:to>
    <xdr:pic>
      <xdr:nvPicPr>
        <xdr:cNvPr id="20" name="Picture 19" descr="C:\Users\SAIL-ISP\Desktop\flow chart\scm_p3.png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0759" y="1137052"/>
          <a:ext cx="630039" cy="786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602888</xdr:colOff>
      <xdr:row>19</xdr:row>
      <xdr:rowOff>87923</xdr:rowOff>
    </xdr:from>
    <xdr:to>
      <xdr:col>27</xdr:col>
      <xdr:colOff>6485</xdr:colOff>
      <xdr:row>21</xdr:row>
      <xdr:rowOff>290145</xdr:rowOff>
    </xdr:to>
    <xdr:pic>
      <xdr:nvPicPr>
        <xdr:cNvPr id="21" name="Picture 20" descr="C:\Users\SAIL-ISP\Desktop\flow chart\scm_p3.png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9580" y="2344615"/>
          <a:ext cx="634520" cy="9056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585420</xdr:colOff>
      <xdr:row>23</xdr:row>
      <xdr:rowOff>230714</xdr:rowOff>
    </xdr:from>
    <xdr:to>
      <xdr:col>26</xdr:col>
      <xdr:colOff>607619</xdr:colOff>
      <xdr:row>27</xdr:row>
      <xdr:rowOff>3764</xdr:rowOff>
    </xdr:to>
    <xdr:pic>
      <xdr:nvPicPr>
        <xdr:cNvPr id="22" name="Picture 21" descr="C:\Users\SAIL-ISP\Desktop\flow chart\scm_p3.png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82112" y="3718329"/>
          <a:ext cx="637660" cy="769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70919</xdr:colOff>
      <xdr:row>19</xdr:row>
      <xdr:rowOff>209467</xdr:rowOff>
    </xdr:from>
    <xdr:to>
      <xdr:col>30</xdr:col>
      <xdr:colOff>578859</xdr:colOff>
      <xdr:row>20</xdr:row>
      <xdr:rowOff>234341</xdr:rowOff>
    </xdr:to>
    <xdr:pic>
      <xdr:nvPicPr>
        <xdr:cNvPr id="25" name="Picture 24" descr="C:\Users\SAIL-ISP\Desktop\flow chart\billet.png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7526" y="2277753"/>
          <a:ext cx="507940" cy="419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30</xdr:col>
      <xdr:colOff>307729</xdr:colOff>
      <xdr:row>18</xdr:row>
      <xdr:rowOff>29308</xdr:rowOff>
    </xdr:from>
    <xdr:to>
      <xdr:col>32</xdr:col>
      <xdr:colOff>556844</xdr:colOff>
      <xdr:row>19</xdr:row>
      <xdr:rowOff>300158</xdr:rowOff>
    </xdr:to>
    <xdr:sp macro="" textlink="">
      <xdr:nvSpPr>
        <xdr:cNvPr id="27" name="Arrow: Left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 flipH="1">
          <a:off x="20075767" y="2608385"/>
          <a:ext cx="2710962" cy="651850"/>
        </a:xfrm>
        <a:prstGeom prst="leftArrow">
          <a:avLst>
            <a:gd name="adj1" fmla="val 50000"/>
            <a:gd name="adj2" fmla="val 39474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rgbClr val="C00000"/>
              </a:solidFill>
              <a:latin typeface="Aharoni" panose="02010803020104030203" pitchFamily="2" charset="-79"/>
              <a:cs typeface="Aharoni" panose="02010803020104030203" pitchFamily="2" charset="-79"/>
            </a:rPr>
            <a:t>WIRE ROD MILL</a:t>
          </a:r>
        </a:p>
      </xdr:txBody>
    </xdr:sp>
    <xdr:clientData/>
  </xdr:twoCellAnchor>
  <xdr:twoCellAnchor>
    <xdr:from>
      <xdr:col>30</xdr:col>
      <xdr:colOff>439269</xdr:colOff>
      <xdr:row>20</xdr:row>
      <xdr:rowOff>149678</xdr:rowOff>
    </xdr:from>
    <xdr:to>
      <xdr:col>32</xdr:col>
      <xdr:colOff>503464</xdr:colOff>
      <xdr:row>23</xdr:row>
      <xdr:rowOff>320</xdr:rowOff>
    </xdr:to>
    <xdr:sp macro="" textlink="">
      <xdr:nvSpPr>
        <xdr:cNvPr id="28" name="Arrow: Left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 flipH="1">
          <a:off x="20207307" y="3505409"/>
          <a:ext cx="2526042" cy="685911"/>
        </a:xfrm>
        <a:prstGeom prst="left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lvl="0" algn="ctr"/>
          <a:r>
            <a:rPr lang="en-IN" sz="1400" b="1">
              <a:solidFill>
                <a:srgbClr val="C00000"/>
              </a:solidFill>
              <a:latin typeface="Aharoni" panose="02010803020104030203" pitchFamily="2" charset="-79"/>
              <a:cs typeface="Aharoni" panose="02010803020104030203" pitchFamily="2" charset="-79"/>
            </a:rPr>
            <a:t>BAR MILL</a:t>
          </a:r>
        </a:p>
      </xdr:txBody>
    </xdr:sp>
    <xdr:clientData/>
  </xdr:twoCellAnchor>
  <xdr:twoCellAnchor editAs="oneCell">
    <xdr:from>
      <xdr:col>33</xdr:col>
      <xdr:colOff>18649</xdr:colOff>
      <xdr:row>18</xdr:row>
      <xdr:rowOff>90526</xdr:rowOff>
    </xdr:from>
    <xdr:to>
      <xdr:col>33</xdr:col>
      <xdr:colOff>588724</xdr:colOff>
      <xdr:row>19</xdr:row>
      <xdr:rowOff>181688</xdr:rowOff>
    </xdr:to>
    <xdr:pic>
      <xdr:nvPicPr>
        <xdr:cNvPr id="29" name="Picture 28" descr="C:\Users\SAIL-ISP\Desktop\flow chart\download.png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52220" y="1777812"/>
          <a:ext cx="570075" cy="472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90448</xdr:colOff>
      <xdr:row>20</xdr:row>
      <xdr:rowOff>112458</xdr:rowOff>
    </xdr:from>
    <xdr:to>
      <xdr:col>34</xdr:col>
      <xdr:colOff>11057</xdr:colOff>
      <xdr:row>22</xdr:row>
      <xdr:rowOff>174060</xdr:rowOff>
    </xdr:to>
    <xdr:pic>
      <xdr:nvPicPr>
        <xdr:cNvPr id="30" name="Picture 29" descr="C:\Users\SAIL-ISP\Desktop\flow chart\bars.png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24019" y="2684208"/>
          <a:ext cx="532930" cy="676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447802</xdr:colOff>
      <xdr:row>18</xdr:row>
      <xdr:rowOff>376895</xdr:rowOff>
    </xdr:from>
    <xdr:to>
      <xdr:col>9</xdr:col>
      <xdr:colOff>483577</xdr:colOff>
      <xdr:row>19</xdr:row>
      <xdr:rowOff>385064</xdr:rowOff>
    </xdr:to>
    <xdr:pic>
      <xdr:nvPicPr>
        <xdr:cNvPr id="32" name="Picture 31" descr="C:\Users\SAIL-ISP\Desktop\flow chart\images (4).png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994" y="2955972"/>
          <a:ext cx="915005" cy="389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100852</xdr:colOff>
      <xdr:row>4</xdr:row>
      <xdr:rowOff>141194</xdr:rowOff>
    </xdr:from>
    <xdr:to>
      <xdr:col>14</xdr:col>
      <xdr:colOff>468924</xdr:colOff>
      <xdr:row>7</xdr:row>
      <xdr:rowOff>55210</xdr:rowOff>
    </xdr:to>
    <xdr:pic>
      <xdr:nvPicPr>
        <xdr:cNvPr id="35" name="Picture 34" descr="C:\Users\SAIL-ISP\Desktop\flow chart\coke oven battery.png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3660" y="141194"/>
          <a:ext cx="1598994" cy="617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209594</xdr:colOff>
      <xdr:row>4</xdr:row>
      <xdr:rowOff>168735</xdr:rowOff>
    </xdr:from>
    <xdr:to>
      <xdr:col>21</xdr:col>
      <xdr:colOff>285317</xdr:colOff>
      <xdr:row>7</xdr:row>
      <xdr:rowOff>44986</xdr:rowOff>
    </xdr:to>
    <xdr:pic>
      <xdr:nvPicPr>
        <xdr:cNvPr id="36" name="Picture 35" descr="C:\Users\SAIL-ISP\Desktop\flow chart\coke oven battery.png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748" y="1443620"/>
          <a:ext cx="1716953" cy="5796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644768</xdr:colOff>
      <xdr:row>6</xdr:row>
      <xdr:rowOff>14654</xdr:rowOff>
    </xdr:from>
    <xdr:to>
      <xdr:col>18</xdr:col>
      <xdr:colOff>123264</xdr:colOff>
      <xdr:row>7</xdr:row>
      <xdr:rowOff>112059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10858499" y="483577"/>
          <a:ext cx="2218765" cy="331867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C00000"/>
              </a:solidFill>
            </a:rPr>
            <a:t>BF COKE+ NUT COKE</a:t>
          </a:r>
        </a:p>
      </xdr:txBody>
    </xdr:sp>
    <xdr:clientData/>
  </xdr:twoCellAnchor>
  <xdr:twoCellAnchor>
    <xdr:from>
      <xdr:col>16</xdr:col>
      <xdr:colOff>190499</xdr:colOff>
      <xdr:row>7</xdr:row>
      <xdr:rowOff>156881</xdr:rowOff>
    </xdr:from>
    <xdr:to>
      <xdr:col>16</xdr:col>
      <xdr:colOff>322384</xdr:colOff>
      <xdr:row>18</xdr:row>
      <xdr:rowOff>175845</xdr:rowOff>
    </xdr:to>
    <xdr:sp macro="" textlink="">
      <xdr:nvSpPr>
        <xdr:cNvPr id="38" name="Arrow: Down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11723076" y="860266"/>
          <a:ext cx="131885" cy="1191271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146539</xdr:colOff>
      <xdr:row>19</xdr:row>
      <xdr:rowOff>73270</xdr:rowOff>
    </xdr:from>
    <xdr:to>
      <xdr:col>5</xdr:col>
      <xdr:colOff>366347</xdr:colOff>
      <xdr:row>20</xdr:row>
      <xdr:rowOff>299417</xdr:rowOff>
    </xdr:to>
    <xdr:pic>
      <xdr:nvPicPr>
        <xdr:cNvPr id="41" name="Picture 40" descr="C:\Users\SAIL-ISP\Desktop\flow chart\images (3).png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7308" y="3033347"/>
          <a:ext cx="1245578" cy="62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685098</xdr:colOff>
      <xdr:row>19</xdr:row>
      <xdr:rowOff>270541</xdr:rowOff>
    </xdr:from>
    <xdr:to>
      <xdr:col>8</xdr:col>
      <xdr:colOff>366345</xdr:colOff>
      <xdr:row>22</xdr:row>
      <xdr:rowOff>190500</xdr:rowOff>
    </xdr:to>
    <xdr:sp macro="" textlink="">
      <xdr:nvSpPr>
        <xdr:cNvPr id="42" name="Arrow: Right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4143406" y="3230618"/>
          <a:ext cx="1908631" cy="916420"/>
        </a:xfrm>
        <a:prstGeom prst="rightArrow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rgbClr val="C00000"/>
              </a:solidFill>
            </a:rPr>
            <a:t>BASEMIX</a:t>
          </a:r>
          <a:r>
            <a:rPr lang="en-IN" sz="1100" b="1" baseline="0">
              <a:solidFill>
                <a:srgbClr val="C00000"/>
              </a:solidFill>
            </a:rPr>
            <a:t> SENT TO SINTER PLANT</a:t>
          </a:r>
          <a:endParaRPr lang="en-IN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17</xdr:col>
      <xdr:colOff>234462</xdr:colOff>
      <xdr:row>19</xdr:row>
      <xdr:rowOff>258597</xdr:rowOff>
    </xdr:from>
    <xdr:to>
      <xdr:col>24</xdr:col>
      <xdr:colOff>1</xdr:colOff>
      <xdr:row>21</xdr:row>
      <xdr:rowOff>73269</xdr:rowOff>
    </xdr:to>
    <xdr:sp macro="" textlink="">
      <xdr:nvSpPr>
        <xdr:cNvPr id="45" name="Arrow: Right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11459308" y="5284866"/>
          <a:ext cx="3971193" cy="518057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C00000"/>
              </a:solidFill>
            </a:rPr>
            <a:t>HOTMETAL TO BOF</a:t>
          </a:r>
        </a:p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125605</xdr:colOff>
      <xdr:row>7</xdr:row>
      <xdr:rowOff>614</xdr:rowOff>
    </xdr:from>
    <xdr:to>
      <xdr:col>5</xdr:col>
      <xdr:colOff>782283</xdr:colOff>
      <xdr:row>8</xdr:row>
      <xdr:rowOff>7326</xdr:rowOff>
    </xdr:to>
    <xdr:pic>
      <xdr:nvPicPr>
        <xdr:cNvPr id="46" name="Picture 45" descr="C:\Users\SAIL-ISP\Desktop\flow chart\IRON ORE BED.png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8212" y="1470185"/>
          <a:ext cx="656678" cy="25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28261</xdr:colOff>
      <xdr:row>9</xdr:row>
      <xdr:rowOff>15701</xdr:rowOff>
    </xdr:from>
    <xdr:to>
      <xdr:col>4</xdr:col>
      <xdr:colOff>675102</xdr:colOff>
      <xdr:row>10</xdr:row>
      <xdr:rowOff>941</xdr:rowOff>
    </xdr:to>
    <xdr:pic>
      <xdr:nvPicPr>
        <xdr:cNvPr id="47" name="Picture 46" descr="C:\Users\SAIL-ISP\Desktop\153396017260663669.png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0332" y="1240344"/>
          <a:ext cx="646841" cy="229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205687</xdr:colOff>
      <xdr:row>25</xdr:row>
      <xdr:rowOff>108055</xdr:rowOff>
    </xdr:from>
    <xdr:to>
      <xdr:col>34</xdr:col>
      <xdr:colOff>87703</xdr:colOff>
      <xdr:row>27</xdr:row>
      <xdr:rowOff>115442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51033" y="4826593"/>
          <a:ext cx="497478" cy="4763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29</xdr:col>
      <xdr:colOff>830036</xdr:colOff>
      <xdr:row>24</xdr:row>
      <xdr:rowOff>190500</xdr:rowOff>
    </xdr:from>
    <xdr:to>
      <xdr:col>30</xdr:col>
      <xdr:colOff>333918</xdr:colOff>
      <xdr:row>25</xdr:row>
      <xdr:rowOff>223591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5786" y="3810000"/>
          <a:ext cx="374737" cy="3052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18</xdr:col>
      <xdr:colOff>182127</xdr:colOff>
      <xdr:row>13</xdr:row>
      <xdr:rowOff>225042</xdr:rowOff>
    </xdr:from>
    <xdr:to>
      <xdr:col>19</xdr:col>
      <xdr:colOff>56073</xdr:colOff>
      <xdr:row>15</xdr:row>
      <xdr:rowOff>215173</xdr:rowOff>
    </xdr:to>
    <xdr:pic>
      <xdr:nvPicPr>
        <xdr:cNvPr id="52" name="Picture 51" descr="C:\Users\SAIL-ISP\Desktop\flow chart\coal wagon.png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13136127" y="1631811"/>
          <a:ext cx="460100" cy="4590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278423</xdr:colOff>
      <xdr:row>12</xdr:row>
      <xdr:rowOff>99437</xdr:rowOff>
    </xdr:from>
    <xdr:to>
      <xdr:col>11</xdr:col>
      <xdr:colOff>87271</xdr:colOff>
      <xdr:row>13</xdr:row>
      <xdr:rowOff>193908</xdr:rowOff>
    </xdr:to>
    <xdr:pic>
      <xdr:nvPicPr>
        <xdr:cNvPr id="53" name="Picture 52" descr="C:\Users\SAIL-ISP\Desktop\flow chart\IRON ORE BED.png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2673" y="2793651"/>
          <a:ext cx="652491" cy="33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349773</xdr:colOff>
      <xdr:row>17</xdr:row>
      <xdr:rowOff>25849</xdr:rowOff>
    </xdr:from>
    <xdr:to>
      <xdr:col>18</xdr:col>
      <xdr:colOff>210149</xdr:colOff>
      <xdr:row>17</xdr:row>
      <xdr:rowOff>147294</xdr:rowOff>
    </xdr:to>
    <xdr:sp macro="" textlink="">
      <xdr:nvSpPr>
        <xdr:cNvPr id="54" name="Arrow: Left 5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 rot="19461183" flipV="1">
          <a:off x="11806987" y="3999135"/>
          <a:ext cx="1275519" cy="121445"/>
        </a:xfrm>
        <a:prstGeom prst="leftArrow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385254</xdr:colOff>
      <xdr:row>15</xdr:row>
      <xdr:rowOff>117388</xdr:rowOff>
    </xdr:from>
    <xdr:to>
      <xdr:col>16</xdr:col>
      <xdr:colOff>123402</xdr:colOff>
      <xdr:row>16</xdr:row>
      <xdr:rowOff>21465</xdr:rowOff>
    </xdr:to>
    <xdr:sp macro="" textlink="">
      <xdr:nvSpPr>
        <xdr:cNvPr id="55" name="Arrow: Right 54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 rot="1715825">
          <a:off x="7719504" y="3546388"/>
          <a:ext cx="3861112" cy="149006"/>
        </a:xfrm>
        <a:prstGeom prst="rightArrow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353786</xdr:colOff>
      <xdr:row>23</xdr:row>
      <xdr:rowOff>14653</xdr:rowOff>
    </xdr:from>
    <xdr:to>
      <xdr:col>33</xdr:col>
      <xdr:colOff>367393</xdr:colOff>
      <xdr:row>27</xdr:row>
      <xdr:rowOff>73269</xdr:rowOff>
    </xdr:to>
    <xdr:sp macro="" textlink="">
      <xdr:nvSpPr>
        <xdr:cNvPr id="56" name="Arrow: Right 55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20121824" y="4205653"/>
          <a:ext cx="3090915" cy="1055078"/>
        </a:xfrm>
        <a:prstGeom prst="right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rgbClr val="C00000"/>
              </a:solidFill>
            </a:rPr>
            <a:t>UNIVERSAL SECTION MILL</a:t>
          </a:r>
        </a:p>
      </xdr:txBody>
    </xdr:sp>
    <xdr:clientData/>
  </xdr:twoCellAnchor>
  <xdr:twoCellAnchor>
    <xdr:from>
      <xdr:col>30</xdr:col>
      <xdr:colOff>149678</xdr:colOff>
      <xdr:row>26</xdr:row>
      <xdr:rowOff>204106</xdr:rowOff>
    </xdr:from>
    <xdr:to>
      <xdr:col>33</xdr:col>
      <xdr:colOff>476250</xdr:colOff>
      <xdr:row>28</xdr:row>
      <xdr:rowOff>217714</xdr:rowOff>
    </xdr:to>
    <xdr:sp macro="" textlink="">
      <xdr:nvSpPr>
        <xdr:cNvPr id="62" name="Arrow: Right 6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19917716" y="5157106"/>
          <a:ext cx="3403880" cy="482531"/>
        </a:xfrm>
        <a:prstGeom prst="rightArrow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rgbClr val="C00000"/>
              </a:solidFill>
            </a:rPr>
            <a:t>150 X 150 BILLETS</a:t>
          </a:r>
        </a:p>
        <a:p>
          <a:pPr algn="l"/>
          <a:endParaRPr lang="en-IN" sz="1100"/>
        </a:p>
      </xdr:txBody>
    </xdr:sp>
    <xdr:clientData/>
  </xdr:twoCellAnchor>
  <xdr:twoCellAnchor>
    <xdr:from>
      <xdr:col>30</xdr:col>
      <xdr:colOff>192595</xdr:colOff>
      <xdr:row>28</xdr:row>
      <xdr:rowOff>100484</xdr:rowOff>
    </xdr:from>
    <xdr:to>
      <xdr:col>33</xdr:col>
      <xdr:colOff>600809</xdr:colOff>
      <xdr:row>29</xdr:row>
      <xdr:rowOff>226089</xdr:rowOff>
    </xdr:to>
    <xdr:sp macro="" textlink="">
      <xdr:nvSpPr>
        <xdr:cNvPr id="63" name="Arrow: Right 62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19960633" y="5522407"/>
          <a:ext cx="3485522" cy="609182"/>
        </a:xfrm>
        <a:prstGeom prst="rightArrow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rgbClr val="C00000"/>
              </a:solidFill>
            </a:rPr>
            <a:t>200 X 280 BLOOMS</a:t>
          </a:r>
        </a:p>
      </xdr:txBody>
    </xdr:sp>
    <xdr:clientData/>
  </xdr:twoCellAnchor>
  <xdr:twoCellAnchor>
    <xdr:from>
      <xdr:col>17</xdr:col>
      <xdr:colOff>659423</xdr:colOff>
      <xdr:row>25</xdr:row>
      <xdr:rowOff>117230</xdr:rowOff>
    </xdr:from>
    <xdr:to>
      <xdr:col>20</xdr:col>
      <xdr:colOff>351691</xdr:colOff>
      <xdr:row>28</xdr:row>
      <xdr:rowOff>58615</xdr:rowOff>
    </xdr:to>
    <xdr:sp macro="" textlink="">
      <xdr:nvSpPr>
        <xdr:cNvPr id="64" name="Arrow: Right 63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11884269" y="6931268"/>
          <a:ext cx="1758460" cy="644770"/>
        </a:xfrm>
        <a:prstGeom prst="right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rgbClr val="C00000"/>
              </a:solidFill>
            </a:rPr>
            <a:t>SAND PITS</a:t>
          </a:r>
        </a:p>
      </xdr:txBody>
    </xdr:sp>
    <xdr:clientData/>
  </xdr:twoCellAnchor>
  <xdr:twoCellAnchor editAs="oneCell">
    <xdr:from>
      <xdr:col>3</xdr:col>
      <xdr:colOff>0</xdr:colOff>
      <xdr:row>9</xdr:row>
      <xdr:rowOff>57569</xdr:rowOff>
    </xdr:from>
    <xdr:to>
      <xdr:col>4</xdr:col>
      <xdr:colOff>27213</xdr:colOff>
      <xdr:row>10</xdr:row>
      <xdr:rowOff>941</xdr:rowOff>
    </xdr:to>
    <xdr:pic>
      <xdr:nvPicPr>
        <xdr:cNvPr id="43" name="Picture 42" descr="C:\Users\SAIL-ISP\Desktop\153396017260663669.png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1282212"/>
          <a:ext cx="612320" cy="187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109904</xdr:colOff>
      <xdr:row>7</xdr:row>
      <xdr:rowOff>3141</xdr:rowOff>
    </xdr:from>
    <xdr:to>
      <xdr:col>5</xdr:col>
      <xdr:colOff>763441</xdr:colOff>
      <xdr:row>8</xdr:row>
      <xdr:rowOff>18226</xdr:rowOff>
    </xdr:to>
    <xdr:pic>
      <xdr:nvPicPr>
        <xdr:cNvPr id="44" name="Picture 43" descr="C:\Users\SAIL-ISP\Desktop\flow chart\IRON ORE BED.png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5297" y="1472712"/>
          <a:ext cx="653537" cy="260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54428</xdr:colOff>
      <xdr:row>9</xdr:row>
      <xdr:rowOff>13607</xdr:rowOff>
    </xdr:from>
    <xdr:to>
      <xdr:col>7</xdr:col>
      <xdr:colOff>666748</xdr:colOff>
      <xdr:row>10</xdr:row>
      <xdr:rowOff>3139</xdr:rowOff>
    </xdr:to>
    <xdr:pic>
      <xdr:nvPicPr>
        <xdr:cNvPr id="49" name="Picture 48" descr="C:\Users\SAIL-ISP\Desktop\153396017260663669.png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3821" y="1728107"/>
          <a:ext cx="612320" cy="234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68036</xdr:colOff>
      <xdr:row>9</xdr:row>
      <xdr:rowOff>27214</xdr:rowOff>
    </xdr:from>
    <xdr:to>
      <xdr:col>8</xdr:col>
      <xdr:colOff>683497</xdr:colOff>
      <xdr:row>10</xdr:row>
      <xdr:rowOff>16746</xdr:rowOff>
    </xdr:to>
    <xdr:pic>
      <xdr:nvPicPr>
        <xdr:cNvPr id="50" name="Picture 49" descr="C:\Users\SAIL-ISP\Desktop\153396017260663669.png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1741714"/>
          <a:ext cx="615461" cy="234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322385</xdr:colOff>
      <xdr:row>30</xdr:row>
      <xdr:rowOff>14654</xdr:rowOff>
    </xdr:from>
    <xdr:to>
      <xdr:col>3</xdr:col>
      <xdr:colOff>439616</xdr:colOff>
      <xdr:row>33</xdr:row>
      <xdr:rowOff>131884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6" r:lo="rId17" r:qs="rId18" r:cs="rId19"/>
        </a:graphicData>
      </a:graphic>
    </xdr:graphicFrame>
    <xdr:clientData/>
  </xdr:twoCellAnchor>
  <xdr:twoCellAnchor editAs="oneCell">
    <xdr:from>
      <xdr:col>8</xdr:col>
      <xdr:colOff>424961</xdr:colOff>
      <xdr:row>20</xdr:row>
      <xdr:rowOff>161193</xdr:rowOff>
    </xdr:from>
    <xdr:to>
      <xdr:col>9</xdr:col>
      <xdr:colOff>460736</xdr:colOff>
      <xdr:row>21</xdr:row>
      <xdr:rowOff>242630</xdr:rowOff>
    </xdr:to>
    <xdr:pic>
      <xdr:nvPicPr>
        <xdr:cNvPr id="59" name="Picture 58" descr="C:\Users\SAIL-ISP\Desktop\flow chart\images (4).png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1153" y="3516924"/>
          <a:ext cx="915005" cy="389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29306</xdr:colOff>
      <xdr:row>19</xdr:row>
      <xdr:rowOff>161193</xdr:rowOff>
    </xdr:from>
    <xdr:to>
      <xdr:col>15</xdr:col>
      <xdr:colOff>381000</xdr:colOff>
      <xdr:row>21</xdr:row>
      <xdr:rowOff>249115</xdr:rowOff>
    </xdr:to>
    <xdr:sp macro="" textlink="">
      <xdr:nvSpPr>
        <xdr:cNvPr id="39" name="Arrow: Right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8719037" y="3121270"/>
          <a:ext cx="2286001" cy="791307"/>
        </a:xfrm>
        <a:prstGeom prst="righ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accent2">
                  <a:lumMod val="50000"/>
                </a:schemeClr>
              </a:solidFill>
            </a:rPr>
            <a:t>SINTER SENT TO BF-5</a:t>
          </a:r>
        </a:p>
      </xdr:txBody>
    </xdr:sp>
    <xdr:clientData/>
  </xdr:twoCellAnchor>
  <xdr:twoCellAnchor editAs="oneCell">
    <xdr:from>
      <xdr:col>20</xdr:col>
      <xdr:colOff>380999</xdr:colOff>
      <xdr:row>25</xdr:row>
      <xdr:rowOff>146540</xdr:rowOff>
    </xdr:from>
    <xdr:to>
      <xdr:col>22</xdr:col>
      <xdr:colOff>119079</xdr:colOff>
      <xdr:row>27</xdr:row>
      <xdr:rowOff>151748</xdr:rowOff>
    </xdr:to>
    <xdr:pic>
      <xdr:nvPicPr>
        <xdr:cNvPr id="61" name="Picture 60" descr="C:\Users\SAIL-ISP\Desktop\flow chart\images.png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2037" y="6960578"/>
          <a:ext cx="529388" cy="474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352425</xdr:colOff>
      <xdr:row>21</xdr:row>
      <xdr:rowOff>146538</xdr:rowOff>
    </xdr:from>
    <xdr:to>
      <xdr:col>22</xdr:col>
      <xdr:colOff>74992</xdr:colOff>
      <xdr:row>23</xdr:row>
      <xdr:rowOff>147874</xdr:rowOff>
    </xdr:to>
    <xdr:pic>
      <xdr:nvPicPr>
        <xdr:cNvPr id="65" name="Picture 64" descr="C:\Users\SAIL-ISP\Desktop\flow chart\images.png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70194" y="5876192"/>
          <a:ext cx="513875" cy="5581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830035</xdr:colOff>
      <xdr:row>6</xdr:row>
      <xdr:rowOff>231322</xdr:rowOff>
    </xdr:from>
    <xdr:to>
      <xdr:col>6</xdr:col>
      <xdr:colOff>615856</xdr:colOff>
      <xdr:row>8</xdr:row>
      <xdr:rowOff>3573</xdr:rowOff>
    </xdr:to>
    <xdr:pic>
      <xdr:nvPicPr>
        <xdr:cNvPr id="57" name="Picture 56" descr="C:\Users\SAIL-ISP\Desktop\flow chart\IRON ORE BED.png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5428" y="1455965"/>
          <a:ext cx="656678" cy="251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554714</xdr:colOff>
      <xdr:row>11</xdr:row>
      <xdr:rowOff>70386</xdr:rowOff>
    </xdr:from>
    <xdr:to>
      <xdr:col>4</xdr:col>
      <xdr:colOff>162720</xdr:colOff>
      <xdr:row>18</xdr:row>
      <xdr:rowOff>22837</xdr:rowOff>
    </xdr:to>
    <xdr:sp macro="" textlink="">
      <xdr:nvSpPr>
        <xdr:cNvPr id="26" name="Arrow: Down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 rot="20469854">
          <a:off x="2364464" y="2519672"/>
          <a:ext cx="193113" cy="1721379"/>
        </a:xfrm>
        <a:prstGeom prst="down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285750</xdr:colOff>
      <xdr:row>9</xdr:row>
      <xdr:rowOff>108857</xdr:rowOff>
    </xdr:from>
    <xdr:to>
      <xdr:col>5</xdr:col>
      <xdr:colOff>503464</xdr:colOff>
      <xdr:row>17</xdr:row>
      <xdr:rowOff>190500</xdr:rowOff>
    </xdr:to>
    <xdr:sp macro="" textlink="">
      <xdr:nvSpPr>
        <xdr:cNvPr id="31" name="Arrow: Down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3701143" y="2068286"/>
          <a:ext cx="217714" cy="2095500"/>
        </a:xfrm>
        <a:prstGeom prst="down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434548</xdr:colOff>
      <xdr:row>10</xdr:row>
      <xdr:rowOff>155146</xdr:rowOff>
    </xdr:from>
    <xdr:to>
      <xdr:col>6</xdr:col>
      <xdr:colOff>631430</xdr:colOff>
      <xdr:row>18</xdr:row>
      <xdr:rowOff>29576</xdr:rowOff>
    </xdr:to>
    <xdr:sp macro="" textlink="">
      <xdr:nvSpPr>
        <xdr:cNvPr id="33" name="Arrow: Down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 rot="1762492">
          <a:off x="4720798" y="2359503"/>
          <a:ext cx="196882" cy="1915502"/>
        </a:xfrm>
        <a:prstGeom prst="down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13610</xdr:colOff>
      <xdr:row>7</xdr:row>
      <xdr:rowOff>136072</xdr:rowOff>
    </xdr:from>
    <xdr:to>
      <xdr:col>14</xdr:col>
      <xdr:colOff>557893</xdr:colOff>
      <xdr:row>8</xdr:row>
      <xdr:rowOff>122463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CxnSpPr/>
      </xdr:nvCxnSpPr>
      <xdr:spPr>
        <a:xfrm rot="10800000" flipV="1">
          <a:off x="6504217" y="1605643"/>
          <a:ext cx="4204605" cy="23132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285750</xdr:colOff>
      <xdr:row>19</xdr:row>
      <xdr:rowOff>6803</xdr:rowOff>
    </xdr:from>
    <xdr:to>
      <xdr:col>40</xdr:col>
      <xdr:colOff>2721</xdr:colOff>
      <xdr:row>20</xdr:row>
      <xdr:rowOff>293914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25714" y="4633232"/>
          <a:ext cx="1363436" cy="681718"/>
        </a:xfrm>
        <a:prstGeom prst="rect">
          <a:avLst/>
        </a:prstGeom>
      </xdr:spPr>
    </xdr:pic>
    <xdr:clientData/>
  </xdr:twoCellAnchor>
  <xdr:twoCellAnchor editAs="oneCell">
    <xdr:from>
      <xdr:col>40</xdr:col>
      <xdr:colOff>134843</xdr:colOff>
      <xdr:row>19</xdr:row>
      <xdr:rowOff>144091</xdr:rowOff>
    </xdr:from>
    <xdr:to>
      <xdr:col>42</xdr:col>
      <xdr:colOff>522342</xdr:colOff>
      <xdr:row>20</xdr:row>
      <xdr:rowOff>259809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r="24705" b="-24021"/>
        <a:stretch/>
      </xdr:blipFill>
      <xdr:spPr>
        <a:xfrm flipH="1">
          <a:off x="27621272" y="4770520"/>
          <a:ext cx="2033963" cy="510325"/>
        </a:xfrm>
        <a:prstGeom prst="rect">
          <a:avLst/>
        </a:prstGeom>
      </xdr:spPr>
    </xdr:pic>
    <xdr:clientData/>
  </xdr:twoCellAnchor>
  <xdr:twoCellAnchor editAs="oneCell">
    <xdr:from>
      <xdr:col>3</xdr:col>
      <xdr:colOff>530678</xdr:colOff>
      <xdr:row>5</xdr:row>
      <xdr:rowOff>204107</xdr:rowOff>
    </xdr:from>
    <xdr:to>
      <xdr:col>4</xdr:col>
      <xdr:colOff>404624</xdr:colOff>
      <xdr:row>7</xdr:row>
      <xdr:rowOff>194238</xdr:rowOff>
    </xdr:to>
    <xdr:pic>
      <xdr:nvPicPr>
        <xdr:cNvPr id="77" name="Picture 76" descr="C:\Users\SAIL-ISP\Desktop\flow chart\coal wagon.png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2340428" y="1728107"/>
          <a:ext cx="459053" cy="479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462643</xdr:colOff>
      <xdr:row>3</xdr:row>
      <xdr:rowOff>204107</xdr:rowOff>
    </xdr:from>
    <xdr:to>
      <xdr:col>6</xdr:col>
      <xdr:colOff>50839</xdr:colOff>
      <xdr:row>5</xdr:row>
      <xdr:rowOff>194238</xdr:rowOff>
    </xdr:to>
    <xdr:pic>
      <xdr:nvPicPr>
        <xdr:cNvPr id="78" name="Picture 77" descr="C:\Users\SAIL-ISP\Desktop\flow chart\coal wagon.png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3878036" y="1238250"/>
          <a:ext cx="459053" cy="479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43961</xdr:colOff>
      <xdr:row>24</xdr:row>
      <xdr:rowOff>29308</xdr:rowOff>
    </xdr:from>
    <xdr:to>
      <xdr:col>21</xdr:col>
      <xdr:colOff>219808</xdr:colOff>
      <xdr:row>24</xdr:row>
      <xdr:rowOff>146539</xdr:rowOff>
    </xdr:to>
    <xdr:sp macro="" textlink="">
      <xdr:nvSpPr>
        <xdr:cNvPr id="81" name="Trapezoid 80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13715999" y="6579577"/>
          <a:ext cx="175847" cy="117231"/>
        </a:xfrm>
        <a:prstGeom prst="trapezoid">
          <a:avLst/>
        </a:prstGeom>
        <a:solidFill>
          <a:schemeClr val="bg1">
            <a:lumMod val="65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21</xdr:col>
      <xdr:colOff>293078</xdr:colOff>
      <xdr:row>24</xdr:row>
      <xdr:rowOff>29307</xdr:rowOff>
    </xdr:from>
    <xdr:to>
      <xdr:col>22</xdr:col>
      <xdr:colOff>58616</xdr:colOff>
      <xdr:row>24</xdr:row>
      <xdr:rowOff>146539</xdr:rowOff>
    </xdr:to>
    <xdr:sp macro="" textlink="">
      <xdr:nvSpPr>
        <xdr:cNvPr id="82" name="Trapezoid 8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13965116" y="6579576"/>
          <a:ext cx="175846" cy="117232"/>
        </a:xfrm>
        <a:prstGeom prst="trapezoid">
          <a:avLst/>
        </a:prstGeom>
        <a:solidFill>
          <a:schemeClr val="bg1">
            <a:lumMod val="65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B1:U151"/>
  <sheetViews>
    <sheetView showGridLines="0" topLeftCell="A38" zoomScale="50" zoomScaleNormal="50" workbookViewId="0">
      <selection activeCell="F41" sqref="F41"/>
    </sheetView>
  </sheetViews>
  <sheetFormatPr defaultColWidth="9.140625" defaultRowHeight="33.75" x14ac:dyDescent="0.5"/>
  <cols>
    <col min="1" max="1" width="10.42578125" style="385" customWidth="1"/>
    <col min="2" max="2" width="23" style="385" customWidth="1"/>
    <col min="3" max="3" width="72" style="385" customWidth="1"/>
    <col min="4" max="4" width="46" style="385" customWidth="1"/>
    <col min="5" max="5" width="57" style="385" customWidth="1"/>
    <col min="6" max="6" width="73" style="385" customWidth="1"/>
    <col min="7" max="7" width="42.7109375" style="385" customWidth="1"/>
    <col min="8" max="8" width="55.28515625" style="385" customWidth="1"/>
    <col min="9" max="9" width="11.42578125" style="385" customWidth="1"/>
    <col min="10" max="10" width="62.140625" style="385" customWidth="1"/>
    <col min="11" max="11" width="34.140625" style="385" customWidth="1"/>
    <col min="12" max="12" width="50.42578125" style="385" customWidth="1"/>
    <col min="13" max="13" width="47.28515625" style="385" customWidth="1"/>
    <col min="14" max="14" width="52.28515625" style="385" bestFit="1" customWidth="1"/>
    <col min="15" max="15" width="44.42578125" style="385" customWidth="1"/>
    <col min="16" max="16" width="52.140625" style="385" customWidth="1"/>
    <col min="17" max="17" width="50.42578125" style="385" customWidth="1"/>
    <col min="18" max="18" width="71" style="385" customWidth="1"/>
    <col min="19" max="19" width="1" style="385" customWidth="1"/>
    <col min="20" max="20" width="25.42578125" style="385" bestFit="1" customWidth="1"/>
    <col min="21" max="21" width="49.7109375" style="385" bestFit="1" customWidth="1"/>
    <col min="22" max="16384" width="9.140625" style="385"/>
  </cols>
  <sheetData>
    <row r="1" spans="2:17" x14ac:dyDescent="0.5">
      <c r="B1" s="1510"/>
      <c r="C1" s="1510"/>
      <c r="D1" s="1510"/>
      <c r="E1" s="1510"/>
      <c r="F1" s="1510"/>
      <c r="G1" s="1510"/>
      <c r="H1" s="1510"/>
      <c r="I1" s="1510"/>
      <c r="J1" s="1510"/>
      <c r="K1" s="1510"/>
      <c r="L1" s="1510"/>
      <c r="M1" s="1510"/>
      <c r="N1" s="1510"/>
      <c r="O1" s="1510"/>
      <c r="P1" s="1510"/>
      <c r="Q1" s="1510"/>
    </row>
    <row r="2" spans="2:17" ht="34.5" thickBot="1" x14ac:dyDescent="0.55000000000000004">
      <c r="B2" s="1511"/>
      <c r="C2" s="1511"/>
      <c r="D2" s="1511"/>
      <c r="E2" s="1511"/>
      <c r="F2" s="1511"/>
      <c r="G2" s="1511"/>
      <c r="H2" s="1511"/>
      <c r="I2" s="1511"/>
      <c r="J2" s="1511"/>
      <c r="K2" s="1511"/>
      <c r="L2" s="1511"/>
      <c r="M2" s="1511"/>
      <c r="N2" s="1511"/>
      <c r="O2" s="1511"/>
      <c r="P2" s="1511"/>
      <c r="Q2" s="1511"/>
    </row>
    <row r="3" spans="2:17" ht="50.1" customHeight="1" thickBot="1" x14ac:dyDescent="0.55000000000000004">
      <c r="B3" s="1520" t="s">
        <v>292</v>
      </c>
      <c r="C3" s="1521"/>
      <c r="D3" s="470" t="s">
        <v>294</v>
      </c>
      <c r="E3" s="471"/>
      <c r="F3" s="471">
        <f>18.686*0.7</f>
        <v>13.0802</v>
      </c>
      <c r="G3" s="471">
        <f>34.44*0.7</f>
        <v>24.107999999999997</v>
      </c>
      <c r="H3" s="472"/>
      <c r="I3" s="472"/>
      <c r="J3" s="472"/>
      <c r="K3" s="1516"/>
      <c r="L3" s="1516"/>
      <c r="M3" s="1516"/>
      <c r="N3" s="1516"/>
      <c r="O3" s="1516"/>
      <c r="P3" s="1516"/>
      <c r="Q3" s="473" t="s">
        <v>103</v>
      </c>
    </row>
    <row r="4" spans="2:17" ht="73.5" customHeight="1" thickBot="1" x14ac:dyDescent="0.55000000000000004">
      <c r="B4" s="1522"/>
      <c r="C4" s="1523"/>
      <c r="D4" s="474" t="s">
        <v>317</v>
      </c>
      <c r="E4" s="474"/>
      <c r="F4" s="474">
        <f>33*F3</f>
        <v>431.64659999999998</v>
      </c>
      <c r="G4" s="474">
        <f>G3*31</f>
        <v>747.34799999999996</v>
      </c>
      <c r="H4" s="474"/>
      <c r="I4" s="474"/>
      <c r="J4" s="474"/>
      <c r="K4" s="474" t="s">
        <v>293</v>
      </c>
      <c r="L4" s="456"/>
      <c r="M4" s="456"/>
      <c r="N4" s="475" t="e">
        <f>+#REF!</f>
        <v>#REF!</v>
      </c>
      <c r="O4" s="476" t="e">
        <f>+#REF!</f>
        <v>#REF!</v>
      </c>
      <c r="P4" s="456"/>
      <c r="Q4" s="473" t="s">
        <v>209</v>
      </c>
    </row>
    <row r="5" spans="2:17" ht="50.1" customHeight="1" thickBot="1" x14ac:dyDescent="0.55000000000000004">
      <c r="B5" s="477"/>
      <c r="C5" s="478"/>
      <c r="D5" s="456"/>
      <c r="E5" s="456"/>
      <c r="F5" s="456"/>
      <c r="G5" s="456"/>
      <c r="H5" s="456"/>
      <c r="I5" s="456"/>
      <c r="J5" s="456"/>
      <c r="K5" s="456"/>
      <c r="L5" s="456"/>
      <c r="M5" s="456"/>
      <c r="N5" s="456"/>
      <c r="O5" s="456"/>
      <c r="P5" s="456"/>
      <c r="Q5" s="473">
        <f ca="1">TODAY()</f>
        <v>46174</v>
      </c>
    </row>
    <row r="6" spans="2:17" ht="60" customHeight="1" x14ac:dyDescent="0.5">
      <c r="B6" s="1514" t="s">
        <v>207</v>
      </c>
      <c r="C6" s="1515"/>
      <c r="D6" s="1517" t="s">
        <v>206</v>
      </c>
      <c r="E6" s="1515"/>
      <c r="F6" s="469" t="s">
        <v>385</v>
      </c>
      <c r="G6" s="387" t="s">
        <v>43</v>
      </c>
      <c r="H6" s="1518" t="s">
        <v>205</v>
      </c>
      <c r="I6" s="456"/>
      <c r="J6" s="479" t="s">
        <v>44</v>
      </c>
      <c r="K6" s="480" t="s">
        <v>52</v>
      </c>
      <c r="L6" s="480" t="s">
        <v>51</v>
      </c>
      <c r="M6" s="480" t="s">
        <v>5</v>
      </c>
      <c r="N6" s="480" t="s">
        <v>204</v>
      </c>
      <c r="O6" s="480" t="s">
        <v>83</v>
      </c>
      <c r="P6" s="480" t="s">
        <v>104</v>
      </c>
      <c r="Q6" s="481"/>
    </row>
    <row r="7" spans="2:17" ht="60" customHeight="1" x14ac:dyDescent="0.5">
      <c r="B7" s="1512" t="s">
        <v>53</v>
      </c>
      <c r="C7" s="1513"/>
      <c r="D7" s="336" t="s">
        <v>52</v>
      </c>
      <c r="E7" s="336" t="s">
        <v>51</v>
      </c>
      <c r="F7" s="336" t="s">
        <v>203</v>
      </c>
      <c r="G7" s="336" t="s">
        <v>203</v>
      </c>
      <c r="H7" s="1519"/>
      <c r="I7" s="456"/>
      <c r="J7" s="482" t="s">
        <v>202</v>
      </c>
      <c r="K7" s="473"/>
      <c r="L7" s="473"/>
      <c r="M7" s="473"/>
      <c r="N7" s="473"/>
      <c r="O7" s="473">
        <f>+DAILYREPORT1!G7</f>
        <v>46143</v>
      </c>
      <c r="P7" s="473">
        <f>+DAILYREPORT1!H7</f>
        <v>45778</v>
      </c>
      <c r="Q7" s="483"/>
    </row>
    <row r="8" spans="2:17" ht="60" customHeight="1" thickBot="1" x14ac:dyDescent="0.55000000000000004">
      <c r="B8" s="484" t="s">
        <v>201</v>
      </c>
      <c r="C8" s="381"/>
      <c r="D8" s="381"/>
      <c r="E8" s="381"/>
      <c r="F8" s="381"/>
      <c r="G8" s="485"/>
      <c r="H8" s="486" t="s">
        <v>272</v>
      </c>
      <c r="I8" s="456"/>
      <c r="J8" s="482" t="s">
        <v>200</v>
      </c>
      <c r="K8" s="473" t="e">
        <f>+#REF!</f>
        <v>#REF!</v>
      </c>
      <c r="L8" s="473" t="e">
        <f>+#REF!</f>
        <v>#REF!</v>
      </c>
      <c r="M8" s="473" t="e">
        <f>+#REF!</f>
        <v>#REF!</v>
      </c>
      <c r="N8" s="473" t="s">
        <v>180</v>
      </c>
      <c r="O8" s="473" t="e">
        <f>+#REF!</f>
        <v>#REF!</v>
      </c>
      <c r="P8" s="473" t="e">
        <f>+#REF!</f>
        <v>#REF!</v>
      </c>
      <c r="Q8" s="483"/>
    </row>
    <row r="9" spans="2:17" ht="60" customHeight="1" x14ac:dyDescent="0.5">
      <c r="B9" s="1477" t="s">
        <v>112</v>
      </c>
      <c r="C9" s="487" t="e">
        <f>+RAWMATERIALS!B10</f>
        <v>#REF!</v>
      </c>
      <c r="D9" s="403">
        <f>+RAWMATERIALS!C10</f>
        <v>0</v>
      </c>
      <c r="E9" s="488" t="e">
        <f>+RAWMATERIALS!D10</f>
        <v>#REF!</v>
      </c>
      <c r="F9" s="488" t="e">
        <f>+($K$9*18.68*RAWMATERIALS!I10)/100</f>
        <v>#REF!</v>
      </c>
      <c r="G9" s="403">
        <f>+RAWMATERIALS!E10</f>
        <v>200</v>
      </c>
      <c r="H9" s="489" t="e">
        <f>+($K$9*19.4*RAWMATERIALS!I10*15)/100</f>
        <v>#REF!</v>
      </c>
      <c r="I9" s="456"/>
      <c r="J9" s="482" t="s">
        <v>58</v>
      </c>
      <c r="K9" s="473" t="e">
        <f>+#REF!</f>
        <v>#REF!</v>
      </c>
      <c r="L9" s="473" t="e">
        <f>+#REF!</f>
        <v>#REF!</v>
      </c>
      <c r="M9" s="473" t="e">
        <f>+#REF!</f>
        <v>#REF!</v>
      </c>
      <c r="N9" s="473" t="e">
        <f>+#REF!</f>
        <v>#REF!</v>
      </c>
      <c r="O9" s="473" t="e">
        <f>+#REF!</f>
        <v>#REF!</v>
      </c>
      <c r="P9" s="473" t="e">
        <f>+#REF!</f>
        <v>#REF!</v>
      </c>
      <c r="Q9" s="483" t="e">
        <f>+#REF!</f>
        <v>#REF!</v>
      </c>
    </row>
    <row r="10" spans="2:17" ht="60" customHeight="1" thickBot="1" x14ac:dyDescent="0.55000000000000004">
      <c r="B10" s="1478"/>
      <c r="C10" s="487" t="str">
        <f>+RAWMATERIALS!B11</f>
        <v>LVHR-HARD</v>
      </c>
      <c r="D10" s="403">
        <f>+RAWMATERIALS!C11</f>
        <v>0</v>
      </c>
      <c r="E10" s="488" t="e">
        <f>+RAWMATERIALS!D11</f>
        <v>#REF!</v>
      </c>
      <c r="F10" s="488" t="e">
        <f>+($K$9*18.686*RAWMATERIALS!I11)/100</f>
        <v>#REF!</v>
      </c>
      <c r="G10" s="403">
        <f>+RAWMATERIALS!E11</f>
        <v>3700</v>
      </c>
      <c r="H10" s="489" t="e">
        <f>+($K$9*19.4*RAWMATERIALS!I11*15)/100</f>
        <v>#REF!</v>
      </c>
      <c r="I10" s="456"/>
      <c r="J10" s="482" t="s">
        <v>56</v>
      </c>
      <c r="K10" s="473" t="e">
        <f>+#REF!</f>
        <v>#REF!</v>
      </c>
      <c r="L10" s="473" t="e">
        <f>+#REF!</f>
        <v>#REF!</v>
      </c>
      <c r="M10" s="473" t="e">
        <f>+#REF!</f>
        <v>#REF!</v>
      </c>
      <c r="N10" s="473" t="e">
        <f>+#REF!</f>
        <v>#REF!</v>
      </c>
      <c r="O10" s="473" t="e">
        <f>+#REF!</f>
        <v>#REF!</v>
      </c>
      <c r="P10" s="473" t="e">
        <f>+#REF!</f>
        <v>#REF!</v>
      </c>
      <c r="Q10" s="483" t="e">
        <f>+#REF!</f>
        <v>#REF!</v>
      </c>
    </row>
    <row r="11" spans="2:17" ht="60" customHeight="1" x14ac:dyDescent="0.5">
      <c r="B11" s="1477" t="s">
        <v>142</v>
      </c>
      <c r="C11" s="487" t="e">
        <f>+RAWMATERIALS!B12</f>
        <v>#REF!</v>
      </c>
      <c r="D11" s="403">
        <f>+RAWMATERIALS!C12</f>
        <v>1800</v>
      </c>
      <c r="E11" s="488" t="e">
        <f>+RAWMATERIALS!D12</f>
        <v>#REF!</v>
      </c>
      <c r="F11" s="488" t="e">
        <f>+($K$9*18.68*RAWMATERIALS!I12)/100</f>
        <v>#REF!</v>
      </c>
      <c r="G11" s="403">
        <f>+RAWMATERIALS!E12</f>
        <v>5400</v>
      </c>
      <c r="H11" s="489" t="e">
        <f>+($K$9*19.4*RAWMATERIALS!I12*15)/100</f>
        <v>#REF!</v>
      </c>
      <c r="I11" s="456"/>
      <c r="J11" s="482" t="s">
        <v>199</v>
      </c>
      <c r="K11" s="473" t="e">
        <f>+#REF!</f>
        <v>#REF!</v>
      </c>
      <c r="L11" s="473" t="e">
        <f>+#REF!</f>
        <v>#REF!</v>
      </c>
      <c r="M11" s="473" t="e">
        <f>+#REF!</f>
        <v>#REF!</v>
      </c>
      <c r="N11" s="473" t="e">
        <f>+#REF!</f>
        <v>#REF!</v>
      </c>
      <c r="O11" s="473" t="e">
        <f>+#REF!</f>
        <v>#REF!</v>
      </c>
      <c r="P11" s="473" t="e">
        <f>+#REF!</f>
        <v>#REF!</v>
      </c>
      <c r="Q11" s="483" t="e">
        <f>+#REF!</f>
        <v>#REF!</v>
      </c>
    </row>
    <row r="12" spans="2:17" ht="60" customHeight="1" x14ac:dyDescent="0.5">
      <c r="B12" s="1534"/>
      <c r="C12" s="487" t="e">
        <f>+RAWMATERIALS!B13</f>
        <v>#REF!</v>
      </c>
      <c r="D12" s="403">
        <f>+RAWMATERIALS!C13</f>
        <v>0</v>
      </c>
      <c r="E12" s="488" t="e">
        <f>+RAWMATERIALS!D13</f>
        <v>#REF!</v>
      </c>
      <c r="F12" s="488" t="e">
        <f>+($K$9*18.68*RAWMATERIALS!I13)/100</f>
        <v>#REF!</v>
      </c>
      <c r="G12" s="403">
        <f>+RAWMATERIALS!E13</f>
        <v>3800</v>
      </c>
      <c r="H12" s="489" t="e">
        <f>+($K$9*19.4*RAWMATERIALS!I13*15)/100</f>
        <v>#REF!</v>
      </c>
      <c r="I12" s="456"/>
      <c r="J12" s="482" t="s">
        <v>6</v>
      </c>
      <c r="K12" s="473"/>
      <c r="L12" s="473"/>
      <c r="M12" s="473"/>
      <c r="N12" s="473"/>
      <c r="O12" s="473"/>
      <c r="P12" s="473"/>
      <c r="Q12" s="483"/>
    </row>
    <row r="13" spans="2:17" ht="60" customHeight="1" x14ac:dyDescent="0.5">
      <c r="B13" s="1534"/>
      <c r="C13" s="487" t="e">
        <f>+RAWMATERIALS!B14</f>
        <v>#REF!</v>
      </c>
      <c r="D13" s="403">
        <f>+RAWMATERIALS!C14</f>
        <v>0</v>
      </c>
      <c r="E13" s="488" t="e">
        <f>+RAWMATERIALS!D14</f>
        <v>#REF!</v>
      </c>
      <c r="F13" s="488" t="e">
        <f>+($K$9*18.68*RAWMATERIALS!I14)/100</f>
        <v>#REF!</v>
      </c>
      <c r="G13" s="403">
        <f>+RAWMATERIALS!E14</f>
        <v>1100</v>
      </c>
      <c r="H13" s="489" t="e">
        <f>+($K$9*19.4*RAWMATERIALS!I14*15)/100</f>
        <v>#REF!</v>
      </c>
      <c r="I13" s="456"/>
      <c r="J13" s="482" t="s">
        <v>198</v>
      </c>
      <c r="K13" s="473" t="e">
        <f>+#REF!</f>
        <v>#REF!</v>
      </c>
      <c r="L13" s="473" t="e">
        <f>+#REF!</f>
        <v>#REF!</v>
      </c>
      <c r="M13" s="473" t="s">
        <v>196</v>
      </c>
      <c r="N13" s="473"/>
      <c r="O13" s="473"/>
      <c r="P13" s="473"/>
      <c r="Q13" s="483"/>
    </row>
    <row r="14" spans="2:17" ht="60" customHeight="1" x14ac:dyDescent="0.5">
      <c r="B14" s="1534"/>
      <c r="C14" s="487" t="e">
        <f>+RAWMATERIALS!B15</f>
        <v>#REF!</v>
      </c>
      <c r="D14" s="403">
        <f>+RAWMATERIALS!C15</f>
        <v>0</v>
      </c>
      <c r="E14" s="488" t="e">
        <f>+RAWMATERIALS!D15</f>
        <v>#REF!</v>
      </c>
      <c r="F14" s="488" t="e">
        <f>+($K$9*18.68*RAWMATERIALS!I15)/100</f>
        <v>#REF!</v>
      </c>
      <c r="G14" s="403">
        <f>+RAWMATERIALS!E15</f>
        <v>2000</v>
      </c>
      <c r="H14" s="489" t="e">
        <f>+($K$9*19.4*RAWMATERIALS!I15*15)/100</f>
        <v>#REF!</v>
      </c>
      <c r="I14" s="456"/>
      <c r="J14" s="482" t="s">
        <v>197</v>
      </c>
      <c r="K14" s="473" t="e">
        <f>+#REF!</f>
        <v>#REF!</v>
      </c>
      <c r="L14" s="473" t="e">
        <f>+#REF!</f>
        <v>#REF!</v>
      </c>
      <c r="M14" s="473" t="e">
        <f>+#REF!</f>
        <v>#REF!</v>
      </c>
      <c r="N14" s="473"/>
      <c r="O14" s="473"/>
      <c r="P14" s="473"/>
      <c r="Q14" s="483"/>
    </row>
    <row r="15" spans="2:17" ht="60" customHeight="1" x14ac:dyDescent="0.5">
      <c r="B15" s="1534"/>
      <c r="C15" s="490" t="e">
        <f>+RAWMATERIALS!B16</f>
        <v>#REF!</v>
      </c>
      <c r="D15" s="403">
        <f>+RAWMATERIALS!C16</f>
        <v>0</v>
      </c>
      <c r="E15" s="488" t="e">
        <f>+RAWMATERIALS!D16</f>
        <v>#REF!</v>
      </c>
      <c r="F15" s="488" t="e">
        <f>+($K$9*18.68*RAWMATERIALS!I16)/100</f>
        <v>#REF!</v>
      </c>
      <c r="G15" s="403">
        <f>+RAWMATERIALS!E16</f>
        <v>0</v>
      </c>
      <c r="H15" s="489" t="e">
        <f>+($K$9*19.4*RAWMATERIALS!I16*15)/100</f>
        <v>#REF!</v>
      </c>
      <c r="I15" s="456"/>
      <c r="J15" s="482" t="s">
        <v>195</v>
      </c>
      <c r="K15" s="473" t="e">
        <f>+#REF!</f>
        <v>#REF!</v>
      </c>
      <c r="L15" s="473" t="e">
        <f>+#REF!</f>
        <v>#REF!</v>
      </c>
      <c r="M15" s="473" t="e">
        <f>+#REF!</f>
        <v>#REF!</v>
      </c>
      <c r="N15" s="473" t="e">
        <f>+#REF!</f>
        <v>#REF!</v>
      </c>
      <c r="O15" s="473" t="e">
        <f>+#REF!</f>
        <v>#REF!</v>
      </c>
      <c r="P15" s="473" t="e">
        <f>+#REF!</f>
        <v>#REF!</v>
      </c>
      <c r="Q15" s="483" t="e">
        <f>+#REF!</f>
        <v>#REF!</v>
      </c>
    </row>
    <row r="16" spans="2:17" ht="60" customHeight="1" x14ac:dyDescent="0.5">
      <c r="B16" s="1534"/>
      <c r="C16" s="490" t="e">
        <f>+RAWMATERIALS!B17</f>
        <v>#REF!</v>
      </c>
      <c r="D16" s="403">
        <f>+RAWMATERIALS!C17</f>
        <v>5280</v>
      </c>
      <c r="E16" s="488" t="e">
        <f>+RAWMATERIALS!D17</f>
        <v>#REF!</v>
      </c>
      <c r="F16" s="488" t="e">
        <f>+($K$9*18.686*RAWMATERIALS!I17)/100</f>
        <v>#REF!</v>
      </c>
      <c r="G16" s="403">
        <f>+RAWMATERIALS!E17</f>
        <v>7600</v>
      </c>
      <c r="H16" s="489" t="e">
        <f>+($K$9*19.4*RAWMATERIALS!I17*15)/100</f>
        <v>#REF!</v>
      </c>
      <c r="I16" s="456"/>
      <c r="J16" s="482" t="s">
        <v>193</v>
      </c>
      <c r="K16" s="473">
        <f>+RAWMATERIALS!N48</f>
        <v>11520</v>
      </c>
      <c r="L16" s="473" t="e">
        <f>+RAWMATERIALS!O48</f>
        <v>#REF!</v>
      </c>
      <c r="M16" s="473" t="e">
        <f>+L16/#REF!*#REF!</f>
        <v>#REF!</v>
      </c>
      <c r="N16" s="473"/>
      <c r="O16" s="473"/>
      <c r="P16" s="473"/>
      <c r="Q16" s="483"/>
    </row>
    <row r="17" spans="2:17" ht="60" customHeight="1" x14ac:dyDescent="0.5">
      <c r="B17" s="1534"/>
      <c r="C17" s="490" t="str">
        <f>+RAWMATERIALS!B18</f>
        <v>RUS-SOFT</v>
      </c>
      <c r="D17" s="403">
        <f>+RAWMATERIALS!C18</f>
        <v>0</v>
      </c>
      <c r="E17" s="488" t="e">
        <f>+RAWMATERIALS!D18</f>
        <v>#REF!</v>
      </c>
      <c r="F17" s="488" t="e">
        <f>+($K$9*18.68*RAWMATERIALS!I18)/100</f>
        <v>#REF!</v>
      </c>
      <c r="G17" s="403">
        <f>+RAWMATERIALS!E18</f>
        <v>1400</v>
      </c>
      <c r="H17" s="489" t="e">
        <f>+($K$9*19.4*RAWMATERIALS!I18*15)/100</f>
        <v>#REF!</v>
      </c>
      <c r="I17" s="456"/>
      <c r="J17" s="482"/>
      <c r="K17" s="473"/>
      <c r="L17" s="473"/>
      <c r="M17" s="473"/>
      <c r="N17" s="473"/>
      <c r="O17" s="473"/>
      <c r="P17" s="473"/>
      <c r="Q17" s="483"/>
    </row>
    <row r="18" spans="2:17" ht="60" customHeight="1" thickBot="1" x14ac:dyDescent="0.55000000000000004">
      <c r="B18" s="1478"/>
      <c r="C18" s="490" t="e">
        <f>+RAWMATERIALS!B19</f>
        <v>#REF!</v>
      </c>
      <c r="D18" s="403">
        <f>+RAWMATERIALS!C19</f>
        <v>0</v>
      </c>
      <c r="E18" s="488" t="e">
        <f>+RAWMATERIALS!D19</f>
        <v>#REF!</v>
      </c>
      <c r="F18" s="488" t="e">
        <f>+($K$9*18.686*RAWMATERIALS!I19)/100</f>
        <v>#REF!</v>
      </c>
      <c r="G18" s="403">
        <f>+RAWMATERIALS!E19</f>
        <v>0</v>
      </c>
      <c r="H18" s="489" t="e">
        <f>+($K$9*19.4*RAWMATERIALS!I19*15)/100</f>
        <v>#REF!</v>
      </c>
      <c r="I18" s="456"/>
      <c r="J18" s="482"/>
      <c r="K18" s="473"/>
      <c r="L18" s="473"/>
      <c r="M18" s="473"/>
      <c r="N18" s="473"/>
      <c r="O18" s="473"/>
      <c r="P18" s="473"/>
      <c r="Q18" s="483"/>
    </row>
    <row r="19" spans="2:17" ht="60" customHeight="1" thickBot="1" x14ac:dyDescent="0.55000000000000004">
      <c r="B19" s="1508" t="s">
        <v>194</v>
      </c>
      <c r="C19" s="1509"/>
      <c r="D19" s="491">
        <f>SUM(D9:D18)</f>
        <v>7080</v>
      </c>
      <c r="E19" s="491" t="e">
        <f>SUM(E9:E18)</f>
        <v>#REF!</v>
      </c>
      <c r="F19" s="492" t="e">
        <f>SUM(F9:F18)</f>
        <v>#REF!</v>
      </c>
      <c r="G19" s="491">
        <f>SUM(G9:G18)</f>
        <v>25200</v>
      </c>
      <c r="H19" s="493" t="e">
        <f>SUM(H9:H18)</f>
        <v>#REF!</v>
      </c>
      <c r="I19" s="456"/>
      <c r="J19" s="482" t="s">
        <v>137</v>
      </c>
      <c r="K19" s="473"/>
      <c r="L19" s="473"/>
      <c r="M19" s="473"/>
      <c r="N19" s="473"/>
      <c r="O19" s="473"/>
      <c r="P19" s="473"/>
      <c r="Q19" s="483"/>
    </row>
    <row r="20" spans="2:17" ht="60" customHeight="1" thickBot="1" x14ac:dyDescent="0.55000000000000004">
      <c r="B20" s="494" t="s">
        <v>192</v>
      </c>
      <c r="C20" s="472"/>
      <c r="D20" s="472"/>
      <c r="E20" s="472"/>
      <c r="F20" s="472"/>
      <c r="G20" s="472"/>
      <c r="H20" s="495"/>
      <c r="I20" s="456"/>
      <c r="J20" s="482" t="s">
        <v>191</v>
      </c>
      <c r="K20" s="473" t="e">
        <f>+#REF!</f>
        <v>#REF!</v>
      </c>
      <c r="L20" s="473" t="e">
        <f>+#REF!</f>
        <v>#REF!</v>
      </c>
      <c r="M20" s="473" t="e">
        <f>+#REF!</f>
        <v>#REF!</v>
      </c>
      <c r="N20" s="473" t="e">
        <f>+#REF!</f>
        <v>#REF!</v>
      </c>
      <c r="O20" s="473" t="e">
        <f>+#REF!</f>
        <v>#REF!</v>
      </c>
      <c r="P20" s="473" t="e">
        <f>+#REF!</f>
        <v>#REF!</v>
      </c>
      <c r="Q20" s="483" t="e">
        <f>+#REF!</f>
        <v>#REF!</v>
      </c>
    </row>
    <row r="21" spans="2:17" ht="60" customHeight="1" x14ac:dyDescent="0.5">
      <c r="B21" s="1483" t="s">
        <v>112</v>
      </c>
      <c r="C21" s="496" t="e">
        <f>+RAWMATERIALS!B22:B22</f>
        <v>#REF!</v>
      </c>
      <c r="D21" s="497">
        <f>+RAWMATERIALS!C22</f>
        <v>0</v>
      </c>
      <c r="E21" s="498" t="e">
        <f>+RAWMATERIALS!D22</f>
        <v>#REF!</v>
      </c>
      <c r="F21" s="499" t="e">
        <f>+($K$10*34.44*RAWMATERIALS!I22)/100</f>
        <v>#REF!</v>
      </c>
      <c r="G21" s="500">
        <f>+RAWMATERIALS!E22</f>
        <v>3890</v>
      </c>
      <c r="H21" s="501" t="e">
        <f>+($K$10*34.44*RAWMATERIALS!I22*15)/100</f>
        <v>#REF!</v>
      </c>
      <c r="I21" s="456"/>
      <c r="J21" s="482" t="s">
        <v>98</v>
      </c>
      <c r="K21" s="473" t="e">
        <f>+#REF!</f>
        <v>#REF!</v>
      </c>
      <c r="L21" s="473" t="e">
        <f>+#REF!</f>
        <v>#REF!</v>
      </c>
      <c r="M21" s="473"/>
      <c r="N21" s="473"/>
      <c r="O21" s="473"/>
      <c r="P21" s="473"/>
      <c r="Q21" s="483"/>
    </row>
    <row r="22" spans="2:17" ht="60" customHeight="1" x14ac:dyDescent="0.5">
      <c r="B22" s="1535"/>
      <c r="C22" s="336" t="e">
        <f>+RAWMATERIALS!B23:B23</f>
        <v>#REF!</v>
      </c>
      <c r="D22" s="403">
        <f>+RAWMATERIALS!C23</f>
        <v>0</v>
      </c>
      <c r="E22" s="488" t="e">
        <f>+RAWMATERIALS!D23</f>
        <v>#REF!</v>
      </c>
      <c r="F22" s="488" t="e">
        <f>+($K$10*34.44*RAWMATERIALS!I23)/100</f>
        <v>#REF!</v>
      </c>
      <c r="G22" s="403">
        <f>+RAWMATERIALS!E23</f>
        <v>3310</v>
      </c>
      <c r="H22" s="489" t="e">
        <f>+($K$10*34.44*RAWMATERIALS!I23*15)/100</f>
        <v>#REF!</v>
      </c>
      <c r="I22" s="456"/>
      <c r="J22" s="482" t="s">
        <v>97</v>
      </c>
      <c r="K22" s="473" t="e">
        <f>+#REF!</f>
        <v>#REF!</v>
      </c>
      <c r="L22" s="473" t="e">
        <f>+#REF!</f>
        <v>#REF!</v>
      </c>
      <c r="M22" s="473"/>
      <c r="N22" s="473"/>
      <c r="O22" s="473"/>
      <c r="P22" s="473"/>
      <c r="Q22" s="483"/>
    </row>
    <row r="23" spans="2:17" ht="60" customHeight="1" x14ac:dyDescent="0.5">
      <c r="B23" s="1506" t="s">
        <v>142</v>
      </c>
      <c r="C23" s="336" t="e">
        <f>+RAWMATERIALS!B24:B24</f>
        <v>#REF!</v>
      </c>
      <c r="D23" s="403">
        <f>+RAWMATERIALS!C24</f>
        <v>0</v>
      </c>
      <c r="E23" s="488" t="e">
        <f>+RAWMATERIALS!D24</f>
        <v>#REF!</v>
      </c>
      <c r="F23" s="488" t="e">
        <f>+($K$10*34.44*RAWMATERIALS!I24)/100</f>
        <v>#REF!</v>
      </c>
      <c r="G23" s="403">
        <f>+RAWMATERIALS!E24</f>
        <v>10080</v>
      </c>
      <c r="H23" s="489" t="e">
        <f>+($K$10*34.44*RAWMATERIALS!I24*15)/100</f>
        <v>#REF!</v>
      </c>
      <c r="I23" s="456"/>
      <c r="J23" s="482" t="s">
        <v>190</v>
      </c>
      <c r="K23" s="473" t="e">
        <f>+#REF!</f>
        <v>#REF!</v>
      </c>
      <c r="L23" s="473" t="e">
        <f>+#REF!</f>
        <v>#REF!</v>
      </c>
      <c r="M23" s="473"/>
      <c r="N23" s="473"/>
      <c r="O23" s="473"/>
      <c r="P23" s="473"/>
      <c r="Q23" s="483"/>
    </row>
    <row r="24" spans="2:17" ht="60" customHeight="1" x14ac:dyDescent="0.5">
      <c r="B24" s="1480"/>
      <c r="C24" s="336" t="e">
        <f>+RAWMATERIALS!B25</f>
        <v>#REF!</v>
      </c>
      <c r="D24" s="403">
        <f>+RAWMATERIALS!C25</f>
        <v>0</v>
      </c>
      <c r="E24" s="488" t="e">
        <f>+RAWMATERIALS!D25</f>
        <v>#REF!</v>
      </c>
      <c r="F24" s="488" t="e">
        <f>+($K$10*34.44*RAWMATERIALS!I25)/100</f>
        <v>#REF!</v>
      </c>
      <c r="G24" s="403">
        <f>+RAWMATERIALS!E25</f>
        <v>3800</v>
      </c>
      <c r="H24" s="489" t="e">
        <f>+($K$10*34.44*RAWMATERIALS!I25*15)/100</f>
        <v>#REF!</v>
      </c>
      <c r="I24" s="456"/>
      <c r="J24" s="482"/>
      <c r="K24" s="473"/>
      <c r="L24" s="473"/>
      <c r="M24" s="473"/>
      <c r="N24" s="473"/>
      <c r="O24" s="473"/>
      <c r="P24" s="473"/>
      <c r="Q24" s="483"/>
    </row>
    <row r="25" spans="2:17" ht="60" customHeight="1" x14ac:dyDescent="0.5">
      <c r="B25" s="1480"/>
      <c r="C25" s="336" t="e">
        <f>+RAWMATERIALS!B26</f>
        <v>#REF!</v>
      </c>
      <c r="D25" s="403">
        <f>+RAWMATERIALS!C26</f>
        <v>0</v>
      </c>
      <c r="E25" s="488" t="e">
        <f>+RAWMATERIALS!D26</f>
        <v>#REF!</v>
      </c>
      <c r="F25" s="488" t="e">
        <f>+($K$10*34.44*RAWMATERIALS!I26)/100</f>
        <v>#REF!</v>
      </c>
      <c r="G25" s="403">
        <f>+RAWMATERIALS!E26</f>
        <v>290</v>
      </c>
      <c r="H25" s="489" t="e">
        <f>+($K$10*34.44*RAWMATERIALS!I26*15)/100</f>
        <v>#REF!</v>
      </c>
      <c r="I25" s="456"/>
      <c r="J25" s="482"/>
      <c r="K25" s="473"/>
      <c r="L25" s="473"/>
      <c r="M25" s="473"/>
      <c r="N25" s="473"/>
      <c r="O25" s="473"/>
      <c r="P25" s="473"/>
      <c r="Q25" s="483"/>
    </row>
    <row r="26" spans="2:17" ht="60" customHeight="1" x14ac:dyDescent="0.5">
      <c r="B26" s="1480"/>
      <c r="C26" s="336" t="e">
        <f>+RAWMATERIALS!B27</f>
        <v>#REF!</v>
      </c>
      <c r="D26" s="403">
        <f>+RAWMATERIALS!C27</f>
        <v>0</v>
      </c>
      <c r="E26" s="488" t="e">
        <f>+RAWMATERIALS!D27</f>
        <v>#REF!</v>
      </c>
      <c r="F26" s="488" t="e">
        <f>+($K$10*34.44*RAWMATERIALS!I27)/100</f>
        <v>#REF!</v>
      </c>
      <c r="G26" s="403">
        <f>+RAWMATERIALS!E27</f>
        <v>0</v>
      </c>
      <c r="H26" s="489" t="e">
        <f>+($K$10*34.44*RAWMATERIALS!I27*15)/100</f>
        <v>#REF!</v>
      </c>
      <c r="I26" s="456"/>
      <c r="J26" s="482" t="s">
        <v>189</v>
      </c>
      <c r="K26" s="473"/>
      <c r="L26" s="473"/>
      <c r="M26" s="473"/>
      <c r="N26" s="473"/>
      <c r="O26" s="473"/>
      <c r="P26" s="473"/>
      <c r="Q26" s="483"/>
    </row>
    <row r="27" spans="2:17" ht="60" customHeight="1" x14ac:dyDescent="0.5">
      <c r="B27" s="1480"/>
      <c r="C27" s="336" t="str">
        <f>+RAWMATERIALS!B28</f>
        <v>JAMADOBA</v>
      </c>
      <c r="D27" s="403">
        <f>+RAWMATERIALS!C28</f>
        <v>0</v>
      </c>
      <c r="E27" s="488" t="e">
        <f>+RAWMATERIALS!D28</f>
        <v>#REF!</v>
      </c>
      <c r="F27" s="488" t="e">
        <f>+($K$10*34.44*RAWMATERIALS!I28)/100</f>
        <v>#REF!</v>
      </c>
      <c r="G27" s="403">
        <f>+RAWMATERIALS!E28</f>
        <v>3080</v>
      </c>
      <c r="H27" s="489" t="e">
        <f>+($K$10*34.44*RAWMATERIALS!I28*15)/100</f>
        <v>#REF!</v>
      </c>
      <c r="I27" s="456"/>
      <c r="J27" s="482" t="s">
        <v>187</v>
      </c>
      <c r="K27" s="473" t="e">
        <f>+#REF!</f>
        <v>#REF!</v>
      </c>
      <c r="L27" s="473" t="e">
        <f>+#REF!</f>
        <v>#REF!</v>
      </c>
      <c r="M27" s="473"/>
      <c r="N27" s="473"/>
      <c r="O27" s="473"/>
      <c r="P27" s="473"/>
      <c r="Q27" s="483"/>
    </row>
    <row r="28" spans="2:17" ht="60" customHeight="1" x14ac:dyDescent="0.5">
      <c r="B28" s="1480"/>
      <c r="C28" s="336" t="e">
        <f>+RAWMATERIALS!B29</f>
        <v>#REF!</v>
      </c>
      <c r="D28" s="403">
        <f>+RAWMATERIALS!C29</f>
        <v>0</v>
      </c>
      <c r="E28" s="488" t="e">
        <f>+RAWMATERIALS!D29</f>
        <v>#REF!</v>
      </c>
      <c r="F28" s="488" t="e">
        <f>+($K$10*34.44*RAWMATERIALS!I29)/100</f>
        <v>#REF!</v>
      </c>
      <c r="G28" s="403">
        <f>+RAWMATERIALS!E29</f>
        <v>180</v>
      </c>
      <c r="H28" s="489" t="e">
        <f>+($K$10*34.44*RAWMATERIALS!I29*15)/100</f>
        <v>#REF!</v>
      </c>
      <c r="I28" s="456"/>
      <c r="J28" s="482" t="s">
        <v>186</v>
      </c>
      <c r="K28" s="473" t="e">
        <f>+#REF!</f>
        <v>#REF!</v>
      </c>
      <c r="L28" s="473" t="e">
        <f>+#REF!</f>
        <v>#REF!</v>
      </c>
      <c r="M28" s="473"/>
      <c r="N28" s="473"/>
      <c r="O28" s="473"/>
      <c r="P28" s="473"/>
      <c r="Q28" s="483"/>
    </row>
    <row r="29" spans="2:17" ht="84.75" customHeight="1" x14ac:dyDescent="0.5">
      <c r="B29" s="1480"/>
      <c r="C29" s="336" t="e">
        <f>+RAWMATERIALS!B30</f>
        <v>#REF!</v>
      </c>
      <c r="D29" s="403">
        <f>+RAWMATERIALS!C30</f>
        <v>0</v>
      </c>
      <c r="E29" s="488" t="e">
        <f>+RAWMATERIALS!D30</f>
        <v>#REF!</v>
      </c>
      <c r="F29" s="488" t="e">
        <f>+($K$10*34.44*RAWMATERIALS!I30)/100</f>
        <v>#REF!</v>
      </c>
      <c r="G29" s="403">
        <f>+RAWMATERIALS!E30</f>
        <v>4300</v>
      </c>
      <c r="H29" s="489" t="e">
        <f>+($K$10*34.44*RAWMATERIALS!I30*15)/100</f>
        <v>#REF!</v>
      </c>
      <c r="I29" s="456"/>
      <c r="J29" s="482" t="e">
        <f>+#REF!</f>
        <v>#REF!</v>
      </c>
      <c r="K29" s="473" t="e">
        <f>+#REF!</f>
        <v>#REF!</v>
      </c>
      <c r="L29" s="473" t="e">
        <f>+#REF!</f>
        <v>#REF!</v>
      </c>
      <c r="M29" s="473" t="e">
        <f>+#REF!</f>
        <v>#REF!</v>
      </c>
      <c r="N29" s="473" t="e">
        <f>+#REF!</f>
        <v>#REF!</v>
      </c>
      <c r="O29" s="473" t="e">
        <f>+#REF!</f>
        <v>#REF!</v>
      </c>
      <c r="P29" s="473" t="e">
        <f>+#REF!</f>
        <v>#REF!</v>
      </c>
      <c r="Q29" s="483" t="e">
        <f>+#REF!</f>
        <v>#REF!</v>
      </c>
    </row>
    <row r="30" spans="2:17" ht="88.5" customHeight="1" x14ac:dyDescent="0.5">
      <c r="B30" s="1480"/>
      <c r="C30" s="336" t="e">
        <f>+RAWMATERIALS!B31</f>
        <v>#REF!</v>
      </c>
      <c r="D30" s="403">
        <f>+RAWMATERIALS!C31</f>
        <v>0</v>
      </c>
      <c r="E30" s="488" t="e">
        <f>+RAWMATERIALS!D31</f>
        <v>#REF!</v>
      </c>
      <c r="F30" s="488" t="e">
        <f>+($K$10*34.44*RAWMATERIALS!I31)/100</f>
        <v>#REF!</v>
      </c>
      <c r="G30" s="403">
        <f>+RAWMATERIALS!E31</f>
        <v>0</v>
      </c>
      <c r="H30" s="489" t="e">
        <f>+($K$10*34.44*RAWMATERIALS!I31*15)/100</f>
        <v>#REF!</v>
      </c>
      <c r="I30" s="456"/>
      <c r="J30" s="482" t="e">
        <f>+#REF!</f>
        <v>#REF!</v>
      </c>
      <c r="K30" s="473" t="e">
        <f>+#REF!</f>
        <v>#REF!</v>
      </c>
      <c r="L30" s="473" t="e">
        <f>+#REF!</f>
        <v>#REF!</v>
      </c>
      <c r="M30" s="473" t="e">
        <f>+#REF!</f>
        <v>#REF!</v>
      </c>
      <c r="N30" s="473" t="e">
        <f>+#REF!</f>
        <v>#REF!</v>
      </c>
      <c r="O30" s="473" t="e">
        <f>+#REF!</f>
        <v>#REF!</v>
      </c>
      <c r="P30" s="473" t="e">
        <f>+#REF!</f>
        <v>#REF!</v>
      </c>
      <c r="Q30" s="483" t="e">
        <f>+#REF!</f>
        <v>#REF!</v>
      </c>
    </row>
    <row r="31" spans="2:17" ht="100.5" customHeight="1" thickBot="1" x14ac:dyDescent="0.55000000000000004">
      <c r="B31" s="1507"/>
      <c r="C31" s="336" t="e">
        <f>+RAWMATERIALS!B32</f>
        <v>#REF!</v>
      </c>
      <c r="D31" s="502">
        <f>+RAWMATERIALS!C32</f>
        <v>0</v>
      </c>
      <c r="E31" s="488" t="e">
        <f>+RAWMATERIALS!D32</f>
        <v>#REF!</v>
      </c>
      <c r="F31" s="488" t="e">
        <f>+($K$10*34.44*RAWMATERIALS!I32)/100</f>
        <v>#REF!</v>
      </c>
      <c r="G31" s="403">
        <f>+RAWMATERIALS!E32</f>
        <v>0</v>
      </c>
      <c r="H31" s="489" t="e">
        <f>+($K$10*34.44*RAWMATERIALS!I32*15)/100</f>
        <v>#REF!</v>
      </c>
      <c r="I31" s="456"/>
      <c r="J31" s="482" t="s">
        <v>1</v>
      </c>
      <c r="K31" s="473" t="e">
        <f t="shared" ref="K31:P31" si="0">SUM(K29:K30)</f>
        <v>#REF!</v>
      </c>
      <c r="L31" s="473" t="e">
        <f t="shared" si="0"/>
        <v>#REF!</v>
      </c>
      <c r="M31" s="473" t="e">
        <f t="shared" si="0"/>
        <v>#REF!</v>
      </c>
      <c r="N31" s="473" t="e">
        <f>+#REF!</f>
        <v>#REF!</v>
      </c>
      <c r="O31" s="473" t="e">
        <f t="shared" si="0"/>
        <v>#REF!</v>
      </c>
      <c r="P31" s="473" t="e">
        <f t="shared" si="0"/>
        <v>#REF!</v>
      </c>
      <c r="Q31" s="483" t="e">
        <f>+#REF!</f>
        <v>#REF!</v>
      </c>
    </row>
    <row r="32" spans="2:17" ht="60" customHeight="1" thickBot="1" x14ac:dyDescent="0.55000000000000004">
      <c r="B32" s="1536" t="s">
        <v>188</v>
      </c>
      <c r="C32" s="1537"/>
      <c r="D32" s="503">
        <f>SUM(D21:D31)</f>
        <v>0</v>
      </c>
      <c r="E32" s="503" t="e">
        <f>SUM(E21:E31)</f>
        <v>#REF!</v>
      </c>
      <c r="F32" s="504" t="e">
        <f>SUM(F21:F31)</f>
        <v>#REF!</v>
      </c>
      <c r="G32" s="503">
        <f>SUM(G21:G31)</f>
        <v>28930</v>
      </c>
      <c r="H32" s="505" t="e">
        <f>+($K$10*34.44*RAWMATERIALS!I33*15)/100</f>
        <v>#REF!</v>
      </c>
      <c r="I32" s="456"/>
      <c r="J32" s="482"/>
      <c r="K32" s="473"/>
      <c r="L32" s="473"/>
      <c r="M32" s="473"/>
      <c r="N32" s="473"/>
      <c r="O32" s="473"/>
      <c r="P32" s="473"/>
      <c r="Q32" s="483"/>
    </row>
    <row r="33" spans="2:17" ht="70.5" customHeight="1" thickBot="1" x14ac:dyDescent="0.55000000000000004">
      <c r="B33" s="457"/>
      <c r="C33" s="506" t="s">
        <v>139</v>
      </c>
      <c r="D33" s="503">
        <f>+RAWMATERIALS!C34</f>
        <v>0</v>
      </c>
      <c r="E33" s="504" t="e">
        <f>+RAWMATERIALS!D34</f>
        <v>#REF!</v>
      </c>
      <c r="F33" s="503">
        <f>+RAWMATERIALS!F34</f>
        <v>1215</v>
      </c>
      <c r="G33" s="503">
        <f>+RAWMATERIALS!E34</f>
        <v>9800</v>
      </c>
      <c r="H33" s="507"/>
      <c r="I33" s="456"/>
      <c r="J33" s="482" t="s">
        <v>182</v>
      </c>
      <c r="K33" s="473"/>
      <c r="L33" s="473"/>
      <c r="M33" s="473"/>
      <c r="N33" s="473"/>
      <c r="O33" s="473"/>
      <c r="P33" s="473"/>
      <c r="Q33" s="483"/>
    </row>
    <row r="34" spans="2:17" ht="86.25" customHeight="1" x14ac:dyDescent="0.5">
      <c r="B34" s="1495" t="s">
        <v>111</v>
      </c>
      <c r="C34" s="508" t="s">
        <v>185</v>
      </c>
      <c r="D34" s="509"/>
      <c r="E34" s="508"/>
      <c r="F34" s="508"/>
      <c r="G34" s="510"/>
      <c r="H34" s="511"/>
      <c r="I34" s="456"/>
      <c r="J34" s="482" t="s">
        <v>9</v>
      </c>
      <c r="K34" s="473" t="e">
        <f>+#REF!</f>
        <v>#REF!</v>
      </c>
      <c r="L34" s="473" t="e">
        <f>+#REF!</f>
        <v>#REF!</v>
      </c>
      <c r="M34" s="473" t="e">
        <f>+#REF!</f>
        <v>#REF!</v>
      </c>
      <c r="N34" s="473" t="e">
        <f>+#REF!</f>
        <v>#REF!</v>
      </c>
      <c r="O34" s="473" t="e">
        <f>+#REF!</f>
        <v>#REF!</v>
      </c>
      <c r="P34" s="473" t="e">
        <f>+#REF!</f>
        <v>#REF!</v>
      </c>
      <c r="Q34" s="483" t="e">
        <f>+#REF!</f>
        <v>#REF!</v>
      </c>
    </row>
    <row r="35" spans="2:17" ht="103.7" customHeight="1" x14ac:dyDescent="0.5">
      <c r="B35" s="1496"/>
      <c r="C35" s="485" t="s">
        <v>184</v>
      </c>
      <c r="D35" s="403">
        <f>+RAWMATERIALS!C40</f>
        <v>0</v>
      </c>
      <c r="E35" s="403" t="e">
        <f>+RAWMATERIALS!D40</f>
        <v>#REF!</v>
      </c>
      <c r="F35" s="403">
        <f>+RAWMATERIALS!F40</f>
        <v>0</v>
      </c>
      <c r="G35" s="488">
        <f>+RAWMATERIALS!E40</f>
        <v>300</v>
      </c>
      <c r="H35" s="1528"/>
      <c r="I35" s="456"/>
      <c r="J35" s="482" t="s">
        <v>10</v>
      </c>
      <c r="K35" s="473" t="e">
        <f>+#REF!</f>
        <v>#REF!</v>
      </c>
      <c r="L35" s="473" t="e">
        <f>+#REF!</f>
        <v>#REF!</v>
      </c>
      <c r="M35" s="473" t="e">
        <f>+#REF!</f>
        <v>#REF!</v>
      </c>
      <c r="N35" s="473" t="e">
        <f>+#REF!</f>
        <v>#REF!</v>
      </c>
      <c r="O35" s="473" t="e">
        <f>+#REF!</f>
        <v>#REF!</v>
      </c>
      <c r="P35" s="473" t="e">
        <f>+#REF!</f>
        <v>#REF!</v>
      </c>
      <c r="Q35" s="483" t="e">
        <f>+#REF!</f>
        <v>#REF!</v>
      </c>
    </row>
    <row r="36" spans="2:17" ht="60" customHeight="1" x14ac:dyDescent="0.5">
      <c r="B36" s="1496"/>
      <c r="C36" s="485" t="s">
        <v>183</v>
      </c>
      <c r="D36" s="403">
        <f>+RAWMATERIALS!C41</f>
        <v>0</v>
      </c>
      <c r="E36" s="403">
        <f>+RAWMATERIALS!D41</f>
        <v>0</v>
      </c>
      <c r="F36" s="488">
        <f>+RAWMATERIALS!F41</f>
        <v>0</v>
      </c>
      <c r="G36" s="488">
        <f>+RAWMATERIALS!E41</f>
        <v>0</v>
      </c>
      <c r="H36" s="1529"/>
      <c r="I36" s="456"/>
      <c r="J36" s="482" t="s">
        <v>79</v>
      </c>
      <c r="K36" s="473" t="e">
        <f>+#REF!</f>
        <v>#REF!</v>
      </c>
      <c r="L36" s="473" t="e">
        <f>+#REF!</f>
        <v>#REF!</v>
      </c>
      <c r="M36" s="473" t="e">
        <f>+#REF!</f>
        <v>#REF!</v>
      </c>
      <c r="N36" s="473" t="e">
        <f>+#REF!</f>
        <v>#REF!</v>
      </c>
      <c r="O36" s="473" t="e">
        <f>+#REF!</f>
        <v>#REF!</v>
      </c>
      <c r="P36" s="473" t="e">
        <f>+#REF!</f>
        <v>#REF!</v>
      </c>
      <c r="Q36" s="483" t="e">
        <f>+#REF!</f>
        <v>#REF!</v>
      </c>
    </row>
    <row r="37" spans="2:17" ht="60" customHeight="1" thickBot="1" x14ac:dyDescent="0.55000000000000004">
      <c r="B37" s="1497"/>
      <c r="C37" s="512" t="s">
        <v>124</v>
      </c>
      <c r="D37" s="513">
        <f>+SUM(D35:D36)</f>
        <v>0</v>
      </c>
      <c r="E37" s="513" t="e">
        <f>+SUM(E35:E36)</f>
        <v>#REF!</v>
      </c>
      <c r="F37" s="513">
        <f>+SUM(F35:F36)</f>
        <v>0</v>
      </c>
      <c r="G37" s="513">
        <f>+SUM(G35:G36)</f>
        <v>300</v>
      </c>
      <c r="H37" s="1530"/>
      <c r="I37" s="456"/>
      <c r="J37" s="482" t="s">
        <v>275</v>
      </c>
      <c r="K37" s="473" t="e">
        <f>+#REF!</f>
        <v>#REF!</v>
      </c>
      <c r="L37" s="473" t="e">
        <f>+#REF!</f>
        <v>#REF!</v>
      </c>
      <c r="M37" s="473" t="e">
        <f>+#REF!</f>
        <v>#REF!</v>
      </c>
      <c r="N37" s="473" t="e">
        <f>+#REF!</f>
        <v>#REF!</v>
      </c>
      <c r="O37" s="473" t="e">
        <f>+#REF!</f>
        <v>#REF!</v>
      </c>
      <c r="P37" s="473" t="e">
        <f>+#REF!</f>
        <v>#REF!</v>
      </c>
      <c r="Q37" s="483" t="e">
        <f>+#REF!</f>
        <v>#REF!</v>
      </c>
    </row>
    <row r="38" spans="2:17" ht="129.75" customHeight="1" thickBot="1" x14ac:dyDescent="0.55000000000000004">
      <c r="B38" s="514"/>
      <c r="C38" s="515"/>
      <c r="D38" s="515"/>
      <c r="E38" s="516"/>
      <c r="F38" s="517" t="s">
        <v>343</v>
      </c>
      <c r="G38" s="518" t="s">
        <v>43</v>
      </c>
      <c r="H38" s="519" t="s">
        <v>344</v>
      </c>
      <c r="I38" s="456"/>
      <c r="J38" s="482" t="s">
        <v>12</v>
      </c>
      <c r="K38" s="473" t="e">
        <f>+#REF!</f>
        <v>#REF!</v>
      </c>
      <c r="L38" s="473" t="e">
        <f>+#REF!</f>
        <v>#REF!</v>
      </c>
      <c r="M38" s="473" t="e">
        <f>+#REF!</f>
        <v>#REF!</v>
      </c>
      <c r="N38" s="473" t="e">
        <f>+#REF!</f>
        <v>#REF!</v>
      </c>
      <c r="O38" s="473" t="e">
        <f>+#REF!</f>
        <v>#REF!</v>
      </c>
      <c r="P38" s="473" t="e">
        <f>+#REF!</f>
        <v>#REF!</v>
      </c>
      <c r="Q38" s="483" t="e">
        <f>+#REF!</f>
        <v>#REF!</v>
      </c>
    </row>
    <row r="39" spans="2:17" ht="60" customHeight="1" x14ac:dyDescent="0.5">
      <c r="B39" s="1495" t="s">
        <v>113</v>
      </c>
      <c r="C39" s="1498" t="s">
        <v>386</v>
      </c>
      <c r="D39" s="1501">
        <f>+RAWMATERIALS!C46</f>
        <v>12300</v>
      </c>
      <c r="E39" s="1501" t="e">
        <f>+RAWMATERIALS!D46</f>
        <v>#REF!</v>
      </c>
      <c r="F39" s="1533" t="e">
        <f>0.8*#REF!-(F41*0.15)</f>
        <v>#REF!</v>
      </c>
      <c r="G39" s="1501">
        <f>+RAWMATERIALS!E46</f>
        <v>120627</v>
      </c>
      <c r="H39" s="1503" t="str">
        <f>IFERROR(G39/F39,"-")</f>
        <v>-</v>
      </c>
      <c r="I39" s="456"/>
      <c r="J39" s="482"/>
      <c r="K39" s="473"/>
      <c r="L39" s="473"/>
      <c r="M39" s="473"/>
      <c r="N39" s="473"/>
      <c r="O39" s="473"/>
      <c r="P39" s="473"/>
      <c r="Q39" s="483"/>
    </row>
    <row r="40" spans="2:17" x14ac:dyDescent="0.5">
      <c r="B40" s="1496"/>
      <c r="C40" s="1499"/>
      <c r="D40" s="1502"/>
      <c r="E40" s="1502"/>
      <c r="F40" s="1532"/>
      <c r="G40" s="1502"/>
      <c r="H40" s="1504"/>
      <c r="I40" s="456"/>
      <c r="J40" s="482"/>
      <c r="K40" s="473"/>
      <c r="L40" s="473"/>
      <c r="M40" s="473"/>
      <c r="N40" s="473"/>
      <c r="O40" s="473"/>
      <c r="P40" s="473"/>
      <c r="Q40" s="483"/>
    </row>
    <row r="41" spans="2:17" ht="60" customHeight="1" x14ac:dyDescent="0.5">
      <c r="B41" s="1496"/>
      <c r="C41" s="485" t="s">
        <v>181</v>
      </c>
      <c r="D41" s="403">
        <f>+RAWMATERIALS!C45</f>
        <v>2160</v>
      </c>
      <c r="E41" s="403" t="e">
        <f>+RAWMATERIALS!D45</f>
        <v>#REF!</v>
      </c>
      <c r="F41" s="488" t="e">
        <f>0*#REF!+3.72*#REF!*0.071</f>
        <v>#REF!</v>
      </c>
      <c r="G41" s="403">
        <f>+RAWMATERIALS!E45</f>
        <v>63369</v>
      </c>
      <c r="H41" s="1150" t="e">
        <f t="shared" ref="H41:H48" si="1">G41/F41</f>
        <v>#REF!</v>
      </c>
      <c r="I41" s="456"/>
      <c r="J41" s="482" t="s">
        <v>179</v>
      </c>
      <c r="K41" s="473"/>
      <c r="L41" s="473"/>
      <c r="M41" s="473"/>
      <c r="N41" s="473"/>
      <c r="O41" s="473"/>
      <c r="P41" s="473"/>
      <c r="Q41" s="483"/>
    </row>
    <row r="42" spans="2:17" ht="60" customHeight="1" x14ac:dyDescent="0.5">
      <c r="B42" s="1496"/>
      <c r="C42" s="485" t="s">
        <v>141</v>
      </c>
      <c r="D42" s="403">
        <f>+RAWMATERIALS!C48</f>
        <v>0</v>
      </c>
      <c r="E42" s="488" t="e">
        <f>+RAWMATERIALS!D48</f>
        <v>#REF!</v>
      </c>
      <c r="F42" s="971">
        <f>+IF(G42=0,"0",((85/1000*DAILYREPORT1!C14))-(((DAILYREPORT1!J83*DAILYREPORT1!C32/1000)/0.65/0.56/0.65)*0.27))</f>
        <v>271.25528764158935</v>
      </c>
      <c r="G42" s="403">
        <v>100</v>
      </c>
      <c r="H42" s="489">
        <f>IFERROR(G42/F42,"-")</f>
        <v>0.36865640802597138</v>
      </c>
      <c r="I42" s="456"/>
      <c r="J42" s="482" t="s">
        <v>9</v>
      </c>
      <c r="K42" s="473" t="e">
        <f>+#REF!</f>
        <v>#REF!</v>
      </c>
      <c r="L42" s="473" t="e">
        <f>+#REF!</f>
        <v>#REF!</v>
      </c>
      <c r="M42" s="473" t="e">
        <f>+#REF!</f>
        <v>#REF!</v>
      </c>
      <c r="N42" s="473" t="e">
        <f>+#REF!</f>
        <v>#REF!</v>
      </c>
      <c r="O42" s="473" t="e">
        <f>+#REF!</f>
        <v>#REF!</v>
      </c>
      <c r="P42" s="473" t="e">
        <f>+#REF!</f>
        <v>#REF!</v>
      </c>
      <c r="Q42" s="483" t="e">
        <f>+#REF!</f>
        <v>#REF!</v>
      </c>
    </row>
    <row r="43" spans="2:17" ht="60" customHeight="1" x14ac:dyDescent="0.5">
      <c r="B43" s="1496"/>
      <c r="C43" s="485" t="s">
        <v>130</v>
      </c>
      <c r="D43" s="403">
        <f>+RAWMATERIALS!C49</f>
        <v>0</v>
      </c>
      <c r="E43" s="488" t="e">
        <f>+RAWMATERIALS!D49</f>
        <v>#REF!</v>
      </c>
      <c r="F43" s="939">
        <f>+(((DAILYREPORT1!I83*DAILYREPORT1!C32/1000)/0.65)/0.56/0.65)+((85/1000*DAILYREPORT1!C14))-(((DAILYREPORT1!I83*DAILYREPORT1!C32/1000)/0.65/0.56/0.65)*0.35)-F42</f>
        <v>2284.1412046661026</v>
      </c>
      <c r="G43" s="403">
        <f>+RAWMATERIALS!E49</f>
        <v>5481</v>
      </c>
      <c r="H43" s="489">
        <f>IFERROR(G43/F43,"-")</f>
        <v>2.3995889522080649</v>
      </c>
      <c r="I43" s="456"/>
      <c r="J43" s="482" t="s">
        <v>10</v>
      </c>
      <c r="K43" s="473" t="e">
        <f>+#REF!</f>
        <v>#REF!</v>
      </c>
      <c r="L43" s="473" t="e">
        <f>+#REF!</f>
        <v>#REF!</v>
      </c>
      <c r="M43" s="473" t="e">
        <f>+#REF!</f>
        <v>#REF!</v>
      </c>
      <c r="N43" s="473" t="e">
        <f>+#REF!</f>
        <v>#REF!</v>
      </c>
      <c r="O43" s="473" t="e">
        <f>+#REF!</f>
        <v>#REF!</v>
      </c>
      <c r="P43" s="473" t="e">
        <f>+#REF!</f>
        <v>#REF!</v>
      </c>
      <c r="Q43" s="483" t="e">
        <f>+#REF!</f>
        <v>#REF!</v>
      </c>
    </row>
    <row r="44" spans="2:17" ht="60" customHeight="1" x14ac:dyDescent="0.5">
      <c r="B44" s="1496"/>
      <c r="C44" s="485" t="s">
        <v>140</v>
      </c>
      <c r="D44" s="403">
        <f>+RAWMATERIALS!C50</f>
        <v>0</v>
      </c>
      <c r="E44" s="488" t="e">
        <f>+RAWMATERIALS!D50</f>
        <v>#REF!</v>
      </c>
      <c r="F44" s="971">
        <f>+(90*DAILYREPORT1!C14/1000)-F45*0.45</f>
        <v>784.39111211369277</v>
      </c>
      <c r="G44" s="403">
        <f>+RAWMATERIALS!E50</f>
        <v>4230</v>
      </c>
      <c r="H44" s="489">
        <f t="shared" si="1"/>
        <v>5.3927179116059225</v>
      </c>
      <c r="I44" s="456"/>
      <c r="J44" s="482" t="s">
        <v>79</v>
      </c>
      <c r="K44" s="473" t="e">
        <f>+#REF!</f>
        <v>#REF!</v>
      </c>
      <c r="L44" s="473" t="e">
        <f>+#REF!</f>
        <v>#REF!</v>
      </c>
      <c r="M44" s="473" t="e">
        <f>+#REF!</f>
        <v>#REF!</v>
      </c>
      <c r="N44" s="473" t="e">
        <f>+#REF!</f>
        <v>#REF!</v>
      </c>
      <c r="O44" s="473" t="e">
        <f>+#REF!</f>
        <v>#REF!</v>
      </c>
      <c r="P44" s="473" t="e">
        <f>+#REF!</f>
        <v>#REF!</v>
      </c>
      <c r="Q44" s="483" t="e">
        <f>+#REF!</f>
        <v>#REF!</v>
      </c>
    </row>
    <row r="45" spans="2:17" ht="60" customHeight="1" x14ac:dyDescent="0.5">
      <c r="B45" s="1496"/>
      <c r="C45" s="485" t="s">
        <v>133</v>
      </c>
      <c r="D45" s="403" t="s">
        <v>77</v>
      </c>
      <c r="E45" s="488" t="e">
        <f>+RAWMATERIALS!D51</f>
        <v>#REF!</v>
      </c>
      <c r="F45" s="488">
        <f>+(((20*DAILYREPORT1!C32/1000)/0.93)/0.52/0.55)</f>
        <v>644.90863974734918</v>
      </c>
      <c r="G45" s="403">
        <f>+RAWMATERIALS!E51</f>
        <v>19181</v>
      </c>
      <c r="H45" s="489">
        <f t="shared" si="1"/>
        <v>29.74219729404523</v>
      </c>
      <c r="I45" s="456"/>
      <c r="J45" s="482" t="s">
        <v>178</v>
      </c>
      <c r="K45" s="473" t="e">
        <f>+#REF!</f>
        <v>#REF!</v>
      </c>
      <c r="L45" s="473" t="e">
        <f>+#REF!</f>
        <v>#REF!</v>
      </c>
      <c r="M45" s="473" t="e">
        <f>+#REF!</f>
        <v>#REF!</v>
      </c>
      <c r="N45" s="473" t="e">
        <f>+#REF!</f>
        <v>#REF!</v>
      </c>
      <c r="O45" s="473" t="e">
        <f>+#REF!</f>
        <v>#REF!</v>
      </c>
      <c r="P45" s="473" t="e">
        <f>+#REF!</f>
        <v>#REF!</v>
      </c>
      <c r="Q45" s="483" t="e">
        <f>+#REF!</f>
        <v>#REF!</v>
      </c>
    </row>
    <row r="46" spans="2:17" ht="60" customHeight="1" x14ac:dyDescent="0.5">
      <c r="B46" s="1496"/>
      <c r="C46" s="1500" t="s">
        <v>33</v>
      </c>
      <c r="D46" s="1527">
        <f>+RAWMATERIALS!C52</f>
        <v>0</v>
      </c>
      <c r="E46" s="1527" t="e">
        <f>+RAWMATERIALS!D52</f>
        <v>#REF!</v>
      </c>
      <c r="F46" s="1531" t="e">
        <f>0.0005*#REF!</f>
        <v>#REF!</v>
      </c>
      <c r="G46" s="1527">
        <f>+RAWMATERIALS!E52</f>
        <v>1750</v>
      </c>
      <c r="H46" s="1505" t="e">
        <f t="shared" si="1"/>
        <v>#REF!</v>
      </c>
      <c r="I46" s="456"/>
      <c r="J46" s="482" t="s">
        <v>177</v>
      </c>
      <c r="K46" s="473" t="e">
        <f>+#REF!</f>
        <v>#REF!</v>
      </c>
      <c r="L46" s="473" t="e">
        <f>+#REF!</f>
        <v>#REF!</v>
      </c>
      <c r="M46" s="473" t="e">
        <f>+#REF!</f>
        <v>#REF!</v>
      </c>
      <c r="N46" s="473" t="e">
        <f>+#REF!</f>
        <v>#REF!</v>
      </c>
      <c r="O46" s="473" t="e">
        <f>+#REF!</f>
        <v>#REF!</v>
      </c>
      <c r="P46" s="473" t="e">
        <f>+#REF!</f>
        <v>#REF!</v>
      </c>
      <c r="Q46" s="483" t="e">
        <f>+#REF!</f>
        <v>#REF!</v>
      </c>
    </row>
    <row r="47" spans="2:17" ht="60" customHeight="1" x14ac:dyDescent="0.5">
      <c r="B47" s="1496"/>
      <c r="C47" s="1499"/>
      <c r="D47" s="1502"/>
      <c r="E47" s="1502"/>
      <c r="F47" s="1532"/>
      <c r="G47" s="1502"/>
      <c r="H47" s="1504" t="e">
        <f t="shared" si="1"/>
        <v>#DIV/0!</v>
      </c>
      <c r="I47" s="456"/>
      <c r="J47" s="482"/>
      <c r="K47" s="473"/>
      <c r="L47" s="473"/>
      <c r="M47" s="473"/>
      <c r="N47" s="473"/>
      <c r="O47" s="473"/>
      <c r="P47" s="473"/>
      <c r="Q47" s="483"/>
    </row>
    <row r="48" spans="2:17" ht="60" customHeight="1" x14ac:dyDescent="0.5">
      <c r="B48" s="1496"/>
      <c r="C48" s="485" t="s">
        <v>34</v>
      </c>
      <c r="D48" s="403">
        <f>+RAWMATERIALS!C53</f>
        <v>0</v>
      </c>
      <c r="E48" s="403" t="e">
        <f>+RAWMATERIALS!D53</f>
        <v>#REF!</v>
      </c>
      <c r="F48" s="488" t="e">
        <f>0.013*#REF!</f>
        <v>#REF!</v>
      </c>
      <c r="G48" s="403">
        <f>+RAWMATERIALS!E53</f>
        <v>0</v>
      </c>
      <c r="H48" s="520" t="e">
        <f t="shared" si="1"/>
        <v>#REF!</v>
      </c>
      <c r="I48" s="456"/>
      <c r="J48" s="482" t="s">
        <v>176</v>
      </c>
      <c r="K48" s="1018" t="s">
        <v>51</v>
      </c>
      <c r="L48" s="473" t="e">
        <f>+#REF!</f>
        <v>#REF!</v>
      </c>
      <c r="M48" s="473" t="e">
        <f>+#REF!</f>
        <v>#REF!</v>
      </c>
      <c r="N48" s="473" t="e">
        <f>+#REF!</f>
        <v>#REF!</v>
      </c>
      <c r="O48" s="473" t="e">
        <f>+#REF!</f>
        <v>#REF!</v>
      </c>
      <c r="P48" s="473" t="e">
        <f>+#REF!</f>
        <v>#REF!</v>
      </c>
      <c r="Q48" s="483" t="e">
        <f>+#REF!</f>
        <v>#REF!</v>
      </c>
    </row>
    <row r="49" spans="2:21" ht="102.75" customHeight="1" x14ac:dyDescent="0.5">
      <c r="B49" s="1496"/>
      <c r="C49" s="944"/>
      <c r="D49" s="945"/>
      <c r="E49" s="945"/>
      <c r="F49" s="946"/>
      <c r="G49" s="403"/>
      <c r="H49" s="943"/>
      <c r="I49" s="456"/>
      <c r="J49" s="482"/>
      <c r="K49" s="473"/>
      <c r="L49" s="473"/>
      <c r="M49" s="473"/>
      <c r="N49" s="473"/>
      <c r="O49" s="473"/>
      <c r="P49" s="473"/>
      <c r="Q49" s="483"/>
    </row>
    <row r="50" spans="2:21" ht="60" customHeight="1" x14ac:dyDescent="0.5">
      <c r="B50" s="1496"/>
      <c r="C50" s="947"/>
      <c r="D50" s="947"/>
      <c r="E50" s="947"/>
      <c r="F50" s="948"/>
      <c r="G50" s="523"/>
      <c r="H50" s="521"/>
      <c r="I50" s="456"/>
      <c r="J50" s="1524" t="s">
        <v>174</v>
      </c>
      <c r="K50" s="1479"/>
      <c r="L50" s="473"/>
      <c r="M50" s="473"/>
      <c r="N50" s="473"/>
      <c r="O50" s="473"/>
      <c r="P50" s="1479" t="s">
        <v>370</v>
      </c>
      <c r="Q50" s="483"/>
    </row>
    <row r="51" spans="2:21" ht="85.7" customHeight="1" x14ac:dyDescent="0.5">
      <c r="B51" s="1496"/>
      <c r="C51" s="524" t="s">
        <v>175</v>
      </c>
      <c r="D51" s="403">
        <f>+RAWMATERIALS!N57</f>
        <v>930</v>
      </c>
      <c r="E51" s="488" t="e">
        <f>+RAWMATERIALS!O57</f>
        <v>#REF!</v>
      </c>
      <c r="F51" s="403">
        <v>415</v>
      </c>
      <c r="G51" s="403">
        <f>+RAWMATERIALS!E45</f>
        <v>63369</v>
      </c>
      <c r="H51" s="525"/>
      <c r="I51" s="456"/>
      <c r="J51" s="482" t="s">
        <v>211</v>
      </c>
      <c r="K51" s="473">
        <f>+DAILYREPORT1!C57</f>
        <v>0</v>
      </c>
      <c r="L51" s="473">
        <f>+DAILYREPORT1!D57</f>
        <v>0</v>
      </c>
      <c r="M51" s="473"/>
      <c r="N51" s="473"/>
      <c r="O51" s="473"/>
      <c r="P51" s="1479"/>
      <c r="Q51" s="483"/>
    </row>
    <row r="52" spans="2:21" ht="80.45" customHeight="1" x14ac:dyDescent="0.5">
      <c r="B52" s="1496"/>
      <c r="C52" s="526" t="s">
        <v>173</v>
      </c>
      <c r="D52" s="527">
        <f>+RAWMATERIALS!N58</f>
        <v>9163</v>
      </c>
      <c r="E52" s="488" t="e">
        <f>+RAWMATERIALS!O58</f>
        <v>#REF!</v>
      </c>
      <c r="F52" s="403"/>
      <c r="G52" s="528"/>
      <c r="H52" s="529"/>
      <c r="I52" s="456"/>
      <c r="J52" s="482" t="s">
        <v>172</v>
      </c>
      <c r="K52" s="473" t="e">
        <f>+#REF!</f>
        <v>#REF!</v>
      </c>
      <c r="L52" s="473" t="e">
        <f>+#REF!</f>
        <v>#REF!</v>
      </c>
      <c r="M52" s="473" t="e">
        <f>+#REF!</f>
        <v>#REF!</v>
      </c>
      <c r="N52" s="473" t="e">
        <f>+#REF!</f>
        <v>#REF!</v>
      </c>
      <c r="O52" s="473" t="e">
        <f>+#REF!</f>
        <v>#REF!</v>
      </c>
      <c r="P52" s="473" t="e">
        <f>+#REF!</f>
        <v>#REF!</v>
      </c>
      <c r="Q52" s="483" t="e">
        <f>+#REF!</f>
        <v>#REF!</v>
      </c>
    </row>
    <row r="53" spans="2:21" ht="97.5" customHeight="1" x14ac:dyDescent="0.5">
      <c r="B53" s="1496"/>
      <c r="C53" s="530" t="s">
        <v>13</v>
      </c>
      <c r="D53" s="335" t="s">
        <v>52</v>
      </c>
      <c r="E53" s="335" t="s">
        <v>51</v>
      </c>
      <c r="F53" s="335" t="s">
        <v>171</v>
      </c>
      <c r="G53" s="531" t="s">
        <v>170</v>
      </c>
      <c r="H53" s="532"/>
      <c r="I53" s="456"/>
      <c r="J53" s="482" t="s">
        <v>169</v>
      </c>
      <c r="K53" s="473"/>
      <c r="L53" s="473"/>
      <c r="M53" s="473"/>
      <c r="N53" s="473" t="e">
        <f>+M53/O53*100</f>
        <v>#DIV/0!</v>
      </c>
      <c r="O53" s="473"/>
      <c r="P53" s="473">
        <f>+RAWMATERIALS!C57</f>
        <v>0</v>
      </c>
      <c r="Q53" s="483"/>
      <c r="T53" s="533" t="s">
        <v>168</v>
      </c>
      <c r="U53" s="403" t="s">
        <v>167</v>
      </c>
    </row>
    <row r="54" spans="2:21" ht="97.5" customHeight="1" x14ac:dyDescent="0.5">
      <c r="B54" s="1496"/>
      <c r="C54" s="534" t="s">
        <v>14</v>
      </c>
      <c r="D54" s="488">
        <f>+RAWMATERIALS!N40</f>
        <v>14450</v>
      </c>
      <c r="E54" s="488" t="e">
        <f>+RAWMATERIALS!O40</f>
        <v>#REF!</v>
      </c>
      <c r="F54" s="488" t="e">
        <f>+E54/T54*U54</f>
        <v>#REF!</v>
      </c>
      <c r="G54" s="535">
        <f>+RAWMATERIALS!N42</f>
        <v>55105</v>
      </c>
      <c r="H54" s="536"/>
      <c r="I54" s="456"/>
      <c r="J54" s="482" t="s">
        <v>166</v>
      </c>
      <c r="K54" s="473" t="e">
        <f>+#REF!</f>
        <v>#REF!</v>
      </c>
      <c r="L54" s="473" t="e">
        <f>+#REF!</f>
        <v>#REF!</v>
      </c>
      <c r="M54" s="473" t="e">
        <f>+#REF!</f>
        <v>#REF!</v>
      </c>
      <c r="N54" s="473" t="e">
        <f>+#REF!</f>
        <v>#REF!</v>
      </c>
      <c r="O54" s="473" t="e">
        <f>+#REF!</f>
        <v>#REF!</v>
      </c>
      <c r="P54" s="473" t="e">
        <f>+#REF!</f>
        <v>#REF!</v>
      </c>
      <c r="Q54" s="483" t="e">
        <f>+#REF!</f>
        <v>#REF!</v>
      </c>
      <c r="T54" s="403" t="e">
        <f>+N4</f>
        <v>#REF!</v>
      </c>
      <c r="U54" s="488" t="e">
        <f>+#REF!</f>
        <v>#REF!</v>
      </c>
    </row>
    <row r="55" spans="2:21" ht="66.75" customHeight="1" thickBot="1" x14ac:dyDescent="0.55000000000000004">
      <c r="B55" s="1497"/>
      <c r="C55" s="537" t="s">
        <v>165</v>
      </c>
      <c r="D55" s="488">
        <f>+RAWMATERIALS!N41</f>
        <v>13936</v>
      </c>
      <c r="E55" s="488" t="e">
        <f>+RAWMATERIALS!O41</f>
        <v>#REF!</v>
      </c>
      <c r="F55" s="488" t="e">
        <f>+E55/T55*U55</f>
        <v>#REF!</v>
      </c>
      <c r="G55" s="538"/>
      <c r="H55" s="536"/>
      <c r="I55" s="457"/>
      <c r="J55" s="482" t="s">
        <v>164</v>
      </c>
      <c r="K55" s="473" t="e">
        <f>+#REF!</f>
        <v>#REF!</v>
      </c>
      <c r="L55" s="473" t="e">
        <f>+#REF!</f>
        <v>#REF!</v>
      </c>
      <c r="M55" s="473" t="e">
        <f>+#REF!</f>
        <v>#REF!</v>
      </c>
      <c r="N55" s="473" t="e">
        <f>+#REF!</f>
        <v>#REF!</v>
      </c>
      <c r="O55" s="473" t="e">
        <f>+#REF!</f>
        <v>#REF!</v>
      </c>
      <c r="P55" s="473" t="e">
        <f>+#REF!</f>
        <v>#REF!</v>
      </c>
      <c r="Q55" s="483" t="e">
        <f>+#REF!</f>
        <v>#REF!</v>
      </c>
      <c r="T55" s="403" t="e">
        <f>+T54</f>
        <v>#REF!</v>
      </c>
      <c r="U55" s="403" t="e">
        <f>+U54</f>
        <v>#REF!</v>
      </c>
    </row>
    <row r="56" spans="2:21" ht="60" customHeight="1" thickBot="1" x14ac:dyDescent="0.55000000000000004">
      <c r="B56" s="475" t="s">
        <v>163</v>
      </c>
      <c r="C56" s="539"/>
      <c r="D56" s="540"/>
      <c r="E56" s="541"/>
      <c r="F56" s="540"/>
      <c r="G56" s="540"/>
      <c r="H56" s="542"/>
      <c r="I56" s="472">
        <f>SUM(D56:E56)</f>
        <v>0</v>
      </c>
      <c r="J56" s="543"/>
      <c r="K56" s="544"/>
      <c r="L56" s="544" t="s">
        <v>77</v>
      </c>
      <c r="M56" s="544"/>
      <c r="N56" s="544"/>
      <c r="O56" s="544"/>
      <c r="P56" s="544"/>
      <c r="Q56" s="545"/>
    </row>
    <row r="57" spans="2:21" ht="60" customHeight="1" thickBot="1" x14ac:dyDescent="0.55000000000000004">
      <c r="B57" s="494" t="s">
        <v>217</v>
      </c>
      <c r="C57" s="546"/>
      <c r="D57" s="472"/>
      <c r="E57" s="472"/>
      <c r="F57" s="472"/>
      <c r="G57" s="472"/>
      <c r="H57" s="495"/>
      <c r="I57" s="456"/>
      <c r="J57" s="1525"/>
      <c r="K57" s="1526"/>
      <c r="L57" s="388"/>
      <c r="M57" s="388"/>
      <c r="N57" s="388"/>
      <c r="O57" s="388"/>
      <c r="P57" s="388"/>
      <c r="Q57" s="547"/>
    </row>
    <row r="58" spans="2:21" ht="90" customHeight="1" x14ac:dyDescent="0.5">
      <c r="B58" s="548" t="s">
        <v>162</v>
      </c>
      <c r="C58" s="469" t="s">
        <v>107</v>
      </c>
      <c r="D58" s="469" t="s">
        <v>161</v>
      </c>
      <c r="E58" s="469" t="s">
        <v>160</v>
      </c>
      <c r="F58" s="469" t="s">
        <v>159</v>
      </c>
      <c r="G58" s="549" t="s">
        <v>158</v>
      </c>
      <c r="H58" s="550" t="s">
        <v>251</v>
      </c>
      <c r="I58" s="456"/>
      <c r="J58" s="551"/>
      <c r="K58" s="388"/>
      <c r="L58" s="388"/>
      <c r="M58" s="1526"/>
      <c r="N58" s="1526"/>
      <c r="O58" s="1526"/>
      <c r="P58" s="388"/>
      <c r="Q58" s="547"/>
    </row>
    <row r="59" spans="2:21" x14ac:dyDescent="0.5">
      <c r="B59" s="1534"/>
      <c r="C59" s="1539"/>
      <c r="D59" s="1543"/>
      <c r="E59" s="1543"/>
      <c r="F59" s="1468"/>
      <c r="G59" s="1469"/>
      <c r="H59" s="1546"/>
      <c r="I59" s="456"/>
      <c r="J59" s="457"/>
      <c r="K59" s="456"/>
      <c r="L59" s="456"/>
      <c r="M59" s="388"/>
      <c r="N59" s="552"/>
      <c r="O59" s="388"/>
      <c r="P59" s="388"/>
      <c r="Q59" s="547"/>
    </row>
    <row r="60" spans="2:21" ht="36.75" customHeight="1" x14ac:dyDescent="0.5">
      <c r="B60" s="1538"/>
      <c r="C60" s="1540"/>
      <c r="D60" s="1543"/>
      <c r="E60" s="1543"/>
      <c r="F60" s="1468"/>
      <c r="G60" s="1469"/>
      <c r="H60" s="1547"/>
      <c r="I60" s="456"/>
      <c r="J60" s="551"/>
      <c r="K60" s="553"/>
      <c r="L60" s="554"/>
      <c r="M60" s="456"/>
      <c r="N60" s="388"/>
      <c r="O60" s="555"/>
      <c r="P60" s="555"/>
      <c r="Q60" s="547"/>
    </row>
    <row r="61" spans="2:21" x14ac:dyDescent="0.5">
      <c r="B61" s="1541"/>
      <c r="C61" s="1539"/>
      <c r="D61" s="1543"/>
      <c r="E61" s="1544"/>
      <c r="F61" s="1468"/>
      <c r="G61" s="1469"/>
      <c r="H61" s="1548"/>
      <c r="I61" s="456"/>
      <c r="J61" s="551"/>
      <c r="K61" s="554"/>
      <c r="L61" s="556"/>
      <c r="M61" s="557"/>
      <c r="N61" s="388"/>
      <c r="O61" s="555"/>
      <c r="P61" s="555"/>
      <c r="Q61" s="547"/>
    </row>
    <row r="62" spans="2:21" ht="33.75" customHeight="1" x14ac:dyDescent="0.5">
      <c r="B62" s="1542"/>
      <c r="C62" s="1540"/>
      <c r="D62" s="1543"/>
      <c r="E62" s="1545"/>
      <c r="F62" s="1468"/>
      <c r="G62" s="1469"/>
      <c r="H62" s="1549"/>
      <c r="I62" s="456"/>
      <c r="J62" s="457"/>
      <c r="K62" s="456"/>
      <c r="L62" s="456"/>
      <c r="M62" s="456"/>
      <c r="N62" s="456"/>
      <c r="O62" s="456"/>
      <c r="P62" s="456"/>
      <c r="Q62" s="547"/>
    </row>
    <row r="63" spans="2:21" x14ac:dyDescent="0.5">
      <c r="B63" s="401"/>
      <c r="C63" s="1539"/>
      <c r="D63" s="1543"/>
      <c r="E63" s="1543"/>
      <c r="F63" s="1468"/>
      <c r="G63" s="1469"/>
      <c r="H63" s="558"/>
      <c r="I63" s="456"/>
      <c r="J63" s="457"/>
      <c r="K63" s="456"/>
      <c r="L63" s="553"/>
      <c r="M63" s="456"/>
      <c r="N63" s="456"/>
      <c r="O63" s="456"/>
      <c r="P63" s="456"/>
      <c r="Q63" s="547"/>
    </row>
    <row r="64" spans="2:21" ht="34.5" thickBot="1" x14ac:dyDescent="0.55000000000000004">
      <c r="B64" s="468"/>
      <c r="C64" s="1540"/>
      <c r="D64" s="1543"/>
      <c r="E64" s="1543"/>
      <c r="F64" s="1468"/>
      <c r="G64" s="1469"/>
      <c r="H64" s="559"/>
      <c r="I64" s="456"/>
      <c r="J64" s="457"/>
      <c r="K64" s="456"/>
      <c r="L64" s="456"/>
      <c r="M64" s="456"/>
      <c r="N64" s="456"/>
      <c r="O64" s="456"/>
      <c r="P64" s="456"/>
      <c r="Q64" s="547"/>
    </row>
    <row r="65" spans="2:17" ht="58.7" customHeight="1" x14ac:dyDescent="0.5">
      <c r="B65" s="1492" t="s">
        <v>113</v>
      </c>
      <c r="C65" s="1493"/>
      <c r="D65" s="1493"/>
      <c r="E65" s="1493"/>
      <c r="F65" s="1493"/>
      <c r="G65" s="1493"/>
      <c r="H65" s="1494"/>
      <c r="I65" s="560"/>
      <c r="J65" s="457"/>
      <c r="K65" s="456"/>
      <c r="L65" s="456"/>
      <c r="M65" s="456"/>
      <c r="N65" s="456"/>
      <c r="O65" s="456"/>
      <c r="P65" s="456"/>
      <c r="Q65" s="547"/>
    </row>
    <row r="66" spans="2:17" ht="67.5" x14ac:dyDescent="0.5">
      <c r="B66" s="561" t="s">
        <v>162</v>
      </c>
      <c r="C66" s="336" t="s">
        <v>107</v>
      </c>
      <c r="D66" s="336" t="s">
        <v>161</v>
      </c>
      <c r="E66" s="336" t="s">
        <v>160</v>
      </c>
      <c r="F66" s="336" t="s">
        <v>159</v>
      </c>
      <c r="G66" s="562" t="s">
        <v>158</v>
      </c>
      <c r="H66" s="563" t="s">
        <v>251</v>
      </c>
      <c r="I66" s="456"/>
      <c r="J66" s="457"/>
      <c r="K66" s="456"/>
      <c r="L66" s="456"/>
      <c r="M66" s="456"/>
      <c r="N66" s="456"/>
      <c r="O66" s="456"/>
      <c r="P66" s="456"/>
      <c r="Q66" s="547"/>
    </row>
    <row r="67" spans="2:17" x14ac:dyDescent="0.5">
      <c r="B67" s="564" t="s">
        <v>149</v>
      </c>
      <c r="C67" s="565" t="s">
        <v>395</v>
      </c>
      <c r="D67" s="566" t="s">
        <v>398</v>
      </c>
      <c r="E67" s="566" t="s">
        <v>415</v>
      </c>
      <c r="F67" s="404" t="s">
        <v>216</v>
      </c>
      <c r="G67" s="404" t="s">
        <v>396</v>
      </c>
      <c r="H67" s="567">
        <f>58/6</f>
        <v>9.6666666666666661</v>
      </c>
      <c r="I67" s="456"/>
      <c r="J67" s="457"/>
      <c r="K67" s="456"/>
      <c r="L67" s="456"/>
      <c r="M67" s="456"/>
      <c r="N67" s="456"/>
      <c r="O67" s="456"/>
      <c r="P67" s="456"/>
      <c r="Q67" s="547"/>
    </row>
    <row r="68" spans="2:17" x14ac:dyDescent="0.5">
      <c r="B68" s="561" t="s">
        <v>148</v>
      </c>
      <c r="C68" s="565" t="s">
        <v>395</v>
      </c>
      <c r="D68" s="566" t="s">
        <v>417</v>
      </c>
      <c r="E68" s="566" t="s">
        <v>419</v>
      </c>
      <c r="F68" s="404" t="s">
        <v>420</v>
      </c>
      <c r="G68" s="404" t="s">
        <v>397</v>
      </c>
      <c r="H68" s="567">
        <f>58/5</f>
        <v>11.6</v>
      </c>
      <c r="I68" s="456"/>
      <c r="J68" s="457"/>
      <c r="K68" s="456"/>
      <c r="L68" s="456"/>
      <c r="M68" s="456"/>
      <c r="N68" s="456"/>
      <c r="O68" s="456"/>
      <c r="P68" s="456"/>
      <c r="Q68" s="547"/>
    </row>
    <row r="69" spans="2:17" x14ac:dyDescent="0.5">
      <c r="B69" s="561" t="s">
        <v>151</v>
      </c>
      <c r="C69" s="565" t="s">
        <v>416</v>
      </c>
      <c r="D69" s="566" t="s">
        <v>418</v>
      </c>
      <c r="E69" s="566"/>
      <c r="F69" s="404" t="s">
        <v>216</v>
      </c>
      <c r="G69" s="404" t="s">
        <v>421</v>
      </c>
      <c r="H69" s="567"/>
      <c r="I69" s="456"/>
      <c r="J69" s="457"/>
      <c r="K69" s="456">
        <v>46.4</v>
      </c>
      <c r="L69" s="456"/>
      <c r="M69" s="456">
        <v>39.76</v>
      </c>
      <c r="N69" s="456"/>
      <c r="O69" s="456">
        <v>849.75</v>
      </c>
      <c r="P69" s="456"/>
      <c r="Q69" s="547"/>
    </row>
    <row r="70" spans="2:17" ht="34.5" thickBot="1" x14ac:dyDescent="0.55000000000000004">
      <c r="B70" s="561" t="s">
        <v>147</v>
      </c>
      <c r="C70" s="565"/>
      <c r="D70" s="566"/>
      <c r="E70" s="566"/>
      <c r="F70" s="404"/>
      <c r="G70" s="404"/>
      <c r="H70" s="567"/>
      <c r="I70" s="456"/>
      <c r="J70" s="457"/>
      <c r="K70" s="456">
        <v>17</v>
      </c>
      <c r="L70" s="456"/>
      <c r="M70" s="456">
        <v>0</v>
      </c>
      <c r="N70" s="456"/>
      <c r="O70" s="456">
        <v>158.03</v>
      </c>
      <c r="P70" s="456"/>
      <c r="Q70" s="547"/>
    </row>
    <row r="71" spans="2:17" ht="64.5" customHeight="1" thickBot="1" x14ac:dyDescent="0.55000000000000004">
      <c r="B71" s="561" t="s">
        <v>146</v>
      </c>
      <c r="C71" s="565"/>
      <c r="D71" s="566"/>
      <c r="E71" s="566"/>
      <c r="F71" s="404"/>
      <c r="G71" s="404"/>
      <c r="H71" s="567"/>
      <c r="I71" s="456"/>
      <c r="J71" s="1553" t="s">
        <v>157</v>
      </c>
      <c r="K71" s="1551"/>
      <c r="L71" s="1551"/>
      <c r="M71" s="1551"/>
      <c r="N71" s="1551"/>
      <c r="O71" s="1552"/>
      <c r="P71" s="456"/>
      <c r="Q71" s="547"/>
    </row>
    <row r="72" spans="2:17" ht="62.1" customHeight="1" thickBot="1" x14ac:dyDescent="0.55000000000000004">
      <c r="B72" s="561" t="s">
        <v>145</v>
      </c>
      <c r="C72" s="565"/>
      <c r="D72" s="566"/>
      <c r="E72" s="566"/>
      <c r="F72" s="404"/>
      <c r="G72" s="404"/>
      <c r="H72" s="567"/>
      <c r="I72" s="456"/>
      <c r="J72" s="568"/>
      <c r="K72" s="1551">
        <v>79.95</v>
      </c>
      <c r="L72" s="1551"/>
      <c r="M72" s="1551">
        <v>98.28</v>
      </c>
      <c r="N72" s="1551"/>
      <c r="O72" s="396">
        <v>477.16</v>
      </c>
      <c r="P72" s="456"/>
      <c r="Q72" s="547"/>
    </row>
    <row r="73" spans="2:17" x14ac:dyDescent="0.5">
      <c r="B73" s="561" t="s">
        <v>144</v>
      </c>
      <c r="C73" s="565"/>
      <c r="D73" s="566"/>
      <c r="E73" s="569"/>
      <c r="F73" s="404"/>
      <c r="G73" s="404"/>
      <c r="H73" s="567"/>
      <c r="I73" s="456"/>
      <c r="J73" s="570" t="s">
        <v>156</v>
      </c>
      <c r="K73" s="387">
        <v>15</v>
      </c>
      <c r="L73" s="387" t="s">
        <v>51</v>
      </c>
      <c r="M73" s="387">
        <v>19.739999999999998</v>
      </c>
      <c r="N73" s="387" t="s">
        <v>51</v>
      </c>
      <c r="O73" s="571">
        <v>516.78</v>
      </c>
      <c r="P73" s="456"/>
      <c r="Q73" s="547"/>
    </row>
    <row r="74" spans="2:17" ht="54.4" customHeight="1" x14ac:dyDescent="0.5">
      <c r="B74" s="561" t="s">
        <v>143</v>
      </c>
      <c r="C74" s="565"/>
      <c r="D74" s="566"/>
      <c r="E74" s="566"/>
      <c r="F74" s="404"/>
      <c r="G74" s="404"/>
      <c r="H74" s="567"/>
      <c r="I74" s="456"/>
      <c r="J74" s="572" t="s">
        <v>19</v>
      </c>
      <c r="K74" s="403">
        <v>37.08</v>
      </c>
      <c r="L74" s="118" t="e">
        <f>+#REF!</f>
        <v>#REF!</v>
      </c>
      <c r="M74" s="488">
        <v>0</v>
      </c>
      <c r="N74" s="118" t="e">
        <f>+#REF!</f>
        <v>#REF!</v>
      </c>
      <c r="O74" s="394">
        <v>1836.9</v>
      </c>
      <c r="P74" s="456"/>
      <c r="Q74" s="547"/>
    </row>
    <row r="75" spans="2:17" ht="34.5" thickBot="1" x14ac:dyDescent="0.55000000000000004">
      <c r="B75" s="561"/>
      <c r="C75" s="565"/>
      <c r="D75" s="566"/>
      <c r="E75" s="566"/>
      <c r="F75" s="404"/>
      <c r="G75" s="404"/>
      <c r="H75" s="567"/>
      <c r="I75" s="456"/>
      <c r="J75" s="573" t="s">
        <v>45</v>
      </c>
      <c r="K75" s="574">
        <v>23</v>
      </c>
      <c r="L75" s="386" t="e">
        <f>+#REF!</f>
        <v>#REF!</v>
      </c>
      <c r="M75" s="574">
        <v>0</v>
      </c>
      <c r="N75" s="386" t="e">
        <f>+#REF!</f>
        <v>#REF!</v>
      </c>
      <c r="O75" s="383">
        <v>34.5</v>
      </c>
      <c r="P75" s="456"/>
      <c r="Q75" s="547"/>
    </row>
    <row r="76" spans="2:17" ht="34.5" thickBot="1" x14ac:dyDescent="0.55000000000000004">
      <c r="B76" s="561"/>
      <c r="C76" s="565"/>
      <c r="D76" s="566"/>
      <c r="E76" s="566"/>
      <c r="F76" s="404"/>
      <c r="G76" s="404"/>
      <c r="H76" s="567"/>
      <c r="I76" s="456"/>
      <c r="J76" s="568" t="s">
        <v>155</v>
      </c>
      <c r="K76" s="387" t="s">
        <v>52</v>
      </c>
      <c r="L76" s="387" t="s">
        <v>51</v>
      </c>
      <c r="M76" s="387" t="s">
        <v>52</v>
      </c>
      <c r="N76" s="387" t="s">
        <v>51</v>
      </c>
      <c r="O76" s="571" t="s">
        <v>43</v>
      </c>
      <c r="P76" s="456"/>
      <c r="Q76" s="547"/>
    </row>
    <row r="77" spans="2:17" x14ac:dyDescent="0.5">
      <c r="B77" s="561"/>
      <c r="C77" s="565"/>
      <c r="D77" s="566"/>
      <c r="E77" s="566"/>
      <c r="F77" s="404"/>
      <c r="G77" s="404"/>
      <c r="H77" s="567"/>
      <c r="I77" s="456"/>
      <c r="J77" s="575" t="s">
        <v>19</v>
      </c>
      <c r="K77" s="498">
        <v>78.08</v>
      </c>
      <c r="L77" s="576" t="e">
        <f>+#REF!</f>
        <v>#REF!</v>
      </c>
      <c r="M77" s="498">
        <v>0</v>
      </c>
      <c r="N77" s="576" t="e">
        <f>+#REF!</f>
        <v>#REF!</v>
      </c>
      <c r="O77" s="577">
        <v>1161.58</v>
      </c>
      <c r="P77" s="456"/>
      <c r="Q77" s="547"/>
    </row>
    <row r="78" spans="2:17" x14ac:dyDescent="0.5">
      <c r="B78" s="561"/>
      <c r="C78" s="565"/>
      <c r="D78" s="566"/>
      <c r="E78" s="566"/>
      <c r="F78" s="404"/>
      <c r="G78" s="404"/>
      <c r="H78" s="567"/>
      <c r="I78" s="456"/>
      <c r="J78" s="526" t="s">
        <v>45</v>
      </c>
      <c r="K78" s="488">
        <v>0</v>
      </c>
      <c r="L78" s="118" t="e">
        <f>+#REF!</f>
        <v>#REF!</v>
      </c>
      <c r="M78" s="488">
        <v>0</v>
      </c>
      <c r="N78" s="118" t="e">
        <f>+#REF!</f>
        <v>#REF!</v>
      </c>
      <c r="O78" s="394">
        <v>89.52</v>
      </c>
      <c r="P78" s="586"/>
      <c r="Q78" s="547"/>
    </row>
    <row r="79" spans="2:17" ht="60" customHeight="1" thickBot="1" x14ac:dyDescent="0.55000000000000004">
      <c r="B79" s="578"/>
      <c r="C79" s="579"/>
      <c r="D79" s="580"/>
      <c r="E79" s="580"/>
      <c r="F79" s="581"/>
      <c r="G79" s="513"/>
      <c r="H79" s="582"/>
      <c r="I79" s="456"/>
      <c r="J79" s="583" t="s">
        <v>46</v>
      </c>
      <c r="K79" s="574"/>
      <c r="L79" s="386" t="e">
        <f>+#REF!</f>
        <v>#REF!</v>
      </c>
      <c r="M79" s="574"/>
      <c r="N79" s="386" t="e">
        <f>+#REF!</f>
        <v>#REF!</v>
      </c>
      <c r="O79" s="383"/>
      <c r="P79" s="456"/>
      <c r="Q79" s="547"/>
    </row>
    <row r="80" spans="2:17" ht="65.099999999999994" customHeight="1" thickBot="1" x14ac:dyDescent="0.55000000000000004">
      <c r="B80" s="584" t="s">
        <v>154</v>
      </c>
      <c r="C80" s="585"/>
      <c r="D80" s="456"/>
      <c r="E80" s="388"/>
      <c r="F80" s="456"/>
      <c r="G80" s="586"/>
      <c r="H80" s="547"/>
      <c r="I80" s="456"/>
      <c r="J80" s="457"/>
      <c r="K80" s="560"/>
      <c r="L80" s="560"/>
      <c r="M80" s="560"/>
      <c r="N80" s="587"/>
      <c r="O80" s="588"/>
      <c r="P80" s="456"/>
      <c r="Q80" s="547"/>
    </row>
    <row r="81" spans="2:17" ht="65.099999999999994" customHeight="1" thickBot="1" x14ac:dyDescent="0.55000000000000004">
      <c r="B81" s="1562" t="s">
        <v>153</v>
      </c>
      <c r="C81" s="1563"/>
      <c r="D81" s="1563"/>
      <c r="E81" s="1563"/>
      <c r="F81" s="1563"/>
      <c r="G81" s="1563"/>
      <c r="H81" s="1564"/>
      <c r="I81" s="456"/>
      <c r="J81" s="1554" t="s">
        <v>368</v>
      </c>
      <c r="K81" s="1555"/>
      <c r="L81" s="1555"/>
      <c r="M81" s="1556"/>
      <c r="N81" s="589"/>
      <c r="O81" s="589"/>
      <c r="P81" s="587"/>
      <c r="Q81" s="588"/>
    </row>
    <row r="82" spans="2:17" ht="65.099999999999994" customHeight="1" x14ac:dyDescent="0.5">
      <c r="B82" s="548"/>
      <c r="C82" s="590"/>
      <c r="E82" s="591"/>
      <c r="F82" s="592"/>
      <c r="G82" s="592"/>
      <c r="H82" s="592"/>
      <c r="I82" s="1477"/>
      <c r="J82" s="593" t="s">
        <v>390</v>
      </c>
      <c r="K82" s="594" t="s">
        <v>369</v>
      </c>
      <c r="L82" s="594" t="s">
        <v>52</v>
      </c>
      <c r="M82" s="595" t="s">
        <v>51</v>
      </c>
      <c r="N82" s="522"/>
      <c r="O82" s="522"/>
      <c r="P82" s="522"/>
      <c r="Q82" s="596"/>
    </row>
    <row r="83" spans="2:17" ht="90.4" customHeight="1" thickBot="1" x14ac:dyDescent="0.55000000000000004">
      <c r="B83" s="597"/>
      <c r="C83" s="598"/>
      <c r="D83" s="560"/>
      <c r="E83" s="456"/>
      <c r="F83" s="590"/>
      <c r="G83" s="590"/>
      <c r="H83" s="590"/>
      <c r="I83" s="1534"/>
      <c r="J83" s="599">
        <v>0</v>
      </c>
      <c r="K83" s="600"/>
      <c r="L83" s="601">
        <v>0</v>
      </c>
      <c r="M83" s="602"/>
      <c r="N83" s="522"/>
      <c r="O83" s="522"/>
      <c r="P83" s="522"/>
      <c r="Q83" s="596"/>
    </row>
    <row r="84" spans="2:17" ht="65.099999999999994" customHeight="1" thickBot="1" x14ac:dyDescent="0.55000000000000004">
      <c r="B84" s="597"/>
      <c r="C84" s="590"/>
      <c r="D84" s="560"/>
      <c r="E84" s="590"/>
      <c r="F84" s="590"/>
      <c r="G84" s="590"/>
      <c r="H84" s="590"/>
      <c r="I84" s="1534"/>
      <c r="J84" s="1554" t="s">
        <v>265</v>
      </c>
      <c r="K84" s="1555"/>
      <c r="L84" s="1555"/>
      <c r="M84" s="1556"/>
      <c r="N84" s="603"/>
      <c r="O84" s="604"/>
      <c r="P84" s="522"/>
      <c r="Q84" s="596"/>
    </row>
    <row r="85" spans="2:17" ht="65.099999999999994" customHeight="1" thickBot="1" x14ac:dyDescent="0.55000000000000004">
      <c r="B85" s="605"/>
      <c r="C85" s="560"/>
      <c r="D85" s="606"/>
      <c r="E85" s="606"/>
      <c r="F85" s="606"/>
      <c r="G85" s="606"/>
      <c r="H85" s="606"/>
      <c r="I85" s="1525"/>
      <c r="J85" s="607" t="s">
        <v>255</v>
      </c>
      <c r="K85" s="608" t="s">
        <v>252</v>
      </c>
      <c r="L85" s="608" t="s">
        <v>160</v>
      </c>
      <c r="M85" s="609" t="s">
        <v>253</v>
      </c>
      <c r="N85" s="522"/>
      <c r="O85" s="522"/>
      <c r="P85" s="522"/>
      <c r="Q85" s="596"/>
    </row>
    <row r="86" spans="2:17" ht="34.5" thickBot="1" x14ac:dyDescent="0.55000000000000004">
      <c r="B86" s="610" t="s">
        <v>150</v>
      </c>
      <c r="C86" s="611"/>
      <c r="D86" s="472"/>
      <c r="E86" s="612"/>
      <c r="F86" s="472"/>
      <c r="G86" s="472"/>
      <c r="H86" s="472"/>
      <c r="I86" s="613" t="s">
        <v>149</v>
      </c>
      <c r="J86" s="614"/>
      <c r="K86" s="336"/>
      <c r="L86" s="615"/>
      <c r="M86" s="616" t="s">
        <v>421</v>
      </c>
      <c r="N86" s="522"/>
      <c r="O86" s="522"/>
      <c r="P86" s="522"/>
      <c r="Q86" s="596"/>
    </row>
    <row r="87" spans="2:17" ht="66.599999999999994" customHeight="1" thickBot="1" x14ac:dyDescent="0.55000000000000004">
      <c r="B87" s="1483" t="s">
        <v>270</v>
      </c>
      <c r="C87" s="1551"/>
      <c r="D87" s="1551"/>
      <c r="E87" s="1565"/>
      <c r="F87" s="1560" t="s">
        <v>271</v>
      </c>
      <c r="G87" s="1561"/>
      <c r="H87" s="1561"/>
      <c r="I87" s="613" t="s">
        <v>148</v>
      </c>
      <c r="J87" s="617"/>
      <c r="K87" s="615"/>
      <c r="L87" s="615"/>
      <c r="M87" s="616"/>
      <c r="N87" s="522"/>
      <c r="O87" s="522"/>
      <c r="P87" s="522"/>
      <c r="Q87" s="596"/>
    </row>
    <row r="88" spans="2:17" x14ac:dyDescent="0.5">
      <c r="B88" s="548" t="s">
        <v>149</v>
      </c>
      <c r="C88" s="590"/>
      <c r="D88" s="590"/>
      <c r="E88" s="618"/>
      <c r="F88" s="590"/>
      <c r="G88" s="592"/>
      <c r="H88" s="619"/>
      <c r="I88" s="620" t="s">
        <v>151</v>
      </c>
      <c r="J88" s="614"/>
      <c r="K88" s="615"/>
      <c r="L88" s="615"/>
      <c r="M88" s="616"/>
      <c r="N88" s="522"/>
      <c r="O88" s="522"/>
      <c r="P88" s="522"/>
      <c r="Q88" s="596"/>
    </row>
    <row r="89" spans="2:17" x14ac:dyDescent="0.5">
      <c r="B89" s="597" t="s">
        <v>148</v>
      </c>
      <c r="C89" s="590"/>
      <c r="D89" s="590"/>
      <c r="E89" s="618"/>
      <c r="F89" s="590"/>
      <c r="G89" s="590"/>
      <c r="H89" s="618"/>
      <c r="I89" s="620"/>
      <c r="J89" s="614"/>
      <c r="K89" s="615"/>
      <c r="L89" s="621"/>
      <c r="M89" s="616"/>
      <c r="N89" s="522"/>
      <c r="O89" s="522"/>
      <c r="P89" s="522"/>
      <c r="Q89" s="596"/>
    </row>
    <row r="90" spans="2:17" ht="65.849999999999994" customHeight="1" x14ac:dyDescent="0.5">
      <c r="B90" s="597" t="s">
        <v>151</v>
      </c>
      <c r="C90" s="590"/>
      <c r="D90" s="590"/>
      <c r="E90" s="618"/>
      <c r="F90" s="622"/>
      <c r="G90" s="590"/>
      <c r="H90" s="618"/>
      <c r="I90" s="620"/>
      <c r="J90" s="623"/>
      <c r="K90" s="615"/>
      <c r="L90" s="380"/>
      <c r="M90" s="616"/>
      <c r="N90" s="456"/>
      <c r="O90" s="624"/>
      <c r="P90" s="522"/>
      <c r="Q90" s="596"/>
    </row>
    <row r="91" spans="2:17" ht="61.5" customHeight="1" x14ac:dyDescent="0.5">
      <c r="B91" s="597" t="s">
        <v>147</v>
      </c>
      <c r="C91" s="560"/>
      <c r="D91" s="590"/>
      <c r="E91" s="618"/>
      <c r="F91" s="622"/>
      <c r="G91" s="590"/>
      <c r="H91" s="618"/>
      <c r="I91" s="620"/>
      <c r="J91" s="623"/>
      <c r="K91" s="380"/>
      <c r="L91" s="380"/>
      <c r="M91" s="616"/>
      <c r="N91" s="456"/>
      <c r="O91" s="624"/>
      <c r="P91" s="522"/>
      <c r="Q91" s="596"/>
    </row>
    <row r="92" spans="2:17" ht="53.45" customHeight="1" x14ac:dyDescent="0.5">
      <c r="B92" s="597" t="s">
        <v>146</v>
      </c>
      <c r="C92" s="560"/>
      <c r="D92" s="590"/>
      <c r="E92" s="618"/>
      <c r="F92" s="625"/>
      <c r="G92" s="590"/>
      <c r="H92" s="618"/>
      <c r="I92" s="620"/>
      <c r="J92" s="561"/>
      <c r="K92" s="336"/>
      <c r="L92" s="336"/>
      <c r="M92" s="616"/>
      <c r="N92" s="456"/>
      <c r="O92" s="624"/>
      <c r="P92" s="624"/>
      <c r="Q92" s="626"/>
    </row>
    <row r="93" spans="2:17" ht="62.45" customHeight="1" thickBot="1" x14ac:dyDescent="0.55000000000000004">
      <c r="B93" s="597" t="s">
        <v>145</v>
      </c>
      <c r="C93" s="590"/>
      <c r="D93" s="590"/>
      <c r="E93" s="618"/>
      <c r="F93" s="1470"/>
      <c r="G93" s="1471"/>
      <c r="H93" s="1472"/>
      <c r="I93" s="627"/>
      <c r="J93" s="578"/>
      <c r="K93" s="337"/>
      <c r="L93" s="337"/>
      <c r="M93" s="628"/>
      <c r="N93" s="456"/>
      <c r="O93" s="624"/>
      <c r="P93" s="624"/>
      <c r="Q93" s="626"/>
    </row>
    <row r="94" spans="2:17" ht="56.25" customHeight="1" thickBot="1" x14ac:dyDescent="0.55000000000000004">
      <c r="B94" s="597" t="s">
        <v>144</v>
      </c>
      <c r="C94" s="590"/>
      <c r="D94" s="590"/>
      <c r="E94" s="618"/>
      <c r="F94" s="1557"/>
      <c r="G94" s="1558"/>
      <c r="H94" s="1559"/>
      <c r="I94" s="1550" t="s">
        <v>266</v>
      </c>
      <c r="J94" s="1551"/>
      <c r="K94" s="1551"/>
      <c r="L94" s="1551"/>
      <c r="M94" s="1551"/>
      <c r="N94" s="1552"/>
      <c r="O94" s="624"/>
      <c r="P94" s="624"/>
      <c r="Q94" s="626"/>
    </row>
    <row r="95" spans="2:17" ht="56.25" customHeight="1" thickBot="1" x14ac:dyDescent="0.55000000000000004">
      <c r="B95" s="597" t="s">
        <v>143</v>
      </c>
      <c r="C95" s="590"/>
      <c r="D95" s="590"/>
      <c r="E95" s="618"/>
      <c r="F95" s="629"/>
      <c r="G95" s="630"/>
      <c r="H95" s="631"/>
      <c r="I95" s="469"/>
      <c r="J95" s="382" t="s">
        <v>255</v>
      </c>
      <c r="K95" s="382" t="s">
        <v>252</v>
      </c>
      <c r="L95" s="382" t="s">
        <v>160</v>
      </c>
      <c r="M95" s="382" t="s">
        <v>253</v>
      </c>
      <c r="N95" s="395" t="s">
        <v>254</v>
      </c>
      <c r="O95" s="624"/>
      <c r="P95" s="624"/>
      <c r="Q95" s="626"/>
    </row>
    <row r="96" spans="2:17" ht="57.2" customHeight="1" thickBot="1" x14ac:dyDescent="0.55000000000000004">
      <c r="B96" s="597"/>
      <c r="C96" s="590"/>
      <c r="D96" s="590"/>
      <c r="E96" s="618"/>
      <c r="F96" s="1488" t="s">
        <v>274</v>
      </c>
      <c r="G96" s="1489"/>
      <c r="H96" s="1489"/>
      <c r="I96" s="583"/>
      <c r="J96" s="337"/>
      <c r="K96" s="337"/>
      <c r="L96" s="337"/>
      <c r="M96" s="632"/>
      <c r="N96" s="633"/>
      <c r="O96" s="624"/>
      <c r="P96" s="624"/>
      <c r="Q96" s="626"/>
    </row>
    <row r="97" spans="2:17" ht="62.45" customHeight="1" thickBot="1" x14ac:dyDescent="0.55000000000000004">
      <c r="B97" s="597"/>
      <c r="C97" s="590"/>
      <c r="D97" s="590"/>
      <c r="E97" s="618"/>
      <c r="F97" s="1490"/>
      <c r="G97" s="1491"/>
      <c r="H97" s="1491"/>
      <c r="I97" s="1483" t="s">
        <v>267</v>
      </c>
      <c r="J97" s="1484"/>
      <c r="K97" s="1484"/>
      <c r="L97" s="1484"/>
      <c r="M97" s="1484"/>
      <c r="N97" s="1485"/>
      <c r="O97" s="624"/>
      <c r="P97" s="624"/>
      <c r="Q97" s="626"/>
    </row>
    <row r="98" spans="2:17" ht="53.45" customHeight="1" x14ac:dyDescent="0.5">
      <c r="B98" s="597"/>
      <c r="C98" s="590"/>
      <c r="D98" s="590"/>
      <c r="E98" s="618"/>
      <c r="F98" s="1486"/>
      <c r="G98" s="1487"/>
      <c r="H98" s="1487"/>
      <c r="I98" s="570" t="s">
        <v>149</v>
      </c>
      <c r="J98" s="382"/>
      <c r="K98" s="382"/>
      <c r="L98" s="634"/>
      <c r="M98" s="635" t="s">
        <v>421</v>
      </c>
      <c r="N98" s="636"/>
      <c r="O98" s="624"/>
      <c r="P98" s="624"/>
      <c r="Q98" s="626"/>
    </row>
    <row r="99" spans="2:17" ht="50.25" customHeight="1" x14ac:dyDescent="0.5">
      <c r="B99" s="597"/>
      <c r="C99" s="590"/>
      <c r="D99" s="590"/>
      <c r="E99" s="618"/>
      <c r="F99" s="1470"/>
      <c r="G99" s="1471"/>
      <c r="H99" s="1471"/>
      <c r="I99" s="561"/>
      <c r="J99" s="380"/>
      <c r="K99" s="380"/>
      <c r="L99" s="621"/>
      <c r="M99" s="637"/>
      <c r="N99" s="394"/>
      <c r="O99" s="624"/>
      <c r="P99" s="624" t="s">
        <v>77</v>
      </c>
      <c r="Q99" s="626"/>
    </row>
    <row r="100" spans="2:17" ht="58.7" customHeight="1" thickBot="1" x14ac:dyDescent="0.55000000000000004">
      <c r="B100" s="597"/>
      <c r="C100" s="590"/>
      <c r="D100" s="590"/>
      <c r="E100" s="618"/>
      <c r="F100" s="1470"/>
      <c r="G100" s="1471"/>
      <c r="H100" s="1471"/>
      <c r="I100" s="583"/>
      <c r="J100" s="337"/>
      <c r="K100" s="337"/>
      <c r="L100" s="337"/>
      <c r="M100" s="337"/>
      <c r="N100" s="633"/>
      <c r="O100" s="624"/>
      <c r="P100" s="624"/>
      <c r="Q100" s="626"/>
    </row>
    <row r="101" spans="2:17" ht="47.25" customHeight="1" thickBot="1" x14ac:dyDescent="0.55000000000000004">
      <c r="B101" s="597"/>
      <c r="C101" s="590"/>
      <c r="D101" s="590"/>
      <c r="E101" s="618"/>
      <c r="F101" s="1470"/>
      <c r="G101" s="1471"/>
      <c r="H101" s="1471"/>
      <c r="I101" s="1480" t="s">
        <v>249</v>
      </c>
      <c r="J101" s="1481"/>
      <c r="K101" s="1481"/>
      <c r="L101" s="1481"/>
      <c r="M101" s="1481"/>
      <c r="N101" s="1482"/>
      <c r="O101" s="624"/>
      <c r="P101" s="624"/>
      <c r="Q101" s="626"/>
    </row>
    <row r="102" spans="2:17" ht="58.7" customHeight="1" x14ac:dyDescent="0.5">
      <c r="B102" s="597"/>
      <c r="C102" s="590"/>
      <c r="D102" s="590"/>
      <c r="E102" s="618"/>
      <c r="F102" s="1470"/>
      <c r="G102" s="1471"/>
      <c r="H102" s="1471"/>
      <c r="I102" s="570"/>
      <c r="J102" s="382"/>
      <c r="K102" s="382"/>
      <c r="L102" s="634"/>
      <c r="M102" s="635"/>
      <c r="N102" s="636"/>
      <c r="O102" s="624"/>
      <c r="P102" s="624"/>
      <c r="Q102" s="626"/>
    </row>
    <row r="103" spans="2:17" ht="65.099999999999994" customHeight="1" x14ac:dyDescent="0.5">
      <c r="B103" s="597"/>
      <c r="C103" s="590"/>
      <c r="D103" s="590"/>
      <c r="E103" s="618"/>
      <c r="F103" s="638"/>
      <c r="G103" s="560"/>
      <c r="H103" s="560"/>
      <c r="I103" s="561"/>
      <c r="J103" s="384"/>
      <c r="K103" s="380"/>
      <c r="L103" s="621"/>
      <c r="M103" s="637"/>
      <c r="N103" s="639"/>
      <c r="O103" s="624"/>
      <c r="P103" s="624"/>
      <c r="Q103" s="626"/>
    </row>
    <row r="104" spans="2:17" ht="65.099999999999994" customHeight="1" x14ac:dyDescent="0.5">
      <c r="B104" s="597"/>
      <c r="C104" s="1473"/>
      <c r="D104" s="1473"/>
      <c r="E104" s="1474"/>
      <c r="F104" s="638"/>
      <c r="G104" s="560"/>
      <c r="H104" s="560"/>
      <c r="I104" s="561"/>
      <c r="J104" s="380"/>
      <c r="K104" s="380"/>
      <c r="L104" s="621"/>
      <c r="M104" s="637"/>
      <c r="N104" s="639"/>
      <c r="O104" s="624"/>
      <c r="P104" s="624"/>
      <c r="Q104" s="626"/>
    </row>
    <row r="105" spans="2:17" ht="65.099999999999994" customHeight="1" thickBot="1" x14ac:dyDescent="0.55000000000000004">
      <c r="B105" s="605"/>
      <c r="C105" s="1475"/>
      <c r="D105" s="1475"/>
      <c r="E105" s="1476"/>
      <c r="F105" s="640"/>
      <c r="G105" s="587"/>
      <c r="H105" s="587"/>
      <c r="I105" s="578"/>
      <c r="J105" s="641"/>
      <c r="K105" s="641"/>
      <c r="L105" s="641"/>
      <c r="M105" s="641"/>
      <c r="N105" s="642"/>
      <c r="O105" s="643"/>
      <c r="P105" s="644"/>
      <c r="Q105" s="645"/>
    </row>
    <row r="106" spans="2:17" ht="71.45" customHeight="1" x14ac:dyDescent="0.5">
      <c r="E106" s="385" t="s">
        <v>256</v>
      </c>
      <c r="G106" s="646"/>
      <c r="H106" s="646"/>
      <c r="I106" s="646"/>
      <c r="J106" s="458"/>
      <c r="K106" s="458"/>
      <c r="L106" s="646"/>
      <c r="M106" s="646"/>
      <c r="N106" s="646"/>
      <c r="O106" s="646"/>
      <c r="P106" s="646"/>
      <c r="Q106" s="646"/>
    </row>
    <row r="107" spans="2:17" ht="60" customHeight="1" x14ac:dyDescent="0.5">
      <c r="G107" s="647"/>
      <c r="H107" s="646"/>
      <c r="I107" s="646"/>
      <c r="J107" s="458"/>
      <c r="K107" s="458"/>
      <c r="L107" s="646"/>
      <c r="M107" s="646"/>
      <c r="N107" s="646"/>
      <c r="O107" s="646"/>
      <c r="P107" s="646"/>
      <c r="Q107" s="646"/>
    </row>
    <row r="108" spans="2:17" ht="60" customHeight="1" x14ac:dyDescent="0.5">
      <c r="G108" s="647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</row>
    <row r="109" spans="2:17" ht="60" customHeight="1" x14ac:dyDescent="0.5">
      <c r="C109" s="590"/>
      <c r="G109" s="648"/>
      <c r="H109" s="649"/>
      <c r="I109" s="646"/>
      <c r="J109" s="646"/>
      <c r="K109" s="646"/>
      <c r="L109" s="646"/>
      <c r="M109" s="646"/>
      <c r="N109" s="646"/>
      <c r="O109" s="646"/>
      <c r="P109" s="646"/>
      <c r="Q109" s="646"/>
    </row>
    <row r="110" spans="2:17" ht="60" customHeight="1" x14ac:dyDescent="0.5">
      <c r="C110" s="590"/>
      <c r="G110" s="646"/>
      <c r="H110" s="646"/>
      <c r="I110" s="646"/>
      <c r="J110" s="646"/>
      <c r="K110" s="646"/>
      <c r="L110" s="646"/>
      <c r="M110" s="646"/>
      <c r="N110" s="646"/>
      <c r="O110" s="646"/>
      <c r="P110" s="646"/>
      <c r="Q110" s="646"/>
    </row>
    <row r="111" spans="2:17" ht="50.1" customHeight="1" x14ac:dyDescent="0.5">
      <c r="C111" s="590"/>
      <c r="G111" s="646"/>
      <c r="H111" s="646"/>
      <c r="I111" s="646"/>
      <c r="J111" s="646"/>
      <c r="K111" s="646"/>
      <c r="L111" s="646"/>
      <c r="M111" s="646"/>
      <c r="N111" s="646"/>
      <c r="O111" s="646"/>
      <c r="P111" s="646"/>
      <c r="Q111" s="646"/>
    </row>
    <row r="112" spans="2:17" ht="64.5" customHeight="1" x14ac:dyDescent="0.5">
      <c r="C112" s="590"/>
      <c r="G112" s="646"/>
      <c r="H112" s="646"/>
      <c r="I112" s="646"/>
      <c r="J112" s="650"/>
      <c r="K112" s="651"/>
      <c r="L112" s="651"/>
      <c r="M112" s="651"/>
      <c r="N112" s="652"/>
      <c r="O112" s="646"/>
      <c r="P112" s="646"/>
      <c r="Q112" s="646"/>
    </row>
    <row r="113" spans="2:17" ht="50.1" customHeight="1" x14ac:dyDescent="0.5">
      <c r="C113" s="590"/>
      <c r="G113" s="646"/>
      <c r="H113" s="646"/>
      <c r="I113" s="646"/>
      <c r="J113" s="456"/>
      <c r="K113" s="553"/>
      <c r="L113" s="388"/>
      <c r="M113" s="456"/>
      <c r="N113" s="456"/>
      <c r="O113" s="646"/>
      <c r="P113" s="646"/>
      <c r="Q113" s="646"/>
    </row>
    <row r="114" spans="2:17" ht="50.1" customHeight="1" x14ac:dyDescent="0.5">
      <c r="C114" s="590"/>
      <c r="G114" s="646"/>
      <c r="H114" s="646"/>
      <c r="I114" s="646"/>
      <c r="J114" s="646"/>
      <c r="K114" s="646"/>
      <c r="L114" s="646"/>
      <c r="M114" s="646"/>
      <c r="N114" s="646"/>
      <c r="O114" s="646"/>
      <c r="P114" s="646"/>
      <c r="Q114" s="646"/>
    </row>
    <row r="115" spans="2:17" ht="50.1" customHeight="1" x14ac:dyDescent="0.5">
      <c r="C115" s="590"/>
      <c r="G115" s="646"/>
      <c r="H115" s="646"/>
      <c r="I115" s="646"/>
      <c r="J115" s="646"/>
      <c r="K115" s="646"/>
      <c r="L115" s="646"/>
      <c r="M115" s="646"/>
      <c r="N115" s="646"/>
      <c r="O115" s="646"/>
      <c r="P115" s="646"/>
      <c r="Q115" s="646"/>
    </row>
    <row r="116" spans="2:17" ht="51" customHeight="1" x14ac:dyDescent="0.5">
      <c r="C116" s="590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</row>
    <row r="117" spans="2:17" ht="66.2" customHeight="1" x14ac:dyDescent="0.5">
      <c r="C117" s="590"/>
      <c r="J117" s="646"/>
      <c r="K117" s="646"/>
      <c r="L117" s="646"/>
      <c r="M117" s="646"/>
      <c r="N117" s="646"/>
      <c r="O117" s="646"/>
      <c r="P117" s="646"/>
      <c r="Q117" s="646"/>
    </row>
    <row r="118" spans="2:17" ht="50.1" customHeight="1" x14ac:dyDescent="0.5">
      <c r="C118" s="590"/>
      <c r="P118" s="646"/>
      <c r="Q118" s="646"/>
    </row>
    <row r="119" spans="2:17" ht="50.1" customHeight="1" x14ac:dyDescent="0.5">
      <c r="C119" s="590"/>
    </row>
    <row r="120" spans="2:17" ht="50.1" customHeight="1" x14ac:dyDescent="0.5">
      <c r="C120" s="590"/>
    </row>
    <row r="121" spans="2:17" ht="50.1" customHeight="1" x14ac:dyDescent="0.5">
      <c r="C121" s="590"/>
    </row>
    <row r="122" spans="2:17" ht="50.1" customHeight="1" x14ac:dyDescent="0.5">
      <c r="C122" s="590"/>
    </row>
    <row r="123" spans="2:17" ht="50.1" customHeight="1" x14ac:dyDescent="0.5"/>
    <row r="124" spans="2:17" ht="50.1" customHeight="1" x14ac:dyDescent="0.5"/>
    <row r="125" spans="2:17" ht="50.1" customHeight="1" x14ac:dyDescent="0.5"/>
    <row r="128" spans="2:17" x14ac:dyDescent="0.5">
      <c r="B128" s="456"/>
    </row>
    <row r="129" spans="2:10" x14ac:dyDescent="0.5">
      <c r="B129" s="456"/>
      <c r="I129" s="456"/>
    </row>
    <row r="130" spans="2:10" x14ac:dyDescent="0.5">
      <c r="B130" s="456"/>
      <c r="C130" s="456"/>
      <c r="D130" s="456"/>
      <c r="E130" s="456"/>
      <c r="F130" s="456"/>
      <c r="G130" s="456"/>
      <c r="H130" s="456"/>
      <c r="I130" s="456"/>
    </row>
    <row r="131" spans="2:10" x14ac:dyDescent="0.5">
      <c r="B131" s="456"/>
      <c r="C131" s="456"/>
      <c r="D131" s="456"/>
      <c r="E131" s="456"/>
      <c r="F131" s="456"/>
      <c r="G131" s="456"/>
      <c r="H131" s="456"/>
      <c r="I131" s="456"/>
      <c r="J131" s="456"/>
    </row>
    <row r="132" spans="2:10" x14ac:dyDescent="0.5">
      <c r="B132" s="456"/>
      <c r="C132" s="456"/>
      <c r="D132" s="456"/>
      <c r="E132" s="456"/>
      <c r="F132" s="456"/>
      <c r="G132" s="456"/>
      <c r="H132" s="456"/>
      <c r="I132" s="456"/>
      <c r="J132" s="456"/>
    </row>
    <row r="133" spans="2:10" x14ac:dyDescent="0.5">
      <c r="B133" s="456"/>
      <c r="C133" s="456"/>
      <c r="D133" s="456"/>
      <c r="E133" s="456"/>
      <c r="F133" s="456"/>
      <c r="G133" s="456"/>
      <c r="H133" s="456"/>
      <c r="I133" s="456"/>
      <c r="J133" s="456"/>
    </row>
    <row r="134" spans="2:10" x14ac:dyDescent="0.5">
      <c r="B134" s="456"/>
      <c r="C134" s="456"/>
      <c r="D134" s="456"/>
      <c r="E134" s="456"/>
      <c r="F134" s="456"/>
      <c r="G134" s="456"/>
      <c r="H134" s="456"/>
      <c r="I134" s="456"/>
      <c r="J134" s="456"/>
    </row>
    <row r="135" spans="2:10" ht="36" customHeight="1" x14ac:dyDescent="0.5">
      <c r="B135" s="456"/>
      <c r="C135" s="456"/>
      <c r="D135" s="456"/>
      <c r="E135" s="456"/>
      <c r="F135" s="456"/>
      <c r="G135" s="456"/>
      <c r="H135" s="456"/>
      <c r="I135" s="456"/>
      <c r="J135" s="456"/>
    </row>
    <row r="136" spans="2:10" ht="26.45" customHeight="1" x14ac:dyDescent="0.5">
      <c r="B136" s="456"/>
      <c r="C136" s="456"/>
      <c r="D136" s="456"/>
      <c r="E136" s="456"/>
      <c r="F136" s="456"/>
      <c r="G136" s="456"/>
      <c r="H136" s="456"/>
      <c r="I136" s="456"/>
      <c r="J136" s="456"/>
    </row>
    <row r="137" spans="2:10" ht="26.45" customHeight="1" x14ac:dyDescent="0.5">
      <c r="B137" s="456"/>
      <c r="C137" s="456"/>
      <c r="D137" s="456"/>
      <c r="E137" s="456"/>
      <c r="F137" s="456"/>
      <c r="G137" s="456"/>
      <c r="H137" s="456"/>
      <c r="I137" s="456"/>
      <c r="J137" s="456"/>
    </row>
    <row r="138" spans="2:10" ht="26.45" customHeight="1" x14ac:dyDescent="0.5">
      <c r="B138" s="456"/>
      <c r="C138" s="456"/>
      <c r="D138" s="456"/>
      <c r="E138" s="456"/>
      <c r="F138" s="456"/>
      <c r="G138" s="456"/>
      <c r="H138" s="456"/>
      <c r="I138" s="456"/>
      <c r="J138" s="456"/>
    </row>
    <row r="139" spans="2:10" ht="26.45" customHeight="1" x14ac:dyDescent="0.5">
      <c r="B139" s="456"/>
      <c r="C139" s="456"/>
      <c r="D139" s="456"/>
      <c r="E139" s="456"/>
      <c r="F139" s="456"/>
      <c r="G139" s="456"/>
      <c r="H139" s="456"/>
      <c r="I139" s="456"/>
      <c r="J139" s="456"/>
    </row>
    <row r="140" spans="2:10" ht="26.45" customHeight="1" x14ac:dyDescent="0.5">
      <c r="C140" s="456"/>
      <c r="D140" s="456"/>
      <c r="E140" s="456"/>
      <c r="F140" s="456"/>
      <c r="G140" s="456"/>
      <c r="H140" s="456"/>
      <c r="I140" s="456"/>
      <c r="J140" s="456"/>
    </row>
    <row r="141" spans="2:10" ht="26.45" customHeight="1" x14ac:dyDescent="0.5">
      <c r="C141" s="456"/>
      <c r="D141" s="456"/>
      <c r="E141" s="456"/>
      <c r="F141" s="456"/>
      <c r="G141" s="456"/>
      <c r="H141" s="456"/>
      <c r="J141" s="456"/>
    </row>
    <row r="142" spans="2:10" ht="26.45" customHeight="1" x14ac:dyDescent="0.5">
      <c r="J142" s="456"/>
    </row>
    <row r="143" spans="2:10" ht="26.45" customHeight="1" x14ac:dyDescent="0.5"/>
    <row r="144" spans="2:10" ht="26.45" customHeight="1" x14ac:dyDescent="0.5"/>
    <row r="145" ht="26.45" customHeight="1" x14ac:dyDescent="0.5"/>
    <row r="146" ht="26.45" customHeight="1" x14ac:dyDescent="0.5"/>
    <row r="147" ht="26.45" customHeight="1" x14ac:dyDescent="0.5"/>
    <row r="148" ht="26.45" customHeight="1" x14ac:dyDescent="0.5"/>
    <row r="149" ht="26.45" customHeight="1" x14ac:dyDescent="0.5"/>
    <row r="150" ht="26.45" customHeight="1" x14ac:dyDescent="0.5"/>
    <row r="151" ht="26.45" customHeight="1" x14ac:dyDescent="0.5"/>
  </sheetData>
  <mergeCells count="74">
    <mergeCell ref="H59:H60"/>
    <mergeCell ref="H61:H62"/>
    <mergeCell ref="I94:N94"/>
    <mergeCell ref="M58:O58"/>
    <mergeCell ref="I82:I85"/>
    <mergeCell ref="J71:O71"/>
    <mergeCell ref="J81:M81"/>
    <mergeCell ref="J84:M84"/>
    <mergeCell ref="K72:L72"/>
    <mergeCell ref="M72:N72"/>
    <mergeCell ref="F94:H94"/>
    <mergeCell ref="F87:H87"/>
    <mergeCell ref="B81:H81"/>
    <mergeCell ref="B87:E87"/>
    <mergeCell ref="D63:D64"/>
    <mergeCell ref="E63:E64"/>
    <mergeCell ref="E59:E60"/>
    <mergeCell ref="D59:D60"/>
    <mergeCell ref="E61:E62"/>
    <mergeCell ref="F61:F62"/>
    <mergeCell ref="G61:G62"/>
    <mergeCell ref="F59:F60"/>
    <mergeCell ref="G59:G60"/>
    <mergeCell ref="D61:D62"/>
    <mergeCell ref="B11:B18"/>
    <mergeCell ref="B21:B22"/>
    <mergeCell ref="B32:C32"/>
    <mergeCell ref="B59:B60"/>
    <mergeCell ref="C63:C64"/>
    <mergeCell ref="C59:C60"/>
    <mergeCell ref="C61:C62"/>
    <mergeCell ref="B61:B62"/>
    <mergeCell ref="J50:K50"/>
    <mergeCell ref="J57:K57"/>
    <mergeCell ref="B34:B37"/>
    <mergeCell ref="E46:E47"/>
    <mergeCell ref="H35:H37"/>
    <mergeCell ref="G46:G47"/>
    <mergeCell ref="F46:F47"/>
    <mergeCell ref="F39:F40"/>
    <mergeCell ref="E39:E40"/>
    <mergeCell ref="D39:D40"/>
    <mergeCell ref="D46:D47"/>
    <mergeCell ref="B1:Q2"/>
    <mergeCell ref="B7:C7"/>
    <mergeCell ref="B6:C6"/>
    <mergeCell ref="K3:P3"/>
    <mergeCell ref="D6:E6"/>
    <mergeCell ref="H6:H7"/>
    <mergeCell ref="B3:C4"/>
    <mergeCell ref="B9:B10"/>
    <mergeCell ref="P50:P51"/>
    <mergeCell ref="I101:N101"/>
    <mergeCell ref="I97:N97"/>
    <mergeCell ref="F98:H98"/>
    <mergeCell ref="F96:H97"/>
    <mergeCell ref="F99:H99"/>
    <mergeCell ref="B65:H65"/>
    <mergeCell ref="B39:B55"/>
    <mergeCell ref="C39:C40"/>
    <mergeCell ref="C46:C47"/>
    <mergeCell ref="G39:G40"/>
    <mergeCell ref="H39:H40"/>
    <mergeCell ref="H46:H47"/>
    <mergeCell ref="B23:B31"/>
    <mergeCell ref="B19:C19"/>
    <mergeCell ref="F63:F64"/>
    <mergeCell ref="G63:G64"/>
    <mergeCell ref="F93:H93"/>
    <mergeCell ref="C104:E104"/>
    <mergeCell ref="C105:E105"/>
    <mergeCell ref="F100:H100"/>
    <mergeCell ref="F101:H101"/>
    <mergeCell ref="F102:H102"/>
  </mergeCells>
  <phoneticPr fontId="59" type="noConversion"/>
  <printOptions horizontalCentered="1"/>
  <pageMargins left="0.19685039370078741" right="0" top="0.59055118110236227" bottom="0" header="0" footer="0"/>
  <pageSetup paperSize="9" scale="13" orientation="portrait" r:id="rId1"/>
  <headerFooter>
    <oddHeader>&amp;R&amp;T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D101"/>
  <sheetViews>
    <sheetView showGridLines="0" topLeftCell="A4" zoomScaleNormal="100" workbookViewId="0">
      <selection activeCell="I32" sqref="I32"/>
    </sheetView>
  </sheetViews>
  <sheetFormatPr defaultRowHeight="15" x14ac:dyDescent="0.25"/>
  <cols>
    <col min="1" max="1" width="2.85546875" customWidth="1"/>
    <col min="2" max="2" width="32.140625" customWidth="1"/>
    <col min="3" max="3" width="22.42578125" customWidth="1"/>
    <col min="4" max="4" width="16.42578125" customWidth="1"/>
    <col min="5" max="5" width="16.42578125" bestFit="1" customWidth="1"/>
    <col min="6" max="6" width="16.140625" customWidth="1"/>
    <col min="7" max="7" width="11.140625" customWidth="1"/>
    <col min="8" max="8" width="14.85546875" bestFit="1" customWidth="1"/>
    <col min="9" max="9" width="13.28515625" bestFit="1" customWidth="1"/>
    <col min="10" max="10" width="20.5703125" customWidth="1"/>
    <col min="11" max="11" width="11.5703125" customWidth="1"/>
    <col min="12" max="12" width="13.5703125" bestFit="1" customWidth="1"/>
    <col min="13" max="13" width="11.28515625" customWidth="1"/>
    <col min="14" max="14" width="14.140625" customWidth="1"/>
    <col min="15" max="15" width="16.85546875" customWidth="1"/>
    <col min="16" max="16" width="0" hidden="1" customWidth="1"/>
    <col min="17" max="17" width="5.28515625" customWidth="1"/>
    <col min="19" max="19" width="19.28515625" customWidth="1"/>
    <col min="20" max="20" width="9.140625" customWidth="1"/>
    <col min="21" max="21" width="13.28515625" customWidth="1"/>
    <col min="22" max="22" width="12.28515625" customWidth="1"/>
    <col min="23" max="23" width="9.140625" customWidth="1"/>
    <col min="24" max="24" width="11.7109375" customWidth="1"/>
    <col min="250" max="250" width="27" bestFit="1" customWidth="1"/>
    <col min="251" max="251" width="12.85546875" bestFit="1" customWidth="1"/>
    <col min="252" max="252" width="9.42578125" bestFit="1" customWidth="1"/>
    <col min="253" max="253" width="16.42578125" bestFit="1" customWidth="1"/>
    <col min="254" max="254" width="16.140625" customWidth="1"/>
    <col min="255" max="255" width="10.42578125" bestFit="1" customWidth="1"/>
    <col min="256" max="256" width="10.5703125" bestFit="1" customWidth="1"/>
    <col min="257" max="257" width="13.28515625" bestFit="1" customWidth="1"/>
    <col min="258" max="258" width="19.5703125" customWidth="1"/>
    <col min="259" max="259" width="11.5703125" customWidth="1"/>
    <col min="260" max="260" width="11.140625" customWidth="1"/>
    <col min="261" max="261" width="11.28515625" customWidth="1"/>
    <col min="262" max="262" width="14.140625" customWidth="1"/>
    <col min="263" max="263" width="16.85546875" customWidth="1"/>
    <col min="265" max="265" width="9.85546875" bestFit="1" customWidth="1"/>
    <col min="269" max="269" width="5.28515625" customWidth="1"/>
    <col min="270" max="270" width="18.5703125" customWidth="1"/>
    <col min="272" max="272" width="12.85546875" customWidth="1"/>
    <col min="506" max="506" width="27" bestFit="1" customWidth="1"/>
    <col min="507" max="507" width="12.85546875" bestFit="1" customWidth="1"/>
    <col min="508" max="508" width="9.42578125" bestFit="1" customWidth="1"/>
    <col min="509" max="509" width="16.42578125" bestFit="1" customWidth="1"/>
    <col min="510" max="510" width="16.140625" customWidth="1"/>
    <col min="511" max="511" width="10.42578125" bestFit="1" customWidth="1"/>
    <col min="512" max="512" width="10.5703125" bestFit="1" customWidth="1"/>
    <col min="513" max="513" width="13.28515625" bestFit="1" customWidth="1"/>
    <col min="514" max="514" width="19.5703125" customWidth="1"/>
    <col min="515" max="515" width="11.5703125" customWidth="1"/>
    <col min="516" max="516" width="11.140625" customWidth="1"/>
    <col min="517" max="517" width="11.28515625" customWidth="1"/>
    <col min="518" max="518" width="14.140625" customWidth="1"/>
    <col min="519" max="519" width="16.85546875" customWidth="1"/>
    <col min="521" max="521" width="9.85546875" bestFit="1" customWidth="1"/>
    <col min="525" max="525" width="5.28515625" customWidth="1"/>
    <col min="526" max="526" width="18.5703125" customWidth="1"/>
    <col min="528" max="528" width="12.85546875" customWidth="1"/>
    <col min="762" max="762" width="27" bestFit="1" customWidth="1"/>
    <col min="763" max="763" width="12.85546875" bestFit="1" customWidth="1"/>
    <col min="764" max="764" width="9.42578125" bestFit="1" customWidth="1"/>
    <col min="765" max="765" width="16.42578125" bestFit="1" customWidth="1"/>
    <col min="766" max="766" width="16.140625" customWidth="1"/>
    <col min="767" max="767" width="10.42578125" bestFit="1" customWidth="1"/>
    <col min="768" max="768" width="10.5703125" bestFit="1" customWidth="1"/>
    <col min="769" max="769" width="13.28515625" bestFit="1" customWidth="1"/>
    <col min="770" max="770" width="19.5703125" customWidth="1"/>
    <col min="771" max="771" width="11.5703125" customWidth="1"/>
    <col min="772" max="772" width="11.140625" customWidth="1"/>
    <col min="773" max="773" width="11.28515625" customWidth="1"/>
    <col min="774" max="774" width="14.140625" customWidth="1"/>
    <col min="775" max="775" width="16.85546875" customWidth="1"/>
    <col min="777" max="777" width="9.85546875" bestFit="1" customWidth="1"/>
    <col min="781" max="781" width="5.28515625" customWidth="1"/>
    <col min="782" max="782" width="18.5703125" customWidth="1"/>
    <col min="784" max="784" width="12.85546875" customWidth="1"/>
    <col min="1018" max="1018" width="27" bestFit="1" customWidth="1"/>
    <col min="1019" max="1019" width="12.85546875" bestFit="1" customWidth="1"/>
    <col min="1020" max="1020" width="9.42578125" bestFit="1" customWidth="1"/>
    <col min="1021" max="1021" width="16.42578125" bestFit="1" customWidth="1"/>
    <col min="1022" max="1022" width="16.140625" customWidth="1"/>
    <col min="1023" max="1023" width="10.42578125" bestFit="1" customWidth="1"/>
    <col min="1024" max="1024" width="10.5703125" bestFit="1" customWidth="1"/>
    <col min="1025" max="1025" width="13.28515625" bestFit="1" customWidth="1"/>
    <col min="1026" max="1026" width="19.5703125" customWidth="1"/>
    <col min="1027" max="1027" width="11.5703125" customWidth="1"/>
    <col min="1028" max="1028" width="11.140625" customWidth="1"/>
    <col min="1029" max="1029" width="11.28515625" customWidth="1"/>
    <col min="1030" max="1030" width="14.140625" customWidth="1"/>
    <col min="1031" max="1031" width="16.85546875" customWidth="1"/>
    <col min="1033" max="1033" width="9.85546875" bestFit="1" customWidth="1"/>
    <col min="1037" max="1037" width="5.28515625" customWidth="1"/>
    <col min="1038" max="1038" width="18.5703125" customWidth="1"/>
    <col min="1040" max="1040" width="12.85546875" customWidth="1"/>
    <col min="1274" max="1274" width="27" bestFit="1" customWidth="1"/>
    <col min="1275" max="1275" width="12.85546875" bestFit="1" customWidth="1"/>
    <col min="1276" max="1276" width="9.42578125" bestFit="1" customWidth="1"/>
    <col min="1277" max="1277" width="16.42578125" bestFit="1" customWidth="1"/>
    <col min="1278" max="1278" width="16.140625" customWidth="1"/>
    <col min="1279" max="1279" width="10.42578125" bestFit="1" customWidth="1"/>
    <col min="1280" max="1280" width="10.5703125" bestFit="1" customWidth="1"/>
    <col min="1281" max="1281" width="13.28515625" bestFit="1" customWidth="1"/>
    <col min="1282" max="1282" width="19.5703125" customWidth="1"/>
    <col min="1283" max="1283" width="11.5703125" customWidth="1"/>
    <col min="1284" max="1284" width="11.140625" customWidth="1"/>
    <col min="1285" max="1285" width="11.28515625" customWidth="1"/>
    <col min="1286" max="1286" width="14.140625" customWidth="1"/>
    <col min="1287" max="1287" width="16.85546875" customWidth="1"/>
    <col min="1289" max="1289" width="9.85546875" bestFit="1" customWidth="1"/>
    <col min="1293" max="1293" width="5.28515625" customWidth="1"/>
    <col min="1294" max="1294" width="18.5703125" customWidth="1"/>
    <col min="1296" max="1296" width="12.85546875" customWidth="1"/>
    <col min="1530" max="1530" width="27" bestFit="1" customWidth="1"/>
    <col min="1531" max="1531" width="12.85546875" bestFit="1" customWidth="1"/>
    <col min="1532" max="1532" width="9.42578125" bestFit="1" customWidth="1"/>
    <col min="1533" max="1533" width="16.42578125" bestFit="1" customWidth="1"/>
    <col min="1534" max="1534" width="16.140625" customWidth="1"/>
    <col min="1535" max="1535" width="10.42578125" bestFit="1" customWidth="1"/>
    <col min="1536" max="1536" width="10.5703125" bestFit="1" customWidth="1"/>
    <col min="1537" max="1537" width="13.28515625" bestFit="1" customWidth="1"/>
    <col min="1538" max="1538" width="19.5703125" customWidth="1"/>
    <col min="1539" max="1539" width="11.5703125" customWidth="1"/>
    <col min="1540" max="1540" width="11.140625" customWidth="1"/>
    <col min="1541" max="1541" width="11.28515625" customWidth="1"/>
    <col min="1542" max="1542" width="14.140625" customWidth="1"/>
    <col min="1543" max="1543" width="16.85546875" customWidth="1"/>
    <col min="1545" max="1545" width="9.85546875" bestFit="1" customWidth="1"/>
    <col min="1549" max="1549" width="5.28515625" customWidth="1"/>
    <col min="1550" max="1550" width="18.5703125" customWidth="1"/>
    <col min="1552" max="1552" width="12.85546875" customWidth="1"/>
    <col min="1786" max="1786" width="27" bestFit="1" customWidth="1"/>
    <col min="1787" max="1787" width="12.85546875" bestFit="1" customWidth="1"/>
    <col min="1788" max="1788" width="9.42578125" bestFit="1" customWidth="1"/>
    <col min="1789" max="1789" width="16.42578125" bestFit="1" customWidth="1"/>
    <col min="1790" max="1790" width="16.140625" customWidth="1"/>
    <col min="1791" max="1791" width="10.42578125" bestFit="1" customWidth="1"/>
    <col min="1792" max="1792" width="10.5703125" bestFit="1" customWidth="1"/>
    <col min="1793" max="1793" width="13.28515625" bestFit="1" customWidth="1"/>
    <col min="1794" max="1794" width="19.5703125" customWidth="1"/>
    <col min="1795" max="1795" width="11.5703125" customWidth="1"/>
    <col min="1796" max="1796" width="11.140625" customWidth="1"/>
    <col min="1797" max="1797" width="11.28515625" customWidth="1"/>
    <col min="1798" max="1798" width="14.140625" customWidth="1"/>
    <col min="1799" max="1799" width="16.85546875" customWidth="1"/>
    <col min="1801" max="1801" width="9.85546875" bestFit="1" customWidth="1"/>
    <col min="1805" max="1805" width="5.28515625" customWidth="1"/>
    <col min="1806" max="1806" width="18.5703125" customWidth="1"/>
    <col min="1808" max="1808" width="12.85546875" customWidth="1"/>
    <col min="2042" max="2042" width="27" bestFit="1" customWidth="1"/>
    <col min="2043" max="2043" width="12.85546875" bestFit="1" customWidth="1"/>
    <col min="2044" max="2044" width="9.42578125" bestFit="1" customWidth="1"/>
    <col min="2045" max="2045" width="16.42578125" bestFit="1" customWidth="1"/>
    <col min="2046" max="2046" width="16.140625" customWidth="1"/>
    <col min="2047" max="2047" width="10.42578125" bestFit="1" customWidth="1"/>
    <col min="2048" max="2048" width="10.5703125" bestFit="1" customWidth="1"/>
    <col min="2049" max="2049" width="13.28515625" bestFit="1" customWidth="1"/>
    <col min="2050" max="2050" width="19.5703125" customWidth="1"/>
    <col min="2051" max="2051" width="11.5703125" customWidth="1"/>
    <col min="2052" max="2052" width="11.140625" customWidth="1"/>
    <col min="2053" max="2053" width="11.28515625" customWidth="1"/>
    <col min="2054" max="2054" width="14.140625" customWidth="1"/>
    <col min="2055" max="2055" width="16.85546875" customWidth="1"/>
    <col min="2057" max="2057" width="9.85546875" bestFit="1" customWidth="1"/>
    <col min="2061" max="2061" width="5.28515625" customWidth="1"/>
    <col min="2062" max="2062" width="18.5703125" customWidth="1"/>
    <col min="2064" max="2064" width="12.85546875" customWidth="1"/>
    <col min="2298" max="2298" width="27" bestFit="1" customWidth="1"/>
    <col min="2299" max="2299" width="12.85546875" bestFit="1" customWidth="1"/>
    <col min="2300" max="2300" width="9.42578125" bestFit="1" customWidth="1"/>
    <col min="2301" max="2301" width="16.42578125" bestFit="1" customWidth="1"/>
    <col min="2302" max="2302" width="16.140625" customWidth="1"/>
    <col min="2303" max="2303" width="10.42578125" bestFit="1" customWidth="1"/>
    <col min="2304" max="2304" width="10.5703125" bestFit="1" customWidth="1"/>
    <col min="2305" max="2305" width="13.28515625" bestFit="1" customWidth="1"/>
    <col min="2306" max="2306" width="19.5703125" customWidth="1"/>
    <col min="2307" max="2307" width="11.5703125" customWidth="1"/>
    <col min="2308" max="2308" width="11.140625" customWidth="1"/>
    <col min="2309" max="2309" width="11.28515625" customWidth="1"/>
    <col min="2310" max="2310" width="14.140625" customWidth="1"/>
    <col min="2311" max="2311" width="16.85546875" customWidth="1"/>
    <col min="2313" max="2313" width="9.85546875" bestFit="1" customWidth="1"/>
    <col min="2317" max="2317" width="5.28515625" customWidth="1"/>
    <col min="2318" max="2318" width="18.5703125" customWidth="1"/>
    <col min="2320" max="2320" width="12.85546875" customWidth="1"/>
    <col min="2554" max="2554" width="27" bestFit="1" customWidth="1"/>
    <col min="2555" max="2555" width="12.85546875" bestFit="1" customWidth="1"/>
    <col min="2556" max="2556" width="9.42578125" bestFit="1" customWidth="1"/>
    <col min="2557" max="2557" width="16.42578125" bestFit="1" customWidth="1"/>
    <col min="2558" max="2558" width="16.140625" customWidth="1"/>
    <col min="2559" max="2559" width="10.42578125" bestFit="1" customWidth="1"/>
    <col min="2560" max="2560" width="10.5703125" bestFit="1" customWidth="1"/>
    <col min="2561" max="2561" width="13.28515625" bestFit="1" customWidth="1"/>
    <col min="2562" max="2562" width="19.5703125" customWidth="1"/>
    <col min="2563" max="2563" width="11.5703125" customWidth="1"/>
    <col min="2564" max="2564" width="11.140625" customWidth="1"/>
    <col min="2565" max="2565" width="11.28515625" customWidth="1"/>
    <col min="2566" max="2566" width="14.140625" customWidth="1"/>
    <col min="2567" max="2567" width="16.85546875" customWidth="1"/>
    <col min="2569" max="2569" width="9.85546875" bestFit="1" customWidth="1"/>
    <col min="2573" max="2573" width="5.28515625" customWidth="1"/>
    <col min="2574" max="2574" width="18.5703125" customWidth="1"/>
    <col min="2576" max="2576" width="12.85546875" customWidth="1"/>
    <col min="2810" max="2810" width="27" bestFit="1" customWidth="1"/>
    <col min="2811" max="2811" width="12.85546875" bestFit="1" customWidth="1"/>
    <col min="2812" max="2812" width="9.42578125" bestFit="1" customWidth="1"/>
    <col min="2813" max="2813" width="16.42578125" bestFit="1" customWidth="1"/>
    <col min="2814" max="2814" width="16.140625" customWidth="1"/>
    <col min="2815" max="2815" width="10.42578125" bestFit="1" customWidth="1"/>
    <col min="2816" max="2816" width="10.5703125" bestFit="1" customWidth="1"/>
    <col min="2817" max="2817" width="13.28515625" bestFit="1" customWidth="1"/>
    <col min="2818" max="2818" width="19.5703125" customWidth="1"/>
    <col min="2819" max="2819" width="11.5703125" customWidth="1"/>
    <col min="2820" max="2820" width="11.140625" customWidth="1"/>
    <col min="2821" max="2821" width="11.28515625" customWidth="1"/>
    <col min="2822" max="2822" width="14.140625" customWidth="1"/>
    <col min="2823" max="2823" width="16.85546875" customWidth="1"/>
    <col min="2825" max="2825" width="9.85546875" bestFit="1" customWidth="1"/>
    <col min="2829" max="2829" width="5.28515625" customWidth="1"/>
    <col min="2830" max="2830" width="18.5703125" customWidth="1"/>
    <col min="2832" max="2832" width="12.85546875" customWidth="1"/>
    <col min="3066" max="3066" width="27" bestFit="1" customWidth="1"/>
    <col min="3067" max="3067" width="12.85546875" bestFit="1" customWidth="1"/>
    <col min="3068" max="3068" width="9.42578125" bestFit="1" customWidth="1"/>
    <col min="3069" max="3069" width="16.42578125" bestFit="1" customWidth="1"/>
    <col min="3070" max="3070" width="16.140625" customWidth="1"/>
    <col min="3071" max="3071" width="10.42578125" bestFit="1" customWidth="1"/>
    <col min="3072" max="3072" width="10.5703125" bestFit="1" customWidth="1"/>
    <col min="3073" max="3073" width="13.28515625" bestFit="1" customWidth="1"/>
    <col min="3074" max="3074" width="19.5703125" customWidth="1"/>
    <col min="3075" max="3075" width="11.5703125" customWidth="1"/>
    <col min="3076" max="3076" width="11.140625" customWidth="1"/>
    <col min="3077" max="3077" width="11.28515625" customWidth="1"/>
    <col min="3078" max="3078" width="14.140625" customWidth="1"/>
    <col min="3079" max="3079" width="16.85546875" customWidth="1"/>
    <col min="3081" max="3081" width="9.85546875" bestFit="1" customWidth="1"/>
    <col min="3085" max="3085" width="5.28515625" customWidth="1"/>
    <col min="3086" max="3086" width="18.5703125" customWidth="1"/>
    <col min="3088" max="3088" width="12.85546875" customWidth="1"/>
    <col min="3322" max="3322" width="27" bestFit="1" customWidth="1"/>
    <col min="3323" max="3323" width="12.85546875" bestFit="1" customWidth="1"/>
    <col min="3324" max="3324" width="9.42578125" bestFit="1" customWidth="1"/>
    <col min="3325" max="3325" width="16.42578125" bestFit="1" customWidth="1"/>
    <col min="3326" max="3326" width="16.140625" customWidth="1"/>
    <col min="3327" max="3327" width="10.42578125" bestFit="1" customWidth="1"/>
    <col min="3328" max="3328" width="10.5703125" bestFit="1" customWidth="1"/>
    <col min="3329" max="3329" width="13.28515625" bestFit="1" customWidth="1"/>
    <col min="3330" max="3330" width="19.5703125" customWidth="1"/>
    <col min="3331" max="3331" width="11.5703125" customWidth="1"/>
    <col min="3332" max="3332" width="11.140625" customWidth="1"/>
    <col min="3333" max="3333" width="11.28515625" customWidth="1"/>
    <col min="3334" max="3334" width="14.140625" customWidth="1"/>
    <col min="3335" max="3335" width="16.85546875" customWidth="1"/>
    <col min="3337" max="3337" width="9.85546875" bestFit="1" customWidth="1"/>
    <col min="3341" max="3341" width="5.28515625" customWidth="1"/>
    <col min="3342" max="3342" width="18.5703125" customWidth="1"/>
    <col min="3344" max="3344" width="12.85546875" customWidth="1"/>
    <col min="3578" max="3578" width="27" bestFit="1" customWidth="1"/>
    <col min="3579" max="3579" width="12.85546875" bestFit="1" customWidth="1"/>
    <col min="3580" max="3580" width="9.42578125" bestFit="1" customWidth="1"/>
    <col min="3581" max="3581" width="16.42578125" bestFit="1" customWidth="1"/>
    <col min="3582" max="3582" width="16.140625" customWidth="1"/>
    <col min="3583" max="3583" width="10.42578125" bestFit="1" customWidth="1"/>
    <col min="3584" max="3584" width="10.5703125" bestFit="1" customWidth="1"/>
    <col min="3585" max="3585" width="13.28515625" bestFit="1" customWidth="1"/>
    <col min="3586" max="3586" width="19.5703125" customWidth="1"/>
    <col min="3587" max="3587" width="11.5703125" customWidth="1"/>
    <col min="3588" max="3588" width="11.140625" customWidth="1"/>
    <col min="3589" max="3589" width="11.28515625" customWidth="1"/>
    <col min="3590" max="3590" width="14.140625" customWidth="1"/>
    <col min="3591" max="3591" width="16.85546875" customWidth="1"/>
    <col min="3593" max="3593" width="9.85546875" bestFit="1" customWidth="1"/>
    <col min="3597" max="3597" width="5.28515625" customWidth="1"/>
    <col min="3598" max="3598" width="18.5703125" customWidth="1"/>
    <col min="3600" max="3600" width="12.85546875" customWidth="1"/>
    <col min="3834" max="3834" width="27" bestFit="1" customWidth="1"/>
    <col min="3835" max="3835" width="12.85546875" bestFit="1" customWidth="1"/>
    <col min="3836" max="3836" width="9.42578125" bestFit="1" customWidth="1"/>
    <col min="3837" max="3837" width="16.42578125" bestFit="1" customWidth="1"/>
    <col min="3838" max="3838" width="16.140625" customWidth="1"/>
    <col min="3839" max="3839" width="10.42578125" bestFit="1" customWidth="1"/>
    <col min="3840" max="3840" width="10.5703125" bestFit="1" customWidth="1"/>
    <col min="3841" max="3841" width="13.28515625" bestFit="1" customWidth="1"/>
    <col min="3842" max="3842" width="19.5703125" customWidth="1"/>
    <col min="3843" max="3843" width="11.5703125" customWidth="1"/>
    <col min="3844" max="3844" width="11.140625" customWidth="1"/>
    <col min="3845" max="3845" width="11.28515625" customWidth="1"/>
    <col min="3846" max="3846" width="14.140625" customWidth="1"/>
    <col min="3847" max="3847" width="16.85546875" customWidth="1"/>
    <col min="3849" max="3849" width="9.85546875" bestFit="1" customWidth="1"/>
    <col min="3853" max="3853" width="5.28515625" customWidth="1"/>
    <col min="3854" max="3854" width="18.5703125" customWidth="1"/>
    <col min="3856" max="3856" width="12.85546875" customWidth="1"/>
    <col min="4090" max="4090" width="27" bestFit="1" customWidth="1"/>
    <col min="4091" max="4091" width="12.85546875" bestFit="1" customWidth="1"/>
    <col min="4092" max="4092" width="9.42578125" bestFit="1" customWidth="1"/>
    <col min="4093" max="4093" width="16.42578125" bestFit="1" customWidth="1"/>
    <col min="4094" max="4094" width="16.140625" customWidth="1"/>
    <col min="4095" max="4095" width="10.42578125" bestFit="1" customWidth="1"/>
    <col min="4096" max="4096" width="10.5703125" bestFit="1" customWidth="1"/>
    <col min="4097" max="4097" width="13.28515625" bestFit="1" customWidth="1"/>
    <col min="4098" max="4098" width="19.5703125" customWidth="1"/>
    <col min="4099" max="4099" width="11.5703125" customWidth="1"/>
    <col min="4100" max="4100" width="11.140625" customWidth="1"/>
    <col min="4101" max="4101" width="11.28515625" customWidth="1"/>
    <col min="4102" max="4102" width="14.140625" customWidth="1"/>
    <col min="4103" max="4103" width="16.85546875" customWidth="1"/>
    <col min="4105" max="4105" width="9.85546875" bestFit="1" customWidth="1"/>
    <col min="4109" max="4109" width="5.28515625" customWidth="1"/>
    <col min="4110" max="4110" width="18.5703125" customWidth="1"/>
    <col min="4112" max="4112" width="12.85546875" customWidth="1"/>
    <col min="4346" max="4346" width="27" bestFit="1" customWidth="1"/>
    <col min="4347" max="4347" width="12.85546875" bestFit="1" customWidth="1"/>
    <col min="4348" max="4348" width="9.42578125" bestFit="1" customWidth="1"/>
    <col min="4349" max="4349" width="16.42578125" bestFit="1" customWidth="1"/>
    <col min="4350" max="4350" width="16.140625" customWidth="1"/>
    <col min="4351" max="4351" width="10.42578125" bestFit="1" customWidth="1"/>
    <col min="4352" max="4352" width="10.5703125" bestFit="1" customWidth="1"/>
    <col min="4353" max="4353" width="13.28515625" bestFit="1" customWidth="1"/>
    <col min="4354" max="4354" width="19.5703125" customWidth="1"/>
    <col min="4355" max="4355" width="11.5703125" customWidth="1"/>
    <col min="4356" max="4356" width="11.140625" customWidth="1"/>
    <col min="4357" max="4357" width="11.28515625" customWidth="1"/>
    <col min="4358" max="4358" width="14.140625" customWidth="1"/>
    <col min="4359" max="4359" width="16.85546875" customWidth="1"/>
    <col min="4361" max="4361" width="9.85546875" bestFit="1" customWidth="1"/>
    <col min="4365" max="4365" width="5.28515625" customWidth="1"/>
    <col min="4366" max="4366" width="18.5703125" customWidth="1"/>
    <col min="4368" max="4368" width="12.85546875" customWidth="1"/>
    <col min="4602" max="4602" width="27" bestFit="1" customWidth="1"/>
    <col min="4603" max="4603" width="12.85546875" bestFit="1" customWidth="1"/>
    <col min="4604" max="4604" width="9.42578125" bestFit="1" customWidth="1"/>
    <col min="4605" max="4605" width="16.42578125" bestFit="1" customWidth="1"/>
    <col min="4606" max="4606" width="16.140625" customWidth="1"/>
    <col min="4607" max="4607" width="10.42578125" bestFit="1" customWidth="1"/>
    <col min="4608" max="4608" width="10.5703125" bestFit="1" customWidth="1"/>
    <col min="4609" max="4609" width="13.28515625" bestFit="1" customWidth="1"/>
    <col min="4610" max="4610" width="19.5703125" customWidth="1"/>
    <col min="4611" max="4611" width="11.5703125" customWidth="1"/>
    <col min="4612" max="4612" width="11.140625" customWidth="1"/>
    <col min="4613" max="4613" width="11.28515625" customWidth="1"/>
    <col min="4614" max="4614" width="14.140625" customWidth="1"/>
    <col min="4615" max="4615" width="16.85546875" customWidth="1"/>
    <col min="4617" max="4617" width="9.85546875" bestFit="1" customWidth="1"/>
    <col min="4621" max="4621" width="5.28515625" customWidth="1"/>
    <col min="4622" max="4622" width="18.5703125" customWidth="1"/>
    <col min="4624" max="4624" width="12.85546875" customWidth="1"/>
    <col min="4858" max="4858" width="27" bestFit="1" customWidth="1"/>
    <col min="4859" max="4859" width="12.85546875" bestFit="1" customWidth="1"/>
    <col min="4860" max="4860" width="9.42578125" bestFit="1" customWidth="1"/>
    <col min="4861" max="4861" width="16.42578125" bestFit="1" customWidth="1"/>
    <col min="4862" max="4862" width="16.140625" customWidth="1"/>
    <col min="4863" max="4863" width="10.42578125" bestFit="1" customWidth="1"/>
    <col min="4864" max="4864" width="10.5703125" bestFit="1" customWidth="1"/>
    <col min="4865" max="4865" width="13.28515625" bestFit="1" customWidth="1"/>
    <col min="4866" max="4866" width="19.5703125" customWidth="1"/>
    <col min="4867" max="4867" width="11.5703125" customWidth="1"/>
    <col min="4868" max="4868" width="11.140625" customWidth="1"/>
    <col min="4869" max="4869" width="11.28515625" customWidth="1"/>
    <col min="4870" max="4870" width="14.140625" customWidth="1"/>
    <col min="4871" max="4871" width="16.85546875" customWidth="1"/>
    <col min="4873" max="4873" width="9.85546875" bestFit="1" customWidth="1"/>
    <col min="4877" max="4877" width="5.28515625" customWidth="1"/>
    <col min="4878" max="4878" width="18.5703125" customWidth="1"/>
    <col min="4880" max="4880" width="12.85546875" customWidth="1"/>
    <col min="5114" max="5114" width="27" bestFit="1" customWidth="1"/>
    <col min="5115" max="5115" width="12.85546875" bestFit="1" customWidth="1"/>
    <col min="5116" max="5116" width="9.42578125" bestFit="1" customWidth="1"/>
    <col min="5117" max="5117" width="16.42578125" bestFit="1" customWidth="1"/>
    <col min="5118" max="5118" width="16.140625" customWidth="1"/>
    <col min="5119" max="5119" width="10.42578125" bestFit="1" customWidth="1"/>
    <col min="5120" max="5120" width="10.5703125" bestFit="1" customWidth="1"/>
    <col min="5121" max="5121" width="13.28515625" bestFit="1" customWidth="1"/>
    <col min="5122" max="5122" width="19.5703125" customWidth="1"/>
    <col min="5123" max="5123" width="11.5703125" customWidth="1"/>
    <col min="5124" max="5124" width="11.140625" customWidth="1"/>
    <col min="5125" max="5125" width="11.28515625" customWidth="1"/>
    <col min="5126" max="5126" width="14.140625" customWidth="1"/>
    <col min="5127" max="5127" width="16.85546875" customWidth="1"/>
    <col min="5129" max="5129" width="9.85546875" bestFit="1" customWidth="1"/>
    <col min="5133" max="5133" width="5.28515625" customWidth="1"/>
    <col min="5134" max="5134" width="18.5703125" customWidth="1"/>
    <col min="5136" max="5136" width="12.85546875" customWidth="1"/>
    <col min="5370" max="5370" width="27" bestFit="1" customWidth="1"/>
    <col min="5371" max="5371" width="12.85546875" bestFit="1" customWidth="1"/>
    <col min="5372" max="5372" width="9.42578125" bestFit="1" customWidth="1"/>
    <col min="5373" max="5373" width="16.42578125" bestFit="1" customWidth="1"/>
    <col min="5374" max="5374" width="16.140625" customWidth="1"/>
    <col min="5375" max="5375" width="10.42578125" bestFit="1" customWidth="1"/>
    <col min="5376" max="5376" width="10.5703125" bestFit="1" customWidth="1"/>
    <col min="5377" max="5377" width="13.28515625" bestFit="1" customWidth="1"/>
    <col min="5378" max="5378" width="19.5703125" customWidth="1"/>
    <col min="5379" max="5379" width="11.5703125" customWidth="1"/>
    <col min="5380" max="5380" width="11.140625" customWidth="1"/>
    <col min="5381" max="5381" width="11.28515625" customWidth="1"/>
    <col min="5382" max="5382" width="14.140625" customWidth="1"/>
    <col min="5383" max="5383" width="16.85546875" customWidth="1"/>
    <col min="5385" max="5385" width="9.85546875" bestFit="1" customWidth="1"/>
    <col min="5389" max="5389" width="5.28515625" customWidth="1"/>
    <col min="5390" max="5390" width="18.5703125" customWidth="1"/>
    <col min="5392" max="5392" width="12.85546875" customWidth="1"/>
    <col min="5626" max="5626" width="27" bestFit="1" customWidth="1"/>
    <col min="5627" max="5627" width="12.85546875" bestFit="1" customWidth="1"/>
    <col min="5628" max="5628" width="9.42578125" bestFit="1" customWidth="1"/>
    <col min="5629" max="5629" width="16.42578125" bestFit="1" customWidth="1"/>
    <col min="5630" max="5630" width="16.140625" customWidth="1"/>
    <col min="5631" max="5631" width="10.42578125" bestFit="1" customWidth="1"/>
    <col min="5632" max="5632" width="10.5703125" bestFit="1" customWidth="1"/>
    <col min="5633" max="5633" width="13.28515625" bestFit="1" customWidth="1"/>
    <col min="5634" max="5634" width="19.5703125" customWidth="1"/>
    <col min="5635" max="5635" width="11.5703125" customWidth="1"/>
    <col min="5636" max="5636" width="11.140625" customWidth="1"/>
    <col min="5637" max="5637" width="11.28515625" customWidth="1"/>
    <col min="5638" max="5638" width="14.140625" customWidth="1"/>
    <col min="5639" max="5639" width="16.85546875" customWidth="1"/>
    <col min="5641" max="5641" width="9.85546875" bestFit="1" customWidth="1"/>
    <col min="5645" max="5645" width="5.28515625" customWidth="1"/>
    <col min="5646" max="5646" width="18.5703125" customWidth="1"/>
    <col min="5648" max="5648" width="12.85546875" customWidth="1"/>
    <col min="5882" max="5882" width="27" bestFit="1" customWidth="1"/>
    <col min="5883" max="5883" width="12.85546875" bestFit="1" customWidth="1"/>
    <col min="5884" max="5884" width="9.42578125" bestFit="1" customWidth="1"/>
    <col min="5885" max="5885" width="16.42578125" bestFit="1" customWidth="1"/>
    <col min="5886" max="5886" width="16.140625" customWidth="1"/>
    <col min="5887" max="5887" width="10.42578125" bestFit="1" customWidth="1"/>
    <col min="5888" max="5888" width="10.5703125" bestFit="1" customWidth="1"/>
    <col min="5889" max="5889" width="13.28515625" bestFit="1" customWidth="1"/>
    <col min="5890" max="5890" width="19.5703125" customWidth="1"/>
    <col min="5891" max="5891" width="11.5703125" customWidth="1"/>
    <col min="5892" max="5892" width="11.140625" customWidth="1"/>
    <col min="5893" max="5893" width="11.28515625" customWidth="1"/>
    <col min="5894" max="5894" width="14.140625" customWidth="1"/>
    <col min="5895" max="5895" width="16.85546875" customWidth="1"/>
    <col min="5897" max="5897" width="9.85546875" bestFit="1" customWidth="1"/>
    <col min="5901" max="5901" width="5.28515625" customWidth="1"/>
    <col min="5902" max="5902" width="18.5703125" customWidth="1"/>
    <col min="5904" max="5904" width="12.85546875" customWidth="1"/>
    <col min="6138" max="6138" width="27" bestFit="1" customWidth="1"/>
    <col min="6139" max="6139" width="12.85546875" bestFit="1" customWidth="1"/>
    <col min="6140" max="6140" width="9.42578125" bestFit="1" customWidth="1"/>
    <col min="6141" max="6141" width="16.42578125" bestFit="1" customWidth="1"/>
    <col min="6142" max="6142" width="16.140625" customWidth="1"/>
    <col min="6143" max="6143" width="10.42578125" bestFit="1" customWidth="1"/>
    <col min="6144" max="6144" width="10.5703125" bestFit="1" customWidth="1"/>
    <col min="6145" max="6145" width="13.28515625" bestFit="1" customWidth="1"/>
    <col min="6146" max="6146" width="19.5703125" customWidth="1"/>
    <col min="6147" max="6147" width="11.5703125" customWidth="1"/>
    <col min="6148" max="6148" width="11.140625" customWidth="1"/>
    <col min="6149" max="6149" width="11.28515625" customWidth="1"/>
    <col min="6150" max="6150" width="14.140625" customWidth="1"/>
    <col min="6151" max="6151" width="16.85546875" customWidth="1"/>
    <col min="6153" max="6153" width="9.85546875" bestFit="1" customWidth="1"/>
    <col min="6157" max="6157" width="5.28515625" customWidth="1"/>
    <col min="6158" max="6158" width="18.5703125" customWidth="1"/>
    <col min="6160" max="6160" width="12.85546875" customWidth="1"/>
    <col min="6394" max="6394" width="27" bestFit="1" customWidth="1"/>
    <col min="6395" max="6395" width="12.85546875" bestFit="1" customWidth="1"/>
    <col min="6396" max="6396" width="9.42578125" bestFit="1" customWidth="1"/>
    <col min="6397" max="6397" width="16.42578125" bestFit="1" customWidth="1"/>
    <col min="6398" max="6398" width="16.140625" customWidth="1"/>
    <col min="6399" max="6399" width="10.42578125" bestFit="1" customWidth="1"/>
    <col min="6400" max="6400" width="10.5703125" bestFit="1" customWidth="1"/>
    <col min="6401" max="6401" width="13.28515625" bestFit="1" customWidth="1"/>
    <col min="6402" max="6402" width="19.5703125" customWidth="1"/>
    <col min="6403" max="6403" width="11.5703125" customWidth="1"/>
    <col min="6404" max="6404" width="11.140625" customWidth="1"/>
    <col min="6405" max="6405" width="11.28515625" customWidth="1"/>
    <col min="6406" max="6406" width="14.140625" customWidth="1"/>
    <col min="6407" max="6407" width="16.85546875" customWidth="1"/>
    <col min="6409" max="6409" width="9.85546875" bestFit="1" customWidth="1"/>
    <col min="6413" max="6413" width="5.28515625" customWidth="1"/>
    <col min="6414" max="6414" width="18.5703125" customWidth="1"/>
    <col min="6416" max="6416" width="12.85546875" customWidth="1"/>
    <col min="6650" max="6650" width="27" bestFit="1" customWidth="1"/>
    <col min="6651" max="6651" width="12.85546875" bestFit="1" customWidth="1"/>
    <col min="6652" max="6652" width="9.42578125" bestFit="1" customWidth="1"/>
    <col min="6653" max="6653" width="16.42578125" bestFit="1" customWidth="1"/>
    <col min="6654" max="6654" width="16.140625" customWidth="1"/>
    <col min="6655" max="6655" width="10.42578125" bestFit="1" customWidth="1"/>
    <col min="6656" max="6656" width="10.5703125" bestFit="1" customWidth="1"/>
    <col min="6657" max="6657" width="13.28515625" bestFit="1" customWidth="1"/>
    <col min="6658" max="6658" width="19.5703125" customWidth="1"/>
    <col min="6659" max="6659" width="11.5703125" customWidth="1"/>
    <col min="6660" max="6660" width="11.140625" customWidth="1"/>
    <col min="6661" max="6661" width="11.28515625" customWidth="1"/>
    <col min="6662" max="6662" width="14.140625" customWidth="1"/>
    <col min="6663" max="6663" width="16.85546875" customWidth="1"/>
    <col min="6665" max="6665" width="9.85546875" bestFit="1" customWidth="1"/>
    <col min="6669" max="6669" width="5.28515625" customWidth="1"/>
    <col min="6670" max="6670" width="18.5703125" customWidth="1"/>
    <col min="6672" max="6672" width="12.85546875" customWidth="1"/>
    <col min="6906" max="6906" width="27" bestFit="1" customWidth="1"/>
    <col min="6907" max="6907" width="12.85546875" bestFit="1" customWidth="1"/>
    <col min="6908" max="6908" width="9.42578125" bestFit="1" customWidth="1"/>
    <col min="6909" max="6909" width="16.42578125" bestFit="1" customWidth="1"/>
    <col min="6910" max="6910" width="16.140625" customWidth="1"/>
    <col min="6911" max="6911" width="10.42578125" bestFit="1" customWidth="1"/>
    <col min="6912" max="6912" width="10.5703125" bestFit="1" customWidth="1"/>
    <col min="6913" max="6913" width="13.28515625" bestFit="1" customWidth="1"/>
    <col min="6914" max="6914" width="19.5703125" customWidth="1"/>
    <col min="6915" max="6915" width="11.5703125" customWidth="1"/>
    <col min="6916" max="6916" width="11.140625" customWidth="1"/>
    <col min="6917" max="6917" width="11.28515625" customWidth="1"/>
    <col min="6918" max="6918" width="14.140625" customWidth="1"/>
    <col min="6919" max="6919" width="16.85546875" customWidth="1"/>
    <col min="6921" max="6921" width="9.85546875" bestFit="1" customWidth="1"/>
    <col min="6925" max="6925" width="5.28515625" customWidth="1"/>
    <col min="6926" max="6926" width="18.5703125" customWidth="1"/>
    <col min="6928" max="6928" width="12.85546875" customWidth="1"/>
    <col min="7162" max="7162" width="27" bestFit="1" customWidth="1"/>
    <col min="7163" max="7163" width="12.85546875" bestFit="1" customWidth="1"/>
    <col min="7164" max="7164" width="9.42578125" bestFit="1" customWidth="1"/>
    <col min="7165" max="7165" width="16.42578125" bestFit="1" customWidth="1"/>
    <col min="7166" max="7166" width="16.140625" customWidth="1"/>
    <col min="7167" max="7167" width="10.42578125" bestFit="1" customWidth="1"/>
    <col min="7168" max="7168" width="10.5703125" bestFit="1" customWidth="1"/>
    <col min="7169" max="7169" width="13.28515625" bestFit="1" customWidth="1"/>
    <col min="7170" max="7170" width="19.5703125" customWidth="1"/>
    <col min="7171" max="7171" width="11.5703125" customWidth="1"/>
    <col min="7172" max="7172" width="11.140625" customWidth="1"/>
    <col min="7173" max="7173" width="11.28515625" customWidth="1"/>
    <col min="7174" max="7174" width="14.140625" customWidth="1"/>
    <col min="7175" max="7175" width="16.85546875" customWidth="1"/>
    <col min="7177" max="7177" width="9.85546875" bestFit="1" customWidth="1"/>
    <col min="7181" max="7181" width="5.28515625" customWidth="1"/>
    <col min="7182" max="7182" width="18.5703125" customWidth="1"/>
    <col min="7184" max="7184" width="12.85546875" customWidth="1"/>
    <col min="7418" max="7418" width="27" bestFit="1" customWidth="1"/>
    <col min="7419" max="7419" width="12.85546875" bestFit="1" customWidth="1"/>
    <col min="7420" max="7420" width="9.42578125" bestFit="1" customWidth="1"/>
    <col min="7421" max="7421" width="16.42578125" bestFit="1" customWidth="1"/>
    <col min="7422" max="7422" width="16.140625" customWidth="1"/>
    <col min="7423" max="7423" width="10.42578125" bestFit="1" customWidth="1"/>
    <col min="7424" max="7424" width="10.5703125" bestFit="1" customWidth="1"/>
    <col min="7425" max="7425" width="13.28515625" bestFit="1" customWidth="1"/>
    <col min="7426" max="7426" width="19.5703125" customWidth="1"/>
    <col min="7427" max="7427" width="11.5703125" customWidth="1"/>
    <col min="7428" max="7428" width="11.140625" customWidth="1"/>
    <col min="7429" max="7429" width="11.28515625" customWidth="1"/>
    <col min="7430" max="7430" width="14.140625" customWidth="1"/>
    <col min="7431" max="7431" width="16.85546875" customWidth="1"/>
    <col min="7433" max="7433" width="9.85546875" bestFit="1" customWidth="1"/>
    <col min="7437" max="7437" width="5.28515625" customWidth="1"/>
    <col min="7438" max="7438" width="18.5703125" customWidth="1"/>
    <col min="7440" max="7440" width="12.85546875" customWidth="1"/>
    <col min="7674" max="7674" width="27" bestFit="1" customWidth="1"/>
    <col min="7675" max="7675" width="12.85546875" bestFit="1" customWidth="1"/>
    <col min="7676" max="7676" width="9.42578125" bestFit="1" customWidth="1"/>
    <col min="7677" max="7677" width="16.42578125" bestFit="1" customWidth="1"/>
    <col min="7678" max="7678" width="16.140625" customWidth="1"/>
    <col min="7679" max="7679" width="10.42578125" bestFit="1" customWidth="1"/>
    <col min="7680" max="7680" width="10.5703125" bestFit="1" customWidth="1"/>
    <col min="7681" max="7681" width="13.28515625" bestFit="1" customWidth="1"/>
    <col min="7682" max="7682" width="19.5703125" customWidth="1"/>
    <col min="7683" max="7683" width="11.5703125" customWidth="1"/>
    <col min="7684" max="7684" width="11.140625" customWidth="1"/>
    <col min="7685" max="7685" width="11.28515625" customWidth="1"/>
    <col min="7686" max="7686" width="14.140625" customWidth="1"/>
    <col min="7687" max="7687" width="16.85546875" customWidth="1"/>
    <col min="7689" max="7689" width="9.85546875" bestFit="1" customWidth="1"/>
    <col min="7693" max="7693" width="5.28515625" customWidth="1"/>
    <col min="7694" max="7694" width="18.5703125" customWidth="1"/>
    <col min="7696" max="7696" width="12.85546875" customWidth="1"/>
    <col min="7930" max="7930" width="27" bestFit="1" customWidth="1"/>
    <col min="7931" max="7931" width="12.85546875" bestFit="1" customWidth="1"/>
    <col min="7932" max="7932" width="9.42578125" bestFit="1" customWidth="1"/>
    <col min="7933" max="7933" width="16.42578125" bestFit="1" customWidth="1"/>
    <col min="7934" max="7934" width="16.140625" customWidth="1"/>
    <col min="7935" max="7935" width="10.42578125" bestFit="1" customWidth="1"/>
    <col min="7936" max="7936" width="10.5703125" bestFit="1" customWidth="1"/>
    <col min="7937" max="7937" width="13.28515625" bestFit="1" customWidth="1"/>
    <col min="7938" max="7938" width="19.5703125" customWidth="1"/>
    <col min="7939" max="7939" width="11.5703125" customWidth="1"/>
    <col min="7940" max="7940" width="11.140625" customWidth="1"/>
    <col min="7941" max="7941" width="11.28515625" customWidth="1"/>
    <col min="7942" max="7942" width="14.140625" customWidth="1"/>
    <col min="7943" max="7943" width="16.85546875" customWidth="1"/>
    <col min="7945" max="7945" width="9.85546875" bestFit="1" customWidth="1"/>
    <col min="7949" max="7949" width="5.28515625" customWidth="1"/>
    <col min="7950" max="7950" width="18.5703125" customWidth="1"/>
    <col min="7952" max="7952" width="12.85546875" customWidth="1"/>
    <col min="8186" max="8186" width="27" bestFit="1" customWidth="1"/>
    <col min="8187" max="8187" width="12.85546875" bestFit="1" customWidth="1"/>
    <col min="8188" max="8188" width="9.42578125" bestFit="1" customWidth="1"/>
    <col min="8189" max="8189" width="16.42578125" bestFit="1" customWidth="1"/>
    <col min="8190" max="8190" width="16.140625" customWidth="1"/>
    <col min="8191" max="8191" width="10.42578125" bestFit="1" customWidth="1"/>
    <col min="8192" max="8192" width="10.5703125" bestFit="1" customWidth="1"/>
    <col min="8193" max="8193" width="13.28515625" bestFit="1" customWidth="1"/>
    <col min="8194" max="8194" width="19.5703125" customWidth="1"/>
    <col min="8195" max="8195" width="11.5703125" customWidth="1"/>
    <col min="8196" max="8196" width="11.140625" customWidth="1"/>
    <col min="8197" max="8197" width="11.28515625" customWidth="1"/>
    <col min="8198" max="8198" width="14.140625" customWidth="1"/>
    <col min="8199" max="8199" width="16.85546875" customWidth="1"/>
    <col min="8201" max="8201" width="9.85546875" bestFit="1" customWidth="1"/>
    <col min="8205" max="8205" width="5.28515625" customWidth="1"/>
    <col min="8206" max="8206" width="18.5703125" customWidth="1"/>
    <col min="8208" max="8208" width="12.85546875" customWidth="1"/>
    <col min="8442" max="8442" width="27" bestFit="1" customWidth="1"/>
    <col min="8443" max="8443" width="12.85546875" bestFit="1" customWidth="1"/>
    <col min="8444" max="8444" width="9.42578125" bestFit="1" customWidth="1"/>
    <col min="8445" max="8445" width="16.42578125" bestFit="1" customWidth="1"/>
    <col min="8446" max="8446" width="16.140625" customWidth="1"/>
    <col min="8447" max="8447" width="10.42578125" bestFit="1" customWidth="1"/>
    <col min="8448" max="8448" width="10.5703125" bestFit="1" customWidth="1"/>
    <col min="8449" max="8449" width="13.28515625" bestFit="1" customWidth="1"/>
    <col min="8450" max="8450" width="19.5703125" customWidth="1"/>
    <col min="8451" max="8451" width="11.5703125" customWidth="1"/>
    <col min="8452" max="8452" width="11.140625" customWidth="1"/>
    <col min="8453" max="8453" width="11.28515625" customWidth="1"/>
    <col min="8454" max="8454" width="14.140625" customWidth="1"/>
    <col min="8455" max="8455" width="16.85546875" customWidth="1"/>
    <col min="8457" max="8457" width="9.85546875" bestFit="1" customWidth="1"/>
    <col min="8461" max="8461" width="5.28515625" customWidth="1"/>
    <col min="8462" max="8462" width="18.5703125" customWidth="1"/>
    <col min="8464" max="8464" width="12.85546875" customWidth="1"/>
    <col min="8698" max="8698" width="27" bestFit="1" customWidth="1"/>
    <col min="8699" max="8699" width="12.85546875" bestFit="1" customWidth="1"/>
    <col min="8700" max="8700" width="9.42578125" bestFit="1" customWidth="1"/>
    <col min="8701" max="8701" width="16.42578125" bestFit="1" customWidth="1"/>
    <col min="8702" max="8702" width="16.140625" customWidth="1"/>
    <col min="8703" max="8703" width="10.42578125" bestFit="1" customWidth="1"/>
    <col min="8704" max="8704" width="10.5703125" bestFit="1" customWidth="1"/>
    <col min="8705" max="8705" width="13.28515625" bestFit="1" customWidth="1"/>
    <col min="8706" max="8706" width="19.5703125" customWidth="1"/>
    <col min="8707" max="8707" width="11.5703125" customWidth="1"/>
    <col min="8708" max="8708" width="11.140625" customWidth="1"/>
    <col min="8709" max="8709" width="11.28515625" customWidth="1"/>
    <col min="8710" max="8710" width="14.140625" customWidth="1"/>
    <col min="8711" max="8711" width="16.85546875" customWidth="1"/>
    <col min="8713" max="8713" width="9.85546875" bestFit="1" customWidth="1"/>
    <col min="8717" max="8717" width="5.28515625" customWidth="1"/>
    <col min="8718" max="8718" width="18.5703125" customWidth="1"/>
    <col min="8720" max="8720" width="12.85546875" customWidth="1"/>
    <col min="8954" max="8954" width="27" bestFit="1" customWidth="1"/>
    <col min="8955" max="8955" width="12.85546875" bestFit="1" customWidth="1"/>
    <col min="8956" max="8956" width="9.42578125" bestFit="1" customWidth="1"/>
    <col min="8957" max="8957" width="16.42578125" bestFit="1" customWidth="1"/>
    <col min="8958" max="8958" width="16.140625" customWidth="1"/>
    <col min="8959" max="8959" width="10.42578125" bestFit="1" customWidth="1"/>
    <col min="8960" max="8960" width="10.5703125" bestFit="1" customWidth="1"/>
    <col min="8961" max="8961" width="13.28515625" bestFit="1" customWidth="1"/>
    <col min="8962" max="8962" width="19.5703125" customWidth="1"/>
    <col min="8963" max="8963" width="11.5703125" customWidth="1"/>
    <col min="8964" max="8964" width="11.140625" customWidth="1"/>
    <col min="8965" max="8965" width="11.28515625" customWidth="1"/>
    <col min="8966" max="8966" width="14.140625" customWidth="1"/>
    <col min="8967" max="8967" width="16.85546875" customWidth="1"/>
    <col min="8969" max="8969" width="9.85546875" bestFit="1" customWidth="1"/>
    <col min="8973" max="8973" width="5.28515625" customWidth="1"/>
    <col min="8974" max="8974" width="18.5703125" customWidth="1"/>
    <col min="8976" max="8976" width="12.85546875" customWidth="1"/>
    <col min="9210" max="9210" width="27" bestFit="1" customWidth="1"/>
    <col min="9211" max="9211" width="12.85546875" bestFit="1" customWidth="1"/>
    <col min="9212" max="9212" width="9.42578125" bestFit="1" customWidth="1"/>
    <col min="9213" max="9213" width="16.42578125" bestFit="1" customWidth="1"/>
    <col min="9214" max="9214" width="16.140625" customWidth="1"/>
    <col min="9215" max="9215" width="10.42578125" bestFit="1" customWidth="1"/>
    <col min="9216" max="9216" width="10.5703125" bestFit="1" customWidth="1"/>
    <col min="9217" max="9217" width="13.28515625" bestFit="1" customWidth="1"/>
    <col min="9218" max="9218" width="19.5703125" customWidth="1"/>
    <col min="9219" max="9219" width="11.5703125" customWidth="1"/>
    <col min="9220" max="9220" width="11.140625" customWidth="1"/>
    <col min="9221" max="9221" width="11.28515625" customWidth="1"/>
    <col min="9222" max="9222" width="14.140625" customWidth="1"/>
    <col min="9223" max="9223" width="16.85546875" customWidth="1"/>
    <col min="9225" max="9225" width="9.85546875" bestFit="1" customWidth="1"/>
    <col min="9229" max="9229" width="5.28515625" customWidth="1"/>
    <col min="9230" max="9230" width="18.5703125" customWidth="1"/>
    <col min="9232" max="9232" width="12.85546875" customWidth="1"/>
    <col min="9466" max="9466" width="27" bestFit="1" customWidth="1"/>
    <col min="9467" max="9467" width="12.85546875" bestFit="1" customWidth="1"/>
    <col min="9468" max="9468" width="9.42578125" bestFit="1" customWidth="1"/>
    <col min="9469" max="9469" width="16.42578125" bestFit="1" customWidth="1"/>
    <col min="9470" max="9470" width="16.140625" customWidth="1"/>
    <col min="9471" max="9471" width="10.42578125" bestFit="1" customWidth="1"/>
    <col min="9472" max="9472" width="10.5703125" bestFit="1" customWidth="1"/>
    <col min="9473" max="9473" width="13.28515625" bestFit="1" customWidth="1"/>
    <col min="9474" max="9474" width="19.5703125" customWidth="1"/>
    <col min="9475" max="9475" width="11.5703125" customWidth="1"/>
    <col min="9476" max="9476" width="11.140625" customWidth="1"/>
    <col min="9477" max="9477" width="11.28515625" customWidth="1"/>
    <col min="9478" max="9478" width="14.140625" customWidth="1"/>
    <col min="9479" max="9479" width="16.85546875" customWidth="1"/>
    <col min="9481" max="9481" width="9.85546875" bestFit="1" customWidth="1"/>
    <col min="9485" max="9485" width="5.28515625" customWidth="1"/>
    <col min="9486" max="9486" width="18.5703125" customWidth="1"/>
    <col min="9488" max="9488" width="12.85546875" customWidth="1"/>
    <col min="9722" max="9722" width="27" bestFit="1" customWidth="1"/>
    <col min="9723" max="9723" width="12.85546875" bestFit="1" customWidth="1"/>
    <col min="9724" max="9724" width="9.42578125" bestFit="1" customWidth="1"/>
    <col min="9725" max="9725" width="16.42578125" bestFit="1" customWidth="1"/>
    <col min="9726" max="9726" width="16.140625" customWidth="1"/>
    <col min="9727" max="9727" width="10.42578125" bestFit="1" customWidth="1"/>
    <col min="9728" max="9728" width="10.5703125" bestFit="1" customWidth="1"/>
    <col min="9729" max="9729" width="13.28515625" bestFit="1" customWidth="1"/>
    <col min="9730" max="9730" width="19.5703125" customWidth="1"/>
    <col min="9731" max="9731" width="11.5703125" customWidth="1"/>
    <col min="9732" max="9732" width="11.140625" customWidth="1"/>
    <col min="9733" max="9733" width="11.28515625" customWidth="1"/>
    <col min="9734" max="9734" width="14.140625" customWidth="1"/>
    <col min="9735" max="9735" width="16.85546875" customWidth="1"/>
    <col min="9737" max="9737" width="9.85546875" bestFit="1" customWidth="1"/>
    <col min="9741" max="9741" width="5.28515625" customWidth="1"/>
    <col min="9742" max="9742" width="18.5703125" customWidth="1"/>
    <col min="9744" max="9744" width="12.85546875" customWidth="1"/>
    <col min="9978" max="9978" width="27" bestFit="1" customWidth="1"/>
    <col min="9979" max="9979" width="12.85546875" bestFit="1" customWidth="1"/>
    <col min="9980" max="9980" width="9.42578125" bestFit="1" customWidth="1"/>
    <col min="9981" max="9981" width="16.42578125" bestFit="1" customWidth="1"/>
    <col min="9982" max="9982" width="16.140625" customWidth="1"/>
    <col min="9983" max="9983" width="10.42578125" bestFit="1" customWidth="1"/>
    <col min="9984" max="9984" width="10.5703125" bestFit="1" customWidth="1"/>
    <col min="9985" max="9985" width="13.28515625" bestFit="1" customWidth="1"/>
    <col min="9986" max="9986" width="19.5703125" customWidth="1"/>
    <col min="9987" max="9987" width="11.5703125" customWidth="1"/>
    <col min="9988" max="9988" width="11.140625" customWidth="1"/>
    <col min="9989" max="9989" width="11.28515625" customWidth="1"/>
    <col min="9990" max="9990" width="14.140625" customWidth="1"/>
    <col min="9991" max="9991" width="16.85546875" customWidth="1"/>
    <col min="9993" max="9993" width="9.85546875" bestFit="1" customWidth="1"/>
    <col min="9997" max="9997" width="5.28515625" customWidth="1"/>
    <col min="9998" max="9998" width="18.5703125" customWidth="1"/>
    <col min="10000" max="10000" width="12.85546875" customWidth="1"/>
    <col min="10234" max="10234" width="27" bestFit="1" customWidth="1"/>
    <col min="10235" max="10235" width="12.85546875" bestFit="1" customWidth="1"/>
    <col min="10236" max="10236" width="9.42578125" bestFit="1" customWidth="1"/>
    <col min="10237" max="10237" width="16.42578125" bestFit="1" customWidth="1"/>
    <col min="10238" max="10238" width="16.140625" customWidth="1"/>
    <col min="10239" max="10239" width="10.42578125" bestFit="1" customWidth="1"/>
    <col min="10240" max="10240" width="10.5703125" bestFit="1" customWidth="1"/>
    <col min="10241" max="10241" width="13.28515625" bestFit="1" customWidth="1"/>
    <col min="10242" max="10242" width="19.5703125" customWidth="1"/>
    <col min="10243" max="10243" width="11.5703125" customWidth="1"/>
    <col min="10244" max="10244" width="11.140625" customWidth="1"/>
    <col min="10245" max="10245" width="11.28515625" customWidth="1"/>
    <col min="10246" max="10246" width="14.140625" customWidth="1"/>
    <col min="10247" max="10247" width="16.85546875" customWidth="1"/>
    <col min="10249" max="10249" width="9.85546875" bestFit="1" customWidth="1"/>
    <col min="10253" max="10253" width="5.28515625" customWidth="1"/>
    <col min="10254" max="10254" width="18.5703125" customWidth="1"/>
    <col min="10256" max="10256" width="12.85546875" customWidth="1"/>
    <col min="10490" max="10490" width="27" bestFit="1" customWidth="1"/>
    <col min="10491" max="10491" width="12.85546875" bestFit="1" customWidth="1"/>
    <col min="10492" max="10492" width="9.42578125" bestFit="1" customWidth="1"/>
    <col min="10493" max="10493" width="16.42578125" bestFit="1" customWidth="1"/>
    <col min="10494" max="10494" width="16.140625" customWidth="1"/>
    <col min="10495" max="10495" width="10.42578125" bestFit="1" customWidth="1"/>
    <col min="10496" max="10496" width="10.5703125" bestFit="1" customWidth="1"/>
    <col min="10497" max="10497" width="13.28515625" bestFit="1" customWidth="1"/>
    <col min="10498" max="10498" width="19.5703125" customWidth="1"/>
    <col min="10499" max="10499" width="11.5703125" customWidth="1"/>
    <col min="10500" max="10500" width="11.140625" customWidth="1"/>
    <col min="10501" max="10501" width="11.28515625" customWidth="1"/>
    <col min="10502" max="10502" width="14.140625" customWidth="1"/>
    <col min="10503" max="10503" width="16.85546875" customWidth="1"/>
    <col min="10505" max="10505" width="9.85546875" bestFit="1" customWidth="1"/>
    <col min="10509" max="10509" width="5.28515625" customWidth="1"/>
    <col min="10510" max="10510" width="18.5703125" customWidth="1"/>
    <col min="10512" max="10512" width="12.85546875" customWidth="1"/>
    <col min="10746" max="10746" width="27" bestFit="1" customWidth="1"/>
    <col min="10747" max="10747" width="12.85546875" bestFit="1" customWidth="1"/>
    <col min="10748" max="10748" width="9.42578125" bestFit="1" customWidth="1"/>
    <col min="10749" max="10749" width="16.42578125" bestFit="1" customWidth="1"/>
    <col min="10750" max="10750" width="16.140625" customWidth="1"/>
    <col min="10751" max="10751" width="10.42578125" bestFit="1" customWidth="1"/>
    <col min="10752" max="10752" width="10.5703125" bestFit="1" customWidth="1"/>
    <col min="10753" max="10753" width="13.28515625" bestFit="1" customWidth="1"/>
    <col min="10754" max="10754" width="19.5703125" customWidth="1"/>
    <col min="10755" max="10755" width="11.5703125" customWidth="1"/>
    <col min="10756" max="10756" width="11.140625" customWidth="1"/>
    <col min="10757" max="10757" width="11.28515625" customWidth="1"/>
    <col min="10758" max="10758" width="14.140625" customWidth="1"/>
    <col min="10759" max="10759" width="16.85546875" customWidth="1"/>
    <col min="10761" max="10761" width="9.85546875" bestFit="1" customWidth="1"/>
    <col min="10765" max="10765" width="5.28515625" customWidth="1"/>
    <col min="10766" max="10766" width="18.5703125" customWidth="1"/>
    <col min="10768" max="10768" width="12.85546875" customWidth="1"/>
    <col min="11002" max="11002" width="27" bestFit="1" customWidth="1"/>
    <col min="11003" max="11003" width="12.85546875" bestFit="1" customWidth="1"/>
    <col min="11004" max="11004" width="9.42578125" bestFit="1" customWidth="1"/>
    <col min="11005" max="11005" width="16.42578125" bestFit="1" customWidth="1"/>
    <col min="11006" max="11006" width="16.140625" customWidth="1"/>
    <col min="11007" max="11007" width="10.42578125" bestFit="1" customWidth="1"/>
    <col min="11008" max="11008" width="10.5703125" bestFit="1" customWidth="1"/>
    <col min="11009" max="11009" width="13.28515625" bestFit="1" customWidth="1"/>
    <col min="11010" max="11010" width="19.5703125" customWidth="1"/>
    <col min="11011" max="11011" width="11.5703125" customWidth="1"/>
    <col min="11012" max="11012" width="11.140625" customWidth="1"/>
    <col min="11013" max="11013" width="11.28515625" customWidth="1"/>
    <col min="11014" max="11014" width="14.140625" customWidth="1"/>
    <col min="11015" max="11015" width="16.85546875" customWidth="1"/>
    <col min="11017" max="11017" width="9.85546875" bestFit="1" customWidth="1"/>
    <col min="11021" max="11021" width="5.28515625" customWidth="1"/>
    <col min="11022" max="11022" width="18.5703125" customWidth="1"/>
    <col min="11024" max="11024" width="12.85546875" customWidth="1"/>
    <col min="11258" max="11258" width="27" bestFit="1" customWidth="1"/>
    <col min="11259" max="11259" width="12.85546875" bestFit="1" customWidth="1"/>
    <col min="11260" max="11260" width="9.42578125" bestFit="1" customWidth="1"/>
    <col min="11261" max="11261" width="16.42578125" bestFit="1" customWidth="1"/>
    <col min="11262" max="11262" width="16.140625" customWidth="1"/>
    <col min="11263" max="11263" width="10.42578125" bestFit="1" customWidth="1"/>
    <col min="11264" max="11264" width="10.5703125" bestFit="1" customWidth="1"/>
    <col min="11265" max="11265" width="13.28515625" bestFit="1" customWidth="1"/>
    <col min="11266" max="11266" width="19.5703125" customWidth="1"/>
    <col min="11267" max="11267" width="11.5703125" customWidth="1"/>
    <col min="11268" max="11268" width="11.140625" customWidth="1"/>
    <col min="11269" max="11269" width="11.28515625" customWidth="1"/>
    <col min="11270" max="11270" width="14.140625" customWidth="1"/>
    <col min="11271" max="11271" width="16.85546875" customWidth="1"/>
    <col min="11273" max="11273" width="9.85546875" bestFit="1" customWidth="1"/>
    <col min="11277" max="11277" width="5.28515625" customWidth="1"/>
    <col min="11278" max="11278" width="18.5703125" customWidth="1"/>
    <col min="11280" max="11280" width="12.85546875" customWidth="1"/>
    <col min="11514" max="11514" width="27" bestFit="1" customWidth="1"/>
    <col min="11515" max="11515" width="12.85546875" bestFit="1" customWidth="1"/>
    <col min="11516" max="11516" width="9.42578125" bestFit="1" customWidth="1"/>
    <col min="11517" max="11517" width="16.42578125" bestFit="1" customWidth="1"/>
    <col min="11518" max="11518" width="16.140625" customWidth="1"/>
    <col min="11519" max="11519" width="10.42578125" bestFit="1" customWidth="1"/>
    <col min="11520" max="11520" width="10.5703125" bestFit="1" customWidth="1"/>
    <col min="11521" max="11521" width="13.28515625" bestFit="1" customWidth="1"/>
    <col min="11522" max="11522" width="19.5703125" customWidth="1"/>
    <col min="11523" max="11523" width="11.5703125" customWidth="1"/>
    <col min="11524" max="11524" width="11.140625" customWidth="1"/>
    <col min="11525" max="11525" width="11.28515625" customWidth="1"/>
    <col min="11526" max="11526" width="14.140625" customWidth="1"/>
    <col min="11527" max="11527" width="16.85546875" customWidth="1"/>
    <col min="11529" max="11529" width="9.85546875" bestFit="1" customWidth="1"/>
    <col min="11533" max="11533" width="5.28515625" customWidth="1"/>
    <col min="11534" max="11534" width="18.5703125" customWidth="1"/>
    <col min="11536" max="11536" width="12.85546875" customWidth="1"/>
    <col min="11770" max="11770" width="27" bestFit="1" customWidth="1"/>
    <col min="11771" max="11771" width="12.85546875" bestFit="1" customWidth="1"/>
    <col min="11772" max="11772" width="9.42578125" bestFit="1" customWidth="1"/>
    <col min="11773" max="11773" width="16.42578125" bestFit="1" customWidth="1"/>
    <col min="11774" max="11774" width="16.140625" customWidth="1"/>
    <col min="11775" max="11775" width="10.42578125" bestFit="1" customWidth="1"/>
    <col min="11776" max="11776" width="10.5703125" bestFit="1" customWidth="1"/>
    <col min="11777" max="11777" width="13.28515625" bestFit="1" customWidth="1"/>
    <col min="11778" max="11778" width="19.5703125" customWidth="1"/>
    <col min="11779" max="11779" width="11.5703125" customWidth="1"/>
    <col min="11780" max="11780" width="11.140625" customWidth="1"/>
    <col min="11781" max="11781" width="11.28515625" customWidth="1"/>
    <col min="11782" max="11782" width="14.140625" customWidth="1"/>
    <col min="11783" max="11783" width="16.85546875" customWidth="1"/>
    <col min="11785" max="11785" width="9.85546875" bestFit="1" customWidth="1"/>
    <col min="11789" max="11789" width="5.28515625" customWidth="1"/>
    <col min="11790" max="11790" width="18.5703125" customWidth="1"/>
    <col min="11792" max="11792" width="12.85546875" customWidth="1"/>
    <col min="12026" max="12026" width="27" bestFit="1" customWidth="1"/>
    <col min="12027" max="12027" width="12.85546875" bestFit="1" customWidth="1"/>
    <col min="12028" max="12028" width="9.42578125" bestFit="1" customWidth="1"/>
    <col min="12029" max="12029" width="16.42578125" bestFit="1" customWidth="1"/>
    <col min="12030" max="12030" width="16.140625" customWidth="1"/>
    <col min="12031" max="12031" width="10.42578125" bestFit="1" customWidth="1"/>
    <col min="12032" max="12032" width="10.5703125" bestFit="1" customWidth="1"/>
    <col min="12033" max="12033" width="13.28515625" bestFit="1" customWidth="1"/>
    <col min="12034" max="12034" width="19.5703125" customWidth="1"/>
    <col min="12035" max="12035" width="11.5703125" customWidth="1"/>
    <col min="12036" max="12036" width="11.140625" customWidth="1"/>
    <col min="12037" max="12037" width="11.28515625" customWidth="1"/>
    <col min="12038" max="12038" width="14.140625" customWidth="1"/>
    <col min="12039" max="12039" width="16.85546875" customWidth="1"/>
    <col min="12041" max="12041" width="9.85546875" bestFit="1" customWidth="1"/>
    <col min="12045" max="12045" width="5.28515625" customWidth="1"/>
    <col min="12046" max="12046" width="18.5703125" customWidth="1"/>
    <col min="12048" max="12048" width="12.85546875" customWidth="1"/>
    <col min="12282" max="12282" width="27" bestFit="1" customWidth="1"/>
    <col min="12283" max="12283" width="12.85546875" bestFit="1" customWidth="1"/>
    <col min="12284" max="12284" width="9.42578125" bestFit="1" customWidth="1"/>
    <col min="12285" max="12285" width="16.42578125" bestFit="1" customWidth="1"/>
    <col min="12286" max="12286" width="16.140625" customWidth="1"/>
    <col min="12287" max="12287" width="10.42578125" bestFit="1" customWidth="1"/>
    <col min="12288" max="12288" width="10.5703125" bestFit="1" customWidth="1"/>
    <col min="12289" max="12289" width="13.28515625" bestFit="1" customWidth="1"/>
    <col min="12290" max="12290" width="19.5703125" customWidth="1"/>
    <col min="12291" max="12291" width="11.5703125" customWidth="1"/>
    <col min="12292" max="12292" width="11.140625" customWidth="1"/>
    <col min="12293" max="12293" width="11.28515625" customWidth="1"/>
    <col min="12294" max="12294" width="14.140625" customWidth="1"/>
    <col min="12295" max="12295" width="16.85546875" customWidth="1"/>
    <col min="12297" max="12297" width="9.85546875" bestFit="1" customWidth="1"/>
    <col min="12301" max="12301" width="5.28515625" customWidth="1"/>
    <col min="12302" max="12302" width="18.5703125" customWidth="1"/>
    <col min="12304" max="12304" width="12.85546875" customWidth="1"/>
    <col min="12538" max="12538" width="27" bestFit="1" customWidth="1"/>
    <col min="12539" max="12539" width="12.85546875" bestFit="1" customWidth="1"/>
    <col min="12540" max="12540" width="9.42578125" bestFit="1" customWidth="1"/>
    <col min="12541" max="12541" width="16.42578125" bestFit="1" customWidth="1"/>
    <col min="12542" max="12542" width="16.140625" customWidth="1"/>
    <col min="12543" max="12543" width="10.42578125" bestFit="1" customWidth="1"/>
    <col min="12544" max="12544" width="10.5703125" bestFit="1" customWidth="1"/>
    <col min="12545" max="12545" width="13.28515625" bestFit="1" customWidth="1"/>
    <col min="12546" max="12546" width="19.5703125" customWidth="1"/>
    <col min="12547" max="12547" width="11.5703125" customWidth="1"/>
    <col min="12548" max="12548" width="11.140625" customWidth="1"/>
    <col min="12549" max="12549" width="11.28515625" customWidth="1"/>
    <col min="12550" max="12550" width="14.140625" customWidth="1"/>
    <col min="12551" max="12551" width="16.85546875" customWidth="1"/>
    <col min="12553" max="12553" width="9.85546875" bestFit="1" customWidth="1"/>
    <col min="12557" max="12557" width="5.28515625" customWidth="1"/>
    <col min="12558" max="12558" width="18.5703125" customWidth="1"/>
    <col min="12560" max="12560" width="12.85546875" customWidth="1"/>
    <col min="12794" max="12794" width="27" bestFit="1" customWidth="1"/>
    <col min="12795" max="12795" width="12.85546875" bestFit="1" customWidth="1"/>
    <col min="12796" max="12796" width="9.42578125" bestFit="1" customWidth="1"/>
    <col min="12797" max="12797" width="16.42578125" bestFit="1" customWidth="1"/>
    <col min="12798" max="12798" width="16.140625" customWidth="1"/>
    <col min="12799" max="12799" width="10.42578125" bestFit="1" customWidth="1"/>
    <col min="12800" max="12800" width="10.5703125" bestFit="1" customWidth="1"/>
    <col min="12801" max="12801" width="13.28515625" bestFit="1" customWidth="1"/>
    <col min="12802" max="12802" width="19.5703125" customWidth="1"/>
    <col min="12803" max="12803" width="11.5703125" customWidth="1"/>
    <col min="12804" max="12804" width="11.140625" customWidth="1"/>
    <col min="12805" max="12805" width="11.28515625" customWidth="1"/>
    <col min="12806" max="12806" width="14.140625" customWidth="1"/>
    <col min="12807" max="12807" width="16.85546875" customWidth="1"/>
    <col min="12809" max="12809" width="9.85546875" bestFit="1" customWidth="1"/>
    <col min="12813" max="12813" width="5.28515625" customWidth="1"/>
    <col min="12814" max="12814" width="18.5703125" customWidth="1"/>
    <col min="12816" max="12816" width="12.85546875" customWidth="1"/>
    <col min="13050" max="13050" width="27" bestFit="1" customWidth="1"/>
    <col min="13051" max="13051" width="12.85546875" bestFit="1" customWidth="1"/>
    <col min="13052" max="13052" width="9.42578125" bestFit="1" customWidth="1"/>
    <col min="13053" max="13053" width="16.42578125" bestFit="1" customWidth="1"/>
    <col min="13054" max="13054" width="16.140625" customWidth="1"/>
    <col min="13055" max="13055" width="10.42578125" bestFit="1" customWidth="1"/>
    <col min="13056" max="13056" width="10.5703125" bestFit="1" customWidth="1"/>
    <col min="13057" max="13057" width="13.28515625" bestFit="1" customWidth="1"/>
    <col min="13058" max="13058" width="19.5703125" customWidth="1"/>
    <col min="13059" max="13059" width="11.5703125" customWidth="1"/>
    <col min="13060" max="13060" width="11.140625" customWidth="1"/>
    <col min="13061" max="13061" width="11.28515625" customWidth="1"/>
    <col min="13062" max="13062" width="14.140625" customWidth="1"/>
    <col min="13063" max="13063" width="16.85546875" customWidth="1"/>
    <col min="13065" max="13065" width="9.85546875" bestFit="1" customWidth="1"/>
    <col min="13069" max="13069" width="5.28515625" customWidth="1"/>
    <col min="13070" max="13070" width="18.5703125" customWidth="1"/>
    <col min="13072" max="13072" width="12.85546875" customWidth="1"/>
    <col min="13306" max="13306" width="27" bestFit="1" customWidth="1"/>
    <col min="13307" max="13307" width="12.85546875" bestFit="1" customWidth="1"/>
    <col min="13308" max="13308" width="9.42578125" bestFit="1" customWidth="1"/>
    <col min="13309" max="13309" width="16.42578125" bestFit="1" customWidth="1"/>
    <col min="13310" max="13310" width="16.140625" customWidth="1"/>
    <col min="13311" max="13311" width="10.42578125" bestFit="1" customWidth="1"/>
    <col min="13312" max="13312" width="10.5703125" bestFit="1" customWidth="1"/>
    <col min="13313" max="13313" width="13.28515625" bestFit="1" customWidth="1"/>
    <col min="13314" max="13314" width="19.5703125" customWidth="1"/>
    <col min="13315" max="13315" width="11.5703125" customWidth="1"/>
    <col min="13316" max="13316" width="11.140625" customWidth="1"/>
    <col min="13317" max="13317" width="11.28515625" customWidth="1"/>
    <col min="13318" max="13318" width="14.140625" customWidth="1"/>
    <col min="13319" max="13319" width="16.85546875" customWidth="1"/>
    <col min="13321" max="13321" width="9.85546875" bestFit="1" customWidth="1"/>
    <col min="13325" max="13325" width="5.28515625" customWidth="1"/>
    <col min="13326" max="13326" width="18.5703125" customWidth="1"/>
    <col min="13328" max="13328" width="12.85546875" customWidth="1"/>
    <col min="13562" max="13562" width="27" bestFit="1" customWidth="1"/>
    <col min="13563" max="13563" width="12.85546875" bestFit="1" customWidth="1"/>
    <col min="13564" max="13564" width="9.42578125" bestFit="1" customWidth="1"/>
    <col min="13565" max="13565" width="16.42578125" bestFit="1" customWidth="1"/>
    <col min="13566" max="13566" width="16.140625" customWidth="1"/>
    <col min="13567" max="13567" width="10.42578125" bestFit="1" customWidth="1"/>
    <col min="13568" max="13568" width="10.5703125" bestFit="1" customWidth="1"/>
    <col min="13569" max="13569" width="13.28515625" bestFit="1" customWidth="1"/>
    <col min="13570" max="13570" width="19.5703125" customWidth="1"/>
    <col min="13571" max="13571" width="11.5703125" customWidth="1"/>
    <col min="13572" max="13572" width="11.140625" customWidth="1"/>
    <col min="13573" max="13573" width="11.28515625" customWidth="1"/>
    <col min="13574" max="13574" width="14.140625" customWidth="1"/>
    <col min="13575" max="13575" width="16.85546875" customWidth="1"/>
    <col min="13577" max="13577" width="9.85546875" bestFit="1" customWidth="1"/>
    <col min="13581" max="13581" width="5.28515625" customWidth="1"/>
    <col min="13582" max="13582" width="18.5703125" customWidth="1"/>
    <col min="13584" max="13584" width="12.85546875" customWidth="1"/>
    <col min="13818" max="13818" width="27" bestFit="1" customWidth="1"/>
    <col min="13819" max="13819" width="12.85546875" bestFit="1" customWidth="1"/>
    <col min="13820" max="13820" width="9.42578125" bestFit="1" customWidth="1"/>
    <col min="13821" max="13821" width="16.42578125" bestFit="1" customWidth="1"/>
    <col min="13822" max="13822" width="16.140625" customWidth="1"/>
    <col min="13823" max="13823" width="10.42578125" bestFit="1" customWidth="1"/>
    <col min="13824" max="13824" width="10.5703125" bestFit="1" customWidth="1"/>
    <col min="13825" max="13825" width="13.28515625" bestFit="1" customWidth="1"/>
    <col min="13826" max="13826" width="19.5703125" customWidth="1"/>
    <col min="13827" max="13827" width="11.5703125" customWidth="1"/>
    <col min="13828" max="13828" width="11.140625" customWidth="1"/>
    <col min="13829" max="13829" width="11.28515625" customWidth="1"/>
    <col min="13830" max="13830" width="14.140625" customWidth="1"/>
    <col min="13831" max="13831" width="16.85546875" customWidth="1"/>
    <col min="13833" max="13833" width="9.85546875" bestFit="1" customWidth="1"/>
    <col min="13837" max="13837" width="5.28515625" customWidth="1"/>
    <col min="13838" max="13838" width="18.5703125" customWidth="1"/>
    <col min="13840" max="13840" width="12.85546875" customWidth="1"/>
    <col min="14074" max="14074" width="27" bestFit="1" customWidth="1"/>
    <col min="14075" max="14075" width="12.85546875" bestFit="1" customWidth="1"/>
    <col min="14076" max="14076" width="9.42578125" bestFit="1" customWidth="1"/>
    <col min="14077" max="14077" width="16.42578125" bestFit="1" customWidth="1"/>
    <col min="14078" max="14078" width="16.140625" customWidth="1"/>
    <col min="14079" max="14079" width="10.42578125" bestFit="1" customWidth="1"/>
    <col min="14080" max="14080" width="10.5703125" bestFit="1" customWidth="1"/>
    <col min="14081" max="14081" width="13.28515625" bestFit="1" customWidth="1"/>
    <col min="14082" max="14082" width="19.5703125" customWidth="1"/>
    <col min="14083" max="14083" width="11.5703125" customWidth="1"/>
    <col min="14084" max="14084" width="11.140625" customWidth="1"/>
    <col min="14085" max="14085" width="11.28515625" customWidth="1"/>
    <col min="14086" max="14086" width="14.140625" customWidth="1"/>
    <col min="14087" max="14087" width="16.85546875" customWidth="1"/>
    <col min="14089" max="14089" width="9.85546875" bestFit="1" customWidth="1"/>
    <col min="14093" max="14093" width="5.28515625" customWidth="1"/>
    <col min="14094" max="14094" width="18.5703125" customWidth="1"/>
    <col min="14096" max="14096" width="12.85546875" customWidth="1"/>
    <col min="14330" max="14330" width="27" bestFit="1" customWidth="1"/>
    <col min="14331" max="14331" width="12.85546875" bestFit="1" customWidth="1"/>
    <col min="14332" max="14332" width="9.42578125" bestFit="1" customWidth="1"/>
    <col min="14333" max="14333" width="16.42578125" bestFit="1" customWidth="1"/>
    <col min="14334" max="14334" width="16.140625" customWidth="1"/>
    <col min="14335" max="14335" width="10.42578125" bestFit="1" customWidth="1"/>
    <col min="14336" max="14336" width="10.5703125" bestFit="1" customWidth="1"/>
    <col min="14337" max="14337" width="13.28515625" bestFit="1" customWidth="1"/>
    <col min="14338" max="14338" width="19.5703125" customWidth="1"/>
    <col min="14339" max="14339" width="11.5703125" customWidth="1"/>
    <col min="14340" max="14340" width="11.140625" customWidth="1"/>
    <col min="14341" max="14341" width="11.28515625" customWidth="1"/>
    <col min="14342" max="14342" width="14.140625" customWidth="1"/>
    <col min="14343" max="14343" width="16.85546875" customWidth="1"/>
    <col min="14345" max="14345" width="9.85546875" bestFit="1" customWidth="1"/>
    <col min="14349" max="14349" width="5.28515625" customWidth="1"/>
    <col min="14350" max="14350" width="18.5703125" customWidth="1"/>
    <col min="14352" max="14352" width="12.85546875" customWidth="1"/>
    <col min="14586" max="14586" width="27" bestFit="1" customWidth="1"/>
    <col min="14587" max="14587" width="12.85546875" bestFit="1" customWidth="1"/>
    <col min="14588" max="14588" width="9.42578125" bestFit="1" customWidth="1"/>
    <col min="14589" max="14589" width="16.42578125" bestFit="1" customWidth="1"/>
    <col min="14590" max="14590" width="16.140625" customWidth="1"/>
    <col min="14591" max="14591" width="10.42578125" bestFit="1" customWidth="1"/>
    <col min="14592" max="14592" width="10.5703125" bestFit="1" customWidth="1"/>
    <col min="14593" max="14593" width="13.28515625" bestFit="1" customWidth="1"/>
    <col min="14594" max="14594" width="19.5703125" customWidth="1"/>
    <col min="14595" max="14595" width="11.5703125" customWidth="1"/>
    <col min="14596" max="14596" width="11.140625" customWidth="1"/>
    <col min="14597" max="14597" width="11.28515625" customWidth="1"/>
    <col min="14598" max="14598" width="14.140625" customWidth="1"/>
    <col min="14599" max="14599" width="16.85546875" customWidth="1"/>
    <col min="14601" max="14601" width="9.85546875" bestFit="1" customWidth="1"/>
    <col min="14605" max="14605" width="5.28515625" customWidth="1"/>
    <col min="14606" max="14606" width="18.5703125" customWidth="1"/>
    <col min="14608" max="14608" width="12.85546875" customWidth="1"/>
    <col min="14842" max="14842" width="27" bestFit="1" customWidth="1"/>
    <col min="14843" max="14843" width="12.85546875" bestFit="1" customWidth="1"/>
    <col min="14844" max="14844" width="9.42578125" bestFit="1" customWidth="1"/>
    <col min="14845" max="14845" width="16.42578125" bestFit="1" customWidth="1"/>
    <col min="14846" max="14846" width="16.140625" customWidth="1"/>
    <col min="14847" max="14847" width="10.42578125" bestFit="1" customWidth="1"/>
    <col min="14848" max="14848" width="10.5703125" bestFit="1" customWidth="1"/>
    <col min="14849" max="14849" width="13.28515625" bestFit="1" customWidth="1"/>
    <col min="14850" max="14850" width="19.5703125" customWidth="1"/>
    <col min="14851" max="14851" width="11.5703125" customWidth="1"/>
    <col min="14852" max="14852" width="11.140625" customWidth="1"/>
    <col min="14853" max="14853" width="11.28515625" customWidth="1"/>
    <col min="14854" max="14854" width="14.140625" customWidth="1"/>
    <col min="14855" max="14855" width="16.85546875" customWidth="1"/>
    <col min="14857" max="14857" width="9.85546875" bestFit="1" customWidth="1"/>
    <col min="14861" max="14861" width="5.28515625" customWidth="1"/>
    <col min="14862" max="14862" width="18.5703125" customWidth="1"/>
    <col min="14864" max="14864" width="12.85546875" customWidth="1"/>
    <col min="15098" max="15098" width="27" bestFit="1" customWidth="1"/>
    <col min="15099" max="15099" width="12.85546875" bestFit="1" customWidth="1"/>
    <col min="15100" max="15100" width="9.42578125" bestFit="1" customWidth="1"/>
    <col min="15101" max="15101" width="16.42578125" bestFit="1" customWidth="1"/>
    <col min="15102" max="15102" width="16.140625" customWidth="1"/>
    <col min="15103" max="15103" width="10.42578125" bestFit="1" customWidth="1"/>
    <col min="15104" max="15104" width="10.5703125" bestFit="1" customWidth="1"/>
    <col min="15105" max="15105" width="13.28515625" bestFit="1" customWidth="1"/>
    <col min="15106" max="15106" width="19.5703125" customWidth="1"/>
    <col min="15107" max="15107" width="11.5703125" customWidth="1"/>
    <col min="15108" max="15108" width="11.140625" customWidth="1"/>
    <col min="15109" max="15109" width="11.28515625" customWidth="1"/>
    <col min="15110" max="15110" width="14.140625" customWidth="1"/>
    <col min="15111" max="15111" width="16.85546875" customWidth="1"/>
    <col min="15113" max="15113" width="9.85546875" bestFit="1" customWidth="1"/>
    <col min="15117" max="15117" width="5.28515625" customWidth="1"/>
    <col min="15118" max="15118" width="18.5703125" customWidth="1"/>
    <col min="15120" max="15120" width="12.85546875" customWidth="1"/>
    <col min="15354" max="15354" width="27" bestFit="1" customWidth="1"/>
    <col min="15355" max="15355" width="12.85546875" bestFit="1" customWidth="1"/>
    <col min="15356" max="15356" width="9.42578125" bestFit="1" customWidth="1"/>
    <col min="15357" max="15357" width="16.42578125" bestFit="1" customWidth="1"/>
    <col min="15358" max="15358" width="16.140625" customWidth="1"/>
    <col min="15359" max="15359" width="10.42578125" bestFit="1" customWidth="1"/>
    <col min="15360" max="15360" width="10.5703125" bestFit="1" customWidth="1"/>
    <col min="15361" max="15361" width="13.28515625" bestFit="1" customWidth="1"/>
    <col min="15362" max="15362" width="19.5703125" customWidth="1"/>
    <col min="15363" max="15363" width="11.5703125" customWidth="1"/>
    <col min="15364" max="15364" width="11.140625" customWidth="1"/>
    <col min="15365" max="15365" width="11.28515625" customWidth="1"/>
    <col min="15366" max="15366" width="14.140625" customWidth="1"/>
    <col min="15367" max="15367" width="16.85546875" customWidth="1"/>
    <col min="15369" max="15369" width="9.85546875" bestFit="1" customWidth="1"/>
    <col min="15373" max="15373" width="5.28515625" customWidth="1"/>
    <col min="15374" max="15374" width="18.5703125" customWidth="1"/>
    <col min="15376" max="15376" width="12.85546875" customWidth="1"/>
    <col min="15610" max="15610" width="27" bestFit="1" customWidth="1"/>
    <col min="15611" max="15611" width="12.85546875" bestFit="1" customWidth="1"/>
    <col min="15612" max="15612" width="9.42578125" bestFit="1" customWidth="1"/>
    <col min="15613" max="15613" width="16.42578125" bestFit="1" customWidth="1"/>
    <col min="15614" max="15614" width="16.140625" customWidth="1"/>
    <col min="15615" max="15615" width="10.42578125" bestFit="1" customWidth="1"/>
    <col min="15616" max="15616" width="10.5703125" bestFit="1" customWidth="1"/>
    <col min="15617" max="15617" width="13.28515625" bestFit="1" customWidth="1"/>
    <col min="15618" max="15618" width="19.5703125" customWidth="1"/>
    <col min="15619" max="15619" width="11.5703125" customWidth="1"/>
    <col min="15620" max="15620" width="11.140625" customWidth="1"/>
    <col min="15621" max="15621" width="11.28515625" customWidth="1"/>
    <col min="15622" max="15622" width="14.140625" customWidth="1"/>
    <col min="15623" max="15623" width="16.85546875" customWidth="1"/>
    <col min="15625" max="15625" width="9.85546875" bestFit="1" customWidth="1"/>
    <col min="15629" max="15629" width="5.28515625" customWidth="1"/>
    <col min="15630" max="15630" width="18.5703125" customWidth="1"/>
    <col min="15632" max="15632" width="12.85546875" customWidth="1"/>
    <col min="15866" max="15866" width="27" bestFit="1" customWidth="1"/>
    <col min="15867" max="15867" width="12.85546875" bestFit="1" customWidth="1"/>
    <col min="15868" max="15868" width="9.42578125" bestFit="1" customWidth="1"/>
    <col min="15869" max="15869" width="16.42578125" bestFit="1" customWidth="1"/>
    <col min="15870" max="15870" width="16.140625" customWidth="1"/>
    <col min="15871" max="15871" width="10.42578125" bestFit="1" customWidth="1"/>
    <col min="15872" max="15872" width="10.5703125" bestFit="1" customWidth="1"/>
    <col min="15873" max="15873" width="13.28515625" bestFit="1" customWidth="1"/>
    <col min="15874" max="15874" width="19.5703125" customWidth="1"/>
    <col min="15875" max="15875" width="11.5703125" customWidth="1"/>
    <col min="15876" max="15876" width="11.140625" customWidth="1"/>
    <col min="15877" max="15877" width="11.28515625" customWidth="1"/>
    <col min="15878" max="15878" width="14.140625" customWidth="1"/>
    <col min="15879" max="15879" width="16.85546875" customWidth="1"/>
    <col min="15881" max="15881" width="9.85546875" bestFit="1" customWidth="1"/>
    <col min="15885" max="15885" width="5.28515625" customWidth="1"/>
    <col min="15886" max="15886" width="18.5703125" customWidth="1"/>
    <col min="15888" max="15888" width="12.85546875" customWidth="1"/>
    <col min="16122" max="16122" width="27" bestFit="1" customWidth="1"/>
    <col min="16123" max="16123" width="12.85546875" bestFit="1" customWidth="1"/>
    <col min="16124" max="16124" width="9.42578125" bestFit="1" customWidth="1"/>
    <col min="16125" max="16125" width="16.42578125" bestFit="1" customWidth="1"/>
    <col min="16126" max="16126" width="16.140625" customWidth="1"/>
    <col min="16127" max="16127" width="10.42578125" bestFit="1" customWidth="1"/>
    <col min="16128" max="16128" width="10.5703125" bestFit="1" customWidth="1"/>
    <col min="16129" max="16129" width="13.28515625" bestFit="1" customWidth="1"/>
    <col min="16130" max="16130" width="19.5703125" customWidth="1"/>
    <col min="16131" max="16131" width="11.5703125" customWidth="1"/>
    <col min="16132" max="16132" width="11.140625" customWidth="1"/>
    <col min="16133" max="16133" width="11.28515625" customWidth="1"/>
    <col min="16134" max="16134" width="14.140625" customWidth="1"/>
    <col min="16135" max="16135" width="16.85546875" customWidth="1"/>
    <col min="16137" max="16137" width="9.85546875" bestFit="1" customWidth="1"/>
    <col min="16141" max="16141" width="5.28515625" customWidth="1"/>
    <col min="16142" max="16142" width="18.5703125" customWidth="1"/>
    <col min="16144" max="16144" width="12.85546875" customWidth="1"/>
  </cols>
  <sheetData>
    <row r="1" spans="2:30" ht="16.5" thickBot="1" x14ac:dyDescent="0.3">
      <c r="T1" s="407">
        <f ca="1">TODAY()</f>
        <v>46174</v>
      </c>
      <c r="U1" s="330" t="s">
        <v>268</v>
      </c>
      <c r="V1" s="330" t="s">
        <v>269</v>
      </c>
      <c r="W1" s="330" t="s">
        <v>284</v>
      </c>
      <c r="X1" s="330" t="s">
        <v>285</v>
      </c>
      <c r="Y1" s="287" t="s">
        <v>373</v>
      </c>
      <c r="Z1" s="83" t="s">
        <v>1</v>
      </c>
      <c r="AA1" s="75"/>
      <c r="AB1" s="75"/>
      <c r="AC1" s="75"/>
      <c r="AD1" s="75"/>
    </row>
    <row r="2" spans="2:30" ht="27" thickBot="1" x14ac:dyDescent="0.3">
      <c r="B2" s="1"/>
      <c r="C2" s="2"/>
      <c r="D2" s="1626" t="s">
        <v>294</v>
      </c>
      <c r="E2" s="1626"/>
      <c r="F2" s="1626"/>
      <c r="G2" s="1626"/>
      <c r="H2" s="1626"/>
      <c r="I2" s="1626"/>
      <c r="J2" s="1626"/>
      <c r="K2" s="1626"/>
      <c r="L2" s="3"/>
      <c r="M2" s="3"/>
      <c r="N2" s="1624" t="s">
        <v>292</v>
      </c>
      <c r="O2" s="1625"/>
      <c r="P2" s="84"/>
      <c r="T2" s="408"/>
      <c r="U2" s="409">
        <v>100</v>
      </c>
      <c r="V2" s="409">
        <v>200</v>
      </c>
      <c r="W2" s="410">
        <v>53983.399999999994</v>
      </c>
      <c r="X2" s="408">
        <v>0</v>
      </c>
      <c r="Y2" s="15">
        <v>3079</v>
      </c>
      <c r="Z2" s="417">
        <f>SUM(U2:Y2)</f>
        <v>57362.399999999994</v>
      </c>
      <c r="AA2" s="75"/>
      <c r="AB2" s="75"/>
      <c r="AC2" s="75"/>
      <c r="AD2" s="75"/>
    </row>
    <row r="3" spans="2:30" ht="27" thickBot="1" x14ac:dyDescent="0.3">
      <c r="B3" s="4"/>
      <c r="C3" s="5"/>
      <c r="D3" s="1627" t="s">
        <v>317</v>
      </c>
      <c r="E3" s="1627"/>
      <c r="F3" s="1627"/>
      <c r="G3" s="1627"/>
      <c r="H3" s="1627"/>
      <c r="I3" s="1627"/>
      <c r="J3" s="1627"/>
      <c r="K3" s="1627"/>
      <c r="L3" s="6"/>
      <c r="M3" s="6"/>
      <c r="N3" s="6"/>
      <c r="O3" s="7"/>
      <c r="P3" s="71"/>
      <c r="T3" s="408">
        <v>1</v>
      </c>
      <c r="U3" s="411">
        <v>0</v>
      </c>
      <c r="V3" s="411">
        <v>100</v>
      </c>
      <c r="W3" s="408"/>
      <c r="X3" s="408">
        <v>0</v>
      </c>
      <c r="Y3" s="75"/>
      <c r="Z3" s="75"/>
      <c r="AA3" s="75"/>
      <c r="AB3" s="75"/>
      <c r="AC3" s="75"/>
      <c r="AD3" s="75"/>
    </row>
    <row r="4" spans="2:30" ht="27" thickBot="1" x14ac:dyDescent="0.3">
      <c r="B4" s="4"/>
      <c r="C4" s="1628" t="s">
        <v>105</v>
      </c>
      <c r="D4" s="1628"/>
      <c r="E4" s="1628"/>
      <c r="F4" s="1628"/>
      <c r="G4" s="1628"/>
      <c r="H4" s="1628"/>
      <c r="I4" s="1628"/>
      <c r="J4" s="1628"/>
      <c r="K4" s="1628"/>
      <c r="L4" s="1628"/>
      <c r="M4" s="8" t="s">
        <v>0</v>
      </c>
      <c r="N4" s="81" t="e">
        <f>+#REF!</f>
        <v>#REF!</v>
      </c>
      <c r="O4" s="76" t="e">
        <f>+#REF!</f>
        <v>#REF!</v>
      </c>
      <c r="P4" s="71"/>
      <c r="T4" s="408">
        <v>2</v>
      </c>
      <c r="U4" s="411">
        <v>100</v>
      </c>
      <c r="V4" s="411">
        <v>500</v>
      </c>
      <c r="W4" s="408"/>
      <c r="X4" s="408">
        <v>0</v>
      </c>
      <c r="Y4" s="75"/>
      <c r="Z4" s="75"/>
      <c r="AA4" s="75"/>
      <c r="AB4" s="75"/>
      <c r="AC4" s="75"/>
      <c r="AD4" s="75"/>
    </row>
    <row r="5" spans="2:30" ht="16.5" thickBot="1" x14ac:dyDescent="0.3">
      <c r="B5" s="4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9"/>
      <c r="O5" s="11"/>
      <c r="P5" s="71"/>
      <c r="T5" s="408">
        <v>3</v>
      </c>
      <c r="U5" s="408">
        <v>-100</v>
      </c>
      <c r="V5" s="408">
        <v>-300</v>
      </c>
      <c r="W5" s="408"/>
      <c r="X5" s="408">
        <v>0</v>
      </c>
      <c r="Y5" s="75"/>
      <c r="Z5" s="75"/>
      <c r="AA5" s="75"/>
      <c r="AB5" s="75"/>
      <c r="AC5" s="75"/>
      <c r="AD5" s="75"/>
    </row>
    <row r="6" spans="2:30" ht="18.75" x14ac:dyDescent="0.25">
      <c r="B6" s="10"/>
      <c r="C6" s="1629" t="s">
        <v>106</v>
      </c>
      <c r="D6" s="1630"/>
      <c r="E6" s="1630"/>
      <c r="F6" s="1630"/>
      <c r="G6" s="1630"/>
      <c r="H6" s="1630"/>
      <c r="I6" s="1631"/>
      <c r="J6" s="9"/>
      <c r="K6" s="9"/>
      <c r="L6" s="9"/>
      <c r="M6" s="9"/>
      <c r="N6" s="9"/>
      <c r="O6" s="11"/>
      <c r="P6" s="71"/>
      <c r="T6" s="408">
        <v>4</v>
      </c>
      <c r="U6" s="408"/>
      <c r="V6" s="408"/>
      <c r="W6" s="408"/>
      <c r="X6" s="408">
        <v>0</v>
      </c>
      <c r="Y6" s="75"/>
      <c r="Z6" s="75"/>
      <c r="AA6" s="75"/>
      <c r="AB6" s="75"/>
      <c r="AC6" s="75"/>
      <c r="AD6" s="75"/>
    </row>
    <row r="7" spans="2:30" ht="16.5" customHeight="1" x14ac:dyDescent="0.25">
      <c r="B7" s="1618" t="s">
        <v>107</v>
      </c>
      <c r="C7" s="1620" t="s">
        <v>52</v>
      </c>
      <c r="D7" s="1620" t="s">
        <v>51</v>
      </c>
      <c r="E7" s="1622" t="s">
        <v>108</v>
      </c>
      <c r="F7" s="1622" t="s">
        <v>42</v>
      </c>
      <c r="G7" s="1632" t="s">
        <v>40</v>
      </c>
      <c r="H7" s="1632" t="s">
        <v>41</v>
      </c>
      <c r="I7" s="88" t="s">
        <v>109</v>
      </c>
      <c r="J7" s="9"/>
      <c r="K7" s="9"/>
      <c r="L7" s="9"/>
      <c r="M7" s="9"/>
      <c r="N7" s="9"/>
      <c r="O7" s="11"/>
      <c r="P7" s="71"/>
      <c r="T7" s="408">
        <v>5</v>
      </c>
      <c r="U7" s="408"/>
      <c r="V7" s="408"/>
      <c r="W7" s="408"/>
      <c r="X7" s="408">
        <v>0</v>
      </c>
      <c r="Y7" s="75"/>
      <c r="Z7" s="75"/>
      <c r="AA7" s="75"/>
      <c r="AB7" s="75"/>
      <c r="AC7" s="75"/>
      <c r="AD7" s="75"/>
    </row>
    <row r="8" spans="2:30" s="94" customFormat="1" ht="15.75" customHeight="1" thickBot="1" x14ac:dyDescent="0.3">
      <c r="B8" s="1619"/>
      <c r="C8" s="1621"/>
      <c r="D8" s="1621"/>
      <c r="E8" s="1623"/>
      <c r="F8" s="1623"/>
      <c r="G8" s="1633"/>
      <c r="H8" s="1633"/>
      <c r="I8" s="216">
        <f ca="1">TODAY()-1</f>
        <v>46173</v>
      </c>
      <c r="J8" s="187"/>
      <c r="K8" s="187"/>
      <c r="L8" s="187"/>
      <c r="M8" s="187"/>
      <c r="N8" s="187"/>
      <c r="O8" s="189"/>
      <c r="P8" s="297"/>
      <c r="T8" s="408">
        <v>6</v>
      </c>
      <c r="U8" s="408"/>
      <c r="V8" s="408"/>
      <c r="W8" s="408"/>
      <c r="X8" s="408">
        <v>0</v>
      </c>
      <c r="Y8" s="93"/>
      <c r="Z8" s="93"/>
      <c r="AA8" s="93"/>
      <c r="AB8" s="93"/>
      <c r="AC8" s="93"/>
      <c r="AD8" s="93"/>
    </row>
    <row r="9" spans="2:30" s="94" customFormat="1" ht="15.75" x14ac:dyDescent="0.25">
      <c r="B9" s="264" t="s">
        <v>110</v>
      </c>
      <c r="C9" s="80" t="s">
        <v>111</v>
      </c>
      <c r="D9" s="12"/>
      <c r="E9" s="12"/>
      <c r="F9" s="427" t="s">
        <v>111</v>
      </c>
      <c r="G9" s="12"/>
      <c r="H9" s="12"/>
      <c r="I9" s="970" t="s">
        <v>58</v>
      </c>
      <c r="J9" s="1578" t="s">
        <v>350</v>
      </c>
      <c r="K9" s="1579"/>
      <c r="L9" s="187"/>
      <c r="M9" s="187"/>
      <c r="N9" s="265"/>
      <c r="O9" s="189"/>
      <c r="P9" s="297"/>
      <c r="T9" s="408">
        <v>7</v>
      </c>
      <c r="U9" s="408"/>
      <c r="V9" s="408">
        <v>-200</v>
      </c>
      <c r="W9" s="408"/>
      <c r="X9" s="408">
        <v>0</v>
      </c>
      <c r="Y9" s="93"/>
      <c r="Z9" s="93"/>
      <c r="AA9" s="93"/>
      <c r="AB9" s="93"/>
      <c r="AC9" s="93"/>
      <c r="AD9" s="93"/>
    </row>
    <row r="10" spans="2:30" s="94" customFormat="1" ht="15.75" x14ac:dyDescent="0.25">
      <c r="B10" s="179" t="e">
        <f>+#REF!</f>
        <v>#REF!</v>
      </c>
      <c r="C10" s="204">
        <v>0</v>
      </c>
      <c r="D10" s="205" t="e">
        <f>+#REF!</f>
        <v>#REF!</v>
      </c>
      <c r="E10" s="426">
        <v>200</v>
      </c>
      <c r="F10" s="205" t="e">
        <f>(#REF!*18.68)*I10/100</f>
        <v>#REF!</v>
      </c>
      <c r="G10" s="266">
        <v>0</v>
      </c>
      <c r="H10" s="266">
        <v>0</v>
      </c>
      <c r="I10" s="1042">
        <v>8</v>
      </c>
      <c r="J10" s="221" t="s">
        <v>348</v>
      </c>
      <c r="K10" s="405">
        <f>I19+I14</f>
        <v>11</v>
      </c>
      <c r="L10" s="191"/>
      <c r="M10" s="187"/>
      <c r="N10" s="267"/>
      <c r="O10" s="189"/>
      <c r="P10" s="297"/>
      <c r="T10" s="408">
        <v>8</v>
      </c>
      <c r="U10" s="408"/>
      <c r="V10" s="408"/>
      <c r="W10" s="408"/>
      <c r="X10" s="408">
        <v>0</v>
      </c>
      <c r="Y10" s="202"/>
      <c r="Z10" s="93"/>
      <c r="AA10" s="93"/>
      <c r="AB10" s="93"/>
      <c r="AC10" s="93"/>
      <c r="AD10" s="93"/>
    </row>
    <row r="11" spans="2:30" s="94" customFormat="1" ht="15.75" x14ac:dyDescent="0.25">
      <c r="B11" s="179" t="s">
        <v>360</v>
      </c>
      <c r="C11" s="176">
        <v>0</v>
      </c>
      <c r="D11" s="177" t="e">
        <f>+#REF!</f>
        <v>#REF!</v>
      </c>
      <c r="E11" s="428">
        <v>3700</v>
      </c>
      <c r="F11" s="186" t="e">
        <f>(#REF!*18.68)*I11/100</f>
        <v>#REF!</v>
      </c>
      <c r="G11" s="178">
        <v>0</v>
      </c>
      <c r="H11" s="181">
        <v>0</v>
      </c>
      <c r="I11" s="1041">
        <v>0</v>
      </c>
      <c r="J11" s="221" t="s">
        <v>346</v>
      </c>
      <c r="K11" s="405">
        <f>I10+I11+I12+I13+I15</f>
        <v>64</v>
      </c>
      <c r="L11" s="181"/>
      <c r="M11" s="181"/>
      <c r="N11" s="184"/>
      <c r="O11" s="185"/>
      <c r="P11" s="439"/>
      <c r="T11" s="408">
        <v>9</v>
      </c>
      <c r="U11" s="408">
        <v>0</v>
      </c>
      <c r="V11" s="408">
        <v>300</v>
      </c>
      <c r="W11" s="408"/>
      <c r="X11" s="408">
        <v>0</v>
      </c>
      <c r="Y11" s="93"/>
      <c r="Z11" s="93"/>
      <c r="AA11" s="93"/>
      <c r="AB11" s="93"/>
      <c r="AC11" s="93"/>
      <c r="AD11" s="93"/>
    </row>
    <row r="12" spans="2:30" s="94" customFormat="1" ht="16.5" thickBot="1" x14ac:dyDescent="0.3">
      <c r="B12" s="179" t="e">
        <f>+#REF!</f>
        <v>#REF!</v>
      </c>
      <c r="C12" s="186">
        <v>1800</v>
      </c>
      <c r="D12" s="186" t="e">
        <f>+#REF!</f>
        <v>#REF!</v>
      </c>
      <c r="E12" s="428">
        <v>5400</v>
      </c>
      <c r="F12" s="186" t="e">
        <f>(#REF!*18.68)*I12/100</f>
        <v>#REF!</v>
      </c>
      <c r="G12" s="178">
        <v>30</v>
      </c>
      <c r="H12" s="181">
        <v>0</v>
      </c>
      <c r="I12" s="1041">
        <v>40</v>
      </c>
      <c r="J12" s="222" t="s">
        <v>347</v>
      </c>
      <c r="K12" s="406">
        <f>+I17+I16+I18</f>
        <v>25</v>
      </c>
      <c r="L12" s="181"/>
      <c r="M12" s="187"/>
      <c r="N12" s="188"/>
      <c r="O12" s="189"/>
      <c r="P12" s="297"/>
      <c r="T12" s="408">
        <v>10</v>
      </c>
      <c r="U12" s="408"/>
      <c r="V12" s="408"/>
      <c r="W12" s="408"/>
      <c r="X12" s="408">
        <v>0</v>
      </c>
      <c r="Y12" s="93"/>
      <c r="Z12" s="93"/>
      <c r="AA12" s="93"/>
      <c r="AB12" s="93"/>
      <c r="AC12" s="93"/>
      <c r="AD12" s="93"/>
    </row>
    <row r="13" spans="2:30" s="94" customFormat="1" ht="15.75" x14ac:dyDescent="0.25">
      <c r="B13" s="179" t="e">
        <f>+#REF!</f>
        <v>#REF!</v>
      </c>
      <c r="C13" s="186">
        <v>0</v>
      </c>
      <c r="D13" s="186" t="e">
        <f>+#REF!</f>
        <v>#REF!</v>
      </c>
      <c r="E13" s="428">
        <v>3800</v>
      </c>
      <c r="F13" s="186" t="e">
        <f>(#REF!*18.68)*I13/100</f>
        <v>#REF!</v>
      </c>
      <c r="G13" s="178">
        <v>9</v>
      </c>
      <c r="H13" s="181">
        <v>0</v>
      </c>
      <c r="I13" s="1038">
        <v>8</v>
      </c>
      <c r="J13" s="57"/>
      <c r="K13" s="190"/>
      <c r="L13" s="191"/>
      <c r="M13" s="192"/>
      <c r="N13" s="133"/>
      <c r="O13" s="189"/>
      <c r="P13" s="297"/>
      <c r="T13" s="408">
        <v>11</v>
      </c>
      <c r="U13" s="408"/>
      <c r="V13" s="408"/>
      <c r="W13" s="408"/>
      <c r="X13" s="408">
        <v>0</v>
      </c>
      <c r="Y13" s="93"/>
      <c r="Z13" s="93"/>
      <c r="AA13" s="93"/>
      <c r="AB13" s="93"/>
      <c r="AC13" s="93"/>
      <c r="AD13" s="93"/>
    </row>
    <row r="14" spans="2:30" s="94" customFormat="1" ht="15.75" x14ac:dyDescent="0.25">
      <c r="B14" s="179" t="e">
        <f>+#REF!</f>
        <v>#REF!</v>
      </c>
      <c r="C14" s="176">
        <v>0</v>
      </c>
      <c r="D14" s="186" t="e">
        <f>+#REF!</f>
        <v>#REF!</v>
      </c>
      <c r="E14" s="428">
        <v>1100</v>
      </c>
      <c r="F14" s="186" t="e">
        <f>(#REF!*18.68)*I14/100</f>
        <v>#REF!</v>
      </c>
      <c r="G14" s="178">
        <v>0</v>
      </c>
      <c r="H14" s="181">
        <v>0</v>
      </c>
      <c r="I14" s="1041">
        <v>11</v>
      </c>
      <c r="J14" s="57"/>
      <c r="K14" s="190"/>
      <c r="L14" s="191"/>
      <c r="M14" s="187"/>
      <c r="N14" s="133"/>
      <c r="O14" s="189"/>
      <c r="P14" s="297"/>
      <c r="T14" s="408">
        <v>12</v>
      </c>
      <c r="U14" s="412">
        <v>0</v>
      </c>
      <c r="V14" s="412">
        <v>200</v>
      </c>
      <c r="W14" s="408"/>
      <c r="X14" s="408">
        <v>0</v>
      </c>
      <c r="Y14" s="93"/>
      <c r="Z14" s="93"/>
      <c r="AA14" s="93"/>
      <c r="AB14" s="93"/>
      <c r="AC14" s="93"/>
      <c r="AD14" s="93"/>
    </row>
    <row r="15" spans="2:30" s="94" customFormat="1" ht="15.75" x14ac:dyDescent="0.25">
      <c r="B15" s="179" t="e">
        <f>+#REF!</f>
        <v>#REF!</v>
      </c>
      <c r="C15" s="176">
        <v>0</v>
      </c>
      <c r="D15" s="186" t="e">
        <f>+#REF!</f>
        <v>#REF!</v>
      </c>
      <c r="E15" s="428">
        <v>2000</v>
      </c>
      <c r="F15" s="186" t="e">
        <f>(#REF!*18.68)*I15/100</f>
        <v>#REF!</v>
      </c>
      <c r="G15" s="182">
        <v>0</v>
      </c>
      <c r="H15" s="180">
        <v>0</v>
      </c>
      <c r="I15" s="1038">
        <v>8</v>
      </c>
      <c r="J15" s="57"/>
      <c r="K15" s="194"/>
      <c r="L15" s="180"/>
      <c r="M15" s="187"/>
      <c r="N15" s="133"/>
      <c r="O15" s="189"/>
      <c r="P15" s="297"/>
      <c r="T15" s="408">
        <v>13</v>
      </c>
      <c r="U15" s="408"/>
      <c r="V15" s="408"/>
      <c r="W15" s="408"/>
      <c r="X15" s="408"/>
      <c r="Y15" s="93"/>
      <c r="Z15" s="93"/>
      <c r="AA15" s="93"/>
      <c r="AB15" s="93"/>
      <c r="AC15" s="93"/>
      <c r="AD15" s="93"/>
    </row>
    <row r="16" spans="2:30" s="94" customFormat="1" ht="15.75" x14ac:dyDescent="0.25">
      <c r="B16" s="179" t="e">
        <f>+#REF!</f>
        <v>#REF!</v>
      </c>
      <c r="C16" s="176">
        <v>0</v>
      </c>
      <c r="D16" s="186" t="e">
        <f>+#REF!</f>
        <v>#REF!</v>
      </c>
      <c r="E16" s="428">
        <v>0</v>
      </c>
      <c r="F16" s="186" t="e">
        <f>(#REF!*18.68)*I16/100</f>
        <v>#REF!</v>
      </c>
      <c r="G16" s="178">
        <v>0</v>
      </c>
      <c r="H16" s="181">
        <v>0</v>
      </c>
      <c r="I16" s="1038">
        <v>0</v>
      </c>
      <c r="J16" s="57"/>
      <c r="K16" s="190"/>
      <c r="L16" s="180"/>
      <c r="M16" s="187"/>
      <c r="N16" s="133"/>
      <c r="O16" s="189"/>
      <c r="P16" s="297"/>
      <c r="T16" s="408">
        <v>14</v>
      </c>
      <c r="U16" s="408"/>
      <c r="V16" s="408"/>
      <c r="W16" s="408"/>
      <c r="X16" s="408"/>
      <c r="Y16" s="93"/>
      <c r="Z16" s="93"/>
      <c r="AA16" s="93"/>
      <c r="AB16" s="93"/>
      <c r="AC16" s="93"/>
      <c r="AD16" s="93"/>
    </row>
    <row r="17" spans="1:30" s="94" customFormat="1" ht="15.75" x14ac:dyDescent="0.25">
      <c r="B17" s="179" t="e">
        <f>+#REF!</f>
        <v>#REF!</v>
      </c>
      <c r="C17" s="176">
        <v>5280</v>
      </c>
      <c r="D17" s="186" t="e">
        <f>+#REF!</f>
        <v>#REF!</v>
      </c>
      <c r="E17" s="428">
        <v>7600</v>
      </c>
      <c r="F17" s="186" t="e">
        <f>(#REF!*18.68)*I17/100</f>
        <v>#REF!</v>
      </c>
      <c r="G17" s="178">
        <v>49</v>
      </c>
      <c r="H17" s="181">
        <v>39</v>
      </c>
      <c r="I17" s="1041">
        <v>17</v>
      </c>
      <c r="J17" s="187"/>
      <c r="K17" s="190"/>
      <c r="L17" s="191" t="s">
        <v>387</v>
      </c>
      <c r="M17" s="187"/>
      <c r="N17" s="133"/>
      <c r="O17" s="189"/>
      <c r="P17" s="297"/>
      <c r="T17" s="408">
        <v>15</v>
      </c>
      <c r="U17" s="408"/>
      <c r="V17" s="408"/>
      <c r="W17" s="408"/>
      <c r="X17" s="408"/>
      <c r="Y17" s="93"/>
      <c r="Z17" s="93"/>
      <c r="AA17" s="93"/>
      <c r="AB17" s="93"/>
      <c r="AC17" s="93"/>
      <c r="AD17" s="93"/>
    </row>
    <row r="18" spans="1:30" s="94" customFormat="1" ht="15.75" x14ac:dyDescent="0.25">
      <c r="B18" s="179" t="s">
        <v>622</v>
      </c>
      <c r="C18" s="176">
        <v>0</v>
      </c>
      <c r="D18" s="186" t="e">
        <f>+#REF!</f>
        <v>#REF!</v>
      </c>
      <c r="E18" s="428">
        <v>1400</v>
      </c>
      <c r="F18" s="186" t="e">
        <f>(#REF!*18.68)*I18/100</f>
        <v>#REF!</v>
      </c>
      <c r="G18" s="178">
        <v>0</v>
      </c>
      <c r="H18" s="181">
        <v>0</v>
      </c>
      <c r="I18" s="1041">
        <v>8</v>
      </c>
      <c r="J18" s="187"/>
      <c r="K18" s="190"/>
      <c r="L18" s="191"/>
      <c r="M18" s="187"/>
      <c r="N18" s="133"/>
      <c r="O18" s="189"/>
      <c r="P18" s="297"/>
      <c r="T18" s="408">
        <v>16</v>
      </c>
      <c r="U18" s="408"/>
      <c r="V18" s="408"/>
      <c r="W18" s="412"/>
      <c r="X18" s="408"/>
      <c r="Y18" s="93"/>
      <c r="Z18" s="93"/>
      <c r="AA18" s="93"/>
      <c r="AB18" s="93"/>
      <c r="AC18" s="93"/>
      <c r="AD18" s="93"/>
    </row>
    <row r="19" spans="1:30" s="94" customFormat="1" ht="16.5" thickBot="1" x14ac:dyDescent="0.3">
      <c r="B19" s="195" t="e">
        <f>+#REF!</f>
        <v>#REF!</v>
      </c>
      <c r="C19" s="196">
        <v>0</v>
      </c>
      <c r="D19" s="186" t="e">
        <f>+#REF!</f>
        <v>#REF!</v>
      </c>
      <c r="E19" s="431">
        <v>0</v>
      </c>
      <c r="F19" s="197" t="e">
        <f>(#REF!*18.68)*I19/100</f>
        <v>#REF!</v>
      </c>
      <c r="G19" s="178">
        <v>0</v>
      </c>
      <c r="H19" s="181">
        <v>0</v>
      </c>
      <c r="I19" s="1033">
        <v>0</v>
      </c>
      <c r="J19" s="187"/>
      <c r="K19" s="187"/>
      <c r="L19" s="187"/>
      <c r="M19" s="187"/>
      <c r="N19" s="198"/>
      <c r="O19" s="189"/>
      <c r="P19" s="297"/>
      <c r="T19" s="408">
        <v>17</v>
      </c>
      <c r="U19" s="408"/>
      <c r="V19" s="408"/>
      <c r="W19" s="408"/>
      <c r="X19" s="408">
        <v>0</v>
      </c>
      <c r="Y19" s="93"/>
      <c r="Z19" s="202"/>
      <c r="AA19" s="93"/>
      <c r="AB19" s="93"/>
      <c r="AC19" s="93"/>
      <c r="AD19" s="93"/>
    </row>
    <row r="20" spans="1:30" s="94" customFormat="1" ht="18.75" customHeight="1" thickBot="1" x14ac:dyDescent="0.3">
      <c r="B20" s="268" t="s">
        <v>1</v>
      </c>
      <c r="C20" s="390">
        <f>+SUM(C10:C19)</f>
        <v>7080</v>
      </c>
      <c r="D20" s="390" t="e">
        <f>+SUM(D10:D19)</f>
        <v>#REF!</v>
      </c>
      <c r="E20" s="270">
        <f>SUM(E10:E19)</f>
        <v>25200</v>
      </c>
      <c r="F20" s="429" t="e">
        <f>SUM(F10:F19)</f>
        <v>#REF!</v>
      </c>
      <c r="G20" s="885">
        <f>+SUM(G10:G19)</f>
        <v>88</v>
      </c>
      <c r="H20" s="269">
        <f>+SUM(H10:H19)</f>
        <v>39</v>
      </c>
      <c r="I20" s="978">
        <f>SUM(I10:I19)</f>
        <v>100</v>
      </c>
      <c r="J20" s="1580" t="s">
        <v>248</v>
      </c>
      <c r="K20" s="1581"/>
      <c r="L20" s="192"/>
      <c r="M20" s="192"/>
      <c r="N20" s="188"/>
      <c r="O20" s="214"/>
      <c r="P20" s="297"/>
      <c r="T20" s="408">
        <v>18</v>
      </c>
      <c r="U20" s="408"/>
      <c r="V20" s="408"/>
      <c r="W20" s="408"/>
      <c r="X20" s="408">
        <v>0</v>
      </c>
      <c r="Y20" s="93"/>
      <c r="Z20" s="93"/>
      <c r="AA20" s="93"/>
      <c r="AB20" s="93"/>
      <c r="AC20" s="93"/>
      <c r="AD20" s="93"/>
    </row>
    <row r="21" spans="1:30" s="94" customFormat="1" ht="18.75" customHeight="1" thickBot="1" x14ac:dyDescent="0.3">
      <c r="B21" s="271" t="s">
        <v>110</v>
      </c>
      <c r="C21" s="272" t="s">
        <v>113</v>
      </c>
      <c r="D21" s="273"/>
      <c r="E21" s="273"/>
      <c r="F21" s="274" t="s">
        <v>56</v>
      </c>
      <c r="G21" s="273"/>
      <c r="H21" s="273"/>
      <c r="I21" s="901" t="s">
        <v>56</v>
      </c>
      <c r="J21" s="275" t="s">
        <v>110</v>
      </c>
      <c r="K21" s="276" t="s">
        <v>43</v>
      </c>
      <c r="L21" s="1612" t="s">
        <v>349</v>
      </c>
      <c r="M21" s="1613"/>
      <c r="N21" s="192"/>
      <c r="O21" s="214"/>
      <c r="P21" s="297"/>
      <c r="T21" s="408">
        <v>19</v>
      </c>
      <c r="U21" s="408"/>
      <c r="V21" s="408"/>
      <c r="W21" s="408"/>
      <c r="X21" s="408">
        <v>0</v>
      </c>
      <c r="Y21" s="93"/>
      <c r="Z21" s="93"/>
      <c r="AA21" s="93"/>
      <c r="AB21" s="93"/>
      <c r="AC21" s="93"/>
      <c r="AD21" s="93"/>
    </row>
    <row r="22" spans="1:30" s="94" customFormat="1" ht="15.75" x14ac:dyDescent="0.25">
      <c r="B22" s="271" t="e">
        <f>+#REF!</f>
        <v>#REF!</v>
      </c>
      <c r="C22" s="963">
        <v>0</v>
      </c>
      <c r="D22" s="964" t="e">
        <f>+#REF!</f>
        <v>#REF!</v>
      </c>
      <c r="E22" s="274">
        <v>3890</v>
      </c>
      <c r="F22" s="965" t="e">
        <f>(#REF!*34.44)*I22/100</f>
        <v>#REF!</v>
      </c>
      <c r="G22" s="966">
        <v>0</v>
      </c>
      <c r="H22" s="966">
        <v>0</v>
      </c>
      <c r="I22" s="1149">
        <v>7</v>
      </c>
      <c r="J22" s="962"/>
      <c r="K22" s="223"/>
      <c r="L22" s="220" t="s">
        <v>348</v>
      </c>
      <c r="M22" s="405">
        <f>I28+I27</f>
        <v>5</v>
      </c>
      <c r="N22" s="192"/>
      <c r="O22" s="214"/>
      <c r="P22" s="297"/>
      <c r="T22" s="408">
        <v>20</v>
      </c>
      <c r="U22" s="408"/>
      <c r="V22" s="408"/>
      <c r="W22" s="410"/>
      <c r="X22" s="408">
        <v>0</v>
      </c>
      <c r="Y22" s="93"/>
      <c r="Z22" s="93"/>
      <c r="AA22" s="93"/>
      <c r="AB22" s="93"/>
      <c r="AC22" s="93"/>
      <c r="AD22" s="93"/>
    </row>
    <row r="23" spans="1:30" s="94" customFormat="1" ht="15.75" x14ac:dyDescent="0.25">
      <c r="B23" s="179" t="e">
        <f>+#REF!</f>
        <v>#REF!</v>
      </c>
      <c r="C23" s="176">
        <v>0</v>
      </c>
      <c r="D23" s="177" t="e">
        <f>+#REF!</f>
        <v>#REF!</v>
      </c>
      <c r="E23" s="193">
        <v>3310</v>
      </c>
      <c r="F23" s="177" t="e">
        <f>(#REF!*34.44)*I23/100</f>
        <v>#REF!</v>
      </c>
      <c r="G23" s="178">
        <v>0</v>
      </c>
      <c r="H23" s="178">
        <v>0</v>
      </c>
      <c r="I23" s="1147">
        <v>10</v>
      </c>
      <c r="J23" s="179" t="e">
        <f t="shared" ref="J23:J32" si="0">+B23</f>
        <v>#REF!</v>
      </c>
      <c r="K23" s="217">
        <v>0</v>
      </c>
      <c r="L23" s="220" t="s">
        <v>346</v>
      </c>
      <c r="M23" s="967">
        <f>I23+I24+I25+I26+I29</f>
        <v>70</v>
      </c>
      <c r="N23" s="208"/>
      <c r="O23" s="209"/>
      <c r="P23" s="297"/>
      <c r="T23" s="408">
        <v>21</v>
      </c>
      <c r="U23" s="408"/>
      <c r="V23" s="408"/>
      <c r="W23" s="408"/>
      <c r="X23" s="408">
        <v>0</v>
      </c>
      <c r="Y23" s="93"/>
      <c r="Z23" s="93"/>
      <c r="AA23" s="93"/>
      <c r="AB23" s="93"/>
      <c r="AC23" s="93"/>
      <c r="AD23" s="93"/>
    </row>
    <row r="24" spans="1:30" s="94" customFormat="1" ht="18.75" customHeight="1" thickBot="1" x14ac:dyDescent="0.3">
      <c r="B24" s="179" t="e">
        <f>+#REF!</f>
        <v>#REF!</v>
      </c>
      <c r="C24" s="176">
        <v>0</v>
      </c>
      <c r="D24" s="177" t="e">
        <f>+#REF!</f>
        <v>#REF!</v>
      </c>
      <c r="E24" s="193">
        <v>10080</v>
      </c>
      <c r="F24" s="177" t="e">
        <f>(#REF!*34.44)*I24/100</f>
        <v>#REF!</v>
      </c>
      <c r="G24" s="178">
        <v>0</v>
      </c>
      <c r="H24" s="178">
        <v>0</v>
      </c>
      <c r="I24" s="1147">
        <v>41</v>
      </c>
      <c r="J24" s="179" t="e">
        <f t="shared" si="0"/>
        <v>#REF!</v>
      </c>
      <c r="K24" s="217">
        <v>4900</v>
      </c>
      <c r="L24" s="219" t="s">
        <v>347</v>
      </c>
      <c r="M24" s="968">
        <f>+I30+I31+I32+I22</f>
        <v>25</v>
      </c>
      <c r="N24" s="210"/>
      <c r="O24" s="211"/>
      <c r="P24" s="297"/>
      <c r="Q24" s="180"/>
      <c r="R24" s="181"/>
      <c r="T24" s="408">
        <v>22</v>
      </c>
      <c r="U24" s="408"/>
      <c r="V24" s="408"/>
      <c r="W24" s="410"/>
      <c r="X24" s="408"/>
      <c r="Y24" s="93"/>
      <c r="Z24" s="93"/>
      <c r="AA24" s="93"/>
      <c r="AB24" s="93"/>
      <c r="AC24" s="93"/>
      <c r="AD24" s="93"/>
    </row>
    <row r="25" spans="1:30" s="94" customFormat="1" ht="18.75" x14ac:dyDescent="0.25">
      <c r="B25" s="183" t="e">
        <f>+#REF!</f>
        <v>#REF!</v>
      </c>
      <c r="C25" s="177">
        <v>0</v>
      </c>
      <c r="D25" s="177" t="e">
        <f>+#REF!</f>
        <v>#REF!</v>
      </c>
      <c r="E25" s="193">
        <v>3800</v>
      </c>
      <c r="F25" s="177" t="e">
        <f>(#REF!*34.44)*I25/100</f>
        <v>#REF!</v>
      </c>
      <c r="G25" s="182">
        <v>0</v>
      </c>
      <c r="H25" s="182">
        <v>0</v>
      </c>
      <c r="I25" s="1032">
        <v>0</v>
      </c>
      <c r="J25" s="183" t="e">
        <f t="shared" si="0"/>
        <v>#REF!</v>
      </c>
      <c r="K25" s="218">
        <v>1450</v>
      </c>
      <c r="L25" s="192"/>
      <c r="M25" s="192"/>
      <c r="N25" s="212"/>
      <c r="O25" s="213"/>
      <c r="P25" s="297"/>
      <c r="T25" s="408">
        <v>23</v>
      </c>
      <c r="U25" s="408"/>
      <c r="V25" s="408"/>
      <c r="W25" s="408"/>
      <c r="X25" s="408"/>
      <c r="Y25" s="93"/>
      <c r="Z25" s="93"/>
      <c r="AA25" s="93"/>
      <c r="AB25" s="93"/>
      <c r="AC25" s="93"/>
      <c r="AD25" s="93"/>
    </row>
    <row r="26" spans="1:30" s="94" customFormat="1" ht="15.75" x14ac:dyDescent="0.25">
      <c r="B26" s="179" t="e">
        <f>+#REF!</f>
        <v>#REF!</v>
      </c>
      <c r="C26" s="186">
        <v>0</v>
      </c>
      <c r="D26" s="177" t="e">
        <f>+#REF!</f>
        <v>#REF!</v>
      </c>
      <c r="E26" s="193">
        <v>290</v>
      </c>
      <c r="F26" s="177" t="e">
        <f>(#REF!*34.44)*I26/100</f>
        <v>#REF!</v>
      </c>
      <c r="G26" s="178">
        <v>0</v>
      </c>
      <c r="H26" s="178">
        <v>0</v>
      </c>
      <c r="I26" s="1148">
        <v>7</v>
      </c>
      <c r="J26" s="179" t="e">
        <f t="shared" si="0"/>
        <v>#REF!</v>
      </c>
      <c r="K26" s="218">
        <v>1900</v>
      </c>
      <c r="N26" s="192"/>
      <c r="O26" s="214"/>
      <c r="P26" s="297"/>
      <c r="T26" s="408">
        <v>24</v>
      </c>
      <c r="U26" s="408"/>
      <c r="V26" s="408"/>
      <c r="W26" s="408"/>
      <c r="X26" s="408"/>
      <c r="Y26" s="93"/>
      <c r="Z26" s="93"/>
      <c r="AA26" s="93"/>
      <c r="AB26" s="93"/>
      <c r="AC26" s="93"/>
      <c r="AD26" s="93"/>
    </row>
    <row r="27" spans="1:30" s="94" customFormat="1" ht="15.75" x14ac:dyDescent="0.25">
      <c r="B27" s="179" t="e">
        <f>+#REF!</f>
        <v>#REF!</v>
      </c>
      <c r="C27" s="186">
        <v>0</v>
      </c>
      <c r="D27" s="177" t="e">
        <f>+#REF!</f>
        <v>#REF!</v>
      </c>
      <c r="E27" s="193">
        <v>0</v>
      </c>
      <c r="F27" s="177" t="e">
        <f>(#REF!*34.44)*I27/100</f>
        <v>#REF!</v>
      </c>
      <c r="G27" s="178">
        <v>0</v>
      </c>
      <c r="H27" s="178">
        <v>0</v>
      </c>
      <c r="I27" s="1032">
        <v>0</v>
      </c>
      <c r="J27" s="263" t="e">
        <f t="shared" si="0"/>
        <v>#REF!</v>
      </c>
      <c r="K27" s="218">
        <v>200</v>
      </c>
      <c r="L27" s="192"/>
      <c r="M27" s="192"/>
      <c r="N27" s="192"/>
      <c r="O27" s="214"/>
      <c r="P27" s="297"/>
      <c r="T27" s="408">
        <v>25</v>
      </c>
      <c r="U27" s="408"/>
      <c r="V27" s="408"/>
      <c r="W27" s="408"/>
      <c r="X27" s="408"/>
      <c r="Z27" s="202"/>
      <c r="AA27" s="93"/>
      <c r="AB27" s="93"/>
      <c r="AC27" s="93"/>
      <c r="AD27" s="93"/>
    </row>
    <row r="28" spans="1:30" s="94" customFormat="1" ht="15.75" x14ac:dyDescent="0.25">
      <c r="B28" s="179" t="s">
        <v>384</v>
      </c>
      <c r="C28" s="186">
        <v>0</v>
      </c>
      <c r="D28" s="177" t="e">
        <f>+#REF!</f>
        <v>#REF!</v>
      </c>
      <c r="E28" s="193">
        <v>3080</v>
      </c>
      <c r="F28" s="177" t="e">
        <f>(#REF!*34.44)*I28/100</f>
        <v>#REF!</v>
      </c>
      <c r="G28" s="178">
        <v>0</v>
      </c>
      <c r="H28" s="178">
        <v>0</v>
      </c>
      <c r="I28" s="1148">
        <v>5</v>
      </c>
      <c r="J28" s="179" t="str">
        <f t="shared" si="0"/>
        <v>JAMADOBA</v>
      </c>
      <c r="K28" s="218">
        <v>0</v>
      </c>
      <c r="L28" s="192"/>
      <c r="M28" s="192"/>
      <c r="N28" s="192"/>
      <c r="O28" s="214"/>
      <c r="P28" s="297"/>
      <c r="T28" s="408">
        <v>26</v>
      </c>
      <c r="U28" s="408"/>
      <c r="V28" s="408"/>
      <c r="W28" s="408"/>
      <c r="X28" s="408"/>
      <c r="Z28" s="93"/>
      <c r="AA28" s="93"/>
      <c r="AB28" s="93"/>
      <c r="AC28" s="93"/>
      <c r="AD28" s="93"/>
    </row>
    <row r="29" spans="1:30" s="94" customFormat="1" ht="15.75" x14ac:dyDescent="0.25">
      <c r="B29" s="179" t="e">
        <f>+#REF!</f>
        <v>#REF!</v>
      </c>
      <c r="C29" s="186">
        <v>0</v>
      </c>
      <c r="D29" s="177" t="e">
        <f>+#REF!</f>
        <v>#REF!</v>
      </c>
      <c r="E29" s="193">
        <v>180</v>
      </c>
      <c r="F29" s="177" t="e">
        <f>(#REF!*34.44)*I29/100</f>
        <v>#REF!</v>
      </c>
      <c r="G29" s="178">
        <v>0</v>
      </c>
      <c r="H29" s="178">
        <v>0</v>
      </c>
      <c r="I29" s="1148">
        <v>12</v>
      </c>
      <c r="J29" s="179" t="e">
        <f>+B22</f>
        <v>#REF!</v>
      </c>
      <c r="K29" s="218">
        <v>650</v>
      </c>
      <c r="L29" s="192"/>
      <c r="M29" s="192"/>
      <c r="N29" s="184"/>
      <c r="O29" s="214"/>
      <c r="P29" s="297"/>
      <c r="T29" s="408">
        <v>27</v>
      </c>
      <c r="U29" s="408"/>
      <c r="V29" s="408"/>
      <c r="W29" s="408"/>
      <c r="X29" s="408"/>
      <c r="Z29" s="93"/>
      <c r="AA29" s="93"/>
      <c r="AB29" s="93"/>
      <c r="AC29" s="93"/>
      <c r="AD29" s="93"/>
    </row>
    <row r="30" spans="1:30" s="94" customFormat="1" ht="15.75" x14ac:dyDescent="0.25">
      <c r="B30" s="179" t="e">
        <f>+#REF!</f>
        <v>#REF!</v>
      </c>
      <c r="C30" s="186">
        <v>0</v>
      </c>
      <c r="D30" s="177" t="e">
        <f>+#REF!</f>
        <v>#REF!</v>
      </c>
      <c r="E30" s="193">
        <v>4300</v>
      </c>
      <c r="F30" s="177" t="e">
        <f>(#REF!*34.44)*I30/100</f>
        <v>#REF!</v>
      </c>
      <c r="G30" s="178">
        <v>0</v>
      </c>
      <c r="H30" s="178">
        <v>0</v>
      </c>
      <c r="I30" s="1148">
        <v>18</v>
      </c>
      <c r="J30" s="179" t="e">
        <f>+B30</f>
        <v>#REF!</v>
      </c>
      <c r="K30" s="218">
        <v>1800</v>
      </c>
      <c r="L30" s="192"/>
      <c r="M30" s="192"/>
      <c r="N30" s="192"/>
      <c r="O30" s="214"/>
      <c r="P30" s="297"/>
      <c r="T30" s="408">
        <v>28</v>
      </c>
      <c r="U30" s="408"/>
      <c r="V30" s="408"/>
      <c r="W30" s="408"/>
      <c r="X30" s="408"/>
      <c r="Z30" s="93"/>
      <c r="AA30" s="93"/>
      <c r="AB30" s="93"/>
      <c r="AC30" s="93"/>
      <c r="AD30" s="93"/>
    </row>
    <row r="31" spans="1:30" s="94" customFormat="1" ht="16.5" thickBot="1" x14ac:dyDescent="0.3">
      <c r="B31" s="179" t="e">
        <f>+#REF!</f>
        <v>#REF!</v>
      </c>
      <c r="C31" s="186">
        <v>0</v>
      </c>
      <c r="D31" s="177" t="e">
        <f>+#REF!</f>
        <v>#REF!</v>
      </c>
      <c r="E31" s="193">
        <v>0</v>
      </c>
      <c r="F31" s="177" t="e">
        <f>(#REF!*34.44)*I31/100</f>
        <v>#REF!</v>
      </c>
      <c r="G31" s="178">
        <v>0</v>
      </c>
      <c r="H31" s="178">
        <v>0</v>
      </c>
      <c r="I31" s="1148">
        <v>0</v>
      </c>
      <c r="J31" s="179" t="e">
        <f>+B31</f>
        <v>#REF!</v>
      </c>
      <c r="K31" s="218">
        <v>0</v>
      </c>
      <c r="L31" s="192"/>
      <c r="M31" s="192"/>
      <c r="N31" s="192"/>
      <c r="O31" s="214"/>
      <c r="P31" s="297"/>
      <c r="T31" s="408">
        <v>29</v>
      </c>
      <c r="U31" s="408"/>
      <c r="V31" s="408"/>
      <c r="W31" s="408"/>
      <c r="X31" s="408"/>
      <c r="Z31" s="93"/>
      <c r="AA31" s="93"/>
      <c r="AB31" s="93"/>
      <c r="AC31" s="93"/>
      <c r="AD31" s="93"/>
    </row>
    <row r="32" spans="1:30" s="94" customFormat="1" ht="15.75" x14ac:dyDescent="0.25">
      <c r="A32" s="94" t="s">
        <v>77</v>
      </c>
      <c r="B32" s="179" t="e">
        <f>+#REF!</f>
        <v>#REF!</v>
      </c>
      <c r="C32" s="196">
        <v>0</v>
      </c>
      <c r="D32" s="200" t="e">
        <f>+#REF!</f>
        <v>#REF!</v>
      </c>
      <c r="E32" s="421">
        <v>0</v>
      </c>
      <c r="F32" s="200" t="e">
        <f>(#REF!*34.44)*I32/100</f>
        <v>#REF!</v>
      </c>
      <c r="G32" s="201">
        <v>0</v>
      </c>
      <c r="H32" s="201">
        <v>0</v>
      </c>
      <c r="I32" s="1033">
        <v>0</v>
      </c>
      <c r="J32" s="179" t="e">
        <f t="shared" si="0"/>
        <v>#REF!</v>
      </c>
      <c r="K32" s="437">
        <v>0</v>
      </c>
      <c r="L32" s="662"/>
      <c r="M32" s="663" t="s">
        <v>52</v>
      </c>
      <c r="N32" s="664" t="s">
        <v>51</v>
      </c>
      <c r="O32" s="215"/>
      <c r="P32" s="297"/>
      <c r="T32" s="408">
        <v>30</v>
      </c>
      <c r="U32" s="408"/>
      <c r="V32" s="408"/>
      <c r="W32" s="408"/>
      <c r="X32" s="408"/>
      <c r="Z32" s="93"/>
      <c r="AA32" s="93"/>
      <c r="AB32" s="93"/>
      <c r="AC32" s="93"/>
      <c r="AD32" s="93"/>
    </row>
    <row r="33" spans="2:30" s="94" customFormat="1" ht="42.75" customHeight="1" thickBot="1" x14ac:dyDescent="0.3">
      <c r="B33" s="203" t="s">
        <v>1</v>
      </c>
      <c r="C33" s="204">
        <f>+SUM(C22:C32)</f>
        <v>0</v>
      </c>
      <c r="D33" s="205" t="e">
        <f>+SUM(D22:D32)</f>
        <v>#REF!</v>
      </c>
      <c r="E33" s="193">
        <f>SUM(E22:E32)</f>
        <v>28930</v>
      </c>
      <c r="F33" s="430" t="e">
        <f>SUM(F22:F32)</f>
        <v>#REF!</v>
      </c>
      <c r="G33" s="886">
        <f>+SUM(G22:G32)</f>
        <v>0</v>
      </c>
      <c r="H33" s="204">
        <f>+SUM(H22:H32)</f>
        <v>0</v>
      </c>
      <c r="I33" s="277">
        <f>SUM(I22:I32)+I35</f>
        <v>100</v>
      </c>
      <c r="J33" s="268" t="s">
        <v>1</v>
      </c>
      <c r="K33" s="438">
        <f>+SUM(K22:K32)</f>
        <v>10900</v>
      </c>
      <c r="L33" s="665" t="s">
        <v>408</v>
      </c>
      <c r="M33" s="668"/>
      <c r="N33" s="670"/>
      <c r="O33" s="215"/>
      <c r="P33" s="297"/>
      <c r="T33" s="413">
        <v>31</v>
      </c>
      <c r="U33" s="413"/>
      <c r="V33" s="413"/>
      <c r="W33" s="413"/>
      <c r="X33" s="413"/>
      <c r="Z33" s="93"/>
      <c r="AA33" s="93"/>
      <c r="AB33" s="93"/>
      <c r="AC33" s="93"/>
      <c r="AD33" s="93"/>
    </row>
    <row r="34" spans="2:30" s="94" customFormat="1" ht="19.5" thickBot="1" x14ac:dyDescent="0.3">
      <c r="B34" s="203" t="s">
        <v>39</v>
      </c>
      <c r="C34" s="204">
        <v>0</v>
      </c>
      <c r="D34" s="205" t="e">
        <f>+#REF!</f>
        <v>#REF!</v>
      </c>
      <c r="E34" s="128">
        <v>9800</v>
      </c>
      <c r="F34" s="206">
        <v>1215</v>
      </c>
      <c r="G34" s="887">
        <v>0</v>
      </c>
      <c r="H34" s="207">
        <v>0</v>
      </c>
      <c r="I34" s="199"/>
      <c r="J34" s="1588" t="s">
        <v>114</v>
      </c>
      <c r="K34" s="1589"/>
      <c r="L34" s="1590"/>
      <c r="M34" s="1590"/>
      <c r="N34" s="1590"/>
      <c r="O34" s="1591"/>
      <c r="P34" s="297"/>
      <c r="T34" s="414" t="s">
        <v>208</v>
      </c>
      <c r="U34" s="408">
        <f>SUM(U2:U33)</f>
        <v>100</v>
      </c>
      <c r="V34" s="408">
        <f>SUM(V2:V33)</f>
        <v>800</v>
      </c>
      <c r="W34" s="410">
        <f>SUM(W2:W33)</f>
        <v>53983.399999999994</v>
      </c>
      <c r="X34" s="408">
        <f>SUM(X2:X33)</f>
        <v>0</v>
      </c>
      <c r="Y34" s="408"/>
      <c r="Z34" s="408"/>
      <c r="AA34" s="93"/>
      <c r="AB34" s="93"/>
      <c r="AC34" s="93"/>
      <c r="AD34" s="93"/>
    </row>
    <row r="35" spans="2:30" ht="16.5" thickBot="1" x14ac:dyDescent="0.3">
      <c r="B35" s="1585" t="s">
        <v>218</v>
      </c>
      <c r="C35" s="1586"/>
      <c r="D35" s="1587"/>
      <c r="E35" s="122">
        <v>0</v>
      </c>
      <c r="F35" s="128"/>
      <c r="G35" s="16"/>
      <c r="H35" s="16"/>
      <c r="I35" s="377"/>
      <c r="J35" s="101"/>
      <c r="K35" s="23" t="s">
        <v>2</v>
      </c>
      <c r="L35" s="23" t="s">
        <v>3</v>
      </c>
      <c r="M35" s="23" t="s">
        <v>4</v>
      </c>
      <c r="N35" s="24" t="s">
        <v>1</v>
      </c>
      <c r="O35" s="25" t="s">
        <v>95</v>
      </c>
      <c r="P35" s="71"/>
      <c r="T35" s="415"/>
      <c r="U35" s="416">
        <v>100</v>
      </c>
      <c r="V35" s="416">
        <v>1200</v>
      </c>
      <c r="W35" s="415"/>
      <c r="X35" s="415"/>
    </row>
    <row r="36" spans="2:30" ht="19.5" thickBot="1" x14ac:dyDescent="0.3">
      <c r="B36" s="53" t="s">
        <v>116</v>
      </c>
      <c r="C36" s="123"/>
      <c r="D36" s="124"/>
      <c r="E36" s="125" t="s">
        <v>117</v>
      </c>
      <c r="F36" s="126"/>
      <c r="G36" s="127" t="s">
        <v>118</v>
      </c>
      <c r="H36" s="98" t="s">
        <v>41</v>
      </c>
      <c r="I36" s="187"/>
      <c r="J36" s="29" t="s">
        <v>115</v>
      </c>
      <c r="K36" s="121">
        <v>2850</v>
      </c>
      <c r="L36" s="121">
        <v>4120</v>
      </c>
      <c r="M36" s="129">
        <v>3734</v>
      </c>
      <c r="N36" s="26">
        <f t="shared" ref="N36:N41" si="1">SUM(K36:M36)</f>
        <v>10704</v>
      </c>
      <c r="O36" s="27" t="e">
        <f>+#REF!</f>
        <v>#REF!</v>
      </c>
      <c r="P36" s="71"/>
      <c r="U36" s="15"/>
      <c r="V36" s="669">
        <v>44470</v>
      </c>
      <c r="W36" s="170"/>
    </row>
    <row r="37" spans="2:30" ht="18.75" x14ac:dyDescent="0.25">
      <c r="B37" s="18" t="s">
        <v>119</v>
      </c>
      <c r="C37" s="19">
        <v>0</v>
      </c>
      <c r="D37" s="77" t="e">
        <f>+#REF!</f>
        <v>#REF!</v>
      </c>
      <c r="E37" s="20">
        <v>0</v>
      </c>
      <c r="F37" s="31"/>
      <c r="G37" s="32">
        <v>0</v>
      </c>
      <c r="H37" s="33">
        <v>0</v>
      </c>
      <c r="I37" s="187"/>
      <c r="J37" s="29" t="s">
        <v>29</v>
      </c>
      <c r="K37" s="121">
        <v>288</v>
      </c>
      <c r="L37" s="121">
        <v>130</v>
      </c>
      <c r="M37" s="129">
        <v>126</v>
      </c>
      <c r="N37" s="26">
        <f t="shared" si="1"/>
        <v>544</v>
      </c>
      <c r="O37" s="27" t="e">
        <f>+#REF!</f>
        <v>#REF!</v>
      </c>
      <c r="P37" s="71"/>
    </row>
    <row r="38" spans="2:30" ht="29.25" customHeight="1" x14ac:dyDescent="0.25">
      <c r="B38" s="18" t="s">
        <v>247</v>
      </c>
      <c r="C38" s="19">
        <v>0</v>
      </c>
      <c r="D38" s="77" t="e">
        <f>+#REF!</f>
        <v>#REF!</v>
      </c>
      <c r="E38" s="30">
        <v>300</v>
      </c>
      <c r="F38" s="35">
        <v>19</v>
      </c>
      <c r="G38" s="36">
        <v>0</v>
      </c>
      <c r="H38" s="21">
        <v>0</v>
      </c>
      <c r="I38" s="187"/>
      <c r="J38" s="29" t="s">
        <v>30</v>
      </c>
      <c r="K38" s="121">
        <v>460</v>
      </c>
      <c r="L38" s="121">
        <v>540</v>
      </c>
      <c r="M38" s="129">
        <v>544</v>
      </c>
      <c r="N38" s="26">
        <f t="shared" si="1"/>
        <v>1544</v>
      </c>
      <c r="O38" s="27" t="e">
        <f>+#REF!</f>
        <v>#REF!</v>
      </c>
      <c r="P38" s="71"/>
    </row>
    <row r="39" spans="2:30" ht="28.5" customHeight="1" thickBot="1" x14ac:dyDescent="0.3">
      <c r="B39" s="39" t="s">
        <v>38</v>
      </c>
      <c r="C39" s="40">
        <v>0</v>
      </c>
      <c r="D39" s="78" t="e">
        <f>+#REF!</f>
        <v>#REF!</v>
      </c>
      <c r="E39" s="42">
        <v>0</v>
      </c>
      <c r="F39" s="43"/>
      <c r="G39" s="44">
        <v>0</v>
      </c>
      <c r="H39" s="45">
        <v>0</v>
      </c>
      <c r="I39" s="187"/>
      <c r="J39" s="224" t="s">
        <v>351</v>
      </c>
      <c r="K39" s="226">
        <v>182</v>
      </c>
      <c r="L39" s="226">
        <v>140</v>
      </c>
      <c r="M39" s="226">
        <v>160</v>
      </c>
      <c r="N39" s="227">
        <f t="shared" si="1"/>
        <v>482</v>
      </c>
      <c r="O39" s="225" t="e">
        <f>+#REF!</f>
        <v>#REF!</v>
      </c>
      <c r="P39" s="71"/>
    </row>
    <row r="40" spans="2:30" ht="30" x14ac:dyDescent="0.25">
      <c r="B40" s="46" t="s">
        <v>120</v>
      </c>
      <c r="C40" s="47">
        <f>+SUM(C37:C39)</f>
        <v>0</v>
      </c>
      <c r="D40" s="48" t="e">
        <f>+SUM(D37:D39)</f>
        <v>#REF!</v>
      </c>
      <c r="E40" s="48">
        <f>+SUM(E37:E39)</f>
        <v>300</v>
      </c>
      <c r="F40" s="49">
        <v>0</v>
      </c>
      <c r="G40" s="661">
        <f>SUM(G37:G39)</f>
        <v>0</v>
      </c>
      <c r="H40" s="661">
        <f>SUM(H37:H39)</f>
        <v>0</v>
      </c>
      <c r="I40" s="378"/>
      <c r="J40" s="37" t="s">
        <v>14</v>
      </c>
      <c r="K40" s="38">
        <v>2689</v>
      </c>
      <c r="L40" s="134">
        <v>6656</v>
      </c>
      <c r="M40" s="121">
        <v>5105</v>
      </c>
      <c r="N40" s="26">
        <f t="shared" si="1"/>
        <v>14450</v>
      </c>
      <c r="O40" s="27" t="e">
        <f>+#REF!</f>
        <v>#REF!</v>
      </c>
      <c r="P40" s="71"/>
    </row>
    <row r="41" spans="2:30" ht="35.450000000000003" customHeight="1" thickBot="1" x14ac:dyDescent="0.3">
      <c r="B41" s="90" t="s">
        <v>122</v>
      </c>
      <c r="C41" s="16"/>
      <c r="D41" s="41"/>
      <c r="E41" s="16"/>
      <c r="F41" s="119"/>
      <c r="G41" s="50"/>
      <c r="H41" s="50"/>
      <c r="I41" s="378"/>
      <c r="J41" s="102" t="s">
        <v>15</v>
      </c>
      <c r="K41" s="103">
        <v>4482</v>
      </c>
      <c r="L41" s="104">
        <v>5354</v>
      </c>
      <c r="M41" s="86">
        <v>4100</v>
      </c>
      <c r="N41" s="99">
        <f t="shared" si="1"/>
        <v>13936</v>
      </c>
      <c r="O41" s="105" t="e">
        <f>+#REF!</f>
        <v>#REF!</v>
      </c>
      <c r="P41" s="71"/>
      <c r="T41" s="1634" t="s">
        <v>374</v>
      </c>
      <c r="U41" s="1634"/>
      <c r="V41" s="75"/>
    </row>
    <row r="42" spans="2:30" ht="18.75" customHeight="1" thickBot="1" x14ac:dyDescent="0.3">
      <c r="B42" s="53" t="s">
        <v>124</v>
      </c>
      <c r="C42" s="54">
        <f>SUM(C40:C41)</f>
        <v>0</v>
      </c>
      <c r="D42" s="54" t="e">
        <f>SUM(D40:D41)</f>
        <v>#REF!</v>
      </c>
      <c r="E42" s="131">
        <f>SUM(E40:E41)</f>
        <v>300</v>
      </c>
      <c r="F42" s="131">
        <f>SUM(F40:F41)</f>
        <v>0</v>
      </c>
      <c r="G42" s="55"/>
      <c r="H42" s="96"/>
      <c r="I42" s="379"/>
      <c r="J42" s="1592" t="s">
        <v>121</v>
      </c>
      <c r="K42" s="1593"/>
      <c r="L42" s="1593"/>
      <c r="M42" s="1594"/>
      <c r="N42" s="111">
        <v>55105</v>
      </c>
      <c r="O42" s="1601" t="s">
        <v>7</v>
      </c>
      <c r="P42" s="71"/>
      <c r="T42" s="75" t="s">
        <v>0</v>
      </c>
      <c r="U42" s="75" t="s">
        <v>380</v>
      </c>
      <c r="V42" s="75" t="s">
        <v>381</v>
      </c>
    </row>
    <row r="43" spans="2:30" ht="15.75" customHeight="1" x14ac:dyDescent="0.25">
      <c r="B43" s="1638" t="s">
        <v>126</v>
      </c>
      <c r="C43" s="1582" t="s">
        <v>113</v>
      </c>
      <c r="D43" s="1583"/>
      <c r="E43" s="1583"/>
      <c r="F43" s="1583"/>
      <c r="G43" s="1584"/>
      <c r="H43" s="91"/>
      <c r="I43" s="56"/>
      <c r="J43" s="1595" t="s">
        <v>16</v>
      </c>
      <c r="K43" s="1596"/>
      <c r="L43" s="1597"/>
      <c r="M43" s="52" t="s">
        <v>123</v>
      </c>
      <c r="N43" s="51">
        <v>4800</v>
      </c>
      <c r="O43" s="1602"/>
      <c r="P43" s="71"/>
      <c r="T43" s="288" t="s">
        <v>375</v>
      </c>
      <c r="U43" s="288">
        <v>61</v>
      </c>
      <c r="V43" s="75">
        <v>61</v>
      </c>
    </row>
    <row r="44" spans="2:30" ht="18" customHeight="1" thickBot="1" x14ac:dyDescent="0.3">
      <c r="B44" s="1639"/>
      <c r="C44" s="109" t="s">
        <v>52</v>
      </c>
      <c r="D44" s="107" t="s">
        <v>51</v>
      </c>
      <c r="E44" s="107" t="s">
        <v>43</v>
      </c>
      <c r="F44" s="13" t="s">
        <v>118</v>
      </c>
      <c r="G44" s="108" t="s">
        <v>41</v>
      </c>
      <c r="H44" s="50"/>
      <c r="I44" s="56"/>
      <c r="J44" s="1598"/>
      <c r="K44" s="1599"/>
      <c r="L44" s="1600"/>
      <c r="M44" s="22" t="s">
        <v>125</v>
      </c>
      <c r="N44" s="51">
        <v>4100</v>
      </c>
      <c r="O44" s="113">
        <v>9440</v>
      </c>
      <c r="P44" s="71"/>
      <c r="T44" s="288" t="s">
        <v>376</v>
      </c>
      <c r="U44" s="288">
        <v>1837.5</v>
      </c>
      <c r="V44" s="75">
        <v>1777.4</v>
      </c>
    </row>
    <row r="45" spans="2:30" ht="19.5" thickBot="1" x14ac:dyDescent="0.3">
      <c r="B45" s="422" t="s">
        <v>128</v>
      </c>
      <c r="C45" s="392">
        <v>2160</v>
      </c>
      <c r="D45" s="120" t="e">
        <f>+#REF!</f>
        <v>#REF!</v>
      </c>
      <c r="E45" s="402">
        <v>63369</v>
      </c>
      <c r="F45" s="28">
        <v>36</v>
      </c>
      <c r="G45" s="17">
        <v>0</v>
      </c>
      <c r="H45" s="50"/>
      <c r="I45" s="56"/>
      <c r="J45" s="1614" t="s">
        <v>127</v>
      </c>
      <c r="K45" s="1615"/>
      <c r="L45" s="1615"/>
      <c r="M45" s="1615"/>
      <c r="N45" s="1615"/>
      <c r="O45" s="1616"/>
      <c r="P45" s="71"/>
      <c r="Q45" s="132"/>
      <c r="T45" s="288" t="s">
        <v>377</v>
      </c>
      <c r="U45" s="288">
        <v>1466.8</v>
      </c>
      <c r="V45" s="75">
        <f>1281.2+60.1</f>
        <v>1341.3</v>
      </c>
    </row>
    <row r="46" spans="2:30" ht="16.5" thickBot="1" x14ac:dyDescent="0.3">
      <c r="B46" s="135" t="s">
        <v>28</v>
      </c>
      <c r="C46" s="393">
        <v>12300</v>
      </c>
      <c r="D46" s="79" t="e">
        <f>+#REF!</f>
        <v>#REF!</v>
      </c>
      <c r="E46" s="400">
        <v>120627</v>
      </c>
      <c r="F46" s="19">
        <v>243</v>
      </c>
      <c r="G46" s="17">
        <v>0</v>
      </c>
      <c r="H46" s="50"/>
      <c r="J46" s="57"/>
      <c r="K46" s="23" t="s">
        <v>2</v>
      </c>
      <c r="L46" s="23" t="s">
        <v>3</v>
      </c>
      <c r="M46" s="23" t="s">
        <v>4</v>
      </c>
      <c r="N46" s="24" t="s">
        <v>1</v>
      </c>
      <c r="O46" s="58" t="s">
        <v>95</v>
      </c>
      <c r="P46" s="71"/>
      <c r="Q46" s="132"/>
      <c r="T46" s="288" t="s">
        <v>378</v>
      </c>
      <c r="U46" s="288">
        <v>1822.4</v>
      </c>
      <c r="V46" s="75">
        <v>1822.4</v>
      </c>
    </row>
    <row r="47" spans="2:30" ht="18.75" x14ac:dyDescent="0.3">
      <c r="B47" s="34" t="s">
        <v>129</v>
      </c>
      <c r="C47" s="63"/>
      <c r="D47" s="64"/>
      <c r="E47" s="95"/>
      <c r="F47" s="64"/>
      <c r="G47" s="65"/>
      <c r="H47" s="50"/>
      <c r="I47" s="56"/>
      <c r="J47" s="59" t="s">
        <v>17</v>
      </c>
      <c r="K47" s="97">
        <v>1588.55</v>
      </c>
      <c r="L47" s="60">
        <v>1593.75</v>
      </c>
      <c r="M47" s="61">
        <v>1472.55</v>
      </c>
      <c r="N47" s="26">
        <f>SUM(K47:M47)</f>
        <v>4654.8500000000004</v>
      </c>
      <c r="O47" s="62" t="e">
        <f>+#REF!</f>
        <v>#REF!</v>
      </c>
      <c r="P47" s="440"/>
      <c r="Q47" s="132"/>
      <c r="T47" s="288" t="s">
        <v>379</v>
      </c>
      <c r="U47" s="288">
        <v>1831.7</v>
      </c>
      <c r="V47" s="75">
        <v>1831.7</v>
      </c>
    </row>
    <row r="48" spans="2:30" ht="18.75" x14ac:dyDescent="0.25">
      <c r="B48" s="115" t="s">
        <v>388</v>
      </c>
      <c r="C48" s="67">
        <v>0</v>
      </c>
      <c r="D48" s="106" t="e">
        <f>+#REF!</f>
        <v>#REF!</v>
      </c>
      <c r="E48" s="391">
        <v>6005</v>
      </c>
      <c r="F48" s="19">
        <v>0</v>
      </c>
      <c r="G48" s="21">
        <v>0</v>
      </c>
      <c r="H48" s="50"/>
      <c r="I48" s="56"/>
      <c r="J48" s="59" t="s">
        <v>31</v>
      </c>
      <c r="K48" s="284">
        <v>4020</v>
      </c>
      <c r="L48" s="285">
        <v>3631</v>
      </c>
      <c r="M48" s="129">
        <v>3869</v>
      </c>
      <c r="N48" s="26">
        <f>SUM(K48:M48)</f>
        <v>11520</v>
      </c>
      <c r="O48" s="62" t="e">
        <f>+#REF!</f>
        <v>#REF!</v>
      </c>
      <c r="P48" s="441"/>
      <c r="Q48" s="132"/>
      <c r="T48" s="288"/>
      <c r="U48" s="288"/>
      <c r="V48" s="75"/>
    </row>
    <row r="49" spans="2:22" ht="18.75" x14ac:dyDescent="0.3">
      <c r="B49" s="116" t="s">
        <v>130</v>
      </c>
      <c r="C49" s="389">
        <v>0</v>
      </c>
      <c r="D49" s="110" t="e">
        <f>+#REF!</f>
        <v>#REF!</v>
      </c>
      <c r="E49" s="82">
        <v>5481</v>
      </c>
      <c r="F49" s="19">
        <v>0</v>
      </c>
      <c r="G49" s="21">
        <v>0</v>
      </c>
      <c r="H49" s="50"/>
      <c r="I49" s="11"/>
      <c r="J49" s="59" t="s">
        <v>32</v>
      </c>
      <c r="K49" s="129">
        <v>841</v>
      </c>
      <c r="L49" s="66">
        <v>1014</v>
      </c>
      <c r="M49" s="92">
        <v>771</v>
      </c>
      <c r="N49" s="26">
        <f>SUM(K49:M49)</f>
        <v>2626</v>
      </c>
      <c r="O49" s="62" t="e">
        <f>+#REF!</f>
        <v>#REF!</v>
      </c>
      <c r="P49" s="442" t="e">
        <f>+O48-P48</f>
        <v>#REF!</v>
      </c>
      <c r="Q49" s="132"/>
      <c r="T49" s="288" t="s">
        <v>1</v>
      </c>
      <c r="U49" s="288">
        <f>SUM(U43:U48)</f>
        <v>7019.4000000000005</v>
      </c>
      <c r="V49" s="75">
        <f>SUM(V44:V48)</f>
        <v>6772.8</v>
      </c>
    </row>
    <row r="50" spans="2:22" ht="18.75" x14ac:dyDescent="0.25">
      <c r="B50" s="116" t="s">
        <v>131</v>
      </c>
      <c r="C50" s="389">
        <v>0</v>
      </c>
      <c r="D50" s="110" t="e">
        <f>+#REF!</f>
        <v>#REF!</v>
      </c>
      <c r="E50" s="399">
        <v>4230</v>
      </c>
      <c r="F50" s="19">
        <v>0</v>
      </c>
      <c r="G50" s="21">
        <v>0</v>
      </c>
      <c r="H50" s="667"/>
      <c r="I50" s="9"/>
      <c r="J50" s="59" t="s">
        <v>33</v>
      </c>
      <c r="K50" s="129">
        <v>0</v>
      </c>
      <c r="L50" s="129">
        <v>0</v>
      </c>
      <c r="M50" s="14">
        <v>0</v>
      </c>
      <c r="N50" s="26">
        <f>SUM(K50:M50)</f>
        <v>0</v>
      </c>
      <c r="O50" s="62" t="e">
        <f>+#REF!</f>
        <v>#REF!</v>
      </c>
      <c r="P50" s="71"/>
    </row>
    <row r="51" spans="2:22" ht="19.5" thickBot="1" x14ac:dyDescent="0.3">
      <c r="B51" s="116" t="s">
        <v>133</v>
      </c>
      <c r="C51" s="389">
        <v>0</v>
      </c>
      <c r="D51" s="110" t="e">
        <f>+#REF!</f>
        <v>#REF!</v>
      </c>
      <c r="E51" s="82">
        <v>19181</v>
      </c>
      <c r="F51" s="19">
        <v>0</v>
      </c>
      <c r="G51" s="21">
        <v>0</v>
      </c>
      <c r="H51" s="9"/>
      <c r="I51" s="334"/>
      <c r="J51" s="68" t="s">
        <v>34</v>
      </c>
      <c r="K51" s="69">
        <v>0</v>
      </c>
      <c r="L51" s="69">
        <v>0</v>
      </c>
      <c r="M51" s="92">
        <v>0</v>
      </c>
      <c r="N51" s="26">
        <f>SUM(K51:M51)</f>
        <v>0</v>
      </c>
      <c r="O51" s="62" t="e">
        <f>+#REF!</f>
        <v>#REF!</v>
      </c>
      <c r="P51" s="71"/>
    </row>
    <row r="52" spans="2:22" ht="15.75" customHeight="1" thickBot="1" x14ac:dyDescent="0.3">
      <c r="B52" s="116" t="s">
        <v>345</v>
      </c>
      <c r="C52" s="36">
        <v>0</v>
      </c>
      <c r="D52" s="110" t="e">
        <f>+#REF!</f>
        <v>#REF!</v>
      </c>
      <c r="E52" s="397">
        <v>1750</v>
      </c>
      <c r="F52" s="19">
        <v>0</v>
      </c>
      <c r="G52" s="21">
        <v>0</v>
      </c>
      <c r="H52" s="9"/>
      <c r="I52" s="9"/>
      <c r="J52" s="1614" t="s">
        <v>132</v>
      </c>
      <c r="K52" s="1615"/>
      <c r="L52" s="1615"/>
      <c r="M52" s="1615"/>
      <c r="N52" s="1615"/>
      <c r="O52" s="1616"/>
      <c r="P52" s="71"/>
      <c r="Q52" s="15"/>
    </row>
    <row r="53" spans="2:22" ht="19.5" customHeight="1" x14ac:dyDescent="0.25">
      <c r="B53" s="116" t="s">
        <v>394</v>
      </c>
      <c r="C53" s="36">
        <v>0</v>
      </c>
      <c r="D53" s="110" t="e">
        <f>+#REF!</f>
        <v>#REF!</v>
      </c>
      <c r="E53" s="82">
        <v>0</v>
      </c>
      <c r="F53" s="19">
        <v>0</v>
      </c>
      <c r="G53" s="21">
        <v>0</v>
      </c>
      <c r="H53" s="9"/>
      <c r="I53" s="334"/>
      <c r="J53" s="343"/>
      <c r="K53" s="47" t="s">
        <v>2</v>
      </c>
      <c r="L53" s="47" t="s">
        <v>3</v>
      </c>
      <c r="M53" s="47" t="s">
        <v>4</v>
      </c>
      <c r="N53" s="344" t="s">
        <v>1</v>
      </c>
      <c r="O53" s="345" t="s">
        <v>95</v>
      </c>
      <c r="P53" s="71"/>
      <c r="Q53" s="15"/>
    </row>
    <row r="54" spans="2:22" ht="28.5" customHeight="1" x14ac:dyDescent="0.25">
      <c r="B54" s="1605" t="s">
        <v>399</v>
      </c>
      <c r="C54" s="1606"/>
      <c r="D54" s="1606"/>
      <c r="E54" s="1606"/>
      <c r="F54" s="1606"/>
      <c r="G54" s="1606"/>
      <c r="H54" s="1606"/>
      <c r="I54" s="418"/>
      <c r="J54" s="59" t="s">
        <v>134</v>
      </c>
      <c r="K54" s="129">
        <v>355</v>
      </c>
      <c r="L54" s="129">
        <v>620</v>
      </c>
      <c r="M54" s="129">
        <v>500</v>
      </c>
      <c r="N54" s="97">
        <f>SUM(K54:M54)</f>
        <v>1475</v>
      </c>
      <c r="O54" s="62" t="e">
        <f>+#REF!</f>
        <v>#REF!</v>
      </c>
      <c r="P54" s="71"/>
    </row>
    <row r="55" spans="2:22" ht="48" thickBot="1" x14ac:dyDescent="0.3">
      <c r="B55" s="453" t="s">
        <v>162</v>
      </c>
      <c r="C55" s="454" t="s">
        <v>107</v>
      </c>
      <c r="D55" s="454" t="s">
        <v>161</v>
      </c>
      <c r="E55" s="454" t="s">
        <v>160</v>
      </c>
      <c r="F55" s="454" t="s">
        <v>159</v>
      </c>
      <c r="G55" s="658">
        <v>2371.0500000000002</v>
      </c>
      <c r="H55" s="454" t="s">
        <v>251</v>
      </c>
      <c r="I55" s="374" t="str">
        <f>+H55</f>
        <v>UNLOADING (WGNS/HOUR)</v>
      </c>
      <c r="J55" s="398" t="s">
        <v>30</v>
      </c>
      <c r="K55" s="69">
        <v>0</v>
      </c>
      <c r="L55" s="69">
        <v>0</v>
      </c>
      <c r="M55" s="69">
        <v>0</v>
      </c>
      <c r="N55" s="289">
        <f>SUM(K55:M55)</f>
        <v>0</v>
      </c>
      <c r="O55" s="100" t="e">
        <f>+#REF!</f>
        <v>#REF!</v>
      </c>
      <c r="P55" s="71"/>
    </row>
    <row r="56" spans="2:22" ht="16.5" thickBot="1" x14ac:dyDescent="0.3">
      <c r="B56" s="453" t="s">
        <v>149</v>
      </c>
      <c r="C56" s="463"/>
      <c r="D56" s="464"/>
      <c r="E56" s="464"/>
      <c r="F56" s="465"/>
      <c r="G56" s="659">
        <v>1283.8</v>
      </c>
      <c r="H56" s="466"/>
      <c r="I56" s="375">
        <f>DAILYREPORT1!D9*12.7</f>
        <v>38227</v>
      </c>
      <c r="J56" s="94"/>
      <c r="K56" s="1580" t="s">
        <v>37</v>
      </c>
      <c r="L56" s="1644"/>
      <c r="M56" s="1581"/>
      <c r="N56" s="70" t="s">
        <v>135</v>
      </c>
      <c r="O56" s="70" t="s">
        <v>136</v>
      </c>
      <c r="P56" s="71"/>
    </row>
    <row r="57" spans="2:22" ht="16.5" thickBot="1" x14ac:dyDescent="0.3">
      <c r="B57" s="453" t="s">
        <v>148</v>
      </c>
      <c r="C57" s="463"/>
      <c r="D57" s="464"/>
      <c r="E57" s="464"/>
      <c r="F57" s="465"/>
      <c r="G57" s="659"/>
      <c r="H57" s="467"/>
      <c r="I57" s="376">
        <f>SUM(I55:I56)</f>
        <v>38227</v>
      </c>
      <c r="J57" s="94"/>
      <c r="K57" s="1580" t="s">
        <v>128</v>
      </c>
      <c r="L57" s="1644"/>
      <c r="M57" s="1581"/>
      <c r="N57" s="282">
        <v>930</v>
      </c>
      <c r="O57" s="283" t="e">
        <f>+#REF!</f>
        <v>#REF!</v>
      </c>
      <c r="P57" s="71"/>
    </row>
    <row r="58" spans="2:22" ht="16.5" thickBot="1" x14ac:dyDescent="0.3">
      <c r="B58" s="453" t="s">
        <v>151</v>
      </c>
      <c r="C58" s="463"/>
      <c r="D58" s="464"/>
      <c r="E58" s="464"/>
      <c r="F58" s="465"/>
      <c r="G58" s="659">
        <v>72</v>
      </c>
      <c r="H58" s="467"/>
      <c r="I58" s="93"/>
      <c r="J58" s="297"/>
      <c r="K58" s="1580" t="s">
        <v>28</v>
      </c>
      <c r="L58" s="1644"/>
      <c r="M58" s="1581"/>
      <c r="N58" s="282">
        <v>9163</v>
      </c>
      <c r="O58" s="283" t="e">
        <f>+#REF!</f>
        <v>#REF!</v>
      </c>
      <c r="P58" s="71"/>
    </row>
    <row r="59" spans="2:22" ht="23.85" customHeight="1" thickBot="1" x14ac:dyDescent="0.3">
      <c r="B59" s="453" t="s">
        <v>147</v>
      </c>
      <c r="C59" s="654"/>
      <c r="D59" s="654"/>
      <c r="E59" s="654"/>
      <c r="F59" s="656"/>
      <c r="G59" s="659">
        <v>24.5</v>
      </c>
      <c r="H59" s="657"/>
      <c r="I59" s="93"/>
      <c r="J59" s="297"/>
      <c r="K59" s="1580" t="s">
        <v>1</v>
      </c>
      <c r="L59" s="1644"/>
      <c r="M59" s="1581"/>
      <c r="N59" s="70">
        <f>SUM(N57:N58)</f>
        <v>10093</v>
      </c>
      <c r="O59" s="70" t="e">
        <f>SUM(O57:O58)</f>
        <v>#REF!</v>
      </c>
      <c r="P59" s="71"/>
    </row>
    <row r="60" spans="2:22" ht="24" customHeight="1" x14ac:dyDescent="0.25">
      <c r="B60" s="453" t="s">
        <v>146</v>
      </c>
      <c r="C60" s="654"/>
      <c r="D60" s="656"/>
      <c r="E60" s="656"/>
      <c r="F60" s="656"/>
      <c r="G60" s="660"/>
      <c r="H60" s="455"/>
      <c r="I60" s="342" t="e">
        <f>Z2+I57-O47-DAILYREPORT1!D52</f>
        <v>#REF!</v>
      </c>
      <c r="J60" s="1640" t="s">
        <v>291</v>
      </c>
      <c r="K60" s="1641"/>
      <c r="L60" s="338" t="s">
        <v>2</v>
      </c>
      <c r="M60" s="339" t="s">
        <v>3</v>
      </c>
      <c r="N60" s="339" t="s">
        <v>4</v>
      </c>
      <c r="O60" s="290" t="s">
        <v>1</v>
      </c>
      <c r="P60" s="71"/>
    </row>
    <row r="61" spans="2:22" ht="29.25" customHeight="1" thickBot="1" x14ac:dyDescent="0.3">
      <c r="B61" s="453" t="s">
        <v>145</v>
      </c>
      <c r="C61" s="653"/>
      <c r="D61" s="656"/>
      <c r="E61" s="454"/>
      <c r="F61" s="454"/>
      <c r="G61" s="658"/>
      <c r="H61" s="455"/>
      <c r="I61" s="419"/>
      <c r="J61" s="1642"/>
      <c r="K61" s="1643"/>
      <c r="L61" s="666">
        <v>7</v>
      </c>
      <c r="M61" s="666">
        <v>7</v>
      </c>
      <c r="N61" s="129">
        <v>6</v>
      </c>
      <c r="O61" s="291">
        <f>SUM(L61:N61)</f>
        <v>20</v>
      </c>
      <c r="P61" s="71"/>
    </row>
    <row r="62" spans="2:22" ht="31.9" customHeight="1" thickBot="1" x14ac:dyDescent="0.3">
      <c r="B62" s="453" t="s">
        <v>144</v>
      </c>
      <c r="C62" s="454"/>
      <c r="D62" s="454"/>
      <c r="E62" s="454"/>
      <c r="F62" s="454"/>
      <c r="G62" s="454"/>
      <c r="H62" s="454"/>
      <c r="I62" s="420"/>
      <c r="J62" s="251"/>
      <c r="K62" s="340" t="s">
        <v>290</v>
      </c>
      <c r="L62" s="341">
        <f>+L61*8</f>
        <v>56</v>
      </c>
      <c r="M62" s="341">
        <f>+M61*8</f>
        <v>56</v>
      </c>
      <c r="N62" s="341">
        <f>+N61*8</f>
        <v>48</v>
      </c>
      <c r="O62" s="292">
        <f>SUM(L62:N62)</f>
        <v>160</v>
      </c>
      <c r="P62" s="71"/>
    </row>
    <row r="63" spans="2:22" ht="15" hidden="1" customHeight="1" thickBot="1" x14ac:dyDescent="0.3">
      <c r="B63" s="351" t="s">
        <v>143</v>
      </c>
      <c r="C63" s="352"/>
      <c r="D63" s="293"/>
      <c r="E63" s="294"/>
      <c r="F63" s="293"/>
      <c r="G63" s="293"/>
      <c r="H63" s="295"/>
      <c r="I63" s="346" t="s">
        <v>154</v>
      </c>
      <c r="J63" s="296"/>
      <c r="K63" s="94"/>
      <c r="L63" s="94"/>
      <c r="M63" s="94"/>
      <c r="N63" s="94"/>
      <c r="O63" s="297"/>
      <c r="P63" s="297"/>
    </row>
    <row r="64" spans="2:22" ht="15" hidden="1" customHeight="1" thickBot="1" x14ac:dyDescent="0.3">
      <c r="B64" s="353"/>
      <c r="C64" s="354"/>
      <c r="D64" s="298"/>
      <c r="E64" s="298"/>
      <c r="F64" s="298"/>
      <c r="G64" s="298"/>
      <c r="H64" s="299"/>
      <c r="I64" s="347" t="s">
        <v>153</v>
      </c>
      <c r="J64" s="300"/>
      <c r="K64" s="94"/>
      <c r="L64" s="94"/>
      <c r="M64" s="94"/>
      <c r="N64" s="94"/>
      <c r="O64" s="297"/>
      <c r="P64" s="297"/>
    </row>
    <row r="65" spans="2:16" ht="46.9" hidden="1" customHeight="1" thickBot="1" x14ac:dyDescent="0.3">
      <c r="B65" s="355" t="s">
        <v>162</v>
      </c>
      <c r="C65" s="356" t="s">
        <v>107</v>
      </c>
      <c r="D65" s="301" t="s">
        <v>161</v>
      </c>
      <c r="E65" s="302" t="s">
        <v>160</v>
      </c>
      <c r="F65" s="302" t="s">
        <v>159</v>
      </c>
      <c r="G65" s="303" t="s">
        <v>158</v>
      </c>
      <c r="H65" s="304" t="s">
        <v>215</v>
      </c>
      <c r="I65" s="348" t="s">
        <v>149</v>
      </c>
      <c r="J65" s="305"/>
      <c r="K65" s="94"/>
      <c r="L65" s="94"/>
      <c r="M65" s="94"/>
      <c r="N65" s="94"/>
      <c r="O65" s="297"/>
      <c r="P65" s="297"/>
    </row>
    <row r="66" spans="2:16" ht="15" hidden="1" customHeight="1" thickBot="1" x14ac:dyDescent="0.3">
      <c r="B66" s="1635" t="s">
        <v>149</v>
      </c>
      <c r="C66" s="357" t="s">
        <v>225</v>
      </c>
      <c r="D66" s="306" t="s">
        <v>226</v>
      </c>
      <c r="E66" s="307" t="s">
        <v>242</v>
      </c>
      <c r="F66" s="306" t="s">
        <v>227</v>
      </c>
      <c r="G66" s="308" t="s">
        <v>221</v>
      </c>
      <c r="H66" s="309"/>
      <c r="I66" s="349" t="s">
        <v>148</v>
      </c>
      <c r="J66" s="305"/>
      <c r="K66" s="94"/>
      <c r="L66" s="94"/>
      <c r="M66" s="94"/>
      <c r="N66" s="94"/>
      <c r="O66" s="297"/>
      <c r="P66" s="297"/>
    </row>
    <row r="67" spans="2:16" ht="15" hidden="1" customHeight="1" thickBot="1" x14ac:dyDescent="0.3">
      <c r="B67" s="1636"/>
      <c r="C67" s="358"/>
      <c r="D67" s="310"/>
      <c r="E67" s="310"/>
      <c r="F67" s="310"/>
      <c r="G67" s="310"/>
      <c r="H67" s="310"/>
      <c r="I67" s="350" t="s">
        <v>150</v>
      </c>
      <c r="J67" s="300"/>
      <c r="K67" s="94"/>
      <c r="L67" s="94"/>
      <c r="M67" s="94"/>
      <c r="N67" s="94"/>
      <c r="O67" s="297"/>
      <c r="P67" s="297"/>
    </row>
    <row r="68" spans="2:16" ht="15" hidden="1" customHeight="1" thickBot="1" x14ac:dyDescent="0.3">
      <c r="B68" s="1635" t="s">
        <v>148</v>
      </c>
      <c r="C68" s="357"/>
      <c r="D68" s="306"/>
      <c r="E68" s="307"/>
      <c r="F68" s="306"/>
      <c r="G68" s="308"/>
      <c r="H68" s="311"/>
      <c r="I68" s="348" t="s">
        <v>149</v>
      </c>
      <c r="J68" s="296" t="s">
        <v>234</v>
      </c>
      <c r="K68" s="94"/>
      <c r="L68" s="94"/>
      <c r="M68" s="94"/>
      <c r="N68" s="94"/>
      <c r="O68" s="297"/>
      <c r="P68" s="297"/>
    </row>
    <row r="69" spans="2:16" ht="15" hidden="1" customHeight="1" thickBot="1" x14ac:dyDescent="0.3">
      <c r="B69" s="1637"/>
      <c r="C69" s="359"/>
      <c r="D69" s="312"/>
      <c r="E69" s="312"/>
      <c r="F69" s="312"/>
      <c r="G69" s="312"/>
      <c r="H69" s="312"/>
      <c r="I69" s="349" t="s">
        <v>148</v>
      </c>
      <c r="J69" s="296" t="s">
        <v>235</v>
      </c>
      <c r="K69" s="94"/>
      <c r="L69" s="94"/>
      <c r="M69" s="94"/>
      <c r="N69" s="94"/>
      <c r="O69" s="297"/>
      <c r="P69" s="297"/>
    </row>
    <row r="70" spans="2:16" ht="15" hidden="1" customHeight="1" thickBot="1" x14ac:dyDescent="0.3">
      <c r="B70" s="1635" t="s">
        <v>151</v>
      </c>
      <c r="C70" s="360"/>
      <c r="D70" s="306"/>
      <c r="E70" s="307"/>
      <c r="F70" s="306"/>
      <c r="G70" s="308"/>
      <c r="H70" s="311"/>
      <c r="I70" s="349" t="s">
        <v>151</v>
      </c>
      <c r="J70" s="296" t="s">
        <v>236</v>
      </c>
      <c r="K70" s="94"/>
      <c r="L70" s="94"/>
      <c r="M70" s="94"/>
      <c r="N70" s="94"/>
      <c r="O70" s="297"/>
      <c r="P70" s="297"/>
    </row>
    <row r="71" spans="2:16" ht="15" hidden="1" customHeight="1" thickBot="1" x14ac:dyDescent="0.3">
      <c r="B71" s="1637"/>
      <c r="C71" s="361"/>
      <c r="D71" s="313"/>
      <c r="E71" s="313"/>
      <c r="F71" s="313"/>
      <c r="G71" s="313"/>
      <c r="H71" s="314"/>
      <c r="I71" s="349" t="s">
        <v>147</v>
      </c>
      <c r="J71" s="296" t="s">
        <v>237</v>
      </c>
      <c r="K71" s="94"/>
      <c r="L71" s="94"/>
      <c r="M71" s="94"/>
      <c r="N71" s="94"/>
      <c r="O71" s="297"/>
      <c r="P71" s="297"/>
    </row>
    <row r="72" spans="2:16" ht="15" hidden="1" customHeight="1" thickBot="1" x14ac:dyDescent="0.3">
      <c r="B72" s="1635" t="s">
        <v>147</v>
      </c>
      <c r="C72" s="362"/>
      <c r="D72" s="315"/>
      <c r="E72" s="307"/>
      <c r="F72" s="306"/>
      <c r="G72" s="308"/>
      <c r="H72" s="304"/>
      <c r="I72" s="348" t="s">
        <v>146</v>
      </c>
      <c r="J72" s="296" t="s">
        <v>238</v>
      </c>
      <c r="K72" s="94"/>
      <c r="L72" s="94"/>
      <c r="M72" s="94"/>
      <c r="N72" s="94"/>
      <c r="O72" s="297"/>
      <c r="P72" s="297"/>
    </row>
    <row r="73" spans="2:16" ht="15" hidden="1" customHeight="1" thickBot="1" x14ac:dyDescent="0.3">
      <c r="B73" s="1637"/>
      <c r="C73" s="363"/>
      <c r="D73" s="316"/>
      <c r="E73" s="293"/>
      <c r="F73" s="293"/>
      <c r="G73" s="293"/>
      <c r="H73" s="295"/>
      <c r="I73" s="348" t="s">
        <v>145</v>
      </c>
      <c r="J73" s="317" t="s">
        <v>239</v>
      </c>
      <c r="K73" s="94"/>
      <c r="L73" s="94"/>
      <c r="M73" s="94"/>
      <c r="N73" s="94"/>
      <c r="O73" s="297"/>
      <c r="P73" s="297"/>
    </row>
    <row r="74" spans="2:16" ht="15" hidden="1" customHeight="1" thickBot="1" x14ac:dyDescent="0.3">
      <c r="B74" s="364" t="s">
        <v>113</v>
      </c>
      <c r="C74" s="365"/>
      <c r="D74" s="318"/>
      <c r="E74" s="319"/>
      <c r="F74" s="320"/>
      <c r="G74" s="321"/>
      <c r="H74" s="322"/>
      <c r="I74" s="349" t="s">
        <v>144</v>
      </c>
      <c r="J74" s="296" t="s">
        <v>240</v>
      </c>
      <c r="K74" s="94"/>
      <c r="L74" s="94"/>
      <c r="M74" s="94"/>
      <c r="N74" s="94"/>
      <c r="O74" s="297"/>
      <c r="P74" s="297"/>
    </row>
    <row r="75" spans="2:16" ht="35.450000000000003" hidden="1" customHeight="1" thickBot="1" x14ac:dyDescent="0.3">
      <c r="B75" s="366" t="s">
        <v>162</v>
      </c>
      <c r="C75" s="367" t="s">
        <v>107</v>
      </c>
      <c r="D75" s="323" t="s">
        <v>161</v>
      </c>
      <c r="E75" s="323" t="s">
        <v>160</v>
      </c>
      <c r="F75" s="323" t="s">
        <v>159</v>
      </c>
      <c r="G75" s="323" t="s">
        <v>158</v>
      </c>
      <c r="H75" s="324" t="s">
        <v>219</v>
      </c>
      <c r="I75" s="325" t="s">
        <v>143</v>
      </c>
      <c r="J75" s="296" t="s">
        <v>241</v>
      </c>
      <c r="K75" s="94"/>
      <c r="L75" s="94"/>
      <c r="M75" s="94"/>
      <c r="N75" s="94"/>
      <c r="O75" s="297"/>
      <c r="P75" s="297"/>
    </row>
    <row r="76" spans="2:16" ht="14.25" hidden="1" customHeight="1" x14ac:dyDescent="0.25">
      <c r="B76" s="368" t="s">
        <v>149</v>
      </c>
      <c r="C76" s="369" t="s">
        <v>228</v>
      </c>
      <c r="D76" s="326" t="s">
        <v>229</v>
      </c>
      <c r="E76" s="327" t="s">
        <v>231</v>
      </c>
      <c r="F76" s="326" t="s">
        <v>216</v>
      </c>
      <c r="G76" s="328" t="s">
        <v>224</v>
      </c>
      <c r="H76" s="329">
        <f>59/8</f>
        <v>7.375</v>
      </c>
      <c r="I76" s="94"/>
      <c r="J76" s="94"/>
      <c r="K76" s="94"/>
      <c r="L76" s="94"/>
      <c r="M76" s="94"/>
      <c r="N76" s="94"/>
      <c r="O76" s="297"/>
      <c r="P76" s="297"/>
    </row>
    <row r="77" spans="2:16" ht="14.25" hidden="1" customHeight="1" x14ac:dyDescent="0.25">
      <c r="B77" s="368" t="s">
        <v>148</v>
      </c>
      <c r="C77" s="369" t="s">
        <v>243</v>
      </c>
      <c r="D77" s="326" t="s">
        <v>230</v>
      </c>
      <c r="E77" s="326" t="s">
        <v>232</v>
      </c>
      <c r="F77" s="326" t="s">
        <v>216</v>
      </c>
      <c r="G77" s="328" t="s">
        <v>222</v>
      </c>
      <c r="H77" s="329">
        <f>58/7</f>
        <v>8.2857142857142865</v>
      </c>
      <c r="I77" s="94"/>
      <c r="J77" s="94"/>
      <c r="K77" s="94"/>
      <c r="L77" s="94"/>
      <c r="M77" s="94"/>
      <c r="N77" s="94"/>
      <c r="O77" s="297"/>
      <c r="P77" s="297"/>
    </row>
    <row r="78" spans="2:16" ht="19.149999999999999" hidden="1" customHeight="1" thickBot="1" x14ac:dyDescent="0.3">
      <c r="B78" s="368" t="s">
        <v>151</v>
      </c>
      <c r="C78" s="369" t="s">
        <v>223</v>
      </c>
      <c r="D78" s="326" t="s">
        <v>232</v>
      </c>
      <c r="E78" s="326" t="s">
        <v>233</v>
      </c>
      <c r="F78" s="326" t="s">
        <v>216</v>
      </c>
      <c r="G78" s="328" t="s">
        <v>222</v>
      </c>
      <c r="H78" s="329">
        <f>58/7</f>
        <v>8.2857142857142865</v>
      </c>
      <c r="I78" s="1603" t="s">
        <v>152</v>
      </c>
      <c r="J78" s="1603"/>
      <c r="K78" s="1603"/>
      <c r="L78" s="1603"/>
      <c r="M78" s="1603"/>
      <c r="N78" s="1603"/>
      <c r="O78" s="1603"/>
      <c r="P78" s="1604"/>
    </row>
    <row r="79" spans="2:16" hidden="1" x14ac:dyDescent="0.25">
      <c r="B79" s="370"/>
      <c r="C79" s="371"/>
      <c r="D79" s="330"/>
      <c r="E79" s="330"/>
      <c r="F79" s="330"/>
      <c r="G79" s="330"/>
      <c r="H79" s="331"/>
      <c r="I79" s="94"/>
      <c r="J79" s="94"/>
      <c r="K79" s="94"/>
      <c r="L79" s="94"/>
      <c r="M79" s="94"/>
      <c r="N79" s="94"/>
      <c r="O79" s="297"/>
      <c r="P79" s="297"/>
    </row>
    <row r="80" spans="2:16" hidden="1" x14ac:dyDescent="0.25">
      <c r="B80" s="370"/>
      <c r="C80" s="371"/>
      <c r="D80" s="330"/>
      <c r="E80" s="330"/>
      <c r="F80" s="330"/>
      <c r="G80" s="330"/>
      <c r="H80" s="331"/>
      <c r="I80" s="94"/>
      <c r="J80" s="94"/>
      <c r="K80" s="94"/>
      <c r="L80" s="94"/>
      <c r="M80" s="94"/>
      <c r="N80" s="94"/>
      <c r="O80" s="297"/>
      <c r="P80" s="297"/>
    </row>
    <row r="81" spans="2:16" hidden="1" x14ac:dyDescent="0.25">
      <c r="B81" s="370"/>
      <c r="C81" s="371"/>
      <c r="D81" s="330"/>
      <c r="E81" s="330"/>
      <c r="F81" s="330"/>
      <c r="G81" s="330"/>
      <c r="H81" s="331"/>
      <c r="I81" s="94"/>
      <c r="J81" s="94"/>
      <c r="K81" s="94"/>
      <c r="L81" s="94"/>
      <c r="M81" s="94"/>
      <c r="N81" s="94"/>
      <c r="O81" s="297"/>
      <c r="P81" s="297"/>
    </row>
    <row r="82" spans="2:16" hidden="1" x14ac:dyDescent="0.25">
      <c r="B82" s="370"/>
      <c r="C82" s="371"/>
      <c r="D82" s="330"/>
      <c r="E82" s="330"/>
      <c r="F82" s="330"/>
      <c r="G82" s="330"/>
      <c r="H82" s="331"/>
      <c r="I82" s="94"/>
      <c r="J82" s="94"/>
      <c r="K82" s="94"/>
      <c r="L82" s="94"/>
      <c r="M82" s="94"/>
      <c r="N82" s="94"/>
      <c r="O82" s="297"/>
      <c r="P82" s="297"/>
    </row>
    <row r="83" spans="2:16" ht="15.75" hidden="1" thickBot="1" x14ac:dyDescent="0.3">
      <c r="B83" s="372"/>
      <c r="C83" s="373"/>
      <c r="D83" s="332"/>
      <c r="E83" s="332"/>
      <c r="F83" s="332"/>
      <c r="G83" s="332"/>
      <c r="H83" s="333"/>
      <c r="I83" s="94"/>
      <c r="J83" s="94"/>
      <c r="K83" s="94"/>
      <c r="L83" s="94"/>
      <c r="M83" s="94"/>
      <c r="N83" s="94"/>
      <c r="O83" s="297"/>
      <c r="P83" s="297"/>
    </row>
    <row r="84" spans="2:16" ht="26.25" hidden="1" x14ac:dyDescent="0.25">
      <c r="B84" s="432"/>
      <c r="C84" s="433"/>
      <c r="D84" s="1617"/>
      <c r="E84" s="1617"/>
      <c r="F84" s="1617"/>
      <c r="G84" s="1617"/>
      <c r="H84" s="1617"/>
      <c r="I84" s="1617"/>
      <c r="J84" s="1617"/>
      <c r="K84" s="1617"/>
      <c r="L84" s="434"/>
      <c r="M84" s="434"/>
      <c r="N84" s="435"/>
      <c r="O84" s="436"/>
      <c r="P84" s="297"/>
    </row>
    <row r="85" spans="2:16" ht="21" x14ac:dyDescent="0.35">
      <c r="B85" s="1605" t="s">
        <v>400</v>
      </c>
      <c r="C85" s="1606"/>
      <c r="D85" s="1606"/>
      <c r="E85" s="1606"/>
      <c r="F85" s="1606"/>
      <c r="G85" s="1606"/>
      <c r="H85" s="1606"/>
      <c r="I85" s="462"/>
      <c r="J85" s="1610" t="s">
        <v>407</v>
      </c>
      <c r="K85" s="1610"/>
      <c r="L85" s="1610"/>
      <c r="M85" s="1610"/>
      <c r="N85" s="1610"/>
      <c r="O85" s="1611"/>
      <c r="P85" s="71"/>
    </row>
    <row r="86" spans="2:16" ht="30" x14ac:dyDescent="0.25">
      <c r="B86" s="150" t="s">
        <v>162</v>
      </c>
      <c r="C86" s="141" t="s">
        <v>107</v>
      </c>
      <c r="D86" s="141" t="s">
        <v>161</v>
      </c>
      <c r="E86" s="141" t="s">
        <v>160</v>
      </c>
      <c r="F86" s="443" t="s">
        <v>159</v>
      </c>
      <c r="G86" s="443" t="s">
        <v>158</v>
      </c>
      <c r="H86" s="444" t="s">
        <v>251</v>
      </c>
      <c r="I86" s="443" t="s">
        <v>402</v>
      </c>
      <c r="J86" s="1572" t="s">
        <v>413</v>
      </c>
      <c r="K86" s="1573"/>
      <c r="L86" s="1573"/>
      <c r="M86" s="1572" t="s">
        <v>412</v>
      </c>
      <c r="N86" s="1573"/>
      <c r="O86" s="1574"/>
      <c r="P86" s="71"/>
    </row>
    <row r="87" spans="2:16" x14ac:dyDescent="0.25">
      <c r="B87" s="445" t="s">
        <v>149</v>
      </c>
      <c r="C87" s="423"/>
      <c r="D87" s="423"/>
      <c r="E87" s="423"/>
      <c r="F87" s="112"/>
      <c r="G87" s="112"/>
      <c r="H87" s="447"/>
      <c r="I87" s="655">
        <v>1</v>
      </c>
      <c r="J87" s="1569"/>
      <c r="K87" s="1570"/>
      <c r="L87" s="1570"/>
      <c r="M87" s="1569"/>
      <c r="N87" s="1570"/>
      <c r="O87" s="1571"/>
      <c r="P87" s="71"/>
    </row>
    <row r="88" spans="2:16" x14ac:dyDescent="0.25">
      <c r="B88" s="445" t="s">
        <v>148</v>
      </c>
      <c r="C88" s="423"/>
      <c r="D88" s="423"/>
      <c r="E88" s="423"/>
      <c r="F88" s="112"/>
      <c r="G88" s="112"/>
      <c r="H88" s="446"/>
      <c r="I88" s="112">
        <v>2</v>
      </c>
      <c r="J88" s="1569"/>
      <c r="K88" s="1570"/>
      <c r="L88" s="1570"/>
      <c r="M88" s="1569"/>
      <c r="N88" s="1570"/>
      <c r="O88" s="1571"/>
      <c r="P88" s="71"/>
    </row>
    <row r="89" spans="2:16" ht="17.100000000000001" customHeight="1" x14ac:dyDescent="0.25">
      <c r="B89" s="445" t="s">
        <v>151</v>
      </c>
      <c r="C89" s="423"/>
      <c r="D89" s="423"/>
      <c r="E89" s="423"/>
      <c r="F89" s="112"/>
      <c r="G89" s="448"/>
      <c r="H89" s="424"/>
      <c r="I89" s="443">
        <v>3</v>
      </c>
      <c r="J89" s="1569"/>
      <c r="K89" s="1570"/>
      <c r="L89" s="1570"/>
      <c r="M89" s="1569"/>
      <c r="N89" s="1570"/>
      <c r="O89" s="1571"/>
      <c r="P89" s="71"/>
    </row>
    <row r="90" spans="2:16" x14ac:dyDescent="0.25">
      <c r="B90" s="445"/>
      <c r="C90" s="423"/>
      <c r="D90" s="423"/>
      <c r="E90" s="423"/>
      <c r="F90" s="112"/>
      <c r="G90" s="423"/>
      <c r="H90" s="423"/>
      <c r="I90" s="148">
        <v>4</v>
      </c>
      <c r="J90" s="1575"/>
      <c r="K90" s="1576"/>
      <c r="L90" s="1576"/>
      <c r="M90" s="1569"/>
      <c r="N90" s="1570"/>
      <c r="O90" s="1571"/>
      <c r="P90" s="71"/>
    </row>
    <row r="91" spans="2:16" x14ac:dyDescent="0.25">
      <c r="B91" s="1607" t="s">
        <v>401</v>
      </c>
      <c r="C91" s="1608"/>
      <c r="D91" s="1608"/>
      <c r="E91" s="1608"/>
      <c r="F91" s="1608"/>
      <c r="G91" s="1609"/>
      <c r="H91" s="1609"/>
      <c r="I91" s="148">
        <v>5</v>
      </c>
      <c r="J91" s="1575"/>
      <c r="K91" s="1576"/>
      <c r="L91" s="1576"/>
      <c r="M91" s="1569"/>
      <c r="N91" s="1570"/>
      <c r="O91" s="1571"/>
      <c r="P91" s="71"/>
    </row>
    <row r="92" spans="2:16" x14ac:dyDescent="0.25">
      <c r="B92" s="445" t="s">
        <v>402</v>
      </c>
      <c r="C92" s="423" t="s">
        <v>403</v>
      </c>
      <c r="D92" s="423" t="s">
        <v>404</v>
      </c>
      <c r="E92" s="423" t="s">
        <v>405</v>
      </c>
      <c r="F92" s="423" t="s">
        <v>406</v>
      </c>
      <c r="G92" s="449"/>
      <c r="H92" s="459"/>
      <c r="I92" s="148">
        <v>6</v>
      </c>
      <c r="J92" s="1575"/>
      <c r="K92" s="1576"/>
      <c r="L92" s="1576"/>
      <c r="M92" s="1569"/>
      <c r="N92" s="1570"/>
      <c r="O92" s="1571"/>
      <c r="P92" s="71"/>
    </row>
    <row r="93" spans="2:16" x14ac:dyDescent="0.25">
      <c r="B93" s="445"/>
      <c r="C93" s="423"/>
      <c r="D93" s="423"/>
      <c r="E93" s="423"/>
      <c r="F93" s="423"/>
      <c r="G93" s="451"/>
      <c r="H93" s="459"/>
      <c r="I93" s="148">
        <v>7</v>
      </c>
      <c r="J93" s="1575"/>
      <c r="K93" s="1576"/>
      <c r="L93" s="1576"/>
      <c r="M93" s="1569"/>
      <c r="N93" s="1570"/>
      <c r="O93" s="1571"/>
      <c r="P93" s="71"/>
    </row>
    <row r="94" spans="2:16" x14ac:dyDescent="0.25">
      <c r="B94" s="445"/>
      <c r="C94" s="423"/>
      <c r="D94" s="423"/>
      <c r="E94" s="423"/>
      <c r="F94" s="423"/>
      <c r="G94" s="450"/>
      <c r="H94" s="459"/>
      <c r="I94" s="148">
        <v>8</v>
      </c>
      <c r="J94" s="1575"/>
      <c r="K94" s="1576"/>
      <c r="L94" s="1576"/>
      <c r="M94" s="1569"/>
      <c r="N94" s="1570"/>
      <c r="O94" s="1571"/>
      <c r="P94" s="71"/>
    </row>
    <row r="95" spans="2:16" x14ac:dyDescent="0.25">
      <c r="B95" s="445"/>
      <c r="C95" s="423"/>
      <c r="D95" s="423"/>
      <c r="E95" s="423"/>
      <c r="F95" s="423"/>
      <c r="G95" s="450"/>
      <c r="H95" s="459"/>
      <c r="I95" s="148">
        <v>9</v>
      </c>
      <c r="J95" s="1575"/>
      <c r="K95" s="1576"/>
      <c r="L95" s="1576"/>
      <c r="M95" s="1569"/>
      <c r="N95" s="1570"/>
      <c r="O95" s="1571"/>
      <c r="P95" s="71"/>
    </row>
    <row r="96" spans="2:16" x14ac:dyDescent="0.25">
      <c r="B96" s="445"/>
      <c r="C96" s="423"/>
      <c r="D96" s="423"/>
      <c r="E96" s="423"/>
      <c r="F96" s="423"/>
      <c r="G96" s="450"/>
      <c r="H96" s="459"/>
      <c r="I96" s="148">
        <v>10</v>
      </c>
      <c r="J96" s="1575"/>
      <c r="K96" s="1576"/>
      <c r="L96" s="1576"/>
      <c r="M96" s="1569"/>
      <c r="N96" s="1570"/>
      <c r="O96" s="1571"/>
      <c r="P96" s="71"/>
    </row>
    <row r="97" spans="2:16" x14ac:dyDescent="0.25">
      <c r="B97" s="445"/>
      <c r="C97" s="423"/>
      <c r="D97" s="423"/>
      <c r="E97" s="423"/>
      <c r="F97" s="141"/>
      <c r="G97" s="425"/>
      <c r="H97" s="460"/>
      <c r="I97" s="148">
        <v>11</v>
      </c>
      <c r="J97" s="1575"/>
      <c r="K97" s="1576"/>
      <c r="L97" s="1576"/>
      <c r="M97" s="1569"/>
      <c r="N97" s="1570"/>
      <c r="O97" s="1571"/>
      <c r="P97" s="71"/>
    </row>
    <row r="98" spans="2:16" x14ac:dyDescent="0.25">
      <c r="B98" s="445"/>
      <c r="C98" s="423"/>
      <c r="D98" s="423"/>
      <c r="E98" s="423"/>
      <c r="F98" s="141"/>
      <c r="G98" s="425"/>
      <c r="H98" s="460"/>
      <c r="I98" s="148">
        <v>12</v>
      </c>
      <c r="J98" s="1575"/>
      <c r="K98" s="1576"/>
      <c r="L98" s="1576"/>
      <c r="M98" s="1575"/>
      <c r="N98" s="1576"/>
      <c r="O98" s="1577"/>
      <c r="P98" s="71"/>
    </row>
    <row r="99" spans="2:16" x14ac:dyDescent="0.25">
      <c r="B99" s="150"/>
      <c r="C99" s="141"/>
      <c r="D99" s="141"/>
      <c r="E99" s="141"/>
      <c r="F99" s="423"/>
      <c r="G99" s="425"/>
      <c r="H99" s="460"/>
      <c r="I99" s="148">
        <v>13</v>
      </c>
      <c r="J99" s="1575"/>
      <c r="K99" s="1576"/>
      <c r="L99" s="1576"/>
      <c r="M99" s="1575"/>
      <c r="N99" s="1576"/>
      <c r="O99" s="1577"/>
      <c r="P99" s="71"/>
    </row>
    <row r="100" spans="2:16" x14ac:dyDescent="0.25">
      <c r="B100" s="150"/>
      <c r="C100" s="141"/>
      <c r="D100" s="141"/>
      <c r="E100" s="141"/>
      <c r="F100" s="141"/>
      <c r="G100" s="425"/>
      <c r="H100" s="460"/>
      <c r="I100" s="148">
        <v>14</v>
      </c>
      <c r="J100" s="1575"/>
      <c r="K100" s="1576"/>
      <c r="L100" s="1576"/>
      <c r="M100" s="1575"/>
      <c r="N100" s="1576"/>
      <c r="O100" s="1577"/>
      <c r="P100" s="71"/>
    </row>
    <row r="101" spans="2:16" ht="15.75" thickBot="1" x14ac:dyDescent="0.3">
      <c r="B101" s="150"/>
      <c r="C101" s="141"/>
      <c r="D101" s="141"/>
      <c r="E101" s="141"/>
      <c r="F101" s="141"/>
      <c r="G101" s="452"/>
      <c r="H101" s="461"/>
      <c r="I101" s="156">
        <v>15</v>
      </c>
      <c r="J101" s="1566"/>
      <c r="K101" s="1567"/>
      <c r="L101" s="1567"/>
      <c r="M101" s="1566"/>
      <c r="N101" s="1567"/>
      <c r="O101" s="1568"/>
      <c r="P101" s="73"/>
    </row>
  </sheetData>
  <mergeCells count="72">
    <mergeCell ref="T41:U41"/>
    <mergeCell ref="B66:B67"/>
    <mergeCell ref="B68:B69"/>
    <mergeCell ref="B70:B71"/>
    <mergeCell ref="B72:B73"/>
    <mergeCell ref="B43:B44"/>
    <mergeCell ref="J60:K61"/>
    <mergeCell ref="K57:M57"/>
    <mergeCell ref="K58:M58"/>
    <mergeCell ref="K56:M56"/>
    <mergeCell ref="K59:M59"/>
    <mergeCell ref="B7:B8"/>
    <mergeCell ref="C7:C8"/>
    <mergeCell ref="D7:D8"/>
    <mergeCell ref="E7:E8"/>
    <mergeCell ref="N2:O2"/>
    <mergeCell ref="D2:K2"/>
    <mergeCell ref="D3:K3"/>
    <mergeCell ref="C4:L4"/>
    <mergeCell ref="C6:I6"/>
    <mergeCell ref="F7:F8"/>
    <mergeCell ref="G7:G8"/>
    <mergeCell ref="H7:H8"/>
    <mergeCell ref="I78:P78"/>
    <mergeCell ref="B85:H85"/>
    <mergeCell ref="B91:H91"/>
    <mergeCell ref="J85:O85"/>
    <mergeCell ref="L21:M21"/>
    <mergeCell ref="J45:O45"/>
    <mergeCell ref="J52:O52"/>
    <mergeCell ref="B54:H54"/>
    <mergeCell ref="D84:K84"/>
    <mergeCell ref="J9:K9"/>
    <mergeCell ref="J20:K20"/>
    <mergeCell ref="C43:G43"/>
    <mergeCell ref="B35:D35"/>
    <mergeCell ref="J34:O34"/>
    <mergeCell ref="J42:M42"/>
    <mergeCell ref="J43:L44"/>
    <mergeCell ref="O42:O43"/>
    <mergeCell ref="J99:L99"/>
    <mergeCell ref="M99:O99"/>
    <mergeCell ref="J100:L100"/>
    <mergeCell ref="M100:O100"/>
    <mergeCell ref="J94:L94"/>
    <mergeCell ref="M94:O94"/>
    <mergeCell ref="J95:L95"/>
    <mergeCell ref="M95:O95"/>
    <mergeCell ref="J96:L96"/>
    <mergeCell ref="M96:O96"/>
    <mergeCell ref="J93:L93"/>
    <mergeCell ref="M93:O93"/>
    <mergeCell ref="J97:L97"/>
    <mergeCell ref="M97:O97"/>
    <mergeCell ref="J98:L98"/>
    <mergeCell ref="M98:O98"/>
    <mergeCell ref="J101:L101"/>
    <mergeCell ref="M101:O101"/>
    <mergeCell ref="M87:O87"/>
    <mergeCell ref="J86:L86"/>
    <mergeCell ref="M86:O86"/>
    <mergeCell ref="J87:L87"/>
    <mergeCell ref="J88:L88"/>
    <mergeCell ref="M88:O88"/>
    <mergeCell ref="J89:L89"/>
    <mergeCell ref="M89:O89"/>
    <mergeCell ref="J90:L90"/>
    <mergeCell ref="M90:O90"/>
    <mergeCell ref="J91:L91"/>
    <mergeCell ref="M91:O91"/>
    <mergeCell ref="J92:L92"/>
    <mergeCell ref="M92:O92"/>
  </mergeCells>
  <printOptions horizontalCentered="1"/>
  <pageMargins left="0.19685039370078741" right="0" top="0.59055118110236227" bottom="0" header="0" footer="0"/>
  <pageSetup paperSize="9" scale="43" orientation="portrait" r:id="rId1"/>
  <headerFooter>
    <oddHeader>&amp;R&amp;T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7">
    <pageSetUpPr fitToPage="1"/>
  </sheetPr>
  <dimension ref="A1:HK129"/>
  <sheetViews>
    <sheetView showGridLines="0" tabSelected="1" showWhiteSpace="0" zoomScale="45" zoomScaleNormal="45" zoomScalePageLayoutView="41" workbookViewId="0">
      <selection activeCell="B4" sqref="B4"/>
    </sheetView>
  </sheetViews>
  <sheetFormatPr defaultColWidth="9.140625" defaultRowHeight="15" x14ac:dyDescent="0.25"/>
  <cols>
    <col min="1" max="1" width="3.42578125" style="1019" customWidth="1"/>
    <col min="2" max="2" width="104.140625" style="1019" customWidth="1"/>
    <col min="3" max="3" width="45.85546875" style="1019" customWidth="1"/>
    <col min="4" max="4" width="47.140625" style="1019" customWidth="1"/>
    <col min="5" max="5" width="50.140625" style="1019" customWidth="1"/>
    <col min="6" max="6" width="58.42578125" style="1019" customWidth="1"/>
    <col min="7" max="7" width="58.7109375" style="1019" customWidth="1"/>
    <col min="8" max="8" width="46.7109375" style="1019" customWidth="1"/>
    <col min="9" max="9" width="62.85546875" style="1049" customWidth="1"/>
    <col min="10" max="10" width="57.85546875" style="1049" customWidth="1"/>
    <col min="11" max="11" width="70.85546875" style="1019" customWidth="1"/>
    <col min="12" max="13" width="29.42578125" style="1019" customWidth="1"/>
    <col min="14" max="14" width="20.7109375" style="1019" bestFit="1" customWidth="1"/>
    <col min="15" max="15" width="12.85546875" style="1019" bestFit="1" customWidth="1"/>
    <col min="16" max="16" width="13.28515625" style="1019" bestFit="1" customWidth="1"/>
    <col min="17" max="16384" width="9.140625" style="1019"/>
  </cols>
  <sheetData>
    <row r="1" spans="1:219" ht="12.75" customHeight="1" thickBot="1" x14ac:dyDescent="0.3"/>
    <row r="2" spans="1:219" ht="12.75" hidden="1" customHeight="1" thickBot="1" x14ac:dyDescent="0.55000000000000004">
      <c r="C2" s="1047"/>
      <c r="E2" s="1048"/>
      <c r="L2" s="1050"/>
      <c r="M2" s="1050"/>
      <c r="N2" s="1050"/>
      <c r="O2" s="1050"/>
      <c r="P2" s="1050"/>
      <c r="Q2" s="1050"/>
      <c r="R2" s="1050"/>
      <c r="GY2" s="1019">
        <v>-55</v>
      </c>
      <c r="HE2" s="1019">
        <v>0</v>
      </c>
      <c r="HK2" s="1019">
        <v>-4</v>
      </c>
    </row>
    <row r="3" spans="1:219" ht="15.75" hidden="1" thickBot="1" x14ac:dyDescent="0.3">
      <c r="L3" s="1050"/>
      <c r="M3" s="1050"/>
      <c r="N3" s="1050"/>
      <c r="O3" s="1050"/>
      <c r="P3" s="1050"/>
      <c r="Q3" s="1050"/>
      <c r="R3" s="1050"/>
    </row>
    <row r="4" spans="1:219" ht="50.25" customHeight="1" thickBot="1" x14ac:dyDescent="0.7">
      <c r="A4" s="1022"/>
      <c r="B4" s="1151"/>
      <c r="C4" s="1152" t="s">
        <v>443</v>
      </c>
      <c r="D4" s="1153"/>
      <c r="E4" s="1154"/>
      <c r="F4" s="1645" t="s">
        <v>820</v>
      </c>
      <c r="G4" s="1645"/>
      <c r="H4" s="1645"/>
      <c r="I4" s="1645"/>
      <c r="J4" s="1155" t="s">
        <v>292</v>
      </c>
      <c r="K4" s="1156"/>
      <c r="L4" s="1050"/>
      <c r="M4" s="1050"/>
      <c r="N4" s="1050"/>
      <c r="O4" s="1050"/>
      <c r="P4" s="1050"/>
      <c r="Q4" s="1050"/>
      <c r="R4" s="1050"/>
    </row>
    <row r="5" spans="1:219" ht="77.25" customHeight="1" thickBot="1" x14ac:dyDescent="0.7">
      <c r="A5" s="1022"/>
      <c r="B5" s="1157"/>
      <c r="C5" s="1158" t="s">
        <v>802</v>
      </c>
      <c r="D5" s="1159"/>
      <c r="E5" s="1737"/>
      <c r="F5" s="1738"/>
      <c r="G5" s="1652" t="s">
        <v>655</v>
      </c>
      <c r="H5" s="1653"/>
      <c r="I5" s="1654"/>
      <c r="J5" s="1160">
        <v>31</v>
      </c>
      <c r="K5" s="1161">
        <v>46143</v>
      </c>
      <c r="L5" s="1050"/>
      <c r="M5" s="1050"/>
      <c r="N5" s="1050"/>
      <c r="O5" s="1050"/>
      <c r="P5" s="1050"/>
      <c r="Q5" s="1050"/>
      <c r="R5" s="1050"/>
    </row>
    <row r="6" spans="1:219" ht="67.5" customHeight="1" x14ac:dyDescent="0.4">
      <c r="A6" s="1022"/>
      <c r="B6" s="1706" t="s">
        <v>456</v>
      </c>
      <c r="C6" s="1162" t="s">
        <v>457</v>
      </c>
      <c r="D6" s="1163" t="s">
        <v>458</v>
      </c>
      <c r="E6" s="1163" t="s">
        <v>459</v>
      </c>
      <c r="F6" s="1164" t="s">
        <v>648</v>
      </c>
      <c r="G6" s="1165" t="s">
        <v>83</v>
      </c>
      <c r="H6" s="1165" t="s">
        <v>276</v>
      </c>
      <c r="I6" s="1646" t="s">
        <v>810</v>
      </c>
      <c r="J6" s="1166" t="s">
        <v>103</v>
      </c>
      <c r="K6" s="1167" t="s">
        <v>326</v>
      </c>
      <c r="L6" s="1050"/>
      <c r="M6" s="1050"/>
      <c r="N6" s="1050"/>
      <c r="O6" s="1050"/>
      <c r="P6" s="1050"/>
      <c r="Q6" s="1050"/>
      <c r="R6" s="1050"/>
    </row>
    <row r="7" spans="1:219" ht="34.5" customHeight="1" thickBot="1" x14ac:dyDescent="0.7">
      <c r="A7" s="1022"/>
      <c r="B7" s="1707"/>
      <c r="C7" s="1168"/>
      <c r="D7" s="1168"/>
      <c r="E7" s="1168"/>
      <c r="F7" s="1159"/>
      <c r="G7" s="1169">
        <v>46143</v>
      </c>
      <c r="H7" s="1169">
        <v>45778</v>
      </c>
      <c r="I7" s="1647"/>
      <c r="J7" s="1170" t="s">
        <v>5</v>
      </c>
      <c r="K7" s="1171" t="s">
        <v>799</v>
      </c>
      <c r="L7" s="1049"/>
      <c r="M7" s="1049"/>
      <c r="N7" s="1049"/>
      <c r="O7" s="1049"/>
      <c r="P7" s="1049"/>
      <c r="Q7" s="1050"/>
      <c r="R7" s="1050"/>
    </row>
    <row r="8" spans="1:219" ht="102.75" hidden="1" customHeight="1" thickBot="1" x14ac:dyDescent="0.7">
      <c r="A8" s="1022"/>
      <c r="B8" s="1172" t="s">
        <v>260</v>
      </c>
      <c r="C8" s="1173"/>
      <c r="D8" s="1173"/>
      <c r="E8" s="1173"/>
      <c r="F8" s="1173"/>
      <c r="G8" s="1173"/>
      <c r="H8" s="1173"/>
      <c r="I8" s="1173"/>
      <c r="J8" s="1174"/>
      <c r="K8" s="1175"/>
      <c r="L8" s="1049"/>
      <c r="M8" s="1049"/>
      <c r="N8" s="1049"/>
      <c r="O8" s="1049"/>
      <c r="P8" s="1049"/>
      <c r="Q8" s="1050"/>
      <c r="R8" s="1050"/>
    </row>
    <row r="9" spans="1:219" ht="60" customHeight="1" x14ac:dyDescent="0.4">
      <c r="A9" s="1022"/>
      <c r="B9" s="1176" t="s">
        <v>482</v>
      </c>
      <c r="C9" s="1177">
        <v>98</v>
      </c>
      <c r="D9" s="1177">
        <v>3010</v>
      </c>
      <c r="E9" s="1178">
        <v>97.096774193548384</v>
      </c>
      <c r="F9" s="1178">
        <v>99.078341013824883</v>
      </c>
      <c r="G9" s="1178">
        <v>98</v>
      </c>
      <c r="H9" s="1178">
        <v>97.6</v>
      </c>
      <c r="I9" s="1179">
        <v>-0.51560021152828894</v>
      </c>
      <c r="J9" s="1464" t="e">
        <v>#DIV/0!</v>
      </c>
      <c r="K9" s="1180">
        <v>5950</v>
      </c>
      <c r="L9" s="1051"/>
      <c r="M9" s="1049"/>
      <c r="N9" s="1052"/>
      <c r="O9" s="1049"/>
      <c r="P9" s="1049"/>
      <c r="Q9" s="1050"/>
      <c r="R9" s="1050"/>
    </row>
    <row r="10" spans="1:219" ht="57.75" customHeight="1" x14ac:dyDescent="0.4">
      <c r="A10" s="1022"/>
      <c r="B10" s="1176" t="s">
        <v>483</v>
      </c>
      <c r="C10" s="1177">
        <v>99</v>
      </c>
      <c r="D10" s="1177">
        <v>2904</v>
      </c>
      <c r="E10" s="1178">
        <v>93.677419354838705</v>
      </c>
      <c r="F10" s="1178">
        <v>97.58064516129032</v>
      </c>
      <c r="G10" s="1178">
        <v>96</v>
      </c>
      <c r="H10" s="1178">
        <v>97.5</v>
      </c>
      <c r="I10" s="1179">
        <v>-3.9205955334987643</v>
      </c>
      <c r="J10" s="1189" t="e">
        <v>#DIV/0!</v>
      </c>
      <c r="K10" s="1180">
        <v>5857</v>
      </c>
      <c r="L10" s="1051"/>
      <c r="M10" s="1049"/>
      <c r="N10" s="1049"/>
      <c r="O10" s="1049"/>
      <c r="P10" s="1049"/>
      <c r="Q10" s="1050"/>
      <c r="R10" s="1050"/>
    </row>
    <row r="11" spans="1:219" ht="48" customHeight="1" thickBot="1" x14ac:dyDescent="0.45">
      <c r="A11" s="1053"/>
      <c r="B11" s="1176" t="s">
        <v>102</v>
      </c>
      <c r="C11" s="1177">
        <v>279.56600000000003</v>
      </c>
      <c r="D11" s="1177">
        <v>8335.9359999999979</v>
      </c>
      <c r="E11" s="1178">
        <v>268.90116129032253</v>
      </c>
      <c r="F11" s="1181">
        <v>98.116192309213375</v>
      </c>
      <c r="G11" s="1181">
        <v>274.06400000000002</v>
      </c>
      <c r="H11" s="1178">
        <v>276.39999999999998</v>
      </c>
      <c r="I11" s="1179">
        <v>-2.713038606974473</v>
      </c>
      <c r="J11" s="1189" t="e">
        <v>#DIV/0!</v>
      </c>
      <c r="K11" s="1180">
        <v>16691.737999999998</v>
      </c>
      <c r="L11" s="1051"/>
      <c r="M11" s="1049"/>
      <c r="N11" s="1049"/>
      <c r="O11" s="1049"/>
      <c r="P11" s="1049"/>
      <c r="Q11" s="1050"/>
      <c r="R11" s="1050"/>
    </row>
    <row r="12" spans="1:219" ht="61.5" customHeight="1" thickBot="1" x14ac:dyDescent="0.45">
      <c r="A12" s="1022"/>
      <c r="B12" s="1176" t="s">
        <v>101</v>
      </c>
      <c r="C12" s="1177">
        <v>5905</v>
      </c>
      <c r="D12" s="1177">
        <v>71200</v>
      </c>
      <c r="E12" s="1179">
        <v>71200</v>
      </c>
      <c r="F12" s="1182" t="s">
        <v>100</v>
      </c>
      <c r="G12" s="1183">
        <v>9440</v>
      </c>
      <c r="H12" s="1184"/>
      <c r="I12" s="1179"/>
      <c r="J12" s="1189"/>
      <c r="K12" s="1180">
        <v>252637</v>
      </c>
      <c r="L12" s="1051"/>
      <c r="M12" s="1049"/>
      <c r="N12" s="1049"/>
      <c r="O12" s="1049"/>
      <c r="P12" s="1049"/>
      <c r="Q12" s="1050"/>
      <c r="R12" s="1050"/>
    </row>
    <row r="13" spans="1:219" ht="53.25" customHeight="1" x14ac:dyDescent="0.4">
      <c r="A13" s="1022"/>
      <c r="B13" s="1176" t="s">
        <v>99</v>
      </c>
      <c r="C13" s="1177">
        <v>6035</v>
      </c>
      <c r="D13" s="1177">
        <v>83384</v>
      </c>
      <c r="E13" s="1178">
        <v>83384</v>
      </c>
      <c r="F13" s="1185"/>
      <c r="G13" s="1185"/>
      <c r="H13" s="1178"/>
      <c r="I13" s="1179"/>
      <c r="J13" s="1189"/>
      <c r="K13" s="1180">
        <v>255399</v>
      </c>
      <c r="L13" s="1051"/>
      <c r="M13" s="1049"/>
      <c r="N13" s="1049"/>
      <c r="O13" s="1049"/>
      <c r="P13" s="1049"/>
      <c r="Q13" s="1050"/>
      <c r="R13" s="1050"/>
    </row>
    <row r="14" spans="1:219" ht="57" customHeight="1" x14ac:dyDescent="0.35">
      <c r="B14" s="1176" t="s">
        <v>36</v>
      </c>
      <c r="C14" s="1177">
        <v>11940</v>
      </c>
      <c r="D14" s="1177">
        <v>154584</v>
      </c>
      <c r="E14" s="1178">
        <v>154584</v>
      </c>
      <c r="F14" s="1178">
        <v>58.950001716057344</v>
      </c>
      <c r="G14" s="1178">
        <v>262229</v>
      </c>
      <c r="H14" s="1178">
        <v>355306</v>
      </c>
      <c r="I14" s="1179">
        <v>-56.492713323163692</v>
      </c>
      <c r="J14" s="1189">
        <v>-7688.9285714285716</v>
      </c>
      <c r="K14" s="1180">
        <v>508036</v>
      </c>
      <c r="L14" s="1051"/>
      <c r="M14" s="1049"/>
      <c r="N14" s="1049"/>
      <c r="O14" s="1049"/>
      <c r="P14" s="1049"/>
      <c r="Q14" s="1050"/>
      <c r="R14" s="1049"/>
    </row>
    <row r="15" spans="1:219" ht="51" hidden="1" customHeight="1" x14ac:dyDescent="0.35">
      <c r="B15" s="1176"/>
      <c r="C15" s="1177"/>
      <c r="D15" s="1177"/>
      <c r="E15" s="1178"/>
      <c r="F15" s="1178"/>
      <c r="G15" s="1178"/>
      <c r="H15" s="1178"/>
      <c r="I15" s="1179"/>
      <c r="J15" s="1189"/>
      <c r="K15" s="1180"/>
      <c r="L15" s="1051"/>
      <c r="M15" s="1049"/>
      <c r="N15" s="1049"/>
      <c r="O15" s="1049"/>
      <c r="P15" s="1049"/>
      <c r="Q15" s="1050"/>
      <c r="R15" s="1049"/>
    </row>
    <row r="16" spans="1:219" ht="47.25" customHeight="1" x14ac:dyDescent="0.35">
      <c r="A16" s="1054"/>
      <c r="B16" s="1186" t="s">
        <v>8</v>
      </c>
      <c r="C16" s="1178">
        <v>8804.7000000000007</v>
      </c>
      <c r="D16" s="1178">
        <v>110808.59999999999</v>
      </c>
      <c r="E16" s="1178">
        <v>110808.59999999999</v>
      </c>
      <c r="F16" s="1178">
        <v>59.255935828877007</v>
      </c>
      <c r="G16" s="1178">
        <v>187000</v>
      </c>
      <c r="H16" s="1178">
        <v>255731</v>
      </c>
      <c r="I16" s="1179">
        <v>-56.66986012646101</v>
      </c>
      <c r="J16" s="1189" t="e">
        <v>#DIV/0!</v>
      </c>
      <c r="K16" s="1187">
        <v>347885.7</v>
      </c>
      <c r="L16" s="1051"/>
      <c r="M16" s="1049"/>
      <c r="N16" s="1049"/>
      <c r="O16" s="1049"/>
      <c r="P16" s="1049"/>
      <c r="Q16" s="1050"/>
      <c r="R16" s="1049"/>
    </row>
    <row r="17" spans="1:120" ht="51.75" customHeight="1" x14ac:dyDescent="0.7">
      <c r="B17" s="1186" t="s">
        <v>98</v>
      </c>
      <c r="C17" s="1178">
        <v>8804.7000000000007</v>
      </c>
      <c r="D17" s="1178">
        <v>103142</v>
      </c>
      <c r="E17" s="1178">
        <v>103141.99999999999</v>
      </c>
      <c r="F17" s="1178">
        <v>56.827548209366384</v>
      </c>
      <c r="G17" s="1178">
        <v>181500</v>
      </c>
      <c r="H17" s="1178">
        <v>252875</v>
      </c>
      <c r="I17" s="1179">
        <v>-59.212259021255562</v>
      </c>
      <c r="J17" s="1189" t="e">
        <v>#DIV/0!</v>
      </c>
      <c r="K17" s="1187">
        <v>339924.1</v>
      </c>
      <c r="L17" s="1051"/>
      <c r="M17" s="1055"/>
      <c r="N17" s="1056"/>
      <c r="O17" s="1049"/>
      <c r="P17" s="1049"/>
      <c r="Q17" s="1050"/>
      <c r="R17" s="1057"/>
      <c r="S17" s="1057"/>
    </row>
    <row r="18" spans="1:120" ht="39" customHeight="1" x14ac:dyDescent="0.45">
      <c r="B18" s="1186" t="s">
        <v>626</v>
      </c>
      <c r="C18" s="1178">
        <v>0</v>
      </c>
      <c r="D18" s="1178">
        <v>2442.6000000000004</v>
      </c>
      <c r="E18" s="1178">
        <v>2442.6000000000004</v>
      </c>
      <c r="F18" s="1188">
        <v>122.13000000000002</v>
      </c>
      <c r="G18" s="1178">
        <v>2000</v>
      </c>
      <c r="H18" s="1178">
        <v>2856</v>
      </c>
      <c r="I18" s="1179">
        <v>-14.474789915966374</v>
      </c>
      <c r="J18" s="1189" t="e">
        <v>#DIV/0!</v>
      </c>
      <c r="K18" s="1187">
        <v>2737.6000000000004</v>
      </c>
      <c r="L18" s="1058"/>
      <c r="M18" s="1049"/>
      <c r="N18" s="1049"/>
      <c r="O18" s="1049"/>
      <c r="P18" s="1049"/>
      <c r="Q18" s="1050"/>
      <c r="R18" s="1057"/>
      <c r="S18" s="1057"/>
    </row>
    <row r="19" spans="1:120" ht="51" hidden="1" customHeight="1" x14ac:dyDescent="0.5">
      <c r="A19" s="1059"/>
      <c r="B19" s="1190" t="s">
        <v>627</v>
      </c>
      <c r="C19" s="1178">
        <v>0</v>
      </c>
      <c r="D19" s="1178">
        <v>2039.5710000000001</v>
      </c>
      <c r="E19" s="1178">
        <v>5224</v>
      </c>
      <c r="F19" s="1178">
        <v>290.22222222222223</v>
      </c>
      <c r="G19" s="1178">
        <v>1800</v>
      </c>
      <c r="H19" s="1178">
        <v>2384.7599999999998</v>
      </c>
      <c r="I19" s="1179">
        <v>119.05768295342092</v>
      </c>
      <c r="J19" s="1189" t="e">
        <v>#DIV/0!</v>
      </c>
      <c r="K19" s="1187">
        <v>2285.8960000000002</v>
      </c>
      <c r="L19" s="1051"/>
      <c r="M19" s="1049"/>
      <c r="N19" s="1049"/>
      <c r="O19" s="1049"/>
      <c r="P19" s="1049"/>
      <c r="Q19" s="1050"/>
      <c r="R19" s="1057"/>
      <c r="S19" s="1057"/>
    </row>
    <row r="20" spans="1:120" ht="53.25" customHeight="1" x14ac:dyDescent="0.5">
      <c r="B20" s="1191" t="s">
        <v>606</v>
      </c>
      <c r="C20" s="1184">
        <v>0</v>
      </c>
      <c r="D20" s="1178">
        <v>5224</v>
      </c>
      <c r="E20" s="1178">
        <v>5224</v>
      </c>
      <c r="F20" s="1188">
        <v>149.25714285714287</v>
      </c>
      <c r="G20" s="1178">
        <v>3500</v>
      </c>
      <c r="H20" s="1178">
        <v>0</v>
      </c>
      <c r="I20" s="1179"/>
      <c r="J20" s="1189" t="e">
        <v>#DIV/0!</v>
      </c>
      <c r="K20" s="1187">
        <v>5224</v>
      </c>
      <c r="L20" s="1060"/>
      <c r="M20" s="1049"/>
      <c r="N20" s="1049"/>
      <c r="O20" s="1049"/>
      <c r="P20" s="1049"/>
      <c r="Q20" s="1050"/>
      <c r="R20" s="1057"/>
      <c r="S20" s="1057"/>
    </row>
    <row r="21" spans="1:120" ht="39.200000000000003" customHeight="1" thickBot="1" x14ac:dyDescent="0.4">
      <c r="B21" s="1192" t="s">
        <v>96</v>
      </c>
      <c r="C21" s="1178">
        <v>2767</v>
      </c>
      <c r="D21" s="1178">
        <v>34419</v>
      </c>
      <c r="E21" s="1181">
        <v>34419</v>
      </c>
      <c r="F21" s="1181">
        <v>52.609134262655907</v>
      </c>
      <c r="G21" s="1181">
        <v>65424</v>
      </c>
      <c r="H21" s="1181">
        <v>75419</v>
      </c>
      <c r="I21" s="1193">
        <v>-54.362958936077113</v>
      </c>
      <c r="J21" s="1465" t="e">
        <v>#DIV/0!</v>
      </c>
      <c r="K21" s="1187">
        <v>107390</v>
      </c>
      <c r="L21" s="1051"/>
      <c r="M21" s="1049"/>
      <c r="N21" s="1049"/>
      <c r="O21" s="1049"/>
      <c r="P21" s="1049"/>
      <c r="Q21" s="1050"/>
      <c r="R21" s="1057"/>
      <c r="S21" s="1057"/>
    </row>
    <row r="22" spans="1:120" ht="40.700000000000003" customHeight="1" x14ac:dyDescent="0.65">
      <c r="B22" s="1186" t="s">
        <v>94</v>
      </c>
      <c r="C22" s="1178">
        <v>23</v>
      </c>
      <c r="D22" s="1178">
        <v>252</v>
      </c>
      <c r="E22" s="1708" t="s">
        <v>49</v>
      </c>
      <c r="F22" s="1195">
        <v>3429</v>
      </c>
      <c r="G22" s="1196">
        <v>0</v>
      </c>
      <c r="H22" s="1197" t="s">
        <v>457</v>
      </c>
      <c r="I22" s="1198" t="s">
        <v>458</v>
      </c>
      <c r="J22" s="1199"/>
      <c r="K22" s="1187">
        <v>594</v>
      </c>
      <c r="L22" s="1051"/>
      <c r="M22" s="1049"/>
      <c r="N22" s="1049"/>
      <c r="O22" s="1049"/>
      <c r="P22" s="1049"/>
      <c r="Q22" s="1050"/>
      <c r="R22" s="1057"/>
      <c r="S22" s="1057"/>
    </row>
    <row r="23" spans="1:120" ht="38.1" customHeight="1" x14ac:dyDescent="0.65">
      <c r="B23" s="1186" t="s">
        <v>93</v>
      </c>
      <c r="C23" s="1178">
        <v>14</v>
      </c>
      <c r="D23" s="1178">
        <v>147</v>
      </c>
      <c r="E23" s="1709"/>
      <c r="F23" s="1200">
        <v>5981</v>
      </c>
      <c r="G23" s="1201" t="s">
        <v>621</v>
      </c>
      <c r="H23" s="1202">
        <v>0</v>
      </c>
      <c r="I23" s="1203">
        <v>0.533076923076923</v>
      </c>
      <c r="J23" s="1204"/>
      <c r="K23" s="1187">
        <v>706</v>
      </c>
      <c r="L23" s="1051"/>
      <c r="M23" s="1049"/>
      <c r="N23" s="1049"/>
      <c r="O23" s="1049"/>
      <c r="P23" s="1049"/>
      <c r="Q23" s="1050"/>
      <c r="R23" s="1057"/>
      <c r="S23" s="1057"/>
      <c r="DP23" s="1019">
        <v>184</v>
      </c>
    </row>
    <row r="24" spans="1:120" ht="36" customHeight="1" thickBot="1" x14ac:dyDescent="0.75">
      <c r="B24" s="1186" t="s">
        <v>91</v>
      </c>
      <c r="C24" s="1178">
        <v>18</v>
      </c>
      <c r="D24" s="1178">
        <v>229</v>
      </c>
      <c r="E24" s="1710"/>
      <c r="F24" s="1205">
        <v>17463</v>
      </c>
      <c r="G24" s="1201" t="s">
        <v>620</v>
      </c>
      <c r="H24" s="1206">
        <v>23</v>
      </c>
      <c r="I24" s="1207">
        <v>204</v>
      </c>
      <c r="J24" s="1208"/>
      <c r="K24" s="1187">
        <v>750</v>
      </c>
      <c r="L24" s="1051"/>
      <c r="M24" s="1061"/>
      <c r="N24" s="1062"/>
      <c r="O24" s="1049"/>
      <c r="P24" s="1049"/>
      <c r="Q24" s="1050"/>
      <c r="R24" s="1057"/>
      <c r="S24" s="1057"/>
    </row>
    <row r="25" spans="1:120" ht="39.200000000000003" customHeight="1" x14ac:dyDescent="0.35">
      <c r="B25" s="1186" t="s">
        <v>89</v>
      </c>
      <c r="C25" s="1178">
        <v>55</v>
      </c>
      <c r="D25" s="1179">
        <v>628</v>
      </c>
      <c r="E25" s="1209" t="s">
        <v>263</v>
      </c>
      <c r="F25" s="1656">
        <v>0</v>
      </c>
      <c r="G25" s="1210" t="s">
        <v>639</v>
      </c>
      <c r="H25" s="1178">
        <v>0</v>
      </c>
      <c r="I25" s="1207">
        <v>10</v>
      </c>
      <c r="J25" s="1211"/>
      <c r="K25" s="1187">
        <v>2050</v>
      </c>
      <c r="L25" s="1051"/>
      <c r="M25" s="1049"/>
      <c r="N25" s="1049"/>
      <c r="O25" s="1049"/>
      <c r="P25" s="1049"/>
      <c r="Q25" s="1050"/>
      <c r="R25" s="1057"/>
      <c r="S25" s="1057"/>
    </row>
    <row r="26" spans="1:120" ht="37.5" customHeight="1" thickBot="1" x14ac:dyDescent="0.7">
      <c r="B26" s="1186" t="s">
        <v>88</v>
      </c>
      <c r="C26" s="1178">
        <v>23</v>
      </c>
      <c r="D26" s="1179">
        <v>241</v>
      </c>
      <c r="E26" s="1205">
        <v>39.25</v>
      </c>
      <c r="F26" s="1657"/>
      <c r="G26" s="1212" t="s">
        <v>640</v>
      </c>
      <c r="H26" s="1213">
        <v>155.93890909090908</v>
      </c>
      <c r="I26" s="1214">
        <v>156.0152992834395</v>
      </c>
      <c r="J26" s="1215"/>
      <c r="K26" s="1187">
        <v>736</v>
      </c>
      <c r="L26" s="1051"/>
      <c r="M26" s="1049"/>
      <c r="N26" s="1049"/>
      <c r="O26" s="1049"/>
      <c r="P26" s="1049"/>
      <c r="Q26" s="1050"/>
      <c r="R26" s="1057"/>
      <c r="S26" s="1057"/>
    </row>
    <row r="27" spans="1:120" ht="42.75" customHeight="1" thickBot="1" x14ac:dyDescent="0.7">
      <c r="B27" s="1186" t="s">
        <v>87</v>
      </c>
      <c r="C27" s="1178">
        <v>17</v>
      </c>
      <c r="D27" s="1178">
        <v>250</v>
      </c>
      <c r="E27" s="1216"/>
      <c r="F27" s="1657"/>
      <c r="G27" s="1659"/>
      <c r="H27" s="1659"/>
      <c r="I27" s="1660"/>
      <c r="J27" s="1217"/>
      <c r="K27" s="1187">
        <v>814</v>
      </c>
      <c r="L27" s="1051"/>
      <c r="M27" s="1062"/>
      <c r="N27" s="1049"/>
      <c r="O27" s="1049"/>
      <c r="P27" s="1049"/>
      <c r="Q27" s="1050"/>
      <c r="R27" s="1057"/>
      <c r="S27" s="1057"/>
    </row>
    <row r="28" spans="1:120" ht="38.25" customHeight="1" thickBot="1" x14ac:dyDescent="0.7">
      <c r="B28" s="1186" t="s">
        <v>86</v>
      </c>
      <c r="C28" s="1178">
        <v>15</v>
      </c>
      <c r="D28" s="1179">
        <v>137</v>
      </c>
      <c r="E28" s="1209" t="s">
        <v>264</v>
      </c>
      <c r="F28" s="1658"/>
      <c r="G28" s="1661"/>
      <c r="H28" s="1661"/>
      <c r="I28" s="1662"/>
      <c r="J28" s="1218"/>
      <c r="K28" s="1187">
        <v>496</v>
      </c>
      <c r="L28" s="1051"/>
      <c r="M28" s="1049"/>
      <c r="N28" s="1049"/>
      <c r="O28" s="1049"/>
      <c r="P28" s="1049"/>
      <c r="Q28" s="1050"/>
      <c r="R28" s="1057"/>
      <c r="S28" s="1057"/>
    </row>
    <row r="29" spans="1:120" ht="42.75" thickBot="1" x14ac:dyDescent="0.55000000000000004">
      <c r="A29" s="1063"/>
      <c r="B29" s="1186" t="s">
        <v>85</v>
      </c>
      <c r="C29" s="1178">
        <v>55</v>
      </c>
      <c r="D29" s="1179">
        <v>628</v>
      </c>
      <c r="E29" s="1194">
        <v>39.25</v>
      </c>
      <c r="F29" s="1219" t="s">
        <v>460</v>
      </c>
      <c r="G29" s="1219" t="s">
        <v>816</v>
      </c>
      <c r="H29" s="1219" t="s">
        <v>817</v>
      </c>
      <c r="I29" s="1219" t="s">
        <v>810</v>
      </c>
      <c r="J29" s="1219" t="s">
        <v>82</v>
      </c>
      <c r="K29" s="1207">
        <v>2046</v>
      </c>
      <c r="L29" s="1051"/>
      <c r="M29" s="1049"/>
      <c r="N29" s="1056"/>
      <c r="O29" s="1049"/>
      <c r="P29" s="1049"/>
      <c r="Q29" s="1050"/>
      <c r="R29" s="1057"/>
      <c r="S29" s="1057"/>
    </row>
    <row r="30" spans="1:120" ht="42" customHeight="1" x14ac:dyDescent="0.35">
      <c r="B30" s="1186" t="s">
        <v>282</v>
      </c>
      <c r="C30" s="1178">
        <v>6236.6399999999994</v>
      </c>
      <c r="D30" s="1178">
        <v>76603.650150000001</v>
      </c>
      <c r="E30" s="1185">
        <v>76603.650150000001</v>
      </c>
      <c r="F30" s="1178">
        <v>70.859102694552618</v>
      </c>
      <c r="G30" s="1178">
        <v>108107</v>
      </c>
      <c r="H30" s="1178">
        <v>175200</v>
      </c>
      <c r="I30" s="1178">
        <v>-56.276455393835612</v>
      </c>
      <c r="J30" s="1178" t="e">
        <v>#DIV/0!</v>
      </c>
      <c r="K30" s="1207">
        <v>243492.23013000004</v>
      </c>
      <c r="L30" s="1051"/>
      <c r="M30" s="1049"/>
      <c r="N30" s="1049"/>
      <c r="O30" s="1049"/>
      <c r="P30" s="1049"/>
      <c r="Q30" s="1050"/>
      <c r="R30" s="1057"/>
      <c r="S30" s="1057"/>
    </row>
    <row r="31" spans="1:120" ht="43.5" customHeight="1" x14ac:dyDescent="0.35">
      <c r="B31" s="1186" t="s">
        <v>821</v>
      </c>
      <c r="C31" s="1178">
        <v>2340</v>
      </c>
      <c r="D31" s="1178">
        <v>21373.9578</v>
      </c>
      <c r="E31" s="1178">
        <v>21373.9578</v>
      </c>
      <c r="F31" s="1178">
        <v>34.036590601461853</v>
      </c>
      <c r="G31" s="1178">
        <v>62797</v>
      </c>
      <c r="H31" s="1178">
        <v>61439</v>
      </c>
      <c r="I31" s="1178">
        <v>0</v>
      </c>
      <c r="J31" s="1188" t="e">
        <v>#DIV/0!</v>
      </c>
      <c r="K31" s="1207">
        <v>77710.237800000017</v>
      </c>
      <c r="L31" s="1051"/>
      <c r="M31" s="1049"/>
      <c r="N31" s="1049"/>
      <c r="O31" s="1049"/>
      <c r="P31" s="1049"/>
      <c r="Q31" s="1050"/>
      <c r="R31" s="1057"/>
      <c r="S31" s="1057"/>
    </row>
    <row r="32" spans="1:120" ht="43.5" customHeight="1" x14ac:dyDescent="0.5">
      <c r="B32" s="1186" t="s">
        <v>35</v>
      </c>
      <c r="C32" s="1178">
        <v>8576.64</v>
      </c>
      <c r="D32" s="1178">
        <v>97977.607950000005</v>
      </c>
      <c r="E32" s="1178">
        <v>97977.607950000005</v>
      </c>
      <c r="F32" s="1178">
        <v>57.329031473809856</v>
      </c>
      <c r="G32" s="1178">
        <v>170904</v>
      </c>
      <c r="H32" s="1178">
        <v>236639</v>
      </c>
      <c r="I32" s="1178">
        <v>-58.596170559375253</v>
      </c>
      <c r="J32" s="1188" t="e">
        <v>#DIV/0!</v>
      </c>
      <c r="K32" s="1207">
        <v>321202.46793000004</v>
      </c>
      <c r="L32" s="1051"/>
      <c r="M32" s="1056"/>
      <c r="N32" s="1064"/>
      <c r="O32" s="1049"/>
      <c r="P32" s="1049"/>
      <c r="Q32" s="1050"/>
      <c r="R32" s="1057"/>
      <c r="S32" s="1057"/>
    </row>
    <row r="33" spans="1:19" ht="63" customHeight="1" x14ac:dyDescent="0.25">
      <c r="B33" s="1186" t="s">
        <v>823</v>
      </c>
      <c r="C33" s="1178">
        <v>1338.6499999999999</v>
      </c>
      <c r="D33" s="1178">
        <v>21527.449999999997</v>
      </c>
      <c r="E33" s="1178">
        <v>21527.449999999997</v>
      </c>
      <c r="F33" s="1178">
        <v>57.406533333333321</v>
      </c>
      <c r="G33" s="1178">
        <v>37500</v>
      </c>
      <c r="H33" s="1178">
        <v>39362</v>
      </c>
      <c r="I33" s="1178">
        <v>-45.309054417966578</v>
      </c>
      <c r="J33" s="1188" t="e">
        <v>#DIV/0!</v>
      </c>
      <c r="K33" s="1207">
        <v>63061.324999999997</v>
      </c>
      <c r="L33" s="1065"/>
      <c r="M33" s="1065"/>
      <c r="N33" s="1049"/>
      <c r="O33" s="1049"/>
      <c r="P33" s="1049"/>
      <c r="Q33" s="1050"/>
      <c r="R33" s="1057"/>
      <c r="S33" s="1057"/>
    </row>
    <row r="34" spans="1:19" ht="54" customHeight="1" x14ac:dyDescent="0.25">
      <c r="B34" s="1186" t="s">
        <v>830</v>
      </c>
      <c r="C34" s="1178">
        <v>2341.5250000000001</v>
      </c>
      <c r="D34" s="1178">
        <v>33352.684000000001</v>
      </c>
      <c r="E34" s="1178">
        <v>33352.684000000001</v>
      </c>
      <c r="F34" s="1178">
        <v>46.975611267605629</v>
      </c>
      <c r="G34" s="1178">
        <v>71000</v>
      </c>
      <c r="H34" s="1178">
        <v>76176</v>
      </c>
      <c r="I34" s="1178">
        <v>-56.216283343835329</v>
      </c>
      <c r="J34" s="1188" t="e">
        <v>#DIV/0!</v>
      </c>
      <c r="K34" s="1207">
        <v>108023.39430000001</v>
      </c>
      <c r="L34" s="1065"/>
      <c r="M34" s="1065"/>
      <c r="N34" s="1049"/>
      <c r="O34" s="1049"/>
      <c r="P34" s="1049"/>
      <c r="Q34" s="1050"/>
      <c r="R34" s="1057"/>
      <c r="S34" s="1057"/>
    </row>
    <row r="35" spans="1:19" ht="42" x14ac:dyDescent="0.25">
      <c r="B35" s="1220" t="s">
        <v>888</v>
      </c>
      <c r="C35" s="1181">
        <v>681.7</v>
      </c>
      <c r="D35" s="1181">
        <v>10554.693000000001</v>
      </c>
      <c r="E35" s="1181">
        <v>10554.693000000001</v>
      </c>
      <c r="F35" s="1181">
        <v>17.738979831932774</v>
      </c>
      <c r="G35" s="1181">
        <v>59500</v>
      </c>
      <c r="H35" s="1181">
        <v>57219</v>
      </c>
      <c r="I35" s="1181">
        <v>-81.553866722592147</v>
      </c>
      <c r="J35" s="1224" t="e">
        <v>#DIV/0!</v>
      </c>
      <c r="K35" s="1221">
        <v>63052.982999999993</v>
      </c>
      <c r="L35" s="1065"/>
      <c r="M35" s="1065"/>
      <c r="N35" s="1049"/>
      <c r="O35" s="1049"/>
      <c r="P35" s="1049"/>
      <c r="Q35" s="1050"/>
      <c r="R35" s="1057"/>
      <c r="S35" s="1057"/>
    </row>
    <row r="36" spans="1:19" ht="42" x14ac:dyDescent="0.25">
      <c r="B36" s="1186" t="s">
        <v>521</v>
      </c>
      <c r="C36" s="1178">
        <v>4361.875</v>
      </c>
      <c r="D36" s="1178">
        <v>65434.826999999997</v>
      </c>
      <c r="E36" s="1178">
        <v>65434.826999999997</v>
      </c>
      <c r="F36" s="1178">
        <v>38.949301785714283</v>
      </c>
      <c r="G36" s="1178">
        <v>168000</v>
      </c>
      <c r="H36" s="1178">
        <v>172757</v>
      </c>
      <c r="I36" s="1178">
        <v>-62.123197902255775</v>
      </c>
      <c r="J36" s="1188" t="e">
        <v>#DIV/0!</v>
      </c>
      <c r="K36" s="1207">
        <v>234137.7023</v>
      </c>
      <c r="L36" s="1065"/>
      <c r="M36" s="1065"/>
      <c r="N36" s="1049"/>
      <c r="O36" s="1049"/>
      <c r="P36" s="1049"/>
      <c r="Q36" s="1050"/>
      <c r="R36" s="1057"/>
      <c r="S36" s="1057"/>
    </row>
    <row r="37" spans="1:19" ht="42" x14ac:dyDescent="0.5">
      <c r="B37" s="1192" t="s">
        <v>633</v>
      </c>
      <c r="C37" s="1185">
        <v>0</v>
      </c>
      <c r="D37" s="1185">
        <v>19329</v>
      </c>
      <c r="E37" s="1185">
        <v>19329</v>
      </c>
      <c r="F37" s="1222" t="e">
        <v>#DIV/0!</v>
      </c>
      <c r="G37" s="1185">
        <v>0</v>
      </c>
      <c r="H37" s="1185">
        <v>52556</v>
      </c>
      <c r="I37" s="1185">
        <v>-63.22208691681255</v>
      </c>
      <c r="J37" s="1222">
        <v>19329</v>
      </c>
      <c r="K37" s="1223">
        <v>57724</v>
      </c>
      <c r="L37" s="1065"/>
      <c r="M37" s="1065"/>
      <c r="N37" s="1066"/>
      <c r="O37" s="1062"/>
      <c r="P37" s="1067"/>
      <c r="Q37" s="1050"/>
      <c r="R37" s="1057"/>
      <c r="S37" s="1057"/>
    </row>
    <row r="38" spans="1:19" ht="42.75" thickBot="1" x14ac:dyDescent="0.3">
      <c r="A38" s="1068"/>
      <c r="B38" s="1220" t="s">
        <v>275</v>
      </c>
      <c r="C38" s="1181">
        <v>0</v>
      </c>
      <c r="D38" s="1181">
        <v>3468</v>
      </c>
      <c r="E38" s="1181">
        <v>3468</v>
      </c>
      <c r="F38" s="1224" t="e">
        <v>#DIV/0!</v>
      </c>
      <c r="G38" s="1181">
        <v>0</v>
      </c>
      <c r="H38" s="1181">
        <v>3000</v>
      </c>
      <c r="I38" s="1224">
        <v>15.6</v>
      </c>
      <c r="J38" s="1224">
        <v>495.42857142857144</v>
      </c>
      <c r="K38" s="1221">
        <v>5080</v>
      </c>
      <c r="L38" s="1065"/>
      <c r="M38" s="1065"/>
      <c r="N38" s="1049"/>
      <c r="O38" s="1049"/>
      <c r="P38" s="1049"/>
      <c r="Q38" s="1050"/>
      <c r="R38" s="1057"/>
      <c r="S38" s="1057"/>
    </row>
    <row r="39" spans="1:19" s="1050" customFormat="1" ht="42" customHeight="1" thickBot="1" x14ac:dyDescent="0.3">
      <c r="B39" s="1225" t="s">
        <v>489</v>
      </c>
      <c r="C39" s="1226">
        <v>4361.875</v>
      </c>
      <c r="D39" s="1226">
        <v>88231.82699999999</v>
      </c>
      <c r="E39" s="1226">
        <v>88231.82699999999</v>
      </c>
      <c r="F39" s="1226">
        <v>52.518944642857136</v>
      </c>
      <c r="G39" s="1226">
        <v>168000</v>
      </c>
      <c r="H39" s="1226">
        <v>228313</v>
      </c>
      <c r="I39" s="1226">
        <v>-61.354882551584886</v>
      </c>
      <c r="J39" s="1386" t="e">
        <v>#DIV/0!</v>
      </c>
      <c r="K39" s="1183">
        <v>296941.72230000002</v>
      </c>
      <c r="L39" s="1069"/>
      <c r="M39" s="1069"/>
    </row>
    <row r="40" spans="1:19" ht="84" customHeight="1" thickBot="1" x14ac:dyDescent="0.3">
      <c r="A40" s="1068"/>
      <c r="B40" s="1227" t="s">
        <v>461</v>
      </c>
      <c r="C40" s="1228" t="s">
        <v>457</v>
      </c>
      <c r="D40" s="1229" t="s">
        <v>458</v>
      </c>
      <c r="E40" s="1228" t="s">
        <v>459</v>
      </c>
      <c r="F40" s="1230" t="s">
        <v>460</v>
      </c>
      <c r="G40" s="1231" t="s">
        <v>815</v>
      </c>
      <c r="H40" s="1232" t="s">
        <v>817</v>
      </c>
      <c r="I40" s="1233" t="s">
        <v>810</v>
      </c>
      <c r="J40" s="1234" t="s">
        <v>82</v>
      </c>
      <c r="K40" s="1235" t="s">
        <v>664</v>
      </c>
      <c r="L40" s="1065"/>
      <c r="M40" s="1065"/>
      <c r="N40" s="1049"/>
      <c r="O40" s="1049"/>
      <c r="P40" s="1049"/>
      <c r="Q40" s="1050"/>
      <c r="R40" s="1057"/>
      <c r="S40" s="1057"/>
    </row>
    <row r="41" spans="1:19" ht="42" customHeight="1" x14ac:dyDescent="0.5">
      <c r="A41" s="1047"/>
      <c r="B41" s="1236" t="s">
        <v>81</v>
      </c>
      <c r="C41" s="1178">
        <v>677.86</v>
      </c>
      <c r="D41" s="1178">
        <v>29364.5</v>
      </c>
      <c r="E41" s="1178">
        <v>29364.5</v>
      </c>
      <c r="F41" s="1178">
        <v>97.881666666666661</v>
      </c>
      <c r="G41" s="1178">
        <v>30000</v>
      </c>
      <c r="H41" s="1178">
        <v>39367</v>
      </c>
      <c r="I41" s="1178">
        <v>-25.408336931948078</v>
      </c>
      <c r="J41" s="1188" t="e">
        <v>#DIV/0!</v>
      </c>
      <c r="K41" s="1207">
        <v>70440.829999999987</v>
      </c>
      <c r="L41" s="1065"/>
      <c r="M41" s="1065"/>
      <c r="N41" s="1062"/>
      <c r="O41" s="1049"/>
      <c r="P41" s="1049"/>
      <c r="Q41" s="1050"/>
      <c r="R41" s="1057"/>
      <c r="S41" s="1057"/>
    </row>
    <row r="42" spans="1:19" ht="42" customHeight="1" x14ac:dyDescent="0.25">
      <c r="B42" s="1191" t="s">
        <v>80</v>
      </c>
      <c r="C42" s="1178">
        <v>787.07999999999993</v>
      </c>
      <c r="D42" s="1178">
        <v>35191.93</v>
      </c>
      <c r="E42" s="1178">
        <v>35191.93</v>
      </c>
      <c r="F42" s="1178">
        <v>74.87644680851065</v>
      </c>
      <c r="G42" s="1178">
        <v>47000</v>
      </c>
      <c r="H42" s="1178">
        <v>67348</v>
      </c>
      <c r="I42" s="1178">
        <v>-47.746139454772226</v>
      </c>
      <c r="J42" s="1188" t="e">
        <v>#DIV/0!</v>
      </c>
      <c r="K42" s="1207">
        <v>113891.18999999997</v>
      </c>
      <c r="L42" s="1065"/>
      <c r="M42" s="1065"/>
      <c r="N42" s="1049"/>
      <c r="O42" s="1049"/>
      <c r="P42" s="1049"/>
      <c r="Q42" s="1050"/>
      <c r="R42" s="1057"/>
      <c r="S42" s="1057"/>
    </row>
    <row r="43" spans="1:19" ht="42" customHeight="1" x14ac:dyDescent="0.25">
      <c r="B43" s="1191" t="s">
        <v>79</v>
      </c>
      <c r="C43" s="1178">
        <v>1612</v>
      </c>
      <c r="D43" s="1178">
        <v>28875.269999999997</v>
      </c>
      <c r="E43" s="1178">
        <v>28875.269999999997</v>
      </c>
      <c r="F43" s="1178">
        <v>93.146032258064508</v>
      </c>
      <c r="G43" s="1178">
        <v>31000</v>
      </c>
      <c r="H43" s="1178">
        <v>57716</v>
      </c>
      <c r="I43" s="1178">
        <v>-49.970077621456795</v>
      </c>
      <c r="J43" s="1188" t="e">
        <v>#DIV/0!</v>
      </c>
      <c r="K43" s="1207">
        <v>79415.94</v>
      </c>
      <c r="L43" s="1065"/>
      <c r="M43" s="1065"/>
      <c r="N43" s="1049"/>
      <c r="O43" s="1049"/>
      <c r="P43" s="1049"/>
      <c r="Q43" s="1050"/>
      <c r="R43" s="1057"/>
      <c r="S43" s="1057"/>
    </row>
    <row r="44" spans="1:19" ht="41.25" customHeight="1" x14ac:dyDescent="0.25">
      <c r="B44" s="1191" t="s">
        <v>805</v>
      </c>
      <c r="C44" s="1178">
        <v>0</v>
      </c>
      <c r="D44" s="1178">
        <v>22035.5</v>
      </c>
      <c r="E44" s="1178">
        <v>22035.5</v>
      </c>
      <c r="F44" s="1188" t="e">
        <v>#DIV/0!</v>
      </c>
      <c r="G44" s="1178">
        <v>0</v>
      </c>
      <c r="H44" s="1185">
        <v>50016</v>
      </c>
      <c r="I44" s="1178">
        <v>-55.943098208573261</v>
      </c>
      <c r="J44" s="1188" t="e">
        <v>#DIV/0!</v>
      </c>
      <c r="K44" s="1207">
        <v>52517.5</v>
      </c>
      <c r="L44" s="1065"/>
      <c r="M44" s="1065"/>
      <c r="N44" s="1049"/>
      <c r="O44" s="1049"/>
      <c r="P44" s="1049"/>
      <c r="Q44" s="1050"/>
      <c r="R44" s="1057"/>
      <c r="S44" s="1057"/>
    </row>
    <row r="45" spans="1:19" ht="43.5" customHeight="1" thickBot="1" x14ac:dyDescent="0.3">
      <c r="B45" s="1237" t="s">
        <v>275</v>
      </c>
      <c r="C45" s="1181">
        <v>0</v>
      </c>
      <c r="D45" s="1181">
        <v>3877.8</v>
      </c>
      <c r="E45" s="1181">
        <v>3877.8</v>
      </c>
      <c r="F45" s="1224" t="e">
        <v>#DIV/0!</v>
      </c>
      <c r="G45" s="1181">
        <v>0</v>
      </c>
      <c r="H45" s="1185">
        <v>3020</v>
      </c>
      <c r="I45" s="1181">
        <v>28.403973509933785</v>
      </c>
      <c r="J45" s="1188" t="e">
        <v>#DIV/0!</v>
      </c>
      <c r="K45" s="1221">
        <v>5502.8</v>
      </c>
      <c r="L45" s="1065"/>
      <c r="M45" s="1065"/>
      <c r="N45" s="1049"/>
      <c r="O45" s="1049"/>
      <c r="P45" s="1049"/>
      <c r="Q45" s="1050"/>
      <c r="R45" s="1057"/>
      <c r="S45" s="1057"/>
    </row>
    <row r="46" spans="1:19" ht="71.25" customHeight="1" thickBot="1" x14ac:dyDescent="0.3">
      <c r="B46" s="1238" t="s">
        <v>819</v>
      </c>
      <c r="C46" s="1226">
        <v>3076.94</v>
      </c>
      <c r="D46" s="1226">
        <v>119345</v>
      </c>
      <c r="E46" s="1226">
        <v>119345</v>
      </c>
      <c r="F46" s="1226">
        <v>110.50462962962963</v>
      </c>
      <c r="G46" s="1226">
        <v>108000</v>
      </c>
      <c r="H46" s="1226">
        <v>217467</v>
      </c>
      <c r="I46" s="1226">
        <v>-45.120409073560587</v>
      </c>
      <c r="J46" s="1386" t="e">
        <v>#DIV/0!</v>
      </c>
      <c r="K46" s="1183">
        <v>321768.25999999995</v>
      </c>
      <c r="L46" s="1065"/>
      <c r="M46" s="1065"/>
      <c r="N46" s="1065"/>
      <c r="O46" s="1049"/>
      <c r="P46" s="1049"/>
      <c r="Q46" s="1050"/>
      <c r="R46" s="1049"/>
    </row>
    <row r="47" spans="1:19" ht="42" hidden="1" x14ac:dyDescent="0.35">
      <c r="B47" s="1236">
        <v>0</v>
      </c>
      <c r="C47" s="1185">
        <v>0</v>
      </c>
      <c r="D47" s="1185">
        <v>0</v>
      </c>
      <c r="E47" s="1185">
        <v>0</v>
      </c>
      <c r="F47" s="1185">
        <v>0</v>
      </c>
      <c r="G47" s="1185">
        <v>0</v>
      </c>
      <c r="H47" s="1185">
        <v>0</v>
      </c>
      <c r="I47" s="1185">
        <v>0</v>
      </c>
      <c r="J47" s="1222">
        <v>0</v>
      </c>
      <c r="K47" s="1223"/>
      <c r="L47" s="1051"/>
      <c r="M47" s="1049"/>
      <c r="N47" s="1049"/>
      <c r="O47" s="1049"/>
      <c r="P47" s="1049"/>
      <c r="Q47" s="1050"/>
      <c r="R47" s="1049"/>
    </row>
    <row r="48" spans="1:19" ht="42" x14ac:dyDescent="0.35">
      <c r="B48" s="1191" t="s">
        <v>453</v>
      </c>
      <c r="C48" s="1178">
        <v>0</v>
      </c>
      <c r="D48" s="1178">
        <v>0</v>
      </c>
      <c r="E48" s="1178">
        <v>0</v>
      </c>
      <c r="F48" s="1178">
        <v>0</v>
      </c>
      <c r="G48" s="1178">
        <v>4075</v>
      </c>
      <c r="H48" s="1178">
        <v>2498</v>
      </c>
      <c r="I48" s="1178">
        <v>-100</v>
      </c>
      <c r="J48" s="1188" t="e">
        <v>#DIV/0!</v>
      </c>
      <c r="K48" s="1207">
        <v>296.7</v>
      </c>
      <c r="L48" s="1051"/>
      <c r="M48" s="1049"/>
      <c r="N48" s="1049"/>
      <c r="O48" s="1049"/>
      <c r="P48" s="1049"/>
      <c r="Q48" s="1050"/>
      <c r="R48" s="1049"/>
    </row>
    <row r="49" spans="2:19" ht="42" x14ac:dyDescent="0.35">
      <c r="B49" s="1191" t="s">
        <v>889</v>
      </c>
      <c r="C49" s="1178">
        <v>0</v>
      </c>
      <c r="D49" s="1178">
        <v>35348.58</v>
      </c>
      <c r="E49" s="1178">
        <v>35348.58</v>
      </c>
      <c r="F49" s="1178">
        <v>54.029988994864276</v>
      </c>
      <c r="G49" s="1178">
        <v>65424</v>
      </c>
      <c r="H49" s="1178">
        <v>83445</v>
      </c>
      <c r="I49" s="1178">
        <v>-57.638468452273948</v>
      </c>
      <c r="J49" s="1188" t="e">
        <v>#DIV/0!</v>
      </c>
      <c r="K49" s="1207">
        <v>104593.72</v>
      </c>
      <c r="L49" s="1051"/>
      <c r="M49" s="1049"/>
      <c r="N49" s="1049"/>
      <c r="O49" s="1049"/>
      <c r="P49" s="1049"/>
      <c r="Q49" s="1050"/>
      <c r="R49" s="1049"/>
    </row>
    <row r="50" spans="2:19" ht="45" customHeight="1" thickBot="1" x14ac:dyDescent="0.4">
      <c r="B50" s="1239" t="s">
        <v>890</v>
      </c>
      <c r="C50" s="1178">
        <v>0</v>
      </c>
      <c r="D50" s="1178">
        <v>10011.1</v>
      </c>
      <c r="E50" s="1178">
        <v>10011.1</v>
      </c>
      <c r="F50" s="1178">
        <v>52.968783068783068</v>
      </c>
      <c r="G50" s="1178">
        <v>18900</v>
      </c>
      <c r="H50" s="1178">
        <v>9134</v>
      </c>
      <c r="I50" s="1188">
        <v>9.6025837530107339</v>
      </c>
      <c r="J50" s="1188" t="e">
        <v>#DIV/0!</v>
      </c>
      <c r="K50" s="1207">
        <v>15254.27</v>
      </c>
      <c r="L50" s="1051"/>
      <c r="M50" s="1049"/>
      <c r="N50" s="1049"/>
      <c r="O50" s="1049"/>
      <c r="P50" s="1049"/>
      <c r="Q50" s="1050"/>
      <c r="R50" s="1049"/>
    </row>
    <row r="51" spans="2:19" ht="75.75" customHeight="1" thickBot="1" x14ac:dyDescent="0.95">
      <c r="B51" s="1219" t="s">
        <v>78</v>
      </c>
      <c r="C51" s="1219" t="s">
        <v>457</v>
      </c>
      <c r="D51" s="1240" t="s">
        <v>458</v>
      </c>
      <c r="E51" s="1241" t="s">
        <v>459</v>
      </c>
      <c r="F51" s="1242" t="s">
        <v>460</v>
      </c>
      <c r="G51" s="1242" t="s">
        <v>816</v>
      </c>
      <c r="H51" s="1243" t="s">
        <v>475</v>
      </c>
      <c r="I51" s="1243" t="s">
        <v>665</v>
      </c>
      <c r="J51" s="1243" t="s">
        <v>813</v>
      </c>
      <c r="K51" s="1244"/>
      <c r="L51" s="1070"/>
      <c r="M51" s="1071"/>
      <c r="N51" s="1049"/>
      <c r="O51" s="1049"/>
      <c r="P51" s="1049"/>
      <c r="Q51" s="1050"/>
      <c r="R51" s="1072"/>
      <c r="S51" s="1054"/>
    </row>
    <row r="52" spans="2:19" ht="55.5" customHeight="1" x14ac:dyDescent="0.5">
      <c r="B52" s="1236" t="s">
        <v>76</v>
      </c>
      <c r="C52" s="1178">
        <v>0</v>
      </c>
      <c r="D52" s="1178">
        <v>0</v>
      </c>
      <c r="E52" s="1178">
        <v>0</v>
      </c>
      <c r="F52" s="1188" t="e">
        <v>#DIV/0!</v>
      </c>
      <c r="G52" s="1178">
        <v>0</v>
      </c>
      <c r="H52" s="1245" t="s">
        <v>76</v>
      </c>
      <c r="I52" s="1246">
        <v>73850.44775063399</v>
      </c>
      <c r="J52" s="1247">
        <v>21461</v>
      </c>
      <c r="K52" s="1248"/>
      <c r="L52" s="1056"/>
      <c r="M52" s="1049"/>
      <c r="N52" s="1049"/>
      <c r="O52" s="1049"/>
      <c r="P52" s="1049"/>
      <c r="Q52" s="1050"/>
      <c r="R52" s="1049"/>
    </row>
    <row r="53" spans="2:19" ht="54.75" customHeight="1" x14ac:dyDescent="0.45">
      <c r="B53" s="1191" t="s">
        <v>469</v>
      </c>
      <c r="C53" s="1178">
        <v>0</v>
      </c>
      <c r="D53" s="1178">
        <v>0</v>
      </c>
      <c r="E53" s="1178">
        <v>0</v>
      </c>
      <c r="F53" s="1188" t="e">
        <v>#DIV/0!</v>
      </c>
      <c r="G53" s="1178">
        <v>0</v>
      </c>
      <c r="H53" s="1191" t="s">
        <v>18</v>
      </c>
      <c r="I53" s="1178">
        <v>6585</v>
      </c>
      <c r="J53" s="1207">
        <v>5135</v>
      </c>
      <c r="K53" s="1249"/>
      <c r="L53" s="1058"/>
      <c r="M53" s="1049"/>
      <c r="N53" s="1049"/>
      <c r="O53" s="1049"/>
      <c r="P53" s="1049"/>
      <c r="Q53" s="1050"/>
    </row>
    <row r="54" spans="2:19" ht="58.5" customHeight="1" x14ac:dyDescent="0.25">
      <c r="B54" s="1191" t="s">
        <v>471</v>
      </c>
      <c r="C54" s="1178">
        <v>0</v>
      </c>
      <c r="D54" s="1178">
        <v>0</v>
      </c>
      <c r="E54" s="1178">
        <v>0</v>
      </c>
      <c r="F54" s="1188" t="e">
        <v>#DIV/0!</v>
      </c>
      <c r="G54" s="1178">
        <v>0</v>
      </c>
      <c r="H54" s="1191" t="s">
        <v>624</v>
      </c>
      <c r="I54" s="1178">
        <v>49532</v>
      </c>
      <c r="J54" s="1207">
        <v>5133</v>
      </c>
      <c r="K54" s="1248"/>
      <c r="L54" s="1049"/>
      <c r="M54" s="1049"/>
      <c r="N54" s="1049"/>
      <c r="O54" s="1049"/>
      <c r="P54" s="1049"/>
      <c r="Q54" s="1050"/>
    </row>
    <row r="55" spans="2:19" ht="58.5" customHeight="1" x14ac:dyDescent="0.25">
      <c r="B55" s="1191" t="s">
        <v>19</v>
      </c>
      <c r="C55" s="1178">
        <v>0</v>
      </c>
      <c r="D55" s="1178">
        <v>3169.5199999999995</v>
      </c>
      <c r="E55" s="1178">
        <v>3169.5199999999995</v>
      </c>
      <c r="F55" s="1178">
        <v>89.156680731364261</v>
      </c>
      <c r="G55" s="1178">
        <v>3555</v>
      </c>
      <c r="H55" s="1191" t="s">
        <v>19</v>
      </c>
      <c r="I55" s="1178">
        <v>2998.48</v>
      </c>
      <c r="J55" s="1207">
        <v>2714</v>
      </c>
      <c r="K55" s="1248"/>
      <c r="L55" s="1049"/>
      <c r="M55" s="1049"/>
      <c r="N55" s="1049"/>
      <c r="O55" s="1049"/>
      <c r="P55" s="1049"/>
      <c r="Q55" s="1050"/>
    </row>
    <row r="56" spans="2:19" ht="60.75" customHeight="1" thickBot="1" x14ac:dyDescent="0.3">
      <c r="B56" s="1191" t="s">
        <v>478</v>
      </c>
      <c r="C56" s="1178">
        <v>0</v>
      </c>
      <c r="D56" s="1178">
        <v>616.85</v>
      </c>
      <c r="E56" s="1178">
        <v>616.85</v>
      </c>
      <c r="F56" s="1178">
        <v>67.268266085059977</v>
      </c>
      <c r="G56" s="1178">
        <v>917</v>
      </c>
      <c r="H56" s="1239" t="s">
        <v>650</v>
      </c>
      <c r="I56" s="1213">
        <v>0</v>
      </c>
      <c r="J56" s="1214">
        <v>0</v>
      </c>
      <c r="K56" s="1248"/>
      <c r="L56" s="1049"/>
      <c r="M56" s="1049"/>
      <c r="N56" s="1049"/>
      <c r="O56" s="1049"/>
      <c r="P56" s="1049"/>
      <c r="Q56" s="1050"/>
    </row>
    <row r="57" spans="2:19" ht="45.75" customHeight="1" thickBot="1" x14ac:dyDescent="0.3">
      <c r="B57" s="1680" t="s">
        <v>323</v>
      </c>
      <c r="C57" s="1682">
        <v>0</v>
      </c>
      <c r="D57" s="1682">
        <v>0</v>
      </c>
      <c r="E57" s="1716"/>
      <c r="F57" s="1717"/>
      <c r="G57" s="1718"/>
      <c r="H57" s="1250" t="s">
        <v>653</v>
      </c>
      <c r="I57" s="1251">
        <v>0</v>
      </c>
      <c r="J57" s="1252">
        <v>0</v>
      </c>
      <c r="K57" s="1248"/>
      <c r="L57" s="1049"/>
      <c r="M57" s="1049"/>
      <c r="N57" s="1049"/>
      <c r="O57" s="1049"/>
      <c r="P57" s="1049"/>
      <c r="Q57" s="1050"/>
    </row>
    <row r="58" spans="2:19" ht="42.75" thickBot="1" x14ac:dyDescent="0.3">
      <c r="B58" s="1681"/>
      <c r="C58" s="1683"/>
      <c r="D58" s="1683"/>
      <c r="E58" s="1719"/>
      <c r="F58" s="1720"/>
      <c r="G58" s="1721"/>
      <c r="H58" s="1239" t="s">
        <v>478</v>
      </c>
      <c r="I58" s="1213">
        <v>124.02</v>
      </c>
      <c r="J58" s="1214">
        <v>84.05</v>
      </c>
      <c r="K58" s="1248"/>
      <c r="L58" s="1049"/>
      <c r="M58" s="1049"/>
      <c r="N58" s="1049"/>
      <c r="O58" s="1049"/>
      <c r="P58" s="1049"/>
      <c r="Q58" s="1050"/>
    </row>
    <row r="59" spans="2:19" ht="77.25" customHeight="1" thickBot="1" x14ac:dyDescent="0.3">
      <c r="B59" s="1225" t="s">
        <v>75</v>
      </c>
      <c r="C59" s="1253" t="s">
        <v>794</v>
      </c>
      <c r="D59" s="1253" t="s">
        <v>74</v>
      </c>
      <c r="E59" s="1254" t="s">
        <v>795</v>
      </c>
      <c r="F59" s="1663" t="s">
        <v>48</v>
      </c>
      <c r="G59" s="1649"/>
      <c r="H59" s="1255" t="s">
        <v>646</v>
      </c>
      <c r="I59" s="1256" t="s">
        <v>457</v>
      </c>
      <c r="J59" s="1257" t="s">
        <v>458</v>
      </c>
      <c r="K59" s="1248"/>
      <c r="M59" s="1049"/>
      <c r="N59" s="1049"/>
      <c r="O59" s="1049"/>
      <c r="P59" s="1049"/>
      <c r="Q59" s="1050"/>
    </row>
    <row r="60" spans="2:19" ht="63.75" customHeight="1" x14ac:dyDescent="0.25">
      <c r="B60" s="1236" t="s">
        <v>674</v>
      </c>
      <c r="C60" s="1258">
        <v>17.61</v>
      </c>
      <c r="D60" s="1258">
        <v>36.480000000000004</v>
      </c>
      <c r="E60" s="1259">
        <v>1.63</v>
      </c>
      <c r="F60" s="1664" t="s">
        <v>630</v>
      </c>
      <c r="G60" s="1665"/>
      <c r="H60" s="1202">
        <v>69.5</v>
      </c>
      <c r="I60" s="1202">
        <v>69.5</v>
      </c>
      <c r="J60" s="1203">
        <v>69.5</v>
      </c>
      <c r="K60" s="1248"/>
      <c r="M60" s="1049"/>
      <c r="N60" s="1049"/>
      <c r="O60" s="1049"/>
      <c r="P60" s="1049"/>
      <c r="Q60" s="1050"/>
    </row>
    <row r="61" spans="2:19" ht="54" customHeight="1" x14ac:dyDescent="0.25">
      <c r="B61" s="1191" t="s">
        <v>797</v>
      </c>
      <c r="C61" s="1734">
        <v>100.02999999999999</v>
      </c>
      <c r="D61" s="1735"/>
      <c r="E61" s="1736"/>
      <c r="F61" s="1655" t="s">
        <v>613</v>
      </c>
      <c r="G61" s="1651"/>
      <c r="H61" s="1178">
        <v>89</v>
      </c>
      <c r="I61" s="1178">
        <v>89</v>
      </c>
      <c r="J61" s="1207">
        <v>89</v>
      </c>
      <c r="K61" s="1248"/>
      <c r="M61" s="1049"/>
      <c r="N61" s="1049"/>
      <c r="O61" s="1049"/>
      <c r="P61" s="1049"/>
      <c r="Q61" s="1050"/>
    </row>
    <row r="62" spans="2:19" ht="57" customHeight="1" thickBot="1" x14ac:dyDescent="0.3">
      <c r="B62" s="1239" t="s">
        <v>675</v>
      </c>
      <c r="C62" s="1733">
        <v>155.75</v>
      </c>
      <c r="D62" s="1733"/>
      <c r="E62" s="1733"/>
      <c r="F62" s="1655" t="s">
        <v>262</v>
      </c>
      <c r="G62" s="1651"/>
      <c r="H62" s="1181">
        <v>95</v>
      </c>
      <c r="I62" s="1178">
        <v>95</v>
      </c>
      <c r="J62" s="1207">
        <v>95</v>
      </c>
      <c r="K62" s="1248"/>
      <c r="M62" s="1049">
        <v>20</v>
      </c>
      <c r="N62" s="1049"/>
      <c r="O62" s="1049"/>
      <c r="P62" s="1049"/>
      <c r="Q62" s="1050"/>
    </row>
    <row r="63" spans="2:19" ht="93.75" customHeight="1" thickBot="1" x14ac:dyDescent="0.3">
      <c r="B63" s="1260" t="s">
        <v>21</v>
      </c>
      <c r="C63" s="1743" t="s">
        <v>798</v>
      </c>
      <c r="D63" s="1648"/>
      <c r="E63" s="1648"/>
      <c r="F63" s="1663" t="s">
        <v>651</v>
      </c>
      <c r="G63" s="1649"/>
      <c r="H63" s="1242" t="s">
        <v>646</v>
      </c>
      <c r="I63" s="1253" t="s">
        <v>457</v>
      </c>
      <c r="J63" s="1257" t="s">
        <v>458</v>
      </c>
      <c r="K63" s="1248"/>
      <c r="M63" s="1049"/>
      <c r="N63" s="1049"/>
      <c r="O63" s="1049"/>
      <c r="P63" s="1049"/>
      <c r="Q63" s="1050"/>
    </row>
    <row r="64" spans="2:19" ht="54.75" customHeight="1" x14ac:dyDescent="0.25">
      <c r="B64" s="1236"/>
      <c r="C64" s="1261" t="s">
        <v>391</v>
      </c>
      <c r="D64" s="1262" t="s">
        <v>42</v>
      </c>
      <c r="E64" s="1263" t="s">
        <v>659</v>
      </c>
      <c r="F64" s="1664" t="s">
        <v>679</v>
      </c>
      <c r="G64" s="1665"/>
      <c r="H64" s="1185">
        <v>63</v>
      </c>
      <c r="I64" s="1202">
        <v>61.1</v>
      </c>
      <c r="J64" s="1203">
        <v>63.6</v>
      </c>
      <c r="K64" s="1248"/>
      <c r="M64" s="1049"/>
      <c r="N64" s="1049"/>
      <c r="O64" s="1049"/>
      <c r="P64" s="1049"/>
      <c r="Q64" s="1050"/>
    </row>
    <row r="65" spans="2:17" ht="53.25" customHeight="1" thickBot="1" x14ac:dyDescent="0.3">
      <c r="B65" s="1191" t="s">
        <v>73</v>
      </c>
      <c r="C65" s="1178">
        <v>1457.6</v>
      </c>
      <c r="D65" s="1178">
        <v>1638.6</v>
      </c>
      <c r="E65" s="1179">
        <v>3287</v>
      </c>
      <c r="F65" s="1666" t="s">
        <v>801</v>
      </c>
      <c r="G65" s="1667"/>
      <c r="H65" s="1213">
        <v>6</v>
      </c>
      <c r="I65" s="1264">
        <v>0</v>
      </c>
      <c r="J65" s="1265">
        <v>0</v>
      </c>
      <c r="K65" s="1248"/>
      <c r="M65" s="1049"/>
      <c r="N65" s="1049"/>
      <c r="O65" s="1049"/>
      <c r="P65" s="1049"/>
      <c r="Q65" s="1050"/>
    </row>
    <row r="66" spans="2:17" ht="51.75" customHeight="1" thickBot="1" x14ac:dyDescent="0.3">
      <c r="B66" s="1191" t="s">
        <v>71</v>
      </c>
      <c r="C66" s="1178">
        <v>1140.9000000000001</v>
      </c>
      <c r="D66" s="1178">
        <v>1127.8</v>
      </c>
      <c r="E66" s="1178">
        <v>1302</v>
      </c>
      <c r="F66" s="1741" t="s">
        <v>27</v>
      </c>
      <c r="G66" s="1742"/>
      <c r="H66" s="1255" t="s">
        <v>646</v>
      </c>
      <c r="I66" s="1256" t="s">
        <v>457</v>
      </c>
      <c r="J66" s="1266" t="s">
        <v>458</v>
      </c>
      <c r="K66" s="1248"/>
      <c r="M66" s="1049"/>
      <c r="N66" s="1049"/>
      <c r="O66" s="1049"/>
      <c r="P66" s="1049"/>
      <c r="Q66" s="1050"/>
    </row>
    <row r="67" spans="2:17" ht="49.7" customHeight="1" x14ac:dyDescent="0.25">
      <c r="B67" s="1191" t="s">
        <v>69</v>
      </c>
      <c r="C67" s="1178">
        <v>55.3</v>
      </c>
      <c r="D67" s="1178">
        <v>26.9</v>
      </c>
      <c r="E67" s="1178">
        <v>310</v>
      </c>
      <c r="F67" s="1664" t="s">
        <v>287</v>
      </c>
      <c r="G67" s="1665"/>
      <c r="H67" s="1246">
        <v>356</v>
      </c>
      <c r="I67" s="1246">
        <v>359</v>
      </c>
      <c r="J67" s="1247">
        <v>417.01058076719676</v>
      </c>
      <c r="K67" s="1248"/>
      <c r="M67" s="1049"/>
      <c r="N67" s="1049"/>
      <c r="O67" s="1049"/>
      <c r="P67" s="1049"/>
      <c r="Q67" s="1050"/>
    </row>
    <row r="68" spans="2:17" ht="63" customHeight="1" x14ac:dyDescent="0.25">
      <c r="B68" s="1191" t="s">
        <v>632</v>
      </c>
      <c r="C68" s="1178">
        <v>58</v>
      </c>
      <c r="D68" s="1739"/>
      <c r="E68" s="1740"/>
      <c r="F68" s="1655" t="s">
        <v>72</v>
      </c>
      <c r="G68" s="1651"/>
      <c r="H68" s="1178">
        <v>29</v>
      </c>
      <c r="I68" s="1178">
        <v>34</v>
      </c>
      <c r="J68" s="1207">
        <v>33.440772286627578</v>
      </c>
      <c r="K68" s="1248"/>
      <c r="M68" s="1049"/>
      <c r="N68" s="1049"/>
      <c r="O68" s="1049"/>
      <c r="P68" s="1049"/>
      <c r="Q68" s="1050"/>
    </row>
    <row r="69" spans="2:17" ht="48.2" customHeight="1" thickBot="1" x14ac:dyDescent="0.7">
      <c r="B69" s="1731"/>
      <c r="C69" s="1732"/>
      <c r="D69" s="1732"/>
      <c r="E69" s="1732"/>
      <c r="F69" s="1655" t="s">
        <v>70</v>
      </c>
      <c r="G69" s="1651"/>
      <c r="H69" s="1178">
        <v>140</v>
      </c>
      <c r="I69" s="1178">
        <v>138</v>
      </c>
      <c r="J69" s="1207">
        <v>93.218739249480635</v>
      </c>
      <c r="K69" s="1248"/>
      <c r="M69" s="1049"/>
      <c r="N69" s="1049"/>
      <c r="O69" s="1049"/>
      <c r="P69" s="1049"/>
    </row>
    <row r="70" spans="2:17" ht="48.2" customHeight="1" thickBot="1" x14ac:dyDescent="0.3">
      <c r="B70" s="1267" t="s">
        <v>67</v>
      </c>
      <c r="C70" s="1267"/>
      <c r="D70" s="1268"/>
      <c r="E70" s="1269"/>
      <c r="F70" s="1655" t="s">
        <v>318</v>
      </c>
      <c r="G70" s="1651"/>
      <c r="H70" s="1178">
        <v>525</v>
      </c>
      <c r="I70" s="1178">
        <v>531</v>
      </c>
      <c r="J70" s="1207">
        <v>543.67009230330495</v>
      </c>
      <c r="K70" s="1248"/>
      <c r="M70" s="1049"/>
      <c r="N70" s="1049"/>
      <c r="O70" s="1049"/>
      <c r="P70" s="1049"/>
    </row>
    <row r="71" spans="2:17" ht="51" customHeight="1" thickBot="1" x14ac:dyDescent="0.35">
      <c r="B71" s="1270"/>
      <c r="C71" s="1271" t="s">
        <v>457</v>
      </c>
      <c r="D71" s="1272" t="s">
        <v>458</v>
      </c>
      <c r="E71" s="1267" t="s">
        <v>467</v>
      </c>
      <c r="F71" s="1655" t="s">
        <v>68</v>
      </c>
      <c r="G71" s="1651"/>
      <c r="H71" s="1178">
        <v>70</v>
      </c>
      <c r="I71" s="1178">
        <v>65</v>
      </c>
      <c r="J71" s="1207">
        <v>69.046706663562219</v>
      </c>
      <c r="K71" s="1248"/>
      <c r="M71" s="1049"/>
      <c r="N71" s="1049"/>
      <c r="O71" s="1073"/>
      <c r="P71" s="1049"/>
    </row>
    <row r="72" spans="2:17" ht="46.5" customHeight="1" x14ac:dyDescent="0.25">
      <c r="B72" s="1273" t="s">
        <v>479</v>
      </c>
      <c r="C72" s="1246">
        <v>0</v>
      </c>
      <c r="D72" s="1274">
        <v>703</v>
      </c>
      <c r="E72" s="1275">
        <v>0</v>
      </c>
      <c r="F72" s="1655" t="s">
        <v>614</v>
      </c>
      <c r="G72" s="1651"/>
      <c r="H72" s="1206">
        <v>17</v>
      </c>
      <c r="I72" s="1178">
        <v>20</v>
      </c>
      <c r="J72" s="1276">
        <v>17.949838730928828</v>
      </c>
      <c r="K72" s="1248"/>
    </row>
    <row r="73" spans="2:17" ht="42.75" customHeight="1" thickBot="1" x14ac:dyDescent="0.3">
      <c r="B73" s="1277" t="s">
        <v>480</v>
      </c>
      <c r="C73" s="1213">
        <v>722</v>
      </c>
      <c r="D73" s="1278">
        <v>8785</v>
      </c>
      <c r="E73" s="1461">
        <v>591</v>
      </c>
      <c r="F73" s="1655" t="s">
        <v>66</v>
      </c>
      <c r="G73" s="1651"/>
      <c r="H73" s="1258">
        <v>2.3940000000000001</v>
      </c>
      <c r="I73" s="1258">
        <v>2.4790000000000001</v>
      </c>
      <c r="J73" s="1279">
        <v>1.8232438664507991</v>
      </c>
      <c r="K73" s="1248"/>
    </row>
    <row r="74" spans="2:17" ht="60" customHeight="1" x14ac:dyDescent="0.25">
      <c r="B74" s="1280" t="s">
        <v>481</v>
      </c>
      <c r="C74" s="1281" t="s">
        <v>213</v>
      </c>
      <c r="D74" s="1282" t="s">
        <v>673</v>
      </c>
      <c r="E74" s="1283" t="s">
        <v>826</v>
      </c>
      <c r="F74" s="1650" t="s">
        <v>65</v>
      </c>
      <c r="G74" s="1651"/>
      <c r="H74" s="1178">
        <v>357</v>
      </c>
      <c r="I74" s="1178">
        <v>324</v>
      </c>
      <c r="J74" s="1207">
        <v>354.15208927826905</v>
      </c>
      <c r="K74" s="1248"/>
    </row>
    <row r="75" spans="2:17" ht="45" customHeight="1" x14ac:dyDescent="0.25">
      <c r="B75" s="1191" t="s">
        <v>259</v>
      </c>
      <c r="C75" s="1202">
        <v>7</v>
      </c>
      <c r="D75" s="1284">
        <v>300</v>
      </c>
      <c r="E75" s="1285" t="s">
        <v>52</v>
      </c>
      <c r="F75" s="1650" t="s">
        <v>64</v>
      </c>
      <c r="G75" s="1651"/>
      <c r="H75" s="1258">
        <v>0.53</v>
      </c>
      <c r="I75" s="1258">
        <v>0.64</v>
      </c>
      <c r="J75" s="1279">
        <v>0.87359897155996935</v>
      </c>
      <c r="K75" s="1248"/>
    </row>
    <row r="76" spans="2:17" ht="46.5" customHeight="1" x14ac:dyDescent="0.25">
      <c r="B76" s="1191" t="s">
        <v>258</v>
      </c>
      <c r="C76" s="1206">
        <v>7.6</v>
      </c>
      <c r="D76" s="1284">
        <v>320</v>
      </c>
      <c r="E76" s="1286">
        <v>605.89</v>
      </c>
      <c r="F76" s="1650" t="s">
        <v>63</v>
      </c>
      <c r="G76" s="1651"/>
      <c r="H76" s="1178">
        <v>1200</v>
      </c>
      <c r="I76" s="1178">
        <v>1141</v>
      </c>
      <c r="J76" s="1207">
        <v>1118.7957396808554</v>
      </c>
      <c r="K76" s="1248"/>
    </row>
    <row r="77" spans="2:17" ht="68.25" customHeight="1" x14ac:dyDescent="0.25">
      <c r="B77" s="1191" t="s">
        <v>281</v>
      </c>
      <c r="C77" s="1202" t="s">
        <v>647</v>
      </c>
      <c r="D77" s="1284" t="s">
        <v>647</v>
      </c>
      <c r="E77" s="1287" t="s">
        <v>51</v>
      </c>
      <c r="F77" s="1650" t="s">
        <v>62</v>
      </c>
      <c r="G77" s="1651"/>
      <c r="H77" s="1178">
        <v>1500</v>
      </c>
      <c r="I77" s="1178">
        <v>1508</v>
      </c>
      <c r="J77" s="1207">
        <v>1510.1863645962501</v>
      </c>
      <c r="K77" s="1248"/>
    </row>
    <row r="78" spans="2:17" ht="59.25" customHeight="1" thickBot="1" x14ac:dyDescent="0.3">
      <c r="B78" s="1239" t="s">
        <v>822</v>
      </c>
      <c r="C78" s="1288">
        <v>6.7</v>
      </c>
      <c r="D78" s="1289">
        <v>320</v>
      </c>
      <c r="E78" s="1290">
        <v>555.29</v>
      </c>
      <c r="F78" s="1696" t="s">
        <v>661</v>
      </c>
      <c r="G78" s="1697"/>
      <c r="H78" s="1258">
        <v>5</v>
      </c>
      <c r="I78" s="1258">
        <v>4.93</v>
      </c>
      <c r="J78" s="1279">
        <v>3.35</v>
      </c>
      <c r="K78" s="1248"/>
    </row>
    <row r="79" spans="2:17" ht="42" customHeight="1" thickBot="1" x14ac:dyDescent="0.3">
      <c r="B79" s="1698"/>
      <c r="C79" s="1699"/>
      <c r="D79" s="1699"/>
      <c r="E79" s="1700"/>
      <c r="F79" s="1669" t="s">
        <v>654</v>
      </c>
      <c r="G79" s="1670"/>
      <c r="H79" s="1291" t="s">
        <v>647</v>
      </c>
      <c r="I79" s="1292"/>
      <c r="J79" s="1293" t="e">
        <v>#DIV/0!</v>
      </c>
      <c r="K79" s="1248"/>
    </row>
    <row r="80" spans="2:17" ht="47.25" customHeight="1" thickBot="1" x14ac:dyDescent="0.3">
      <c r="B80" s="1701"/>
      <c r="C80" s="1700"/>
      <c r="D80" s="1700"/>
      <c r="E80" s="1702"/>
      <c r="F80" s="1648" t="s">
        <v>261</v>
      </c>
      <c r="G80" s="1649"/>
      <c r="H80" s="1255" t="s">
        <v>646</v>
      </c>
      <c r="I80" s="1256">
        <v>46172</v>
      </c>
      <c r="J80" s="1257" t="s">
        <v>458</v>
      </c>
      <c r="K80" s="1248"/>
    </row>
    <row r="81" spans="2:14" ht="42" customHeight="1" x14ac:dyDescent="0.25">
      <c r="B81" s="1701"/>
      <c r="C81" s="1700"/>
      <c r="D81" s="1700"/>
      <c r="E81" s="1702"/>
      <c r="F81" s="1690" t="s">
        <v>61</v>
      </c>
      <c r="G81" s="1665"/>
      <c r="H81" s="1178">
        <v>1062</v>
      </c>
      <c r="I81" s="1178">
        <v>1044.56</v>
      </c>
      <c r="J81" s="1207">
        <v>1044.17</v>
      </c>
      <c r="K81" s="1248"/>
      <c r="M81" s="1074"/>
      <c r="N81" s="1075"/>
    </row>
    <row r="82" spans="2:14" ht="43.5" customHeight="1" x14ac:dyDescent="0.25">
      <c r="B82" s="1701"/>
      <c r="C82" s="1700"/>
      <c r="D82" s="1700"/>
      <c r="E82" s="1702"/>
      <c r="F82" s="1650" t="s">
        <v>59</v>
      </c>
      <c r="G82" s="1651"/>
      <c r="H82" s="1178">
        <v>34</v>
      </c>
      <c r="I82" s="1178">
        <v>49.19</v>
      </c>
      <c r="J82" s="1207">
        <v>51.4</v>
      </c>
      <c r="K82" s="1248"/>
    </row>
    <row r="83" spans="2:14" ht="38.25" customHeight="1" thickBot="1" x14ac:dyDescent="0.3">
      <c r="B83" s="1703"/>
      <c r="C83" s="1704"/>
      <c r="D83" s="1704"/>
      <c r="E83" s="1705"/>
      <c r="F83" s="1650" t="s">
        <v>57</v>
      </c>
      <c r="G83" s="1651"/>
      <c r="H83" s="1178">
        <v>70</v>
      </c>
      <c r="I83" s="1178">
        <v>65.38</v>
      </c>
      <c r="J83" s="1207">
        <v>75.98</v>
      </c>
      <c r="K83" s="1248"/>
    </row>
    <row r="84" spans="2:14" ht="43.5" customHeight="1" thickBot="1" x14ac:dyDescent="0.3">
      <c r="B84" s="1671" t="s">
        <v>462</v>
      </c>
      <c r="C84" s="1672"/>
      <c r="D84" s="1672"/>
      <c r="E84" s="1673"/>
      <c r="F84" s="1725" t="s">
        <v>628</v>
      </c>
      <c r="G84" s="1726"/>
      <c r="H84" s="1397">
        <v>122</v>
      </c>
      <c r="I84" s="1397">
        <v>135.43</v>
      </c>
      <c r="J84" s="1221">
        <v>178.51</v>
      </c>
      <c r="K84" s="1248"/>
    </row>
    <row r="85" spans="2:14" ht="66" customHeight="1" x14ac:dyDescent="0.25">
      <c r="B85" s="1674"/>
      <c r="C85" s="1675"/>
      <c r="D85" s="1675"/>
      <c r="E85" s="1676"/>
      <c r="F85" s="1727" t="s">
        <v>886</v>
      </c>
      <c r="G85" s="1728"/>
      <c r="H85" s="1321">
        <v>6.2450000000000001</v>
      </c>
      <c r="I85" s="1321">
        <v>5.6820000000000004</v>
      </c>
      <c r="J85" s="1462">
        <v>7.3259999999999996</v>
      </c>
      <c r="K85" s="1248"/>
    </row>
    <row r="86" spans="2:14" ht="85.5" customHeight="1" thickBot="1" x14ac:dyDescent="0.3">
      <c r="B86" s="1677"/>
      <c r="C86" s="1678"/>
      <c r="D86" s="1678"/>
      <c r="E86" s="1679"/>
      <c r="F86" s="1729" t="s">
        <v>839</v>
      </c>
      <c r="G86" s="1730"/>
      <c r="H86" s="1397">
        <v>516</v>
      </c>
      <c r="I86" s="1397">
        <v>798.97</v>
      </c>
      <c r="J86" s="1221">
        <v>801.24</v>
      </c>
      <c r="K86" s="1248"/>
    </row>
    <row r="87" spans="2:14" ht="65.849999999999994" customHeight="1" thickBot="1" x14ac:dyDescent="0.3">
      <c r="B87" s="1294" t="s">
        <v>53</v>
      </c>
      <c r="C87" s="1295" t="s">
        <v>468</v>
      </c>
      <c r="D87" s="1295" t="s">
        <v>324</v>
      </c>
      <c r="E87" s="1295" t="s">
        <v>320</v>
      </c>
      <c r="F87" s="1694" t="s">
        <v>885</v>
      </c>
      <c r="G87" s="1695"/>
      <c r="H87" s="1347">
        <v>387</v>
      </c>
      <c r="I87" s="1347">
        <v>605.89</v>
      </c>
      <c r="J87" s="1348">
        <v>555.29</v>
      </c>
      <c r="K87" s="1248"/>
    </row>
    <row r="88" spans="2:14" ht="42" customHeight="1" thickBot="1" x14ac:dyDescent="0.3">
      <c r="B88" s="1236" t="s">
        <v>28</v>
      </c>
      <c r="C88" s="1296">
        <v>3.69</v>
      </c>
      <c r="D88" s="1296">
        <v>2.75</v>
      </c>
      <c r="E88" s="1296">
        <v>62.13</v>
      </c>
      <c r="F88" s="1297"/>
      <c r="G88" s="1297"/>
      <c r="H88" s="1298"/>
      <c r="I88" s="1298"/>
      <c r="J88" s="1722"/>
      <c r="K88" s="1248"/>
    </row>
    <row r="89" spans="2:14" ht="66.75" customHeight="1" thickBot="1" x14ac:dyDescent="0.3">
      <c r="B89" s="1191" t="s">
        <v>128</v>
      </c>
      <c r="C89" s="1258">
        <v>3</v>
      </c>
      <c r="D89" s="1258">
        <v>2.31</v>
      </c>
      <c r="E89" s="1299">
        <v>62.84</v>
      </c>
      <c r="F89" s="1300" t="s">
        <v>321</v>
      </c>
      <c r="G89" s="1301" t="s">
        <v>325</v>
      </c>
      <c r="H89" s="1301" t="s">
        <v>322</v>
      </c>
      <c r="I89" s="1302" t="s">
        <v>652</v>
      </c>
      <c r="J89" s="1723"/>
      <c r="K89" s="1248"/>
    </row>
    <row r="90" spans="2:14" ht="51" hidden="1" customHeight="1" x14ac:dyDescent="0.25">
      <c r="B90" s="1303" t="s">
        <v>283</v>
      </c>
      <c r="C90" s="1258">
        <v>4.88</v>
      </c>
      <c r="D90" s="1258">
        <v>1.83</v>
      </c>
      <c r="E90" s="1299">
        <v>46.62</v>
      </c>
      <c r="F90" s="1304">
        <v>6.66</v>
      </c>
      <c r="G90" s="1305">
        <v>2.1800000000000002</v>
      </c>
      <c r="H90" s="1297" t="s">
        <v>647</v>
      </c>
      <c r="I90" s="1306" t="s">
        <v>647</v>
      </c>
      <c r="J90" s="1723"/>
      <c r="K90" s="1248"/>
    </row>
    <row r="91" spans="2:14" ht="45" customHeight="1" thickBot="1" x14ac:dyDescent="0.55000000000000004">
      <c r="B91" s="1239" t="s">
        <v>323</v>
      </c>
      <c r="C91" s="1258">
        <v>4.83</v>
      </c>
      <c r="D91" s="1258">
        <v>2.44</v>
      </c>
      <c r="E91" s="1299">
        <v>57.04</v>
      </c>
      <c r="F91" s="1307">
        <v>8.48</v>
      </c>
      <c r="G91" s="1258">
        <v>2.72</v>
      </c>
      <c r="H91" s="1258">
        <v>9.91</v>
      </c>
      <c r="I91" s="1279">
        <v>3.66</v>
      </c>
      <c r="J91" s="1723"/>
      <c r="K91" s="1248"/>
      <c r="L91" s="1076"/>
    </row>
    <row r="92" spans="2:14" ht="51.75" hidden="1" customHeight="1" thickBot="1" x14ac:dyDescent="0.7">
      <c r="B92" s="1308"/>
      <c r="C92" s="1309"/>
      <c r="D92" s="1309"/>
      <c r="E92" s="1310"/>
      <c r="F92" s="1311"/>
      <c r="G92" s="1312"/>
      <c r="H92" s="1313"/>
      <c r="I92" s="1314"/>
      <c r="J92" s="1723"/>
      <c r="K92" s="1248"/>
      <c r="L92" s="1022"/>
    </row>
    <row r="93" spans="2:14" ht="43.5" customHeight="1" thickBot="1" x14ac:dyDescent="0.7">
      <c r="B93" s="1315" t="s">
        <v>250</v>
      </c>
      <c r="C93" s="1253" t="s">
        <v>60</v>
      </c>
      <c r="D93" s="1316" t="s">
        <v>22</v>
      </c>
      <c r="E93" s="1255" t="s">
        <v>389</v>
      </c>
      <c r="F93" s="1260" t="s">
        <v>23</v>
      </c>
      <c r="G93" s="1317" t="s">
        <v>24</v>
      </c>
      <c r="H93" s="1219" t="s">
        <v>566</v>
      </c>
      <c r="I93" s="1317" t="s">
        <v>567</v>
      </c>
      <c r="J93" s="1723"/>
      <c r="K93" s="1248"/>
    </row>
    <row r="94" spans="2:14" ht="43.5" customHeight="1" x14ac:dyDescent="0.65">
      <c r="B94" s="1318" t="s">
        <v>58</v>
      </c>
      <c r="C94" s="1202">
        <v>2.7</v>
      </c>
      <c r="D94" s="1202">
        <v>14</v>
      </c>
      <c r="E94" s="1299">
        <v>1</v>
      </c>
      <c r="F94" s="1319">
        <v>87.1</v>
      </c>
      <c r="G94" s="1320">
        <v>7.4</v>
      </c>
      <c r="H94" s="1321" t="s">
        <v>647</v>
      </c>
      <c r="I94" s="1322" t="s">
        <v>647</v>
      </c>
      <c r="J94" s="1723"/>
      <c r="K94" s="1248"/>
      <c r="L94" s="1053"/>
    </row>
    <row r="95" spans="2:14" ht="43.5" customHeight="1" thickBot="1" x14ac:dyDescent="0.7">
      <c r="B95" s="1323" t="s">
        <v>56</v>
      </c>
      <c r="C95" s="1258">
        <v>0.63</v>
      </c>
      <c r="D95" s="1202">
        <v>13.5</v>
      </c>
      <c r="E95" s="1299">
        <v>0.99</v>
      </c>
      <c r="F95" s="1324">
        <v>90.1</v>
      </c>
      <c r="G95" s="1325">
        <v>5.4</v>
      </c>
      <c r="H95" s="1288">
        <v>68.900000000000006</v>
      </c>
      <c r="I95" s="1265">
        <v>21.6</v>
      </c>
      <c r="J95" s="1723"/>
      <c r="K95" s="1248"/>
      <c r="L95" s="1076"/>
      <c r="M95" s="1023"/>
    </row>
    <row r="96" spans="2:14" ht="43.5" customHeight="1" thickBot="1" x14ac:dyDescent="0.55000000000000004">
      <c r="B96" s="1260" t="s">
        <v>246</v>
      </c>
      <c r="C96" s="1241" t="s">
        <v>55</v>
      </c>
      <c r="D96" s="1253" t="s">
        <v>25</v>
      </c>
      <c r="E96" s="1253" t="s">
        <v>54</v>
      </c>
      <c r="F96" s="1317" t="s">
        <v>26</v>
      </c>
      <c r="G96" s="1663"/>
      <c r="H96" s="1648"/>
      <c r="I96" s="1648"/>
      <c r="J96" s="1724"/>
      <c r="K96" s="1326"/>
      <c r="L96" s="1053"/>
      <c r="M96" s="1023"/>
    </row>
    <row r="97" spans="1:15" ht="43.5" customHeight="1" x14ac:dyDescent="0.65">
      <c r="B97" s="1327" t="s">
        <v>288</v>
      </c>
      <c r="C97" s="1328">
        <v>0.32</v>
      </c>
      <c r="D97" s="1329">
        <v>2.3E-2</v>
      </c>
      <c r="E97" s="1329">
        <v>5.1999999999999998E-2</v>
      </c>
      <c r="F97" s="1329">
        <v>9.2999999999999999E-2</v>
      </c>
      <c r="G97" s="1713" t="s">
        <v>257</v>
      </c>
      <c r="H97" s="1714"/>
      <c r="I97" s="1714"/>
      <c r="J97" s="1714"/>
      <c r="K97" s="1715"/>
      <c r="L97" s="1022"/>
    </row>
    <row r="98" spans="1:15" ht="43.5" customHeight="1" thickBot="1" x14ac:dyDescent="0.7">
      <c r="B98" s="1330" t="s">
        <v>289</v>
      </c>
      <c r="C98" s="1331">
        <v>1.24</v>
      </c>
      <c r="D98" s="1332">
        <v>4.8000000000000001E-2</v>
      </c>
      <c r="E98" s="1332">
        <v>8.5999999999999993E-2</v>
      </c>
      <c r="F98" s="1332">
        <v>0.157</v>
      </c>
      <c r="G98" s="1333" t="s">
        <v>53</v>
      </c>
      <c r="H98" s="1334" t="s">
        <v>445</v>
      </c>
      <c r="I98" s="1334" t="s">
        <v>409</v>
      </c>
      <c r="J98" s="1335" t="s">
        <v>636</v>
      </c>
      <c r="K98" s="1336" t="s">
        <v>1</v>
      </c>
      <c r="L98" s="1077"/>
    </row>
    <row r="99" spans="1:15" ht="42.75" thickBot="1" x14ac:dyDescent="0.7">
      <c r="B99" s="1691"/>
      <c r="C99" s="1692"/>
      <c r="D99" s="1692"/>
      <c r="E99" s="1692"/>
      <c r="F99" s="1693"/>
      <c r="G99" s="1337" t="s">
        <v>332</v>
      </c>
      <c r="H99" s="1177">
        <v>33019.740000000005</v>
      </c>
      <c r="I99" s="1177">
        <v>13320.500000000002</v>
      </c>
      <c r="J99" s="1178">
        <v>3466</v>
      </c>
      <c r="K99" s="1338">
        <v>49806.240000000005</v>
      </c>
      <c r="L99" s="1077"/>
    </row>
    <row r="100" spans="1:15" ht="51.75" customHeight="1" x14ac:dyDescent="0.55000000000000004">
      <c r="B100" s="1711" t="s">
        <v>463</v>
      </c>
      <c r="C100" s="1339" t="s">
        <v>279</v>
      </c>
      <c r="D100" s="1165" t="s">
        <v>84</v>
      </c>
      <c r="E100" s="1340" t="s">
        <v>84</v>
      </c>
      <c r="F100" s="1341" t="s">
        <v>77</v>
      </c>
      <c r="G100" s="1337" t="s">
        <v>414</v>
      </c>
      <c r="H100" s="1177">
        <v>3211.28</v>
      </c>
      <c r="I100" s="1177">
        <v>670.19999999999982</v>
      </c>
      <c r="J100" s="1178">
        <v>350</v>
      </c>
      <c r="K100" s="1338">
        <v>4231.4799999999996</v>
      </c>
      <c r="L100" s="1077"/>
    </row>
    <row r="101" spans="1:15" ht="36.75" customHeight="1" thickBot="1" x14ac:dyDescent="0.3">
      <c r="B101" s="1712"/>
      <c r="C101" s="1342" t="s">
        <v>278</v>
      </c>
      <c r="D101" s="1343" t="s">
        <v>814</v>
      </c>
      <c r="E101" s="1344" t="s">
        <v>800</v>
      </c>
      <c r="F101" s="1341" t="s">
        <v>392</v>
      </c>
      <c r="G101" s="1337" t="s">
        <v>410</v>
      </c>
      <c r="H101" s="1177">
        <v>43723</v>
      </c>
      <c r="I101" s="1177">
        <v>0</v>
      </c>
      <c r="J101" s="1178">
        <v>390</v>
      </c>
      <c r="K101" s="1338">
        <v>44113</v>
      </c>
      <c r="L101" s="1078"/>
      <c r="M101" s="1050"/>
    </row>
    <row r="102" spans="1:15" ht="42.75" thickBot="1" x14ac:dyDescent="0.5">
      <c r="B102" s="1345" t="s">
        <v>81</v>
      </c>
      <c r="C102" s="1178">
        <v>1362.9499999999998</v>
      </c>
      <c r="D102" s="1177">
        <v>9200</v>
      </c>
      <c r="E102" s="1338">
        <v>8743</v>
      </c>
      <c r="F102" s="1341">
        <v>909</v>
      </c>
      <c r="G102" s="1346" t="s">
        <v>411</v>
      </c>
      <c r="H102" s="1347">
        <v>79954.02</v>
      </c>
      <c r="I102" s="1347">
        <v>13990.7</v>
      </c>
      <c r="J102" s="1213">
        <v>4206</v>
      </c>
      <c r="K102" s="1348">
        <v>98150.720000000001</v>
      </c>
      <c r="L102" s="1079"/>
      <c r="M102" s="1080"/>
      <c r="N102" s="1063"/>
      <c r="O102" s="1047"/>
    </row>
    <row r="103" spans="1:15" ht="48.75" customHeight="1" thickBot="1" x14ac:dyDescent="0.5">
      <c r="B103" s="1337" t="s">
        <v>80</v>
      </c>
      <c r="C103" s="1177">
        <v>11037.754000000001</v>
      </c>
      <c r="D103" s="1177">
        <v>12877</v>
      </c>
      <c r="E103" s="1338">
        <v>16906</v>
      </c>
      <c r="F103" s="1341" t="s">
        <v>393</v>
      </c>
      <c r="G103" s="1349"/>
      <c r="H103" s="1350">
        <v>3076.94</v>
      </c>
      <c r="I103" s="1351"/>
      <c r="J103" s="1352"/>
      <c r="K103" s="1353"/>
      <c r="L103" s="1079"/>
      <c r="M103" s="1020"/>
      <c r="N103" s="1063"/>
      <c r="O103" s="1047"/>
    </row>
    <row r="104" spans="1:15" ht="46.5" customHeight="1" x14ac:dyDescent="0.65">
      <c r="B104" s="1337" t="s">
        <v>79</v>
      </c>
      <c r="C104" s="1177">
        <v>4856.4230000000016</v>
      </c>
      <c r="D104" s="1177">
        <v>23177</v>
      </c>
      <c r="E104" s="1338">
        <v>21219</v>
      </c>
      <c r="F104" s="1341">
        <v>390</v>
      </c>
      <c r="G104" s="1684" t="s">
        <v>472</v>
      </c>
      <c r="H104" s="1686" t="s">
        <v>457</v>
      </c>
      <c r="I104" s="1688" t="s">
        <v>458</v>
      </c>
      <c r="J104" s="940"/>
      <c r="K104" s="1354"/>
      <c r="L104" s="1079"/>
      <c r="M104" s="1020"/>
    </row>
    <row r="105" spans="1:15" ht="43.5" customHeight="1" thickBot="1" x14ac:dyDescent="0.4">
      <c r="B105" s="1355" t="s">
        <v>286</v>
      </c>
      <c r="C105" s="1177">
        <v>17257.127000000004</v>
      </c>
      <c r="D105" s="1177">
        <v>45254</v>
      </c>
      <c r="E105" s="1338">
        <v>46868</v>
      </c>
      <c r="F105" s="1356"/>
      <c r="G105" s="1685"/>
      <c r="H105" s="1687"/>
      <c r="I105" s="1689"/>
      <c r="J105" s="1357"/>
      <c r="K105" s="1358"/>
      <c r="L105" s="1079"/>
      <c r="M105" s="1020"/>
    </row>
    <row r="106" spans="1:15" ht="51" customHeight="1" x14ac:dyDescent="0.35">
      <c r="B106" s="1337" t="s">
        <v>382</v>
      </c>
      <c r="C106" s="1177">
        <v>13320.500000000002</v>
      </c>
      <c r="D106" s="1177">
        <v>16027</v>
      </c>
      <c r="E106" s="1338">
        <v>8114</v>
      </c>
      <c r="F106" s="1359"/>
      <c r="G106" s="1360" t="s">
        <v>280</v>
      </c>
      <c r="H106" s="1361">
        <v>80.489999999999995</v>
      </c>
      <c r="I106" s="1338">
        <v>3791.3299999999995</v>
      </c>
      <c r="J106" s="1362">
        <v>-6071.5000000000018</v>
      </c>
      <c r="K106" s="1366"/>
      <c r="L106" s="1079"/>
      <c r="M106" s="1020"/>
    </row>
    <row r="107" spans="1:15" ht="51" customHeight="1" x14ac:dyDescent="0.35">
      <c r="B107" s="1363" t="s">
        <v>608</v>
      </c>
      <c r="C107" s="1177">
        <v>670.19999999999982</v>
      </c>
      <c r="D107" s="1177">
        <v>1080</v>
      </c>
      <c r="E107" s="1338">
        <v>1093</v>
      </c>
      <c r="F107" s="1362"/>
      <c r="G107" s="1364" t="s">
        <v>618</v>
      </c>
      <c r="H107" s="1365">
        <v>2996.4500000000003</v>
      </c>
      <c r="I107" s="1338">
        <v>110029.45</v>
      </c>
      <c r="J107" s="1362">
        <v>2997</v>
      </c>
      <c r="K107" s="1358"/>
      <c r="L107" s="1079"/>
      <c r="M107" s="1020"/>
    </row>
    <row r="108" spans="1:15" ht="79.5" customHeight="1" x14ac:dyDescent="0.25">
      <c r="B108" s="1363" t="s">
        <v>609</v>
      </c>
      <c r="C108" s="1177">
        <v>14899.7</v>
      </c>
      <c r="D108" s="1177">
        <v>18016</v>
      </c>
      <c r="E108" s="1338">
        <v>11840</v>
      </c>
      <c r="F108" s="1362"/>
      <c r="G108" s="1364" t="s">
        <v>455</v>
      </c>
      <c r="H108" s="1365">
        <v>0</v>
      </c>
      <c r="I108" s="1338">
        <v>3360</v>
      </c>
      <c r="J108" s="1357"/>
      <c r="K108" s="1366"/>
      <c r="L108" s="1079"/>
      <c r="M108" s="1050"/>
    </row>
    <row r="109" spans="1:15" ht="51.75" customHeight="1" thickBot="1" x14ac:dyDescent="0.3">
      <c r="B109" s="1337" t="s">
        <v>383</v>
      </c>
      <c r="C109" s="1177">
        <v>32156.827000000005</v>
      </c>
      <c r="D109" s="1177">
        <v>63270</v>
      </c>
      <c r="E109" s="1338">
        <v>58708</v>
      </c>
      <c r="F109" s="1362"/>
      <c r="G109" s="1367" t="s">
        <v>616</v>
      </c>
      <c r="H109" s="1368">
        <v>0</v>
      </c>
      <c r="I109" s="1369">
        <v>2164.5499999999997</v>
      </c>
      <c r="J109" s="1357"/>
      <c r="K109" s="1366"/>
      <c r="L109" s="1079"/>
      <c r="M109" s="1049"/>
    </row>
    <row r="110" spans="1:15" ht="54.75" customHeight="1" thickBot="1" x14ac:dyDescent="0.3">
      <c r="B110" s="1337" t="s">
        <v>277</v>
      </c>
      <c r="C110" s="1177">
        <v>2651.5709999999999</v>
      </c>
      <c r="D110" s="1177">
        <v>612</v>
      </c>
      <c r="E110" s="1338">
        <v>662</v>
      </c>
      <c r="F110" s="1370"/>
      <c r="G110" s="1371" t="s">
        <v>50</v>
      </c>
      <c r="H110" s="1372">
        <v>3076.94</v>
      </c>
      <c r="I110" s="1373">
        <v>119345.33</v>
      </c>
      <c r="J110" s="1357"/>
      <c r="K110" s="1354"/>
      <c r="L110" s="1079"/>
      <c r="M110" s="1049"/>
    </row>
    <row r="111" spans="1:15" ht="42.75" thickBot="1" x14ac:dyDescent="0.55000000000000004">
      <c r="A111" s="1075"/>
      <c r="B111" s="1337" t="s">
        <v>96</v>
      </c>
      <c r="C111" s="1178">
        <v>10582.419999999998</v>
      </c>
      <c r="D111" s="1178">
        <v>11512</v>
      </c>
      <c r="E111" s="1207">
        <v>3680</v>
      </c>
      <c r="F111" s="1374">
        <v>0</v>
      </c>
      <c r="G111" s="1375" t="s">
        <v>617</v>
      </c>
      <c r="H111" s="1376">
        <v>1030.94</v>
      </c>
      <c r="I111" s="1377">
        <v>23389.899999999994</v>
      </c>
      <c r="J111" s="1357"/>
      <c r="K111" s="1354"/>
      <c r="L111" s="1079"/>
      <c r="M111" s="1081"/>
    </row>
    <row r="112" spans="1:15" ht="42" customHeight="1" thickBot="1" x14ac:dyDescent="0.55000000000000004">
      <c r="A112" s="1075"/>
      <c r="B112" s="1378" t="s">
        <v>631</v>
      </c>
      <c r="C112" s="1292">
        <v>-4833.0999999999995</v>
      </c>
      <c r="D112" s="1292">
        <v>0</v>
      </c>
      <c r="E112" s="1293">
        <v>0</v>
      </c>
      <c r="F112" s="1379"/>
      <c r="G112" s="1668"/>
      <c r="H112" s="1668"/>
      <c r="I112" s="1668"/>
      <c r="J112" s="1380"/>
      <c r="K112" s="1381"/>
      <c r="L112" s="1079"/>
      <c r="M112" s="1081"/>
    </row>
    <row r="113" spans="1:122" s="1031" customFormat="1" ht="64.150000000000006" customHeight="1" x14ac:dyDescent="0.5">
      <c r="A113" s="1082"/>
      <c r="B113" s="1382" t="s">
        <v>638</v>
      </c>
      <c r="C113" s="1383"/>
      <c r="D113" s="1383"/>
      <c r="E113" s="1382"/>
      <c r="F113" s="1383"/>
      <c r="G113" s="1383"/>
      <c r="H113" s="1383"/>
      <c r="I113" s="1383"/>
      <c r="J113" s="1384"/>
      <c r="K113" s="1385"/>
      <c r="L113" s="1058"/>
      <c r="M113" s="1081"/>
      <c r="N113" s="1019"/>
      <c r="O113" s="1019"/>
      <c r="P113" s="1019"/>
      <c r="Q113" s="1019"/>
      <c r="R113" s="1019"/>
      <c r="S113" s="1019"/>
      <c r="T113" s="1019"/>
      <c r="U113" s="1019"/>
      <c r="V113" s="1019"/>
      <c r="W113" s="1019"/>
      <c r="X113" s="1019"/>
      <c r="Y113" s="1019"/>
      <c r="Z113" s="1019"/>
      <c r="AA113" s="1019"/>
      <c r="AB113" s="1019"/>
      <c r="AC113" s="1019"/>
      <c r="AD113" s="1019"/>
      <c r="AE113" s="1019"/>
      <c r="AF113" s="1019"/>
      <c r="AG113" s="1019"/>
      <c r="AH113" s="1019"/>
      <c r="AI113" s="1019"/>
      <c r="AJ113" s="1019"/>
      <c r="AK113" s="1019"/>
      <c r="AL113" s="1019"/>
      <c r="AM113" s="1019"/>
      <c r="AN113" s="1019"/>
      <c r="AO113" s="1019"/>
      <c r="AP113" s="1019"/>
      <c r="AQ113" s="1019"/>
      <c r="AR113" s="1019"/>
      <c r="AS113" s="1019"/>
      <c r="AT113" s="1019"/>
      <c r="AU113" s="1019"/>
      <c r="AV113" s="1019"/>
      <c r="AW113" s="1019"/>
      <c r="AX113" s="1019"/>
      <c r="AY113" s="1019"/>
      <c r="AZ113" s="1019"/>
      <c r="BA113" s="1019"/>
      <c r="BB113" s="1019"/>
      <c r="BC113" s="1019"/>
      <c r="BD113" s="1019"/>
      <c r="BE113" s="1019"/>
      <c r="BF113" s="1019"/>
      <c r="BG113" s="1019"/>
      <c r="BH113" s="1019"/>
      <c r="BI113" s="1019"/>
      <c r="BJ113" s="1019"/>
      <c r="BK113" s="1019"/>
      <c r="BL113" s="1019"/>
      <c r="BM113" s="1019"/>
      <c r="BN113" s="1019"/>
      <c r="BO113" s="1019"/>
      <c r="BP113" s="1019"/>
      <c r="BQ113" s="1019"/>
      <c r="BR113" s="1019"/>
      <c r="BS113" s="1019"/>
      <c r="BT113" s="1019"/>
      <c r="BU113" s="1019"/>
      <c r="BV113" s="1019"/>
      <c r="BW113" s="1019"/>
      <c r="BX113" s="1019"/>
      <c r="BY113" s="1019"/>
      <c r="BZ113" s="1019"/>
      <c r="CA113" s="1019"/>
      <c r="CB113" s="1019"/>
      <c r="CC113" s="1019"/>
      <c r="CD113" s="1019"/>
      <c r="CE113" s="1019"/>
      <c r="CF113" s="1019"/>
      <c r="CG113" s="1019"/>
      <c r="CH113" s="1019"/>
      <c r="CI113" s="1019"/>
      <c r="CJ113" s="1019"/>
      <c r="CK113" s="1019"/>
      <c r="CL113" s="1019"/>
      <c r="CM113" s="1019"/>
      <c r="CN113" s="1019"/>
      <c r="CO113" s="1019"/>
      <c r="CP113" s="1019"/>
      <c r="CQ113" s="1019"/>
      <c r="CR113" s="1019"/>
      <c r="CS113" s="1019"/>
      <c r="CT113" s="1019"/>
      <c r="CU113" s="1019"/>
      <c r="CV113" s="1019"/>
      <c r="CW113" s="1019"/>
      <c r="CX113" s="1019"/>
      <c r="CY113" s="1019"/>
      <c r="CZ113" s="1019"/>
      <c r="DA113" s="1019"/>
      <c r="DB113" s="1019"/>
      <c r="DC113" s="1019"/>
      <c r="DD113" s="1019"/>
      <c r="DE113" s="1019"/>
      <c r="DF113" s="1019"/>
      <c r="DG113" s="1019"/>
      <c r="DH113" s="1019"/>
      <c r="DI113" s="1019"/>
      <c r="DJ113" s="1019"/>
      <c r="DK113" s="1019"/>
      <c r="DL113" s="1019"/>
      <c r="DM113" s="1019"/>
      <c r="DN113" s="1019"/>
      <c r="DO113" s="1019"/>
      <c r="DP113" s="1019"/>
      <c r="DQ113" s="1019"/>
      <c r="DR113" s="1019"/>
    </row>
    <row r="114" spans="1:122" ht="54" customHeight="1" x14ac:dyDescent="0.9">
      <c r="A114" s="1075"/>
      <c r="C114" s="1083"/>
      <c r="D114" s="1083"/>
      <c r="E114" s="1092"/>
      <c r="F114" s="1092"/>
      <c r="G114" s="1084"/>
      <c r="H114" s="1053"/>
      <c r="I114" s="1070"/>
      <c r="J114" s="1070"/>
      <c r="K114" s="1085"/>
      <c r="L114" s="1055"/>
    </row>
    <row r="115" spans="1:122" ht="46.5" x14ac:dyDescent="0.7">
      <c r="C115" s="1084"/>
      <c r="D115" s="1086"/>
      <c r="E115" s="1092"/>
      <c r="F115" s="1092"/>
      <c r="H115" s="1087"/>
      <c r="I115" s="1088"/>
      <c r="K115" s="1070"/>
    </row>
    <row r="116" spans="1:122" ht="92.25" x14ac:dyDescent="1.35">
      <c r="C116" s="1084"/>
      <c r="D116" s="1086"/>
      <c r="E116" s="1093"/>
      <c r="F116" s="1093"/>
      <c r="H116" s="1089"/>
      <c r="I116" s="1463"/>
      <c r="J116" s="1088"/>
      <c r="K116" s="1049"/>
    </row>
    <row r="117" spans="1:122" ht="46.5" x14ac:dyDescent="0.7">
      <c r="C117" s="1084"/>
      <c r="D117" s="1086"/>
      <c r="K117" s="1049"/>
    </row>
    <row r="118" spans="1:122" ht="35.25" customHeight="1" x14ac:dyDescent="0.7">
      <c r="C118" s="1086"/>
      <c r="D118" s="1090"/>
      <c r="F118" s="1084"/>
      <c r="G118" s="1091"/>
      <c r="H118" s="1022"/>
      <c r="I118" s="1088"/>
      <c r="K118" s="1049"/>
    </row>
    <row r="119" spans="1:122" ht="21" x14ac:dyDescent="0.35">
      <c r="C119" s="1086"/>
      <c r="K119" s="1049"/>
    </row>
    <row r="120" spans="1:122" ht="21" x14ac:dyDescent="0.35">
      <c r="B120" s="1075"/>
      <c r="C120" s="1086"/>
      <c r="K120" s="1049"/>
    </row>
    <row r="121" spans="1:122" x14ac:dyDescent="0.25">
      <c r="K121" s="1049"/>
    </row>
    <row r="129" spans="2:2" ht="33.75" x14ac:dyDescent="0.5">
      <c r="B129" s="1059"/>
    </row>
  </sheetData>
  <mergeCells count="57">
    <mergeCell ref="E5:F5"/>
    <mergeCell ref="F76:G76"/>
    <mergeCell ref="F70:G70"/>
    <mergeCell ref="F77:G77"/>
    <mergeCell ref="F75:G75"/>
    <mergeCell ref="D68:E68"/>
    <mergeCell ref="D57:D58"/>
    <mergeCell ref="F66:G66"/>
    <mergeCell ref="C63:E63"/>
    <mergeCell ref="B6:B7"/>
    <mergeCell ref="E22:E24"/>
    <mergeCell ref="B100:B101"/>
    <mergeCell ref="G97:K97"/>
    <mergeCell ref="E57:G58"/>
    <mergeCell ref="J88:J96"/>
    <mergeCell ref="F84:G84"/>
    <mergeCell ref="F82:G82"/>
    <mergeCell ref="F83:G83"/>
    <mergeCell ref="F85:G85"/>
    <mergeCell ref="F86:G86"/>
    <mergeCell ref="B69:E69"/>
    <mergeCell ref="C62:E62"/>
    <mergeCell ref="C61:E61"/>
    <mergeCell ref="F61:G61"/>
    <mergeCell ref="F60:G60"/>
    <mergeCell ref="G112:I112"/>
    <mergeCell ref="F79:G79"/>
    <mergeCell ref="B84:E86"/>
    <mergeCell ref="B57:B58"/>
    <mergeCell ref="C57:C58"/>
    <mergeCell ref="G104:G105"/>
    <mergeCell ref="H104:H105"/>
    <mergeCell ref="I104:I105"/>
    <mergeCell ref="F81:G81"/>
    <mergeCell ref="B99:F99"/>
    <mergeCell ref="G96:I96"/>
    <mergeCell ref="F87:G87"/>
    <mergeCell ref="F78:G78"/>
    <mergeCell ref="B79:E83"/>
    <mergeCell ref="F59:G59"/>
    <mergeCell ref="F62:G62"/>
    <mergeCell ref="F4:I4"/>
    <mergeCell ref="I6:I7"/>
    <mergeCell ref="F80:G80"/>
    <mergeCell ref="F74:G74"/>
    <mergeCell ref="G5:I5"/>
    <mergeCell ref="F68:G68"/>
    <mergeCell ref="F72:G72"/>
    <mergeCell ref="F69:G69"/>
    <mergeCell ref="F71:G71"/>
    <mergeCell ref="F73:G73"/>
    <mergeCell ref="F25:F28"/>
    <mergeCell ref="G27:I28"/>
    <mergeCell ref="F63:G63"/>
    <mergeCell ref="F64:G64"/>
    <mergeCell ref="F65:G65"/>
    <mergeCell ref="F67:G67"/>
  </mergeCells>
  <conditionalFormatting sqref="C111">
    <cfRule type="expression" priority="3">
      <formula>"max(0,c111)"</formula>
    </cfRule>
  </conditionalFormatting>
  <conditionalFormatting sqref="J9:J21">
    <cfRule type="cellIs" dxfId="12" priority="6" operator="lessThan">
      <formula>0</formula>
    </cfRule>
  </conditionalFormatting>
  <conditionalFormatting sqref="J30:J39">
    <cfRule type="cellIs" dxfId="11" priority="1" operator="lessThan">
      <formula>0</formula>
    </cfRule>
  </conditionalFormatting>
  <conditionalFormatting sqref="J41:J50">
    <cfRule type="cellIs" dxfId="10" priority="4" operator="lessThan">
      <formula>0</formula>
    </cfRule>
  </conditionalFormatting>
  <printOptions horizontalCentered="1" verticalCentered="1"/>
  <pageMargins left="0" right="0" top="0" bottom="0" header="0" footer="0"/>
  <pageSetup paperSize="9" scale="16" orientation="portrait" r:id="rId1"/>
  <headerFooter scaleWithDoc="0"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HJ564"/>
  <sheetViews>
    <sheetView showGridLines="0" zoomScale="32" zoomScaleNormal="32" workbookViewId="0">
      <selection activeCell="F13" sqref="F13"/>
    </sheetView>
  </sheetViews>
  <sheetFormatPr defaultColWidth="9" defaultRowHeight="12" x14ac:dyDescent="0.2"/>
  <cols>
    <col min="1" max="1" width="3.42578125" style="1094" customWidth="1"/>
    <col min="2" max="2" width="60.5703125" style="1094" customWidth="1"/>
    <col min="3" max="3" width="42.140625" style="1094" customWidth="1"/>
    <col min="4" max="4" width="42.5703125" style="1094" bestFit="1" customWidth="1"/>
    <col min="5" max="5" width="41.5703125" style="1094" customWidth="1"/>
    <col min="6" max="6" width="41.42578125" style="1094" customWidth="1"/>
    <col min="7" max="7" width="40" style="1094" customWidth="1"/>
    <col min="8" max="8" width="39" style="1094" customWidth="1"/>
    <col min="9" max="9" width="26.7109375" style="1094" customWidth="1"/>
    <col min="10" max="10" width="41.42578125" style="1094" customWidth="1"/>
    <col min="11" max="11" width="54.140625" style="1094" customWidth="1"/>
    <col min="12" max="12" width="30" style="1094" customWidth="1"/>
    <col min="13" max="13" width="43" style="1094" customWidth="1"/>
    <col min="14" max="14" width="42.7109375" style="1094" customWidth="1"/>
    <col min="15" max="15" width="33.42578125" style="1094" customWidth="1"/>
    <col min="16" max="16" width="38.5703125" style="1094" customWidth="1"/>
    <col min="17" max="17" width="32.42578125" style="1094" customWidth="1"/>
    <col min="18" max="18" width="29.7109375" style="1094" customWidth="1"/>
    <col min="19" max="19" width="32" style="1094" customWidth="1"/>
    <col min="20" max="20" width="35" style="1094" customWidth="1"/>
    <col min="21" max="21" width="35.5703125" style="1094" customWidth="1"/>
    <col min="22" max="22" width="49.7109375" style="1094" customWidth="1"/>
    <col min="23" max="23" width="12.5703125" style="1094" hidden="1" customWidth="1"/>
    <col min="24" max="24" width="5" style="1094" customWidth="1"/>
    <col min="25" max="25" width="5.42578125" style="1094" customWidth="1"/>
    <col min="26" max="26" width="32.140625" style="1094" customWidth="1"/>
    <col min="27" max="29" width="9" style="1094"/>
    <col min="30" max="30" width="14.7109375" style="1094" bestFit="1" customWidth="1"/>
    <col min="31" max="35" width="9" style="1094"/>
    <col min="36" max="36" width="10.7109375" style="1094" bestFit="1" customWidth="1"/>
    <col min="37" max="16384" width="9" style="1094"/>
  </cols>
  <sheetData>
    <row r="1" spans="2:218" ht="30.75" customHeight="1" thickBot="1" x14ac:dyDescent="0.25"/>
    <row r="2" spans="2:218" ht="39.4" customHeight="1" x14ac:dyDescent="0.2">
      <c r="B2" s="1834" t="s">
        <v>77</v>
      </c>
      <c r="C2" s="1835"/>
      <c r="D2" s="1835"/>
      <c r="E2" s="1835"/>
      <c r="F2" s="1835"/>
      <c r="G2" s="1835"/>
      <c r="H2" s="1835"/>
      <c r="I2" s="1835"/>
      <c r="J2" s="1835"/>
      <c r="K2" s="1835"/>
      <c r="L2" s="1835"/>
      <c r="M2" s="1835"/>
      <c r="N2" s="1835"/>
      <c r="O2" s="1835"/>
      <c r="P2" s="1835"/>
      <c r="Q2" s="1835"/>
      <c r="R2" s="1835"/>
      <c r="S2" s="1835"/>
      <c r="T2" s="1835"/>
      <c r="U2" s="1835"/>
      <c r="V2" s="1836"/>
      <c r="W2" s="1095"/>
      <c r="GX2" s="1094">
        <v>-55</v>
      </c>
      <c r="HD2" s="1094">
        <v>0</v>
      </c>
      <c r="HJ2" s="1094">
        <v>-4</v>
      </c>
    </row>
    <row r="3" spans="2:218" ht="124.5" customHeight="1" x14ac:dyDescent="0.2">
      <c r="B3" s="1133" t="s">
        <v>422</v>
      </c>
      <c r="C3" s="1395" t="s">
        <v>423</v>
      </c>
      <c r="D3" s="1395" t="s">
        <v>818</v>
      </c>
      <c r="E3" s="1395" t="s">
        <v>424</v>
      </c>
      <c r="F3" s="1395" t="s">
        <v>425</v>
      </c>
      <c r="G3" s="1395" t="s">
        <v>426</v>
      </c>
      <c r="H3" s="1395" t="s">
        <v>439</v>
      </c>
      <c r="I3" s="1134" t="s">
        <v>427</v>
      </c>
      <c r="J3" s="1814" t="s">
        <v>470</v>
      </c>
      <c r="K3" s="1395" t="s">
        <v>422</v>
      </c>
      <c r="L3" s="1395" t="s">
        <v>423</v>
      </c>
      <c r="M3" s="1135" t="s">
        <v>818</v>
      </c>
      <c r="N3" s="1395" t="s">
        <v>424</v>
      </c>
      <c r="O3" s="1395" t="s">
        <v>425</v>
      </c>
      <c r="P3" s="1395" t="s">
        <v>426</v>
      </c>
      <c r="Q3" s="1843" t="s">
        <v>439</v>
      </c>
      <c r="R3" s="1843"/>
      <c r="S3" s="1843"/>
      <c r="T3" s="1395" t="s">
        <v>427</v>
      </c>
      <c r="U3" s="1814" t="s">
        <v>470</v>
      </c>
      <c r="V3" s="1815"/>
      <c r="W3" s="1096"/>
    </row>
    <row r="4" spans="2:218" ht="72.75" customHeight="1" x14ac:dyDescent="0.7">
      <c r="B4" s="1136"/>
      <c r="C4" s="1814" t="s">
        <v>429</v>
      </c>
      <c r="D4" s="1814"/>
      <c r="E4" s="1814"/>
      <c r="F4" s="1814"/>
      <c r="G4" s="1814"/>
      <c r="H4" s="1814"/>
      <c r="I4" s="1814"/>
      <c r="J4" s="1814"/>
      <c r="K4" s="1137"/>
      <c r="L4" s="1814" t="s">
        <v>430</v>
      </c>
      <c r="M4" s="1814"/>
      <c r="N4" s="1814"/>
      <c r="O4" s="1814"/>
      <c r="P4" s="1814"/>
      <c r="Q4" s="1814"/>
      <c r="R4" s="1814"/>
      <c r="S4" s="1814"/>
      <c r="T4" s="1814"/>
      <c r="U4" s="1814"/>
      <c r="V4" s="1815"/>
      <c r="W4" s="1097"/>
    </row>
    <row r="5" spans="2:218" ht="88.5" customHeight="1" x14ac:dyDescent="0.55000000000000004">
      <c r="B5" s="1138" t="s">
        <v>358</v>
      </c>
      <c r="C5" s="1139">
        <v>40</v>
      </c>
      <c r="D5" s="1139">
        <v>1300</v>
      </c>
      <c r="E5" s="1387">
        <v>1800</v>
      </c>
      <c r="F5" s="1387">
        <v>28972</v>
      </c>
      <c r="G5" s="1387">
        <v>732.25599999999986</v>
      </c>
      <c r="H5" s="1387">
        <v>5400</v>
      </c>
      <c r="I5" s="1387">
        <v>30</v>
      </c>
      <c r="J5" s="1387">
        <v>7.3744701306646867</v>
      </c>
      <c r="K5" s="1140" t="s">
        <v>358</v>
      </c>
      <c r="L5" s="1139">
        <v>41</v>
      </c>
      <c r="M5" s="1139">
        <v>9070</v>
      </c>
      <c r="N5" s="1139">
        <v>0</v>
      </c>
      <c r="O5" s="1139">
        <v>39067</v>
      </c>
      <c r="P5" s="1387">
        <v>1397.9195999999999</v>
      </c>
      <c r="Q5" s="1825">
        <v>10080</v>
      </c>
      <c r="R5" s="1826"/>
      <c r="S5" s="1827"/>
      <c r="T5" s="1387">
        <v>0</v>
      </c>
      <c r="U5" s="1813">
        <v>7.2107151226722914</v>
      </c>
      <c r="V5" s="1828"/>
      <c r="W5" s="1098"/>
    </row>
    <row r="6" spans="2:218" ht="69" customHeight="1" x14ac:dyDescent="0.45">
      <c r="B6" s="1138" t="s">
        <v>678</v>
      </c>
      <c r="C6" s="1139">
        <v>8</v>
      </c>
      <c r="D6" s="1139">
        <v>200</v>
      </c>
      <c r="E6" s="1387">
        <v>0</v>
      </c>
      <c r="F6" s="1387">
        <v>7412</v>
      </c>
      <c r="G6" s="1387">
        <v>146.4512</v>
      </c>
      <c r="H6" s="1387">
        <v>3800</v>
      </c>
      <c r="I6" s="1387">
        <v>9</v>
      </c>
      <c r="J6" s="1387">
        <v>25.947209719005375</v>
      </c>
      <c r="K6" s="1140" t="s">
        <v>676</v>
      </c>
      <c r="L6" s="1139">
        <v>0</v>
      </c>
      <c r="M6" s="1139">
        <v>0</v>
      </c>
      <c r="N6" s="1387">
        <v>0</v>
      </c>
      <c r="O6" s="1387">
        <v>3803</v>
      </c>
      <c r="P6" s="1387">
        <v>0</v>
      </c>
      <c r="Q6" s="1825">
        <v>3800</v>
      </c>
      <c r="R6" s="1826"/>
      <c r="S6" s="1827"/>
      <c r="T6" s="1387">
        <v>0</v>
      </c>
      <c r="U6" s="1813" t="s">
        <v>180</v>
      </c>
      <c r="V6" s="1828"/>
      <c r="W6" s="1099"/>
    </row>
    <row r="7" spans="2:218" ht="91.5" customHeight="1" x14ac:dyDescent="0.4">
      <c r="B7" s="1138" t="s">
        <v>663</v>
      </c>
      <c r="C7" s="1139">
        <v>8</v>
      </c>
      <c r="D7" s="1139">
        <v>3300</v>
      </c>
      <c r="E7" s="1387">
        <v>0</v>
      </c>
      <c r="F7" s="1387">
        <v>4059</v>
      </c>
      <c r="G7" s="1387">
        <v>146.4512</v>
      </c>
      <c r="H7" s="1387">
        <v>2000</v>
      </c>
      <c r="I7" s="1387">
        <v>0</v>
      </c>
      <c r="J7" s="1387">
        <v>13.656426167897566</v>
      </c>
      <c r="K7" s="1392" t="s">
        <v>786</v>
      </c>
      <c r="L7" s="1139">
        <v>7</v>
      </c>
      <c r="M7" s="1139">
        <v>4950</v>
      </c>
      <c r="N7" s="1387">
        <v>0</v>
      </c>
      <c r="O7" s="1387">
        <v>3754</v>
      </c>
      <c r="P7" s="1387">
        <v>238.66919999999999</v>
      </c>
      <c r="Q7" s="1825">
        <v>290</v>
      </c>
      <c r="R7" s="1826"/>
      <c r="S7" s="1827"/>
      <c r="T7" s="1387">
        <v>0</v>
      </c>
      <c r="U7" s="1813">
        <v>1.2150709014820513</v>
      </c>
      <c r="V7" s="1828"/>
      <c r="W7" s="1100"/>
      <c r="Z7" s="1022"/>
    </row>
    <row r="8" spans="2:218" ht="90" customHeight="1" x14ac:dyDescent="0.4">
      <c r="B8" s="1138" t="s">
        <v>662</v>
      </c>
      <c r="C8" s="1139">
        <v>8</v>
      </c>
      <c r="D8" s="1139">
        <v>1200</v>
      </c>
      <c r="E8" s="1387">
        <v>0</v>
      </c>
      <c r="F8" s="1387">
        <v>3726</v>
      </c>
      <c r="G8" s="1387">
        <v>146.4512</v>
      </c>
      <c r="H8" s="1387">
        <v>200</v>
      </c>
      <c r="I8" s="1387">
        <v>0</v>
      </c>
      <c r="J8" s="1387">
        <v>1.3656426167897566</v>
      </c>
      <c r="K8" s="1140" t="s">
        <v>663</v>
      </c>
      <c r="L8" s="1139">
        <v>12</v>
      </c>
      <c r="M8" s="1139">
        <v>2190</v>
      </c>
      <c r="N8" s="1387">
        <v>0</v>
      </c>
      <c r="O8" s="1387">
        <v>11355</v>
      </c>
      <c r="P8" s="1387">
        <v>409.1472</v>
      </c>
      <c r="Q8" s="1825">
        <v>180</v>
      </c>
      <c r="R8" s="1826"/>
      <c r="S8" s="1827"/>
      <c r="T8" s="1387">
        <v>0</v>
      </c>
      <c r="U8" s="1813">
        <v>0.43993946432970821</v>
      </c>
      <c r="V8" s="1828"/>
      <c r="W8" s="1101"/>
    </row>
    <row r="9" spans="2:218" ht="93" customHeight="1" x14ac:dyDescent="0.4">
      <c r="B9" s="1138" t="s">
        <v>360</v>
      </c>
      <c r="C9" s="1139">
        <v>0</v>
      </c>
      <c r="D9" s="1139">
        <v>0</v>
      </c>
      <c r="E9" s="1387">
        <v>0</v>
      </c>
      <c r="F9" s="1387">
        <v>3836</v>
      </c>
      <c r="G9" s="1387">
        <v>146.4512</v>
      </c>
      <c r="H9" s="1387">
        <v>3700</v>
      </c>
      <c r="I9" s="1387">
        <v>0</v>
      </c>
      <c r="J9" s="1387">
        <v>25.264388410610497</v>
      </c>
      <c r="K9" s="1140" t="s">
        <v>787</v>
      </c>
      <c r="L9" s="1139">
        <v>10</v>
      </c>
      <c r="M9" s="1139">
        <v>1110</v>
      </c>
      <c r="N9" s="1387">
        <v>0</v>
      </c>
      <c r="O9" s="1387">
        <v>12014</v>
      </c>
      <c r="P9" s="1387">
        <v>340.95599999999996</v>
      </c>
      <c r="Q9" s="1825">
        <v>3310</v>
      </c>
      <c r="R9" s="1826"/>
      <c r="S9" s="1827"/>
      <c r="T9" s="1387">
        <v>0</v>
      </c>
      <c r="U9" s="1813">
        <v>9.7079975128755631</v>
      </c>
      <c r="V9" s="1828"/>
      <c r="W9" s="1102"/>
    </row>
    <row r="10" spans="2:218" ht="96.75" customHeight="1" x14ac:dyDescent="0.35">
      <c r="B10" s="1141" t="s">
        <v>431</v>
      </c>
      <c r="C10" s="1142">
        <v>64</v>
      </c>
      <c r="D10" s="1142">
        <v>6000</v>
      </c>
      <c r="E10" s="1389">
        <v>1800</v>
      </c>
      <c r="F10" s="1389">
        <v>48005</v>
      </c>
      <c r="G10" s="1389">
        <v>1318.0607999999997</v>
      </c>
      <c r="H10" s="1389">
        <v>15100</v>
      </c>
      <c r="I10" s="1142">
        <v>39</v>
      </c>
      <c r="J10" s="1389">
        <v>11.456224174180738</v>
      </c>
      <c r="K10" s="1143" t="s">
        <v>431</v>
      </c>
      <c r="L10" s="1389">
        <v>70</v>
      </c>
      <c r="M10" s="1389">
        <v>17320</v>
      </c>
      <c r="N10" s="1389">
        <v>0</v>
      </c>
      <c r="O10" s="1389">
        <v>69993</v>
      </c>
      <c r="P10" s="1389">
        <v>2386.692</v>
      </c>
      <c r="Q10" s="1825">
        <v>17660</v>
      </c>
      <c r="R10" s="1826"/>
      <c r="S10" s="1827"/>
      <c r="T10" s="1389">
        <v>0</v>
      </c>
      <c r="U10" s="1830">
        <v>7.3993628000596638</v>
      </c>
      <c r="V10" s="1831"/>
      <c r="W10" s="1103"/>
    </row>
    <row r="11" spans="2:218" ht="85.5" customHeight="1" x14ac:dyDescent="0.4">
      <c r="B11" s="1138" t="s">
        <v>273</v>
      </c>
      <c r="C11" s="1139">
        <v>17</v>
      </c>
      <c r="D11" s="1139">
        <v>1600</v>
      </c>
      <c r="E11" s="1387">
        <v>5280</v>
      </c>
      <c r="F11" s="1387">
        <v>12949</v>
      </c>
      <c r="G11" s="1387">
        <v>311.2088</v>
      </c>
      <c r="H11" s="1387">
        <v>7600</v>
      </c>
      <c r="I11" s="1387">
        <v>49</v>
      </c>
      <c r="J11" s="1387">
        <v>24.420903264946237</v>
      </c>
      <c r="K11" s="1140" t="s">
        <v>273</v>
      </c>
      <c r="L11" s="1139">
        <v>18</v>
      </c>
      <c r="M11" s="1139">
        <v>2720</v>
      </c>
      <c r="N11" s="1387">
        <v>0</v>
      </c>
      <c r="O11" s="1387">
        <v>11996</v>
      </c>
      <c r="P11" s="1387">
        <v>613.72080000000005</v>
      </c>
      <c r="Q11" s="1825">
        <v>4300</v>
      </c>
      <c r="R11" s="1826"/>
      <c r="S11" s="1827"/>
      <c r="T11" s="1387">
        <v>0</v>
      </c>
      <c r="U11" s="1813">
        <v>7.006443320806464</v>
      </c>
      <c r="V11" s="1828"/>
      <c r="W11" s="1102"/>
      <c r="X11" s="1094" t="s">
        <v>77</v>
      </c>
    </row>
    <row r="12" spans="2:218" ht="87.75" customHeight="1" x14ac:dyDescent="0.2">
      <c r="B12" s="1138" t="s">
        <v>806</v>
      </c>
      <c r="C12" s="1139">
        <v>0</v>
      </c>
      <c r="D12" s="1139">
        <v>0</v>
      </c>
      <c r="E12" s="1387">
        <v>0</v>
      </c>
      <c r="F12" s="1387">
        <v>0</v>
      </c>
      <c r="G12" s="1387">
        <v>0</v>
      </c>
      <c r="H12" s="1387">
        <v>0</v>
      </c>
      <c r="I12" s="1387">
        <v>0</v>
      </c>
      <c r="J12" s="1387" t="s">
        <v>180</v>
      </c>
      <c r="K12" s="1140" t="s">
        <v>359</v>
      </c>
      <c r="L12" s="1139">
        <v>0</v>
      </c>
      <c r="M12" s="1139">
        <v>0</v>
      </c>
      <c r="N12" s="1387">
        <v>0</v>
      </c>
      <c r="O12" s="1387">
        <v>0</v>
      </c>
      <c r="P12" s="1387">
        <v>0</v>
      </c>
      <c r="Q12" s="1825">
        <v>0</v>
      </c>
      <c r="R12" s="1826"/>
      <c r="S12" s="1827"/>
      <c r="T12" s="1387">
        <v>0</v>
      </c>
      <c r="U12" s="1813" t="s">
        <v>180</v>
      </c>
      <c r="V12" s="1828"/>
      <c r="W12" s="1096"/>
    </row>
    <row r="13" spans="2:218" ht="93" customHeight="1" x14ac:dyDescent="0.4">
      <c r="B13" s="1138" t="s">
        <v>359</v>
      </c>
      <c r="C13" s="1139">
        <v>0</v>
      </c>
      <c r="D13" s="1139">
        <v>0</v>
      </c>
      <c r="E13" s="1387">
        <v>0</v>
      </c>
      <c r="F13" s="1387">
        <v>0</v>
      </c>
      <c r="G13" s="1387">
        <v>0</v>
      </c>
      <c r="H13" s="1387">
        <v>0</v>
      </c>
      <c r="I13" s="1387">
        <v>0</v>
      </c>
      <c r="J13" s="1387" t="s">
        <v>180</v>
      </c>
      <c r="K13" s="1140" t="s">
        <v>361</v>
      </c>
      <c r="L13" s="1139">
        <v>0</v>
      </c>
      <c r="M13" s="1139">
        <v>0</v>
      </c>
      <c r="N13" s="1387">
        <v>0</v>
      </c>
      <c r="O13" s="1387">
        <v>0</v>
      </c>
      <c r="P13" s="1387">
        <v>0</v>
      </c>
      <c r="Q13" s="1825">
        <v>0</v>
      </c>
      <c r="R13" s="1826"/>
      <c r="S13" s="1827"/>
      <c r="T13" s="1387">
        <v>0</v>
      </c>
      <c r="U13" s="1813" t="s">
        <v>180</v>
      </c>
      <c r="V13" s="1828"/>
      <c r="W13" s="1102"/>
    </row>
    <row r="14" spans="2:218" ht="93" customHeight="1" x14ac:dyDescent="0.4">
      <c r="B14" s="1393" t="s">
        <v>622</v>
      </c>
      <c r="C14" s="1139">
        <v>8</v>
      </c>
      <c r="D14" s="1139">
        <v>6300</v>
      </c>
      <c r="E14" s="1387">
        <v>0</v>
      </c>
      <c r="F14" s="1387">
        <v>0</v>
      </c>
      <c r="G14" s="1387">
        <v>0</v>
      </c>
      <c r="H14" s="1387">
        <v>1400</v>
      </c>
      <c r="I14" s="1387">
        <v>0</v>
      </c>
      <c r="J14" s="1387" t="s">
        <v>180</v>
      </c>
      <c r="K14" s="1144" t="s">
        <v>622</v>
      </c>
      <c r="L14" s="1139">
        <v>7</v>
      </c>
      <c r="M14" s="1139">
        <v>1430</v>
      </c>
      <c r="N14" s="1387">
        <v>0</v>
      </c>
      <c r="O14" s="1387">
        <v>11512</v>
      </c>
      <c r="P14" s="1387">
        <v>238.66919999999999</v>
      </c>
      <c r="Q14" s="1825">
        <v>3890</v>
      </c>
      <c r="R14" s="1826"/>
      <c r="S14" s="1827"/>
      <c r="T14" s="1387">
        <v>0</v>
      </c>
      <c r="U14" s="1813">
        <v>16.298709678500622</v>
      </c>
      <c r="V14" s="1828"/>
      <c r="W14" s="1102"/>
    </row>
    <row r="15" spans="2:218" ht="100.5" customHeight="1" x14ac:dyDescent="0.25">
      <c r="B15" s="1141" t="s">
        <v>623</v>
      </c>
      <c r="C15" s="1142">
        <v>25</v>
      </c>
      <c r="D15" s="1142">
        <v>7900</v>
      </c>
      <c r="E15" s="1389">
        <v>5280</v>
      </c>
      <c r="F15" s="1389">
        <v>12949</v>
      </c>
      <c r="G15" s="1389">
        <v>311.2088</v>
      </c>
      <c r="H15" s="1389">
        <v>9000</v>
      </c>
      <c r="I15" s="1389">
        <v>49</v>
      </c>
      <c r="J15" s="1389">
        <v>28.919490708488965</v>
      </c>
      <c r="K15" s="1143" t="s">
        <v>432</v>
      </c>
      <c r="L15" s="1142">
        <v>25</v>
      </c>
      <c r="M15" s="1142">
        <v>4150</v>
      </c>
      <c r="N15" s="1389">
        <v>0</v>
      </c>
      <c r="O15" s="1389">
        <v>23508</v>
      </c>
      <c r="P15" s="1389">
        <v>852.3900000000001</v>
      </c>
      <c r="Q15" s="1825">
        <v>8190</v>
      </c>
      <c r="R15" s="1826"/>
      <c r="S15" s="1827"/>
      <c r="T15" s="1389">
        <v>0</v>
      </c>
      <c r="U15" s="1830">
        <v>9.608277900960827</v>
      </c>
      <c r="V15" s="1831"/>
      <c r="W15" s="1096"/>
      <c r="AJ15" s="1019"/>
    </row>
    <row r="16" spans="2:218" ht="92.25" customHeight="1" x14ac:dyDescent="0.25">
      <c r="B16" s="1138" t="s">
        <v>454</v>
      </c>
      <c r="C16" s="1139">
        <v>0</v>
      </c>
      <c r="D16" s="1139">
        <v>0</v>
      </c>
      <c r="E16" s="1387">
        <v>0</v>
      </c>
      <c r="F16" s="1387">
        <v>0</v>
      </c>
      <c r="G16" s="1387">
        <v>0</v>
      </c>
      <c r="H16" s="1387">
        <v>0</v>
      </c>
      <c r="I16" s="1387">
        <v>0</v>
      </c>
      <c r="J16" s="1387" t="s">
        <v>180</v>
      </c>
      <c r="K16" s="1140" t="s">
        <v>677</v>
      </c>
      <c r="L16" s="1387">
        <v>0</v>
      </c>
      <c r="M16" s="1387">
        <v>0</v>
      </c>
      <c r="N16" s="1387">
        <v>0</v>
      </c>
      <c r="O16" s="1387">
        <v>0</v>
      </c>
      <c r="P16" s="1387">
        <v>0</v>
      </c>
      <c r="Q16" s="1825">
        <v>0</v>
      </c>
      <c r="R16" s="1826"/>
      <c r="S16" s="1827"/>
      <c r="T16" s="1387">
        <v>0</v>
      </c>
      <c r="U16" s="1813" t="s">
        <v>180</v>
      </c>
      <c r="V16" s="1828"/>
      <c r="W16" s="1096"/>
      <c r="AJ16" s="1019"/>
    </row>
    <row r="17" spans="1:119" ht="90.75" customHeight="1" x14ac:dyDescent="0.2">
      <c r="B17" s="1138" t="s">
        <v>384</v>
      </c>
      <c r="C17" s="1139">
        <v>11</v>
      </c>
      <c r="D17" s="1139">
        <v>3200</v>
      </c>
      <c r="E17" s="1387">
        <v>0</v>
      </c>
      <c r="F17" s="1387">
        <v>3886</v>
      </c>
      <c r="G17" s="1387">
        <v>201.37039999999996</v>
      </c>
      <c r="H17" s="1387">
        <v>1100</v>
      </c>
      <c r="I17" s="1387">
        <v>0</v>
      </c>
      <c r="J17" s="1387">
        <v>5.4625704671590274</v>
      </c>
      <c r="K17" s="1140" t="s">
        <v>384</v>
      </c>
      <c r="L17" s="1139">
        <v>5</v>
      </c>
      <c r="M17" s="1139">
        <v>350</v>
      </c>
      <c r="N17" s="1387">
        <v>0</v>
      </c>
      <c r="O17" s="1387">
        <v>7491</v>
      </c>
      <c r="P17" s="1387">
        <v>170.47799999999998</v>
      </c>
      <c r="Q17" s="1825">
        <v>3080</v>
      </c>
      <c r="R17" s="1826"/>
      <c r="S17" s="1827"/>
      <c r="T17" s="1387">
        <v>0</v>
      </c>
      <c r="U17" s="1813">
        <v>18.066847335140022</v>
      </c>
      <c r="V17" s="1828"/>
      <c r="W17" s="1096"/>
    </row>
    <row r="18" spans="1:119" ht="86.25" customHeight="1" x14ac:dyDescent="0.2">
      <c r="B18" s="1141" t="s">
        <v>433</v>
      </c>
      <c r="C18" s="1142">
        <v>11</v>
      </c>
      <c r="D18" s="1142">
        <v>3200</v>
      </c>
      <c r="E18" s="1389">
        <v>0</v>
      </c>
      <c r="F18" s="1389">
        <v>3886</v>
      </c>
      <c r="G18" s="1389">
        <v>201.37039999999996</v>
      </c>
      <c r="H18" s="1389">
        <v>1100</v>
      </c>
      <c r="I18" s="1389">
        <v>0</v>
      </c>
      <c r="J18" s="1389">
        <v>5.4625704671590274</v>
      </c>
      <c r="K18" s="1143" t="s">
        <v>433</v>
      </c>
      <c r="L18" s="1142">
        <v>5</v>
      </c>
      <c r="M18" s="1389">
        <v>350</v>
      </c>
      <c r="N18" s="1389">
        <v>0</v>
      </c>
      <c r="O18" s="1389">
        <v>7491</v>
      </c>
      <c r="P18" s="1389">
        <v>170.47799999999998</v>
      </c>
      <c r="Q18" s="1825">
        <v>3080</v>
      </c>
      <c r="R18" s="1826"/>
      <c r="S18" s="1827"/>
      <c r="T18" s="1389">
        <v>0</v>
      </c>
      <c r="U18" s="1813">
        <v>18.066847335140022</v>
      </c>
      <c r="V18" s="1828"/>
      <c r="W18" s="1096"/>
    </row>
    <row r="19" spans="1:119" ht="95.25" customHeight="1" x14ac:dyDescent="0.9">
      <c r="B19" s="1141" t="s">
        <v>434</v>
      </c>
      <c r="C19" s="1389">
        <v>100</v>
      </c>
      <c r="D19" s="1389">
        <v>17100</v>
      </c>
      <c r="E19" s="1389">
        <v>7080</v>
      </c>
      <c r="F19" s="1389">
        <v>64840</v>
      </c>
      <c r="G19" s="1389">
        <v>1830.6399999999996</v>
      </c>
      <c r="H19" s="1389">
        <v>25200</v>
      </c>
      <c r="I19" s="1389">
        <v>88</v>
      </c>
      <c r="J19" s="1389">
        <v>13.76567757724075</v>
      </c>
      <c r="K19" s="1143" t="s">
        <v>434</v>
      </c>
      <c r="L19" s="1142">
        <v>100</v>
      </c>
      <c r="M19" s="1389">
        <v>21820</v>
      </c>
      <c r="N19" s="1389">
        <v>0</v>
      </c>
      <c r="O19" s="1389">
        <v>100992</v>
      </c>
      <c r="P19" s="1389">
        <v>3409.5600000000004</v>
      </c>
      <c r="Q19" s="1840">
        <v>28930</v>
      </c>
      <c r="R19" s="1841"/>
      <c r="S19" s="1842"/>
      <c r="T19" s="1389">
        <v>0</v>
      </c>
      <c r="U19" s="1830">
        <v>8.4849658020389711</v>
      </c>
      <c r="V19" s="1831"/>
      <c r="W19" s="1104"/>
      <c r="X19" s="1105"/>
      <c r="Y19" s="1105"/>
      <c r="Z19" s="1083"/>
      <c r="AA19" s="1105"/>
      <c r="AB19" s="1105"/>
      <c r="AC19" s="1105"/>
      <c r="AD19" s="1084"/>
      <c r="AE19" s="1105"/>
      <c r="AF19" s="1105"/>
      <c r="AG19" s="1105"/>
      <c r="AH19" s="1105"/>
      <c r="AI19" s="1105"/>
      <c r="AJ19" s="1105"/>
    </row>
    <row r="20" spans="1:119" ht="42" x14ac:dyDescent="0.65">
      <c r="B20" s="1837"/>
      <c r="C20" s="1838"/>
      <c r="D20" s="1838"/>
      <c r="E20" s="1838"/>
      <c r="F20" s="1838"/>
      <c r="G20" s="1838"/>
      <c r="H20" s="1838"/>
      <c r="I20" s="1838"/>
      <c r="J20" s="1838"/>
      <c r="K20" s="1838"/>
      <c r="L20" s="1838"/>
      <c r="M20" s="1838"/>
      <c r="N20" s="1838"/>
      <c r="O20" s="1838"/>
      <c r="P20" s="1838"/>
      <c r="Q20" s="1838"/>
      <c r="R20" s="1838"/>
      <c r="S20" s="1838"/>
      <c r="T20" s="1838"/>
      <c r="U20" s="1838"/>
      <c r="V20" s="1839"/>
      <c r="W20" s="1104"/>
      <c r="X20" s="1105"/>
      <c r="Y20" s="1105"/>
      <c r="Z20" s="1105"/>
      <c r="AA20" s="1105"/>
      <c r="AB20" s="1105"/>
      <c r="AC20" s="1105"/>
      <c r="AD20" s="1105"/>
      <c r="AE20" s="1105"/>
      <c r="AF20" s="1105"/>
      <c r="AG20" s="1105"/>
      <c r="AH20" s="1105"/>
      <c r="AI20" s="1105"/>
      <c r="AJ20" s="1105"/>
    </row>
    <row r="21" spans="1:119" ht="139.5" customHeight="1" x14ac:dyDescent="0.35">
      <c r="A21" s="1054"/>
      <c r="B21" s="1833" t="s">
        <v>473</v>
      </c>
      <c r="C21" s="1820"/>
      <c r="D21" s="1395" t="s">
        <v>818</v>
      </c>
      <c r="E21" s="1395" t="s">
        <v>424</v>
      </c>
      <c r="F21" s="1395" t="s">
        <v>476</v>
      </c>
      <c r="G21" s="1395" t="s">
        <v>426</v>
      </c>
      <c r="H21" s="1395" t="s">
        <v>439</v>
      </c>
      <c r="I21" s="1134" t="s">
        <v>427</v>
      </c>
      <c r="J21" s="1395" t="s">
        <v>428</v>
      </c>
      <c r="K21" s="1145" t="s">
        <v>470</v>
      </c>
      <c r="L21" s="1820" t="s">
        <v>473</v>
      </c>
      <c r="M21" s="1820"/>
      <c r="N21" s="1395" t="s">
        <v>818</v>
      </c>
      <c r="O21" s="1395" t="s">
        <v>424</v>
      </c>
      <c r="P21" s="1395" t="s">
        <v>425</v>
      </c>
      <c r="Q21" s="1843" t="s">
        <v>426</v>
      </c>
      <c r="R21" s="1843"/>
      <c r="S21" s="1395" t="s">
        <v>444</v>
      </c>
      <c r="T21" s="1134" t="s">
        <v>427</v>
      </c>
      <c r="U21" s="1395" t="s">
        <v>428</v>
      </c>
      <c r="V21" s="1396" t="s">
        <v>470</v>
      </c>
      <c r="W21" s="1104"/>
      <c r="X21" s="1020"/>
      <c r="Y21" s="1105"/>
      <c r="Z21" s="1105"/>
      <c r="AA21" s="1105"/>
      <c r="AB21" s="1105"/>
      <c r="AC21" s="1105"/>
      <c r="AD21" s="1105"/>
      <c r="AE21" s="1105"/>
      <c r="AF21" s="1105"/>
      <c r="AG21" s="1105"/>
      <c r="AH21" s="1105"/>
      <c r="AI21" s="1105"/>
      <c r="AJ21" s="1105"/>
      <c r="AX21" s="1106"/>
      <c r="AZ21" s="1107"/>
    </row>
    <row r="22" spans="1:119" ht="102.75" customHeight="1" x14ac:dyDescent="0.5">
      <c r="A22" s="1054"/>
      <c r="B22" s="1832" t="s">
        <v>128</v>
      </c>
      <c r="C22" s="1829"/>
      <c r="D22" s="1387">
        <v>54581</v>
      </c>
      <c r="E22" s="1146">
        <v>2160</v>
      </c>
      <c r="F22" s="1146">
        <v>46810</v>
      </c>
      <c r="G22" s="1146">
        <v>2325.4973640000003</v>
      </c>
      <c r="H22" s="1146">
        <v>63369</v>
      </c>
      <c r="I22" s="1139">
        <v>36</v>
      </c>
      <c r="J22" s="1139">
        <v>0</v>
      </c>
      <c r="K22" s="1387">
        <v>31.6845</v>
      </c>
      <c r="L22" s="1829" t="s">
        <v>139</v>
      </c>
      <c r="M22" s="1829"/>
      <c r="N22" s="1387">
        <v>10250</v>
      </c>
      <c r="O22" s="1387">
        <v>0</v>
      </c>
      <c r="P22" s="1387">
        <v>11354</v>
      </c>
      <c r="Q22" s="1813">
        <v>1215</v>
      </c>
      <c r="R22" s="1813"/>
      <c r="S22" s="1387">
        <v>9800</v>
      </c>
      <c r="T22" s="1139">
        <v>0</v>
      </c>
      <c r="U22" s="1139">
        <v>0</v>
      </c>
      <c r="V22" s="1388">
        <v>8.9090909090909083</v>
      </c>
      <c r="W22" s="1104"/>
      <c r="X22" s="1105"/>
      <c r="Y22" s="1108"/>
      <c r="Z22" s="1105"/>
      <c r="AA22" s="1109"/>
      <c r="AB22" s="1105"/>
      <c r="AC22" s="1105"/>
      <c r="AD22" s="1105"/>
      <c r="AE22" s="1105"/>
      <c r="AF22" s="1105"/>
      <c r="AG22" s="1105"/>
      <c r="AH22" s="1105"/>
      <c r="AI22" s="1105"/>
      <c r="AJ22" s="1105"/>
      <c r="AX22" s="1106"/>
      <c r="AZ22" s="1107"/>
    </row>
    <row r="23" spans="1:119" ht="94.5" customHeight="1" x14ac:dyDescent="0.35">
      <c r="A23" s="1054"/>
      <c r="B23" s="1832" t="s">
        <v>28</v>
      </c>
      <c r="C23" s="1829"/>
      <c r="D23" s="1387">
        <v>8667</v>
      </c>
      <c r="E23" s="1146">
        <v>12300</v>
      </c>
      <c r="F23" s="1146">
        <v>245012</v>
      </c>
      <c r="G23" s="1400">
        <v>9203.1753953999996</v>
      </c>
      <c r="H23" s="1146">
        <v>120627</v>
      </c>
      <c r="I23" s="1139">
        <v>243</v>
      </c>
      <c r="J23" s="1139">
        <v>0</v>
      </c>
      <c r="K23" s="1387">
        <v>12.0627</v>
      </c>
      <c r="L23" s="1829" t="s">
        <v>474</v>
      </c>
      <c r="M23" s="1829"/>
      <c r="N23" s="1387">
        <v>300</v>
      </c>
      <c r="O23" s="1387">
        <v>0</v>
      </c>
      <c r="P23" s="1387">
        <v>0</v>
      </c>
      <c r="Q23" s="1813">
        <v>0</v>
      </c>
      <c r="R23" s="1813"/>
      <c r="S23" s="1387">
        <v>300</v>
      </c>
      <c r="T23" s="1139">
        <v>0</v>
      </c>
      <c r="U23" s="1139">
        <v>0</v>
      </c>
      <c r="V23" s="1388" t="s">
        <v>180</v>
      </c>
      <c r="W23" s="1104"/>
      <c r="X23" s="1105"/>
      <c r="Y23" s="1110"/>
      <c r="Z23" s="1105"/>
      <c r="AA23" s="1105"/>
      <c r="AB23" s="1105"/>
      <c r="AC23" s="1105"/>
      <c r="AD23" s="1105"/>
      <c r="AE23" s="1105"/>
      <c r="AF23" s="1105"/>
      <c r="AG23" s="1105"/>
      <c r="AH23" s="1105"/>
      <c r="AI23" s="1105"/>
      <c r="AJ23" s="1105"/>
      <c r="AX23" s="1106"/>
      <c r="AZ23" s="1111"/>
      <c r="DO23" s="1094">
        <v>184</v>
      </c>
    </row>
    <row r="24" spans="1:119" ht="97.5" customHeight="1" x14ac:dyDescent="0.35">
      <c r="A24" s="1054"/>
      <c r="B24" s="1832" t="s">
        <v>485</v>
      </c>
      <c r="C24" s="1829"/>
      <c r="D24" s="1387">
        <v>2364</v>
      </c>
      <c r="E24" s="1387">
        <v>0</v>
      </c>
      <c r="F24" s="1387">
        <v>32653</v>
      </c>
      <c r="G24" s="1387">
        <v>2284.1412046661026</v>
      </c>
      <c r="H24" s="1139">
        <v>5481</v>
      </c>
      <c r="I24" s="1139">
        <v>0</v>
      </c>
      <c r="J24" s="1139">
        <v>0</v>
      </c>
      <c r="K24" s="1387">
        <v>2.884736842105263</v>
      </c>
      <c r="L24" s="1829" t="s">
        <v>793</v>
      </c>
      <c r="M24" s="1829"/>
      <c r="N24" s="1387">
        <v>2549</v>
      </c>
      <c r="O24" s="1387">
        <v>0</v>
      </c>
      <c r="P24" s="1387">
        <v>0</v>
      </c>
      <c r="Q24" s="1854">
        <v>0</v>
      </c>
      <c r="R24" s="1854"/>
      <c r="S24" s="1387">
        <v>1750</v>
      </c>
      <c r="T24" s="1139">
        <v>0</v>
      </c>
      <c r="U24" s="1139">
        <v>0</v>
      </c>
      <c r="V24" s="1388">
        <v>14</v>
      </c>
      <c r="W24" s="1104"/>
      <c r="X24" s="1112"/>
      <c r="Y24" s="1110"/>
      <c r="Z24" s="1105"/>
      <c r="AA24" s="1105"/>
      <c r="AB24" s="1105"/>
      <c r="AC24" s="1105"/>
      <c r="AD24" s="1105"/>
      <c r="AE24" s="1105"/>
      <c r="AF24" s="1105"/>
      <c r="AG24" s="1105"/>
      <c r="AH24" s="1105"/>
      <c r="AI24" s="1105"/>
      <c r="AJ24" s="1105"/>
      <c r="AX24" s="1106"/>
      <c r="AZ24" s="1107"/>
    </row>
    <row r="25" spans="1:119" ht="89.25" customHeight="1" x14ac:dyDescent="0.35">
      <c r="A25" s="1054"/>
      <c r="B25" s="1832" t="s">
        <v>484</v>
      </c>
      <c r="C25" s="1829"/>
      <c r="D25" s="1387">
        <v>5512</v>
      </c>
      <c r="E25" s="1387">
        <v>0</v>
      </c>
      <c r="F25" s="1387">
        <v>17449</v>
      </c>
      <c r="G25" s="1400">
        <v>784.39111211369277</v>
      </c>
      <c r="H25" s="1387">
        <v>4230</v>
      </c>
      <c r="I25" s="1139">
        <v>0</v>
      </c>
      <c r="J25" s="1139">
        <v>0</v>
      </c>
      <c r="K25" s="1387">
        <v>5.2874999999999996</v>
      </c>
      <c r="L25" s="1829" t="s">
        <v>605</v>
      </c>
      <c r="M25" s="1829"/>
      <c r="N25" s="1387">
        <v>6896</v>
      </c>
      <c r="O25" s="1387">
        <v>0</v>
      </c>
      <c r="P25" s="1387">
        <v>0</v>
      </c>
      <c r="Q25" s="1813">
        <v>0</v>
      </c>
      <c r="R25" s="1813"/>
      <c r="S25" s="1387">
        <v>6005</v>
      </c>
      <c r="T25" s="1139">
        <v>0</v>
      </c>
      <c r="U25" s="1139">
        <v>0</v>
      </c>
      <c r="V25" s="1401" t="s">
        <v>180</v>
      </c>
      <c r="W25" s="1104"/>
      <c r="X25" s="1105"/>
      <c r="Y25" s="1110"/>
      <c r="Z25" s="1105"/>
      <c r="AA25" s="1105"/>
      <c r="AB25" s="1105"/>
      <c r="AC25" s="1105"/>
      <c r="AD25" s="1105"/>
      <c r="AE25" s="1105"/>
      <c r="AF25" s="1105"/>
      <c r="AG25" s="1105"/>
      <c r="AH25" s="1105"/>
      <c r="AI25" s="1105"/>
      <c r="AJ25" s="1105"/>
      <c r="AX25" s="1106"/>
      <c r="AZ25" s="1107"/>
    </row>
    <row r="26" spans="1:119" ht="96" customHeight="1" x14ac:dyDescent="0.3">
      <c r="B26" s="1832" t="s">
        <v>486</v>
      </c>
      <c r="C26" s="1829"/>
      <c r="D26" s="1387">
        <v>10674</v>
      </c>
      <c r="E26" s="1387">
        <v>0</v>
      </c>
      <c r="F26" s="1387">
        <v>11911</v>
      </c>
      <c r="G26" s="1387">
        <v>644.90863974734918</v>
      </c>
      <c r="H26" s="1387">
        <v>19181</v>
      </c>
      <c r="I26" s="1139">
        <v>0</v>
      </c>
      <c r="J26" s="1139">
        <v>0</v>
      </c>
      <c r="K26" s="1387">
        <v>34.874545454545455</v>
      </c>
      <c r="L26" s="1829" t="s">
        <v>487</v>
      </c>
      <c r="M26" s="1829"/>
      <c r="N26" s="1387">
        <v>0</v>
      </c>
      <c r="O26" s="1387">
        <v>0</v>
      </c>
      <c r="P26" s="1387">
        <v>0</v>
      </c>
      <c r="Q26" s="1813">
        <v>0</v>
      </c>
      <c r="R26" s="1813"/>
      <c r="S26" s="1387">
        <v>0</v>
      </c>
      <c r="T26" s="1139">
        <v>0</v>
      </c>
      <c r="U26" s="1139">
        <v>0</v>
      </c>
      <c r="V26" s="1388" t="s">
        <v>180</v>
      </c>
      <c r="W26" s="1104"/>
      <c r="X26" s="1105"/>
      <c r="Y26" s="1105"/>
      <c r="Z26" s="1105"/>
      <c r="AA26" s="1105"/>
      <c r="AB26" s="1105"/>
      <c r="AC26" s="1105"/>
      <c r="AD26" s="1105"/>
      <c r="AE26" s="1105"/>
      <c r="AF26" s="1105"/>
      <c r="AG26" s="1105"/>
      <c r="AH26" s="1105"/>
      <c r="AI26" s="1105"/>
      <c r="AJ26" s="1105"/>
    </row>
    <row r="27" spans="1:119" ht="65.25" customHeight="1" x14ac:dyDescent="0.3">
      <c r="B27" s="1855"/>
      <c r="C27" s="1856"/>
      <c r="D27" s="1856"/>
      <c r="E27" s="1856"/>
      <c r="F27" s="1856"/>
      <c r="G27" s="1856"/>
      <c r="H27" s="1856"/>
      <c r="I27" s="1856"/>
      <c r="J27" s="1856"/>
      <c r="K27" s="1856"/>
      <c r="L27" s="1856"/>
      <c r="M27" s="1856"/>
      <c r="N27" s="1856"/>
      <c r="O27" s="1856"/>
      <c r="P27" s="1856"/>
      <c r="Q27" s="1856"/>
      <c r="R27" s="1856"/>
      <c r="S27" s="1816" t="s">
        <v>611</v>
      </c>
      <c r="T27" s="1816"/>
      <c r="U27" s="1816"/>
      <c r="V27" s="1817"/>
      <c r="W27" s="1104"/>
      <c r="X27" s="1105"/>
      <c r="Y27" s="1105"/>
      <c r="Z27" s="1105"/>
      <c r="AA27" s="1105"/>
      <c r="AB27" s="1105"/>
      <c r="AC27" s="1105"/>
      <c r="AD27" s="1105"/>
      <c r="AE27" s="1105"/>
      <c r="AF27" s="1105"/>
      <c r="AG27" s="1105"/>
      <c r="AH27" s="1105"/>
      <c r="AI27" s="1105"/>
      <c r="AJ27" s="1105"/>
    </row>
    <row r="28" spans="1:119" ht="83.25" customHeight="1" x14ac:dyDescent="0.3">
      <c r="B28" s="1833" t="s">
        <v>464</v>
      </c>
      <c r="C28" s="1820"/>
      <c r="D28" s="1820"/>
      <c r="E28" s="1820"/>
      <c r="F28" s="1820"/>
      <c r="G28" s="1820"/>
      <c r="H28" s="1820" t="s">
        <v>465</v>
      </c>
      <c r="I28" s="1820"/>
      <c r="J28" s="1820"/>
      <c r="K28" s="1820"/>
      <c r="L28" s="1820"/>
      <c r="M28" s="1820"/>
      <c r="N28" s="1820"/>
      <c r="O28" s="1820"/>
      <c r="P28" s="1814" t="s">
        <v>477</v>
      </c>
      <c r="Q28" s="1814"/>
      <c r="R28" s="1814"/>
      <c r="S28" s="1398" t="s">
        <v>447</v>
      </c>
      <c r="T28" s="1398" t="s">
        <v>615</v>
      </c>
      <c r="U28" s="1391" t="s">
        <v>448</v>
      </c>
      <c r="V28" s="1402" t="s">
        <v>612</v>
      </c>
      <c r="W28" s="1104"/>
      <c r="X28" s="1105"/>
      <c r="Y28" s="1105"/>
      <c r="Z28" s="1105"/>
      <c r="AA28" s="1105"/>
      <c r="AB28" s="1105"/>
      <c r="AC28" s="1105"/>
      <c r="AD28" s="1105"/>
      <c r="AE28" s="1105"/>
      <c r="AF28" s="1105"/>
      <c r="AG28" s="1105"/>
      <c r="AH28" s="1105"/>
      <c r="AI28" s="1105"/>
      <c r="AJ28" s="1105"/>
    </row>
    <row r="29" spans="1:119" ht="93" customHeight="1" x14ac:dyDescent="0.3">
      <c r="B29" s="1141"/>
      <c r="C29" s="1391" t="s">
        <v>2</v>
      </c>
      <c r="D29" s="1391" t="s">
        <v>3</v>
      </c>
      <c r="E29" s="1391" t="s">
        <v>4</v>
      </c>
      <c r="F29" s="1394" t="s">
        <v>1</v>
      </c>
      <c r="G29" s="1394" t="s">
        <v>95</v>
      </c>
      <c r="H29" s="1820"/>
      <c r="I29" s="1820"/>
      <c r="J29" s="1820"/>
      <c r="K29" s="1391" t="s">
        <v>2</v>
      </c>
      <c r="L29" s="1391" t="s">
        <v>3</v>
      </c>
      <c r="M29" s="1391" t="s">
        <v>4</v>
      </c>
      <c r="N29" s="1394" t="s">
        <v>1</v>
      </c>
      <c r="O29" s="1394" t="s">
        <v>95</v>
      </c>
      <c r="P29" s="1143" t="s">
        <v>435</v>
      </c>
      <c r="Q29" s="1143" t="s">
        <v>436</v>
      </c>
      <c r="R29" s="1814"/>
      <c r="S29" s="1403" t="s">
        <v>649</v>
      </c>
      <c r="T29" s="1387">
        <v>0</v>
      </c>
      <c r="U29" s="1389">
        <v>0</v>
      </c>
      <c r="V29" s="1390">
        <v>0</v>
      </c>
      <c r="W29" s="1104"/>
      <c r="X29" s="1105"/>
      <c r="Y29" s="1105"/>
      <c r="Z29" s="1105"/>
      <c r="AA29" s="1105"/>
      <c r="AB29" s="1105"/>
      <c r="AC29" s="1105"/>
      <c r="AD29" s="1105"/>
      <c r="AE29" s="1105"/>
      <c r="AF29" s="1105"/>
      <c r="AG29" s="1105"/>
      <c r="AH29" s="1105"/>
      <c r="AI29" s="1105"/>
      <c r="AJ29" s="1105"/>
    </row>
    <row r="30" spans="1:119" ht="95.25" customHeight="1" x14ac:dyDescent="0.7">
      <c r="B30" s="1404" t="s">
        <v>657</v>
      </c>
      <c r="C30" s="1387">
        <v>1588.55</v>
      </c>
      <c r="D30" s="1387">
        <v>1593.75</v>
      </c>
      <c r="E30" s="1387">
        <v>1472.55</v>
      </c>
      <c r="F30" s="1389">
        <v>4654.8500000000004</v>
      </c>
      <c r="G30" s="1389">
        <v>64324.34</v>
      </c>
      <c r="H30" s="1822" t="s">
        <v>115</v>
      </c>
      <c r="I30" s="1822"/>
      <c r="J30" s="1822"/>
      <c r="K30" s="1139">
        <v>2850</v>
      </c>
      <c r="L30" s="1139">
        <v>4120</v>
      </c>
      <c r="M30" s="1139">
        <v>3734</v>
      </c>
      <c r="N30" s="1389">
        <v>10704</v>
      </c>
      <c r="O30" s="1389">
        <v>143286</v>
      </c>
      <c r="P30" s="1405" t="s">
        <v>792</v>
      </c>
      <c r="Q30" s="1139">
        <v>55105</v>
      </c>
      <c r="R30" s="1814"/>
      <c r="S30" s="1398" t="s">
        <v>446</v>
      </c>
      <c r="T30" s="1387">
        <v>0</v>
      </c>
      <c r="U30" s="1389">
        <v>13839.9</v>
      </c>
      <c r="V30" s="1390">
        <v>73850.44775063399</v>
      </c>
      <c r="W30" s="1104"/>
      <c r="X30" s="1105"/>
      <c r="Y30" s="1105"/>
      <c r="Z30" s="1105"/>
      <c r="AA30" s="1105"/>
      <c r="AB30" s="1105"/>
      <c r="AC30" s="1105"/>
      <c r="AD30" s="1105"/>
      <c r="AE30" s="1105"/>
      <c r="AF30" s="1105"/>
      <c r="AG30" s="1105"/>
      <c r="AH30" s="1105"/>
      <c r="AI30" s="1105"/>
      <c r="AJ30" s="1105"/>
    </row>
    <row r="31" spans="1:119" ht="88.5" customHeight="1" x14ac:dyDescent="0.2">
      <c r="B31" s="1138" t="s">
        <v>31</v>
      </c>
      <c r="C31" s="1387">
        <v>4020</v>
      </c>
      <c r="D31" s="1387">
        <v>3631</v>
      </c>
      <c r="E31" s="1387">
        <v>3869</v>
      </c>
      <c r="F31" s="1389">
        <v>11520</v>
      </c>
      <c r="G31" s="1389">
        <v>156282</v>
      </c>
      <c r="H31" s="1822" t="s">
        <v>29</v>
      </c>
      <c r="I31" s="1822"/>
      <c r="J31" s="1822"/>
      <c r="K31" s="1139">
        <v>288</v>
      </c>
      <c r="L31" s="1139">
        <v>130</v>
      </c>
      <c r="M31" s="1139">
        <v>126</v>
      </c>
      <c r="N31" s="1389">
        <v>544</v>
      </c>
      <c r="O31" s="1389">
        <v>9855</v>
      </c>
      <c r="P31" s="1405" t="s">
        <v>123</v>
      </c>
      <c r="Q31" s="1139">
        <v>4800</v>
      </c>
      <c r="R31" s="1814"/>
      <c r="S31" s="1406" t="s">
        <v>449</v>
      </c>
      <c r="T31" s="1387">
        <v>0</v>
      </c>
      <c r="U31" s="1389">
        <v>0</v>
      </c>
      <c r="V31" s="1390">
        <v>6585</v>
      </c>
      <c r="W31" s="1096"/>
    </row>
    <row r="32" spans="1:119" ht="66.75" customHeight="1" x14ac:dyDescent="0.35">
      <c r="B32" s="1393" t="s">
        <v>128</v>
      </c>
      <c r="C32" s="1387">
        <v>841</v>
      </c>
      <c r="D32" s="1387">
        <v>1014</v>
      </c>
      <c r="E32" s="1387">
        <v>771</v>
      </c>
      <c r="F32" s="1389">
        <v>2626</v>
      </c>
      <c r="G32" s="1389">
        <v>30331</v>
      </c>
      <c r="H32" s="1822" t="s">
        <v>30</v>
      </c>
      <c r="I32" s="1822"/>
      <c r="J32" s="1822"/>
      <c r="K32" s="1139">
        <v>460</v>
      </c>
      <c r="L32" s="1139">
        <v>540</v>
      </c>
      <c r="M32" s="1139">
        <v>544</v>
      </c>
      <c r="N32" s="1389">
        <v>1544</v>
      </c>
      <c r="O32" s="1389">
        <v>22286</v>
      </c>
      <c r="P32" s="1405" t="s">
        <v>125</v>
      </c>
      <c r="Q32" s="1139">
        <v>4100</v>
      </c>
      <c r="R32" s="1814"/>
      <c r="S32" s="1398" t="s">
        <v>610</v>
      </c>
      <c r="T32" s="1387">
        <v>0</v>
      </c>
      <c r="U32" s="1389">
        <v>77825</v>
      </c>
      <c r="V32" s="1467">
        <v>49532</v>
      </c>
      <c r="W32" s="1100"/>
      <c r="Z32" s="1094" t="s">
        <v>77</v>
      </c>
    </row>
    <row r="33" spans="1:27" ht="77.25" customHeight="1" x14ac:dyDescent="0.9">
      <c r="B33" s="1138" t="s">
        <v>793</v>
      </c>
      <c r="C33" s="1387">
        <v>0</v>
      </c>
      <c r="D33" s="1387">
        <v>0</v>
      </c>
      <c r="E33" s="1387">
        <v>0</v>
      </c>
      <c r="F33" s="1389">
        <v>0</v>
      </c>
      <c r="G33" s="1389">
        <v>1350</v>
      </c>
      <c r="H33" s="1829" t="s">
        <v>351</v>
      </c>
      <c r="I33" s="1829"/>
      <c r="J33" s="1829"/>
      <c r="K33" s="1139">
        <v>182</v>
      </c>
      <c r="L33" s="1139">
        <v>140</v>
      </c>
      <c r="M33" s="1139">
        <v>160</v>
      </c>
      <c r="N33" s="1389">
        <v>482</v>
      </c>
      <c r="O33" s="1389">
        <v>8231</v>
      </c>
      <c r="P33" s="1407"/>
      <c r="Q33" s="1408"/>
      <c r="R33" s="1814"/>
      <c r="S33" s="1814" t="s">
        <v>784</v>
      </c>
      <c r="T33" s="1814"/>
      <c r="U33" s="1814"/>
      <c r="V33" s="1815"/>
      <c r="W33" s="1096"/>
    </row>
    <row r="34" spans="1:27" ht="72.75" customHeight="1" x14ac:dyDescent="0.9">
      <c r="B34" s="1138" t="s">
        <v>34</v>
      </c>
      <c r="C34" s="1387">
        <v>0</v>
      </c>
      <c r="D34" s="1387">
        <v>0</v>
      </c>
      <c r="E34" s="1387">
        <v>0</v>
      </c>
      <c r="F34" s="1389">
        <v>0</v>
      </c>
      <c r="G34" s="1389">
        <v>461</v>
      </c>
      <c r="H34" s="1822" t="s">
        <v>14</v>
      </c>
      <c r="I34" s="1822"/>
      <c r="J34" s="1822"/>
      <c r="K34" s="1139">
        <v>2689</v>
      </c>
      <c r="L34" s="1139">
        <v>6656</v>
      </c>
      <c r="M34" s="1139">
        <v>5105</v>
      </c>
      <c r="N34" s="1389">
        <v>14450</v>
      </c>
      <c r="O34" s="1389">
        <v>193476</v>
      </c>
      <c r="P34" s="1409" t="s">
        <v>452</v>
      </c>
      <c r="Q34" s="1410" t="s">
        <v>451</v>
      </c>
      <c r="R34" s="1814"/>
      <c r="S34" s="1145" t="s">
        <v>138</v>
      </c>
      <c r="T34" s="1818">
        <v>0.85416666666666663</v>
      </c>
      <c r="U34" s="1818"/>
      <c r="V34" s="1819"/>
      <c r="W34" s="1113"/>
    </row>
    <row r="35" spans="1:27" ht="92.25" customHeight="1" x14ac:dyDescent="0.2">
      <c r="B35" s="1411" t="s">
        <v>634</v>
      </c>
      <c r="C35" s="1389">
        <v>379</v>
      </c>
      <c r="D35" s="1389">
        <v>434</v>
      </c>
      <c r="E35" s="1389">
        <v>263</v>
      </c>
      <c r="F35" s="1389">
        <v>1076</v>
      </c>
      <c r="G35" s="1389">
        <v>9553</v>
      </c>
      <c r="H35" s="1829" t="s">
        <v>15</v>
      </c>
      <c r="I35" s="1829"/>
      <c r="J35" s="1829"/>
      <c r="K35" s="1139">
        <v>4482</v>
      </c>
      <c r="L35" s="1139">
        <v>5354</v>
      </c>
      <c r="M35" s="1139">
        <v>4100</v>
      </c>
      <c r="N35" s="1389">
        <v>13936</v>
      </c>
      <c r="O35" s="1389">
        <v>175747</v>
      </c>
      <c r="P35" s="1412">
        <v>11.608181818181817</v>
      </c>
      <c r="Q35" s="1413">
        <v>0.34313221175973707</v>
      </c>
      <c r="R35" s="1814"/>
      <c r="S35" s="1145" t="s">
        <v>10</v>
      </c>
      <c r="T35" s="1818">
        <v>0.8125</v>
      </c>
      <c r="U35" s="1818"/>
      <c r="V35" s="1819"/>
      <c r="W35" s="1096"/>
    </row>
    <row r="36" spans="1:27" ht="65.25" customHeight="1" x14ac:dyDescent="0.2">
      <c r="B36" s="1823" t="s">
        <v>656</v>
      </c>
      <c r="C36" s="1814"/>
      <c r="D36" s="1814"/>
      <c r="E36" s="1814"/>
      <c r="F36" s="1142">
        <v>2714</v>
      </c>
      <c r="G36" s="1389">
        <v>32304</v>
      </c>
      <c r="H36" s="1821"/>
      <c r="I36" s="1821"/>
      <c r="J36" s="1821"/>
      <c r="K36" s="1821"/>
      <c r="L36" s="1821"/>
      <c r="M36" s="1821"/>
      <c r="N36" s="1821"/>
      <c r="O36" s="1821"/>
      <c r="P36" s="1821"/>
      <c r="Q36" s="1821"/>
      <c r="R36" s="1814"/>
      <c r="S36" s="1399" t="s">
        <v>79</v>
      </c>
      <c r="T36" s="1818">
        <v>0.56944444444444442</v>
      </c>
      <c r="U36" s="1818"/>
      <c r="V36" s="1819"/>
      <c r="W36" s="1096"/>
    </row>
    <row r="37" spans="1:27" ht="67.5" customHeight="1" x14ac:dyDescent="0.7">
      <c r="B37" s="1823" t="s">
        <v>767</v>
      </c>
      <c r="C37" s="1814"/>
      <c r="D37" s="1814"/>
      <c r="E37" s="1814"/>
      <c r="F37" s="1389">
        <v>0</v>
      </c>
      <c r="G37" s="1389">
        <v>42558</v>
      </c>
      <c r="H37" s="1824"/>
      <c r="I37" s="1824"/>
      <c r="J37" s="1824"/>
      <c r="K37" s="1824"/>
      <c r="L37" s="1814" t="s">
        <v>796</v>
      </c>
      <c r="M37" s="1814"/>
      <c r="N37" s="1814"/>
      <c r="O37" s="1814"/>
      <c r="P37" s="1814"/>
      <c r="Q37" s="1814"/>
      <c r="R37" s="1814"/>
      <c r="S37" s="1814"/>
      <c r="T37" s="1814"/>
      <c r="U37" s="1814"/>
      <c r="V37" s="1815"/>
      <c r="W37" s="1096"/>
    </row>
    <row r="38" spans="1:27" ht="83.25" customHeight="1" x14ac:dyDescent="0.65">
      <c r="B38" s="1792" t="s">
        <v>466</v>
      </c>
      <c r="C38" s="1787"/>
      <c r="D38" s="1787"/>
      <c r="E38" s="1787"/>
      <c r="F38" s="1787"/>
      <c r="G38" s="1787"/>
      <c r="H38" s="1787"/>
      <c r="I38" s="1787"/>
      <c r="J38" s="1787"/>
      <c r="K38" s="1414" t="s">
        <v>77</v>
      </c>
      <c r="L38" s="1415" t="s">
        <v>402</v>
      </c>
      <c r="M38" s="1787" t="s">
        <v>107</v>
      </c>
      <c r="N38" s="1787"/>
      <c r="O38" s="1787" t="s">
        <v>161</v>
      </c>
      <c r="P38" s="1787"/>
      <c r="Q38" s="1787" t="s">
        <v>160</v>
      </c>
      <c r="R38" s="1787"/>
      <c r="S38" s="1415" t="s">
        <v>159</v>
      </c>
      <c r="T38" s="1415" t="s">
        <v>158</v>
      </c>
      <c r="U38" s="1787" t="s">
        <v>251</v>
      </c>
      <c r="V38" s="1788"/>
      <c r="W38" s="1114"/>
      <c r="X38" s="1054"/>
    </row>
    <row r="39" spans="1:27" ht="96.75" customHeight="1" x14ac:dyDescent="0.65">
      <c r="A39" s="1094" t="s">
        <v>658</v>
      </c>
      <c r="B39" s="1416" t="s">
        <v>402</v>
      </c>
      <c r="C39" s="1787" t="s">
        <v>107</v>
      </c>
      <c r="D39" s="1787"/>
      <c r="E39" s="1415" t="s">
        <v>161</v>
      </c>
      <c r="F39" s="1415" t="s">
        <v>160</v>
      </c>
      <c r="G39" s="1415" t="s">
        <v>159</v>
      </c>
      <c r="H39" s="1415" t="s">
        <v>158</v>
      </c>
      <c r="I39" s="1787" t="s">
        <v>251</v>
      </c>
      <c r="J39" s="1787"/>
      <c r="K39" s="1414"/>
      <c r="L39" s="1394" t="s">
        <v>149</v>
      </c>
      <c r="M39" s="1798" t="s">
        <v>835</v>
      </c>
      <c r="N39" s="1798"/>
      <c r="O39" s="1791" t="s">
        <v>836</v>
      </c>
      <c r="P39" s="1791"/>
      <c r="Q39" s="1791" t="s">
        <v>844</v>
      </c>
      <c r="R39" s="1791"/>
      <c r="S39" s="1417" t="s">
        <v>216</v>
      </c>
      <c r="T39" s="1418" t="s">
        <v>397</v>
      </c>
      <c r="U39" s="1801">
        <v>12</v>
      </c>
      <c r="V39" s="1802"/>
      <c r="W39" s="1114"/>
      <c r="X39" s="1115"/>
    </row>
    <row r="40" spans="1:27" ht="105.75" customHeight="1" x14ac:dyDescent="0.7">
      <c r="A40" s="1094" t="s">
        <v>635</v>
      </c>
      <c r="B40" s="1419" t="s">
        <v>149</v>
      </c>
      <c r="C40" s="1806" t="s">
        <v>832</v>
      </c>
      <c r="D40" s="1806"/>
      <c r="E40" s="1417" t="s">
        <v>833</v>
      </c>
      <c r="F40" s="1417" t="s">
        <v>840</v>
      </c>
      <c r="G40" s="1417" t="s">
        <v>829</v>
      </c>
      <c r="H40" s="1418" t="s">
        <v>841</v>
      </c>
      <c r="I40" s="1810">
        <v>4.2142857142857144</v>
      </c>
      <c r="J40" s="1811"/>
      <c r="K40" s="1420" t="s">
        <v>77</v>
      </c>
      <c r="L40" s="1394" t="s">
        <v>148</v>
      </c>
      <c r="M40" s="1798" t="s">
        <v>845</v>
      </c>
      <c r="N40" s="1798"/>
      <c r="O40" s="1791" t="s">
        <v>846</v>
      </c>
      <c r="P40" s="1791"/>
      <c r="Q40" s="1791" t="s">
        <v>847</v>
      </c>
      <c r="R40" s="1791"/>
      <c r="S40" s="1417" t="s">
        <v>827</v>
      </c>
      <c r="T40" s="1418" t="s">
        <v>825</v>
      </c>
      <c r="U40" s="1801">
        <v>29</v>
      </c>
      <c r="V40" s="1802"/>
      <c r="W40" s="1096"/>
      <c r="Y40" s="1021"/>
    </row>
    <row r="41" spans="1:27" ht="105.75" customHeight="1" x14ac:dyDescent="0.7">
      <c r="B41" s="1419" t="s">
        <v>148</v>
      </c>
      <c r="C41" s="1806" t="s">
        <v>842</v>
      </c>
      <c r="D41" s="1806"/>
      <c r="E41" s="1417" t="s">
        <v>843</v>
      </c>
      <c r="F41" s="1417" t="s">
        <v>857</v>
      </c>
      <c r="G41" s="1417" t="s">
        <v>829</v>
      </c>
      <c r="H41" s="1418" t="s">
        <v>837</v>
      </c>
      <c r="I41" s="1808">
        <v>4.916666666666667</v>
      </c>
      <c r="J41" s="1809"/>
      <c r="K41" s="1420"/>
      <c r="L41" s="1394" t="s">
        <v>151</v>
      </c>
      <c r="M41" s="1798" t="s">
        <v>852</v>
      </c>
      <c r="N41" s="1798"/>
      <c r="O41" s="1791" t="s">
        <v>853</v>
      </c>
      <c r="P41" s="1791"/>
      <c r="Q41" s="1791" t="s">
        <v>854</v>
      </c>
      <c r="R41" s="1791"/>
      <c r="S41" s="1417" t="s">
        <v>216</v>
      </c>
      <c r="T41" s="1418" t="s">
        <v>825</v>
      </c>
      <c r="U41" s="1801">
        <v>28.5</v>
      </c>
      <c r="V41" s="1802"/>
      <c r="W41" s="1102"/>
    </row>
    <row r="42" spans="1:27" ht="105" customHeight="1" x14ac:dyDescent="0.7">
      <c r="B42" s="1419" t="s">
        <v>151</v>
      </c>
      <c r="C42" s="1806" t="s">
        <v>858</v>
      </c>
      <c r="D42" s="1806"/>
      <c r="E42" s="1417" t="s">
        <v>857</v>
      </c>
      <c r="F42" s="1417" t="s">
        <v>876</v>
      </c>
      <c r="G42" s="1417" t="s">
        <v>829</v>
      </c>
      <c r="H42" s="1418" t="s">
        <v>824</v>
      </c>
      <c r="I42" s="1812"/>
      <c r="J42" s="1812"/>
      <c r="K42" s="1420"/>
      <c r="L42" s="1394" t="s">
        <v>147</v>
      </c>
      <c r="M42" s="1798" t="s">
        <v>856</v>
      </c>
      <c r="N42" s="1798"/>
      <c r="O42" s="1791" t="s">
        <v>855</v>
      </c>
      <c r="P42" s="1791"/>
      <c r="Q42" s="1791" t="s">
        <v>877</v>
      </c>
      <c r="R42" s="1791"/>
      <c r="S42" s="1417" t="s">
        <v>420</v>
      </c>
      <c r="T42" s="1418" t="s">
        <v>224</v>
      </c>
      <c r="U42" s="1801">
        <v>7.125</v>
      </c>
      <c r="V42" s="1802"/>
      <c r="W42" s="1096"/>
    </row>
    <row r="43" spans="1:27" ht="103.5" customHeight="1" x14ac:dyDescent="0.7">
      <c r="B43" s="1419"/>
      <c r="C43" s="1806"/>
      <c r="D43" s="1806"/>
      <c r="E43" s="1417"/>
      <c r="F43" s="1421"/>
      <c r="G43" s="1421"/>
      <c r="H43" s="1418"/>
      <c r="I43" s="1812"/>
      <c r="J43" s="1812"/>
      <c r="K43" s="1420"/>
      <c r="L43" s="1394" t="s">
        <v>146</v>
      </c>
      <c r="M43" s="1798" t="s">
        <v>831</v>
      </c>
      <c r="N43" s="1798"/>
      <c r="O43" s="1791" t="s">
        <v>878</v>
      </c>
      <c r="P43" s="1791"/>
      <c r="Q43" s="1791" t="s">
        <v>879</v>
      </c>
      <c r="R43" s="1791"/>
      <c r="S43" s="1417" t="s">
        <v>827</v>
      </c>
      <c r="T43" s="1418" t="s">
        <v>825</v>
      </c>
      <c r="U43" s="1801">
        <v>29</v>
      </c>
      <c r="V43" s="1802"/>
      <c r="W43" s="1096"/>
      <c r="AA43" s="1054"/>
    </row>
    <row r="44" spans="1:27" ht="105.75" customHeight="1" x14ac:dyDescent="0.2">
      <c r="B44" s="1807" t="s">
        <v>441</v>
      </c>
      <c r="C44" s="1780"/>
      <c r="D44" s="1780"/>
      <c r="E44" s="1780"/>
      <c r="F44" s="1780"/>
      <c r="G44" s="1780" t="s">
        <v>267</v>
      </c>
      <c r="H44" s="1780"/>
      <c r="I44" s="1780"/>
      <c r="J44" s="1780"/>
      <c r="K44" s="1780"/>
      <c r="L44" s="1394"/>
      <c r="M44" s="1798"/>
      <c r="N44" s="1798"/>
      <c r="O44" s="1791"/>
      <c r="P44" s="1791"/>
      <c r="Q44" s="1791"/>
      <c r="R44" s="1791"/>
      <c r="S44" s="1417"/>
      <c r="T44" s="1418"/>
      <c r="U44" s="1803"/>
      <c r="V44" s="1804"/>
      <c r="W44" s="1116"/>
    </row>
    <row r="45" spans="1:27" ht="90" customHeight="1" x14ac:dyDescent="0.2">
      <c r="B45" s="1416" t="s">
        <v>402</v>
      </c>
      <c r="C45" s="1415" t="s">
        <v>488</v>
      </c>
      <c r="D45" s="1415" t="s">
        <v>404</v>
      </c>
      <c r="E45" s="1415" t="s">
        <v>405</v>
      </c>
      <c r="F45" s="1415" t="s">
        <v>406</v>
      </c>
      <c r="G45" s="1415" t="s">
        <v>403</v>
      </c>
      <c r="H45" s="1415" t="s">
        <v>404</v>
      </c>
      <c r="I45" s="1415" t="s">
        <v>405</v>
      </c>
      <c r="J45" s="1415" t="s">
        <v>406</v>
      </c>
      <c r="K45" s="1415" t="s">
        <v>438</v>
      </c>
      <c r="L45" s="1394"/>
      <c r="M45" s="1798"/>
      <c r="N45" s="1798"/>
      <c r="O45" s="1791"/>
      <c r="P45" s="1791"/>
      <c r="Q45" s="1791"/>
      <c r="R45" s="1791"/>
      <c r="S45" s="1417"/>
      <c r="T45" s="1418"/>
      <c r="U45" s="1803"/>
      <c r="V45" s="1804"/>
      <c r="W45" s="1116"/>
    </row>
    <row r="46" spans="1:27" ht="123" customHeight="1" x14ac:dyDescent="0.2">
      <c r="B46" s="1419" t="s">
        <v>149</v>
      </c>
      <c r="C46" s="1422" t="s">
        <v>849</v>
      </c>
      <c r="D46" s="1423" t="s">
        <v>850</v>
      </c>
      <c r="E46" s="1424" t="s">
        <v>851</v>
      </c>
      <c r="F46" s="1418" t="s">
        <v>848</v>
      </c>
      <c r="G46" s="1425"/>
      <c r="H46" s="1425"/>
      <c r="I46" s="1426"/>
      <c r="J46" s="1418"/>
      <c r="K46" s="1427"/>
      <c r="L46" s="1394"/>
      <c r="M46" s="1798"/>
      <c r="N46" s="1798"/>
      <c r="O46" s="1791"/>
      <c r="P46" s="1791"/>
      <c r="Q46" s="1791"/>
      <c r="R46" s="1791"/>
      <c r="S46" s="1417"/>
      <c r="T46" s="1418"/>
      <c r="U46" s="1801"/>
      <c r="V46" s="1802"/>
      <c r="W46" s="1116"/>
    </row>
    <row r="47" spans="1:27" ht="103.5" customHeight="1" x14ac:dyDescent="0.2">
      <c r="B47" s="1419" t="s">
        <v>148</v>
      </c>
      <c r="C47" s="1422" t="s">
        <v>859</v>
      </c>
      <c r="D47" s="1418" t="s">
        <v>860</v>
      </c>
      <c r="E47" s="1424" t="s">
        <v>861</v>
      </c>
      <c r="F47" s="1418" t="s">
        <v>862</v>
      </c>
      <c r="G47" s="1425"/>
      <c r="H47" s="1426"/>
      <c r="I47" s="1428"/>
      <c r="J47" s="1418"/>
      <c r="K47" s="1427"/>
      <c r="L47" s="1394"/>
      <c r="M47" s="1798"/>
      <c r="N47" s="1798"/>
      <c r="O47" s="1791"/>
      <c r="P47" s="1791"/>
      <c r="Q47" s="1791"/>
      <c r="R47" s="1791"/>
      <c r="S47" s="1417"/>
      <c r="T47" s="1418"/>
      <c r="U47" s="1801"/>
      <c r="V47" s="1802"/>
      <c r="W47" s="1096"/>
    </row>
    <row r="48" spans="1:27" ht="93" customHeight="1" x14ac:dyDescent="0.2">
      <c r="B48" s="1419" t="s">
        <v>151</v>
      </c>
      <c r="C48" s="1422" t="s">
        <v>866</v>
      </c>
      <c r="D48" s="1423" t="s">
        <v>865</v>
      </c>
      <c r="E48" s="1424" t="s">
        <v>864</v>
      </c>
      <c r="F48" s="1418" t="s">
        <v>863</v>
      </c>
      <c r="G48" s="1429"/>
      <c r="H48" s="1429"/>
      <c r="I48" s="1430"/>
      <c r="J48" s="1418"/>
      <c r="K48" s="1431"/>
      <c r="L48" s="1394"/>
      <c r="M48" s="1805"/>
      <c r="N48" s="1805"/>
      <c r="O48" s="1791"/>
      <c r="P48" s="1791"/>
      <c r="Q48" s="1791"/>
      <c r="R48" s="1791"/>
      <c r="S48" s="1417"/>
      <c r="T48" s="1418"/>
      <c r="U48" s="1801"/>
      <c r="V48" s="1802"/>
      <c r="W48" s="1096"/>
    </row>
    <row r="49" spans="1:23" ht="77.25" customHeight="1" x14ac:dyDescent="0.2">
      <c r="A49" s="1094">
        <v>0</v>
      </c>
      <c r="B49" s="1419"/>
      <c r="C49" s="1422"/>
      <c r="D49" s="1423"/>
      <c r="E49" s="1432"/>
      <c r="F49" s="1418"/>
      <c r="G49" s="1780" t="s">
        <v>249</v>
      </c>
      <c r="H49" s="1780"/>
      <c r="I49" s="1780"/>
      <c r="J49" s="1780"/>
      <c r="K49" s="1780"/>
      <c r="L49" s="1394"/>
      <c r="M49" s="1798"/>
      <c r="N49" s="1798"/>
      <c r="O49" s="1791"/>
      <c r="P49" s="1791"/>
      <c r="Q49" s="1791"/>
      <c r="R49" s="1791"/>
      <c r="S49" s="1417"/>
      <c r="T49" s="1418"/>
      <c r="U49" s="1789"/>
      <c r="V49" s="1790"/>
      <c r="W49" s="1096"/>
    </row>
    <row r="50" spans="1:23" ht="79.5" customHeight="1" x14ac:dyDescent="0.2">
      <c r="B50" s="1433"/>
      <c r="C50" s="1422"/>
      <c r="D50" s="1434"/>
      <c r="E50" s="1432"/>
      <c r="F50" s="1418"/>
      <c r="G50" s="1415" t="s">
        <v>488</v>
      </c>
      <c r="H50" s="1415" t="s">
        <v>404</v>
      </c>
      <c r="I50" s="1415" t="s">
        <v>405</v>
      </c>
      <c r="J50" s="1415" t="s">
        <v>406</v>
      </c>
      <c r="K50" s="1415" t="s">
        <v>438</v>
      </c>
      <c r="L50" s="1415"/>
      <c r="M50" s="1794"/>
      <c r="N50" s="1794"/>
      <c r="O50" s="1791"/>
      <c r="P50" s="1791"/>
      <c r="Q50" s="1791"/>
      <c r="R50" s="1791"/>
      <c r="S50" s="1417"/>
      <c r="T50" s="1418"/>
      <c r="U50" s="1789"/>
      <c r="V50" s="1790"/>
      <c r="W50" s="1096"/>
    </row>
    <row r="51" spans="1:23" ht="96" customHeight="1" x14ac:dyDescent="0.2">
      <c r="B51" s="1435"/>
      <c r="C51" s="1436"/>
      <c r="D51" s="1436"/>
      <c r="E51" s="1437"/>
      <c r="F51" s="1438"/>
      <c r="G51" s="1426"/>
      <c r="H51" s="1426"/>
      <c r="I51" s="1426"/>
      <c r="J51" s="1439"/>
      <c r="K51" s="1426"/>
      <c r="L51" s="1415"/>
      <c r="M51" s="1795"/>
      <c r="N51" s="1795"/>
      <c r="O51" s="1793"/>
      <c r="P51" s="1793"/>
      <c r="Q51" s="1793"/>
      <c r="R51" s="1793"/>
      <c r="S51" s="1434"/>
      <c r="T51" s="1429"/>
      <c r="U51" s="1799"/>
      <c r="V51" s="1800"/>
      <c r="W51" s="1096"/>
    </row>
    <row r="52" spans="1:23" ht="69.75" hidden="1" customHeight="1" x14ac:dyDescent="0.2">
      <c r="B52" s="1435"/>
      <c r="C52" s="1440"/>
      <c r="D52" s="1440"/>
      <c r="E52" s="1440"/>
      <c r="F52" s="1441"/>
      <c r="G52" s="1440"/>
      <c r="H52" s="1442"/>
      <c r="I52" s="1442"/>
      <c r="J52" s="1442"/>
      <c r="K52" s="1443"/>
      <c r="L52" s="1415"/>
      <c r="M52" s="1785"/>
      <c r="N52" s="1785"/>
      <c r="O52" s="1781"/>
      <c r="P52" s="1781"/>
      <c r="Q52" s="1781"/>
      <c r="R52" s="1781"/>
      <c r="S52" s="1444"/>
      <c r="T52" s="1442"/>
      <c r="U52" s="1796"/>
      <c r="V52" s="1797"/>
      <c r="W52" s="1096"/>
    </row>
    <row r="53" spans="1:23" ht="106.5" customHeight="1" x14ac:dyDescent="0.2">
      <c r="B53" s="1792" t="s">
        <v>442</v>
      </c>
      <c r="C53" s="1787"/>
      <c r="D53" s="1787"/>
      <c r="E53" s="1787"/>
      <c r="F53" s="1787"/>
      <c r="G53" s="1787"/>
      <c r="H53" s="1787"/>
      <c r="I53" s="1787"/>
      <c r="J53" s="1787"/>
      <c r="K53" s="1787"/>
      <c r="L53" s="1787" t="s">
        <v>440</v>
      </c>
      <c r="M53" s="1787"/>
      <c r="N53" s="1787"/>
      <c r="O53" s="1787"/>
      <c r="P53" s="1787"/>
      <c r="Q53" s="1787"/>
      <c r="R53" s="1787"/>
      <c r="S53" s="1787"/>
      <c r="T53" s="1787"/>
      <c r="U53" s="1787"/>
      <c r="V53" s="1788"/>
      <c r="W53" s="1096"/>
    </row>
    <row r="54" spans="1:23" ht="126" customHeight="1" x14ac:dyDescent="0.2">
      <c r="B54" s="1445" t="s">
        <v>162</v>
      </c>
      <c r="C54" s="1786" t="s">
        <v>766</v>
      </c>
      <c r="D54" s="1786"/>
      <c r="E54" s="1786"/>
      <c r="F54" s="1446" t="s">
        <v>162</v>
      </c>
      <c r="G54" s="1786" t="s">
        <v>625</v>
      </c>
      <c r="H54" s="1786"/>
      <c r="I54" s="1786"/>
      <c r="J54" s="1786"/>
      <c r="K54" s="1786"/>
      <c r="L54" s="1446" t="s">
        <v>162</v>
      </c>
      <c r="M54" s="1780" t="s">
        <v>437</v>
      </c>
      <c r="N54" s="1780"/>
      <c r="O54" s="1780"/>
      <c r="P54" s="1780"/>
      <c r="Q54" s="1780"/>
      <c r="R54" s="1446" t="s">
        <v>162</v>
      </c>
      <c r="S54" s="1787" t="s">
        <v>437</v>
      </c>
      <c r="T54" s="1787"/>
      <c r="U54" s="1787"/>
      <c r="V54" s="1788"/>
      <c r="W54" s="1096"/>
    </row>
    <row r="55" spans="1:23" ht="93" customHeight="1" x14ac:dyDescent="0.2">
      <c r="B55" s="1447" t="s">
        <v>149</v>
      </c>
      <c r="C55" s="1747" t="s">
        <v>834</v>
      </c>
      <c r="D55" s="1748"/>
      <c r="E55" s="1748"/>
      <c r="F55" s="1448" t="s">
        <v>149</v>
      </c>
      <c r="G55" s="1747" t="s">
        <v>868</v>
      </c>
      <c r="H55" s="1748"/>
      <c r="I55" s="1748"/>
      <c r="J55" s="1748"/>
      <c r="K55" s="1748"/>
      <c r="L55" s="1448" t="s">
        <v>149</v>
      </c>
      <c r="M55" s="1747" t="s">
        <v>869</v>
      </c>
      <c r="N55" s="1748"/>
      <c r="O55" s="1748"/>
      <c r="P55" s="1748"/>
      <c r="Q55" s="1748"/>
      <c r="R55" s="1448"/>
      <c r="S55" s="1759"/>
      <c r="T55" s="1760"/>
      <c r="U55" s="1760"/>
      <c r="V55" s="1761"/>
      <c r="W55" s="1117"/>
    </row>
    <row r="56" spans="1:23" ht="86.25" customHeight="1" x14ac:dyDescent="0.2">
      <c r="B56" s="1449" t="s">
        <v>148</v>
      </c>
      <c r="C56" s="1747"/>
      <c r="D56" s="1748"/>
      <c r="E56" s="1748"/>
      <c r="F56" s="1450" t="s">
        <v>148</v>
      </c>
      <c r="G56" s="1745" t="s">
        <v>887</v>
      </c>
      <c r="H56" s="1746"/>
      <c r="I56" s="1746"/>
      <c r="J56" s="1746"/>
      <c r="K56" s="1746"/>
      <c r="L56" s="1450" t="s">
        <v>148</v>
      </c>
      <c r="M56" s="1747" t="s">
        <v>870</v>
      </c>
      <c r="N56" s="1748"/>
      <c r="O56" s="1748"/>
      <c r="P56" s="1748"/>
      <c r="Q56" s="1748"/>
      <c r="R56" s="1451"/>
      <c r="S56" s="1759"/>
      <c r="T56" s="1760"/>
      <c r="U56" s="1760"/>
      <c r="V56" s="1761"/>
      <c r="W56" s="1131"/>
    </row>
    <row r="57" spans="1:23" ht="86.25" customHeight="1" x14ac:dyDescent="0.2">
      <c r="A57" s="1094">
        <v>3</v>
      </c>
      <c r="B57" s="1449" t="s">
        <v>151</v>
      </c>
      <c r="C57" s="1747"/>
      <c r="D57" s="1748"/>
      <c r="E57" s="1748"/>
      <c r="F57" s="1450"/>
      <c r="G57" s="1747"/>
      <c r="H57" s="1748"/>
      <c r="I57" s="1748"/>
      <c r="J57" s="1748"/>
      <c r="K57" s="1748"/>
      <c r="L57" s="1450" t="s">
        <v>151</v>
      </c>
      <c r="M57" s="1747" t="s">
        <v>873</v>
      </c>
      <c r="N57" s="1748"/>
      <c r="O57" s="1748"/>
      <c r="P57" s="1748"/>
      <c r="Q57" s="1748"/>
      <c r="R57" s="1448"/>
      <c r="S57" s="1759"/>
      <c r="T57" s="1760"/>
      <c r="U57" s="1760"/>
      <c r="V57" s="1761"/>
      <c r="W57" s="1131"/>
    </row>
    <row r="58" spans="1:23" ht="101.25" customHeight="1" x14ac:dyDescent="0.2">
      <c r="B58" s="1445"/>
      <c r="C58" s="1747"/>
      <c r="D58" s="1748"/>
      <c r="E58" s="1748"/>
      <c r="F58" s="1450"/>
      <c r="G58" s="1747"/>
      <c r="H58" s="1748"/>
      <c r="I58" s="1748"/>
      <c r="J58" s="1748"/>
      <c r="K58" s="1748"/>
      <c r="L58" s="1450" t="s">
        <v>147</v>
      </c>
      <c r="M58" s="1747" t="s">
        <v>872</v>
      </c>
      <c r="N58" s="1748"/>
      <c r="O58" s="1748"/>
      <c r="P58" s="1748"/>
      <c r="Q58" s="1748"/>
      <c r="R58" s="1448"/>
      <c r="S58" s="1759"/>
      <c r="T58" s="1760"/>
      <c r="U58" s="1760"/>
      <c r="V58" s="1761"/>
      <c r="W58" s="1118"/>
    </row>
    <row r="59" spans="1:23" ht="83.25" customHeight="1" x14ac:dyDescent="0.2">
      <c r="B59" s="1447"/>
      <c r="C59" s="1747"/>
      <c r="D59" s="1748"/>
      <c r="E59" s="1748"/>
      <c r="F59" s="1450"/>
      <c r="G59" s="1747"/>
      <c r="H59" s="1748"/>
      <c r="I59" s="1748"/>
      <c r="J59" s="1748"/>
      <c r="K59" s="1748"/>
      <c r="L59" s="1450" t="s">
        <v>146</v>
      </c>
      <c r="M59" s="1747" t="s">
        <v>871</v>
      </c>
      <c r="N59" s="1748"/>
      <c r="O59" s="1748"/>
      <c r="P59" s="1748"/>
      <c r="Q59" s="1748"/>
      <c r="R59" s="1448"/>
      <c r="S59" s="1759"/>
      <c r="T59" s="1760"/>
      <c r="U59" s="1760"/>
      <c r="V59" s="1761"/>
      <c r="W59" s="1118"/>
    </row>
    <row r="60" spans="1:23" ht="93" customHeight="1" x14ac:dyDescent="0.2">
      <c r="B60" s="1447"/>
      <c r="C60" s="1747"/>
      <c r="D60" s="1748"/>
      <c r="E60" s="1748"/>
      <c r="F60" s="1450"/>
      <c r="G60" s="1747"/>
      <c r="H60" s="1748"/>
      <c r="I60" s="1748"/>
      <c r="J60" s="1748"/>
      <c r="K60" s="1748"/>
      <c r="L60" s="1450" t="s">
        <v>145</v>
      </c>
      <c r="M60" s="1747" t="s">
        <v>874</v>
      </c>
      <c r="N60" s="1748"/>
      <c r="O60" s="1748"/>
      <c r="P60" s="1748"/>
      <c r="Q60" s="1748"/>
      <c r="R60" s="1448"/>
      <c r="S60" s="1759"/>
      <c r="T60" s="1760"/>
      <c r="U60" s="1760"/>
      <c r="V60" s="1761"/>
      <c r="W60" s="1118"/>
    </row>
    <row r="61" spans="1:23" ht="81" customHeight="1" x14ac:dyDescent="0.2">
      <c r="B61" s="1447"/>
      <c r="C61" s="1747"/>
      <c r="D61" s="1748"/>
      <c r="E61" s="1748"/>
      <c r="F61" s="1450"/>
      <c r="G61" s="1747"/>
      <c r="H61" s="1748"/>
      <c r="I61" s="1748"/>
      <c r="J61" s="1748"/>
      <c r="K61" s="1748"/>
      <c r="L61" s="1450" t="s">
        <v>144</v>
      </c>
      <c r="M61" s="1747" t="s">
        <v>875</v>
      </c>
      <c r="N61" s="1748"/>
      <c r="O61" s="1748"/>
      <c r="P61" s="1748"/>
      <c r="Q61" s="1748"/>
      <c r="R61" s="1451"/>
      <c r="S61" s="1759"/>
      <c r="T61" s="1760"/>
      <c r="U61" s="1760"/>
      <c r="V61" s="1761"/>
      <c r="W61" s="1119"/>
    </row>
    <row r="62" spans="1:23" ht="81.75" customHeight="1" thickBot="1" x14ac:dyDescent="0.25">
      <c r="B62" s="1452"/>
      <c r="C62" s="1751"/>
      <c r="D62" s="1751"/>
      <c r="E62" s="1751"/>
      <c r="F62" s="1453"/>
      <c r="G62" s="1747"/>
      <c r="H62" s="1748"/>
      <c r="I62" s="1748"/>
      <c r="J62" s="1748"/>
      <c r="K62" s="1748"/>
      <c r="L62" s="1453" t="s">
        <v>143</v>
      </c>
      <c r="M62" s="1747"/>
      <c r="N62" s="1748"/>
      <c r="O62" s="1748"/>
      <c r="P62" s="1748"/>
      <c r="Q62" s="1748"/>
      <c r="R62" s="1454"/>
      <c r="S62" s="1844"/>
      <c r="T62" s="1844"/>
      <c r="U62" s="1844"/>
      <c r="V62" s="1845"/>
      <c r="W62" s="1119"/>
    </row>
    <row r="63" spans="1:23" ht="80.099999999999994" customHeight="1" thickBot="1" x14ac:dyDescent="0.25">
      <c r="B63" s="1782" t="s">
        <v>807</v>
      </c>
      <c r="C63" s="1783"/>
      <c r="D63" s="1783"/>
      <c r="E63" s="1783"/>
      <c r="F63" s="1783"/>
      <c r="G63" s="1783"/>
      <c r="H63" s="1783"/>
      <c r="I63" s="1783"/>
      <c r="J63" s="1783"/>
      <c r="K63" s="1783"/>
      <c r="L63" s="1783"/>
      <c r="M63" s="1783"/>
      <c r="N63" s="1783"/>
      <c r="O63" s="1783"/>
      <c r="P63" s="1783"/>
      <c r="Q63" s="1783"/>
      <c r="R63" s="1783"/>
      <c r="S63" s="1783"/>
      <c r="T63" s="1783"/>
      <c r="U63" s="1783"/>
      <c r="V63" s="1784"/>
      <c r="W63" s="1120"/>
    </row>
    <row r="64" spans="1:23" ht="80.099999999999994" customHeight="1" thickBot="1" x14ac:dyDescent="0.25">
      <c r="B64" s="1455"/>
      <c r="C64" s="1762"/>
      <c r="D64" s="1763"/>
      <c r="E64" s="1763"/>
      <c r="F64" s="1763"/>
      <c r="G64" s="1763"/>
      <c r="H64" s="1763"/>
      <c r="I64" s="1763"/>
      <c r="J64" s="1763"/>
      <c r="K64" s="1763"/>
      <c r="L64" s="1763"/>
      <c r="M64" s="1763"/>
      <c r="N64" s="1763"/>
      <c r="O64" s="1763"/>
      <c r="P64" s="1763"/>
      <c r="Q64" s="1763"/>
      <c r="R64" s="1763"/>
      <c r="S64" s="1763"/>
      <c r="T64" s="1763"/>
      <c r="U64" s="1763"/>
      <c r="V64" s="1764"/>
      <c r="W64" s="1121"/>
    </row>
    <row r="65" spans="2:26" ht="80.099999999999994" customHeight="1" thickBot="1" x14ac:dyDescent="0.25">
      <c r="B65" s="1782" t="s">
        <v>790</v>
      </c>
      <c r="C65" s="1783"/>
      <c r="D65" s="1783"/>
      <c r="E65" s="1783"/>
      <c r="F65" s="1783"/>
      <c r="G65" s="1783"/>
      <c r="H65" s="1783"/>
      <c r="I65" s="1783"/>
      <c r="J65" s="1783"/>
      <c r="K65" s="1783"/>
      <c r="L65" s="1783"/>
      <c r="M65" s="1783"/>
      <c r="N65" s="1783"/>
      <c r="O65" s="1783"/>
      <c r="P65" s="1783"/>
      <c r="Q65" s="1783"/>
      <c r="R65" s="1783"/>
      <c r="S65" s="1783"/>
      <c r="T65" s="1783"/>
      <c r="U65" s="1783"/>
      <c r="V65" s="1784"/>
      <c r="W65" s="1121"/>
    </row>
    <row r="66" spans="2:26" ht="80.099999999999994" customHeight="1" x14ac:dyDescent="0.2">
      <c r="B66" s="1456" t="s">
        <v>809</v>
      </c>
      <c r="C66" s="1752" t="s">
        <v>881</v>
      </c>
      <c r="D66" s="1753"/>
      <c r="E66" s="1753"/>
      <c r="F66" s="1753"/>
      <c r="G66" s="1753"/>
      <c r="H66" s="1753"/>
      <c r="I66" s="1753"/>
      <c r="J66" s="1753"/>
      <c r="K66" s="1753"/>
      <c r="L66" s="1753"/>
      <c r="M66" s="1753"/>
      <c r="N66" s="1753"/>
      <c r="O66" s="1753"/>
      <c r="P66" s="1753"/>
      <c r="Q66" s="1753"/>
      <c r="R66" s="1753"/>
      <c r="S66" s="1753"/>
      <c r="T66" s="1753"/>
      <c r="U66" s="1753"/>
      <c r="V66" s="1754"/>
      <c r="W66" s="1121"/>
    </row>
    <row r="67" spans="2:26" ht="80.099999999999994" hidden="1" customHeight="1" x14ac:dyDescent="0.5">
      <c r="B67" s="1457"/>
      <c r="C67" s="1749"/>
      <c r="D67" s="1749"/>
      <c r="E67" s="1749"/>
      <c r="F67" s="1749"/>
      <c r="G67" s="1749"/>
      <c r="H67" s="1749"/>
      <c r="I67" s="1749"/>
      <c r="J67" s="1749"/>
      <c r="K67" s="1749"/>
      <c r="L67" s="1749"/>
      <c r="M67" s="1749"/>
      <c r="N67" s="1749"/>
      <c r="O67" s="1749"/>
      <c r="P67" s="1749"/>
      <c r="Q67" s="1749"/>
      <c r="R67" s="1749"/>
      <c r="S67" s="1749"/>
      <c r="T67" s="1749"/>
      <c r="U67" s="1749"/>
      <c r="V67" s="1750"/>
      <c r="W67" s="1122"/>
    </row>
    <row r="68" spans="2:26" ht="80.099999999999994" hidden="1" customHeight="1" x14ac:dyDescent="0.5">
      <c r="B68" s="1458" t="s">
        <v>808</v>
      </c>
      <c r="C68" s="1755"/>
      <c r="D68" s="1755"/>
      <c r="E68" s="1755"/>
      <c r="F68" s="1755"/>
      <c r="G68" s="1755"/>
      <c r="H68" s="1755"/>
      <c r="I68" s="1755"/>
      <c r="J68" s="1755"/>
      <c r="K68" s="1755"/>
      <c r="L68" s="1755"/>
      <c r="M68" s="1755"/>
      <c r="N68" s="1755"/>
      <c r="O68" s="1755"/>
      <c r="P68" s="1755"/>
      <c r="Q68" s="1755"/>
      <c r="R68" s="1755"/>
      <c r="S68" s="1755"/>
      <c r="T68" s="1755"/>
      <c r="U68" s="1755"/>
      <c r="V68" s="1756"/>
      <c r="W68" s="1122"/>
    </row>
    <row r="69" spans="2:26" ht="80.099999999999994" customHeight="1" x14ac:dyDescent="0.2">
      <c r="B69" s="1459" t="s">
        <v>803</v>
      </c>
      <c r="C69" s="1749"/>
      <c r="D69" s="1749"/>
      <c r="E69" s="1749"/>
      <c r="F69" s="1749"/>
      <c r="G69" s="1749"/>
      <c r="H69" s="1749"/>
      <c r="I69" s="1749"/>
      <c r="J69" s="1749"/>
      <c r="K69" s="1749"/>
      <c r="L69" s="1749"/>
      <c r="M69" s="1749"/>
      <c r="N69" s="1749"/>
      <c r="O69" s="1749"/>
      <c r="P69" s="1749"/>
      <c r="Q69" s="1749"/>
      <c r="R69" s="1749"/>
      <c r="S69" s="1749"/>
      <c r="T69" s="1749"/>
      <c r="U69" s="1757" t="s">
        <v>838</v>
      </c>
      <c r="V69" s="1758"/>
      <c r="W69" s="1123"/>
    </row>
    <row r="70" spans="2:26" ht="80.099999999999994" customHeight="1" x14ac:dyDescent="0.2">
      <c r="B70" s="1459" t="s">
        <v>804</v>
      </c>
      <c r="C70" s="1749"/>
      <c r="D70" s="1749"/>
      <c r="E70" s="1749"/>
      <c r="F70" s="1749"/>
      <c r="G70" s="1749"/>
      <c r="H70" s="1749"/>
      <c r="I70" s="1749"/>
      <c r="J70" s="1749"/>
      <c r="K70" s="1749"/>
      <c r="L70" s="1749"/>
      <c r="M70" s="1749"/>
      <c r="N70" s="1749"/>
      <c r="O70" s="1749"/>
      <c r="P70" s="1749"/>
      <c r="Q70" s="1749"/>
      <c r="R70" s="1749"/>
      <c r="S70" s="1749"/>
      <c r="T70" s="1749"/>
      <c r="U70" s="1757" t="s">
        <v>838</v>
      </c>
      <c r="V70" s="1758"/>
      <c r="W70" s="1123"/>
    </row>
    <row r="71" spans="2:26" ht="87" hidden="1" customHeight="1" x14ac:dyDescent="0.2">
      <c r="B71" s="1459" t="s">
        <v>828</v>
      </c>
      <c r="C71" s="1774"/>
      <c r="D71" s="1775"/>
      <c r="E71" s="1775"/>
      <c r="F71" s="1775"/>
      <c r="G71" s="1775"/>
      <c r="H71" s="1775"/>
      <c r="I71" s="1775"/>
      <c r="J71" s="1775"/>
      <c r="K71" s="1775"/>
      <c r="L71" s="1775"/>
      <c r="M71" s="1775"/>
      <c r="N71" s="1775"/>
      <c r="O71" s="1775"/>
      <c r="P71" s="1775"/>
      <c r="Q71" s="1775"/>
      <c r="R71" s="1775"/>
      <c r="S71" s="1775"/>
      <c r="T71" s="1775"/>
      <c r="U71" s="1775"/>
      <c r="V71" s="1776"/>
      <c r="W71" s="1123"/>
    </row>
    <row r="72" spans="2:26" ht="87" hidden="1" customHeight="1" x14ac:dyDescent="0.2">
      <c r="B72" s="1459" t="s">
        <v>828</v>
      </c>
      <c r="C72" s="1777"/>
      <c r="D72" s="1778"/>
      <c r="E72" s="1778"/>
      <c r="F72" s="1778"/>
      <c r="G72" s="1778"/>
      <c r="H72" s="1778"/>
      <c r="I72" s="1778"/>
      <c r="J72" s="1778"/>
      <c r="K72" s="1778"/>
      <c r="L72" s="1778"/>
      <c r="M72" s="1778"/>
      <c r="N72" s="1778"/>
      <c r="O72" s="1778"/>
      <c r="P72" s="1778"/>
      <c r="Q72" s="1778"/>
      <c r="R72" s="1778"/>
      <c r="S72" s="1778"/>
      <c r="T72" s="1778"/>
      <c r="U72" s="1778"/>
      <c r="V72" s="1779"/>
      <c r="W72" s="1123"/>
    </row>
    <row r="73" spans="2:26" ht="225" customHeight="1" x14ac:dyDescent="0.2">
      <c r="B73" s="1460" t="s">
        <v>138</v>
      </c>
      <c r="C73" s="1755" t="s">
        <v>883</v>
      </c>
      <c r="D73" s="1755"/>
      <c r="E73" s="1755"/>
      <c r="F73" s="1755"/>
      <c r="G73" s="1755"/>
      <c r="H73" s="1755"/>
      <c r="I73" s="1755"/>
      <c r="J73" s="1755"/>
      <c r="K73" s="1755"/>
      <c r="L73" s="1755"/>
      <c r="M73" s="1755"/>
      <c r="N73" s="1755"/>
      <c r="O73" s="1755"/>
      <c r="P73" s="1755"/>
      <c r="Q73" s="1755"/>
      <c r="R73" s="1755"/>
      <c r="S73" s="1755"/>
      <c r="T73" s="1755"/>
      <c r="U73" s="1755"/>
      <c r="V73" s="1756"/>
      <c r="W73" s="1123"/>
      <c r="Y73" s="1124"/>
    </row>
    <row r="74" spans="2:26" ht="80.099999999999994" customHeight="1" x14ac:dyDescent="0.7">
      <c r="B74" s="1767" t="s">
        <v>10</v>
      </c>
      <c r="C74" s="1769" t="s">
        <v>619</v>
      </c>
      <c r="D74" s="1769"/>
      <c r="E74" s="1769"/>
      <c r="F74" s="1769"/>
      <c r="G74" s="1770">
        <v>300</v>
      </c>
      <c r="H74" s="1770"/>
      <c r="I74" s="1773">
        <v>0.26200873362445415</v>
      </c>
      <c r="J74" s="1773"/>
      <c r="K74" s="1771"/>
      <c r="L74" s="1771"/>
      <c r="M74" s="1771"/>
      <c r="N74" s="1771"/>
      <c r="O74" s="1771"/>
      <c r="P74" s="1771"/>
      <c r="Q74" s="1771"/>
      <c r="R74" s="1771"/>
      <c r="S74" s="1771"/>
      <c r="T74" s="1771"/>
      <c r="U74" s="1771"/>
      <c r="V74" s="1772"/>
      <c r="W74" s="1125"/>
      <c r="X74" s="1126"/>
      <c r="Y74" s="1127"/>
      <c r="Z74" s="1128"/>
    </row>
    <row r="75" spans="2:26" ht="213" customHeight="1" x14ac:dyDescent="0.7">
      <c r="B75" s="1767"/>
      <c r="C75" s="1755" t="s">
        <v>884</v>
      </c>
      <c r="D75" s="1755"/>
      <c r="E75" s="1755"/>
      <c r="F75" s="1755"/>
      <c r="G75" s="1755"/>
      <c r="H75" s="1755"/>
      <c r="I75" s="1755"/>
      <c r="J75" s="1755"/>
      <c r="K75" s="1755"/>
      <c r="L75" s="1755"/>
      <c r="M75" s="1755"/>
      <c r="N75" s="1755"/>
      <c r="O75" s="1755"/>
      <c r="P75" s="1755"/>
      <c r="Q75" s="1755"/>
      <c r="R75" s="1755"/>
      <c r="S75" s="1755"/>
      <c r="T75" s="1755"/>
      <c r="U75" s="1755"/>
      <c r="V75" s="1756"/>
      <c r="W75" s="1125"/>
      <c r="X75" s="1126"/>
      <c r="Y75" s="1127"/>
      <c r="Z75" s="1128"/>
    </row>
    <row r="76" spans="2:26" ht="60.75" hidden="1" customHeight="1" x14ac:dyDescent="0.7">
      <c r="B76" s="1767"/>
      <c r="C76" s="1755"/>
      <c r="D76" s="1755"/>
      <c r="E76" s="1755"/>
      <c r="F76" s="1755"/>
      <c r="G76" s="1755"/>
      <c r="H76" s="1755"/>
      <c r="I76" s="1755"/>
      <c r="J76" s="1755"/>
      <c r="K76" s="1755"/>
      <c r="L76" s="1755"/>
      <c r="M76" s="1755"/>
      <c r="N76" s="1755"/>
      <c r="O76" s="1755"/>
      <c r="P76" s="1755"/>
      <c r="Q76" s="1755"/>
      <c r="R76" s="1755"/>
      <c r="S76" s="1755"/>
      <c r="T76" s="1755"/>
      <c r="U76" s="1755"/>
      <c r="V76" s="1756"/>
      <c r="W76" s="1125"/>
      <c r="X76" s="1126"/>
      <c r="Y76" s="1127"/>
      <c r="Z76" s="1128"/>
    </row>
    <row r="77" spans="2:26" ht="80.099999999999994" customHeight="1" x14ac:dyDescent="0.7">
      <c r="B77" s="1849" t="s">
        <v>79</v>
      </c>
      <c r="C77" s="1769" t="s">
        <v>779</v>
      </c>
      <c r="D77" s="1769"/>
      <c r="E77" s="1769"/>
      <c r="F77" s="1769"/>
      <c r="G77" s="1770">
        <v>0</v>
      </c>
      <c r="H77" s="1770"/>
      <c r="I77" s="1768">
        <v>0</v>
      </c>
      <c r="J77" s="1768"/>
      <c r="K77" s="1771"/>
      <c r="L77" s="1771"/>
      <c r="M77" s="1771"/>
      <c r="N77" s="1771"/>
      <c r="O77" s="1771"/>
      <c r="P77" s="1771"/>
      <c r="Q77" s="1771"/>
      <c r="R77" s="1771"/>
      <c r="S77" s="1771"/>
      <c r="T77" s="1771"/>
      <c r="U77" s="1771"/>
      <c r="V77" s="1772"/>
      <c r="W77" s="1123"/>
      <c r="X77" s="1126"/>
      <c r="Y77" s="1127"/>
      <c r="Z77" s="1124"/>
    </row>
    <row r="78" spans="2:26" ht="367.5" customHeight="1" thickBot="1" x14ac:dyDescent="0.75">
      <c r="B78" s="1850"/>
      <c r="C78" s="1846" t="s">
        <v>880</v>
      </c>
      <c r="D78" s="1847"/>
      <c r="E78" s="1847"/>
      <c r="F78" s="1847"/>
      <c r="G78" s="1847"/>
      <c r="H78" s="1847"/>
      <c r="I78" s="1847"/>
      <c r="J78" s="1847"/>
      <c r="K78" s="1847"/>
      <c r="L78" s="1847"/>
      <c r="M78" s="1847"/>
      <c r="N78" s="1847"/>
      <c r="O78" s="1847"/>
      <c r="P78" s="1847"/>
      <c r="Q78" s="1847"/>
      <c r="R78" s="1847"/>
      <c r="S78" s="1847"/>
      <c r="T78" s="1847"/>
      <c r="U78" s="1847"/>
      <c r="V78" s="1848"/>
      <c r="W78" s="1129"/>
      <c r="X78" s="1130"/>
      <c r="Y78" s="1127"/>
      <c r="Z78" s="1124"/>
    </row>
    <row r="79" spans="2:26" ht="180.75" customHeight="1" thickBot="1" x14ac:dyDescent="0.25">
      <c r="B79" s="1466" t="s">
        <v>867</v>
      </c>
      <c r="C79" s="1851" t="s">
        <v>882</v>
      </c>
      <c r="D79" s="1852"/>
      <c r="E79" s="1852"/>
      <c r="F79" s="1852"/>
      <c r="G79" s="1852"/>
      <c r="H79" s="1852"/>
      <c r="I79" s="1852"/>
      <c r="J79" s="1852"/>
      <c r="K79" s="1852"/>
      <c r="L79" s="1852"/>
      <c r="M79" s="1852"/>
      <c r="N79" s="1852"/>
      <c r="O79" s="1852"/>
      <c r="P79" s="1852"/>
      <c r="Q79" s="1852"/>
      <c r="R79" s="1852"/>
      <c r="S79" s="1852"/>
      <c r="T79" s="1852"/>
      <c r="U79" s="1852"/>
      <c r="V79" s="1853"/>
    </row>
    <row r="80" spans="2:26" ht="96" customHeight="1" x14ac:dyDescent="0.2">
      <c r="B80" s="1132"/>
    </row>
    <row r="81" spans="2:22" ht="99.95" customHeight="1" x14ac:dyDescent="0.9">
      <c r="B81" s="1132"/>
      <c r="C81" s="1765"/>
      <c r="D81" s="1766"/>
      <c r="E81" s="1766"/>
      <c r="F81" s="1766"/>
      <c r="G81" s="1766"/>
      <c r="H81" s="1766"/>
      <c r="I81" s="1766"/>
      <c r="J81" s="1766"/>
      <c r="K81" s="1766"/>
      <c r="L81" s="1766"/>
      <c r="M81" s="1766"/>
      <c r="N81" s="1766"/>
      <c r="O81" s="1766"/>
      <c r="P81" s="1766"/>
      <c r="Q81" s="1766"/>
      <c r="R81" s="1766"/>
      <c r="S81" s="1766"/>
      <c r="T81" s="1766"/>
      <c r="U81" s="1766"/>
      <c r="V81" s="1766"/>
    </row>
    <row r="82" spans="2:22" ht="99.95" customHeight="1" x14ac:dyDescent="0.2">
      <c r="B82" s="1132"/>
      <c r="C82" s="1744"/>
      <c r="D82" s="1744"/>
      <c r="E82" s="1744"/>
      <c r="F82" s="1744"/>
      <c r="G82" s="1744"/>
      <c r="H82" s="1744"/>
      <c r="I82" s="1744"/>
      <c r="J82" s="1744"/>
      <c r="K82" s="1744"/>
      <c r="L82" s="1744"/>
      <c r="M82" s="1744"/>
      <c r="N82" s="1744"/>
      <c r="O82" s="1744"/>
      <c r="P82" s="1744"/>
      <c r="Q82" s="1744"/>
      <c r="R82" s="1744"/>
      <c r="S82" s="1744"/>
      <c r="T82" s="1744"/>
      <c r="U82" s="1744"/>
      <c r="V82" s="1744"/>
    </row>
    <row r="83" spans="2:22" ht="99.95" customHeight="1" x14ac:dyDescent="0.2">
      <c r="B83" s="1132"/>
      <c r="C83" s="1132"/>
      <c r="D83" s="1132"/>
      <c r="E83" s="1132"/>
      <c r="F83" s="1132"/>
      <c r="G83" s="1132"/>
      <c r="H83" s="1132"/>
      <c r="I83" s="1132"/>
      <c r="J83" s="1132"/>
      <c r="K83" s="1132"/>
      <c r="L83" s="1132"/>
      <c r="M83" s="1132"/>
      <c r="N83" s="1132"/>
      <c r="O83" s="1132"/>
      <c r="P83" s="1132"/>
      <c r="Q83" s="1132"/>
      <c r="R83" s="1132"/>
      <c r="S83" s="1132"/>
      <c r="T83" s="1132"/>
      <c r="U83" s="1132"/>
      <c r="V83" s="1132"/>
    </row>
    <row r="84" spans="2:22" ht="99.95" customHeight="1" x14ac:dyDescent="0.2">
      <c r="B84" s="1132"/>
      <c r="C84" s="1132"/>
      <c r="D84" s="1132"/>
      <c r="E84" s="1132"/>
      <c r="F84" s="1132"/>
      <c r="G84" s="1132"/>
      <c r="H84" s="1132"/>
      <c r="I84" s="1132"/>
      <c r="J84" s="1132"/>
      <c r="K84" s="1132"/>
      <c r="L84" s="1132"/>
      <c r="M84" s="1132"/>
      <c r="N84" s="1132"/>
      <c r="O84" s="1132"/>
      <c r="P84" s="1132"/>
      <c r="Q84" s="1132"/>
      <c r="R84" s="1132"/>
      <c r="S84" s="1132"/>
      <c r="T84" s="1132"/>
      <c r="U84" s="1132"/>
      <c r="V84" s="1132"/>
    </row>
    <row r="85" spans="2:22" ht="99.95" customHeight="1" x14ac:dyDescent="0.2">
      <c r="B85" s="1132"/>
      <c r="C85" s="1132"/>
      <c r="D85" s="1132"/>
      <c r="E85" s="1132"/>
      <c r="F85" s="1132"/>
      <c r="G85" s="1132"/>
      <c r="H85" s="1132"/>
      <c r="I85" s="1132"/>
      <c r="J85" s="1132"/>
      <c r="K85" s="1132"/>
      <c r="L85" s="1132"/>
      <c r="M85" s="1132"/>
      <c r="N85" s="1132"/>
      <c r="O85" s="1132"/>
      <c r="P85" s="1132"/>
      <c r="Q85" s="1132"/>
      <c r="R85" s="1132"/>
      <c r="S85" s="1132"/>
      <c r="T85" s="1132"/>
      <c r="U85" s="1132"/>
      <c r="V85" s="1132"/>
    </row>
    <row r="86" spans="2:22" ht="99.95" customHeight="1" x14ac:dyDescent="0.2">
      <c r="B86" s="1132"/>
      <c r="C86" s="1132"/>
      <c r="D86" s="1132"/>
      <c r="E86" s="1132"/>
      <c r="F86" s="1132"/>
      <c r="G86" s="1132"/>
      <c r="H86" s="1132"/>
      <c r="I86" s="1132"/>
      <c r="J86" s="1132"/>
      <c r="K86" s="1132"/>
      <c r="L86" s="1132"/>
      <c r="M86" s="1132"/>
      <c r="N86" s="1132"/>
      <c r="O86" s="1132"/>
      <c r="P86" s="1132"/>
      <c r="Q86" s="1132"/>
      <c r="R86" s="1132"/>
      <c r="S86" s="1132"/>
      <c r="T86" s="1132"/>
      <c r="U86" s="1132"/>
      <c r="V86" s="1132"/>
    </row>
    <row r="87" spans="2:22" ht="99.95" customHeight="1" x14ac:dyDescent="0.2">
      <c r="B87" s="1132"/>
      <c r="C87" s="1132"/>
      <c r="D87" s="1132"/>
      <c r="E87" s="1132"/>
      <c r="F87" s="1132"/>
      <c r="G87" s="1132"/>
      <c r="H87" s="1132"/>
      <c r="I87" s="1132"/>
      <c r="J87" s="1132"/>
      <c r="K87" s="1132"/>
      <c r="L87" s="1132"/>
      <c r="M87" s="1132"/>
      <c r="N87" s="1132"/>
      <c r="O87" s="1132"/>
      <c r="P87" s="1132"/>
      <c r="Q87" s="1132"/>
      <c r="R87" s="1132"/>
      <c r="S87" s="1132"/>
      <c r="T87" s="1132"/>
      <c r="U87" s="1132"/>
      <c r="V87" s="1132"/>
    </row>
    <row r="88" spans="2:22" ht="99.95" customHeight="1" x14ac:dyDescent="0.2">
      <c r="B88" s="1132"/>
      <c r="C88" s="1132"/>
      <c r="D88" s="1132"/>
      <c r="E88" s="1132"/>
      <c r="F88" s="1132"/>
      <c r="G88" s="1132"/>
      <c r="H88" s="1132"/>
      <c r="I88" s="1132"/>
      <c r="J88" s="1132"/>
      <c r="K88" s="1132"/>
      <c r="L88" s="1132"/>
      <c r="M88" s="1132"/>
      <c r="N88" s="1132"/>
      <c r="O88" s="1132"/>
      <c r="P88" s="1132"/>
      <c r="Q88" s="1132"/>
      <c r="R88" s="1132"/>
      <c r="S88" s="1132"/>
      <c r="T88" s="1132"/>
      <c r="U88" s="1132"/>
      <c r="V88" s="1132"/>
    </row>
    <row r="89" spans="2:22" ht="99.95" customHeight="1" x14ac:dyDescent="0.2">
      <c r="B89" s="1132"/>
      <c r="C89" s="1132"/>
      <c r="D89" s="1132"/>
      <c r="E89" s="1132"/>
      <c r="F89" s="1132"/>
      <c r="G89" s="1132"/>
      <c r="H89" s="1132"/>
      <c r="I89" s="1132"/>
      <c r="J89" s="1132"/>
      <c r="K89" s="1132"/>
      <c r="L89" s="1132"/>
      <c r="M89" s="1132"/>
      <c r="N89" s="1132"/>
      <c r="O89" s="1132"/>
      <c r="P89" s="1132"/>
      <c r="Q89" s="1132"/>
      <c r="R89" s="1132"/>
      <c r="S89" s="1132"/>
      <c r="T89" s="1132"/>
      <c r="U89" s="1132"/>
      <c r="V89" s="1132"/>
    </row>
    <row r="90" spans="2:22" ht="99.95" customHeight="1" x14ac:dyDescent="0.2">
      <c r="B90" s="1132"/>
      <c r="C90" s="1132"/>
      <c r="D90" s="1132"/>
      <c r="E90" s="1132"/>
      <c r="F90" s="1132"/>
      <c r="G90" s="1132"/>
      <c r="H90" s="1132"/>
      <c r="I90" s="1132"/>
      <c r="J90" s="1132"/>
      <c r="K90" s="1132"/>
      <c r="L90" s="1132"/>
      <c r="M90" s="1132"/>
      <c r="N90" s="1132"/>
      <c r="O90" s="1132"/>
      <c r="P90" s="1132"/>
      <c r="Q90" s="1132"/>
      <c r="R90" s="1132"/>
      <c r="S90" s="1132"/>
      <c r="T90" s="1132"/>
      <c r="U90" s="1132"/>
      <c r="V90" s="1132"/>
    </row>
    <row r="91" spans="2:22" ht="99.95" customHeight="1" x14ac:dyDescent="0.2">
      <c r="B91" s="1132"/>
      <c r="C91" s="1132"/>
      <c r="D91" s="1132"/>
      <c r="E91" s="1132"/>
      <c r="F91" s="1132"/>
      <c r="G91" s="1132"/>
      <c r="H91" s="1132"/>
      <c r="I91" s="1132"/>
      <c r="J91" s="1132"/>
      <c r="K91" s="1132"/>
      <c r="L91" s="1132"/>
      <c r="M91" s="1132"/>
      <c r="N91" s="1132"/>
      <c r="O91" s="1132"/>
      <c r="P91" s="1132"/>
      <c r="Q91" s="1132"/>
      <c r="R91" s="1132"/>
      <c r="S91" s="1132"/>
      <c r="T91" s="1132"/>
      <c r="U91" s="1132"/>
      <c r="V91" s="1132"/>
    </row>
    <row r="92" spans="2:22" ht="99.95" customHeight="1" x14ac:dyDescent="0.2">
      <c r="B92" s="1132"/>
      <c r="C92" s="1132"/>
      <c r="D92" s="1132"/>
      <c r="E92" s="1132"/>
      <c r="F92" s="1132"/>
      <c r="G92" s="1132"/>
      <c r="H92" s="1132"/>
      <c r="I92" s="1132"/>
      <c r="J92" s="1132"/>
      <c r="K92" s="1132"/>
      <c r="L92" s="1132"/>
      <c r="M92" s="1132"/>
      <c r="N92" s="1132"/>
      <c r="O92" s="1132"/>
      <c r="P92" s="1132"/>
      <c r="Q92" s="1132"/>
      <c r="R92" s="1132"/>
      <c r="S92" s="1132"/>
      <c r="T92" s="1132"/>
      <c r="U92" s="1132"/>
      <c r="V92" s="1132"/>
    </row>
    <row r="93" spans="2:22" ht="99.95" customHeight="1" x14ac:dyDescent="0.2">
      <c r="B93" s="1132"/>
      <c r="C93" s="1132"/>
      <c r="D93" s="1132"/>
      <c r="E93" s="1132"/>
      <c r="F93" s="1132"/>
      <c r="G93" s="1132"/>
      <c r="H93" s="1132"/>
      <c r="I93" s="1132"/>
      <c r="J93" s="1132"/>
      <c r="K93" s="1132"/>
      <c r="L93" s="1132"/>
      <c r="M93" s="1132"/>
      <c r="N93" s="1132"/>
      <c r="O93" s="1132"/>
      <c r="P93" s="1132"/>
      <c r="Q93" s="1132"/>
      <c r="R93" s="1132"/>
      <c r="S93" s="1132"/>
      <c r="T93" s="1132"/>
      <c r="U93" s="1132"/>
      <c r="V93" s="1132"/>
    </row>
    <row r="94" spans="2:22" ht="99.95" customHeight="1" x14ac:dyDescent="0.2">
      <c r="B94" s="1132"/>
      <c r="C94" s="1132"/>
      <c r="D94" s="1132"/>
      <c r="E94" s="1132"/>
      <c r="F94" s="1132"/>
      <c r="G94" s="1132"/>
      <c r="H94" s="1132"/>
      <c r="I94" s="1132"/>
      <c r="J94" s="1132"/>
      <c r="K94" s="1132"/>
      <c r="L94" s="1132"/>
      <c r="M94" s="1132"/>
      <c r="N94" s="1132"/>
      <c r="O94" s="1132"/>
      <c r="P94" s="1132"/>
      <c r="Q94" s="1132"/>
      <c r="R94" s="1132"/>
      <c r="S94" s="1132"/>
      <c r="T94" s="1132"/>
      <c r="U94" s="1132"/>
      <c r="V94" s="1132"/>
    </row>
    <row r="95" spans="2:22" ht="99.95" customHeight="1" x14ac:dyDescent="0.2">
      <c r="B95" s="1132"/>
      <c r="C95" s="1132"/>
      <c r="D95" s="1132"/>
      <c r="E95" s="1132"/>
      <c r="F95" s="1132"/>
      <c r="G95" s="1132"/>
      <c r="H95" s="1132"/>
      <c r="I95" s="1132"/>
      <c r="J95" s="1132"/>
      <c r="K95" s="1132"/>
      <c r="L95" s="1132"/>
      <c r="M95" s="1132"/>
      <c r="N95" s="1132"/>
      <c r="O95" s="1132"/>
      <c r="P95" s="1132"/>
      <c r="Q95" s="1132"/>
      <c r="R95" s="1132"/>
      <c r="S95" s="1132"/>
      <c r="T95" s="1132"/>
      <c r="U95" s="1132"/>
      <c r="V95" s="1132"/>
    </row>
    <row r="96" spans="2:22" ht="99.95" customHeight="1" x14ac:dyDescent="0.2">
      <c r="B96" s="1132"/>
      <c r="C96" s="1132"/>
      <c r="D96" s="1132"/>
      <c r="E96" s="1132"/>
      <c r="F96" s="1132"/>
      <c r="G96" s="1132"/>
      <c r="H96" s="1132"/>
      <c r="I96" s="1132"/>
      <c r="J96" s="1132"/>
      <c r="K96" s="1132"/>
      <c r="L96" s="1132"/>
      <c r="M96" s="1132"/>
      <c r="N96" s="1132"/>
      <c r="O96" s="1132"/>
      <c r="P96" s="1132"/>
      <c r="Q96" s="1132"/>
      <c r="R96" s="1132"/>
      <c r="S96" s="1132"/>
      <c r="T96" s="1132"/>
      <c r="U96" s="1132"/>
      <c r="V96" s="1132"/>
    </row>
    <row r="97" spans="2:22" ht="99.95" customHeight="1" x14ac:dyDescent="0.2">
      <c r="B97" s="1132"/>
      <c r="C97" s="1132"/>
      <c r="D97" s="1132"/>
      <c r="E97" s="1132"/>
      <c r="F97" s="1132"/>
      <c r="G97" s="1132"/>
      <c r="H97" s="1132"/>
      <c r="I97" s="1132"/>
      <c r="J97" s="1132"/>
      <c r="K97" s="1132"/>
      <c r="L97" s="1132"/>
      <c r="M97" s="1132"/>
      <c r="N97" s="1132"/>
      <c r="O97" s="1132"/>
      <c r="P97" s="1132"/>
      <c r="Q97" s="1132"/>
      <c r="R97" s="1132"/>
      <c r="S97" s="1132"/>
      <c r="T97" s="1132"/>
      <c r="U97" s="1132"/>
      <c r="V97" s="1132"/>
    </row>
    <row r="98" spans="2:22" ht="99.95" customHeight="1" x14ac:dyDescent="0.2">
      <c r="B98" s="1132"/>
      <c r="C98" s="1132"/>
      <c r="D98" s="1132"/>
      <c r="E98" s="1132"/>
      <c r="F98" s="1132"/>
      <c r="G98" s="1132"/>
      <c r="H98" s="1132"/>
      <c r="I98" s="1132"/>
      <c r="J98" s="1132"/>
      <c r="K98" s="1132"/>
      <c r="L98" s="1132"/>
      <c r="M98" s="1132"/>
      <c r="N98" s="1132"/>
      <c r="O98" s="1132"/>
      <c r="P98" s="1132"/>
      <c r="Q98" s="1132"/>
      <c r="R98" s="1132"/>
      <c r="S98" s="1132"/>
      <c r="T98" s="1132"/>
      <c r="U98" s="1132"/>
      <c r="V98" s="1132"/>
    </row>
    <row r="99" spans="2:22" ht="99.95" customHeight="1" x14ac:dyDescent="0.2">
      <c r="B99" s="1132"/>
      <c r="C99" s="1132"/>
      <c r="D99" s="1132"/>
      <c r="E99" s="1132"/>
      <c r="F99" s="1132"/>
      <c r="G99" s="1132"/>
      <c r="H99" s="1132"/>
      <c r="I99" s="1132"/>
      <c r="J99" s="1132"/>
      <c r="K99" s="1132"/>
      <c r="L99" s="1132"/>
      <c r="M99" s="1132"/>
      <c r="N99" s="1132"/>
      <c r="O99" s="1132"/>
      <c r="P99" s="1132"/>
      <c r="Q99" s="1132"/>
      <c r="R99" s="1132"/>
      <c r="S99" s="1132"/>
      <c r="T99" s="1132"/>
      <c r="U99" s="1132"/>
      <c r="V99" s="1132"/>
    </row>
    <row r="100" spans="2:22" ht="99.95" customHeight="1" x14ac:dyDescent="0.2">
      <c r="B100" s="1132"/>
      <c r="C100" s="1132"/>
      <c r="D100" s="1132"/>
      <c r="E100" s="1132"/>
      <c r="F100" s="1132"/>
      <c r="G100" s="1132"/>
      <c r="H100" s="1132"/>
      <c r="I100" s="1132"/>
      <c r="J100" s="1132"/>
      <c r="K100" s="1132"/>
      <c r="L100" s="1132"/>
      <c r="M100" s="1132"/>
      <c r="N100" s="1132"/>
      <c r="O100" s="1132"/>
      <c r="P100" s="1132"/>
      <c r="Q100" s="1132"/>
      <c r="R100" s="1132"/>
      <c r="S100" s="1132"/>
      <c r="T100" s="1132"/>
      <c r="U100" s="1132"/>
      <c r="V100" s="1132"/>
    </row>
    <row r="101" spans="2:22" ht="99.95" customHeight="1" x14ac:dyDescent="0.2">
      <c r="B101" s="1132"/>
      <c r="C101" s="1132"/>
      <c r="D101" s="1132"/>
      <c r="E101" s="1132"/>
      <c r="F101" s="1132"/>
      <c r="G101" s="1132"/>
      <c r="H101" s="1132"/>
      <c r="I101" s="1132"/>
      <c r="J101" s="1132"/>
      <c r="K101" s="1132"/>
      <c r="L101" s="1132"/>
      <c r="M101" s="1132"/>
      <c r="N101" s="1132"/>
      <c r="O101" s="1132"/>
      <c r="P101" s="1132"/>
      <c r="Q101" s="1132"/>
      <c r="R101" s="1132"/>
      <c r="S101" s="1132"/>
      <c r="T101" s="1132"/>
      <c r="U101" s="1132"/>
      <c r="V101" s="1132"/>
    </row>
    <row r="102" spans="2:22" ht="99.95" customHeight="1" x14ac:dyDescent="0.2">
      <c r="B102" s="1132"/>
      <c r="C102" s="1132"/>
      <c r="D102" s="1132"/>
      <c r="E102" s="1132"/>
      <c r="F102" s="1132"/>
      <c r="G102" s="1132"/>
      <c r="H102" s="1132"/>
      <c r="I102" s="1132"/>
      <c r="J102" s="1132"/>
      <c r="K102" s="1132"/>
      <c r="L102" s="1132"/>
      <c r="M102" s="1132"/>
      <c r="N102" s="1132"/>
      <c r="O102" s="1132"/>
      <c r="P102" s="1132"/>
      <c r="Q102" s="1132"/>
      <c r="R102" s="1132"/>
      <c r="S102" s="1132"/>
      <c r="T102" s="1132"/>
      <c r="U102" s="1132"/>
      <c r="V102" s="1132"/>
    </row>
    <row r="103" spans="2:22" ht="99.95" customHeight="1" x14ac:dyDescent="0.2">
      <c r="B103" s="1132"/>
      <c r="C103" s="1132"/>
      <c r="D103" s="1132"/>
      <c r="E103" s="1132"/>
      <c r="F103" s="1132"/>
      <c r="G103" s="1132"/>
      <c r="H103" s="1132"/>
      <c r="I103" s="1132"/>
      <c r="J103" s="1132"/>
      <c r="K103" s="1132"/>
      <c r="L103" s="1132"/>
      <c r="M103" s="1132"/>
      <c r="N103" s="1132"/>
      <c r="O103" s="1132"/>
      <c r="P103" s="1132"/>
      <c r="Q103" s="1132"/>
      <c r="R103" s="1132"/>
      <c r="S103" s="1132"/>
      <c r="T103" s="1132"/>
      <c r="U103" s="1132"/>
      <c r="V103" s="1132"/>
    </row>
    <row r="104" spans="2:22" ht="99.95" customHeight="1" x14ac:dyDescent="0.2">
      <c r="B104" s="1132"/>
      <c r="C104" s="1132"/>
      <c r="D104" s="1132"/>
      <c r="E104" s="1132"/>
      <c r="F104" s="1132"/>
      <c r="G104" s="1132"/>
      <c r="H104" s="1132"/>
      <c r="I104" s="1132"/>
      <c r="J104" s="1132"/>
      <c r="K104" s="1132"/>
      <c r="L104" s="1132"/>
      <c r="M104" s="1132"/>
      <c r="N104" s="1132"/>
      <c r="O104" s="1132"/>
      <c r="P104" s="1132"/>
      <c r="Q104" s="1132"/>
      <c r="R104" s="1132"/>
      <c r="S104" s="1132"/>
      <c r="T104" s="1132"/>
      <c r="U104" s="1132"/>
      <c r="V104" s="1132"/>
    </row>
    <row r="105" spans="2:22" ht="99.95" customHeight="1" x14ac:dyDescent="0.2">
      <c r="B105" s="1132"/>
      <c r="C105" s="1132"/>
      <c r="D105" s="1132"/>
      <c r="E105" s="1132"/>
      <c r="F105" s="1132"/>
      <c r="G105" s="1132"/>
      <c r="H105" s="1132"/>
      <c r="I105" s="1132"/>
      <c r="J105" s="1132"/>
      <c r="K105" s="1132"/>
      <c r="L105" s="1132"/>
      <c r="M105" s="1132"/>
      <c r="N105" s="1132"/>
      <c r="O105" s="1132"/>
      <c r="P105" s="1132"/>
      <c r="Q105" s="1132"/>
      <c r="R105" s="1132"/>
      <c r="S105" s="1132"/>
      <c r="T105" s="1132"/>
      <c r="U105" s="1132"/>
      <c r="V105" s="1132"/>
    </row>
    <row r="106" spans="2:22" ht="99.95" customHeight="1" x14ac:dyDescent="0.2">
      <c r="B106" s="1132"/>
      <c r="C106" s="1132"/>
      <c r="D106" s="1132"/>
      <c r="E106" s="1132"/>
      <c r="F106" s="1132"/>
      <c r="G106" s="1132"/>
      <c r="H106" s="1132"/>
      <c r="I106" s="1132"/>
      <c r="J106" s="1132"/>
      <c r="K106" s="1132"/>
      <c r="L106" s="1132"/>
      <c r="M106" s="1132"/>
      <c r="N106" s="1132"/>
      <c r="O106" s="1132"/>
      <c r="P106" s="1132"/>
      <c r="Q106" s="1132"/>
      <c r="R106" s="1132"/>
      <c r="S106" s="1132"/>
      <c r="T106" s="1132"/>
      <c r="U106" s="1132"/>
      <c r="V106" s="1132"/>
    </row>
    <row r="107" spans="2:22" ht="99.95" customHeight="1" x14ac:dyDescent="0.2">
      <c r="B107" s="1132"/>
      <c r="C107" s="1132"/>
      <c r="D107" s="1132"/>
      <c r="E107" s="1132"/>
      <c r="F107" s="1132"/>
      <c r="G107" s="1132"/>
      <c r="H107" s="1132"/>
      <c r="I107" s="1132"/>
      <c r="J107" s="1132"/>
      <c r="K107" s="1132"/>
      <c r="L107" s="1132"/>
      <c r="M107" s="1132"/>
      <c r="N107" s="1132"/>
      <c r="O107" s="1132"/>
      <c r="P107" s="1132"/>
      <c r="Q107" s="1132"/>
      <c r="R107" s="1132"/>
      <c r="S107" s="1132"/>
      <c r="T107" s="1132"/>
      <c r="U107" s="1132"/>
      <c r="V107" s="1132"/>
    </row>
    <row r="108" spans="2:22" ht="99.95" customHeight="1" x14ac:dyDescent="0.2">
      <c r="B108" s="1132"/>
      <c r="C108" s="1132"/>
      <c r="D108" s="1132"/>
      <c r="E108" s="1132"/>
      <c r="F108" s="1132"/>
      <c r="G108" s="1132"/>
      <c r="H108" s="1132"/>
      <c r="I108" s="1132"/>
      <c r="J108" s="1132"/>
      <c r="K108" s="1132"/>
      <c r="L108" s="1132"/>
      <c r="M108" s="1132"/>
      <c r="N108" s="1132"/>
      <c r="O108" s="1132"/>
      <c r="P108" s="1132"/>
      <c r="Q108" s="1132"/>
      <c r="R108" s="1132"/>
      <c r="S108" s="1132"/>
      <c r="T108" s="1132"/>
      <c r="U108" s="1132"/>
      <c r="V108" s="1132"/>
    </row>
    <row r="109" spans="2:22" ht="99.95" customHeight="1" x14ac:dyDescent="0.2">
      <c r="B109" s="1132"/>
      <c r="C109" s="1132"/>
      <c r="D109" s="1132"/>
      <c r="E109" s="1132"/>
      <c r="F109" s="1132"/>
      <c r="G109" s="1132"/>
      <c r="H109" s="1132"/>
      <c r="I109" s="1132"/>
      <c r="J109" s="1132"/>
      <c r="K109" s="1132"/>
      <c r="L109" s="1132"/>
      <c r="M109" s="1132"/>
      <c r="N109" s="1132"/>
      <c r="O109" s="1132"/>
      <c r="P109" s="1132"/>
      <c r="Q109" s="1132"/>
      <c r="R109" s="1132"/>
      <c r="S109" s="1132"/>
      <c r="T109" s="1132"/>
      <c r="U109" s="1132"/>
      <c r="V109" s="1132"/>
    </row>
    <row r="110" spans="2:22" ht="99.95" customHeight="1" x14ac:dyDescent="0.2">
      <c r="B110" s="1132"/>
      <c r="C110" s="1132"/>
      <c r="D110" s="1132"/>
      <c r="E110" s="1132"/>
      <c r="F110" s="1132"/>
      <c r="G110" s="1132"/>
      <c r="H110" s="1132"/>
      <c r="I110" s="1132"/>
      <c r="J110" s="1132"/>
      <c r="K110" s="1132"/>
      <c r="L110" s="1132"/>
      <c r="M110" s="1132"/>
      <c r="N110" s="1132"/>
      <c r="O110" s="1132"/>
      <c r="P110" s="1132"/>
      <c r="Q110" s="1132"/>
      <c r="R110" s="1132"/>
      <c r="S110" s="1132"/>
      <c r="T110" s="1132"/>
      <c r="U110" s="1132"/>
      <c r="V110" s="1132"/>
    </row>
    <row r="111" spans="2:22" ht="99.95" customHeight="1" x14ac:dyDescent="0.2">
      <c r="B111" s="1132"/>
      <c r="C111" s="1132"/>
      <c r="D111" s="1132"/>
      <c r="E111" s="1132"/>
      <c r="F111" s="1132"/>
      <c r="G111" s="1132"/>
      <c r="H111" s="1132"/>
      <c r="I111" s="1132"/>
      <c r="J111" s="1132"/>
      <c r="K111" s="1132"/>
      <c r="L111" s="1132"/>
      <c r="M111" s="1132"/>
      <c r="N111" s="1132"/>
      <c r="O111" s="1132"/>
      <c r="P111" s="1132"/>
      <c r="Q111" s="1132"/>
      <c r="R111" s="1132"/>
      <c r="S111" s="1132"/>
      <c r="T111" s="1132"/>
      <c r="U111" s="1132"/>
      <c r="V111" s="1132"/>
    </row>
    <row r="112" spans="2:22" ht="99.95" customHeight="1" x14ac:dyDescent="0.2">
      <c r="B112" s="1132"/>
      <c r="C112" s="1132"/>
      <c r="D112" s="1132"/>
      <c r="E112" s="1132"/>
      <c r="F112" s="1132"/>
      <c r="G112" s="1132"/>
      <c r="H112" s="1132"/>
      <c r="I112" s="1132"/>
      <c r="J112" s="1132"/>
      <c r="K112" s="1132"/>
      <c r="L112" s="1132"/>
      <c r="M112" s="1132"/>
      <c r="N112" s="1132"/>
      <c r="O112" s="1132"/>
      <c r="P112" s="1132"/>
      <c r="Q112" s="1132"/>
      <c r="R112" s="1132"/>
      <c r="S112" s="1132"/>
      <c r="T112" s="1132"/>
      <c r="U112" s="1132"/>
      <c r="V112" s="1132"/>
    </row>
    <row r="113" spans="2:22" ht="99.95" customHeight="1" x14ac:dyDescent="0.2">
      <c r="B113" s="1132"/>
      <c r="C113" s="1132"/>
      <c r="D113" s="1132"/>
      <c r="E113" s="1132"/>
      <c r="F113" s="1132"/>
      <c r="G113" s="1132"/>
      <c r="H113" s="1132"/>
      <c r="I113" s="1132"/>
      <c r="J113" s="1132"/>
      <c r="K113" s="1132"/>
      <c r="L113" s="1132"/>
      <c r="M113" s="1132"/>
      <c r="N113" s="1132"/>
      <c r="O113" s="1132"/>
      <c r="P113" s="1132"/>
      <c r="Q113" s="1132"/>
      <c r="R113" s="1132"/>
      <c r="S113" s="1132"/>
      <c r="T113" s="1132"/>
      <c r="U113" s="1132"/>
      <c r="V113" s="1132"/>
    </row>
    <row r="114" spans="2:22" ht="99.95" customHeight="1" x14ac:dyDescent="0.2">
      <c r="B114" s="1132"/>
      <c r="C114" s="1132"/>
      <c r="D114" s="1132"/>
      <c r="E114" s="1132"/>
      <c r="F114" s="1132"/>
      <c r="G114" s="1132"/>
      <c r="H114" s="1132"/>
      <c r="I114" s="1132"/>
      <c r="J114" s="1132"/>
      <c r="K114" s="1132"/>
      <c r="L114" s="1132"/>
      <c r="M114" s="1132"/>
      <c r="N114" s="1132"/>
      <c r="O114" s="1132"/>
      <c r="P114" s="1132"/>
      <c r="Q114" s="1132"/>
      <c r="R114" s="1132"/>
      <c r="S114" s="1132"/>
      <c r="T114" s="1132"/>
      <c r="U114" s="1132"/>
      <c r="V114" s="1132"/>
    </row>
    <row r="115" spans="2:22" ht="99.95" customHeight="1" x14ac:dyDescent="0.2">
      <c r="B115" s="1132"/>
      <c r="C115" s="1132"/>
      <c r="D115" s="1132"/>
      <c r="E115" s="1132"/>
      <c r="F115" s="1132"/>
      <c r="G115" s="1132"/>
      <c r="H115" s="1132"/>
      <c r="I115" s="1132"/>
      <c r="J115" s="1132"/>
      <c r="K115" s="1132"/>
      <c r="L115" s="1132"/>
      <c r="M115" s="1132"/>
      <c r="N115" s="1132"/>
      <c r="O115" s="1132"/>
      <c r="P115" s="1132"/>
      <c r="Q115" s="1132"/>
      <c r="R115" s="1132"/>
      <c r="S115" s="1132"/>
      <c r="T115" s="1132"/>
      <c r="U115" s="1132"/>
      <c r="V115" s="1132"/>
    </row>
    <row r="116" spans="2:22" ht="99.95" customHeight="1" x14ac:dyDescent="0.2">
      <c r="B116" s="1132"/>
      <c r="C116" s="1132"/>
      <c r="D116" s="1132"/>
      <c r="E116" s="1132"/>
      <c r="F116" s="1132"/>
      <c r="G116" s="1132"/>
      <c r="H116" s="1132"/>
      <c r="I116" s="1132"/>
      <c r="J116" s="1132"/>
      <c r="K116" s="1132"/>
      <c r="L116" s="1132"/>
      <c r="M116" s="1132"/>
      <c r="N116" s="1132"/>
      <c r="O116" s="1132"/>
      <c r="P116" s="1132"/>
      <c r="Q116" s="1132"/>
      <c r="R116" s="1132"/>
      <c r="S116" s="1132"/>
      <c r="T116" s="1132"/>
      <c r="U116" s="1132"/>
      <c r="V116" s="1132"/>
    </row>
    <row r="117" spans="2:22" ht="99.95" customHeight="1" x14ac:dyDescent="0.2">
      <c r="B117" s="1132"/>
      <c r="C117" s="1132"/>
      <c r="D117" s="1132"/>
      <c r="E117" s="1132"/>
      <c r="F117" s="1132"/>
      <c r="G117" s="1132"/>
      <c r="H117" s="1132"/>
      <c r="I117" s="1132"/>
      <c r="J117" s="1132"/>
      <c r="K117" s="1132"/>
      <c r="L117" s="1132"/>
      <c r="M117" s="1132"/>
      <c r="N117" s="1132"/>
      <c r="O117" s="1132"/>
      <c r="P117" s="1132"/>
      <c r="Q117" s="1132"/>
      <c r="R117" s="1132"/>
      <c r="S117" s="1132"/>
      <c r="T117" s="1132"/>
      <c r="U117" s="1132"/>
      <c r="V117" s="1132"/>
    </row>
    <row r="118" spans="2:22" ht="99.95" customHeight="1" x14ac:dyDescent="0.2">
      <c r="B118" s="1132"/>
      <c r="C118" s="1132"/>
      <c r="D118" s="1132"/>
      <c r="E118" s="1132"/>
      <c r="F118" s="1132"/>
      <c r="G118" s="1132"/>
      <c r="H118" s="1132"/>
      <c r="I118" s="1132"/>
      <c r="J118" s="1132"/>
      <c r="K118" s="1132"/>
      <c r="L118" s="1132"/>
      <c r="M118" s="1132"/>
      <c r="N118" s="1132"/>
      <c r="O118" s="1132"/>
      <c r="P118" s="1132"/>
      <c r="Q118" s="1132"/>
      <c r="R118" s="1132"/>
      <c r="S118" s="1132"/>
      <c r="T118" s="1132"/>
      <c r="U118" s="1132"/>
      <c r="V118" s="1132"/>
    </row>
    <row r="119" spans="2:22" ht="99.95" customHeight="1" x14ac:dyDescent="0.2">
      <c r="B119" s="1132"/>
      <c r="C119" s="1132"/>
      <c r="D119" s="1132"/>
      <c r="E119" s="1132"/>
      <c r="F119" s="1132"/>
      <c r="G119" s="1132"/>
      <c r="H119" s="1132"/>
      <c r="I119" s="1132"/>
      <c r="J119" s="1132"/>
      <c r="K119" s="1132"/>
      <c r="L119" s="1132"/>
      <c r="M119" s="1132"/>
      <c r="N119" s="1132"/>
      <c r="O119" s="1132"/>
      <c r="P119" s="1132"/>
      <c r="Q119" s="1132"/>
      <c r="R119" s="1132"/>
      <c r="S119" s="1132"/>
      <c r="T119" s="1132"/>
      <c r="U119" s="1132"/>
      <c r="V119" s="1132"/>
    </row>
    <row r="120" spans="2:22" ht="99.95" customHeight="1" x14ac:dyDescent="0.2">
      <c r="B120" s="1132"/>
      <c r="C120" s="1132"/>
      <c r="D120" s="1132"/>
      <c r="E120" s="1132"/>
      <c r="F120" s="1132"/>
      <c r="G120" s="1132"/>
      <c r="H120" s="1132"/>
      <c r="I120" s="1132"/>
      <c r="J120" s="1132"/>
      <c r="K120" s="1132"/>
      <c r="L120" s="1132"/>
      <c r="M120" s="1132"/>
      <c r="N120" s="1132"/>
      <c r="O120" s="1132"/>
      <c r="P120" s="1132"/>
      <c r="Q120" s="1132"/>
      <c r="R120" s="1132"/>
      <c r="S120" s="1132"/>
      <c r="T120" s="1132"/>
      <c r="U120" s="1132"/>
      <c r="V120" s="1132"/>
    </row>
    <row r="121" spans="2:22" ht="99.95" customHeight="1" x14ac:dyDescent="0.2">
      <c r="B121" s="1132"/>
      <c r="C121" s="1132"/>
      <c r="D121" s="1132"/>
      <c r="E121" s="1132"/>
      <c r="F121" s="1132"/>
      <c r="G121" s="1132"/>
      <c r="H121" s="1132"/>
      <c r="I121" s="1132"/>
      <c r="J121" s="1132"/>
      <c r="K121" s="1132"/>
      <c r="L121" s="1132"/>
      <c r="M121" s="1132"/>
      <c r="N121" s="1132"/>
      <c r="O121" s="1132"/>
      <c r="P121" s="1132"/>
      <c r="Q121" s="1132"/>
      <c r="R121" s="1132"/>
      <c r="S121" s="1132"/>
      <c r="T121" s="1132"/>
      <c r="U121" s="1132"/>
      <c r="V121" s="1132"/>
    </row>
    <row r="122" spans="2:22" ht="99.95" customHeight="1" x14ac:dyDescent="0.2"/>
    <row r="123" spans="2:22" ht="99.95" customHeight="1" x14ac:dyDescent="0.2"/>
    <row r="124" spans="2:22" ht="99.95" customHeight="1" x14ac:dyDescent="0.2"/>
    <row r="125" spans="2:22" ht="99.95" customHeight="1" x14ac:dyDescent="0.2"/>
    <row r="126" spans="2:22" ht="99.95" customHeight="1" x14ac:dyDescent="0.2"/>
    <row r="127" spans="2:22" ht="99.95" customHeight="1" x14ac:dyDescent="0.2"/>
    <row r="128" spans="2:22" ht="99.95" customHeight="1" x14ac:dyDescent="0.2"/>
    <row r="129" ht="99.95" customHeight="1" x14ac:dyDescent="0.2"/>
    <row r="130" ht="99.95" customHeight="1" x14ac:dyDescent="0.2"/>
    <row r="131" ht="99.95" customHeight="1" x14ac:dyDescent="0.2"/>
    <row r="132" ht="99.95" customHeight="1" x14ac:dyDescent="0.2"/>
    <row r="133" ht="99.95" customHeight="1" x14ac:dyDescent="0.2"/>
    <row r="134" ht="99.95" customHeight="1" x14ac:dyDescent="0.2"/>
    <row r="135" ht="99.95" customHeight="1" x14ac:dyDescent="0.2"/>
    <row r="136" ht="99.95" customHeight="1" x14ac:dyDescent="0.2"/>
    <row r="137" ht="99.95" customHeight="1" x14ac:dyDescent="0.2"/>
    <row r="138" ht="99.95" customHeight="1" x14ac:dyDescent="0.2"/>
    <row r="139" ht="99.95" customHeight="1" x14ac:dyDescent="0.2"/>
    <row r="140" ht="99.95" customHeight="1" x14ac:dyDescent="0.2"/>
    <row r="141" ht="99.95" customHeight="1" x14ac:dyDescent="0.2"/>
    <row r="142" ht="99.95" customHeight="1" x14ac:dyDescent="0.2"/>
    <row r="143" ht="99.95" customHeight="1" x14ac:dyDescent="0.2"/>
    <row r="144" ht="99.95" customHeight="1" x14ac:dyDescent="0.2"/>
    <row r="145" ht="99.95" customHeight="1" x14ac:dyDescent="0.2"/>
    <row r="146" ht="99.95" customHeight="1" x14ac:dyDescent="0.2"/>
    <row r="147" ht="99.95" customHeight="1" x14ac:dyDescent="0.2"/>
    <row r="148" ht="99.95" customHeight="1" x14ac:dyDescent="0.2"/>
    <row r="149" ht="99.95" customHeight="1" x14ac:dyDescent="0.2"/>
    <row r="150" ht="99.95" customHeight="1" x14ac:dyDescent="0.2"/>
    <row r="151" ht="99.95" customHeight="1" x14ac:dyDescent="0.2"/>
    <row r="152" ht="99.95" customHeight="1" x14ac:dyDescent="0.2"/>
    <row r="153" ht="99.95" customHeight="1" x14ac:dyDescent="0.2"/>
    <row r="154" ht="99.95" customHeight="1" x14ac:dyDescent="0.2"/>
    <row r="155" ht="99.95" customHeight="1" x14ac:dyDescent="0.2"/>
    <row r="156" ht="99.95" customHeight="1" x14ac:dyDescent="0.2"/>
    <row r="157" ht="99.95" customHeight="1" x14ac:dyDescent="0.2"/>
    <row r="158" ht="99.95" customHeight="1" x14ac:dyDescent="0.2"/>
    <row r="159" ht="99.95" customHeight="1" x14ac:dyDescent="0.2"/>
    <row r="160" ht="99.95" customHeight="1" x14ac:dyDescent="0.2"/>
    <row r="161" ht="99.95" customHeight="1" x14ac:dyDescent="0.2"/>
    <row r="162" ht="99.95" customHeight="1" x14ac:dyDescent="0.2"/>
    <row r="163" ht="99.95" customHeight="1" x14ac:dyDescent="0.2"/>
    <row r="164" ht="99.95" customHeight="1" x14ac:dyDescent="0.2"/>
    <row r="165" ht="99.95" customHeight="1" x14ac:dyDescent="0.2"/>
    <row r="166" ht="99.95" customHeight="1" x14ac:dyDescent="0.2"/>
    <row r="167" ht="99.95" customHeight="1" x14ac:dyDescent="0.2"/>
    <row r="168" ht="99.95" customHeight="1" x14ac:dyDescent="0.2"/>
    <row r="169" ht="99.95" customHeight="1" x14ac:dyDescent="0.2"/>
    <row r="170" ht="99.95" customHeight="1" x14ac:dyDescent="0.2"/>
    <row r="171" ht="99.95" customHeight="1" x14ac:dyDescent="0.2"/>
    <row r="172" ht="99.95" customHeight="1" x14ac:dyDescent="0.2"/>
    <row r="173" ht="99.95" customHeight="1" x14ac:dyDescent="0.2"/>
    <row r="174" ht="99.95" customHeight="1" x14ac:dyDescent="0.2"/>
    <row r="175" ht="99.95" customHeight="1" x14ac:dyDescent="0.2"/>
    <row r="176" ht="99.95" customHeight="1" x14ac:dyDescent="0.2"/>
    <row r="177" ht="99.95" customHeight="1" x14ac:dyDescent="0.2"/>
    <row r="178" ht="99.95" customHeight="1" x14ac:dyDescent="0.2"/>
    <row r="179" ht="99.95" customHeight="1" x14ac:dyDescent="0.2"/>
    <row r="180" ht="99.95" customHeight="1" x14ac:dyDescent="0.2"/>
    <row r="181" ht="99.95" customHeight="1" x14ac:dyDescent="0.2"/>
    <row r="182" ht="99.95" customHeight="1" x14ac:dyDescent="0.2"/>
    <row r="183" ht="99.95" customHeight="1" x14ac:dyDescent="0.2"/>
    <row r="184" ht="99.95" customHeight="1" x14ac:dyDescent="0.2"/>
    <row r="185" ht="99.95" customHeight="1" x14ac:dyDescent="0.2"/>
    <row r="186" ht="99.95" customHeight="1" x14ac:dyDescent="0.2"/>
    <row r="187" ht="99.95" customHeight="1" x14ac:dyDescent="0.2"/>
    <row r="188" ht="99.95" customHeight="1" x14ac:dyDescent="0.2"/>
    <row r="189" ht="99.95" customHeight="1" x14ac:dyDescent="0.2"/>
    <row r="190" ht="99.95" customHeight="1" x14ac:dyDescent="0.2"/>
    <row r="191" ht="99.95" customHeight="1" x14ac:dyDescent="0.2"/>
    <row r="192" ht="99.95" customHeight="1" x14ac:dyDescent="0.2"/>
    <row r="193" ht="99.95" customHeight="1" x14ac:dyDescent="0.2"/>
    <row r="194" ht="99.95" customHeight="1" x14ac:dyDescent="0.2"/>
    <row r="195" ht="99.95" customHeight="1" x14ac:dyDescent="0.2"/>
    <row r="196" ht="99.95" customHeight="1" x14ac:dyDescent="0.2"/>
    <row r="197" ht="99.95" customHeight="1" x14ac:dyDescent="0.2"/>
    <row r="198" ht="99.95" customHeight="1" x14ac:dyDescent="0.2"/>
    <row r="199" ht="99.95" customHeight="1" x14ac:dyDescent="0.2"/>
    <row r="200" ht="99.95" customHeight="1" x14ac:dyDescent="0.2"/>
    <row r="201" ht="99.95" customHeight="1" x14ac:dyDescent="0.2"/>
    <row r="202" ht="99.95" customHeight="1" x14ac:dyDescent="0.2"/>
    <row r="203" ht="99.95" customHeight="1" x14ac:dyDescent="0.2"/>
    <row r="204" ht="99.95" customHeight="1" x14ac:dyDescent="0.2"/>
    <row r="205" ht="99.95" customHeight="1" x14ac:dyDescent="0.2"/>
    <row r="206" ht="99.95" customHeight="1" x14ac:dyDescent="0.2"/>
    <row r="207" ht="99.95" customHeight="1" x14ac:dyDescent="0.2"/>
    <row r="208" ht="99.95" customHeight="1" x14ac:dyDescent="0.2"/>
    <row r="209" ht="99.95" customHeight="1" x14ac:dyDescent="0.2"/>
    <row r="210" ht="99.95" customHeight="1" x14ac:dyDescent="0.2"/>
    <row r="211" ht="99.95" customHeight="1" x14ac:dyDescent="0.2"/>
    <row r="212" ht="99.95" customHeight="1" x14ac:dyDescent="0.2"/>
    <row r="213" ht="99.95" customHeight="1" x14ac:dyDescent="0.2"/>
    <row r="214" ht="99.95" customHeight="1" x14ac:dyDescent="0.2"/>
    <row r="215" ht="99.95" customHeight="1" x14ac:dyDescent="0.2"/>
    <row r="216" ht="99.95" customHeight="1" x14ac:dyDescent="0.2"/>
    <row r="217" ht="99.95" customHeight="1" x14ac:dyDescent="0.2"/>
    <row r="218" ht="99.95" customHeight="1" x14ac:dyDescent="0.2"/>
    <row r="219" ht="99.95" customHeight="1" x14ac:dyDescent="0.2"/>
    <row r="220" ht="99.95" customHeight="1" x14ac:dyDescent="0.2"/>
    <row r="221" ht="99.95" customHeight="1" x14ac:dyDescent="0.2"/>
    <row r="222" ht="99.95" customHeight="1" x14ac:dyDescent="0.2"/>
    <row r="223" ht="99.95" customHeight="1" x14ac:dyDescent="0.2"/>
    <row r="224" ht="99.95" customHeight="1" x14ac:dyDescent="0.2"/>
    <row r="225" ht="99.95" customHeight="1" x14ac:dyDescent="0.2"/>
    <row r="226" ht="99.95" customHeight="1" x14ac:dyDescent="0.2"/>
    <row r="227" ht="99.95" customHeight="1" x14ac:dyDescent="0.2"/>
    <row r="228" ht="99.95" customHeight="1" x14ac:dyDescent="0.2"/>
    <row r="229" ht="99.95" customHeight="1" x14ac:dyDescent="0.2"/>
    <row r="230" ht="99.95" customHeight="1" x14ac:dyDescent="0.2"/>
    <row r="231" ht="99.95" customHeight="1" x14ac:dyDescent="0.2"/>
    <row r="232" ht="99.95" customHeight="1" x14ac:dyDescent="0.2"/>
    <row r="233" ht="99.95" customHeight="1" x14ac:dyDescent="0.2"/>
    <row r="234" ht="99.95" customHeight="1" x14ac:dyDescent="0.2"/>
    <row r="235" ht="99.95" customHeight="1" x14ac:dyDescent="0.2"/>
    <row r="236" ht="99.95" customHeight="1" x14ac:dyDescent="0.2"/>
    <row r="237" ht="99.95" customHeight="1" x14ac:dyDescent="0.2"/>
    <row r="238" ht="99.95" customHeight="1" x14ac:dyDescent="0.2"/>
    <row r="239" ht="99.95" customHeight="1" x14ac:dyDescent="0.2"/>
    <row r="240" ht="99.95" customHeight="1" x14ac:dyDescent="0.2"/>
    <row r="241" ht="99.95" customHeight="1" x14ac:dyDescent="0.2"/>
    <row r="242" ht="99.95" customHeight="1" x14ac:dyDescent="0.2"/>
    <row r="243" ht="99.95" customHeight="1" x14ac:dyDescent="0.2"/>
    <row r="244" ht="99.95" customHeight="1" x14ac:dyDescent="0.2"/>
    <row r="245" ht="99.95" customHeight="1" x14ac:dyDescent="0.2"/>
    <row r="246" ht="99.95" customHeight="1" x14ac:dyDescent="0.2"/>
    <row r="247" ht="99.95" customHeight="1" x14ac:dyDescent="0.2"/>
    <row r="248" ht="99.95" customHeight="1" x14ac:dyDescent="0.2"/>
    <row r="249" ht="99.95" customHeight="1" x14ac:dyDescent="0.2"/>
    <row r="250" ht="99.95" customHeight="1" x14ac:dyDescent="0.2"/>
    <row r="251" ht="99.95" customHeight="1" x14ac:dyDescent="0.2"/>
    <row r="252" ht="99.95" customHeight="1" x14ac:dyDescent="0.2"/>
    <row r="253" ht="99.95" customHeight="1" x14ac:dyDescent="0.2"/>
    <row r="254" ht="99.95" customHeight="1" x14ac:dyDescent="0.2"/>
    <row r="255" ht="99.95" customHeight="1" x14ac:dyDescent="0.2"/>
    <row r="256" ht="99.95" customHeight="1" x14ac:dyDescent="0.2"/>
    <row r="257" ht="99.95" customHeight="1" x14ac:dyDescent="0.2"/>
    <row r="258" ht="99.95" customHeight="1" x14ac:dyDescent="0.2"/>
    <row r="259" ht="99.95" customHeight="1" x14ac:dyDescent="0.2"/>
    <row r="260" ht="99.95" customHeight="1" x14ac:dyDescent="0.2"/>
    <row r="261" ht="99.95" customHeight="1" x14ac:dyDescent="0.2"/>
    <row r="262" ht="99.95" customHeight="1" x14ac:dyDescent="0.2"/>
    <row r="263" ht="99.95" customHeight="1" x14ac:dyDescent="0.2"/>
    <row r="264" ht="99.95" customHeight="1" x14ac:dyDescent="0.2"/>
    <row r="265" ht="99.95" customHeight="1" x14ac:dyDescent="0.2"/>
    <row r="266" ht="99.95" customHeight="1" x14ac:dyDescent="0.2"/>
    <row r="267" ht="99.95" customHeight="1" x14ac:dyDescent="0.2"/>
    <row r="268" ht="99.95" customHeight="1" x14ac:dyDescent="0.2"/>
    <row r="269" ht="99.95" customHeight="1" x14ac:dyDescent="0.2"/>
    <row r="270" ht="99.95" customHeight="1" x14ac:dyDescent="0.2"/>
    <row r="271" ht="99.95" customHeight="1" x14ac:dyDescent="0.2"/>
    <row r="272" ht="99.95" customHeight="1" x14ac:dyDescent="0.2"/>
    <row r="273" ht="99.95" customHeight="1" x14ac:dyDescent="0.2"/>
    <row r="274" ht="99.95" customHeight="1" x14ac:dyDescent="0.2"/>
    <row r="275" ht="99.95" customHeight="1" x14ac:dyDescent="0.2"/>
    <row r="276" ht="99.95" customHeight="1" x14ac:dyDescent="0.2"/>
    <row r="277" ht="99.95" customHeight="1" x14ac:dyDescent="0.2"/>
    <row r="278" ht="99.95" customHeight="1" x14ac:dyDescent="0.2"/>
    <row r="279" ht="99.95" customHeight="1" x14ac:dyDescent="0.2"/>
    <row r="280" ht="99.95" customHeight="1" x14ac:dyDescent="0.2"/>
    <row r="281" ht="99.95" customHeight="1" x14ac:dyDescent="0.2"/>
    <row r="282" ht="99.95" customHeight="1" x14ac:dyDescent="0.2"/>
    <row r="283" ht="99.95" customHeight="1" x14ac:dyDescent="0.2"/>
    <row r="284" ht="99.95" customHeight="1" x14ac:dyDescent="0.2"/>
    <row r="285" ht="99.95" customHeight="1" x14ac:dyDescent="0.2"/>
    <row r="286" ht="99.95" customHeight="1" x14ac:dyDescent="0.2"/>
    <row r="287" ht="99.95" customHeight="1" x14ac:dyDescent="0.2"/>
    <row r="288" ht="99.95" customHeight="1" x14ac:dyDescent="0.2"/>
    <row r="289" ht="99.95" customHeight="1" x14ac:dyDescent="0.2"/>
    <row r="290" ht="99.95" customHeight="1" x14ac:dyDescent="0.2"/>
    <row r="291" ht="99.95" customHeight="1" x14ac:dyDescent="0.2"/>
    <row r="292" ht="99.95" customHeight="1" x14ac:dyDescent="0.2"/>
    <row r="293" ht="99.95" customHeight="1" x14ac:dyDescent="0.2"/>
    <row r="294" ht="99.95" customHeight="1" x14ac:dyDescent="0.2"/>
    <row r="295" ht="99.95" customHeight="1" x14ac:dyDescent="0.2"/>
    <row r="296" ht="99.95" customHeight="1" x14ac:dyDescent="0.2"/>
    <row r="297" ht="99.95" customHeight="1" x14ac:dyDescent="0.2"/>
    <row r="298" ht="99.95" customHeight="1" x14ac:dyDescent="0.2"/>
    <row r="299" ht="99.95" customHeight="1" x14ac:dyDescent="0.2"/>
    <row r="300" ht="99.95" customHeight="1" x14ac:dyDescent="0.2"/>
    <row r="301" ht="99.95" customHeight="1" x14ac:dyDescent="0.2"/>
    <row r="302" ht="99.95" customHeight="1" x14ac:dyDescent="0.2"/>
    <row r="303" ht="99.95" customHeight="1" x14ac:dyDescent="0.2"/>
    <row r="304" ht="99.95" customHeight="1" x14ac:dyDescent="0.2"/>
    <row r="305" ht="99.95" customHeight="1" x14ac:dyDescent="0.2"/>
    <row r="306" ht="99.95" customHeight="1" x14ac:dyDescent="0.2"/>
    <row r="307" ht="99.95" customHeight="1" x14ac:dyDescent="0.2"/>
    <row r="308" ht="99.95" customHeight="1" x14ac:dyDescent="0.2"/>
    <row r="309" ht="99.95" customHeight="1" x14ac:dyDescent="0.2"/>
    <row r="310" ht="99.95" customHeight="1" x14ac:dyDescent="0.2"/>
    <row r="311" ht="99.95" customHeight="1" x14ac:dyDescent="0.2"/>
    <row r="312" ht="99.95" customHeight="1" x14ac:dyDescent="0.2"/>
    <row r="313" ht="99.95" customHeight="1" x14ac:dyDescent="0.2"/>
    <row r="314" ht="99.95" customHeight="1" x14ac:dyDescent="0.2"/>
    <row r="315" ht="99.95" customHeight="1" x14ac:dyDescent="0.2"/>
    <row r="316" ht="99.95" customHeight="1" x14ac:dyDescent="0.2"/>
    <row r="317" ht="99.95" customHeight="1" x14ac:dyDescent="0.2"/>
    <row r="318" ht="99.95" customHeight="1" x14ac:dyDescent="0.2"/>
    <row r="319" ht="99.95" customHeight="1" x14ac:dyDescent="0.2"/>
    <row r="320" ht="99.95" customHeight="1" x14ac:dyDescent="0.2"/>
    <row r="321" ht="99.95" customHeight="1" x14ac:dyDescent="0.2"/>
    <row r="322" ht="99.95" customHeight="1" x14ac:dyDescent="0.2"/>
    <row r="323" ht="99.95" customHeight="1" x14ac:dyDescent="0.2"/>
    <row r="324" ht="99.95" customHeight="1" x14ac:dyDescent="0.2"/>
    <row r="325" ht="99.95" customHeight="1" x14ac:dyDescent="0.2"/>
    <row r="326" ht="99.95" customHeight="1" x14ac:dyDescent="0.2"/>
    <row r="327" ht="99.95" customHeight="1" x14ac:dyDescent="0.2"/>
    <row r="328" ht="99.95" customHeight="1" x14ac:dyDescent="0.2"/>
    <row r="329" ht="99.95" customHeight="1" x14ac:dyDescent="0.2"/>
    <row r="330" ht="99.95" customHeight="1" x14ac:dyDescent="0.2"/>
    <row r="331" ht="99.95" customHeight="1" x14ac:dyDescent="0.2"/>
    <row r="332" ht="99.95" customHeight="1" x14ac:dyDescent="0.2"/>
    <row r="333" ht="99.95" customHeight="1" x14ac:dyDescent="0.2"/>
    <row r="334" ht="99.95" customHeight="1" x14ac:dyDescent="0.2"/>
    <row r="335" ht="99.95" customHeight="1" x14ac:dyDescent="0.2"/>
    <row r="336" ht="99.95" customHeight="1" x14ac:dyDescent="0.2"/>
    <row r="337" ht="99.95" customHeight="1" x14ac:dyDescent="0.2"/>
    <row r="338" ht="99.95" customHeight="1" x14ac:dyDescent="0.2"/>
    <row r="339" ht="99.95" customHeight="1" x14ac:dyDescent="0.2"/>
    <row r="340" ht="99.95" customHeight="1" x14ac:dyDescent="0.2"/>
    <row r="341" ht="99.95" customHeight="1" x14ac:dyDescent="0.2"/>
    <row r="342" ht="99.95" customHeight="1" x14ac:dyDescent="0.2"/>
    <row r="343" ht="99.95" customHeight="1" x14ac:dyDescent="0.2"/>
    <row r="344" ht="99.95" customHeight="1" x14ac:dyDescent="0.2"/>
    <row r="345" ht="99.95" customHeight="1" x14ac:dyDescent="0.2"/>
    <row r="346" ht="99.95" customHeight="1" x14ac:dyDescent="0.2"/>
    <row r="347" ht="99.95" customHeight="1" x14ac:dyDescent="0.2"/>
    <row r="348" ht="99.95" customHeight="1" x14ac:dyDescent="0.2"/>
    <row r="349" ht="99.95" customHeight="1" x14ac:dyDescent="0.2"/>
    <row r="350" ht="99.95" customHeight="1" x14ac:dyDescent="0.2"/>
    <row r="351" ht="99.95" customHeight="1" x14ac:dyDescent="0.2"/>
    <row r="352" ht="99.95" customHeight="1" x14ac:dyDescent="0.2"/>
    <row r="353" ht="99.95" customHeight="1" x14ac:dyDescent="0.2"/>
    <row r="354" ht="99.95" customHeight="1" x14ac:dyDescent="0.2"/>
    <row r="355" ht="99.95" customHeight="1" x14ac:dyDescent="0.2"/>
    <row r="356" ht="99.95" customHeight="1" x14ac:dyDescent="0.2"/>
    <row r="357" ht="99.95" customHeight="1" x14ac:dyDescent="0.2"/>
    <row r="358" ht="99.95" customHeight="1" x14ac:dyDescent="0.2"/>
    <row r="359" ht="99.95" customHeight="1" x14ac:dyDescent="0.2"/>
    <row r="360" ht="99.95" customHeight="1" x14ac:dyDescent="0.2"/>
    <row r="361" ht="99.95" customHeight="1" x14ac:dyDescent="0.2"/>
    <row r="362" ht="99.95" customHeight="1" x14ac:dyDescent="0.2"/>
    <row r="363" ht="99.95" customHeight="1" x14ac:dyDescent="0.2"/>
    <row r="364" ht="99.95" customHeight="1" x14ac:dyDescent="0.2"/>
    <row r="365" ht="99.95" customHeight="1" x14ac:dyDescent="0.2"/>
    <row r="366" ht="99.95" customHeight="1" x14ac:dyDescent="0.2"/>
    <row r="367" ht="99.95" customHeight="1" x14ac:dyDescent="0.2"/>
    <row r="368" ht="99.95" customHeight="1" x14ac:dyDescent="0.2"/>
    <row r="369" ht="99.95" customHeight="1" x14ac:dyDescent="0.2"/>
    <row r="370" ht="99.95" customHeight="1" x14ac:dyDescent="0.2"/>
    <row r="371" ht="99.95" customHeight="1" x14ac:dyDescent="0.2"/>
    <row r="372" ht="99.95" customHeight="1" x14ac:dyDescent="0.2"/>
    <row r="373" ht="99.95" customHeight="1" x14ac:dyDescent="0.2"/>
    <row r="374" ht="99.95" customHeight="1" x14ac:dyDescent="0.2"/>
    <row r="375" ht="99.95" customHeight="1" x14ac:dyDescent="0.2"/>
    <row r="376" ht="99.95" customHeight="1" x14ac:dyDescent="0.2"/>
    <row r="377" ht="99.95" customHeight="1" x14ac:dyDescent="0.2"/>
    <row r="378" ht="99.95" customHeight="1" x14ac:dyDescent="0.2"/>
    <row r="379" ht="99.95" customHeight="1" x14ac:dyDescent="0.2"/>
    <row r="380" ht="99.95" customHeight="1" x14ac:dyDescent="0.2"/>
    <row r="381" ht="99.95" customHeight="1" x14ac:dyDescent="0.2"/>
    <row r="382" ht="99.95" customHeight="1" x14ac:dyDescent="0.2"/>
    <row r="383" ht="99.95" customHeight="1" x14ac:dyDescent="0.2"/>
    <row r="384" ht="99.95" customHeight="1" x14ac:dyDescent="0.2"/>
    <row r="385" ht="99.95" customHeight="1" x14ac:dyDescent="0.2"/>
    <row r="386" ht="99.95" customHeight="1" x14ac:dyDescent="0.2"/>
    <row r="387" ht="99.95" customHeight="1" x14ac:dyDescent="0.2"/>
    <row r="388" ht="99.95" customHeight="1" x14ac:dyDescent="0.2"/>
    <row r="389" ht="99.95" customHeight="1" x14ac:dyDescent="0.2"/>
    <row r="390" ht="99.95" customHeight="1" x14ac:dyDescent="0.2"/>
    <row r="391" ht="99.95" customHeight="1" x14ac:dyDescent="0.2"/>
    <row r="392" ht="99.95" customHeight="1" x14ac:dyDescent="0.2"/>
    <row r="393" ht="99.95" customHeight="1" x14ac:dyDescent="0.2"/>
    <row r="394" ht="99.95" customHeight="1" x14ac:dyDescent="0.2"/>
    <row r="395" ht="99.95" customHeight="1" x14ac:dyDescent="0.2"/>
    <row r="396" ht="99.95" customHeight="1" x14ac:dyDescent="0.2"/>
    <row r="397" ht="99.95" customHeight="1" x14ac:dyDescent="0.2"/>
    <row r="398" ht="99.95" customHeight="1" x14ac:dyDescent="0.2"/>
    <row r="399" ht="99.95" customHeight="1" x14ac:dyDescent="0.2"/>
    <row r="400" ht="99.95" customHeight="1" x14ac:dyDescent="0.2"/>
    <row r="401" ht="99.95" customHeight="1" x14ac:dyDescent="0.2"/>
    <row r="402" ht="99.95" customHeight="1" x14ac:dyDescent="0.2"/>
    <row r="403" ht="99.95" customHeight="1" x14ac:dyDescent="0.2"/>
    <row r="404" ht="99.95" customHeight="1" x14ac:dyDescent="0.2"/>
    <row r="405" ht="99.95" customHeight="1" x14ac:dyDescent="0.2"/>
    <row r="406" ht="99.95" customHeight="1" x14ac:dyDescent="0.2"/>
    <row r="407" ht="99.95" customHeight="1" x14ac:dyDescent="0.2"/>
    <row r="408" ht="99.95" customHeight="1" x14ac:dyDescent="0.2"/>
    <row r="409" ht="99.95" customHeight="1" x14ac:dyDescent="0.2"/>
    <row r="410" ht="99.95" customHeight="1" x14ac:dyDescent="0.2"/>
    <row r="411" ht="99.95" customHeight="1" x14ac:dyDescent="0.2"/>
    <row r="412" ht="99.95" customHeight="1" x14ac:dyDescent="0.2"/>
    <row r="413" ht="99.95" customHeight="1" x14ac:dyDescent="0.2"/>
    <row r="414" ht="99.95" customHeight="1" x14ac:dyDescent="0.2"/>
    <row r="415" ht="99.95" customHeight="1" x14ac:dyDescent="0.2"/>
    <row r="416" ht="99.95" customHeight="1" x14ac:dyDescent="0.2"/>
    <row r="417" ht="99.95" customHeight="1" x14ac:dyDescent="0.2"/>
    <row r="418" ht="99.95" customHeight="1" x14ac:dyDescent="0.2"/>
    <row r="419" ht="99.95" customHeight="1" x14ac:dyDescent="0.2"/>
    <row r="420" ht="99.95" customHeight="1" x14ac:dyDescent="0.2"/>
    <row r="421" ht="99.95" customHeight="1" x14ac:dyDescent="0.2"/>
    <row r="422" ht="99.95" customHeight="1" x14ac:dyDescent="0.2"/>
    <row r="423" ht="99.95" customHeight="1" x14ac:dyDescent="0.2"/>
    <row r="424" ht="99.95" customHeight="1" x14ac:dyDescent="0.2"/>
    <row r="425" ht="99.95" customHeight="1" x14ac:dyDescent="0.2"/>
    <row r="426" ht="99.95" customHeight="1" x14ac:dyDescent="0.2"/>
    <row r="427" ht="99.95" customHeight="1" x14ac:dyDescent="0.2"/>
    <row r="428" ht="99.95" customHeight="1" x14ac:dyDescent="0.2"/>
    <row r="429" ht="99.95" customHeight="1" x14ac:dyDescent="0.2"/>
    <row r="430" ht="99.95" customHeight="1" x14ac:dyDescent="0.2"/>
    <row r="431" ht="99.95" customHeight="1" x14ac:dyDescent="0.2"/>
    <row r="432" ht="99.95" customHeight="1" x14ac:dyDescent="0.2"/>
    <row r="433" ht="99.95" customHeight="1" x14ac:dyDescent="0.2"/>
    <row r="434" ht="99.95" customHeight="1" x14ac:dyDescent="0.2"/>
    <row r="435" ht="99.95" customHeight="1" x14ac:dyDescent="0.2"/>
    <row r="436" ht="99.95" customHeight="1" x14ac:dyDescent="0.2"/>
    <row r="437" ht="99.95" customHeight="1" x14ac:dyDescent="0.2"/>
    <row r="438" ht="99.95" customHeight="1" x14ac:dyDescent="0.2"/>
    <row r="439" ht="99.95" customHeight="1" x14ac:dyDescent="0.2"/>
    <row r="440" ht="99.95" customHeight="1" x14ac:dyDescent="0.2"/>
    <row r="441" ht="99.95" customHeight="1" x14ac:dyDescent="0.2"/>
    <row r="442" ht="99.95" customHeight="1" x14ac:dyDescent="0.2"/>
    <row r="443" ht="99.95" customHeight="1" x14ac:dyDescent="0.2"/>
    <row r="444" ht="99.95" customHeight="1" x14ac:dyDescent="0.2"/>
    <row r="445" ht="99.95" customHeight="1" x14ac:dyDescent="0.2"/>
    <row r="446" ht="99.95" customHeight="1" x14ac:dyDescent="0.2"/>
    <row r="447" ht="99.95" customHeight="1" x14ac:dyDescent="0.2"/>
    <row r="448" ht="99.95" customHeight="1" x14ac:dyDescent="0.2"/>
    <row r="449" ht="99.95" customHeight="1" x14ac:dyDescent="0.2"/>
    <row r="450" ht="99.95" customHeight="1" x14ac:dyDescent="0.2"/>
    <row r="451" ht="99.95" customHeight="1" x14ac:dyDescent="0.2"/>
    <row r="452" ht="99.95" customHeight="1" x14ac:dyDescent="0.2"/>
    <row r="453" ht="99.95" customHeight="1" x14ac:dyDescent="0.2"/>
    <row r="454" ht="99.95" customHeight="1" x14ac:dyDescent="0.2"/>
    <row r="455" ht="99.95" customHeight="1" x14ac:dyDescent="0.2"/>
    <row r="456" ht="99.95" customHeight="1" x14ac:dyDescent="0.2"/>
    <row r="457" ht="99.95" customHeight="1" x14ac:dyDescent="0.2"/>
    <row r="458" ht="99.95" customHeight="1" x14ac:dyDescent="0.2"/>
    <row r="459" ht="99.95" customHeight="1" x14ac:dyDescent="0.2"/>
    <row r="460" ht="99.95" customHeight="1" x14ac:dyDescent="0.2"/>
    <row r="461" ht="99.95" customHeight="1" x14ac:dyDescent="0.2"/>
    <row r="462" ht="99.95" customHeight="1" x14ac:dyDescent="0.2"/>
    <row r="463" ht="99.95" customHeight="1" x14ac:dyDescent="0.2"/>
    <row r="464" ht="99.95" customHeight="1" x14ac:dyDescent="0.2"/>
    <row r="465" ht="99.95" customHeight="1" x14ac:dyDescent="0.2"/>
    <row r="466" ht="99.95" customHeight="1" x14ac:dyDescent="0.2"/>
    <row r="467" ht="99.95" customHeight="1" x14ac:dyDescent="0.2"/>
    <row r="468" ht="99.95" customHeight="1" x14ac:dyDescent="0.2"/>
    <row r="469" ht="99.95" customHeight="1" x14ac:dyDescent="0.2"/>
    <row r="470" ht="99.95" customHeight="1" x14ac:dyDescent="0.2"/>
    <row r="471" ht="99.95" customHeight="1" x14ac:dyDescent="0.2"/>
    <row r="472" ht="99.95" customHeight="1" x14ac:dyDescent="0.2"/>
    <row r="473" ht="99.95" customHeight="1" x14ac:dyDescent="0.2"/>
    <row r="474" ht="99.95" customHeight="1" x14ac:dyDescent="0.2"/>
    <row r="475" ht="99.95" customHeight="1" x14ac:dyDescent="0.2"/>
    <row r="476" ht="99.95" customHeight="1" x14ac:dyDescent="0.2"/>
    <row r="477" ht="99.95" customHeight="1" x14ac:dyDescent="0.2"/>
    <row r="478" ht="99.95" customHeight="1" x14ac:dyDescent="0.2"/>
    <row r="479" ht="99.95" customHeight="1" x14ac:dyDescent="0.2"/>
    <row r="480" ht="99.95" customHeight="1" x14ac:dyDescent="0.2"/>
    <row r="481" ht="99.95" customHeight="1" x14ac:dyDescent="0.2"/>
    <row r="482" ht="99.95" customHeight="1" x14ac:dyDescent="0.2"/>
    <row r="483" ht="99.95" customHeight="1" x14ac:dyDescent="0.2"/>
    <row r="484" ht="99.95" customHeight="1" x14ac:dyDescent="0.2"/>
    <row r="485" ht="99.95" customHeight="1" x14ac:dyDescent="0.2"/>
    <row r="486" ht="99.95" customHeight="1" x14ac:dyDescent="0.2"/>
    <row r="487" ht="99.95" customHeight="1" x14ac:dyDescent="0.2"/>
    <row r="488" ht="99.95" customHeight="1" x14ac:dyDescent="0.2"/>
    <row r="489" ht="99.95" customHeight="1" x14ac:dyDescent="0.2"/>
    <row r="490" ht="99.95" customHeight="1" x14ac:dyDescent="0.2"/>
    <row r="491" ht="99.95" customHeight="1" x14ac:dyDescent="0.2"/>
    <row r="492" ht="99.95" customHeight="1" x14ac:dyDescent="0.2"/>
    <row r="493" ht="99.95" customHeight="1" x14ac:dyDescent="0.2"/>
    <row r="494" ht="99.95" customHeight="1" x14ac:dyDescent="0.2"/>
    <row r="495" ht="99.95" customHeight="1" x14ac:dyDescent="0.2"/>
    <row r="496" ht="99.95" customHeight="1" x14ac:dyDescent="0.2"/>
    <row r="497" ht="99.95" customHeight="1" x14ac:dyDescent="0.2"/>
    <row r="498" ht="99.95" customHeight="1" x14ac:dyDescent="0.2"/>
    <row r="499" ht="99.95" customHeight="1" x14ac:dyDescent="0.2"/>
    <row r="500" ht="99.95" customHeight="1" x14ac:dyDescent="0.2"/>
    <row r="501" ht="99.95" customHeight="1" x14ac:dyDescent="0.2"/>
    <row r="502" ht="99.95" customHeight="1" x14ac:dyDescent="0.2"/>
    <row r="503" ht="99.95" customHeight="1" x14ac:dyDescent="0.2"/>
    <row r="504" ht="99.95" customHeight="1" x14ac:dyDescent="0.2"/>
    <row r="505" ht="99.95" customHeight="1" x14ac:dyDescent="0.2"/>
    <row r="506" ht="99.95" customHeight="1" x14ac:dyDescent="0.2"/>
    <row r="507" ht="99.95" customHeight="1" x14ac:dyDescent="0.2"/>
    <row r="508" ht="99.95" customHeight="1" x14ac:dyDescent="0.2"/>
    <row r="509" ht="99.95" customHeight="1" x14ac:dyDescent="0.2"/>
    <row r="510" ht="99.95" customHeight="1" x14ac:dyDescent="0.2"/>
    <row r="511" ht="99.95" customHeight="1" x14ac:dyDescent="0.2"/>
    <row r="512" ht="99.95" customHeight="1" x14ac:dyDescent="0.2"/>
    <row r="513" ht="99.95" customHeight="1" x14ac:dyDescent="0.2"/>
    <row r="514" ht="99.95" customHeight="1" x14ac:dyDescent="0.2"/>
    <row r="515" ht="99.95" customHeight="1" x14ac:dyDescent="0.2"/>
    <row r="516" ht="99.95" customHeight="1" x14ac:dyDescent="0.2"/>
    <row r="517" ht="99.95" customHeight="1" x14ac:dyDescent="0.2"/>
    <row r="518" ht="99.95" customHeight="1" x14ac:dyDescent="0.2"/>
    <row r="519" ht="99.95" customHeight="1" x14ac:dyDescent="0.2"/>
    <row r="520" ht="99.95" customHeight="1" x14ac:dyDescent="0.2"/>
    <row r="521" ht="99.95" customHeight="1" x14ac:dyDescent="0.2"/>
    <row r="522" ht="99.95" customHeight="1" x14ac:dyDescent="0.2"/>
    <row r="523" ht="99.95" customHeight="1" x14ac:dyDescent="0.2"/>
    <row r="524" ht="99.95" customHeight="1" x14ac:dyDescent="0.2"/>
    <row r="525" ht="99.95" customHeight="1" x14ac:dyDescent="0.2"/>
    <row r="526" ht="99.95" customHeight="1" x14ac:dyDescent="0.2"/>
    <row r="527" ht="99.95" customHeight="1" x14ac:dyDescent="0.2"/>
    <row r="528" ht="99.95" customHeight="1" x14ac:dyDescent="0.2"/>
    <row r="529" ht="99.95" customHeight="1" x14ac:dyDescent="0.2"/>
    <row r="530" ht="99.95" customHeight="1" x14ac:dyDescent="0.2"/>
    <row r="531" ht="99.95" customHeight="1" x14ac:dyDescent="0.2"/>
    <row r="532" ht="99.95" customHeight="1" x14ac:dyDescent="0.2"/>
    <row r="533" ht="99.95" customHeight="1" x14ac:dyDescent="0.2"/>
    <row r="534" ht="99.95" customHeight="1" x14ac:dyDescent="0.2"/>
    <row r="535" ht="99.95" customHeight="1" x14ac:dyDescent="0.2"/>
    <row r="536" ht="99.95" customHeight="1" x14ac:dyDescent="0.2"/>
    <row r="537" ht="99.95" customHeight="1" x14ac:dyDescent="0.2"/>
    <row r="538" ht="99.95" customHeight="1" x14ac:dyDescent="0.2"/>
    <row r="539" ht="99.95" customHeight="1" x14ac:dyDescent="0.2"/>
    <row r="540" ht="99.95" customHeight="1" x14ac:dyDescent="0.2"/>
    <row r="541" ht="99.95" customHeight="1" x14ac:dyDescent="0.2"/>
    <row r="542" ht="99.95" customHeight="1" x14ac:dyDescent="0.2"/>
    <row r="543" ht="99.95" customHeight="1" x14ac:dyDescent="0.2"/>
    <row r="544" ht="99.95" customHeight="1" x14ac:dyDescent="0.2"/>
    <row r="545" ht="99.95" customHeight="1" x14ac:dyDescent="0.2"/>
    <row r="546" ht="99.95" customHeight="1" x14ac:dyDescent="0.2"/>
    <row r="547" ht="99.95" customHeight="1" x14ac:dyDescent="0.2"/>
    <row r="548" ht="99.95" customHeight="1" x14ac:dyDescent="0.2"/>
    <row r="549" ht="99.95" customHeight="1" x14ac:dyDescent="0.2"/>
    <row r="550" ht="99.95" customHeight="1" x14ac:dyDescent="0.2"/>
    <row r="551" ht="99.95" customHeight="1" x14ac:dyDescent="0.2"/>
    <row r="552" ht="99.95" customHeight="1" x14ac:dyDescent="0.2"/>
    <row r="553" ht="99.95" customHeight="1" x14ac:dyDescent="0.2"/>
    <row r="554" ht="99.95" customHeight="1" x14ac:dyDescent="0.2"/>
    <row r="555" ht="99.95" customHeight="1" x14ac:dyDescent="0.2"/>
    <row r="556" ht="99.95" customHeight="1" x14ac:dyDescent="0.2"/>
    <row r="557" ht="99.95" customHeight="1" x14ac:dyDescent="0.2"/>
    <row r="558" ht="99.95" customHeight="1" x14ac:dyDescent="0.2"/>
    <row r="559" ht="99.95" customHeight="1" x14ac:dyDescent="0.2"/>
    <row r="560" ht="99.95" customHeight="1" x14ac:dyDescent="0.2"/>
    <row r="561" ht="99.95" customHeight="1" x14ac:dyDescent="0.2"/>
    <row r="562" ht="99.95" customHeight="1" x14ac:dyDescent="0.2"/>
    <row r="563" ht="99.95" customHeight="1" x14ac:dyDescent="0.2"/>
    <row r="564" ht="99.95" customHeight="1" x14ac:dyDescent="0.2"/>
  </sheetData>
  <mergeCells count="217">
    <mergeCell ref="U7:V7"/>
    <mergeCell ref="Q11:S11"/>
    <mergeCell ref="Q10:S10"/>
    <mergeCell ref="C40:D40"/>
    <mergeCell ref="C78:V78"/>
    <mergeCell ref="B77:B78"/>
    <mergeCell ref="C79:V79"/>
    <mergeCell ref="Q7:S7"/>
    <mergeCell ref="M57:Q57"/>
    <mergeCell ref="Q23:R23"/>
    <mergeCell ref="L23:M23"/>
    <mergeCell ref="B26:C26"/>
    <mergeCell ref="H33:J33"/>
    <mergeCell ref="B23:C23"/>
    <mergeCell ref="B24:C24"/>
    <mergeCell ref="B28:G28"/>
    <mergeCell ref="L24:M24"/>
    <mergeCell ref="L25:M25"/>
    <mergeCell ref="P28:Q28"/>
    <mergeCell ref="L26:M26"/>
    <mergeCell ref="Q24:R24"/>
    <mergeCell ref="H32:J32"/>
    <mergeCell ref="B27:R27"/>
    <mergeCell ref="B25:C25"/>
    <mergeCell ref="Q25:R25"/>
    <mergeCell ref="B21:C21"/>
    <mergeCell ref="B22:C22"/>
    <mergeCell ref="Q22:R22"/>
    <mergeCell ref="U18:V18"/>
    <mergeCell ref="B2:V2"/>
    <mergeCell ref="B20:V20"/>
    <mergeCell ref="C4:I4"/>
    <mergeCell ref="Q19:S19"/>
    <mergeCell ref="Q21:R21"/>
    <mergeCell ref="Q17:S17"/>
    <mergeCell ref="U3:V4"/>
    <mergeCell ref="Q3:S3"/>
    <mergeCell ref="Q5:S5"/>
    <mergeCell ref="Q6:S6"/>
    <mergeCell ref="J3:J4"/>
    <mergeCell ref="Q16:S16"/>
    <mergeCell ref="L4:T4"/>
    <mergeCell ref="U5:V5"/>
    <mergeCell ref="U6:V6"/>
    <mergeCell ref="U11:V11"/>
    <mergeCell ref="Q15:S15"/>
    <mergeCell ref="Q18:S18"/>
    <mergeCell ref="Q14:S14"/>
    <mergeCell ref="U14:V14"/>
    <mergeCell ref="Q39:R39"/>
    <mergeCell ref="U13:V13"/>
    <mergeCell ref="U8:V8"/>
    <mergeCell ref="Q9:S9"/>
    <mergeCell ref="H35:J35"/>
    <mergeCell ref="Q12:S12"/>
    <mergeCell ref="Q13:S13"/>
    <mergeCell ref="U12:V12"/>
    <mergeCell ref="U19:V19"/>
    <mergeCell ref="U9:V9"/>
    <mergeCell ref="U10:V10"/>
    <mergeCell ref="L21:M21"/>
    <mergeCell ref="L22:M22"/>
    <mergeCell ref="U15:V15"/>
    <mergeCell ref="U16:V16"/>
    <mergeCell ref="U17:V17"/>
    <mergeCell ref="Q8:S8"/>
    <mergeCell ref="C41:D41"/>
    <mergeCell ref="Q26:R26"/>
    <mergeCell ref="S33:V33"/>
    <mergeCell ref="S27:V27"/>
    <mergeCell ref="T35:V35"/>
    <mergeCell ref="T36:V36"/>
    <mergeCell ref="I39:J39"/>
    <mergeCell ref="Q38:R38"/>
    <mergeCell ref="H29:J29"/>
    <mergeCell ref="T34:V34"/>
    <mergeCell ref="H28:O28"/>
    <mergeCell ref="B38:J38"/>
    <mergeCell ref="R28:R36"/>
    <mergeCell ref="H36:Q36"/>
    <mergeCell ref="H34:J34"/>
    <mergeCell ref="C39:D39"/>
    <mergeCell ref="H31:J31"/>
    <mergeCell ref="M39:N39"/>
    <mergeCell ref="L37:V37"/>
    <mergeCell ref="B36:E36"/>
    <mergeCell ref="M38:N38"/>
    <mergeCell ref="H37:K37"/>
    <mergeCell ref="B37:E37"/>
    <mergeCell ref="H30:J30"/>
    <mergeCell ref="C43:D43"/>
    <mergeCell ref="O40:P40"/>
    <mergeCell ref="U44:V44"/>
    <mergeCell ref="O44:P44"/>
    <mergeCell ref="M40:N40"/>
    <mergeCell ref="Q41:R41"/>
    <mergeCell ref="B44:F44"/>
    <mergeCell ref="Q42:R42"/>
    <mergeCell ref="M43:N43"/>
    <mergeCell ref="C42:D42"/>
    <mergeCell ref="I41:J41"/>
    <mergeCell ref="O43:P43"/>
    <mergeCell ref="M44:N44"/>
    <mergeCell ref="G44:K44"/>
    <mergeCell ref="Q40:R40"/>
    <mergeCell ref="Q44:R44"/>
    <mergeCell ref="O42:P42"/>
    <mergeCell ref="U42:V42"/>
    <mergeCell ref="U43:V43"/>
    <mergeCell ref="U40:V40"/>
    <mergeCell ref="U41:V41"/>
    <mergeCell ref="I40:J40"/>
    <mergeCell ref="I43:J43"/>
    <mergeCell ref="I42:J42"/>
    <mergeCell ref="M42:N42"/>
    <mergeCell ref="O38:P38"/>
    <mergeCell ref="O41:P41"/>
    <mergeCell ref="U48:V48"/>
    <mergeCell ref="Q43:R43"/>
    <mergeCell ref="O39:P39"/>
    <mergeCell ref="M41:N41"/>
    <mergeCell ref="U39:V39"/>
    <mergeCell ref="U38:V38"/>
    <mergeCell ref="U45:V45"/>
    <mergeCell ref="O45:P45"/>
    <mergeCell ref="M45:N45"/>
    <mergeCell ref="Q45:R45"/>
    <mergeCell ref="U46:V46"/>
    <mergeCell ref="U47:V47"/>
    <mergeCell ref="M46:N46"/>
    <mergeCell ref="O46:P46"/>
    <mergeCell ref="Q46:R46"/>
    <mergeCell ref="M47:N47"/>
    <mergeCell ref="Q47:R47"/>
    <mergeCell ref="M48:N48"/>
    <mergeCell ref="O47:P47"/>
    <mergeCell ref="O48:P48"/>
    <mergeCell ref="Q48:R48"/>
    <mergeCell ref="U49:V49"/>
    <mergeCell ref="Q49:R49"/>
    <mergeCell ref="B53:K53"/>
    <mergeCell ref="Q51:R51"/>
    <mergeCell ref="M50:N50"/>
    <mergeCell ref="O50:P50"/>
    <mergeCell ref="M51:N51"/>
    <mergeCell ref="L53:V53"/>
    <mergeCell ref="U52:V52"/>
    <mergeCell ref="G49:K49"/>
    <mergeCell ref="Q52:R52"/>
    <mergeCell ref="M49:N49"/>
    <mergeCell ref="O49:P49"/>
    <mergeCell ref="U50:V50"/>
    <mergeCell ref="O51:P51"/>
    <mergeCell ref="U51:V51"/>
    <mergeCell ref="Q50:R50"/>
    <mergeCell ref="M54:Q54"/>
    <mergeCell ref="O52:P52"/>
    <mergeCell ref="B65:V65"/>
    <mergeCell ref="M52:N52"/>
    <mergeCell ref="G54:K54"/>
    <mergeCell ref="C54:E54"/>
    <mergeCell ref="S54:V54"/>
    <mergeCell ref="C57:E57"/>
    <mergeCell ref="G57:K57"/>
    <mergeCell ref="M59:Q59"/>
    <mergeCell ref="M58:Q58"/>
    <mergeCell ref="M56:Q56"/>
    <mergeCell ref="S57:V57"/>
    <mergeCell ref="S55:V55"/>
    <mergeCell ref="S58:V58"/>
    <mergeCell ref="S56:V56"/>
    <mergeCell ref="G62:K62"/>
    <mergeCell ref="B63:V63"/>
    <mergeCell ref="M62:Q62"/>
    <mergeCell ref="C56:E56"/>
    <mergeCell ref="C60:E60"/>
    <mergeCell ref="C55:E55"/>
    <mergeCell ref="G55:K55"/>
    <mergeCell ref="M55:Q55"/>
    <mergeCell ref="B74:B76"/>
    <mergeCell ref="U70:V70"/>
    <mergeCell ref="I77:J77"/>
    <mergeCell ref="C77:F77"/>
    <mergeCell ref="G77:H77"/>
    <mergeCell ref="K77:V77"/>
    <mergeCell ref="C73:V73"/>
    <mergeCell ref="C74:F74"/>
    <mergeCell ref="I74:J74"/>
    <mergeCell ref="K74:V74"/>
    <mergeCell ref="G74:H74"/>
    <mergeCell ref="C75:V76"/>
    <mergeCell ref="C71:V71"/>
    <mergeCell ref="C72:V72"/>
    <mergeCell ref="C82:V82"/>
    <mergeCell ref="G56:K56"/>
    <mergeCell ref="G60:K60"/>
    <mergeCell ref="G59:K59"/>
    <mergeCell ref="C67:V67"/>
    <mergeCell ref="M60:Q60"/>
    <mergeCell ref="G61:K61"/>
    <mergeCell ref="C62:E62"/>
    <mergeCell ref="C58:E58"/>
    <mergeCell ref="G58:K58"/>
    <mergeCell ref="C69:T69"/>
    <mergeCell ref="C70:T70"/>
    <mergeCell ref="C66:V66"/>
    <mergeCell ref="C68:V68"/>
    <mergeCell ref="U69:V69"/>
    <mergeCell ref="C61:E61"/>
    <mergeCell ref="C59:E59"/>
    <mergeCell ref="S60:V60"/>
    <mergeCell ref="S61:V61"/>
    <mergeCell ref="S59:V59"/>
    <mergeCell ref="C64:V64"/>
    <mergeCell ref="M61:Q61"/>
    <mergeCell ref="C81:V81"/>
    <mergeCell ref="S62:V62"/>
  </mergeCells>
  <phoneticPr fontId="59" type="noConversion"/>
  <printOptions horizontalCentered="1" verticalCentered="1"/>
  <pageMargins left="0" right="0" top="0" bottom="0" header="0" footer="0"/>
  <pageSetup paperSize="9" scale="12" orientation="portrait" r:id="rId1"/>
  <headerFooter differentOddEven="1" differentFirs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16A9-8889-46C8-89A6-7747BFDAA93A}">
  <sheetPr codeName="Sheet2"/>
  <dimension ref="A2:L107"/>
  <sheetViews>
    <sheetView topLeftCell="A82" workbookViewId="0">
      <selection activeCell="B3" sqref="B3:C107"/>
    </sheetView>
  </sheetViews>
  <sheetFormatPr defaultRowHeight="15" x14ac:dyDescent="0.25"/>
  <cols>
    <col min="1" max="1" width="26.85546875" bestFit="1" customWidth="1"/>
    <col min="2" max="2" width="8.5703125" bestFit="1" customWidth="1"/>
    <col min="3" max="3" width="11.140625" bestFit="1" customWidth="1"/>
    <col min="4" max="4" width="155.5703125" bestFit="1" customWidth="1"/>
    <col min="5" max="5" width="8.5703125" bestFit="1" customWidth="1"/>
  </cols>
  <sheetData>
    <row r="2" spans="1:6" x14ac:dyDescent="0.25">
      <c r="A2" s="1024" t="s">
        <v>681</v>
      </c>
      <c r="B2" s="1024" t="s">
        <v>615</v>
      </c>
      <c r="C2" s="1024" t="s">
        <v>682</v>
      </c>
      <c r="D2" s="1024" t="s">
        <v>683</v>
      </c>
    </row>
    <row r="3" spans="1:6" x14ac:dyDescent="0.25">
      <c r="A3" s="1025" t="s">
        <v>780</v>
      </c>
      <c r="B3" s="1026">
        <f>+DAILYREPORT1!C11</f>
        <v>279.56600000000003</v>
      </c>
      <c r="C3" s="1026">
        <f>+DAILYREPORT1!D11</f>
        <v>8335.9359999999979</v>
      </c>
      <c r="D3" s="1025"/>
    </row>
    <row r="4" spans="1:6" x14ac:dyDescent="0.25">
      <c r="A4" s="1025" t="s">
        <v>684</v>
      </c>
      <c r="B4" s="1026">
        <f>+DAILYREPORT1!$C$14</f>
        <v>11940</v>
      </c>
      <c r="C4" s="1026">
        <f>+DAILYREPORT1!$D$14</f>
        <v>154584</v>
      </c>
      <c r="D4" s="1025"/>
    </row>
    <row r="5" spans="1:6" x14ac:dyDescent="0.25">
      <c r="A5" s="1025" t="s">
        <v>191</v>
      </c>
      <c r="B5" s="1026">
        <f>+DAILYREPORT1!$C$16</f>
        <v>8804.7000000000007</v>
      </c>
      <c r="C5" s="1026">
        <f>+DAILYREPORT1!$D$16</f>
        <v>110808.59999999999</v>
      </c>
      <c r="D5" s="1025"/>
    </row>
    <row r="6" spans="1:6" x14ac:dyDescent="0.25">
      <c r="A6" s="1025" t="s">
        <v>685</v>
      </c>
      <c r="B6" s="1026">
        <f>+DAILYREPORT1!$C$18</f>
        <v>0</v>
      </c>
      <c r="C6" s="1026">
        <f>+DAILYREPORT1!$D$18</f>
        <v>2442.6000000000004</v>
      </c>
      <c r="D6" s="1025"/>
    </row>
    <row r="7" spans="1:6" x14ac:dyDescent="0.25">
      <c r="A7" s="1025" t="s">
        <v>686</v>
      </c>
      <c r="B7" s="1026">
        <f>+DAILYREPORT1!$C$25</f>
        <v>55</v>
      </c>
      <c r="C7" s="1026">
        <f>+DAILYREPORT1!$D$25</f>
        <v>628</v>
      </c>
      <c r="D7" s="1025"/>
    </row>
    <row r="8" spans="1:6" x14ac:dyDescent="0.25">
      <c r="A8" s="1025" t="s">
        <v>687</v>
      </c>
      <c r="B8" s="1026">
        <f>+DAILYREPORT1!$C$29</f>
        <v>55</v>
      </c>
      <c r="C8" s="1026">
        <f>+DAILYREPORT1!$D$29</f>
        <v>628</v>
      </c>
      <c r="D8" s="1025"/>
    </row>
    <row r="9" spans="1:6" x14ac:dyDescent="0.25">
      <c r="A9" s="1025" t="s">
        <v>244</v>
      </c>
      <c r="B9" s="1026">
        <f>+DAILYREPORT1!$C$32</f>
        <v>8576.64</v>
      </c>
      <c r="C9" s="1026">
        <f>+DAILYREPORT1!$D$32</f>
        <v>97977.607950000005</v>
      </c>
      <c r="D9" s="1025"/>
    </row>
    <row r="10" spans="1:6" x14ac:dyDescent="0.25">
      <c r="A10" s="1025" t="s">
        <v>138</v>
      </c>
      <c r="B10" s="1026">
        <f>+DAILYREPORT1!$C$33</f>
        <v>1338.6499999999999</v>
      </c>
      <c r="C10" s="1026">
        <f>+DAILYREPORT1!$D$33</f>
        <v>21527.449999999997</v>
      </c>
      <c r="D10" s="1025"/>
      <c r="F10" s="1025" t="s">
        <v>791</v>
      </c>
    </row>
    <row r="11" spans="1:6" x14ac:dyDescent="0.25">
      <c r="A11" s="1025" t="s">
        <v>688</v>
      </c>
      <c r="B11" s="1026">
        <f>+DAILYREPORT1!$C$34</f>
        <v>2341.5250000000001</v>
      </c>
      <c r="C11" s="1026">
        <f>+DAILYREPORT1!$D$34</f>
        <v>33352.684000000001</v>
      </c>
      <c r="D11" s="1025"/>
    </row>
    <row r="12" spans="1:6" x14ac:dyDescent="0.25">
      <c r="A12" s="1025" t="s">
        <v>79</v>
      </c>
      <c r="B12" s="1026">
        <f>+DAILYREPORT1!$C$35</f>
        <v>681.7</v>
      </c>
      <c r="C12" s="1026">
        <f>+DAILYREPORT1!$D$35</f>
        <v>10554.693000000001</v>
      </c>
      <c r="D12" s="1025"/>
    </row>
    <row r="13" spans="1:6" x14ac:dyDescent="0.25">
      <c r="A13" s="1025" t="s">
        <v>341</v>
      </c>
      <c r="B13" s="1026">
        <f>+DAILYREPORT1!$C$37+DAILYREPORT1!$C$38</f>
        <v>0</v>
      </c>
      <c r="C13" s="1026">
        <f>+DAILYREPORT1!D37+DAILYREPORT1!D38</f>
        <v>22797</v>
      </c>
      <c r="D13" s="1025"/>
    </row>
    <row r="14" spans="1:6" x14ac:dyDescent="0.25">
      <c r="A14" s="1025" t="s">
        <v>363</v>
      </c>
      <c r="B14" s="1026">
        <f>+DAILYREPORT1!C36</f>
        <v>4361.875</v>
      </c>
      <c r="C14" s="1026">
        <f>+DAILYREPORT1!D36</f>
        <v>65434.826999999997</v>
      </c>
      <c r="D14" s="1025"/>
    </row>
    <row r="15" spans="1:6" x14ac:dyDescent="0.25">
      <c r="A15" s="1025" t="s">
        <v>689</v>
      </c>
      <c r="B15" s="1026">
        <f>+DAILYREPORT1!C39</f>
        <v>4361.875</v>
      </c>
      <c r="C15" s="1026">
        <f>+DAILYREPORT1!D39</f>
        <v>88231.82699999999</v>
      </c>
      <c r="D15" s="1025"/>
    </row>
    <row r="16" spans="1:6" x14ac:dyDescent="0.25">
      <c r="A16" s="1025" t="s">
        <v>690</v>
      </c>
      <c r="B16" s="1026">
        <f>+DAILYREPORT1!C46</f>
        <v>3076.94</v>
      </c>
      <c r="C16" s="1026">
        <f>+DAILYREPORT1!D46</f>
        <v>119345</v>
      </c>
      <c r="D16" s="1025"/>
    </row>
    <row r="17" spans="1:7" x14ac:dyDescent="0.25">
      <c r="A17" s="1025" t="s">
        <v>691</v>
      </c>
      <c r="B17" s="1026">
        <f>+'RAWMATERIAL &amp; CONSTRAINTS'!E18+'RAWMATERIAL &amp; CONSTRAINTS'!N18</f>
        <v>0</v>
      </c>
      <c r="C17" s="1026">
        <f>+'RAWMATERIAL &amp; CONSTRAINTS'!F18+'RAWMATERIAL &amp; CONSTRAINTS'!O18</f>
        <v>11377</v>
      </c>
      <c r="D17" s="1025"/>
    </row>
    <row r="18" spans="1:7" ht="30" x14ac:dyDescent="0.25">
      <c r="A18" s="1027" t="s">
        <v>692</v>
      </c>
      <c r="B18" s="1026">
        <f>+B17</f>
        <v>0</v>
      </c>
      <c r="C18" s="1026">
        <f>+C17</f>
        <v>11377</v>
      </c>
      <c r="D18" s="1025"/>
    </row>
    <row r="19" spans="1:7" ht="14.25" customHeight="1" x14ac:dyDescent="0.25">
      <c r="A19" s="1027" t="s">
        <v>693</v>
      </c>
      <c r="B19" s="1026" cm="1">
        <f t="array" ref="B19:D19">+'RAWMATERIAL &amp; CONSTRAINTS'!H18+'RAWMATERIAL &amp; CONSTRAINTS'!Q18:S18</f>
        <v>4180</v>
      </c>
      <c r="C19" s="1028">
        <v>1100</v>
      </c>
      <c r="D19" s="371">
        <v>1100</v>
      </c>
      <c r="F19" s="170"/>
    </row>
    <row r="20" spans="1:7" x14ac:dyDescent="0.25">
      <c r="A20" s="1025" t="s">
        <v>694</v>
      </c>
      <c r="B20" s="1026">
        <f>+'RAWMATERIAL &amp; CONSTRAINTS'!E5+'RAWMATERIAL &amp; CONSTRAINTS'!N5</f>
        <v>1800</v>
      </c>
      <c r="C20" s="1026">
        <f>+'RAWMATERIAL &amp; CONSTRAINTS'!F5+'RAWMATERIAL &amp; CONSTRAINTS'!O5</f>
        <v>68039</v>
      </c>
      <c r="D20" s="1025"/>
    </row>
    <row r="21" spans="1:7" x14ac:dyDescent="0.25">
      <c r="A21" s="1025" t="s">
        <v>695</v>
      </c>
      <c r="B21" s="1026" cm="1">
        <f t="array" ref="B21:D21">'RAWMATERIAL &amp; CONSTRAINTS'!H5+'RAWMATERIAL &amp; CONSTRAINTS'!Q5:S5</f>
        <v>15480</v>
      </c>
      <c r="C21" s="1028">
        <v>5400</v>
      </c>
      <c r="D21" s="1028">
        <v>5400</v>
      </c>
    </row>
    <row r="22" spans="1:7" x14ac:dyDescent="0.25">
      <c r="A22" s="1025" t="s">
        <v>696</v>
      </c>
      <c r="B22" s="1026">
        <f>+'RAWMATERIAL &amp; CONSTRAINTS'!E9+'RAWMATERIAL &amp; CONSTRAINTS'!N6</f>
        <v>0</v>
      </c>
      <c r="C22" s="1026">
        <f>+'RAWMATERIAL &amp; CONSTRAINTS'!F9+'RAWMATERIAL &amp; CONSTRAINTS'!O6</f>
        <v>7639</v>
      </c>
      <c r="D22" s="1025"/>
    </row>
    <row r="23" spans="1:7" x14ac:dyDescent="0.25">
      <c r="A23" s="1025" t="s">
        <v>697</v>
      </c>
      <c r="B23" s="1026" cm="1">
        <f t="array" ref="B23:D23">+'RAWMATERIAL &amp; CONSTRAINTS'!H9+'RAWMATERIAL &amp; CONSTRAINTS'!Q6:S6</f>
        <v>7500</v>
      </c>
      <c r="C23" s="1028">
        <v>3700</v>
      </c>
      <c r="D23" s="1028">
        <v>3700</v>
      </c>
    </row>
    <row r="24" spans="1:7" x14ac:dyDescent="0.25">
      <c r="A24" s="1025" t="s">
        <v>698</v>
      </c>
      <c r="B24" s="1026">
        <f>+'RAWMATERIAL &amp; CONSTRAINTS'!E6+'RAWMATERIAL &amp; CONSTRAINTS'!N7</f>
        <v>0</v>
      </c>
      <c r="C24" s="1025"/>
      <c r="D24" s="1025"/>
      <c r="G24" s="170"/>
    </row>
    <row r="25" spans="1:7" x14ac:dyDescent="0.25">
      <c r="A25" s="1029" t="s">
        <v>785</v>
      </c>
      <c r="B25" s="1039" cm="1">
        <f t="array" ref="B25:D25">+'RAWMATERIAL &amp; CONSTRAINTS'!Q7:S7+'RAWMATERIAL &amp; CONSTRAINTS'!H6</f>
        <v>4090</v>
      </c>
      <c r="C25" s="371">
        <v>3800</v>
      </c>
      <c r="D25" s="371">
        <v>3800</v>
      </c>
    </row>
    <row r="26" spans="1:7" x14ac:dyDescent="0.25">
      <c r="A26" s="1029" t="s">
        <v>699</v>
      </c>
      <c r="B26" s="1029">
        <v>0</v>
      </c>
      <c r="C26" s="1029"/>
      <c r="D26" s="1029"/>
    </row>
    <row r="27" spans="1:7" x14ac:dyDescent="0.25">
      <c r="A27" s="1029" t="s">
        <v>700</v>
      </c>
      <c r="B27" s="1029">
        <v>0</v>
      </c>
      <c r="C27" s="1029"/>
      <c r="D27" s="1029"/>
    </row>
    <row r="28" spans="1:7" x14ac:dyDescent="0.25">
      <c r="A28" s="1025" t="s">
        <v>701</v>
      </c>
      <c r="B28" s="1029">
        <v>0</v>
      </c>
      <c r="C28" s="1029"/>
      <c r="D28" s="1029"/>
    </row>
    <row r="29" spans="1:7" x14ac:dyDescent="0.25">
      <c r="A29" s="1025" t="s">
        <v>702</v>
      </c>
      <c r="B29" s="1040" cm="1">
        <f t="array" ref="B29:D29">+'RAWMATERIAL &amp; CONSTRAINTS'!H8+'RAWMATERIAL &amp; CONSTRAINTS'!Q9:S9+'RAWMATERIAL &amp; CONSTRAINTS'!Q8:S8+'RAWMATERIAL &amp; CONSTRAINTS'!H7</f>
        <v>5690</v>
      </c>
      <c r="C29" s="1029">
        <v>2200</v>
      </c>
      <c r="D29" s="1043">
        <v>2200</v>
      </c>
    </row>
    <row r="30" spans="1:7" x14ac:dyDescent="0.25">
      <c r="A30" s="1025" t="s">
        <v>703</v>
      </c>
      <c r="B30" s="1026">
        <f>+'RAWMATERIAL &amp; CONSTRAINTS'!E15+'RAWMATERIAL &amp; CONSTRAINTS'!N15</f>
        <v>5280</v>
      </c>
      <c r="C30" s="1026">
        <f>+'RAWMATERIAL &amp; CONSTRAINTS'!F15+'RAWMATERIAL &amp; CONSTRAINTS'!O15</f>
        <v>36457</v>
      </c>
      <c r="D30" s="1025"/>
    </row>
    <row r="31" spans="1:7" x14ac:dyDescent="0.25">
      <c r="A31" s="1025" t="s">
        <v>704</v>
      </c>
      <c r="B31" s="1026" cm="1">
        <f t="array" ref="B31:D31">+'RAWMATERIAL &amp; CONSTRAINTS'!H15+'RAWMATERIAL &amp; CONSTRAINTS'!Q15:S15</f>
        <v>17190</v>
      </c>
      <c r="C31" s="1028">
        <v>9000</v>
      </c>
      <c r="D31" s="1028">
        <v>9000</v>
      </c>
    </row>
    <row r="32" spans="1:7" x14ac:dyDescent="0.25">
      <c r="A32" s="1025" t="s">
        <v>705</v>
      </c>
      <c r="B32" s="1026">
        <f>+'RAWMATERIAL &amp; CONSTRAINTS'!E19+'RAWMATERIAL &amp; CONSTRAINTS'!N19</f>
        <v>7080</v>
      </c>
      <c r="C32" s="1026">
        <f>+'RAWMATERIAL &amp; CONSTRAINTS'!F19+'RAWMATERIAL &amp; CONSTRAINTS'!O19</f>
        <v>165832</v>
      </c>
      <c r="D32" s="1025"/>
    </row>
    <row r="33" spans="1:4" x14ac:dyDescent="0.25">
      <c r="A33" s="1025" t="s">
        <v>706</v>
      </c>
      <c r="B33" s="1026" cm="1">
        <f t="array" ref="B33:D33">+'RAWMATERIAL &amp; CONSTRAINTS'!H19+'RAWMATERIAL &amp; CONSTRAINTS'!Q19:S19</f>
        <v>54130</v>
      </c>
      <c r="C33" s="1028">
        <v>25200</v>
      </c>
      <c r="D33" s="1028">
        <v>25200</v>
      </c>
    </row>
    <row r="34" spans="1:4" x14ac:dyDescent="0.25">
      <c r="A34" s="1025" t="s">
        <v>707</v>
      </c>
      <c r="B34" s="1026">
        <f>+'RAWMATERIAL &amp; CONSTRAINTS'!O22</f>
        <v>0</v>
      </c>
      <c r="C34" s="1026">
        <f>+'RAWMATERIAL &amp; CONSTRAINTS'!P22</f>
        <v>11354</v>
      </c>
      <c r="D34" s="1025"/>
    </row>
    <row r="35" spans="1:4" x14ac:dyDescent="0.25">
      <c r="A35" s="1025" t="s">
        <v>708</v>
      </c>
      <c r="B35" s="1026">
        <f>+'RAWMATERIAL &amp; CONSTRAINTS'!S22</f>
        <v>9800</v>
      </c>
      <c r="C35" s="1025"/>
      <c r="D35" s="1025"/>
    </row>
    <row r="36" spans="1:4" x14ac:dyDescent="0.25">
      <c r="A36" s="1025" t="s">
        <v>709</v>
      </c>
      <c r="B36" s="1026">
        <f>+'RAWMATERIAL &amp; CONSTRAINTS'!T32</f>
        <v>0</v>
      </c>
      <c r="C36" s="1026">
        <f>+'RAWMATERIAL &amp; CONSTRAINTS'!U32</f>
        <v>77825</v>
      </c>
      <c r="D36" s="1025"/>
    </row>
    <row r="37" spans="1:4" x14ac:dyDescent="0.25">
      <c r="A37" s="1025" t="s">
        <v>710</v>
      </c>
      <c r="B37" s="1026">
        <f>+'RAWMATERIAL &amp; CONSTRAINTS'!V32</f>
        <v>49532</v>
      </c>
      <c r="C37" s="1025"/>
      <c r="D37" s="1025"/>
    </row>
    <row r="38" spans="1:4" x14ac:dyDescent="0.25">
      <c r="A38" s="1025" t="s">
        <v>711</v>
      </c>
      <c r="B38" s="1026">
        <f>+'RAWMATERIAL &amp; CONSTRAINTS'!E22</f>
        <v>2160</v>
      </c>
      <c r="C38" s="1026">
        <f>+'RAWMATERIAL &amp; CONSTRAINTS'!F22</f>
        <v>46810</v>
      </c>
      <c r="D38" s="1025"/>
    </row>
    <row r="39" spans="1:4" x14ac:dyDescent="0.25">
      <c r="A39" s="1025" t="s">
        <v>712</v>
      </c>
      <c r="B39" s="1026">
        <f>+'RAWMATERIAL &amp; CONSTRAINTS'!H22</f>
        <v>63369</v>
      </c>
      <c r="C39" s="1025"/>
      <c r="D39" s="1025"/>
    </row>
    <row r="40" spans="1:4" x14ac:dyDescent="0.25">
      <c r="A40" s="1025" t="s">
        <v>713</v>
      </c>
      <c r="B40" s="1026">
        <f>+'RAWMATERIAL &amp; CONSTRAINTS'!E23</f>
        <v>12300</v>
      </c>
      <c r="C40" s="1026">
        <f>+'RAWMATERIAL &amp; CONSTRAINTS'!F23</f>
        <v>245012</v>
      </c>
      <c r="D40" s="1025"/>
    </row>
    <row r="41" spans="1:4" x14ac:dyDescent="0.25">
      <c r="A41" s="1025" t="s">
        <v>714</v>
      </c>
      <c r="B41" s="1026">
        <f>+'RAWMATERIAL &amp; CONSTRAINTS'!H23</f>
        <v>120627</v>
      </c>
      <c r="C41" s="1025"/>
      <c r="D41" s="1025"/>
    </row>
    <row r="42" spans="1:4" x14ac:dyDescent="0.25">
      <c r="A42" s="1025" t="s">
        <v>783</v>
      </c>
      <c r="B42" s="1025">
        <f>+'RAWMATERIAL &amp; CONSTRAINTS'!Q30</f>
        <v>55105</v>
      </c>
      <c r="C42" s="1025"/>
      <c r="D42" s="1025"/>
    </row>
    <row r="43" spans="1:4" x14ac:dyDescent="0.25">
      <c r="A43" s="1025" t="s">
        <v>715</v>
      </c>
      <c r="B43" s="1026">
        <f>+'RAWMATERIAL &amp; CONSTRAINTS'!O25</f>
        <v>0</v>
      </c>
      <c r="C43" s="1026">
        <f>+'RAWMATERIAL &amp; CONSTRAINTS'!P25</f>
        <v>0</v>
      </c>
      <c r="D43" s="1025"/>
    </row>
    <row r="44" spans="1:4" x14ac:dyDescent="0.25">
      <c r="A44" s="1025" t="s">
        <v>716</v>
      </c>
      <c r="B44" s="1026">
        <f>+'RAWMATERIAL &amp; CONSTRAINTS'!S25</f>
        <v>6005</v>
      </c>
      <c r="C44" s="1025"/>
      <c r="D44" s="1025"/>
    </row>
    <row r="45" spans="1:4" x14ac:dyDescent="0.25">
      <c r="A45" s="1025" t="s">
        <v>717</v>
      </c>
      <c r="B45" s="1026">
        <f>+'RAWMATERIAL &amp; CONSTRAINTS'!E24</f>
        <v>0</v>
      </c>
      <c r="C45" s="1026">
        <f>+'RAWMATERIAL &amp; CONSTRAINTS'!F24</f>
        <v>32653</v>
      </c>
      <c r="D45" s="1025"/>
    </row>
    <row r="46" spans="1:4" x14ac:dyDescent="0.25">
      <c r="A46" s="1025" t="s">
        <v>718</v>
      </c>
      <c r="B46" s="1025">
        <f>+'RAWMATERIAL &amp; CONSTRAINTS'!H24</f>
        <v>5481</v>
      </c>
      <c r="C46" s="1025"/>
      <c r="D46" s="1025"/>
    </row>
    <row r="47" spans="1:4" x14ac:dyDescent="0.25">
      <c r="A47" s="1025" t="s">
        <v>719</v>
      </c>
      <c r="B47" s="1026">
        <f>+'RAWMATERIAL &amp; CONSTRAINTS'!E25</f>
        <v>0</v>
      </c>
      <c r="C47" s="1026">
        <f>+'RAWMATERIAL &amp; CONSTRAINTS'!F25</f>
        <v>17449</v>
      </c>
      <c r="D47" s="1025"/>
    </row>
    <row r="48" spans="1:4" x14ac:dyDescent="0.25">
      <c r="A48" s="1025" t="s">
        <v>720</v>
      </c>
      <c r="B48" s="1026">
        <f>+'RAWMATERIAL &amp; CONSTRAINTS'!H25</f>
        <v>4230</v>
      </c>
      <c r="C48" s="1025"/>
      <c r="D48" s="1025"/>
    </row>
    <row r="49" spans="1:4" x14ac:dyDescent="0.25">
      <c r="A49" s="1025" t="s">
        <v>721</v>
      </c>
      <c r="B49" s="1026">
        <f>+'RAWMATERIAL &amp; CONSTRAINTS'!E26</f>
        <v>0</v>
      </c>
      <c r="C49" s="1026">
        <f>+'RAWMATERIAL &amp; CONSTRAINTS'!F26</f>
        <v>11911</v>
      </c>
      <c r="D49" s="1025"/>
    </row>
    <row r="50" spans="1:4" x14ac:dyDescent="0.25">
      <c r="A50" s="1025" t="s">
        <v>722</v>
      </c>
      <c r="B50" s="1026">
        <f>+'RAWMATERIAL &amp; CONSTRAINTS'!H26</f>
        <v>19181</v>
      </c>
      <c r="C50" s="1025"/>
      <c r="D50" s="1025"/>
    </row>
    <row r="51" spans="1:4" x14ac:dyDescent="0.25">
      <c r="A51" s="1025" t="s">
        <v>723</v>
      </c>
      <c r="B51" s="1026">
        <f>+'RAWMATERIAL &amp; CONSTRAINTS'!O23</f>
        <v>0</v>
      </c>
      <c r="C51" s="1026">
        <f>+'RAWMATERIAL &amp; CONSTRAINTS'!P23</f>
        <v>0</v>
      </c>
      <c r="D51" s="1025"/>
    </row>
    <row r="52" spans="1:4" x14ac:dyDescent="0.25">
      <c r="A52" s="1025" t="s">
        <v>724</v>
      </c>
      <c r="B52" s="1026">
        <f>+'RAWMATERIAL &amp; CONSTRAINTS'!S23</f>
        <v>300</v>
      </c>
      <c r="C52" s="1025"/>
      <c r="D52" s="1025"/>
    </row>
    <row r="53" spans="1:4" x14ac:dyDescent="0.25">
      <c r="A53" s="1025" t="s">
        <v>725</v>
      </c>
      <c r="B53" s="1026">
        <f>+DAILYREPORT1!D108</f>
        <v>18016</v>
      </c>
      <c r="C53" s="1025"/>
      <c r="D53" s="1025"/>
    </row>
    <row r="54" spans="1:4" x14ac:dyDescent="0.25">
      <c r="A54" s="1025" t="s">
        <v>726</v>
      </c>
      <c r="B54" s="1026">
        <f>+DAILYREPORT1!C108</f>
        <v>14899.7</v>
      </c>
      <c r="C54" s="1025"/>
      <c r="D54" s="1025"/>
    </row>
    <row r="55" spans="1:4" x14ac:dyDescent="0.25">
      <c r="A55" s="1025" t="s">
        <v>727</v>
      </c>
      <c r="B55" s="1026" t="e">
        <f>+#REF!+#REF!+#REF!</f>
        <v>#REF!</v>
      </c>
      <c r="C55" s="1025"/>
      <c r="D55" s="1025"/>
    </row>
    <row r="56" spans="1:4" x14ac:dyDescent="0.25">
      <c r="A56" s="1025" t="s">
        <v>728</v>
      </c>
      <c r="B56" s="1026" t="e">
        <f>+#REF!+#REF!+#REF!</f>
        <v>#REF!</v>
      </c>
      <c r="C56" s="1025"/>
      <c r="D56" s="1025"/>
    </row>
    <row r="57" spans="1:4" x14ac:dyDescent="0.25">
      <c r="A57" s="1025" t="s">
        <v>729</v>
      </c>
      <c r="B57" s="1026" t="e">
        <f>+#REF!</f>
        <v>#REF!</v>
      </c>
      <c r="C57" s="1025"/>
      <c r="D57" s="1025"/>
    </row>
    <row r="58" spans="1:4" x14ac:dyDescent="0.25">
      <c r="A58" s="1025" t="s">
        <v>730</v>
      </c>
      <c r="B58" s="1026" t="e">
        <f>+#REF!</f>
        <v>#REF!</v>
      </c>
      <c r="C58" s="1025"/>
      <c r="D58" s="1025"/>
    </row>
    <row r="59" spans="1:4" x14ac:dyDescent="0.25">
      <c r="A59" s="1025" t="s">
        <v>731</v>
      </c>
      <c r="B59" s="1026" t="e">
        <f>+#REF!</f>
        <v>#REF!</v>
      </c>
      <c r="C59" s="1025"/>
      <c r="D59" s="1025"/>
    </row>
    <row r="60" spans="1:4" x14ac:dyDescent="0.25">
      <c r="A60" s="1025" t="s">
        <v>732</v>
      </c>
      <c r="B60" s="1026" t="e">
        <f>+#REF!</f>
        <v>#REF!</v>
      </c>
      <c r="C60" s="1025"/>
      <c r="D60" s="1025"/>
    </row>
    <row r="61" spans="1:4" x14ac:dyDescent="0.25">
      <c r="A61" s="1025" t="s">
        <v>733</v>
      </c>
      <c r="B61" s="1030">
        <f>DAILYREPORT1!D60</f>
        <v>36.480000000000004</v>
      </c>
      <c r="C61" s="1025"/>
      <c r="D61" s="1025"/>
    </row>
    <row r="62" spans="1:4" x14ac:dyDescent="0.25">
      <c r="A62" s="1025" t="s">
        <v>734</v>
      </c>
      <c r="B62" s="1030">
        <f>+DAILYREPORT1!C61</f>
        <v>100.02999999999999</v>
      </c>
      <c r="C62" s="1025"/>
      <c r="D62" s="1025"/>
    </row>
    <row r="63" spans="1:4" x14ac:dyDescent="0.25">
      <c r="A63" s="1025" t="s">
        <v>735</v>
      </c>
      <c r="B63" s="1026">
        <f>+DAILYREPORT1!H62</f>
        <v>95</v>
      </c>
      <c r="C63" s="1025"/>
      <c r="D63" s="1025"/>
    </row>
    <row r="64" spans="1:4" x14ac:dyDescent="0.25">
      <c r="A64" s="1025" t="s">
        <v>736</v>
      </c>
      <c r="B64" s="1026">
        <f>+DAILYREPORT1!I62</f>
        <v>95</v>
      </c>
      <c r="C64" s="1025"/>
      <c r="D64" s="1025"/>
    </row>
    <row r="65" spans="1:12" x14ac:dyDescent="0.25">
      <c r="A65" s="1025" t="s">
        <v>737</v>
      </c>
      <c r="B65" s="1026">
        <f>+DAILYREPORT1!H67</f>
        <v>356</v>
      </c>
      <c r="C65" s="1025"/>
      <c r="D65" s="1025"/>
    </row>
    <row r="66" spans="1:12" x14ac:dyDescent="0.25">
      <c r="A66" s="1025" t="s">
        <v>762</v>
      </c>
      <c r="B66" s="1026">
        <f>+DAILYREPORT1!I67</f>
        <v>359</v>
      </c>
      <c r="C66" s="1026">
        <f>+DAILYREPORT1!J67</f>
        <v>417.01058076719676</v>
      </c>
      <c r="D66" s="1025"/>
    </row>
    <row r="67" spans="1:12" x14ac:dyDescent="0.25">
      <c r="A67" s="1025" t="s">
        <v>738</v>
      </c>
      <c r="B67" s="1026">
        <f>+DAILYREPORT1!H69</f>
        <v>140</v>
      </c>
      <c r="C67" s="1025"/>
      <c r="D67" s="1025"/>
    </row>
    <row r="68" spans="1:12" x14ac:dyDescent="0.25">
      <c r="A68" s="1025" t="s">
        <v>761</v>
      </c>
      <c r="B68" s="1026">
        <f>+DAILYREPORT1!I69</f>
        <v>138</v>
      </c>
      <c r="C68" s="1026">
        <f>+DAILYREPORT1!J69</f>
        <v>93.218739249480635</v>
      </c>
      <c r="D68" s="1025"/>
    </row>
    <row r="69" spans="1:12" x14ac:dyDescent="0.25">
      <c r="A69" s="1025" t="s">
        <v>739</v>
      </c>
      <c r="B69" s="1026">
        <f>+DAILYREPORT1!H68</f>
        <v>29</v>
      </c>
      <c r="C69" s="1025"/>
      <c r="D69" s="1025"/>
    </row>
    <row r="70" spans="1:12" x14ac:dyDescent="0.25">
      <c r="A70" s="1025" t="s">
        <v>759</v>
      </c>
      <c r="B70" s="1026">
        <f>+DAILYREPORT1!I68</f>
        <v>34</v>
      </c>
      <c r="C70" s="1026">
        <f>+DAILYREPORT1!J68</f>
        <v>33.440772286627578</v>
      </c>
      <c r="D70" s="1025"/>
    </row>
    <row r="71" spans="1:12" x14ac:dyDescent="0.25">
      <c r="A71" s="1025" t="s">
        <v>740</v>
      </c>
      <c r="B71" s="1026">
        <f>+DAILYREPORT1!H70</f>
        <v>525</v>
      </c>
      <c r="C71" s="1025"/>
      <c r="D71" s="1025"/>
    </row>
    <row r="72" spans="1:12" x14ac:dyDescent="0.25">
      <c r="A72" s="1025" t="s">
        <v>760</v>
      </c>
      <c r="B72" s="1026">
        <f>+DAILYREPORT1!I70</f>
        <v>531</v>
      </c>
      <c r="C72" s="1026">
        <f>+DAILYREPORT1!J70</f>
        <v>543.67009230330495</v>
      </c>
      <c r="D72" s="1025"/>
    </row>
    <row r="73" spans="1:12" x14ac:dyDescent="0.25">
      <c r="A73" s="1025" t="s">
        <v>741</v>
      </c>
      <c r="B73" s="1026">
        <f>+DAILYREPORT1!H71</f>
        <v>70</v>
      </c>
      <c r="C73" s="1025"/>
      <c r="D73" s="1025"/>
    </row>
    <row r="74" spans="1:12" x14ac:dyDescent="0.25">
      <c r="A74" s="1025" t="s">
        <v>758</v>
      </c>
      <c r="B74" s="1026">
        <f>+DAILYREPORT1!I71</f>
        <v>65</v>
      </c>
      <c r="C74" s="1026">
        <f>+DAILYREPORT1!J71</f>
        <v>69.046706663562219</v>
      </c>
      <c r="D74" s="1025"/>
      <c r="E74" s="1857" t="s">
        <v>788</v>
      </c>
      <c r="F74" s="1858"/>
      <c r="G74" s="1858"/>
      <c r="H74" s="1858"/>
      <c r="I74" s="1858"/>
      <c r="J74" s="1858"/>
      <c r="K74" s="1858"/>
      <c r="L74" s="1858"/>
    </row>
    <row r="75" spans="1:12" x14ac:dyDescent="0.25">
      <c r="A75" s="1025" t="s">
        <v>742</v>
      </c>
      <c r="B75" s="1026">
        <f>+DAILYREPORT1!I72</f>
        <v>20</v>
      </c>
      <c r="C75" s="1026">
        <f>+DAILYREPORT1!J72</f>
        <v>17.949838730928828</v>
      </c>
      <c r="D75" s="1025"/>
      <c r="E75" s="1044"/>
    </row>
    <row r="76" spans="1:12" x14ac:dyDescent="0.25">
      <c r="A76" s="1025" t="s">
        <v>743</v>
      </c>
      <c r="B76" s="1030">
        <f>+DAILYREPORT1!H73</f>
        <v>2.3940000000000001</v>
      </c>
      <c r="C76" s="1025"/>
      <c r="D76" s="1025"/>
      <c r="E76" s="1045" t="s">
        <v>789</v>
      </c>
    </row>
    <row r="77" spans="1:12" x14ac:dyDescent="0.25">
      <c r="A77" s="1025" t="s">
        <v>756</v>
      </c>
      <c r="B77" s="1035">
        <f>+DAILYREPORT1!I73</f>
        <v>2.4790000000000001</v>
      </c>
      <c r="C77" s="1035">
        <f>+DAILYREPORT1!J73</f>
        <v>1.8232438664507991</v>
      </c>
      <c r="D77" s="1025"/>
    </row>
    <row r="78" spans="1:12" x14ac:dyDescent="0.25">
      <c r="A78" s="1025" t="s">
        <v>744</v>
      </c>
      <c r="B78" s="1036">
        <f>+DAILYREPORT1!H81+DAILYREPORT1!H82</f>
        <v>1096</v>
      </c>
      <c r="C78" s="1037"/>
      <c r="D78" s="1025"/>
    </row>
    <row r="79" spans="1:12" x14ac:dyDescent="0.25">
      <c r="A79" s="1025" t="s">
        <v>757</v>
      </c>
      <c r="B79" s="1036">
        <f>+DAILYREPORT1!I81+DAILYREPORT1!I82</f>
        <v>1093.75</v>
      </c>
      <c r="C79" s="1037"/>
      <c r="D79" s="1025"/>
    </row>
    <row r="80" spans="1:12" ht="30" x14ac:dyDescent="0.25">
      <c r="A80" s="1027" t="s">
        <v>745</v>
      </c>
      <c r="B80" s="1046">
        <f>+DAILYREPORT1!H85</f>
        <v>6.2450000000000001</v>
      </c>
      <c r="C80" s="1037"/>
      <c r="D80" s="1025"/>
    </row>
    <row r="81" spans="1:4" ht="30" x14ac:dyDescent="0.25">
      <c r="A81" s="1027" t="s">
        <v>746</v>
      </c>
      <c r="B81" s="1046">
        <f>+DAILYREPORT1!I85</f>
        <v>5.6820000000000004</v>
      </c>
      <c r="C81" s="1030">
        <f>+DAILYREPORT1!J85</f>
        <v>7.3259999999999996</v>
      </c>
      <c r="D81" s="1025"/>
    </row>
    <row r="82" spans="1:4" x14ac:dyDescent="0.25">
      <c r="A82" s="1025" t="s">
        <v>755</v>
      </c>
      <c r="B82" s="1026">
        <f>+DAILYREPORT1!I76</f>
        <v>1141</v>
      </c>
      <c r="C82" s="1026">
        <f>+DAILYREPORT1!J76</f>
        <v>1118.7957396808554</v>
      </c>
      <c r="D82" s="1025"/>
    </row>
    <row r="83" spans="1:4" x14ac:dyDescent="0.25">
      <c r="A83" s="1025" t="s">
        <v>754</v>
      </c>
      <c r="B83" s="1026">
        <f>+DAILYREPORT1!I74</f>
        <v>324</v>
      </c>
      <c r="C83" s="1026">
        <f>+DAILYREPORT1!J74</f>
        <v>354.15208927826905</v>
      </c>
      <c r="D83" s="1025"/>
    </row>
    <row r="84" spans="1:4" x14ac:dyDescent="0.25">
      <c r="A84" s="1025" t="s">
        <v>753</v>
      </c>
      <c r="B84" s="1030">
        <f>+DAILYREPORT1!I78</f>
        <v>4.93</v>
      </c>
      <c r="C84" s="1030">
        <f>+DAILYREPORT1!J78</f>
        <v>3.35</v>
      </c>
      <c r="D84" s="1025"/>
    </row>
    <row r="85" spans="1:4" x14ac:dyDescent="0.25">
      <c r="A85" s="1025" t="s">
        <v>747</v>
      </c>
      <c r="B85" s="1026">
        <f>+DAILYREPORT1!C22</f>
        <v>23</v>
      </c>
      <c r="C85" s="1026">
        <f>+DAILYREPORT1!D22</f>
        <v>252</v>
      </c>
      <c r="D85" s="1025"/>
    </row>
    <row r="86" spans="1:4" x14ac:dyDescent="0.25">
      <c r="A86" s="1025" t="s">
        <v>748</v>
      </c>
      <c r="B86" s="1026">
        <f>+DAILYREPORT1!C23</f>
        <v>14</v>
      </c>
      <c r="C86" s="1026">
        <f>+DAILYREPORT1!D23</f>
        <v>147</v>
      </c>
      <c r="D86" s="1025"/>
    </row>
    <row r="87" spans="1:4" x14ac:dyDescent="0.25">
      <c r="A87" s="1025" t="s">
        <v>749</v>
      </c>
      <c r="B87" s="1026">
        <f>+DAILYREPORT1!C24</f>
        <v>18</v>
      </c>
      <c r="C87" s="1026">
        <f>+DAILYREPORT1!D24</f>
        <v>229</v>
      </c>
      <c r="D87" s="1025"/>
    </row>
    <row r="88" spans="1:4" x14ac:dyDescent="0.25">
      <c r="A88" s="1025" t="s">
        <v>750</v>
      </c>
      <c r="B88" s="1026">
        <f>+DAILYREPORT1!F22</f>
        <v>3429</v>
      </c>
      <c r="C88" s="1025"/>
      <c r="D88" s="1025"/>
    </row>
    <row r="89" spans="1:4" x14ac:dyDescent="0.25">
      <c r="A89" s="1025" t="s">
        <v>751</v>
      </c>
      <c r="B89" s="1026">
        <f>+DAILYREPORT1!F23</f>
        <v>5981</v>
      </c>
      <c r="C89" s="1025"/>
      <c r="D89" s="1025"/>
    </row>
    <row r="90" spans="1:4" x14ac:dyDescent="0.25">
      <c r="A90" s="1025" t="s">
        <v>752</v>
      </c>
      <c r="B90" s="1026">
        <f>+DAILYREPORT1!F24</f>
        <v>17463</v>
      </c>
      <c r="C90" s="1025"/>
      <c r="D90" s="1025"/>
    </row>
    <row r="91" spans="1:4" x14ac:dyDescent="0.25">
      <c r="A91" s="1031" t="s">
        <v>763</v>
      </c>
      <c r="B91" s="1034" cm="1">
        <f t="array" ref="B91:D91">'RAWMATERIAL &amp; CONSTRAINTS'!T34:V34</f>
        <v>0.85416666666666663</v>
      </c>
      <c r="C91" s="1028">
        <v>0</v>
      </c>
      <c r="D91" s="1028">
        <v>0</v>
      </c>
    </row>
    <row r="92" spans="1:4" x14ac:dyDescent="0.25">
      <c r="A92" s="1031" t="s">
        <v>764</v>
      </c>
      <c r="B92" s="1034" cm="1">
        <f t="array" ref="B92:D92">+'RAWMATERIAL &amp; CONSTRAINTS'!T35:V35</f>
        <v>0.8125</v>
      </c>
      <c r="C92" s="1028">
        <v>0</v>
      </c>
      <c r="D92" s="1028">
        <v>0</v>
      </c>
    </row>
    <row r="93" spans="1:4" x14ac:dyDescent="0.25">
      <c r="A93" s="1031" t="s">
        <v>765</v>
      </c>
      <c r="B93" s="1034" cm="1">
        <f t="array" ref="B93:D93">+'RAWMATERIAL &amp; CONSTRAINTS'!T36:V36</f>
        <v>0.56944444444444442</v>
      </c>
      <c r="C93" s="1028">
        <v>0</v>
      </c>
      <c r="D93" s="1028">
        <v>0</v>
      </c>
    </row>
    <row r="94" spans="1:4" x14ac:dyDescent="0.25">
      <c r="A94" s="1025" t="s">
        <v>768</v>
      </c>
      <c r="B94" s="1026">
        <f>DAILYREPORT1!C26</f>
        <v>23</v>
      </c>
      <c r="C94" s="1026">
        <f>+DAILYREPORT1!D26</f>
        <v>241</v>
      </c>
      <c r="D94" s="1025"/>
    </row>
    <row r="95" spans="1:4" x14ac:dyDescent="0.25">
      <c r="A95" s="1025" t="s">
        <v>769</v>
      </c>
      <c r="B95" s="1026">
        <f>DAILYREPORT1!C27</f>
        <v>17</v>
      </c>
      <c r="C95" s="1026">
        <f>+DAILYREPORT1!D27</f>
        <v>250</v>
      </c>
      <c r="D95" s="1025"/>
    </row>
    <row r="96" spans="1:4" x14ac:dyDescent="0.25">
      <c r="A96" s="1025" t="s">
        <v>770</v>
      </c>
      <c r="B96" s="1026">
        <f>DAILYREPORT1!C28</f>
        <v>15</v>
      </c>
      <c r="C96" s="1026">
        <f>+DAILYREPORT1!D28</f>
        <v>137</v>
      </c>
      <c r="D96" s="1025"/>
    </row>
    <row r="97" spans="1:4" x14ac:dyDescent="0.25">
      <c r="A97" s="1025" t="s">
        <v>771</v>
      </c>
      <c r="B97" s="1026">
        <f>DAILYREPORT1!C9</f>
        <v>98</v>
      </c>
      <c r="C97" s="1026">
        <f>+DAILYREPORT1!D9</f>
        <v>3010</v>
      </c>
      <c r="D97" s="1025"/>
    </row>
    <row r="98" spans="1:4" x14ac:dyDescent="0.25">
      <c r="A98" s="1025" t="s">
        <v>772</v>
      </c>
      <c r="B98" s="1026">
        <f>DAILYREPORT1!C10</f>
        <v>99</v>
      </c>
      <c r="C98" s="1026">
        <f>+DAILYREPORT1!D10</f>
        <v>2904</v>
      </c>
      <c r="D98" s="1025"/>
    </row>
    <row r="99" spans="1:4" x14ac:dyDescent="0.25">
      <c r="A99" s="1025" t="s">
        <v>773</v>
      </c>
      <c r="B99" s="1026">
        <f>DAILYREPORT1!C12</f>
        <v>5905</v>
      </c>
      <c r="C99" s="1026">
        <f>+DAILYREPORT1!D12</f>
        <v>71200</v>
      </c>
      <c r="D99" s="1025"/>
    </row>
    <row r="100" spans="1:4" x14ac:dyDescent="0.25">
      <c r="A100" s="1025" t="s">
        <v>774</v>
      </c>
      <c r="B100" s="1026">
        <f>DAILYREPORT1!C13</f>
        <v>6035</v>
      </c>
      <c r="C100" s="1026">
        <f>+DAILYREPORT1!D13</f>
        <v>83384</v>
      </c>
      <c r="D100" s="1025"/>
    </row>
    <row r="101" spans="1:4" x14ac:dyDescent="0.25">
      <c r="A101" s="1025" t="s">
        <v>775</v>
      </c>
      <c r="B101" s="1026">
        <f>DAILYREPORT1!C20</f>
        <v>0</v>
      </c>
      <c r="C101" s="1026">
        <f>+DAILYREPORT1!D20</f>
        <v>5224</v>
      </c>
      <c r="D101" s="1025"/>
    </row>
    <row r="102" spans="1:4" x14ac:dyDescent="0.25">
      <c r="A102" s="1025" t="s">
        <v>20</v>
      </c>
      <c r="B102" s="1030">
        <f>DAILYREPORT1!C60</f>
        <v>17.61</v>
      </c>
      <c r="C102" s="1025"/>
      <c r="D102" s="1025"/>
    </row>
    <row r="103" spans="1:4" x14ac:dyDescent="0.25">
      <c r="A103" s="1025" t="s">
        <v>776</v>
      </c>
      <c r="B103" s="1025">
        <f>DAILYREPORT1!E60</f>
        <v>1.63</v>
      </c>
      <c r="C103" s="1025"/>
      <c r="D103" s="1025"/>
    </row>
    <row r="104" spans="1:4" x14ac:dyDescent="0.25">
      <c r="A104" s="1025" t="s">
        <v>777</v>
      </c>
      <c r="B104" s="1025">
        <f>DAILYREPORT1!H24</f>
        <v>23</v>
      </c>
      <c r="C104" s="1026">
        <f>+DAILYREPORT1!I24</f>
        <v>204</v>
      </c>
      <c r="D104" s="1025"/>
    </row>
    <row r="105" spans="1:4" x14ac:dyDescent="0.25">
      <c r="A105" s="1025" t="s">
        <v>778</v>
      </c>
      <c r="B105" s="1026">
        <f>DAILYREPORT1!H25</f>
        <v>0</v>
      </c>
      <c r="C105" s="1026">
        <f>+DAILYREPORT1!I25</f>
        <v>10</v>
      </c>
      <c r="D105" s="1025"/>
    </row>
    <row r="106" spans="1:4" x14ac:dyDescent="0.25">
      <c r="A106" s="1025" t="s">
        <v>781</v>
      </c>
      <c r="B106" s="1026">
        <f>+DAILYREPORT1!I52</f>
        <v>73850.44775063399</v>
      </c>
      <c r="C106" s="1026"/>
      <c r="D106" s="1025"/>
    </row>
    <row r="107" spans="1:4" x14ac:dyDescent="0.25">
      <c r="A107" s="1025" t="s">
        <v>782</v>
      </c>
      <c r="B107" s="1026">
        <f>+DAILYREPORT1!J52</f>
        <v>21461</v>
      </c>
      <c r="C107" s="1026"/>
      <c r="D107" s="1025"/>
    </row>
  </sheetData>
  <mergeCells count="1">
    <mergeCell ref="E74:L74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>
    <pageSetUpPr fitToPage="1"/>
  </sheetPr>
  <dimension ref="A1:S61"/>
  <sheetViews>
    <sheetView topLeftCell="A10" zoomScale="109" zoomScaleNormal="109" workbookViewId="0">
      <selection activeCell="H23" sqref="H23"/>
    </sheetView>
  </sheetViews>
  <sheetFormatPr defaultColWidth="9.140625" defaultRowHeight="14.25" x14ac:dyDescent="0.2"/>
  <cols>
    <col min="1" max="1" width="5.85546875" style="969" customWidth="1"/>
    <col min="2" max="2" width="46.140625" style="89" customWidth="1"/>
    <col min="3" max="3" width="17.28515625" style="89" customWidth="1"/>
    <col min="4" max="4" width="12.7109375" style="89" customWidth="1"/>
    <col min="5" max="5" width="13.42578125" style="89" customWidth="1"/>
    <col min="6" max="7" width="12.7109375" style="89" customWidth="1"/>
    <col min="8" max="8" width="12.7109375" style="673" customWidth="1"/>
    <col min="9" max="9" width="7.7109375" style="89" bestFit="1" customWidth="1"/>
    <col min="10" max="10" width="8.42578125" style="89" bestFit="1" customWidth="1"/>
    <col min="11" max="11" width="12.7109375" style="89" customWidth="1"/>
    <col min="12" max="12" width="13.5703125" style="89" customWidth="1"/>
    <col min="13" max="15" width="12.7109375" style="89" customWidth="1"/>
    <col min="16" max="16" width="8.7109375" style="89" customWidth="1"/>
    <col min="17" max="17" width="8.28515625" style="89" customWidth="1"/>
    <col min="18" max="18" width="9.140625" style="89"/>
    <col min="19" max="19" width="11.28515625" style="89" bestFit="1" customWidth="1"/>
    <col min="20" max="16384" width="9.140625" style="89"/>
  </cols>
  <sheetData>
    <row r="1" spans="1:19" ht="12.75" customHeight="1" x14ac:dyDescent="0.2"/>
    <row r="2" spans="1:19" ht="15" x14ac:dyDescent="0.25">
      <c r="B2" s="1904" t="s">
        <v>590</v>
      </c>
      <c r="C2" s="1904"/>
      <c r="D2" s="1904"/>
      <c r="E2" s="1904"/>
      <c r="F2" s="1904"/>
      <c r="G2" s="1904"/>
      <c r="H2" s="1904"/>
      <c r="I2" s="1904"/>
      <c r="J2" s="1904"/>
      <c r="K2" s="1904"/>
      <c r="L2" s="1904"/>
      <c r="M2" s="1904"/>
      <c r="N2" s="1904"/>
      <c r="O2" s="1904"/>
      <c r="P2" s="1904"/>
      <c r="Q2" s="1904"/>
    </row>
    <row r="3" spans="1:19" ht="15.75" thickBot="1" x14ac:dyDescent="0.3">
      <c r="B3" s="838">
        <f ca="1">TODAY()-1</f>
        <v>46173</v>
      </c>
      <c r="C3" s="838"/>
      <c r="D3"/>
      <c r="E3" s="117"/>
      <c r="F3" s="674"/>
      <c r="G3" s="674"/>
      <c r="H3" s="674"/>
      <c r="I3" s="674"/>
      <c r="J3" s="674"/>
      <c r="K3" s="1905" t="s">
        <v>490</v>
      </c>
      <c r="L3" s="1905"/>
      <c r="M3" s="1905"/>
      <c r="N3" s="1905"/>
      <c r="O3" s="1905"/>
      <c r="P3" s="1905"/>
      <c r="Q3" s="1905"/>
    </row>
    <row r="4" spans="1:19" ht="30" customHeight="1" thickBot="1" x14ac:dyDescent="0.25">
      <c r="B4" s="1906" t="s">
        <v>491</v>
      </c>
      <c r="C4" s="928"/>
      <c r="D4" s="1911" t="s">
        <v>312</v>
      </c>
      <c r="E4" s="1911"/>
      <c r="F4" s="1911"/>
      <c r="G4" s="1911"/>
      <c r="H4" s="1911"/>
      <c r="I4" s="1911"/>
      <c r="J4" s="1912"/>
      <c r="K4" s="1908" t="s">
        <v>309</v>
      </c>
      <c r="L4" s="1909"/>
      <c r="M4" s="1909"/>
      <c r="N4" s="1909"/>
      <c r="O4" s="1909"/>
      <c r="P4" s="1909"/>
      <c r="Q4" s="1910"/>
    </row>
    <row r="5" spans="1:19" ht="30.75" thickBot="1" x14ac:dyDescent="0.25">
      <c r="A5" s="975">
        <v>31</v>
      </c>
      <c r="B5" s="1907"/>
      <c r="C5" s="929" t="s">
        <v>603</v>
      </c>
      <c r="D5" s="929" t="s">
        <v>52</v>
      </c>
      <c r="E5" s="930" t="s">
        <v>492</v>
      </c>
      <c r="F5" s="930" t="s">
        <v>493</v>
      </c>
      <c r="G5" s="930" t="s">
        <v>494</v>
      </c>
      <c r="H5" s="980" t="s">
        <v>495</v>
      </c>
      <c r="I5" s="930" t="s">
        <v>496</v>
      </c>
      <c r="J5" s="931" t="s">
        <v>497</v>
      </c>
      <c r="K5" s="677" t="s">
        <v>52</v>
      </c>
      <c r="L5" s="675" t="s">
        <v>492</v>
      </c>
      <c r="M5" s="675" t="s">
        <v>493</v>
      </c>
      <c r="N5" s="675" t="s">
        <v>494</v>
      </c>
      <c r="O5" s="675" t="s">
        <v>495</v>
      </c>
      <c r="P5" s="675" t="s">
        <v>496</v>
      </c>
      <c r="Q5" s="676" t="s">
        <v>497</v>
      </c>
    </row>
    <row r="6" spans="1:19" x14ac:dyDescent="0.2">
      <c r="A6" s="975" t="e">
        <f>#REF!</f>
        <v>#REF!</v>
      </c>
      <c r="B6" s="678" t="s">
        <v>498</v>
      </c>
      <c r="C6" s="848" t="e">
        <f>+(H6-E6)/$A$7</f>
        <v>#REF!</v>
      </c>
      <c r="D6" s="679">
        <f>+RAWMATERIALS!G20+RAWMATERIALS!G33+RAWMATERIALS!G34</f>
        <v>88</v>
      </c>
      <c r="E6" s="681" t="e">
        <f>+#REF!</f>
        <v>#REF!</v>
      </c>
      <c r="F6" s="682" t="e">
        <f>+(E6/$A$6)*$A$5</f>
        <v>#REF!</v>
      </c>
      <c r="G6" s="682">
        <v>2974</v>
      </c>
      <c r="H6" s="682">
        <v>2922</v>
      </c>
      <c r="I6" s="804" t="e">
        <f t="shared" ref="I6:I16" si="0">+(F6/G6)*100</f>
        <v>#REF!</v>
      </c>
      <c r="J6" s="805" t="e">
        <f t="shared" ref="J6:J16" si="1">+(F6/H6)*100</f>
        <v>#REF!</v>
      </c>
      <c r="K6" s="818"/>
      <c r="L6" s="682"/>
      <c r="M6" s="682"/>
      <c r="N6" s="682"/>
      <c r="O6" s="682"/>
      <c r="P6" s="680"/>
      <c r="Q6" s="683"/>
    </row>
    <row r="7" spans="1:19" x14ac:dyDescent="0.2">
      <c r="A7" s="976" t="e">
        <f>+A5-A6</f>
        <v>#REF!</v>
      </c>
      <c r="B7" s="684" t="s">
        <v>499</v>
      </c>
      <c r="C7" s="850" t="e">
        <f>+#REF!</f>
        <v>#REF!</v>
      </c>
      <c r="D7" s="695" t="e">
        <f>+#REF!</f>
        <v>#REF!</v>
      </c>
      <c r="E7" s="696" t="e">
        <f>+#REF!</f>
        <v>#REF!</v>
      </c>
      <c r="F7" s="672" t="e">
        <f>+#REF!</f>
        <v>#REF!</v>
      </c>
      <c r="G7" s="672">
        <v>98</v>
      </c>
      <c r="H7" s="672">
        <v>96.6</v>
      </c>
      <c r="I7" s="798" t="e">
        <f t="shared" si="0"/>
        <v>#REF!</v>
      </c>
      <c r="J7" s="806" t="e">
        <f t="shared" si="1"/>
        <v>#REF!</v>
      </c>
      <c r="K7" s="819"/>
      <c r="L7" s="687"/>
      <c r="M7" s="687"/>
      <c r="N7" s="687"/>
      <c r="O7" s="687"/>
      <c r="P7" s="686"/>
      <c r="Q7" s="688"/>
    </row>
    <row r="8" spans="1:19" x14ac:dyDescent="0.2">
      <c r="A8" s="976"/>
      <c r="B8" s="684" t="s">
        <v>500</v>
      </c>
      <c r="C8" s="850" t="e">
        <f>+#REF!</f>
        <v>#REF!</v>
      </c>
      <c r="D8" s="695" t="e">
        <f>+#REF!</f>
        <v>#REF!</v>
      </c>
      <c r="E8" s="696" t="e">
        <f>+#REF!</f>
        <v>#REF!</v>
      </c>
      <c r="F8" s="672" t="e">
        <f>+#REF!</f>
        <v>#REF!</v>
      </c>
      <c r="G8" s="672">
        <v>96</v>
      </c>
      <c r="H8" s="672">
        <v>94.2</v>
      </c>
      <c r="I8" s="798" t="e">
        <f t="shared" si="0"/>
        <v>#REF!</v>
      </c>
      <c r="J8" s="806" t="e">
        <f t="shared" si="1"/>
        <v>#REF!</v>
      </c>
      <c r="K8" s="819"/>
      <c r="L8" s="687"/>
      <c r="M8" s="687"/>
      <c r="N8" s="687"/>
      <c r="O8" s="687"/>
      <c r="P8" s="686"/>
      <c r="Q8" s="688"/>
    </row>
    <row r="9" spans="1:19" ht="15" x14ac:dyDescent="0.2">
      <c r="A9" s="975">
        <v>31</v>
      </c>
      <c r="B9" s="689" t="s">
        <v>501</v>
      </c>
      <c r="C9" s="841" t="e">
        <f>+#REF!</f>
        <v>#REF!</v>
      </c>
      <c r="D9" s="778" t="e">
        <f>+D7+D8*(31.55/17.2)</f>
        <v>#REF!</v>
      </c>
      <c r="E9" s="691" t="e">
        <f>+#REF!</f>
        <v>#REF!</v>
      </c>
      <c r="F9" s="692" t="e">
        <f>+F7+F8*(31.55/17.2)</f>
        <v>#REF!</v>
      </c>
      <c r="G9" s="690">
        <f>+G7+G8*(31.55/17.2)</f>
        <v>274.09302325581393</v>
      </c>
      <c r="H9" s="690">
        <f>+H7+H8*(31.55/17.2)</f>
        <v>269.39127906976745</v>
      </c>
      <c r="I9" s="799" t="e">
        <f t="shared" si="0"/>
        <v>#REF!</v>
      </c>
      <c r="J9" s="823" t="e">
        <f t="shared" si="1"/>
        <v>#REF!</v>
      </c>
      <c r="K9" s="820"/>
      <c r="L9" s="692"/>
      <c r="M9" s="692"/>
      <c r="N9" s="692"/>
      <c r="O9" s="692"/>
      <c r="P9" s="691"/>
      <c r="Q9" s="693"/>
      <c r="S9" s="89">
        <f>1206*356</f>
        <v>429336</v>
      </c>
    </row>
    <row r="10" spans="1:19" x14ac:dyDescent="0.2">
      <c r="A10" s="976" t="e">
        <f>+A6</f>
        <v>#REF!</v>
      </c>
      <c r="B10" s="694" t="s">
        <v>502</v>
      </c>
      <c r="C10" s="981" t="e">
        <f>+(H10-E10)/$A$7</f>
        <v>#REF!</v>
      </c>
      <c r="D10" s="695">
        <f>+RAWMATERIALS!F45+RAWMATERIALS!F46+RAWMATERIALS!F48+RAWMATERIALS!F49+RAWMATERIALS!F50+RAWMATERIALS!F51+RAWMATERIALS!F52+RAWMATERIALS!F53</f>
        <v>279</v>
      </c>
      <c r="E10" s="672" t="e">
        <f>+#REF!</f>
        <v>#REF!</v>
      </c>
      <c r="F10" s="672" t="e">
        <f>+(E10/$A$6)*$A$5</f>
        <v>#REF!</v>
      </c>
      <c r="G10" s="672">
        <v>5716</v>
      </c>
      <c r="H10" s="672">
        <v>3973.6856228063984</v>
      </c>
      <c r="I10" s="798" t="e">
        <f t="shared" si="0"/>
        <v>#REF!</v>
      </c>
      <c r="J10" s="905" t="e">
        <f t="shared" si="1"/>
        <v>#REF!</v>
      </c>
      <c r="K10" s="821"/>
      <c r="L10" s="672"/>
      <c r="M10" s="672"/>
      <c r="N10" s="672"/>
      <c r="O10" s="672"/>
      <c r="P10" s="696"/>
      <c r="Q10" s="697"/>
    </row>
    <row r="11" spans="1:19" x14ac:dyDescent="0.2">
      <c r="A11" s="976" t="e">
        <f>+A9-A10</f>
        <v>#REF!</v>
      </c>
      <c r="B11" s="694" t="s">
        <v>503</v>
      </c>
      <c r="C11" s="981" t="e">
        <f>+(H11-E11)/$A$14</f>
        <v>#REF!</v>
      </c>
      <c r="D11" s="695">
        <f>+'RAWMATERIAL &amp; CONSTRAINTS'!N34</f>
        <v>14450</v>
      </c>
      <c r="E11" s="672">
        <f>+'RAWMATERIAL &amp; CONSTRAINTS'!O34</f>
        <v>193476</v>
      </c>
      <c r="F11" s="672" t="e">
        <f>+(E11/A13)*A12</f>
        <v>#REF!</v>
      </c>
      <c r="G11" s="672">
        <v>311702</v>
      </c>
      <c r="H11" s="672">
        <v>216691</v>
      </c>
      <c r="I11" s="798" t="e">
        <f t="shared" si="0"/>
        <v>#REF!</v>
      </c>
      <c r="J11" s="905" t="e">
        <f t="shared" si="1"/>
        <v>#REF!</v>
      </c>
      <c r="K11" s="821"/>
      <c r="L11" s="672"/>
      <c r="M11" s="672"/>
      <c r="N11" s="672"/>
      <c r="O11" s="672"/>
      <c r="P11" s="696"/>
      <c r="Q11" s="697"/>
    </row>
    <row r="12" spans="1:19" x14ac:dyDescent="0.2">
      <c r="A12" s="976">
        <v>31</v>
      </c>
      <c r="B12" s="698" t="s">
        <v>504</v>
      </c>
      <c r="C12" s="932" t="e">
        <f>+(H12-E12)/$A$14</f>
        <v>#REF!</v>
      </c>
      <c r="D12" s="695">
        <f>+'RAWMATERIAL &amp; CONSTRAINTS'!N35</f>
        <v>13936</v>
      </c>
      <c r="E12" s="672">
        <f>+'RAWMATERIAL &amp; CONSTRAINTS'!O35</f>
        <v>175747</v>
      </c>
      <c r="F12" s="672" t="e">
        <f>+(E12/$A$13)*$A$12</f>
        <v>#REF!</v>
      </c>
      <c r="G12" s="672">
        <v>311702</v>
      </c>
      <c r="H12" s="672">
        <v>216691</v>
      </c>
      <c r="I12" s="798" t="e">
        <f t="shared" si="0"/>
        <v>#REF!</v>
      </c>
      <c r="J12" s="905" t="e">
        <f t="shared" si="1"/>
        <v>#REF!</v>
      </c>
      <c r="K12" s="821"/>
      <c r="L12" s="672"/>
      <c r="M12" s="672"/>
      <c r="N12" s="672"/>
      <c r="O12" s="672"/>
      <c r="P12" s="696"/>
      <c r="Q12" s="697"/>
    </row>
    <row r="13" spans="1:19" ht="15" x14ac:dyDescent="0.2">
      <c r="A13" s="977" t="e">
        <f>A6</f>
        <v>#REF!</v>
      </c>
      <c r="B13" s="699" t="s">
        <v>505</v>
      </c>
      <c r="C13" s="842" t="e">
        <f>+#REF!</f>
        <v>#REF!</v>
      </c>
      <c r="D13" s="690" t="e">
        <f>+D14+D15</f>
        <v>#REF!</v>
      </c>
      <c r="E13" s="692" t="e">
        <f>+E14+E15</f>
        <v>#REF!</v>
      </c>
      <c r="F13" s="692" t="e">
        <f>+F14+F15</f>
        <v>#REF!</v>
      </c>
      <c r="G13" s="692">
        <f>+G14+G15</f>
        <v>262229</v>
      </c>
      <c r="H13" s="692">
        <f>+H14+H15</f>
        <v>182298</v>
      </c>
      <c r="I13" s="799" t="e">
        <f t="shared" si="0"/>
        <v>#REF!</v>
      </c>
      <c r="J13" s="904" t="e">
        <f t="shared" si="1"/>
        <v>#REF!</v>
      </c>
      <c r="K13" s="820"/>
      <c r="L13" s="692"/>
      <c r="M13" s="692"/>
      <c r="N13" s="692"/>
      <c r="O13" s="692"/>
      <c r="P13" s="691"/>
      <c r="Q13" s="693"/>
    </row>
    <row r="14" spans="1:19" x14ac:dyDescent="0.2">
      <c r="A14" s="969" t="e">
        <f>A12-A13</f>
        <v>#REF!</v>
      </c>
      <c r="B14" s="700" t="s">
        <v>506</v>
      </c>
      <c r="C14" s="982"/>
      <c r="D14" s="695" t="e">
        <f>+#REF!</f>
        <v>#REF!</v>
      </c>
      <c r="E14" s="672" t="e">
        <f>+#REF!</f>
        <v>#REF!</v>
      </c>
      <c r="F14" s="672" t="e">
        <f>#REF!</f>
        <v>#REF!</v>
      </c>
      <c r="G14" s="672">
        <v>131114.5</v>
      </c>
      <c r="H14" s="672">
        <v>91149</v>
      </c>
      <c r="I14" s="798" t="e">
        <f t="shared" si="0"/>
        <v>#REF!</v>
      </c>
      <c r="J14" s="905" t="e">
        <f t="shared" si="1"/>
        <v>#REF!</v>
      </c>
      <c r="K14" s="821"/>
      <c r="L14" s="672"/>
      <c r="M14" s="672"/>
      <c r="N14" s="672"/>
      <c r="O14" s="672"/>
      <c r="P14" s="696"/>
      <c r="Q14" s="697"/>
      <c r="S14" s="895">
        <f>+G32-H32</f>
        <v>60000</v>
      </c>
    </row>
    <row r="15" spans="1:19" ht="15" thickBot="1" x14ac:dyDescent="0.25">
      <c r="B15" s="701" t="s">
        <v>507</v>
      </c>
      <c r="C15" s="933"/>
      <c r="D15" s="702" t="e">
        <f>+#REF!</f>
        <v>#REF!</v>
      </c>
      <c r="E15" s="705" t="e">
        <f>+#REF!</f>
        <v>#REF!</v>
      </c>
      <c r="F15" s="705" t="e">
        <f>#REF!</f>
        <v>#REF!</v>
      </c>
      <c r="G15" s="672">
        <v>131114.5</v>
      </c>
      <c r="H15" s="705">
        <v>91149</v>
      </c>
      <c r="I15" s="809" t="e">
        <f t="shared" si="0"/>
        <v>#REF!</v>
      </c>
      <c r="J15" s="906" t="e">
        <f t="shared" si="1"/>
        <v>#REF!</v>
      </c>
      <c r="K15" s="822"/>
      <c r="L15" s="705"/>
      <c r="M15" s="705"/>
      <c r="N15" s="705"/>
      <c r="O15" s="705"/>
      <c r="P15" s="704"/>
      <c r="Q15" s="706"/>
    </row>
    <row r="16" spans="1:19" ht="15" x14ac:dyDescent="0.2">
      <c r="A16" s="969">
        <v>31</v>
      </c>
      <c r="B16" s="707" t="s">
        <v>508</v>
      </c>
      <c r="C16" s="934" t="e">
        <f>+#REF!</f>
        <v>#REF!</v>
      </c>
      <c r="D16" s="717" t="e">
        <f>+#REF!</f>
        <v>#REF!</v>
      </c>
      <c r="E16" s="719" t="e">
        <f>+#REF!</f>
        <v>#REF!</v>
      </c>
      <c r="F16" s="719" t="e">
        <f>+#REF!</f>
        <v>#REF!</v>
      </c>
      <c r="G16" s="719">
        <v>187000</v>
      </c>
      <c r="H16" s="719">
        <v>130000</v>
      </c>
      <c r="I16" s="888" t="e">
        <f t="shared" si="0"/>
        <v>#REF!</v>
      </c>
      <c r="J16" s="907" t="e">
        <f t="shared" si="1"/>
        <v>#REF!</v>
      </c>
      <c r="K16" s="824"/>
      <c r="L16" s="710"/>
      <c r="M16" s="710"/>
      <c r="N16" s="710"/>
      <c r="O16" s="710"/>
      <c r="P16" s="709"/>
      <c r="Q16" s="712"/>
    </row>
    <row r="17" spans="1:19" ht="15" x14ac:dyDescent="0.2">
      <c r="A17" s="977" t="e">
        <f>A6</f>
        <v>#REF!</v>
      </c>
      <c r="B17" s="700" t="s">
        <v>509</v>
      </c>
      <c r="C17" s="981"/>
      <c r="D17" s="695" t="e">
        <f>+#REF!</f>
        <v>#REF!</v>
      </c>
      <c r="E17" s="672" t="e">
        <f>+#REF!</f>
        <v>#REF!</v>
      </c>
      <c r="F17" s="672" t="e">
        <f>#REF!</f>
        <v>#REF!</v>
      </c>
      <c r="G17" s="719">
        <f>G16-G19-G20</f>
        <v>181500</v>
      </c>
      <c r="H17" s="672">
        <f>H16-H19-H20</f>
        <v>120450</v>
      </c>
      <c r="I17" s="798"/>
      <c r="J17" s="905"/>
      <c r="K17" s="801"/>
      <c r="L17" s="672"/>
      <c r="M17" s="672"/>
      <c r="N17" s="672"/>
      <c r="O17" s="672"/>
      <c r="P17" s="696"/>
      <c r="Q17" s="697"/>
      <c r="S17" s="895">
        <f>+G23-221000</f>
        <v>-50096</v>
      </c>
    </row>
    <row r="18" spans="1:19" x14ac:dyDescent="0.2">
      <c r="A18" s="969" t="e">
        <f>A16-A17</f>
        <v>#REF!</v>
      </c>
      <c r="B18" s="700" t="s">
        <v>510</v>
      </c>
      <c r="C18" s="1862"/>
      <c r="D18" s="1863"/>
      <c r="E18" s="1863"/>
      <c r="F18" s="1863"/>
      <c r="G18" s="1863"/>
      <c r="H18" s="1863"/>
      <c r="I18" s="1863"/>
      <c r="J18" s="1864"/>
      <c r="K18" s="801"/>
      <c r="L18" s="672"/>
      <c r="M18" s="672"/>
      <c r="N18" s="672"/>
      <c r="O18" s="672"/>
      <c r="P18" s="696"/>
      <c r="Q18" s="697"/>
    </row>
    <row r="19" spans="1:19" x14ac:dyDescent="0.2">
      <c r="B19" s="700" t="s">
        <v>511</v>
      </c>
      <c r="C19" s="982"/>
      <c r="D19" s="695">
        <f>+DAILYREPORT1!C19</f>
        <v>0</v>
      </c>
      <c r="E19" s="672">
        <f>+DAILYREPORT1!D19</f>
        <v>2039.5710000000001</v>
      </c>
      <c r="F19" s="672"/>
      <c r="G19" s="672">
        <v>5500</v>
      </c>
      <c r="H19" s="672">
        <v>9550</v>
      </c>
      <c r="I19" s="960">
        <f>+(F19/G19)*100</f>
        <v>0</v>
      </c>
      <c r="J19" s="961">
        <f>+(F19/H19)*100</f>
        <v>0</v>
      </c>
      <c r="K19" s="801"/>
      <c r="L19" s="672"/>
      <c r="M19" s="672"/>
      <c r="N19" s="672"/>
      <c r="O19" s="672"/>
      <c r="P19" s="696"/>
      <c r="Q19" s="697"/>
    </row>
    <row r="20" spans="1:19" ht="15" thickBot="1" x14ac:dyDescent="0.25">
      <c r="B20" s="701" t="s">
        <v>512</v>
      </c>
      <c r="C20" s="933"/>
      <c r="D20" s="702" t="e">
        <f>+#REF!</f>
        <v>#REF!</v>
      </c>
      <c r="E20" s="705" t="e">
        <f>+#REF!</f>
        <v>#REF!</v>
      </c>
      <c r="F20" s="705"/>
      <c r="G20" s="705">
        <v>0</v>
      </c>
      <c r="H20" s="705">
        <v>0</v>
      </c>
      <c r="I20" s="958" t="e">
        <f>+(F20/G20)*100</f>
        <v>#DIV/0!</v>
      </c>
      <c r="J20" s="959" t="e">
        <f>+(F20/H20)*100</f>
        <v>#DIV/0!</v>
      </c>
      <c r="K20" s="802"/>
      <c r="L20" s="705"/>
      <c r="M20" s="705"/>
      <c r="N20" s="705"/>
      <c r="O20" s="705"/>
      <c r="P20" s="703"/>
      <c r="Q20" s="706"/>
    </row>
    <row r="21" spans="1:19" ht="15" x14ac:dyDescent="0.2">
      <c r="B21" s="707" t="s">
        <v>244</v>
      </c>
      <c r="C21" s="934" t="e">
        <f>+#REF!</f>
        <v>#REF!</v>
      </c>
      <c r="D21" s="717" t="e">
        <f>+D24+D25</f>
        <v>#REF!</v>
      </c>
      <c r="E21" s="717" t="e">
        <f>+E24+E25</f>
        <v>#REF!</v>
      </c>
      <c r="F21" s="717" t="e">
        <f>+F24+F25</f>
        <v>#REF!</v>
      </c>
      <c r="G21" s="717">
        <f>G23</f>
        <v>170904</v>
      </c>
      <c r="H21" s="717">
        <f>H23</f>
        <v>113418</v>
      </c>
      <c r="I21" s="888" t="e">
        <f>+(F21/G21)*100</f>
        <v>#REF!</v>
      </c>
      <c r="J21" s="907" t="e">
        <f>+(F21/H21)*100</f>
        <v>#REF!</v>
      </c>
      <c r="K21" s="711"/>
      <c r="L21" s="710"/>
      <c r="M21" s="710"/>
      <c r="N21" s="710"/>
      <c r="O21" s="710"/>
      <c r="P21" s="709"/>
      <c r="Q21" s="712"/>
    </row>
    <row r="22" spans="1:19" x14ac:dyDescent="0.2">
      <c r="B22" s="694" t="s">
        <v>513</v>
      </c>
      <c r="C22" s="1862"/>
      <c r="D22" s="1863"/>
      <c r="E22" s="1863"/>
      <c r="F22" s="1863"/>
      <c r="G22" s="1863"/>
      <c r="H22" s="1863"/>
      <c r="I22" s="1863"/>
      <c r="J22" s="1864"/>
      <c r="K22" s="713"/>
      <c r="L22" s="672"/>
      <c r="M22" s="672"/>
      <c r="N22" s="672"/>
      <c r="O22" s="672"/>
      <c r="P22" s="696"/>
      <c r="Q22" s="697"/>
      <c r="S22" s="89">
        <v>220338.98305084746</v>
      </c>
    </row>
    <row r="23" spans="1:19" ht="15" x14ac:dyDescent="0.2">
      <c r="A23" s="969" t="s">
        <v>214</v>
      </c>
      <c r="B23" s="694" t="s">
        <v>514</v>
      </c>
      <c r="C23" s="981" t="e">
        <f>+C21</f>
        <v>#REF!</v>
      </c>
      <c r="D23" s="690" t="e">
        <f>+D24+D25</f>
        <v>#REF!</v>
      </c>
      <c r="E23" s="690" t="e">
        <f>+E24+E25</f>
        <v>#REF!</v>
      </c>
      <c r="F23" s="690" t="e">
        <f>+F24+F25</f>
        <v>#REF!</v>
      </c>
      <c r="G23" s="690">
        <f>+G24+G25</f>
        <v>170904</v>
      </c>
      <c r="H23" s="690">
        <f>+H24+H25</f>
        <v>113418</v>
      </c>
      <c r="I23" s="799" t="e">
        <f>+(F23/G23)*100</f>
        <v>#REF!</v>
      </c>
      <c r="J23" s="907" t="e">
        <f>+(F23/H23)*100</f>
        <v>#REF!</v>
      </c>
      <c r="K23" s="713"/>
      <c r="L23" s="672"/>
      <c r="M23" s="672"/>
      <c r="N23" s="672"/>
      <c r="O23" s="672"/>
      <c r="P23" s="696"/>
      <c r="Q23" s="697"/>
      <c r="S23" s="89">
        <f>+S22-151000</f>
        <v>69338.983050847455</v>
      </c>
    </row>
    <row r="24" spans="1:19" x14ac:dyDescent="0.2">
      <c r="B24" s="700" t="s">
        <v>515</v>
      </c>
      <c r="C24" s="981" t="e">
        <f>+#REF!</f>
        <v>#REF!</v>
      </c>
      <c r="D24" s="695" t="e">
        <f>+#REF!</f>
        <v>#REF!</v>
      </c>
      <c r="E24" s="672" t="e">
        <f>+#REF!</f>
        <v>#REF!</v>
      </c>
      <c r="F24" s="672" t="e">
        <f>#REF!</f>
        <v>#REF!</v>
      </c>
      <c r="G24" s="672">
        <v>108107</v>
      </c>
      <c r="H24" s="672">
        <v>80700</v>
      </c>
      <c r="I24" s="798" t="e">
        <f>+(F24/G24)*100</f>
        <v>#REF!</v>
      </c>
      <c r="J24" s="983" t="e">
        <f>+(F24/H24)*100</f>
        <v>#REF!</v>
      </c>
      <c r="K24" s="713"/>
      <c r="L24" s="672"/>
      <c r="M24" s="672"/>
      <c r="N24" s="672"/>
      <c r="O24" s="672"/>
      <c r="P24" s="696"/>
      <c r="Q24" s="697"/>
    </row>
    <row r="25" spans="1:19" x14ac:dyDescent="0.2">
      <c r="B25" s="700" t="s">
        <v>587</v>
      </c>
      <c r="C25" s="981" t="e">
        <f>+#REF!</f>
        <v>#REF!</v>
      </c>
      <c r="D25" s="695" t="e">
        <f>+#REF!</f>
        <v>#REF!</v>
      </c>
      <c r="E25" s="672" t="e">
        <f>+#REF!</f>
        <v>#REF!</v>
      </c>
      <c r="F25" s="672" t="e">
        <f>#REF!</f>
        <v>#REF!</v>
      </c>
      <c r="G25" s="672">
        <v>62797</v>
      </c>
      <c r="H25" s="672">
        <v>32718</v>
      </c>
      <c r="I25" s="798" t="e">
        <f>+(F25/G25)*100</f>
        <v>#REF!</v>
      </c>
      <c r="J25" s="983" t="e">
        <f>+(F25/H25)*100</f>
        <v>#REF!</v>
      </c>
      <c r="K25" s="713"/>
      <c r="L25" s="672"/>
      <c r="M25" s="672"/>
      <c r="N25" s="672"/>
      <c r="O25" s="672"/>
      <c r="P25" s="696"/>
      <c r="Q25" s="697"/>
    </row>
    <row r="26" spans="1:19" ht="15" customHeight="1" x14ac:dyDescent="0.2">
      <c r="B26" s="700" t="s">
        <v>588</v>
      </c>
      <c r="C26" s="1865"/>
      <c r="D26" s="1866"/>
      <c r="E26" s="1866"/>
      <c r="F26" s="1866"/>
      <c r="G26" s="1866"/>
      <c r="H26" s="1866"/>
      <c r="I26" s="1866"/>
      <c r="J26" s="1867"/>
      <c r="K26" s="713"/>
      <c r="L26" s="672"/>
      <c r="M26" s="672"/>
      <c r="N26" s="672"/>
      <c r="O26" s="672"/>
      <c r="P26" s="696"/>
      <c r="Q26" s="697"/>
      <c r="S26" s="89">
        <v>213252.95281261514</v>
      </c>
    </row>
    <row r="27" spans="1:19" ht="15.75" customHeight="1" thickBot="1" x14ac:dyDescent="0.25">
      <c r="B27" s="701" t="s">
        <v>516</v>
      </c>
      <c r="C27" s="1890"/>
      <c r="D27" s="1891"/>
      <c r="E27" s="1891"/>
      <c r="F27" s="1891"/>
      <c r="G27" s="1891"/>
      <c r="H27" s="1891"/>
      <c r="I27" s="1891"/>
      <c r="J27" s="1892"/>
      <c r="K27" s="714"/>
      <c r="L27" s="705"/>
      <c r="M27" s="705"/>
      <c r="N27" s="705"/>
      <c r="O27" s="705"/>
      <c r="P27" s="704"/>
      <c r="Q27" s="706"/>
      <c r="S27" s="89">
        <f>+S26-151000</f>
        <v>62252.952812615142</v>
      </c>
    </row>
    <row r="28" spans="1:19" x14ac:dyDescent="0.2">
      <c r="B28" s="678" t="s">
        <v>517</v>
      </c>
      <c r="C28" s="803" t="e">
        <f>+#REF!</f>
        <v>#REF!</v>
      </c>
      <c r="D28" s="803" t="e">
        <f>+#REF!</f>
        <v>#REF!</v>
      </c>
      <c r="E28" s="681" t="e">
        <f>+#REF!</f>
        <v>#REF!</v>
      </c>
      <c r="F28" s="681" t="e">
        <f>#REF!</f>
        <v>#REF!</v>
      </c>
      <c r="G28" s="682">
        <v>37500</v>
      </c>
      <c r="H28" s="682">
        <v>30000</v>
      </c>
      <c r="I28" s="804" t="e">
        <f>+(F28/G28)*100</f>
        <v>#REF!</v>
      </c>
      <c r="J28" s="805" t="e">
        <f>+(F28/H28)*100</f>
        <v>#REF!</v>
      </c>
      <c r="K28" s="800"/>
      <c r="L28" s="682"/>
      <c r="M28" s="682"/>
      <c r="N28" s="682"/>
      <c r="O28" s="682"/>
      <c r="P28" s="681"/>
      <c r="Q28" s="715"/>
    </row>
    <row r="29" spans="1:19" x14ac:dyDescent="0.2">
      <c r="B29" s="694" t="s">
        <v>518</v>
      </c>
      <c r="C29" s="774" t="e">
        <f>+#REF!</f>
        <v>#REF!</v>
      </c>
      <c r="D29" s="774" t="e">
        <f>+#REF!</f>
        <v>#REF!</v>
      </c>
      <c r="E29" s="696" t="e">
        <f>+#REF!</f>
        <v>#REF!</v>
      </c>
      <c r="F29" s="696" t="e">
        <f>#REF!</f>
        <v>#REF!</v>
      </c>
      <c r="G29" s="672">
        <v>71000</v>
      </c>
      <c r="H29" s="672">
        <v>47000</v>
      </c>
      <c r="I29" s="798" t="e">
        <f>+(F29/G29)*100</f>
        <v>#REF!</v>
      </c>
      <c r="J29" s="806" t="e">
        <f>+(F29/H29)*100</f>
        <v>#REF!</v>
      </c>
      <c r="K29" s="801"/>
      <c r="L29" s="672"/>
      <c r="M29" s="672"/>
      <c r="N29" s="672"/>
      <c r="O29" s="672"/>
      <c r="P29" s="696"/>
      <c r="Q29" s="697"/>
    </row>
    <row r="30" spans="1:19" x14ac:dyDescent="0.2">
      <c r="B30" s="694" t="s">
        <v>519</v>
      </c>
      <c r="C30" s="774" t="e">
        <f>+#REF!</f>
        <v>#REF!</v>
      </c>
      <c r="D30" s="774" t="e">
        <f>+#REF!</f>
        <v>#REF!</v>
      </c>
      <c r="E30" s="696" t="e">
        <f>+#REF!</f>
        <v>#REF!</v>
      </c>
      <c r="F30" s="696" t="e">
        <f>#REF!</f>
        <v>#REF!</v>
      </c>
      <c r="G30" s="672">
        <v>59500</v>
      </c>
      <c r="H30" s="672">
        <v>31000</v>
      </c>
      <c r="I30" s="798" t="e">
        <f>+(F30/G30)*100</f>
        <v>#REF!</v>
      </c>
      <c r="J30" s="806" t="e">
        <f>+(F30/H30)*100</f>
        <v>#REF!</v>
      </c>
      <c r="K30" s="801"/>
      <c r="L30" s="672"/>
      <c r="M30" s="672"/>
      <c r="N30" s="672"/>
      <c r="O30" s="672"/>
      <c r="P30" s="696"/>
      <c r="Q30" s="697"/>
      <c r="S30" s="895">
        <f>+H32-G32</f>
        <v>-60000</v>
      </c>
    </row>
    <row r="31" spans="1:19" ht="15.75" customHeight="1" thickBot="1" x14ac:dyDescent="0.25">
      <c r="B31" s="716" t="s">
        <v>520</v>
      </c>
      <c r="C31" s="1893"/>
      <c r="D31" s="1894"/>
      <c r="E31" s="1894"/>
      <c r="F31" s="1894"/>
      <c r="G31" s="1894"/>
      <c r="H31" s="1894"/>
      <c r="I31" s="1894"/>
      <c r="J31" s="1895"/>
      <c r="K31" s="802"/>
      <c r="L31" s="705"/>
      <c r="M31" s="705"/>
      <c r="N31" s="705"/>
      <c r="O31" s="705"/>
      <c r="P31" s="704"/>
      <c r="Q31" s="706"/>
    </row>
    <row r="32" spans="1:19" ht="15" x14ac:dyDescent="0.2">
      <c r="B32" s="707" t="s">
        <v>212</v>
      </c>
      <c r="C32" s="708" t="e">
        <f>+#REF!</f>
        <v>#REF!</v>
      </c>
      <c r="D32" s="708" t="e">
        <f>+D33+D34</f>
        <v>#REF!</v>
      </c>
      <c r="E32" s="708" t="e">
        <f>+E33+E34</f>
        <v>#REF!</v>
      </c>
      <c r="F32" s="708" t="e">
        <f>+F33+F34</f>
        <v>#REF!</v>
      </c>
      <c r="G32" s="708">
        <f>+G33+G34</f>
        <v>168000</v>
      </c>
      <c r="H32" s="708">
        <f>+H33+H34</f>
        <v>108000</v>
      </c>
      <c r="I32" s="710" t="e">
        <f>+(F32/G32)*100</f>
        <v>#REF!</v>
      </c>
      <c r="J32" s="935" t="e">
        <f>+(F32/H32)*100</f>
        <v>#REF!</v>
      </c>
      <c r="K32" s="807"/>
      <c r="L32" s="719"/>
      <c r="M32" s="719"/>
      <c r="N32" s="719"/>
      <c r="O32" s="719"/>
      <c r="P32" s="718"/>
      <c r="Q32" s="721"/>
    </row>
    <row r="33" spans="2:19" ht="15" x14ac:dyDescent="0.2">
      <c r="B33" s="700" t="s">
        <v>521</v>
      </c>
      <c r="C33" s="841" t="e">
        <f t="shared" ref="C33:H33" si="2">+C28+C29+C30</f>
        <v>#REF!</v>
      </c>
      <c r="D33" s="695" t="e">
        <f t="shared" si="2"/>
        <v>#REF!</v>
      </c>
      <c r="E33" s="672" t="e">
        <f t="shared" si="2"/>
        <v>#REF!</v>
      </c>
      <c r="F33" s="672" t="e">
        <f t="shared" si="2"/>
        <v>#REF!</v>
      </c>
      <c r="G33" s="672">
        <f t="shared" si="2"/>
        <v>168000</v>
      </c>
      <c r="H33" s="672">
        <f t="shared" si="2"/>
        <v>108000</v>
      </c>
      <c r="I33" s="798" t="e">
        <f>+(F33/G33)*100</f>
        <v>#REF!</v>
      </c>
      <c r="J33" s="806" t="e">
        <f>+(F33/H33)*100</f>
        <v>#REF!</v>
      </c>
      <c r="K33" s="808"/>
      <c r="L33" s="692"/>
      <c r="M33" s="692"/>
      <c r="N33" s="692"/>
      <c r="O33" s="692"/>
      <c r="P33" s="691"/>
      <c r="Q33" s="693"/>
      <c r="S33" s="89">
        <f>339-250</f>
        <v>89</v>
      </c>
    </row>
    <row r="34" spans="2:19" ht="15" thickBot="1" x14ac:dyDescent="0.25">
      <c r="B34" s="701" t="s">
        <v>522</v>
      </c>
      <c r="C34" s="950" t="e">
        <f>+C32-C33</f>
        <v>#REF!</v>
      </c>
      <c r="D34" s="702" t="e">
        <f>+#REF!</f>
        <v>#REF!</v>
      </c>
      <c r="E34" s="704" t="e">
        <f>+#REF!</f>
        <v>#REF!</v>
      </c>
      <c r="F34" s="704" t="e">
        <f>+#REF!</f>
        <v>#REF!</v>
      </c>
      <c r="G34" s="705">
        <v>0</v>
      </c>
      <c r="H34" s="705">
        <v>0</v>
      </c>
      <c r="I34" s="809" t="e">
        <f>+(F34/G34)*100</f>
        <v>#REF!</v>
      </c>
      <c r="J34" s="810" t="e">
        <f>+(F34/H34)*100</f>
        <v>#REF!</v>
      </c>
      <c r="K34" s="801"/>
      <c r="L34" s="672"/>
      <c r="M34" s="672"/>
      <c r="N34" s="672"/>
      <c r="O34" s="672"/>
      <c r="P34" s="696"/>
      <c r="Q34" s="697"/>
    </row>
    <row r="35" spans="2:19" ht="30" customHeight="1" thickBot="1" x14ac:dyDescent="0.25">
      <c r="B35" s="1913" t="s">
        <v>523</v>
      </c>
      <c r="C35" s="1871" t="s">
        <v>312</v>
      </c>
      <c r="D35" s="1896"/>
      <c r="E35" s="1896"/>
      <c r="F35" s="1896"/>
      <c r="G35" s="1896"/>
      <c r="H35" s="1896"/>
      <c r="I35" s="1896"/>
      <c r="J35" s="1897"/>
      <c r="K35" s="1908" t="s">
        <v>309</v>
      </c>
      <c r="L35" s="1909"/>
      <c r="M35" s="1909"/>
      <c r="N35" s="1909"/>
      <c r="O35" s="1909"/>
      <c r="P35" s="1909"/>
      <c r="Q35" s="1910"/>
    </row>
    <row r="36" spans="2:19" ht="45.75" thickBot="1" x14ac:dyDescent="0.25">
      <c r="B36" s="1914"/>
      <c r="C36" s="949" t="s">
        <v>604</v>
      </c>
      <c r="D36" s="949" t="s">
        <v>52</v>
      </c>
      <c r="E36" s="936" t="s">
        <v>492</v>
      </c>
      <c r="F36" s="1898" t="s">
        <v>493</v>
      </c>
      <c r="G36" s="1899"/>
      <c r="H36" s="1898" t="s">
        <v>524</v>
      </c>
      <c r="I36" s="1899"/>
      <c r="J36" s="937" t="s">
        <v>204</v>
      </c>
      <c r="K36" s="725" t="s">
        <v>52</v>
      </c>
      <c r="L36" s="723" t="s">
        <v>492</v>
      </c>
      <c r="M36" s="1915" t="s">
        <v>493</v>
      </c>
      <c r="N36" s="1916"/>
      <c r="O36" s="1915" t="s">
        <v>524</v>
      </c>
      <c r="P36" s="1916"/>
      <c r="Q36" s="724" t="s">
        <v>204</v>
      </c>
    </row>
    <row r="37" spans="2:19" ht="15" customHeight="1" x14ac:dyDescent="0.2">
      <c r="B37" s="684" t="s">
        <v>517</v>
      </c>
      <c r="C37" s="951" t="e">
        <f>+(H37-E37)/$A$7</f>
        <v>#REF!</v>
      </c>
      <c r="D37" s="951" t="e">
        <f>+#REF!</f>
        <v>#REF!</v>
      </c>
      <c r="E37" s="952" t="e">
        <f>+#REF!</f>
        <v>#REF!</v>
      </c>
      <c r="F37" s="1917" t="e">
        <f>+#REF!</f>
        <v>#REF!</v>
      </c>
      <c r="G37" s="1918"/>
      <c r="H37" s="1902">
        <v>30000</v>
      </c>
      <c r="I37" s="1903"/>
      <c r="J37" s="797" t="e">
        <f>+(F37/H37)*100</f>
        <v>#REF!</v>
      </c>
      <c r="K37" s="727"/>
      <c r="L37" s="728"/>
      <c r="M37" s="1919"/>
      <c r="N37" s="1920"/>
      <c r="O37" s="1919"/>
      <c r="P37" s="1920"/>
      <c r="Q37" s="729"/>
    </row>
    <row r="38" spans="2:19" x14ac:dyDescent="0.2">
      <c r="B38" s="694" t="s">
        <v>518</v>
      </c>
      <c r="C38" s="951" t="e">
        <f>+(H38-E38)/$A$7</f>
        <v>#REF!</v>
      </c>
      <c r="D38" s="953" t="e">
        <f>+#REF!</f>
        <v>#REF!</v>
      </c>
      <c r="E38" s="954" t="e">
        <f>+#REF!</f>
        <v>#REF!</v>
      </c>
      <c r="F38" s="1900" t="e">
        <f>+#REF!</f>
        <v>#REF!</v>
      </c>
      <c r="G38" s="1901"/>
      <c r="H38" s="1902">
        <v>47000</v>
      </c>
      <c r="I38" s="1903"/>
      <c r="J38" s="806" t="e">
        <f>+(F38/H38)*100</f>
        <v>#REF!</v>
      </c>
      <c r="K38" s="730"/>
      <c r="L38" s="731"/>
      <c r="M38" s="1886"/>
      <c r="N38" s="1887"/>
      <c r="O38" s="1886"/>
      <c r="P38" s="1887"/>
      <c r="Q38" s="732"/>
    </row>
    <row r="39" spans="2:19" ht="15" x14ac:dyDescent="0.2">
      <c r="B39" s="694" t="s">
        <v>519</v>
      </c>
      <c r="C39" s="951" t="e">
        <f>+(H39-E39)/$A$7</f>
        <v>#REF!</v>
      </c>
      <c r="D39" s="953" t="e">
        <f>+#REF!</f>
        <v>#REF!</v>
      </c>
      <c r="E39" s="954" t="e">
        <f>+#REF!</f>
        <v>#REF!</v>
      </c>
      <c r="F39" s="1900" t="e">
        <f>+#REF!</f>
        <v>#REF!</v>
      </c>
      <c r="G39" s="1901"/>
      <c r="H39" s="1902">
        <v>31000</v>
      </c>
      <c r="I39" s="1903"/>
      <c r="J39" s="806" t="e">
        <f>+(F39/H39)*100</f>
        <v>#REF!</v>
      </c>
      <c r="K39" s="733"/>
      <c r="L39" s="734"/>
      <c r="M39" s="1886"/>
      <c r="N39" s="1887"/>
      <c r="O39" s="1886"/>
      <c r="P39" s="1887"/>
      <c r="Q39" s="735"/>
    </row>
    <row r="40" spans="2:19" ht="15" x14ac:dyDescent="0.2">
      <c r="B40" s="694" t="s">
        <v>520</v>
      </c>
      <c r="C40" s="1862"/>
      <c r="D40" s="1863"/>
      <c r="E40" s="1863"/>
      <c r="F40" s="1863"/>
      <c r="G40" s="1863"/>
      <c r="H40" s="1863"/>
      <c r="I40" s="1863"/>
      <c r="J40" s="1864"/>
      <c r="K40" s="733"/>
      <c r="L40" s="734"/>
      <c r="M40" s="736"/>
      <c r="N40" s="737"/>
      <c r="O40" s="736"/>
      <c r="P40" s="737"/>
      <c r="Q40" s="735"/>
    </row>
    <row r="41" spans="2:19" ht="15" x14ac:dyDescent="0.2">
      <c r="B41" s="699" t="s">
        <v>521</v>
      </c>
      <c r="C41" s="842" t="e">
        <f>+C37+C38+C39</f>
        <v>#REF!</v>
      </c>
      <c r="D41" s="690" t="e">
        <f>SUM(D37:D40)</f>
        <v>#REF!</v>
      </c>
      <c r="E41" s="692" t="e">
        <f>+E37+E38+E39</f>
        <v>#REF!</v>
      </c>
      <c r="F41" s="1888" t="e">
        <f>+F37+F38+F39</f>
        <v>#REF!</v>
      </c>
      <c r="G41" s="1889"/>
      <c r="H41" s="1888">
        <f>++H37+H38+H39</f>
        <v>108000</v>
      </c>
      <c r="I41" s="1889"/>
      <c r="J41" s="823" t="e">
        <f>+(F41/H41)*100</f>
        <v>#REF!</v>
      </c>
      <c r="K41" s="739"/>
      <c r="L41" s="671"/>
      <c r="M41" s="1886"/>
      <c r="N41" s="1887"/>
      <c r="O41" s="1886"/>
      <c r="P41" s="1887"/>
      <c r="Q41" s="740"/>
    </row>
    <row r="42" spans="2:19" x14ac:dyDescent="0.2">
      <c r="B42" s="694" t="s">
        <v>525</v>
      </c>
      <c r="C42" s="951" t="e">
        <f>+(H42-E42)/$A$7</f>
        <v>#REF!</v>
      </c>
      <c r="D42" s="695">
        <f>+DAILYREPORT1!C44</f>
        <v>0</v>
      </c>
      <c r="E42" s="672">
        <f>+DAILYREPORT1!D44</f>
        <v>22035.5</v>
      </c>
      <c r="F42" s="1925">
        <f>+DAILYREPORT1!E44</f>
        <v>22035.5</v>
      </c>
      <c r="G42" s="1926"/>
      <c r="H42" s="1925">
        <v>21000</v>
      </c>
      <c r="I42" s="1926"/>
      <c r="J42" s="806">
        <f>+(F42/H42)*100</f>
        <v>104.93095238095238</v>
      </c>
      <c r="K42" s="739"/>
      <c r="L42" s="671"/>
      <c r="M42" s="1886"/>
      <c r="N42" s="1887"/>
      <c r="O42" s="1886"/>
      <c r="P42" s="1887"/>
      <c r="Q42" s="740"/>
    </row>
    <row r="43" spans="2:19" x14ac:dyDescent="0.2">
      <c r="B43" s="694" t="s">
        <v>526</v>
      </c>
      <c r="C43" s="951" t="e">
        <f>+(H43-E43)/$A$7</f>
        <v>#REF!</v>
      </c>
      <c r="D43" s="695">
        <f>+DAILYREPORT1!C45</f>
        <v>0</v>
      </c>
      <c r="E43" s="672">
        <f>+DAILYREPORT1!D45</f>
        <v>3877.8</v>
      </c>
      <c r="F43" s="1925">
        <f>+DAILYREPORT1!E45</f>
        <v>3877.8</v>
      </c>
      <c r="G43" s="1926"/>
      <c r="H43" s="1925">
        <v>0</v>
      </c>
      <c r="I43" s="1926"/>
      <c r="J43" s="806" t="e">
        <f>+(F43/H43)*100</f>
        <v>#DIV/0!</v>
      </c>
      <c r="K43" s="739"/>
      <c r="L43" s="671"/>
      <c r="M43" s="736"/>
      <c r="N43" s="737"/>
      <c r="O43" s="736"/>
      <c r="P43" s="737"/>
      <c r="Q43" s="740"/>
      <c r="S43" s="89">
        <f>253-150</f>
        <v>103</v>
      </c>
    </row>
    <row r="44" spans="2:19" x14ac:dyDescent="0.2">
      <c r="B44" s="694" t="s">
        <v>527</v>
      </c>
      <c r="C44" s="1865"/>
      <c r="D44" s="1866"/>
      <c r="E44" s="1866"/>
      <c r="F44" s="1866"/>
      <c r="G44" s="1866"/>
      <c r="H44" s="1866"/>
      <c r="I44" s="1866"/>
      <c r="J44" s="1867"/>
      <c r="K44" s="739"/>
      <c r="L44" s="671"/>
      <c r="M44" s="1886"/>
      <c r="N44" s="1887"/>
      <c r="O44" s="1886"/>
      <c r="P44" s="1887"/>
      <c r="Q44" s="740"/>
    </row>
    <row r="45" spans="2:19" x14ac:dyDescent="0.2">
      <c r="B45" s="694" t="s">
        <v>528</v>
      </c>
      <c r="C45" s="1868"/>
      <c r="D45" s="1869"/>
      <c r="E45" s="1869"/>
      <c r="F45" s="1869"/>
      <c r="G45" s="1869"/>
      <c r="H45" s="1869"/>
      <c r="I45" s="1869"/>
      <c r="J45" s="1870"/>
      <c r="K45" s="739"/>
      <c r="L45" s="671"/>
      <c r="M45" s="736"/>
      <c r="N45" s="737"/>
      <c r="O45" s="736"/>
      <c r="P45" s="737"/>
      <c r="Q45" s="740"/>
    </row>
    <row r="46" spans="2:19" ht="15" x14ac:dyDescent="0.2">
      <c r="B46" s="699" t="s">
        <v>522</v>
      </c>
      <c r="C46" s="690" t="e">
        <f>+C42+C43</f>
        <v>#REF!</v>
      </c>
      <c r="D46" s="690">
        <f>+D42+D43</f>
        <v>0</v>
      </c>
      <c r="E46" s="692">
        <f>+E42+E43</f>
        <v>25913.3</v>
      </c>
      <c r="F46" s="1929">
        <f>+F42+F43</f>
        <v>25913.3</v>
      </c>
      <c r="G46" s="1930"/>
      <c r="H46" s="1929">
        <f>+H42+H43</f>
        <v>21000</v>
      </c>
      <c r="I46" s="1930"/>
      <c r="J46" s="823">
        <f>+(F46/H46)*100</f>
        <v>123.39666666666666</v>
      </c>
      <c r="K46" s="741"/>
      <c r="L46" s="742"/>
      <c r="M46" s="1886"/>
      <c r="N46" s="1887"/>
      <c r="O46" s="1886"/>
      <c r="P46" s="1887"/>
      <c r="Q46" s="743"/>
    </row>
    <row r="47" spans="2:19" ht="15.75" thickBot="1" x14ac:dyDescent="0.25">
      <c r="B47" s="812" t="s">
        <v>12</v>
      </c>
      <c r="C47" s="811" t="e">
        <f>+C41+C46</f>
        <v>#REF!</v>
      </c>
      <c r="D47" s="811" t="e">
        <f>+D41+D46</f>
        <v>#REF!</v>
      </c>
      <c r="E47" s="927" t="e">
        <f>+E41+E46</f>
        <v>#REF!</v>
      </c>
      <c r="F47" s="1921" t="e">
        <f>+F41+F46</f>
        <v>#REF!</v>
      </c>
      <c r="G47" s="1922"/>
      <c r="H47" s="1921">
        <f>+H41+H46</f>
        <v>129000</v>
      </c>
      <c r="I47" s="1922"/>
      <c r="J47" s="889" t="e">
        <f>+(F47/H47)*100</f>
        <v>#REF!</v>
      </c>
      <c r="K47" s="744"/>
      <c r="L47" s="745"/>
      <c r="M47" s="1923"/>
      <c r="N47" s="1924"/>
      <c r="O47" s="1923"/>
      <c r="P47" s="1924"/>
      <c r="Q47" s="746"/>
    </row>
    <row r="48" spans="2:19" ht="14.25" customHeight="1" thickBot="1" x14ac:dyDescent="0.25">
      <c r="B48" s="1906" t="s">
        <v>529</v>
      </c>
      <c r="C48" s="1859" t="s">
        <v>312</v>
      </c>
      <c r="D48" s="1860"/>
      <c r="E48" s="1860"/>
      <c r="F48" s="1860"/>
      <c r="G48" s="1860"/>
      <c r="H48" s="1860"/>
      <c r="I48" s="1860"/>
      <c r="J48" s="1861"/>
      <c r="K48" s="1909" t="s">
        <v>309</v>
      </c>
      <c r="L48" s="1909"/>
      <c r="M48" s="1909"/>
      <c r="N48" s="1909"/>
      <c r="O48" s="1909"/>
      <c r="P48" s="1909"/>
      <c r="Q48" s="1910"/>
    </row>
    <row r="49" spans="2:17" ht="16.5" customHeight="1" thickBot="1" x14ac:dyDescent="0.25">
      <c r="B49" s="1939"/>
      <c r="C49" s="1871" t="s">
        <v>637</v>
      </c>
      <c r="D49" s="1872"/>
      <c r="E49" s="938" t="s">
        <v>530</v>
      </c>
      <c r="F49" s="1940" t="s">
        <v>52</v>
      </c>
      <c r="G49" s="1872"/>
      <c r="H49" s="1940" t="s">
        <v>531</v>
      </c>
      <c r="I49" s="1896"/>
      <c r="J49" s="1897"/>
      <c r="K49" s="747" t="s">
        <v>637</v>
      </c>
      <c r="L49" s="747" t="s">
        <v>530</v>
      </c>
      <c r="M49" s="1941" t="s">
        <v>52</v>
      </c>
      <c r="N49" s="1942"/>
      <c r="O49" s="1941" t="s">
        <v>531</v>
      </c>
      <c r="P49" s="1943"/>
      <c r="Q49" s="1944"/>
    </row>
    <row r="50" spans="2:17" ht="14.25" customHeight="1" x14ac:dyDescent="0.2">
      <c r="B50" s="684" t="s">
        <v>517</v>
      </c>
      <c r="C50" s="1873" t="e">
        <f>+#REF!</f>
        <v>#REF!</v>
      </c>
      <c r="D50" s="1874"/>
      <c r="E50" s="955" t="e">
        <f>+#REF!</f>
        <v>#REF!</v>
      </c>
      <c r="F50" s="1879" t="e">
        <f>+#REF!</f>
        <v>#REF!</v>
      </c>
      <c r="G50" s="1880"/>
      <c r="H50" s="1879" t="e">
        <f>+F50-E50</f>
        <v>#REF!</v>
      </c>
      <c r="I50" s="1881"/>
      <c r="J50" s="1882"/>
      <c r="K50" s="748"/>
      <c r="L50" s="749"/>
      <c r="M50" s="1927"/>
      <c r="N50" s="1928"/>
      <c r="O50" s="1927"/>
      <c r="P50" s="1945"/>
      <c r="Q50" s="1946"/>
    </row>
    <row r="51" spans="2:17" ht="15" customHeight="1" x14ac:dyDescent="0.2">
      <c r="B51" s="694" t="s">
        <v>518</v>
      </c>
      <c r="C51" s="1875" t="e">
        <f>+#REF!</f>
        <v>#REF!</v>
      </c>
      <c r="D51" s="1876"/>
      <c r="E51" s="696" t="e">
        <f>+#REF!</f>
        <v>#REF!</v>
      </c>
      <c r="F51" s="1931" t="e">
        <f>+#REF!</f>
        <v>#REF!</v>
      </c>
      <c r="G51" s="1876"/>
      <c r="H51" s="1931" t="e">
        <f>+F51-E51</f>
        <v>#REF!</v>
      </c>
      <c r="I51" s="1947"/>
      <c r="J51" s="1948"/>
      <c r="K51" s="750"/>
      <c r="L51" s="130"/>
      <c r="M51" s="1935"/>
      <c r="N51" s="1936"/>
      <c r="O51" s="1935"/>
      <c r="P51" s="1937"/>
      <c r="Q51" s="1938"/>
    </row>
    <row r="52" spans="2:17" ht="15" customHeight="1" x14ac:dyDescent="0.2">
      <c r="B52" s="694" t="s">
        <v>519</v>
      </c>
      <c r="C52" s="1875" t="e">
        <f>+#REF!</f>
        <v>#REF!</v>
      </c>
      <c r="D52" s="1876"/>
      <c r="E52" s="696" t="e">
        <f>+#REF!</f>
        <v>#REF!</v>
      </c>
      <c r="F52" s="1931" t="e">
        <f>+#REF!</f>
        <v>#REF!</v>
      </c>
      <c r="G52" s="1876"/>
      <c r="H52" s="1931" t="e">
        <f>+F52-E52</f>
        <v>#REF!</v>
      </c>
      <c r="I52" s="1947"/>
      <c r="J52" s="1948"/>
      <c r="K52" s="750"/>
      <c r="L52" s="130"/>
      <c r="M52" s="1935"/>
      <c r="N52" s="1936"/>
      <c r="O52" s="1935"/>
      <c r="P52" s="1937"/>
      <c r="Q52" s="1938"/>
    </row>
    <row r="53" spans="2:17" x14ac:dyDescent="0.2">
      <c r="B53" s="694" t="s">
        <v>520</v>
      </c>
      <c r="C53" s="1862"/>
      <c r="D53" s="1863"/>
      <c r="E53" s="1863"/>
      <c r="F53" s="1863"/>
      <c r="G53" s="1863"/>
      <c r="H53" s="1863"/>
      <c r="I53" s="1863"/>
      <c r="J53" s="1864"/>
      <c r="K53" s="750"/>
      <c r="L53" s="130"/>
      <c r="M53" s="751"/>
      <c r="N53" s="752"/>
      <c r="O53" s="751"/>
      <c r="P53" s="753"/>
      <c r="Q53" s="754"/>
    </row>
    <row r="54" spans="2:17" ht="15" x14ac:dyDescent="0.25">
      <c r="B54" s="699" t="s">
        <v>521</v>
      </c>
      <c r="C54" s="1877" t="e">
        <f>+C50+C51+C52</f>
        <v>#REF!</v>
      </c>
      <c r="D54" s="1878"/>
      <c r="E54" s="691" t="e">
        <f>+E50+E51+E52</f>
        <v>#REF!</v>
      </c>
      <c r="F54" s="1949" t="e">
        <f>+F50+F51+F52</f>
        <v>#REF!</v>
      </c>
      <c r="G54" s="1878"/>
      <c r="H54" s="1883" t="e">
        <f>+F54-E54</f>
        <v>#REF!</v>
      </c>
      <c r="I54" s="1884"/>
      <c r="J54" s="1885"/>
      <c r="K54" s="750"/>
      <c r="L54" s="130"/>
      <c r="M54" s="1935"/>
      <c r="N54" s="1936"/>
      <c r="O54" s="1935"/>
      <c r="P54" s="1937"/>
      <c r="Q54" s="1938"/>
    </row>
    <row r="55" spans="2:17" ht="15" customHeight="1" x14ac:dyDescent="0.2">
      <c r="B55" s="694" t="s">
        <v>525</v>
      </c>
      <c r="C55" s="1875" t="e">
        <f>+#REF!</f>
        <v>#REF!</v>
      </c>
      <c r="D55" s="1876"/>
      <c r="E55" s="696" t="e">
        <f>+#REF!</f>
        <v>#REF!</v>
      </c>
      <c r="F55" s="1931" t="e">
        <f>+#REF!</f>
        <v>#REF!</v>
      </c>
      <c r="G55" s="1876"/>
      <c r="H55" s="1932" t="e">
        <f>+F55-E55</f>
        <v>#REF!</v>
      </c>
      <c r="I55" s="1933"/>
      <c r="J55" s="1934"/>
      <c r="K55" s="750"/>
      <c r="L55" s="130"/>
      <c r="M55" s="1935"/>
      <c r="N55" s="1936"/>
      <c r="O55" s="1935"/>
      <c r="P55" s="1937"/>
      <c r="Q55" s="1938"/>
    </row>
    <row r="56" spans="2:17" ht="15" customHeight="1" x14ac:dyDescent="0.2">
      <c r="B56" s="694" t="s">
        <v>532</v>
      </c>
      <c r="C56" s="1963" t="e">
        <f>+C59-C55</f>
        <v>#REF!</v>
      </c>
      <c r="D56" s="1962"/>
      <c r="E56" s="672" t="e">
        <f>+E59-E55</f>
        <v>#REF!</v>
      </c>
      <c r="F56" s="1961" t="e">
        <f>+F59-F55</f>
        <v>#REF!</v>
      </c>
      <c r="G56" s="1962"/>
      <c r="H56" s="1932" t="e">
        <f>+F56-E56</f>
        <v>#REF!</v>
      </c>
      <c r="I56" s="1933"/>
      <c r="J56" s="1934"/>
      <c r="K56" s="750"/>
      <c r="L56" s="130"/>
      <c r="M56" s="751"/>
      <c r="N56" s="752"/>
      <c r="O56" s="751"/>
      <c r="P56" s="753"/>
      <c r="Q56" s="754"/>
    </row>
    <row r="57" spans="2:17" x14ac:dyDescent="0.2">
      <c r="B57" s="694" t="s">
        <v>527</v>
      </c>
      <c r="C57" s="1865"/>
      <c r="D57" s="1866"/>
      <c r="E57" s="1866"/>
      <c r="F57" s="1866"/>
      <c r="G57" s="1866"/>
      <c r="H57" s="1866"/>
      <c r="I57" s="1866"/>
      <c r="J57" s="1867"/>
      <c r="K57" s="750"/>
      <c r="L57" s="130"/>
      <c r="M57" s="1935"/>
      <c r="N57" s="1936"/>
      <c r="O57" s="1935"/>
      <c r="P57" s="1937"/>
      <c r="Q57" s="1938"/>
    </row>
    <row r="58" spans="2:17" x14ac:dyDescent="0.2">
      <c r="B58" s="694" t="s">
        <v>528</v>
      </c>
      <c r="C58" s="1868"/>
      <c r="D58" s="1869"/>
      <c r="E58" s="1869"/>
      <c r="F58" s="1869"/>
      <c r="G58" s="1869"/>
      <c r="H58" s="1869"/>
      <c r="I58" s="1869"/>
      <c r="J58" s="1870"/>
      <c r="K58" s="750"/>
      <c r="L58" s="130"/>
      <c r="M58" s="751"/>
      <c r="N58" s="752"/>
      <c r="O58" s="751"/>
      <c r="P58" s="753"/>
      <c r="Q58" s="754"/>
    </row>
    <row r="59" spans="2:17" ht="15" x14ac:dyDescent="0.25">
      <c r="B59" s="699" t="s">
        <v>522</v>
      </c>
      <c r="C59" s="1877" t="e">
        <f>+#REF!</f>
        <v>#REF!</v>
      </c>
      <c r="D59" s="1878"/>
      <c r="E59" s="691" t="e">
        <f>+#REF!</f>
        <v>#REF!</v>
      </c>
      <c r="F59" s="1949" t="e">
        <f>+#REF!</f>
        <v>#REF!</v>
      </c>
      <c r="G59" s="1878"/>
      <c r="H59" s="1883" t="e">
        <f>+F59-E59</f>
        <v>#REF!</v>
      </c>
      <c r="I59" s="1884"/>
      <c r="J59" s="1885"/>
      <c r="K59" s="750"/>
      <c r="L59" s="130"/>
      <c r="M59" s="1935"/>
      <c r="N59" s="1936"/>
      <c r="O59" s="1935"/>
      <c r="P59" s="1937"/>
      <c r="Q59" s="1938"/>
    </row>
    <row r="60" spans="2:17" ht="15.75" thickBot="1" x14ac:dyDescent="0.3">
      <c r="B60" s="812" t="s">
        <v>12</v>
      </c>
      <c r="C60" s="1964" t="e">
        <f>+C54+C59</f>
        <v>#REF!</v>
      </c>
      <c r="D60" s="1953"/>
      <c r="E60" s="956" t="e">
        <f>+E54+E59</f>
        <v>#REF!</v>
      </c>
      <c r="F60" s="1952" t="e">
        <f>+F54+F59</f>
        <v>#REF!</v>
      </c>
      <c r="G60" s="1953"/>
      <c r="H60" s="1954" t="e">
        <f>+F60-E60</f>
        <v>#REF!</v>
      </c>
      <c r="I60" s="1955"/>
      <c r="J60" s="1956"/>
      <c r="K60" s="755"/>
      <c r="L60" s="756"/>
      <c r="M60" s="1957"/>
      <c r="N60" s="1958"/>
      <c r="O60" s="1957"/>
      <c r="P60" s="1959"/>
      <c r="Q60" s="1960"/>
    </row>
    <row r="61" spans="2:17" x14ac:dyDescent="0.2">
      <c r="B61" s="1950"/>
      <c r="C61" s="1951"/>
      <c r="D61" s="1951"/>
      <c r="E61" s="1951"/>
      <c r="F61" s="1951"/>
      <c r="G61" s="1951"/>
      <c r="H61" s="1951"/>
      <c r="I61" s="1951"/>
      <c r="J61" s="1951"/>
      <c r="K61" s="1950"/>
      <c r="L61" s="1950"/>
      <c r="M61" s="1950"/>
      <c r="N61" s="1950"/>
      <c r="O61" s="1950"/>
      <c r="P61" s="1950"/>
      <c r="Q61" s="1950"/>
    </row>
  </sheetData>
  <mergeCells count="101">
    <mergeCell ref="M54:N54"/>
    <mergeCell ref="O54:Q54"/>
    <mergeCell ref="M57:N57"/>
    <mergeCell ref="O57:Q57"/>
    <mergeCell ref="H56:J56"/>
    <mergeCell ref="B61:Q61"/>
    <mergeCell ref="F59:G59"/>
    <mergeCell ref="H59:J59"/>
    <mergeCell ref="M59:N59"/>
    <mergeCell ref="O59:Q59"/>
    <mergeCell ref="F60:G60"/>
    <mergeCell ref="H60:J60"/>
    <mergeCell ref="M60:N60"/>
    <mergeCell ref="O60:Q60"/>
    <mergeCell ref="F56:G56"/>
    <mergeCell ref="C55:D55"/>
    <mergeCell ref="C56:D56"/>
    <mergeCell ref="C59:D59"/>
    <mergeCell ref="C60:D60"/>
    <mergeCell ref="M50:N50"/>
    <mergeCell ref="F46:G46"/>
    <mergeCell ref="H46:I46"/>
    <mergeCell ref="M46:N46"/>
    <mergeCell ref="F55:G55"/>
    <mergeCell ref="H55:J55"/>
    <mergeCell ref="M55:N55"/>
    <mergeCell ref="O55:Q55"/>
    <mergeCell ref="B48:B49"/>
    <mergeCell ref="K48:Q48"/>
    <mergeCell ref="F49:G49"/>
    <mergeCell ref="H49:J49"/>
    <mergeCell ref="M49:N49"/>
    <mergeCell ref="O49:Q49"/>
    <mergeCell ref="O50:Q50"/>
    <mergeCell ref="F51:G51"/>
    <mergeCell ref="H51:J51"/>
    <mergeCell ref="M51:N51"/>
    <mergeCell ref="O51:Q51"/>
    <mergeCell ref="F52:G52"/>
    <mergeCell ref="H52:J52"/>
    <mergeCell ref="M52:N52"/>
    <mergeCell ref="O52:Q52"/>
    <mergeCell ref="F54:G54"/>
    <mergeCell ref="O46:P46"/>
    <mergeCell ref="F47:G47"/>
    <mergeCell ref="H47:I47"/>
    <mergeCell ref="M47:N47"/>
    <mergeCell ref="O47:P47"/>
    <mergeCell ref="M42:N42"/>
    <mergeCell ref="O42:P42"/>
    <mergeCell ref="M44:N44"/>
    <mergeCell ref="O44:P44"/>
    <mergeCell ref="F43:G43"/>
    <mergeCell ref="H43:I43"/>
    <mergeCell ref="C44:J45"/>
    <mergeCell ref="F42:G42"/>
    <mergeCell ref="H42:I42"/>
    <mergeCell ref="B2:Q2"/>
    <mergeCell ref="K3:Q3"/>
    <mergeCell ref="B4:B5"/>
    <mergeCell ref="K4:Q4"/>
    <mergeCell ref="D4:J4"/>
    <mergeCell ref="M38:N38"/>
    <mergeCell ref="O38:P38"/>
    <mergeCell ref="B35:B36"/>
    <mergeCell ref="K35:Q35"/>
    <mergeCell ref="M36:N36"/>
    <mergeCell ref="O36:P36"/>
    <mergeCell ref="F37:G37"/>
    <mergeCell ref="H37:I37"/>
    <mergeCell ref="M37:N37"/>
    <mergeCell ref="O37:P37"/>
    <mergeCell ref="M39:N39"/>
    <mergeCell ref="O39:P39"/>
    <mergeCell ref="F41:G41"/>
    <mergeCell ref="H41:I41"/>
    <mergeCell ref="M41:N41"/>
    <mergeCell ref="O41:P41"/>
    <mergeCell ref="C18:J18"/>
    <mergeCell ref="C22:J22"/>
    <mergeCell ref="C26:J27"/>
    <mergeCell ref="C31:J31"/>
    <mergeCell ref="C40:J40"/>
    <mergeCell ref="C35:J35"/>
    <mergeCell ref="F36:G36"/>
    <mergeCell ref="H36:I36"/>
    <mergeCell ref="F38:G38"/>
    <mergeCell ref="H38:I38"/>
    <mergeCell ref="F39:G39"/>
    <mergeCell ref="H39:I39"/>
    <mergeCell ref="C48:J48"/>
    <mergeCell ref="C53:J53"/>
    <mergeCell ref="C57:J58"/>
    <mergeCell ref="C49:D49"/>
    <mergeCell ref="C50:D50"/>
    <mergeCell ref="C51:D51"/>
    <mergeCell ref="C52:D52"/>
    <mergeCell ref="C54:D54"/>
    <mergeCell ref="F50:G50"/>
    <mergeCell ref="H50:J50"/>
    <mergeCell ref="H54:J54"/>
  </mergeCells>
  <conditionalFormatting sqref="J6:J16">
    <cfRule type="cellIs" dxfId="9" priority="8" operator="lessThan">
      <formula>90</formula>
    </cfRule>
  </conditionalFormatting>
  <conditionalFormatting sqref="J20">
    <cfRule type="cellIs" dxfId="8" priority="18" operator="greaterThan">
      <formula>99.9</formula>
    </cfRule>
  </conditionalFormatting>
  <conditionalFormatting sqref="J20:J21">
    <cfRule type="cellIs" dxfId="7" priority="7" operator="lessThan">
      <formula>90</formula>
    </cfRule>
  </conditionalFormatting>
  <conditionalFormatting sqref="J23:J25">
    <cfRule type="cellIs" dxfId="6" priority="6" operator="lessThan">
      <formula>90</formula>
    </cfRule>
  </conditionalFormatting>
  <conditionalFormatting sqref="J28:J30">
    <cfRule type="cellIs" dxfId="5" priority="5" operator="lessThan">
      <formula>90</formula>
    </cfRule>
  </conditionalFormatting>
  <conditionalFormatting sqref="J32:J34">
    <cfRule type="cellIs" dxfId="4" priority="4" operator="lessThan">
      <formula>90</formula>
    </cfRule>
  </conditionalFormatting>
  <conditionalFormatting sqref="J37:J39">
    <cfRule type="cellIs" dxfId="3" priority="3" operator="lessThan">
      <formula>90</formula>
    </cfRule>
  </conditionalFormatting>
  <conditionalFormatting sqref="J41:J43">
    <cfRule type="cellIs" dxfId="2" priority="2" operator="lessThan">
      <formula>90</formula>
    </cfRule>
  </conditionalFormatting>
  <conditionalFormatting sqref="J46:J47">
    <cfRule type="cellIs" dxfId="1" priority="1" operator="lessThan">
      <formula>90</formula>
    </cfRule>
  </conditionalFormatting>
  <pageMargins left="0.36" right="0.21" top="0.22" bottom="0" header="0" footer="0"/>
  <pageSetup paperSize="9" scale="6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>
    <pageSetUpPr fitToPage="1"/>
  </sheetPr>
  <dimension ref="A1:P120"/>
  <sheetViews>
    <sheetView workbookViewId="0">
      <selection activeCell="C76" sqref="C76"/>
    </sheetView>
  </sheetViews>
  <sheetFormatPr defaultColWidth="9.140625" defaultRowHeight="14.25" x14ac:dyDescent="0.2"/>
  <cols>
    <col min="1" max="1" width="4.28515625" style="89" customWidth="1"/>
    <col min="2" max="2" width="49.7109375" style="89" customWidth="1"/>
    <col min="3" max="3" width="19" style="89" customWidth="1"/>
    <col min="4" max="4" width="14.140625" style="89" bestFit="1" customWidth="1"/>
    <col min="5" max="5" width="18" style="89" bestFit="1" customWidth="1"/>
    <col min="6" max="6" width="13.140625" style="89" bestFit="1" customWidth="1"/>
    <col min="7" max="7" width="18" style="89" bestFit="1" customWidth="1"/>
    <col min="8" max="8" width="16.140625" style="89" customWidth="1"/>
    <col min="9" max="9" width="14.140625" style="89" bestFit="1" customWidth="1"/>
    <col min="10" max="10" width="13.7109375" style="89" bestFit="1" customWidth="1"/>
    <col min="11" max="11" width="15.28515625" style="89" customWidth="1"/>
    <col min="12" max="12" width="18.5703125" style="89" customWidth="1"/>
    <col min="13" max="16384" width="9.140625" style="89"/>
  </cols>
  <sheetData>
    <row r="1" spans="1:12" ht="24.95" customHeight="1" x14ac:dyDescent="0.2"/>
    <row r="2" spans="1:12" ht="15" x14ac:dyDescent="0.25">
      <c r="A2" s="969"/>
      <c r="B2" s="1904" t="s">
        <v>591</v>
      </c>
      <c r="C2" s="1904"/>
      <c r="D2" s="1904"/>
      <c r="E2" s="1904"/>
      <c r="F2" s="1904"/>
      <c r="G2" s="1904"/>
      <c r="H2" s="1904"/>
      <c r="I2" s="1904"/>
      <c r="J2" s="1904"/>
      <c r="K2" s="1904"/>
      <c r="L2" s="1904"/>
    </row>
    <row r="3" spans="1:12" ht="15.75" thickBot="1" x14ac:dyDescent="0.3">
      <c r="A3" s="969"/>
      <c r="B3" s="838">
        <f ca="1">+'DIC REPORT-1'!B3</f>
        <v>46173</v>
      </c>
      <c r="C3" s="673"/>
      <c r="D3" s="117"/>
      <c r="E3" s="674"/>
      <c r="F3" s="674"/>
      <c r="G3" s="674"/>
      <c r="H3" s="757"/>
      <c r="I3" s="673"/>
    </row>
    <row r="4" spans="1:12" ht="15.75" thickBot="1" x14ac:dyDescent="0.25">
      <c r="A4" s="969"/>
      <c r="B4" s="1906" t="s">
        <v>533</v>
      </c>
      <c r="C4" s="1965" t="s">
        <v>534</v>
      </c>
      <c r="D4" s="1967" t="s">
        <v>312</v>
      </c>
      <c r="E4" s="1968"/>
      <c r="F4" s="1968"/>
      <c r="G4" s="1969"/>
      <c r="H4" s="1912"/>
      <c r="I4" s="1972" t="s">
        <v>309</v>
      </c>
      <c r="J4" s="1973"/>
      <c r="K4" s="1973"/>
      <c r="L4" s="1974"/>
    </row>
    <row r="5" spans="1:12" ht="15.75" thickBot="1" x14ac:dyDescent="0.25">
      <c r="A5" s="969"/>
      <c r="B5" s="1939"/>
      <c r="C5" s="1966"/>
      <c r="D5" s="758" t="s">
        <v>494</v>
      </c>
      <c r="E5" s="723" t="s">
        <v>52</v>
      </c>
      <c r="F5" s="759" t="s">
        <v>492</v>
      </c>
      <c r="G5" s="724" t="s">
        <v>589</v>
      </c>
      <c r="H5" s="1970"/>
      <c r="I5" s="760" t="s">
        <v>494</v>
      </c>
      <c r="J5" s="761" t="s">
        <v>52</v>
      </c>
      <c r="K5" s="762" t="s">
        <v>492</v>
      </c>
      <c r="L5" s="724" t="s">
        <v>589</v>
      </c>
    </row>
    <row r="6" spans="1:12" ht="15" x14ac:dyDescent="0.2">
      <c r="A6" s="969"/>
      <c r="B6" s="763" t="s">
        <v>48</v>
      </c>
      <c r="C6" s="848"/>
      <c r="D6" s="764"/>
      <c r="E6" s="1981"/>
      <c r="F6" s="1982"/>
      <c r="G6" s="765"/>
      <c r="H6" s="1970"/>
      <c r="I6" s="679"/>
      <c r="J6" s="682"/>
      <c r="K6" s="765"/>
      <c r="L6" s="765"/>
    </row>
    <row r="7" spans="1:12" ht="15" x14ac:dyDescent="0.2">
      <c r="A7" s="969"/>
      <c r="B7" s="766" t="s">
        <v>535</v>
      </c>
      <c r="C7" s="849" t="s">
        <v>536</v>
      </c>
      <c r="D7" s="825">
        <v>69.5</v>
      </c>
      <c r="E7" s="836" t="e">
        <f>+#REF!</f>
        <v>#REF!</v>
      </c>
      <c r="F7" s="837" t="e">
        <f>+#REF!</f>
        <v>#REF!</v>
      </c>
      <c r="G7" s="918">
        <v>69.5</v>
      </c>
      <c r="H7" s="1970"/>
      <c r="I7" s="767"/>
      <c r="J7" s="742"/>
      <c r="K7" s="743"/>
      <c r="L7" s="743"/>
    </row>
    <row r="8" spans="1:12" ht="15" x14ac:dyDescent="0.2">
      <c r="A8" s="969"/>
      <c r="B8" s="726" t="s">
        <v>537</v>
      </c>
      <c r="C8" s="842" t="s">
        <v>536</v>
      </c>
      <c r="D8" s="826">
        <v>89</v>
      </c>
      <c r="E8" s="839" t="e">
        <f>+#REF!</f>
        <v>#REF!</v>
      </c>
      <c r="F8" s="891" t="e">
        <f>+#REF!</f>
        <v>#REF!</v>
      </c>
      <c r="G8" s="831">
        <v>90.000034832161219</v>
      </c>
      <c r="H8" s="1970"/>
      <c r="I8" s="1975"/>
      <c r="J8" s="1977"/>
      <c r="K8" s="1979"/>
      <c r="L8" s="1979"/>
    </row>
    <row r="9" spans="1:12" ht="15.75" thickBot="1" x14ac:dyDescent="0.25">
      <c r="A9" s="969"/>
      <c r="B9" s="769" t="s">
        <v>538</v>
      </c>
      <c r="C9" s="844" t="s">
        <v>536</v>
      </c>
      <c r="D9" s="827">
        <v>95</v>
      </c>
      <c r="E9" s="892" t="e">
        <f>+#REF!</f>
        <v>#REF!</v>
      </c>
      <c r="F9" s="893" t="e">
        <f>+#REF!</f>
        <v>#REF!</v>
      </c>
      <c r="G9" s="832">
        <v>94.999999528548855</v>
      </c>
      <c r="H9" s="1970"/>
      <c r="I9" s="1976"/>
      <c r="J9" s="1978"/>
      <c r="K9" s="1980"/>
      <c r="L9" s="1980"/>
    </row>
    <row r="10" spans="1:12" ht="15.75" thickTop="1" x14ac:dyDescent="0.2">
      <c r="A10" s="969"/>
      <c r="B10" s="771" t="s">
        <v>27</v>
      </c>
      <c r="C10" s="850"/>
      <c r="D10" s="772"/>
      <c r="E10" s="1981"/>
      <c r="F10" s="1982"/>
      <c r="G10" s="773"/>
      <c r="H10" s="1970"/>
      <c r="I10" s="685"/>
      <c r="J10" s="687"/>
      <c r="K10" s="773"/>
      <c r="L10" s="773"/>
    </row>
    <row r="11" spans="1:12" ht="15" customHeight="1" x14ac:dyDescent="0.2">
      <c r="A11" s="969"/>
      <c r="B11" s="726" t="s">
        <v>539</v>
      </c>
      <c r="C11" s="841" t="s">
        <v>540</v>
      </c>
      <c r="D11" s="774">
        <v>356</v>
      </c>
      <c r="E11" s="696" t="e">
        <f>+#REF!</f>
        <v>#REF!</v>
      </c>
      <c r="F11" s="672" t="e">
        <f>+#REF!</f>
        <v>#REF!</v>
      </c>
      <c r="G11" s="768">
        <v>370.2948745365959</v>
      </c>
      <c r="H11" s="1970"/>
      <c r="I11" s="695"/>
      <c r="J11" s="672"/>
      <c r="K11" s="768"/>
      <c r="L11" s="768"/>
    </row>
    <row r="12" spans="1:12" ht="15" customHeight="1" x14ac:dyDescent="0.2">
      <c r="A12" s="969"/>
      <c r="B12" s="726" t="s">
        <v>541</v>
      </c>
      <c r="C12" s="841" t="s">
        <v>540</v>
      </c>
      <c r="D12" s="774">
        <v>29</v>
      </c>
      <c r="E12" s="696" t="e">
        <f>+#REF!</f>
        <v>#REF!</v>
      </c>
      <c r="F12" s="672" t="e">
        <f>+#REF!</f>
        <v>#REF!</v>
      </c>
      <c r="G12" s="768">
        <v>31.739807429734888</v>
      </c>
      <c r="H12" s="1970"/>
      <c r="I12" s="695"/>
      <c r="J12" s="672"/>
      <c r="K12" s="768"/>
      <c r="L12" s="768"/>
    </row>
    <row r="13" spans="1:12" ht="15" customHeight="1" x14ac:dyDescent="0.2">
      <c r="A13" s="969"/>
      <c r="B13" s="726" t="s">
        <v>542</v>
      </c>
      <c r="C13" s="841" t="s">
        <v>540</v>
      </c>
      <c r="D13" s="774">
        <v>140</v>
      </c>
      <c r="E13" s="696" t="e">
        <f>+#REF!</f>
        <v>#REF!</v>
      </c>
      <c r="F13" s="672" t="e">
        <f>+#REF!</f>
        <v>#REF!</v>
      </c>
      <c r="G13" s="768">
        <v>125.22346949578851</v>
      </c>
      <c r="H13" s="1970"/>
      <c r="I13" s="695"/>
      <c r="J13" s="672"/>
      <c r="K13" s="768"/>
      <c r="L13" s="768"/>
    </row>
    <row r="14" spans="1:12" ht="15" customHeight="1" x14ac:dyDescent="0.2">
      <c r="A14" s="969"/>
      <c r="B14" s="726" t="s">
        <v>543</v>
      </c>
      <c r="C14" s="841" t="s">
        <v>540</v>
      </c>
      <c r="D14" s="690">
        <v>525</v>
      </c>
      <c r="E14" s="690" t="e">
        <f>SUM(E11:E13)</f>
        <v>#REF!</v>
      </c>
      <c r="F14" s="692" t="e">
        <f>SUM(F11:F13)</f>
        <v>#REF!</v>
      </c>
      <c r="G14" s="692">
        <v>527.25815146211926</v>
      </c>
      <c r="H14" s="1970"/>
      <c r="I14" s="713"/>
      <c r="J14" s="672"/>
      <c r="K14" s="768"/>
      <c r="L14" s="768"/>
    </row>
    <row r="15" spans="1:12" ht="15" x14ac:dyDescent="0.2">
      <c r="A15" s="969"/>
      <c r="B15" s="726" t="s">
        <v>544</v>
      </c>
      <c r="C15" s="842" t="s">
        <v>536</v>
      </c>
      <c r="D15" s="826">
        <v>70</v>
      </c>
      <c r="E15" s="839" t="e">
        <f>+#REF!</f>
        <v>#REF!</v>
      </c>
      <c r="F15" s="845" t="e">
        <f>+#REF!</f>
        <v>#REF!</v>
      </c>
      <c r="G15" s="845">
        <v>71.411523930400705</v>
      </c>
      <c r="H15" s="1970"/>
      <c r="I15" s="713"/>
      <c r="J15" s="672"/>
      <c r="K15" s="768"/>
      <c r="L15" s="768"/>
    </row>
    <row r="16" spans="1:12" ht="15" x14ac:dyDescent="0.2">
      <c r="A16" s="969"/>
      <c r="B16" s="726" t="s">
        <v>629</v>
      </c>
      <c r="C16" s="842" t="s">
        <v>536</v>
      </c>
      <c r="D16" s="826">
        <v>17</v>
      </c>
      <c r="E16" s="839">
        <f>DAILYREPORT1!$I$72</f>
        <v>20</v>
      </c>
      <c r="F16" s="845">
        <f>DAILYREPORT1!$J$72</f>
        <v>17.949838730928828</v>
      </c>
      <c r="G16" s="891">
        <v>15.252491699957524</v>
      </c>
      <c r="H16" s="1970"/>
      <c r="I16" s="713"/>
      <c r="J16" s="672"/>
      <c r="K16" s="768"/>
      <c r="L16" s="768"/>
    </row>
    <row r="17" spans="1:12" ht="15" customHeight="1" x14ac:dyDescent="0.2">
      <c r="A17" s="969"/>
      <c r="B17" s="726" t="s">
        <v>545</v>
      </c>
      <c r="C17" s="841" t="s">
        <v>546</v>
      </c>
      <c r="D17" s="834">
        <v>2.3940000000000001</v>
      </c>
      <c r="E17" s="840" t="e">
        <f>+#REF!</f>
        <v>#REF!</v>
      </c>
      <c r="F17" s="846" t="e">
        <f>+#REF!</f>
        <v>#REF!</v>
      </c>
      <c r="G17" s="835">
        <v>2.2569068708027897</v>
      </c>
      <c r="H17" s="1970"/>
      <c r="I17" s="713"/>
      <c r="J17" s="672"/>
      <c r="K17" s="768"/>
      <c r="L17" s="768"/>
    </row>
    <row r="18" spans="1:12" ht="15" customHeight="1" x14ac:dyDescent="0.2">
      <c r="A18" s="969"/>
      <c r="B18" s="726" t="s">
        <v>547</v>
      </c>
      <c r="C18" s="841" t="s">
        <v>540</v>
      </c>
      <c r="D18" s="774">
        <v>357</v>
      </c>
      <c r="E18" s="696" t="e">
        <f>+#REF!</f>
        <v>#REF!</v>
      </c>
      <c r="F18" s="696" t="e">
        <f>+#REF!</f>
        <v>#REF!</v>
      </c>
      <c r="G18" s="768">
        <v>326.93618405151739</v>
      </c>
      <c r="H18" s="1970"/>
      <c r="I18" s="713"/>
      <c r="J18" s="672"/>
      <c r="K18" s="768"/>
      <c r="L18" s="768"/>
    </row>
    <row r="19" spans="1:12" ht="15" x14ac:dyDescent="0.2">
      <c r="A19" s="969"/>
      <c r="B19" s="726" t="s">
        <v>548</v>
      </c>
      <c r="C19" s="842" t="s">
        <v>536</v>
      </c>
      <c r="D19" s="890">
        <v>0.53</v>
      </c>
      <c r="E19" s="847" t="e">
        <f>+#REF!</f>
        <v>#REF!</v>
      </c>
      <c r="F19" s="847" t="e">
        <f>+#REF!</f>
        <v>#REF!</v>
      </c>
      <c r="G19" s="833">
        <v>0.65666267640358345</v>
      </c>
      <c r="H19" s="1970"/>
      <c r="I19" s="713"/>
      <c r="J19" s="672"/>
      <c r="K19" s="768"/>
      <c r="L19" s="768"/>
    </row>
    <row r="20" spans="1:12" ht="15" x14ac:dyDescent="0.2">
      <c r="A20" s="969"/>
      <c r="B20" s="726" t="s">
        <v>549</v>
      </c>
      <c r="C20" s="842" t="s">
        <v>536</v>
      </c>
      <c r="D20" s="894">
        <v>0.05</v>
      </c>
      <c r="E20" s="920">
        <f>D105</f>
        <v>4.8000000000000001E-2</v>
      </c>
      <c r="F20" s="920">
        <f>E105</f>
        <v>5.1900000000000002E-2</v>
      </c>
      <c r="G20" s="919">
        <v>5.1900000000000002E-2</v>
      </c>
      <c r="H20" s="1970"/>
      <c r="I20" s="713"/>
      <c r="J20" s="672"/>
      <c r="K20" s="768"/>
      <c r="L20" s="768"/>
    </row>
    <row r="21" spans="1:12" ht="15" customHeight="1" x14ac:dyDescent="0.2">
      <c r="A21" s="969"/>
      <c r="B21" s="726" t="s">
        <v>550</v>
      </c>
      <c r="C21" s="843" t="s">
        <v>551</v>
      </c>
      <c r="D21" s="774">
        <v>1200</v>
      </c>
      <c r="E21" s="696" t="e">
        <f>+#REF!</f>
        <v>#REF!</v>
      </c>
      <c r="F21" s="672" t="e">
        <f>+#REF!</f>
        <v>#REF!</v>
      </c>
      <c r="G21" s="768">
        <v>1148.1420014839052</v>
      </c>
      <c r="H21" s="1970"/>
      <c r="I21" s="713"/>
      <c r="J21" s="672"/>
      <c r="K21" s="768"/>
      <c r="L21" s="768"/>
    </row>
    <row r="22" spans="1:12" ht="15" customHeight="1" x14ac:dyDescent="0.2">
      <c r="A22" s="969"/>
      <c r="B22" s="726" t="s">
        <v>552</v>
      </c>
      <c r="C22" s="843" t="s">
        <v>551</v>
      </c>
      <c r="D22" s="774">
        <v>1500</v>
      </c>
      <c r="E22" s="696" t="e">
        <f>+#REF!</f>
        <v>#REF!</v>
      </c>
      <c r="F22" s="672" t="e">
        <f>+#REF!</f>
        <v>#REF!</v>
      </c>
      <c r="G22" s="768">
        <v>1513.2473418984798</v>
      </c>
      <c r="H22" s="1970"/>
      <c r="I22" s="713"/>
      <c r="J22" s="672"/>
      <c r="K22" s="768"/>
      <c r="L22" s="768"/>
    </row>
    <row r="23" spans="1:12" ht="15.75" thickBot="1" x14ac:dyDescent="0.25">
      <c r="A23" s="969"/>
      <c r="B23" s="851" t="s">
        <v>660</v>
      </c>
      <c r="C23" s="852" t="s">
        <v>536</v>
      </c>
      <c r="D23" s="853">
        <v>15</v>
      </c>
      <c r="E23" s="854">
        <f>DAILYREPORT1!E76</f>
        <v>605.89</v>
      </c>
      <c r="F23" s="855">
        <f>DAILYREPORT1!E78</f>
        <v>555.29</v>
      </c>
      <c r="G23" s="856">
        <v>18.571999999999999</v>
      </c>
      <c r="H23" s="1970"/>
      <c r="I23" s="775"/>
      <c r="J23" s="776"/>
      <c r="K23" s="770"/>
      <c r="L23" s="770"/>
    </row>
    <row r="24" spans="1:12" ht="15.75" thickTop="1" x14ac:dyDescent="0.2">
      <c r="A24" s="969"/>
      <c r="B24" s="859" t="s">
        <v>47</v>
      </c>
      <c r="C24" s="860"/>
      <c r="D24" s="681"/>
      <c r="E24" s="1983"/>
      <c r="F24" s="1983"/>
      <c r="G24" s="765"/>
      <c r="H24" s="1970"/>
      <c r="I24" s="777"/>
      <c r="J24" s="687"/>
      <c r="K24" s="773"/>
      <c r="L24" s="773"/>
    </row>
    <row r="25" spans="1:12" ht="15" x14ac:dyDescent="0.2">
      <c r="B25" s="861" t="s">
        <v>553</v>
      </c>
      <c r="C25" s="858" t="s">
        <v>554</v>
      </c>
      <c r="D25" s="691">
        <v>1096</v>
      </c>
      <c r="E25" s="691" t="e">
        <f>+E26+E27</f>
        <v>#REF!</v>
      </c>
      <c r="F25" s="691" t="e">
        <f>+F26+F27</f>
        <v>#REF!</v>
      </c>
      <c r="G25" s="691">
        <v>1096</v>
      </c>
      <c r="H25" s="1970"/>
      <c r="I25" s="722"/>
      <c r="J25" s="692"/>
      <c r="K25" s="779"/>
      <c r="L25" s="779"/>
    </row>
    <row r="26" spans="1:12" ht="15" customHeight="1" x14ac:dyDescent="0.2">
      <c r="B26" s="862" t="s">
        <v>555</v>
      </c>
      <c r="C26" s="857" t="s">
        <v>554</v>
      </c>
      <c r="D26" s="696">
        <v>1062</v>
      </c>
      <c r="E26" s="696" t="e">
        <f>+#REF!</f>
        <v>#REF!</v>
      </c>
      <c r="F26" s="672" t="e">
        <f>+#REF!</f>
        <v>#REF!</v>
      </c>
      <c r="G26" s="768">
        <v>1055.92</v>
      </c>
      <c r="H26" s="1970"/>
      <c r="I26" s="713"/>
      <c r="J26" s="672"/>
      <c r="K26" s="768"/>
      <c r="L26" s="768"/>
    </row>
    <row r="27" spans="1:12" ht="15" customHeight="1" x14ac:dyDescent="0.2">
      <c r="B27" s="862" t="s">
        <v>556</v>
      </c>
      <c r="C27" s="857" t="s">
        <v>554</v>
      </c>
      <c r="D27" s="696">
        <v>34</v>
      </c>
      <c r="E27" s="696" t="e">
        <f>+#REF!</f>
        <v>#REF!</v>
      </c>
      <c r="F27" s="672" t="e">
        <f>+#REF!</f>
        <v>#REF!</v>
      </c>
      <c r="G27" s="768">
        <v>40.08</v>
      </c>
      <c r="H27" s="1970"/>
      <c r="I27" s="713"/>
      <c r="J27" s="672"/>
      <c r="K27" s="768"/>
      <c r="L27" s="768"/>
    </row>
    <row r="28" spans="1:12" ht="15" customHeight="1" x14ac:dyDescent="0.2">
      <c r="B28" s="863" t="s">
        <v>557</v>
      </c>
      <c r="C28" s="857" t="s">
        <v>554</v>
      </c>
      <c r="D28" s="839">
        <v>70</v>
      </c>
      <c r="E28" s="839" t="e">
        <f>+#REF!</f>
        <v>#REF!</v>
      </c>
      <c r="F28" s="845" t="e">
        <f>+#REF!</f>
        <v>#REF!</v>
      </c>
      <c r="G28" s="831">
        <v>68.290000000000006</v>
      </c>
      <c r="H28" s="1970"/>
      <c r="I28" s="713"/>
      <c r="J28" s="672"/>
      <c r="K28" s="768"/>
      <c r="L28" s="768"/>
    </row>
    <row r="29" spans="1:12" ht="15.75" customHeight="1" thickBot="1" x14ac:dyDescent="0.25">
      <c r="B29" s="863" t="s">
        <v>558</v>
      </c>
      <c r="C29" s="857" t="s">
        <v>559</v>
      </c>
      <c r="D29" s="839">
        <v>124</v>
      </c>
      <c r="E29" s="839" t="e">
        <f>+#REF!</f>
        <v>#REF!</v>
      </c>
      <c r="F29" s="845" t="e">
        <f>+#REF!</f>
        <v>#REF!</v>
      </c>
      <c r="G29" s="831">
        <v>158.78</v>
      </c>
      <c r="H29" s="1970"/>
      <c r="I29" s="775"/>
      <c r="J29" s="776"/>
      <c r="K29" s="770"/>
      <c r="L29" s="770"/>
    </row>
    <row r="30" spans="1:12" ht="15.75" customHeight="1" thickTop="1" x14ac:dyDescent="0.2">
      <c r="B30" s="863" t="s">
        <v>560</v>
      </c>
      <c r="C30" s="672" t="s">
        <v>561</v>
      </c>
      <c r="D30" s="847">
        <v>6.15</v>
      </c>
      <c r="E30" s="847" t="e">
        <f>+#REF!</f>
        <v>#REF!</v>
      </c>
      <c r="F30" s="921" t="e">
        <f>+#REF!</f>
        <v>#REF!</v>
      </c>
      <c r="G30" s="833">
        <v>6.0270000000000001</v>
      </c>
      <c r="H30" s="1970"/>
      <c r="I30" s="777"/>
      <c r="J30" s="687"/>
      <c r="K30" s="773"/>
      <c r="L30" s="773"/>
    </row>
    <row r="31" spans="1:12" ht="15.75" customHeight="1" thickBot="1" x14ac:dyDescent="0.25">
      <c r="B31" s="864" t="s">
        <v>562</v>
      </c>
      <c r="C31" s="705" t="s">
        <v>327</v>
      </c>
      <c r="D31" s="705">
        <v>516</v>
      </c>
      <c r="E31" s="705">
        <f>+DAILYREPORT1!I86</f>
        <v>798.97</v>
      </c>
      <c r="F31" s="705">
        <f>+DAILYREPORT1!J86</f>
        <v>801.24</v>
      </c>
      <c r="G31" s="781">
        <v>497.37</v>
      </c>
      <c r="H31" s="1971"/>
      <c r="I31" s="714"/>
      <c r="J31" s="705"/>
      <c r="K31" s="781"/>
      <c r="L31" s="781"/>
    </row>
    <row r="32" spans="1:12" ht="15" thickBot="1" x14ac:dyDescent="0.25"/>
    <row r="33" spans="2:12" ht="15.75" thickBot="1" x14ac:dyDescent="0.25">
      <c r="B33" s="782" t="s">
        <v>563</v>
      </c>
      <c r="C33" s="2010" t="s">
        <v>312</v>
      </c>
      <c r="D33" s="2011"/>
      <c r="E33" s="2011"/>
      <c r="F33" s="2011"/>
      <c r="G33" s="2012"/>
      <c r="H33" s="2010" t="s">
        <v>564</v>
      </c>
      <c r="I33" s="2011"/>
      <c r="J33" s="2011"/>
      <c r="K33" s="2011"/>
      <c r="L33" s="2012"/>
    </row>
    <row r="34" spans="2:12" ht="15" thickBot="1" x14ac:dyDescent="0.25">
      <c r="B34" s="783" t="s">
        <v>565</v>
      </c>
      <c r="C34" s="865" t="s">
        <v>566</v>
      </c>
      <c r="D34" s="866" t="s">
        <v>567</v>
      </c>
      <c r="E34" s="866" t="s">
        <v>568</v>
      </c>
      <c r="F34" s="866" t="s">
        <v>569</v>
      </c>
      <c r="G34" s="867" t="s">
        <v>607</v>
      </c>
      <c r="H34" s="865" t="s">
        <v>566</v>
      </c>
      <c r="I34" s="866" t="s">
        <v>567</v>
      </c>
      <c r="J34" s="866" t="s">
        <v>568</v>
      </c>
      <c r="K34" s="866" t="s">
        <v>569</v>
      </c>
      <c r="L34" s="867" t="s">
        <v>570</v>
      </c>
    </row>
    <row r="35" spans="2:12" s="673" customFormat="1" ht="15.75" thickBot="1" x14ac:dyDescent="0.25">
      <c r="B35" s="872" t="s">
        <v>592</v>
      </c>
      <c r="C35" s="922">
        <f>C108</f>
        <v>65.489999999999995</v>
      </c>
      <c r="D35" s="922">
        <f>D108</f>
        <v>21.93</v>
      </c>
      <c r="E35" s="922">
        <f>E108</f>
        <v>6.29</v>
      </c>
      <c r="F35" s="922">
        <f>F108</f>
        <v>87.52</v>
      </c>
      <c r="G35" s="922">
        <f>G108</f>
        <v>1.9</v>
      </c>
      <c r="H35" s="871"/>
      <c r="I35" s="869"/>
      <c r="J35" s="869"/>
      <c r="K35" s="869"/>
      <c r="L35" s="870"/>
    </row>
    <row r="36" spans="2:12" ht="15" thickBot="1" x14ac:dyDescent="0.25">
      <c r="B36" s="783" t="s">
        <v>571</v>
      </c>
      <c r="C36" s="865" t="s">
        <v>320</v>
      </c>
      <c r="D36" s="866" t="s">
        <v>319</v>
      </c>
      <c r="E36" s="866" t="s">
        <v>324</v>
      </c>
      <c r="F36" s="866" t="s">
        <v>575</v>
      </c>
      <c r="G36" s="867" t="s">
        <v>576</v>
      </c>
      <c r="H36" s="868" t="s">
        <v>572</v>
      </c>
      <c r="I36" s="866" t="s">
        <v>573</v>
      </c>
      <c r="J36" s="866" t="s">
        <v>574</v>
      </c>
      <c r="K36" s="866" t="s">
        <v>575</v>
      </c>
      <c r="L36" s="867" t="s">
        <v>576</v>
      </c>
    </row>
    <row r="37" spans="2:12" ht="15.75" thickBot="1" x14ac:dyDescent="0.25">
      <c r="B37" s="763" t="s">
        <v>451</v>
      </c>
      <c r="C37" s="902">
        <f>+DAILYREPORT1!E89</f>
        <v>62.84</v>
      </c>
      <c r="D37" s="903">
        <f>+DAILYREPORT1!C89</f>
        <v>3</v>
      </c>
      <c r="E37" s="903">
        <f>+DAILYREPORT1!D89</f>
        <v>2.31</v>
      </c>
      <c r="F37" s="903">
        <f>D111</f>
        <v>22.266304542861043</v>
      </c>
      <c r="G37" s="903">
        <f>E111</f>
        <v>14.589995777976769</v>
      </c>
      <c r="H37" s="785"/>
      <c r="I37" s="749"/>
      <c r="J37" s="749"/>
      <c r="K37" s="749"/>
      <c r="L37" s="784"/>
    </row>
    <row r="38" spans="2:12" ht="15.75" thickBot="1" x14ac:dyDescent="0.25">
      <c r="B38" s="786" t="s">
        <v>450</v>
      </c>
      <c r="C38" s="902">
        <f>+DAILYREPORT1!E88</f>
        <v>62.13</v>
      </c>
      <c r="D38" s="903">
        <f>+DAILYREPORT1!C88</f>
        <v>3.69</v>
      </c>
      <c r="E38" s="903">
        <f>+DAILYREPORT1!D88</f>
        <v>2.75</v>
      </c>
      <c r="F38" s="903">
        <f>D112</f>
        <v>6.6580510193473375</v>
      </c>
      <c r="G38" s="903">
        <f>E112</f>
        <v>44.703751873495428</v>
      </c>
      <c r="H38" s="789"/>
      <c r="I38" s="787"/>
      <c r="J38" s="787"/>
      <c r="K38" s="787"/>
      <c r="L38" s="788"/>
    </row>
    <row r="39" spans="2:12" ht="15.75" thickBot="1" x14ac:dyDescent="0.25">
      <c r="B39" s="2013"/>
      <c r="C39" s="2013"/>
      <c r="D39" s="2013"/>
      <c r="E39" s="2013"/>
      <c r="F39" s="2013"/>
      <c r="G39" s="2013"/>
      <c r="H39" s="2013"/>
      <c r="I39" s="2013"/>
      <c r="J39" s="2013"/>
      <c r="K39" s="2013"/>
      <c r="L39" s="2013"/>
    </row>
    <row r="40" spans="2:12" ht="15.75" thickBot="1" x14ac:dyDescent="0.25">
      <c r="B40" s="2018" t="s">
        <v>577</v>
      </c>
      <c r="C40" s="2010" t="s">
        <v>312</v>
      </c>
      <c r="D40" s="2011"/>
      <c r="E40" s="2011"/>
      <c r="F40" s="2011"/>
      <c r="G40" s="2012"/>
      <c r="H40" s="2010" t="s">
        <v>564</v>
      </c>
      <c r="I40" s="2011"/>
      <c r="J40" s="2011"/>
      <c r="K40" s="2011"/>
      <c r="L40" s="2012"/>
    </row>
    <row r="41" spans="2:12" ht="15" x14ac:dyDescent="0.2">
      <c r="B41" s="2019"/>
      <c r="C41" s="2014" t="s">
        <v>578</v>
      </c>
      <c r="D41" s="2002"/>
      <c r="E41" s="1998" t="s">
        <v>43</v>
      </c>
      <c r="F41" s="1998"/>
      <c r="G41" s="1999" t="s">
        <v>579</v>
      </c>
      <c r="H41" s="2014" t="s">
        <v>578</v>
      </c>
      <c r="I41" s="2002"/>
      <c r="J41" s="1998" t="s">
        <v>43</v>
      </c>
      <c r="K41" s="1998"/>
      <c r="L41" s="1999" t="s">
        <v>579</v>
      </c>
    </row>
    <row r="42" spans="2:12" ht="15.75" customHeight="1" thickBot="1" x14ac:dyDescent="0.25">
      <c r="B42" s="2020"/>
      <c r="C42" s="720" t="s">
        <v>52</v>
      </c>
      <c r="D42" s="790" t="s">
        <v>492</v>
      </c>
      <c r="E42" s="791" t="s">
        <v>530</v>
      </c>
      <c r="F42" s="791" t="s">
        <v>52</v>
      </c>
      <c r="G42" s="2000"/>
      <c r="H42" s="720" t="s">
        <v>52</v>
      </c>
      <c r="I42" s="790" t="s">
        <v>492</v>
      </c>
      <c r="J42" s="791" t="s">
        <v>530</v>
      </c>
      <c r="K42" s="791" t="s">
        <v>52</v>
      </c>
      <c r="L42" s="2000"/>
    </row>
    <row r="43" spans="2:12" x14ac:dyDescent="0.2">
      <c r="B43" s="783" t="s">
        <v>128</v>
      </c>
      <c r="C43" s="873">
        <f>+'RAWMATERIAL &amp; CONSTRAINTS'!E22</f>
        <v>2160</v>
      </c>
      <c r="D43" s="813">
        <f>+'RAWMATERIAL &amp; CONSTRAINTS'!F22</f>
        <v>46810</v>
      </c>
      <c r="E43" s="876">
        <f>+'RAWMATERIAL &amp; CONSTRAINTS'!D22</f>
        <v>54581</v>
      </c>
      <c r="F43" s="813">
        <f>+'RAWMATERIAL &amp; CONSTRAINTS'!H22</f>
        <v>63369</v>
      </c>
      <c r="G43" s="715">
        <f>+'RAWMATERIAL &amp; CONSTRAINTS'!K22</f>
        <v>31.6845</v>
      </c>
      <c r="H43" s="785"/>
      <c r="I43" s="749"/>
      <c r="J43" s="749"/>
      <c r="K43" s="749"/>
      <c r="L43" s="784"/>
    </row>
    <row r="44" spans="2:12" x14ac:dyDescent="0.2">
      <c r="B44" s="726" t="s">
        <v>28</v>
      </c>
      <c r="C44" s="817">
        <f>+'RAWMATERIAL &amp; CONSTRAINTS'!E23</f>
        <v>12300</v>
      </c>
      <c r="D44" s="671">
        <f>+'RAWMATERIAL &amp; CONSTRAINTS'!F23</f>
        <v>245012</v>
      </c>
      <c r="E44" s="814">
        <f>+'RAWMATERIAL &amp; CONSTRAINTS'!D23</f>
        <v>8667</v>
      </c>
      <c r="F44" s="671">
        <f>+'RAWMATERIAL &amp; CONSTRAINTS'!H23</f>
        <v>120627</v>
      </c>
      <c r="G44" s="697">
        <f>+'RAWMATERIAL &amp; CONSTRAINTS'!K23</f>
        <v>12.0627</v>
      </c>
      <c r="H44" s="793"/>
      <c r="I44" s="130"/>
      <c r="J44" s="130"/>
      <c r="K44" s="130"/>
      <c r="L44" s="792"/>
    </row>
    <row r="45" spans="2:12" x14ac:dyDescent="0.2">
      <c r="B45" s="726" t="s">
        <v>130</v>
      </c>
      <c r="C45" s="816">
        <f>+'RAWMATERIAL &amp; CONSTRAINTS'!E24</f>
        <v>0</v>
      </c>
      <c r="D45" s="671">
        <f>+'RAWMATERIAL &amp; CONSTRAINTS'!F24</f>
        <v>32653</v>
      </c>
      <c r="E45" s="814">
        <f>+'RAWMATERIAL &amp; CONSTRAINTS'!D24</f>
        <v>2364</v>
      </c>
      <c r="F45" s="814">
        <f>+'RAWMATERIAL &amp; CONSTRAINTS'!H24</f>
        <v>5481</v>
      </c>
      <c r="G45" s="697">
        <f>+'RAWMATERIAL &amp; CONSTRAINTS'!K24</f>
        <v>2.884736842105263</v>
      </c>
      <c r="H45" s="793"/>
      <c r="I45" s="130"/>
      <c r="J45" s="130"/>
      <c r="K45" s="130"/>
      <c r="L45" s="792"/>
    </row>
    <row r="46" spans="2:12" x14ac:dyDescent="0.2">
      <c r="B46" s="726" t="s">
        <v>140</v>
      </c>
      <c r="C46" s="816">
        <f>+'RAWMATERIAL &amp; CONSTRAINTS'!E25</f>
        <v>0</v>
      </c>
      <c r="D46" s="671">
        <f>+'RAWMATERIAL &amp; CONSTRAINTS'!F25</f>
        <v>17449</v>
      </c>
      <c r="E46" s="814">
        <f>+'RAWMATERIAL &amp; CONSTRAINTS'!D25</f>
        <v>5512</v>
      </c>
      <c r="F46" s="671">
        <f>+'RAWMATERIAL &amp; CONSTRAINTS'!H25</f>
        <v>4230</v>
      </c>
      <c r="G46" s="697">
        <f>+'RAWMATERIAL &amp; CONSTRAINTS'!K25</f>
        <v>5.2874999999999996</v>
      </c>
      <c r="H46" s="793"/>
      <c r="I46" s="130"/>
      <c r="J46" s="130"/>
      <c r="K46" s="130"/>
      <c r="L46" s="792"/>
    </row>
    <row r="47" spans="2:12" x14ac:dyDescent="0.2">
      <c r="B47" s="726" t="s">
        <v>133</v>
      </c>
      <c r="C47" s="816">
        <f>+'RAWMATERIAL &amp; CONSTRAINTS'!E26</f>
        <v>0</v>
      </c>
      <c r="D47" s="671">
        <f>+'RAWMATERIAL &amp; CONSTRAINTS'!F26</f>
        <v>11911</v>
      </c>
      <c r="E47" s="814">
        <f>+'RAWMATERIAL &amp; CONSTRAINTS'!D26</f>
        <v>10674</v>
      </c>
      <c r="F47" s="671">
        <f>+'RAWMATERIAL &amp; CONSTRAINTS'!H26</f>
        <v>19181</v>
      </c>
      <c r="G47" s="697">
        <f>+'RAWMATERIAL &amp; CONSTRAINTS'!K26</f>
        <v>34.874545454545455</v>
      </c>
      <c r="H47" s="793"/>
      <c r="I47" s="130"/>
      <c r="J47" s="130"/>
      <c r="K47" s="130"/>
      <c r="L47" s="792"/>
    </row>
    <row r="48" spans="2:12" x14ac:dyDescent="0.2">
      <c r="B48" s="726" t="s">
        <v>580</v>
      </c>
      <c r="C48" s="816">
        <f>+'RAWMATERIAL &amp; CONSTRAINTS'!O26</f>
        <v>0</v>
      </c>
      <c r="D48" s="671">
        <f>+'RAWMATERIAL &amp; CONSTRAINTS'!P26</f>
        <v>0</v>
      </c>
      <c r="E48" s="814">
        <f>+'RAWMATERIAL &amp; CONSTRAINTS'!N26</f>
        <v>0</v>
      </c>
      <c r="F48" s="814">
        <f>+'RAWMATERIAL &amp; CONSTRAINTS'!S26</f>
        <v>0</v>
      </c>
      <c r="G48" s="768" t="str">
        <f>+'RAWMATERIAL &amp; CONSTRAINTS'!V26</f>
        <v>-</v>
      </c>
      <c r="H48" s="793"/>
      <c r="I48" s="130"/>
      <c r="J48" s="130"/>
      <c r="K48" s="130"/>
      <c r="L48" s="792"/>
    </row>
    <row r="49" spans="2:12" x14ac:dyDescent="0.2">
      <c r="B49" s="726" t="s">
        <v>139</v>
      </c>
      <c r="C49" s="816">
        <f>+'RAWMATERIAL &amp; CONSTRAINTS'!O22</f>
        <v>0</v>
      </c>
      <c r="D49" s="671">
        <f>+'RAWMATERIAL &amp; CONSTRAINTS'!P22</f>
        <v>11354</v>
      </c>
      <c r="E49" s="671">
        <f>+'RAWMATERIAL &amp; CONSTRAINTS'!N22</f>
        <v>10250</v>
      </c>
      <c r="F49" s="671">
        <f>+'RAWMATERIAL &amp; CONSTRAINTS'!S22</f>
        <v>9800</v>
      </c>
      <c r="G49" s="697">
        <f>+'RAWMATERIAL &amp; CONSTRAINTS'!V22</f>
        <v>8.9090909090909083</v>
      </c>
      <c r="H49" s="793"/>
      <c r="I49" s="130"/>
      <c r="J49" s="130"/>
      <c r="K49" s="130"/>
      <c r="L49" s="792"/>
    </row>
    <row r="50" spans="2:12" x14ac:dyDescent="0.2">
      <c r="B50" s="726" t="s">
        <v>581</v>
      </c>
      <c r="C50" s="816">
        <f>+'RAWMATERIAL &amp; CONSTRAINTS'!O23</f>
        <v>0</v>
      </c>
      <c r="D50" s="671">
        <f>+'RAWMATERIAL &amp; CONSTRAINTS'!P23</f>
        <v>0</v>
      </c>
      <c r="E50" s="814">
        <f>+'RAWMATERIAL &amp; CONSTRAINTS'!N23</f>
        <v>300</v>
      </c>
      <c r="F50" s="814">
        <f>+'RAWMATERIAL &amp; CONSTRAINTS'!S23</f>
        <v>300</v>
      </c>
      <c r="G50" s="697" t="str">
        <f>+'RAWMATERIAL &amp; CONSTRAINTS'!V23</f>
        <v>-</v>
      </c>
      <c r="H50" s="793"/>
      <c r="I50" s="130"/>
      <c r="J50" s="130"/>
      <c r="K50" s="130"/>
      <c r="L50" s="792"/>
    </row>
    <row r="51" spans="2:12" ht="15" thickBot="1" x14ac:dyDescent="0.25">
      <c r="B51" s="780" t="s">
        <v>33</v>
      </c>
      <c r="C51" s="874">
        <f>+'RAWMATERIAL &amp; CONSTRAINTS'!O24</f>
        <v>0</v>
      </c>
      <c r="D51" s="875">
        <f>+'RAWMATERIAL &amp; CONSTRAINTS'!P24</f>
        <v>0</v>
      </c>
      <c r="E51" s="815">
        <f>+'RAWMATERIAL &amp; CONSTRAINTS'!N24</f>
        <v>2549</v>
      </c>
      <c r="F51" s="875">
        <f>+'RAWMATERIAL &amp; CONSTRAINTS'!S24</f>
        <v>1750</v>
      </c>
      <c r="G51" s="957">
        <f>+'RAWMATERIAL &amp; CONSTRAINTS'!V24</f>
        <v>14</v>
      </c>
      <c r="H51" s="795"/>
      <c r="I51" s="756"/>
      <c r="J51" s="756"/>
      <c r="K51" s="756"/>
      <c r="L51" s="794"/>
    </row>
    <row r="52" spans="2:12" ht="15" thickBot="1" x14ac:dyDescent="0.25"/>
    <row r="53" spans="2:12" ht="15.75" thickBot="1" x14ac:dyDescent="0.25">
      <c r="B53" s="782" t="s">
        <v>577</v>
      </c>
      <c r="C53" s="2015" t="s">
        <v>312</v>
      </c>
      <c r="D53" s="2016"/>
      <c r="E53" s="2016"/>
      <c r="F53" s="2016"/>
      <c r="G53" s="2017"/>
      <c r="H53" s="2010" t="s">
        <v>564</v>
      </c>
      <c r="I53" s="2011"/>
      <c r="J53" s="2011"/>
      <c r="K53" s="2011"/>
      <c r="L53" s="2012"/>
    </row>
    <row r="54" spans="2:12" ht="15.75" customHeight="1" x14ac:dyDescent="0.2">
      <c r="B54" s="2008" t="s">
        <v>582</v>
      </c>
      <c r="C54" s="1996" t="s">
        <v>578</v>
      </c>
      <c r="D54" s="1997"/>
      <c r="E54" s="1998" t="s">
        <v>43</v>
      </c>
      <c r="F54" s="1998"/>
      <c r="G54" s="1999" t="s">
        <v>579</v>
      </c>
      <c r="H54" s="2001" t="s">
        <v>578</v>
      </c>
      <c r="I54" s="2002"/>
      <c r="J54" s="1998" t="s">
        <v>43</v>
      </c>
      <c r="K54" s="1998"/>
      <c r="L54" s="1999" t="s">
        <v>579</v>
      </c>
    </row>
    <row r="55" spans="2:12" ht="15" x14ac:dyDescent="0.2">
      <c r="B55" s="2009"/>
      <c r="C55" s="722" t="s">
        <v>52</v>
      </c>
      <c r="D55" s="858" t="s">
        <v>492</v>
      </c>
      <c r="E55" s="791" t="s">
        <v>530</v>
      </c>
      <c r="F55" s="791" t="s">
        <v>52</v>
      </c>
      <c r="G55" s="2000"/>
      <c r="H55" s="807" t="s">
        <v>52</v>
      </c>
      <c r="I55" s="790" t="s">
        <v>492</v>
      </c>
      <c r="J55" s="791" t="s">
        <v>530</v>
      </c>
      <c r="K55" s="791" t="s">
        <v>52</v>
      </c>
      <c r="L55" s="2000"/>
    </row>
    <row r="56" spans="2:12" x14ac:dyDescent="0.2">
      <c r="B56" s="694" t="s">
        <v>358</v>
      </c>
      <c r="C56" s="828">
        <f>+'RAWMATERIAL &amp; CONSTRAINTS'!E5</f>
        <v>1800</v>
      </c>
      <c r="D56" s="671">
        <f>+'RAWMATERIAL &amp; CONSTRAINTS'!F5</f>
        <v>28972</v>
      </c>
      <c r="E56" s="814">
        <f>+'RAWMATERIAL &amp; CONSTRAINTS'!D5</f>
        <v>1300</v>
      </c>
      <c r="F56" s="671">
        <f>+'RAWMATERIAL &amp; CONSTRAINTS'!H5</f>
        <v>5400</v>
      </c>
      <c r="G56" s="697">
        <f>+'RAWMATERIAL &amp; CONSTRAINTS'!J5</f>
        <v>7.3744701306646867</v>
      </c>
      <c r="H56" s="750"/>
      <c r="I56" s="130"/>
      <c r="J56" s="130"/>
      <c r="K56" s="130"/>
      <c r="L56" s="792"/>
    </row>
    <row r="57" spans="2:12" x14ac:dyDescent="0.2">
      <c r="B57" s="694" t="s">
        <v>357</v>
      </c>
      <c r="C57" s="828">
        <f>+'RAWMATERIAL &amp; CONSTRAINTS'!E6</f>
        <v>0</v>
      </c>
      <c r="D57" s="671">
        <f>+'RAWMATERIAL &amp; CONSTRAINTS'!F6</f>
        <v>7412</v>
      </c>
      <c r="E57" s="814">
        <f>+'RAWMATERIAL &amp; CONSTRAINTS'!D6</f>
        <v>200</v>
      </c>
      <c r="F57" s="671">
        <f>+'RAWMATERIAL &amp; CONSTRAINTS'!H6</f>
        <v>3800</v>
      </c>
      <c r="G57" s="697">
        <f>+'RAWMATERIAL &amp; CONSTRAINTS'!J6</f>
        <v>25.947209719005375</v>
      </c>
      <c r="H57" s="750"/>
      <c r="I57" s="130"/>
      <c r="J57" s="130"/>
      <c r="K57" s="130"/>
      <c r="L57" s="792"/>
    </row>
    <row r="58" spans="2:12" x14ac:dyDescent="0.2">
      <c r="B58" s="694" t="s">
        <v>680</v>
      </c>
      <c r="C58" s="828">
        <f>+'RAWMATERIAL &amp; CONSTRAINTS'!E7+'RAWMATERIAL &amp; CONSTRAINTS'!E9</f>
        <v>0</v>
      </c>
      <c r="D58" s="671">
        <f>+'RAWMATERIAL &amp; CONSTRAINTS'!F7+'RAWMATERIAL &amp; CONSTRAINTS'!F9</f>
        <v>7895</v>
      </c>
      <c r="E58" s="814">
        <f>+'RAWMATERIAL &amp; CONSTRAINTS'!D7+'RAWMATERIAL &amp; CONSTRAINTS'!D9</f>
        <v>3300</v>
      </c>
      <c r="F58" s="671">
        <f>+'RAWMATERIAL &amp; CONSTRAINTS'!H7+'RAWMATERIAL &amp; CONSTRAINTS'!H9</f>
        <v>5700</v>
      </c>
      <c r="G58" s="697">
        <f>+'RAWMATERIAL &amp; CONSTRAINTS'!J9</f>
        <v>25.264388410610497</v>
      </c>
      <c r="H58" s="750"/>
      <c r="I58" s="130"/>
      <c r="J58" s="130"/>
      <c r="K58" s="130"/>
      <c r="L58" s="792"/>
    </row>
    <row r="59" spans="2:12" x14ac:dyDescent="0.2">
      <c r="B59" s="694" t="s">
        <v>641</v>
      </c>
      <c r="C59" s="828">
        <f>+'RAWMATERIAL &amp; CONSTRAINTS'!E8</f>
        <v>0</v>
      </c>
      <c r="D59" s="671">
        <f>+'RAWMATERIAL &amp; CONSTRAINTS'!F8</f>
        <v>3726</v>
      </c>
      <c r="E59" s="814">
        <f>+'RAWMATERIAL &amp; CONSTRAINTS'!D8</f>
        <v>1200</v>
      </c>
      <c r="F59" s="671">
        <f>+'RAWMATERIAL &amp; CONSTRAINTS'!H8</f>
        <v>200</v>
      </c>
      <c r="G59" s="697">
        <f>+'RAWMATERIAL &amp; CONSTRAINTS'!J8</f>
        <v>1.3656426167897566</v>
      </c>
      <c r="H59" s="750"/>
      <c r="I59" s="130"/>
      <c r="J59" s="130"/>
      <c r="K59" s="130"/>
      <c r="L59" s="792"/>
    </row>
    <row r="60" spans="2:12" ht="15" x14ac:dyDescent="0.2">
      <c r="B60" s="699" t="s">
        <v>583</v>
      </c>
      <c r="C60" s="767">
        <f>SUM(C56:C59)</f>
        <v>1800</v>
      </c>
      <c r="D60" s="742">
        <f>SUM(D56:D59)</f>
        <v>48005</v>
      </c>
      <c r="E60" s="742">
        <f>SUM(E56:E59)</f>
        <v>6000</v>
      </c>
      <c r="F60" s="742">
        <f>SUM(F56:F59)</f>
        <v>15100</v>
      </c>
      <c r="G60" s="693"/>
      <c r="H60" s="750"/>
      <c r="I60" s="130"/>
      <c r="J60" s="130"/>
      <c r="K60" s="130"/>
      <c r="L60" s="792"/>
    </row>
    <row r="61" spans="2:12" x14ac:dyDescent="0.2">
      <c r="B61" s="694" t="s">
        <v>273</v>
      </c>
      <c r="C61" s="828">
        <f>+'RAWMATERIAL &amp; CONSTRAINTS'!E11</f>
        <v>5280</v>
      </c>
      <c r="D61" s="671">
        <f>+'RAWMATERIAL &amp; CONSTRAINTS'!F11</f>
        <v>12949</v>
      </c>
      <c r="E61" s="814">
        <f>+'RAWMATERIAL &amp; CONSTRAINTS'!D11</f>
        <v>1600</v>
      </c>
      <c r="F61" s="671">
        <f>+'RAWMATERIAL &amp; CONSTRAINTS'!H11</f>
        <v>7600</v>
      </c>
      <c r="G61" s="697">
        <f>+'RAWMATERIAL &amp; CONSTRAINTS'!J11</f>
        <v>24.420903264946237</v>
      </c>
      <c r="H61" s="750"/>
      <c r="I61" s="130"/>
      <c r="J61" s="130"/>
      <c r="K61" s="130"/>
      <c r="L61" s="792"/>
    </row>
    <row r="62" spans="2:12" x14ac:dyDescent="0.2">
      <c r="B62" s="694" t="s">
        <v>359</v>
      </c>
      <c r="C62" s="828">
        <f>+'RAWMATERIAL &amp; CONSTRAINTS'!E12</f>
        <v>0</v>
      </c>
      <c r="D62" s="671">
        <f>+'RAWMATERIAL &amp; CONSTRAINTS'!F12</f>
        <v>0</v>
      </c>
      <c r="E62" s="814">
        <f>+'RAWMATERIAL &amp; CONSTRAINTS'!D12</f>
        <v>0</v>
      </c>
      <c r="F62" s="671">
        <f>+'RAWMATERIAL &amp; CONSTRAINTS'!H12</f>
        <v>0</v>
      </c>
      <c r="G62" s="697" t="str">
        <f>+'RAWMATERIAL &amp; CONSTRAINTS'!J12</f>
        <v>-</v>
      </c>
      <c r="H62" s="750"/>
      <c r="I62" s="130"/>
      <c r="J62" s="130"/>
      <c r="K62" s="130"/>
      <c r="L62" s="792"/>
    </row>
    <row r="63" spans="2:12" x14ac:dyDescent="0.2">
      <c r="B63" s="694" t="s">
        <v>361</v>
      </c>
      <c r="C63" s="828">
        <f>+'RAWMATERIAL &amp; CONSTRAINTS'!E13</f>
        <v>0</v>
      </c>
      <c r="D63" s="671">
        <f>+'RAWMATERIAL &amp; CONSTRAINTS'!F13</f>
        <v>0</v>
      </c>
      <c r="E63" s="814">
        <f>+'RAWMATERIAL &amp; CONSTRAINTS'!D13</f>
        <v>0</v>
      </c>
      <c r="F63" s="671">
        <f>+'RAWMATERIAL &amp; CONSTRAINTS'!H13</f>
        <v>0</v>
      </c>
      <c r="G63" s="697" t="str">
        <f>+'RAWMATERIAL &amp; CONSTRAINTS'!J13</f>
        <v>-</v>
      </c>
      <c r="H63" s="750"/>
      <c r="I63" s="130"/>
      <c r="J63" s="130"/>
      <c r="K63" s="130"/>
      <c r="L63" s="792"/>
    </row>
    <row r="64" spans="2:12" x14ac:dyDescent="0.2">
      <c r="B64" s="694" t="s">
        <v>622</v>
      </c>
      <c r="C64" s="828">
        <f>'RAWMATERIAL &amp; CONSTRAINTS'!$E$14</f>
        <v>0</v>
      </c>
      <c r="D64" s="817">
        <f>'RAWMATERIAL &amp; CONSTRAINTS'!$F$14</f>
        <v>0</v>
      </c>
      <c r="E64" s="926">
        <f>'RAWMATERIAL &amp; CONSTRAINTS'!$D$14</f>
        <v>6300</v>
      </c>
      <c r="F64" s="817">
        <f>'RAWMATERIAL &amp; CONSTRAINTS'!$H$14</f>
        <v>1400</v>
      </c>
      <c r="G64" s="697" t="str">
        <f>'RAWMATERIAL &amp; CONSTRAINTS'!$J$14</f>
        <v>-</v>
      </c>
      <c r="H64" s="750"/>
      <c r="I64" s="130"/>
      <c r="J64" s="130"/>
      <c r="K64" s="130"/>
      <c r="L64" s="792"/>
    </row>
    <row r="65" spans="2:16" ht="15" x14ac:dyDescent="0.2">
      <c r="B65" s="699" t="s">
        <v>347</v>
      </c>
      <c r="C65" s="767">
        <f>SUM(C61:C64)</f>
        <v>5280</v>
      </c>
      <c r="D65" s="767">
        <f>SUM(D61:D64)</f>
        <v>12949</v>
      </c>
      <c r="E65" s="767">
        <f>SUM(E61:E64)</f>
        <v>7900</v>
      </c>
      <c r="F65" s="767">
        <f>SUM(F61:F64)</f>
        <v>9000</v>
      </c>
      <c r="G65" s="693"/>
      <c r="H65" s="750"/>
      <c r="I65" s="130"/>
      <c r="J65" s="130"/>
      <c r="K65" s="130"/>
      <c r="L65" s="792"/>
    </row>
    <row r="66" spans="2:16" hidden="1" x14ac:dyDescent="0.2">
      <c r="B66" s="694" t="s">
        <v>454</v>
      </c>
      <c r="C66" s="793"/>
      <c r="D66" s="814"/>
      <c r="E66" s="130"/>
      <c r="F66" s="130"/>
      <c r="G66" s="896"/>
      <c r="H66" s="750"/>
      <c r="I66" s="130"/>
      <c r="J66" s="130"/>
      <c r="K66" s="130"/>
      <c r="L66" s="792"/>
    </row>
    <row r="67" spans="2:16" hidden="1" x14ac:dyDescent="0.2">
      <c r="B67" s="694" t="s">
        <v>384</v>
      </c>
      <c r="C67" s="793"/>
      <c r="D67" s="814"/>
      <c r="E67" s="130"/>
      <c r="F67" s="130"/>
      <c r="G67" s="896"/>
      <c r="H67" s="750"/>
      <c r="I67" s="130"/>
      <c r="J67" s="130"/>
      <c r="K67" s="130"/>
      <c r="L67" s="792"/>
    </row>
    <row r="68" spans="2:16" hidden="1" x14ac:dyDescent="0.2">
      <c r="B68" s="694" t="s">
        <v>584</v>
      </c>
      <c r="C68" s="793"/>
      <c r="D68" s="814"/>
      <c r="E68" s="130"/>
      <c r="F68" s="130"/>
      <c r="G68" s="896"/>
      <c r="H68" s="750"/>
      <c r="I68" s="130"/>
      <c r="J68" s="130"/>
      <c r="K68" s="130"/>
      <c r="L68" s="792"/>
    </row>
    <row r="69" spans="2:16" ht="15" x14ac:dyDescent="0.2">
      <c r="B69" s="699" t="s">
        <v>585</v>
      </c>
      <c r="C69" s="767">
        <f>+'RAWMATERIAL &amp; CONSTRAINTS'!E18</f>
        <v>0</v>
      </c>
      <c r="D69" s="742">
        <f>+'RAWMATERIAL &amp; CONSTRAINTS'!F18</f>
        <v>3886</v>
      </c>
      <c r="E69" s="742">
        <f>+'RAWMATERIAL &amp; CONSTRAINTS'!D18</f>
        <v>3200</v>
      </c>
      <c r="F69" s="742">
        <f>+'RAWMATERIAL &amp; CONSTRAINTS'!H18</f>
        <v>1100</v>
      </c>
      <c r="G69" s="693">
        <f>+'RAWMATERIAL &amp; CONSTRAINTS'!J18</f>
        <v>5.4625704671590274</v>
      </c>
      <c r="H69" s="750"/>
      <c r="I69" s="130"/>
      <c r="J69" s="130"/>
      <c r="K69" s="130"/>
      <c r="L69" s="792"/>
    </row>
    <row r="70" spans="2:16" ht="15.75" thickBot="1" x14ac:dyDescent="0.25">
      <c r="B70" s="796" t="s">
        <v>586</v>
      </c>
      <c r="C70" s="879">
        <f>+C60+C65+C69</f>
        <v>7080</v>
      </c>
      <c r="D70" s="880">
        <f>+D60+D65+D69</f>
        <v>64840</v>
      </c>
      <c r="E70" s="880">
        <f>+E60+E65+E69</f>
        <v>17100</v>
      </c>
      <c r="F70" s="880">
        <f>+F60+F65+F69</f>
        <v>25200</v>
      </c>
      <c r="G70" s="897"/>
      <c r="H70" s="755"/>
      <c r="I70" s="756"/>
      <c r="J70" s="756"/>
      <c r="K70" s="756"/>
      <c r="L70" s="794"/>
    </row>
    <row r="71" spans="2:16" ht="15.75" customHeight="1" thickBot="1" x14ac:dyDescent="0.25">
      <c r="B71" s="881" t="s">
        <v>56</v>
      </c>
      <c r="C71" s="859"/>
      <c r="D71" s="883"/>
      <c r="E71" s="883"/>
      <c r="F71" s="883"/>
      <c r="G71" s="884"/>
      <c r="H71" s="2003" t="s">
        <v>594</v>
      </c>
      <c r="I71" s="909" t="s">
        <v>595</v>
      </c>
      <c r="J71" s="910" t="s">
        <v>596</v>
      </c>
      <c r="K71" s="911" t="s">
        <v>811</v>
      </c>
      <c r="L71" s="912" t="s">
        <v>812</v>
      </c>
    </row>
    <row r="72" spans="2:16" x14ac:dyDescent="0.2">
      <c r="B72" s="726" t="s">
        <v>358</v>
      </c>
      <c r="C72" s="877">
        <f>+'RAWMATERIAL &amp; CONSTRAINTS'!N5</f>
        <v>0</v>
      </c>
      <c r="D72" s="671">
        <f>+'RAWMATERIAL &amp; CONSTRAINTS'!O5</f>
        <v>39067</v>
      </c>
      <c r="E72" s="814">
        <f>+'RAWMATERIAL &amp; CONSTRAINTS'!M5</f>
        <v>9070</v>
      </c>
      <c r="F72" s="671">
        <f>'RAWMATERIAL &amp; CONSTRAINTS'!Q5</f>
        <v>10080</v>
      </c>
      <c r="G72" s="697">
        <f>+'RAWMATERIAL &amp; CONSTRAINTS'!U5</f>
        <v>7.2107151226722914</v>
      </c>
      <c r="H72" s="2004"/>
      <c r="I72" s="908" t="s">
        <v>220</v>
      </c>
      <c r="J72" s="2006" t="s">
        <v>597</v>
      </c>
      <c r="K72" s="942">
        <v>84.84</v>
      </c>
      <c r="L72" s="924">
        <f>G116</f>
        <v>0</v>
      </c>
    </row>
    <row r="73" spans="2:16" x14ac:dyDescent="0.2">
      <c r="B73" s="726" t="s">
        <v>357</v>
      </c>
      <c r="C73" s="877">
        <f>+'RAWMATERIAL &amp; CONSTRAINTS'!N6</f>
        <v>0</v>
      </c>
      <c r="D73" s="671">
        <f>+'RAWMATERIAL &amp; CONSTRAINTS'!O6</f>
        <v>3803</v>
      </c>
      <c r="E73" s="814">
        <f>+'RAWMATERIAL &amp; CONSTRAINTS'!M6</f>
        <v>0</v>
      </c>
      <c r="F73" s="671">
        <f>'RAWMATERIAL &amp; CONSTRAINTS'!Q6</f>
        <v>3800</v>
      </c>
      <c r="G73" s="697" t="str">
        <f>+'RAWMATERIAL &amp; CONSTRAINTS'!U6</f>
        <v>-</v>
      </c>
      <c r="H73" s="2004"/>
      <c r="I73" s="913" t="s">
        <v>598</v>
      </c>
      <c r="J73" s="2006"/>
      <c r="K73" s="739">
        <v>46.13</v>
      </c>
      <c r="L73" s="924">
        <f>G117</f>
        <v>0</v>
      </c>
    </row>
    <row r="74" spans="2:16" x14ac:dyDescent="0.2">
      <c r="B74" s="726" t="s">
        <v>680</v>
      </c>
      <c r="C74" s="828">
        <f>+'RAWMATERIAL &amp; CONSTRAINTS'!N7+'RAWMATERIAL &amp; CONSTRAINTS'!N9</f>
        <v>0</v>
      </c>
      <c r="D74" s="671">
        <f>+'RAWMATERIAL &amp; CONSTRAINTS'!O7+'RAWMATERIAL &amp; CONSTRAINTS'!O9</f>
        <v>15768</v>
      </c>
      <c r="E74" s="814">
        <f>+'RAWMATERIAL &amp; CONSTRAINTS'!M7+'RAWMATERIAL &amp; CONSTRAINTS'!M9</f>
        <v>6060</v>
      </c>
      <c r="F74" s="671">
        <f>'RAWMATERIAL &amp; CONSTRAINTS'!Q7+'RAWMATERIAL &amp; CONSTRAINTS'!Q9</f>
        <v>3600</v>
      </c>
      <c r="G74" s="697">
        <f>+'RAWMATERIAL &amp; CONSTRAINTS'!U9</f>
        <v>9.7079975128755631</v>
      </c>
      <c r="H74" s="2004"/>
      <c r="I74" s="913" t="s">
        <v>599</v>
      </c>
      <c r="J74" s="2007"/>
      <c r="K74" s="739">
        <v>30.37</v>
      </c>
      <c r="L74" s="924">
        <f>G118</f>
        <v>0</v>
      </c>
    </row>
    <row r="75" spans="2:16" ht="15" thickBot="1" x14ac:dyDescent="0.25">
      <c r="B75" s="726" t="s">
        <v>641</v>
      </c>
      <c r="C75" s="877">
        <f>+'RAWMATERIAL &amp; CONSTRAINTS'!N8</f>
        <v>0</v>
      </c>
      <c r="D75" s="671">
        <f>+'RAWMATERIAL &amp; CONSTRAINTS'!O8</f>
        <v>11355</v>
      </c>
      <c r="E75" s="814">
        <f>+'RAWMATERIAL &amp; CONSTRAINTS'!M8</f>
        <v>2190</v>
      </c>
      <c r="F75" s="671">
        <f>'RAWMATERIAL &amp; CONSTRAINTS'!Q8</f>
        <v>180</v>
      </c>
      <c r="G75" s="697">
        <f>+'RAWMATERIAL &amp; CONSTRAINTS'!U8</f>
        <v>0.43993946432970821</v>
      </c>
      <c r="H75" s="2005"/>
      <c r="I75" s="914" t="s">
        <v>56</v>
      </c>
      <c r="J75" s="915" t="s">
        <v>600</v>
      </c>
      <c r="K75" s="739">
        <v>1643.124</v>
      </c>
      <c r="L75" s="924">
        <f>G119</f>
        <v>0</v>
      </c>
      <c r="O75" s="89">
        <f>6.69*1000*24</f>
        <v>160560</v>
      </c>
      <c r="P75" s="89">
        <f>O75/99</f>
        <v>1621.8181818181818</v>
      </c>
    </row>
    <row r="76" spans="2:16" ht="15.75" thickBot="1" x14ac:dyDescent="0.25">
      <c r="B76" s="738" t="s">
        <v>583</v>
      </c>
      <c r="C76" s="878">
        <f>SUM(C72:C75)</f>
        <v>0</v>
      </c>
      <c r="D76" s="791">
        <f>SUM(D72:D75)</f>
        <v>69993</v>
      </c>
      <c r="E76" s="791">
        <f>SUM(E72:E75)</f>
        <v>17320</v>
      </c>
      <c r="F76" s="791">
        <f>SUM(F72:F75)</f>
        <v>17660</v>
      </c>
      <c r="G76" s="693"/>
      <c r="H76" s="1993" t="s">
        <v>601</v>
      </c>
      <c r="I76" s="1995"/>
      <c r="J76" s="916" t="s">
        <v>602</v>
      </c>
      <c r="K76" s="917" t="s">
        <v>180</v>
      </c>
      <c r="L76" s="924">
        <f>G120</f>
        <v>0</v>
      </c>
      <c r="O76" s="89">
        <f>O75/99</f>
        <v>1621.8181818181818</v>
      </c>
    </row>
    <row r="77" spans="2:16" ht="15" customHeight="1" x14ac:dyDescent="0.2">
      <c r="B77" s="726" t="s">
        <v>273</v>
      </c>
      <c r="C77" s="828">
        <f>+'RAWMATERIAL &amp; CONSTRAINTS'!N11</f>
        <v>0</v>
      </c>
      <c r="D77" s="671">
        <f>+'RAWMATERIAL &amp; CONSTRAINTS'!O11</f>
        <v>11996</v>
      </c>
      <c r="E77" s="814">
        <f>+'RAWMATERIAL &amp; CONSTRAINTS'!M11</f>
        <v>2720</v>
      </c>
      <c r="F77" s="671">
        <f>'RAWMATERIAL &amp; CONSTRAINTS'!Q11</f>
        <v>4300</v>
      </c>
      <c r="G77" s="697">
        <f>+'RAWMATERIAL &amp; CONSTRAINTS'!U11</f>
        <v>7.006443320806464</v>
      </c>
      <c r="H77" s="1984" t="s">
        <v>593</v>
      </c>
      <c r="I77" s="1985"/>
      <c r="J77" s="1985"/>
      <c r="K77" s="1985"/>
      <c r="L77" s="1986"/>
      <c r="O77" s="89">
        <f>O76/30</f>
        <v>54.060606060606055</v>
      </c>
    </row>
    <row r="78" spans="2:16" ht="15" customHeight="1" x14ac:dyDescent="0.2">
      <c r="B78" s="726" t="s">
        <v>359</v>
      </c>
      <c r="C78" s="828">
        <f>+'RAWMATERIAL &amp; CONSTRAINTS'!N12</f>
        <v>0</v>
      </c>
      <c r="D78" s="671">
        <f>+'RAWMATERIAL &amp; CONSTRAINTS'!O12</f>
        <v>0</v>
      </c>
      <c r="E78" s="814">
        <f>+'RAWMATERIAL &amp; CONSTRAINTS'!M12</f>
        <v>0</v>
      </c>
      <c r="F78" s="671">
        <f>'RAWMATERIAL &amp; CONSTRAINTS'!Q12</f>
        <v>0</v>
      </c>
      <c r="G78" s="697" t="str">
        <f>+'RAWMATERIAL &amp; CONSTRAINTS'!U12</f>
        <v>-</v>
      </c>
      <c r="H78" s="1987"/>
      <c r="I78" s="1988"/>
      <c r="J78" s="1988"/>
      <c r="K78" s="1988"/>
      <c r="L78" s="1989"/>
    </row>
    <row r="79" spans="2:16" ht="15" customHeight="1" x14ac:dyDescent="0.2">
      <c r="B79" s="726" t="s">
        <v>361</v>
      </c>
      <c r="C79" s="828">
        <f>+'RAWMATERIAL &amp; CONSTRAINTS'!N13</f>
        <v>0</v>
      </c>
      <c r="D79" s="671">
        <f>+'RAWMATERIAL &amp; CONSTRAINTS'!O13</f>
        <v>0</v>
      </c>
      <c r="E79" s="814">
        <f>+'RAWMATERIAL &amp; CONSTRAINTS'!M13</f>
        <v>0</v>
      </c>
      <c r="F79" s="671">
        <f>'RAWMATERIAL &amp; CONSTRAINTS'!Q13</f>
        <v>0</v>
      </c>
      <c r="G79" s="697" t="str">
        <f>+'RAWMATERIAL &amp; CONSTRAINTS'!U13</f>
        <v>-</v>
      </c>
      <c r="H79" s="1990"/>
      <c r="I79" s="1991"/>
      <c r="J79" s="1991"/>
      <c r="K79" s="1991"/>
      <c r="L79" s="1992"/>
    </row>
    <row r="80" spans="2:16" ht="15" customHeight="1" x14ac:dyDescent="0.2">
      <c r="B80" s="726" t="s">
        <v>622</v>
      </c>
      <c r="C80" s="828">
        <f>'RAWMATERIAL &amp; CONSTRAINTS'!$N$14</f>
        <v>0</v>
      </c>
      <c r="D80" s="817">
        <f>'RAWMATERIAL &amp; CONSTRAINTS'!$O$14</f>
        <v>11512</v>
      </c>
      <c r="E80" s="926">
        <f>'RAWMATERIAL &amp; CONSTRAINTS'!$M$14</f>
        <v>1430</v>
      </c>
      <c r="F80" s="671">
        <f>'RAWMATERIAL &amp; CONSTRAINTS'!Q14</f>
        <v>3890</v>
      </c>
      <c r="G80" s="697">
        <f>'RAWMATERIAL &amp; CONSTRAINTS'!$U$14</f>
        <v>16.298709678500622</v>
      </c>
      <c r="H80" s="1990"/>
      <c r="I80" s="1991"/>
      <c r="J80" s="1991"/>
      <c r="K80" s="1991"/>
      <c r="L80" s="1992"/>
    </row>
    <row r="81" spans="2:12" ht="15" x14ac:dyDescent="0.2">
      <c r="B81" s="738" t="s">
        <v>347</v>
      </c>
      <c r="C81" s="767">
        <f>SUM(C77:C80)</f>
        <v>0</v>
      </c>
      <c r="D81" s="767">
        <f>SUM(D77:D80)</f>
        <v>23508</v>
      </c>
      <c r="E81" s="767">
        <f>SUM(E77:E80)</f>
        <v>4150</v>
      </c>
      <c r="F81" s="767">
        <f>SUM(F77:F80)</f>
        <v>8190</v>
      </c>
      <c r="G81" s="693"/>
      <c r="H81" s="1990"/>
      <c r="I81" s="1991"/>
      <c r="J81" s="1991"/>
      <c r="K81" s="1991"/>
      <c r="L81" s="1992"/>
    </row>
    <row r="82" spans="2:12" ht="14.25" hidden="1" customHeight="1" x14ac:dyDescent="0.25">
      <c r="B82" s="726" t="s">
        <v>454</v>
      </c>
      <c r="C82" s="793"/>
      <c r="D82" s="130"/>
      <c r="E82" s="130"/>
      <c r="F82" s="130"/>
      <c r="G82" s="898"/>
      <c r="H82" s="1990"/>
      <c r="I82" s="1991"/>
      <c r="J82" s="1991"/>
      <c r="K82" s="1991"/>
      <c r="L82" s="1992"/>
    </row>
    <row r="83" spans="2:12" ht="14.25" hidden="1" customHeight="1" x14ac:dyDescent="0.25">
      <c r="B83" s="726" t="s">
        <v>384</v>
      </c>
      <c r="C83" s="793"/>
      <c r="D83" s="130"/>
      <c r="E83" s="130"/>
      <c r="F83" s="130"/>
      <c r="G83" s="898"/>
      <c r="H83" s="1990"/>
      <c r="I83" s="1991"/>
      <c r="J83" s="1991"/>
      <c r="K83" s="1991"/>
      <c r="L83" s="1992"/>
    </row>
    <row r="84" spans="2:12" ht="14.25" hidden="1" customHeight="1" x14ac:dyDescent="0.25">
      <c r="B84" s="726" t="s">
        <v>584</v>
      </c>
      <c r="C84" s="793"/>
      <c r="D84" s="130"/>
      <c r="E84" s="130"/>
      <c r="F84" s="130"/>
      <c r="G84" s="898"/>
      <c r="H84" s="1990"/>
      <c r="I84" s="1991"/>
      <c r="J84" s="1991"/>
      <c r="K84" s="1991"/>
      <c r="L84" s="1992"/>
    </row>
    <row r="85" spans="2:12" ht="15" x14ac:dyDescent="0.25">
      <c r="B85" s="738" t="s">
        <v>585</v>
      </c>
      <c r="C85" s="878">
        <f>+'RAWMATERIAL &amp; CONSTRAINTS'!N18</f>
        <v>0</v>
      </c>
      <c r="D85" s="742">
        <f>+'RAWMATERIAL &amp; CONSTRAINTS'!O18</f>
        <v>7491</v>
      </c>
      <c r="E85" s="791">
        <f>+'RAWMATERIAL &amp; CONSTRAINTS'!M18</f>
        <v>350</v>
      </c>
      <c r="F85" s="742">
        <f>'RAWMATERIAL &amp; CONSTRAINTS'!Q18</f>
        <v>3080</v>
      </c>
      <c r="G85" s="899">
        <f>+'RAWMATERIAL &amp; CONSTRAINTS'!U18</f>
        <v>18.066847335140022</v>
      </c>
      <c r="H85" s="1990"/>
      <c r="I85" s="1991"/>
      <c r="J85" s="1991"/>
      <c r="K85" s="1991"/>
      <c r="L85" s="1992"/>
    </row>
    <row r="86" spans="2:12" ht="15.75" thickBot="1" x14ac:dyDescent="0.3">
      <c r="B86" s="882" t="s">
        <v>586</v>
      </c>
      <c r="C86" s="829">
        <f>+C76+C81+C85</f>
        <v>0</v>
      </c>
      <c r="D86" s="830">
        <f>+D76+D81+D85</f>
        <v>100992</v>
      </c>
      <c r="E86" s="830">
        <f>+E76+E81+E85</f>
        <v>21820</v>
      </c>
      <c r="F86" s="830">
        <f>+F76+F81+F85</f>
        <v>28930</v>
      </c>
      <c r="G86" s="900"/>
      <c r="H86" s="1993"/>
      <c r="I86" s="1994"/>
      <c r="J86" s="1994"/>
      <c r="K86" s="1994"/>
      <c r="L86" s="1995"/>
    </row>
    <row r="104" spans="3:7" ht="15.75" thickBot="1" x14ac:dyDescent="0.3">
      <c r="C104"/>
      <c r="D104" t="s">
        <v>668</v>
      </c>
      <c r="E104" t="s">
        <v>669</v>
      </c>
      <c r="F104"/>
      <c r="G104"/>
    </row>
    <row r="105" spans="3:7" ht="15" x14ac:dyDescent="0.25">
      <c r="C105" s="94" t="s">
        <v>670</v>
      </c>
      <c r="D105" s="922">
        <v>4.8000000000000001E-2</v>
      </c>
      <c r="E105" s="922">
        <v>5.1900000000000002E-2</v>
      </c>
      <c r="F105" s="94"/>
      <c r="G105" s="94"/>
    </row>
    <row r="106" spans="3:7" ht="15.75" thickBot="1" x14ac:dyDescent="0.3">
      <c r="C106" s="94"/>
      <c r="D106" s="94"/>
      <c r="E106" s="94"/>
      <c r="F106" s="94"/>
      <c r="G106" s="94"/>
    </row>
    <row r="107" spans="3:7" ht="15" thickBot="1" x14ac:dyDescent="0.25">
      <c r="C107" s="998" t="s">
        <v>566</v>
      </c>
      <c r="D107" s="999" t="s">
        <v>567</v>
      </c>
      <c r="E107" s="999" t="s">
        <v>568</v>
      </c>
      <c r="F107" s="999" t="s">
        <v>569</v>
      </c>
      <c r="G107" s="1000" t="s">
        <v>607</v>
      </c>
    </row>
    <row r="108" spans="3:7" x14ac:dyDescent="0.2">
      <c r="C108" s="922">
        <v>65.489999999999995</v>
      </c>
      <c r="D108" s="922">
        <v>21.93</v>
      </c>
      <c r="E108" s="922">
        <v>6.29</v>
      </c>
      <c r="F108" s="922">
        <v>87.52</v>
      </c>
      <c r="G108" s="922">
        <v>1.9</v>
      </c>
    </row>
    <row r="109" spans="3:7" ht="15.75" thickBot="1" x14ac:dyDescent="0.3">
      <c r="C109" s="94"/>
      <c r="D109" s="94"/>
      <c r="E109" s="94"/>
      <c r="F109" s="94"/>
      <c r="G109" s="94"/>
    </row>
    <row r="110" spans="3:7" ht="15.75" thickBot="1" x14ac:dyDescent="0.3">
      <c r="C110" s="783" t="s">
        <v>571</v>
      </c>
      <c r="D110" s="999" t="s">
        <v>575</v>
      </c>
      <c r="E110" s="1000" t="s">
        <v>576</v>
      </c>
      <c r="F110" s="94"/>
      <c r="G110" s="94"/>
    </row>
    <row r="111" spans="3:7" ht="15.75" thickBot="1" x14ac:dyDescent="0.3">
      <c r="C111" s="763" t="s">
        <v>451</v>
      </c>
      <c r="D111" s="903">
        <v>22.266304542861043</v>
      </c>
      <c r="E111" s="923">
        <v>14.589995777976769</v>
      </c>
      <c r="F111" s="94"/>
      <c r="G111" s="94"/>
    </row>
    <row r="112" spans="3:7" ht="15.75" thickBot="1" x14ac:dyDescent="0.3">
      <c r="C112" s="786" t="s">
        <v>450</v>
      </c>
      <c r="D112" s="903">
        <v>6.6580510193473375</v>
      </c>
      <c r="E112" s="923">
        <v>44.703751873495428</v>
      </c>
      <c r="F112" s="94"/>
      <c r="G112" s="94"/>
    </row>
    <row r="113" spans="3:7" ht="15" x14ac:dyDescent="0.25">
      <c r="C113" s="94"/>
      <c r="D113" s="94"/>
      <c r="E113" s="94"/>
      <c r="F113" s="94"/>
      <c r="G113" s="94"/>
    </row>
    <row r="114" spans="3:7" ht="15.75" thickBot="1" x14ac:dyDescent="0.3">
      <c r="C114" s="94"/>
      <c r="D114" s="94"/>
      <c r="E114" s="94"/>
      <c r="F114" s="94"/>
      <c r="G114" s="94"/>
    </row>
    <row r="115" spans="3:7" ht="45.75" thickBot="1" x14ac:dyDescent="0.25">
      <c r="C115" s="1001" t="s">
        <v>594</v>
      </c>
      <c r="D115" s="1002" t="s">
        <v>595</v>
      </c>
      <c r="E115" s="348" t="s">
        <v>596</v>
      </c>
      <c r="F115" s="1003" t="s">
        <v>671</v>
      </c>
      <c r="G115" s="1004" t="s">
        <v>672</v>
      </c>
    </row>
    <row r="116" spans="3:7" ht="15" x14ac:dyDescent="0.2">
      <c r="C116" s="1005"/>
      <c r="D116" s="1006" t="s">
        <v>220</v>
      </c>
      <c r="E116" s="1007" t="s">
        <v>597</v>
      </c>
      <c r="F116" s="942">
        <v>93.07</v>
      </c>
      <c r="G116" s="924"/>
    </row>
    <row r="117" spans="3:7" ht="15" x14ac:dyDescent="0.2">
      <c r="C117" s="1005"/>
      <c r="D117" s="1008" t="s">
        <v>598</v>
      </c>
      <c r="E117" s="1007"/>
      <c r="F117" s="739">
        <v>47.600000000000009</v>
      </c>
      <c r="G117" s="924"/>
    </row>
    <row r="118" spans="3:7" ht="15" x14ac:dyDescent="0.2">
      <c r="C118" s="1005"/>
      <c r="D118" s="1008" t="s">
        <v>599</v>
      </c>
      <c r="E118" s="1009"/>
      <c r="F118" s="739">
        <v>31.03</v>
      </c>
      <c r="G118" s="925"/>
    </row>
    <row r="119" spans="3:7" ht="15.75" thickBot="1" x14ac:dyDescent="0.25">
      <c r="C119" s="1010"/>
      <c r="D119" s="1011" t="s">
        <v>56</v>
      </c>
      <c r="E119" s="1012" t="s">
        <v>600</v>
      </c>
      <c r="F119" s="739">
        <v>1725.7850000000001</v>
      </c>
      <c r="G119" s="925"/>
    </row>
    <row r="120" spans="3:7" ht="15" thickBot="1" x14ac:dyDescent="0.25">
      <c r="C120" s="1013" t="s">
        <v>601</v>
      </c>
      <c r="D120" s="1014"/>
      <c r="E120" s="1015" t="s">
        <v>602</v>
      </c>
      <c r="F120" s="1016" t="s">
        <v>180</v>
      </c>
      <c r="G120" s="1017"/>
    </row>
  </sheetData>
  <mergeCells count="39">
    <mergeCell ref="B54:B55"/>
    <mergeCell ref="C33:G33"/>
    <mergeCell ref="H33:L33"/>
    <mergeCell ref="B39:L39"/>
    <mergeCell ref="H40:L40"/>
    <mergeCell ref="C41:D41"/>
    <mergeCell ref="E41:F41"/>
    <mergeCell ref="G41:G42"/>
    <mergeCell ref="H41:I41"/>
    <mergeCell ref="J41:K41"/>
    <mergeCell ref="C53:G53"/>
    <mergeCell ref="H53:L53"/>
    <mergeCell ref="B40:B42"/>
    <mergeCell ref="C40:G40"/>
    <mergeCell ref="L41:L42"/>
    <mergeCell ref="H77:L77"/>
    <mergeCell ref="H78:L86"/>
    <mergeCell ref="C54:D54"/>
    <mergeCell ref="E54:F54"/>
    <mergeCell ref="G54:G55"/>
    <mergeCell ref="H54:I54"/>
    <mergeCell ref="L54:L55"/>
    <mergeCell ref="J54:K54"/>
    <mergeCell ref="H71:H75"/>
    <mergeCell ref="J72:J74"/>
    <mergeCell ref="H76:I76"/>
    <mergeCell ref="B2:L2"/>
    <mergeCell ref="B4:B5"/>
    <mergeCell ref="C4:C5"/>
    <mergeCell ref="D4:G4"/>
    <mergeCell ref="H4:H31"/>
    <mergeCell ref="I4:L4"/>
    <mergeCell ref="I8:I9"/>
    <mergeCell ref="J8:J9"/>
    <mergeCell ref="K8:K9"/>
    <mergeCell ref="L8:L9"/>
    <mergeCell ref="E6:F6"/>
    <mergeCell ref="E10:F10"/>
    <mergeCell ref="E24:F24"/>
  </mergeCells>
  <conditionalFormatting sqref="G43:G51">
    <cfRule type="cellIs" dxfId="0" priority="16" operator="lessThan">
      <formula>3</formula>
    </cfRule>
  </conditionalFormatting>
  <pageMargins left="1.3" right="0" top="0.22" bottom="0" header="0" footer="0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C1:BB48"/>
  <sheetViews>
    <sheetView zoomScale="65" zoomScaleNormal="65" workbookViewId="0">
      <selection activeCell="S19" sqref="S19"/>
    </sheetView>
  </sheetViews>
  <sheetFormatPr defaultColWidth="9.140625" defaultRowHeight="18.75" x14ac:dyDescent="0.25"/>
  <cols>
    <col min="1" max="1" width="9.140625" style="175"/>
    <col min="2" max="2" width="0.5703125" style="175" customWidth="1"/>
    <col min="3" max="3" width="4.28515625" style="175" customWidth="1"/>
    <col min="4" max="4" width="8.7109375" style="175" customWidth="1"/>
    <col min="5" max="5" width="15.28515625" style="175" customWidth="1"/>
    <col min="6" max="6" width="13" style="175" customWidth="1"/>
    <col min="7" max="7" width="9.7109375" style="175" customWidth="1"/>
    <col min="8" max="8" width="10.140625" style="175" customWidth="1"/>
    <col min="9" max="9" width="13.140625" style="175" customWidth="1"/>
    <col min="10" max="11" width="12.5703125" style="175" customWidth="1"/>
    <col min="12" max="12" width="11.42578125" style="175" customWidth="1"/>
    <col min="13" max="14" width="9.140625" style="175"/>
    <col min="15" max="15" width="9.85546875" style="175" bestFit="1" customWidth="1"/>
    <col min="16" max="16" width="9.85546875" style="175" customWidth="1"/>
    <col min="17" max="17" width="9.140625" style="175"/>
    <col min="18" max="18" width="12" style="175" bestFit="1" customWidth="1"/>
    <col min="19" max="19" width="8.7109375" style="175" customWidth="1"/>
    <col min="20" max="20" width="10" style="175" customWidth="1"/>
    <col min="21" max="21" width="5.7109375" style="175" customWidth="1"/>
    <col min="22" max="22" width="6.140625" style="175" customWidth="1"/>
    <col min="23" max="23" width="9.140625" style="175"/>
    <col min="24" max="25" width="11" style="175" customWidth="1"/>
    <col min="26" max="27" width="9.140625" style="175"/>
    <col min="28" max="28" width="12.85546875" style="175" customWidth="1"/>
    <col min="29" max="29" width="12.28515625" style="175" customWidth="1"/>
    <col min="30" max="30" width="13.140625" style="175" customWidth="1"/>
    <col min="31" max="35" width="9.140625" style="175"/>
    <col min="36" max="36" width="9.85546875" style="175" bestFit="1" customWidth="1"/>
    <col min="37" max="37" width="14" style="175" bestFit="1" customWidth="1"/>
    <col min="38" max="38" width="4.42578125" style="175" customWidth="1"/>
    <col min="39" max="39" width="9.140625" style="175"/>
    <col min="40" max="40" width="11" style="175" bestFit="1" customWidth="1"/>
    <col min="41" max="41" width="12.7109375" style="175" customWidth="1"/>
    <col min="42" max="42" width="12" style="175" bestFit="1" customWidth="1"/>
    <col min="43" max="43" width="12" style="175" customWidth="1"/>
    <col min="44" max="44" width="12.85546875" style="175" bestFit="1" customWidth="1"/>
    <col min="45" max="45" width="3.42578125" style="175" customWidth="1"/>
    <col min="46" max="46" width="12.28515625" style="175" customWidth="1"/>
    <col min="47" max="16384" width="9.140625" style="175"/>
  </cols>
  <sheetData>
    <row r="1" spans="3:48" ht="19.5" thickBot="1" x14ac:dyDescent="0.3"/>
    <row r="2" spans="3:48" ht="31.5" x14ac:dyDescent="0.25">
      <c r="C2" s="237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021"/>
      <c r="O2" s="2021"/>
      <c r="P2" s="2021"/>
      <c r="Q2" s="2021"/>
      <c r="R2" s="2021"/>
      <c r="S2" s="2021"/>
      <c r="T2" s="2021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9"/>
    </row>
    <row r="3" spans="3:48" ht="31.5" x14ac:dyDescent="0.25">
      <c r="C3" s="240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62"/>
      <c r="O3" s="262"/>
      <c r="P3" s="2022"/>
      <c r="Q3" s="2022"/>
      <c r="R3" s="262"/>
      <c r="S3" s="262"/>
      <c r="T3" s="262"/>
      <c r="U3" s="241"/>
      <c r="V3" s="241"/>
      <c r="W3" s="262" t="s">
        <v>356</v>
      </c>
      <c r="X3" s="241"/>
      <c r="Y3" s="241"/>
      <c r="Z3" s="241"/>
      <c r="AA3" s="241"/>
      <c r="AB3" s="241"/>
      <c r="AC3" s="2030">
        <f ca="1">TODAY()-1</f>
        <v>46173</v>
      </c>
      <c r="AD3" s="2030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2"/>
    </row>
    <row r="4" spans="3:48" x14ac:dyDescent="0.25">
      <c r="C4" s="240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022"/>
      <c r="Q4" s="2022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2"/>
    </row>
    <row r="5" spans="3:48" x14ac:dyDescent="0.25">
      <c r="C5" s="240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1"/>
      <c r="AI5" s="241"/>
      <c r="AJ5" s="241"/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2"/>
    </row>
    <row r="6" spans="3:48" x14ac:dyDescent="0.25">
      <c r="C6" s="240"/>
      <c r="D6" s="241"/>
      <c r="E6" s="241"/>
      <c r="F6" s="241"/>
      <c r="G6" s="241"/>
      <c r="H6" s="241"/>
      <c r="I6" s="241"/>
      <c r="J6" s="241"/>
      <c r="K6" s="2027" t="s">
        <v>58</v>
      </c>
      <c r="L6" s="2027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027" t="s">
        <v>56</v>
      </c>
      <c r="X6" s="2027"/>
      <c r="Y6" s="241"/>
      <c r="Z6" s="241"/>
      <c r="AA6" s="241"/>
      <c r="AB6" s="241"/>
      <c r="AC6" s="241"/>
      <c r="AD6" s="241"/>
      <c r="AE6" s="241"/>
      <c r="AF6" s="241"/>
      <c r="AG6" s="241"/>
      <c r="AH6" s="241"/>
      <c r="AI6" s="241"/>
      <c r="AJ6" s="241"/>
      <c r="AK6" s="241"/>
      <c r="AL6" s="241"/>
      <c r="AM6" s="241"/>
      <c r="AN6" s="241"/>
      <c r="AO6" s="241"/>
      <c r="AP6" s="241"/>
      <c r="AQ6" s="241"/>
      <c r="AR6" s="241"/>
      <c r="AS6" s="241"/>
      <c r="AT6" s="241"/>
      <c r="AU6" s="241"/>
      <c r="AV6" s="242"/>
    </row>
    <row r="7" spans="3:48" x14ac:dyDescent="0.25">
      <c r="C7" s="240"/>
      <c r="D7" s="241"/>
      <c r="E7" s="241"/>
      <c r="F7" s="2026" t="s">
        <v>28</v>
      </c>
      <c r="G7" s="2026"/>
      <c r="H7" s="241"/>
      <c r="I7" s="241"/>
      <c r="J7" s="241"/>
      <c r="K7" s="228">
        <f>+DAILYREPORT1!C9</f>
        <v>98</v>
      </c>
      <c r="L7" s="229" t="e">
        <f>+#REF!</f>
        <v>#REF!</v>
      </c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28">
        <f>+DAILYREPORT1!C10</f>
        <v>99</v>
      </c>
      <c r="X7" s="229" t="e">
        <f>+#REF!</f>
        <v>#REF!</v>
      </c>
      <c r="Y7" s="232"/>
      <c r="Z7" s="241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  <c r="AT7" s="241"/>
      <c r="AU7" s="241"/>
      <c r="AV7" s="242"/>
    </row>
    <row r="8" spans="3:48" x14ac:dyDescent="0.25">
      <c r="C8" s="240"/>
      <c r="D8" s="241"/>
      <c r="E8" s="241"/>
      <c r="F8" s="241"/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2"/>
    </row>
    <row r="9" spans="3:48" x14ac:dyDescent="0.25">
      <c r="C9" s="240"/>
      <c r="D9" s="2025" t="s">
        <v>342</v>
      </c>
      <c r="E9" s="2025"/>
      <c r="F9" s="228">
        <f>+RAWMATERIALS!N36</f>
        <v>10704</v>
      </c>
      <c r="G9" s="229" t="e">
        <f>+RAWMATERIALS!O36</f>
        <v>#REF!</v>
      </c>
      <c r="H9" s="2027" t="s">
        <v>352</v>
      </c>
      <c r="I9" s="2027"/>
      <c r="J9" s="241"/>
      <c r="K9" s="241"/>
      <c r="L9" s="241"/>
      <c r="M9" s="241"/>
      <c r="N9" s="241"/>
      <c r="O9" s="241"/>
      <c r="P9" s="228">
        <f>+RAWMATERIALS!N47</f>
        <v>4654.8500000000004</v>
      </c>
      <c r="Q9" s="241"/>
      <c r="R9" s="229" t="e">
        <f>+RAWMATERIALS!O47</f>
        <v>#REF!</v>
      </c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2"/>
    </row>
    <row r="10" spans="3:48" x14ac:dyDescent="0.25">
      <c r="C10" s="240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2"/>
    </row>
    <row r="11" spans="3:48" x14ac:dyDescent="0.25">
      <c r="C11" s="240"/>
      <c r="D11" s="228">
        <f>+RAWMATERIALS!N37+RAWMATERIALS!N38</f>
        <v>2088</v>
      </c>
      <c r="E11" s="229" t="e">
        <f>+RAWMATERIALS!O37+RAWMATERIALS!O38</f>
        <v>#REF!</v>
      </c>
      <c r="F11" s="241"/>
      <c r="G11" s="241"/>
      <c r="H11" s="228">
        <f>+RAWMATERIALS!N39</f>
        <v>482</v>
      </c>
      <c r="I11" s="229" t="e">
        <f>+RAWMATERIALS!O39</f>
        <v>#REF!</v>
      </c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2"/>
    </row>
    <row r="12" spans="3:48" x14ac:dyDescent="0.25">
      <c r="C12" s="240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  <c r="AA12" s="241"/>
      <c r="AB12" s="241"/>
      <c r="AC12" s="241"/>
      <c r="AD12" s="241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2"/>
    </row>
    <row r="13" spans="3:48" x14ac:dyDescent="0.25">
      <c r="C13" s="240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042" t="s">
        <v>355</v>
      </c>
      <c r="Y13" s="2042"/>
      <c r="Z13" s="2042"/>
      <c r="AA13" s="2042"/>
      <c r="AB13" s="2042"/>
      <c r="AC13" s="2042"/>
      <c r="AD13" s="241"/>
      <c r="AE13" s="241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2"/>
    </row>
    <row r="14" spans="3:48" x14ac:dyDescent="0.25">
      <c r="C14" s="240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028" t="s">
        <v>34</v>
      </c>
      <c r="O14" s="2028"/>
      <c r="P14" s="241"/>
      <c r="Q14" s="241"/>
      <c r="R14" s="241"/>
      <c r="S14" s="241"/>
      <c r="T14" s="241"/>
      <c r="U14" s="241"/>
      <c r="V14" s="241"/>
      <c r="W14" s="241"/>
      <c r="X14" s="2042"/>
      <c r="Y14" s="2042"/>
      <c r="Z14" s="2042"/>
      <c r="AA14" s="2042"/>
      <c r="AB14" s="2042"/>
      <c r="AC14" s="2042"/>
      <c r="AD14" s="241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2"/>
    </row>
    <row r="15" spans="3:48" x14ac:dyDescent="0.25">
      <c r="C15" s="240"/>
      <c r="D15" s="241"/>
      <c r="E15" s="241"/>
      <c r="F15" s="241"/>
      <c r="G15" s="241"/>
      <c r="H15" s="241"/>
      <c r="I15" s="241"/>
      <c r="J15" s="241"/>
      <c r="K15" s="2029" t="s">
        <v>128</v>
      </c>
      <c r="L15" s="2029"/>
      <c r="M15" s="241"/>
      <c r="N15" s="228">
        <f>+RAWMATERIALS!N51</f>
        <v>0</v>
      </c>
      <c r="O15" s="229" t="e">
        <f>+RAWMATERIALS!O51</f>
        <v>#REF!</v>
      </c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2"/>
    </row>
    <row r="16" spans="3:48" x14ac:dyDescent="0.25">
      <c r="C16" s="240"/>
      <c r="D16" s="241"/>
      <c r="E16" s="241"/>
      <c r="F16" s="241"/>
      <c r="G16" s="241"/>
      <c r="H16" s="241"/>
      <c r="I16" s="241"/>
      <c r="J16" s="241"/>
      <c r="K16" s="234">
        <f>+RAWMATERIALS!N49</f>
        <v>2626</v>
      </c>
      <c r="L16" s="229" t="e">
        <f>+RAWMATERIALS!O49</f>
        <v>#REF!</v>
      </c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1"/>
      <c r="AU16" s="241"/>
      <c r="AV16" s="242"/>
    </row>
    <row r="17" spans="3:54" ht="23.25" x14ac:dyDescent="0.25">
      <c r="C17" s="240"/>
      <c r="D17" s="241"/>
      <c r="E17" s="241"/>
      <c r="F17" s="241"/>
      <c r="G17" s="241"/>
      <c r="H17" s="241"/>
      <c r="I17" s="241"/>
      <c r="J17" s="241"/>
      <c r="K17" s="241"/>
      <c r="L17" s="243"/>
      <c r="M17" s="254" t="s">
        <v>33</v>
      </c>
      <c r="N17" s="255"/>
      <c r="O17" s="241"/>
      <c r="P17" s="241"/>
      <c r="Q17" s="241"/>
      <c r="R17" s="241"/>
      <c r="S17" s="2036" t="s">
        <v>139</v>
      </c>
      <c r="T17" s="2036"/>
      <c r="U17" s="241"/>
      <c r="V17" s="241"/>
      <c r="W17" s="241"/>
      <c r="X17" s="241"/>
      <c r="Y17" s="241"/>
      <c r="Z17" s="241"/>
      <c r="AA17" s="241"/>
      <c r="AB17" s="241"/>
      <c r="AC17" s="241"/>
      <c r="AD17" s="241"/>
      <c r="AE17" s="241"/>
      <c r="AF17" s="241"/>
      <c r="AG17" s="241"/>
      <c r="AH17" s="241"/>
      <c r="AI17" s="2033" t="s">
        <v>11</v>
      </c>
      <c r="AJ17" s="2033"/>
      <c r="AK17" s="2033"/>
      <c r="AL17" s="241"/>
      <c r="AM17" s="2034" t="s">
        <v>354</v>
      </c>
      <c r="AN17" s="2034"/>
      <c r="AO17" s="2034"/>
      <c r="AP17" s="2034"/>
      <c r="AQ17" s="2034"/>
      <c r="AR17" s="2034"/>
      <c r="AS17" s="241"/>
      <c r="AT17" s="2023" t="s">
        <v>108</v>
      </c>
      <c r="AU17" s="241"/>
      <c r="AV17" s="242"/>
    </row>
    <row r="18" spans="3:54" ht="21" x14ac:dyDescent="0.25">
      <c r="C18" s="240"/>
      <c r="D18" s="241"/>
      <c r="E18" s="241"/>
      <c r="F18" s="241"/>
      <c r="G18" s="241"/>
      <c r="H18" s="241"/>
      <c r="I18" s="2029" t="s">
        <v>333</v>
      </c>
      <c r="J18" s="2029"/>
      <c r="K18" s="243"/>
      <c r="L18" s="241"/>
      <c r="M18" s="228">
        <f>+RAWMATERIALS!N50</f>
        <v>0</v>
      </c>
      <c r="N18" s="229" t="e">
        <f>+RAWMATERIALS!O50</f>
        <v>#REF!</v>
      </c>
      <c r="O18" s="241"/>
      <c r="P18" s="241"/>
      <c r="Q18" s="241"/>
      <c r="R18" s="241"/>
      <c r="S18" s="228">
        <f>+RAWMATERIALS!F34</f>
        <v>1215</v>
      </c>
      <c r="T18" s="229" t="e">
        <f>+#REF!</f>
        <v>#REF!</v>
      </c>
      <c r="U18" s="241"/>
      <c r="V18" s="241"/>
      <c r="W18" s="241"/>
      <c r="X18" s="241"/>
      <c r="Y18" s="241"/>
      <c r="Z18" s="241"/>
      <c r="AA18" s="241"/>
      <c r="AB18" s="241"/>
      <c r="AC18" s="241"/>
      <c r="AD18" s="241"/>
      <c r="AE18" s="241"/>
      <c r="AF18" s="241"/>
      <c r="AG18" s="241"/>
      <c r="AH18" s="241"/>
      <c r="AI18" s="2033"/>
      <c r="AJ18" s="2033"/>
      <c r="AK18" s="2033"/>
      <c r="AL18" s="241"/>
      <c r="AM18" s="2031" t="s">
        <v>336</v>
      </c>
      <c r="AN18" s="2031"/>
      <c r="AO18" s="2032" t="s">
        <v>337</v>
      </c>
      <c r="AP18" s="2032"/>
      <c r="AQ18" s="2035" t="s">
        <v>1</v>
      </c>
      <c r="AR18" s="2035"/>
      <c r="AS18" s="241"/>
      <c r="AT18" s="2023"/>
      <c r="AU18" s="241"/>
      <c r="AV18" s="242"/>
    </row>
    <row r="19" spans="3:54" ht="30.2" customHeight="1" x14ac:dyDescent="0.25">
      <c r="C19" s="244"/>
      <c r="D19" s="241"/>
      <c r="E19" s="2024" t="s">
        <v>335</v>
      </c>
      <c r="F19" s="2024"/>
      <c r="G19" s="241"/>
      <c r="H19" s="241"/>
      <c r="I19" s="228">
        <f>+DAILYREPORT1!C12</f>
        <v>5905</v>
      </c>
      <c r="J19" s="229" t="e">
        <f>+#REF!</f>
        <v>#REF!</v>
      </c>
      <c r="K19" s="232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56" t="s">
        <v>328</v>
      </c>
      <c r="Y19" s="228">
        <f>+DAILYREPORT1!C22</f>
        <v>23</v>
      </c>
      <c r="Z19" s="229" t="e">
        <f>+#REF!</f>
        <v>#REF!</v>
      </c>
      <c r="AA19" s="258" t="s">
        <v>329</v>
      </c>
      <c r="AB19" s="228">
        <f>+DAILYREPORT1!C26</f>
        <v>23</v>
      </c>
      <c r="AC19" s="229" t="e">
        <f>+#REF!</f>
        <v>#REF!</v>
      </c>
      <c r="AD19" s="241"/>
      <c r="AE19" s="241"/>
      <c r="AF19" s="241"/>
      <c r="AG19" s="241"/>
      <c r="AH19" s="241"/>
      <c r="AI19" s="245" t="s">
        <v>338</v>
      </c>
      <c r="AJ19" s="235">
        <f>+DAILYREPORT1!C33</f>
        <v>1338.6499999999999</v>
      </c>
      <c r="AK19" s="229" t="e">
        <f>+#REF!</f>
        <v>#REF!</v>
      </c>
      <c r="AL19" s="232"/>
      <c r="AM19" s="228" t="e">
        <f>+#REF!+#REF!</f>
        <v>#REF!</v>
      </c>
      <c r="AN19" s="229" t="e">
        <f>+#REF!+#REF!</f>
        <v>#REF!</v>
      </c>
      <c r="AO19" s="228" t="e">
        <f>+#REF!</f>
        <v>#REF!</v>
      </c>
      <c r="AP19" s="229" t="e">
        <f>+#REF!</f>
        <v>#REF!</v>
      </c>
      <c r="AQ19" s="228" t="e">
        <f>+#REF!</f>
        <v>#REF!</v>
      </c>
      <c r="AR19" s="229" t="e">
        <f>+#REF!</f>
        <v>#REF!</v>
      </c>
      <c r="AS19" s="241"/>
      <c r="AT19" s="261" t="e">
        <f>+#REF!</f>
        <v>#REF!</v>
      </c>
      <c r="AU19" s="241"/>
      <c r="AV19" s="242"/>
    </row>
    <row r="20" spans="3:54" ht="30.75" customHeight="1" x14ac:dyDescent="0.25">
      <c r="C20" s="246"/>
      <c r="D20" s="241"/>
      <c r="E20" s="241"/>
      <c r="F20" s="241"/>
      <c r="G20" s="228">
        <f>+RAWMATERIALS!N41</f>
        <v>13936</v>
      </c>
      <c r="H20" s="230" t="e">
        <f>+RAWMATERIALS!O41</f>
        <v>#REF!</v>
      </c>
      <c r="I20" s="241"/>
      <c r="J20" s="241"/>
      <c r="K20" s="2037" t="s">
        <v>195</v>
      </c>
      <c r="L20" s="2037"/>
      <c r="M20" s="241"/>
      <c r="N20" s="241"/>
      <c r="O20" s="232"/>
      <c r="P20" s="232"/>
      <c r="Q20" s="241"/>
      <c r="R20" s="241"/>
      <c r="S20" s="228">
        <f>+DAILYREPORT1!C16</f>
        <v>8804.7000000000007</v>
      </c>
      <c r="T20" s="280" t="e">
        <f>+#REF!</f>
        <v>#REF!</v>
      </c>
      <c r="U20" s="233"/>
      <c r="V20" s="233"/>
      <c r="W20" s="241"/>
      <c r="X20" s="241"/>
      <c r="Y20" s="241"/>
      <c r="Z20" s="241"/>
      <c r="AA20" s="241"/>
      <c r="AB20" s="2040" t="s">
        <v>332</v>
      </c>
      <c r="AC20" s="241"/>
      <c r="AD20" s="247"/>
      <c r="AE20" s="241"/>
      <c r="AF20" s="241"/>
      <c r="AG20" s="241"/>
      <c r="AH20" s="241"/>
      <c r="AI20" s="245"/>
      <c r="AJ20" s="245"/>
      <c r="AK20" s="241"/>
      <c r="AL20" s="241"/>
      <c r="AM20" s="241"/>
      <c r="AN20" s="241"/>
      <c r="AO20" s="241"/>
      <c r="AP20" s="232"/>
      <c r="AQ20" s="232"/>
      <c r="AR20" s="241"/>
      <c r="AS20" s="241"/>
      <c r="AT20" s="241"/>
      <c r="AU20" s="241"/>
      <c r="AV20" s="242"/>
    </row>
    <row r="21" spans="3:54" ht="24.75" customHeight="1" x14ac:dyDescent="0.25">
      <c r="C21" s="240"/>
      <c r="D21" s="241"/>
      <c r="E21" s="241"/>
      <c r="F21" s="241"/>
      <c r="G21" s="241"/>
      <c r="H21" s="241"/>
      <c r="I21" s="241"/>
      <c r="J21" s="241"/>
      <c r="K21" s="228">
        <f>+DAILYREPORT1!C14</f>
        <v>11940</v>
      </c>
      <c r="L21" s="229" t="e">
        <f>+#REF!</f>
        <v>#REF!</v>
      </c>
      <c r="M21" s="241"/>
      <c r="N21" s="241"/>
      <c r="O21" s="241"/>
      <c r="P21" s="241"/>
      <c r="Q21" s="241"/>
      <c r="R21" s="247"/>
      <c r="S21" s="241"/>
      <c r="T21" s="241"/>
      <c r="U21" s="241"/>
      <c r="V21" s="241"/>
      <c r="W21" s="241"/>
      <c r="X21" s="241"/>
      <c r="Y21" s="241"/>
      <c r="Z21" s="241"/>
      <c r="AA21" s="241"/>
      <c r="AB21" s="2040"/>
      <c r="AC21" s="228">
        <f>+DAILYREPORT1!C30</f>
        <v>6236.6399999999994</v>
      </c>
      <c r="AD21" s="236" t="e">
        <f>+#REF!</f>
        <v>#REF!</v>
      </c>
      <c r="AE21" s="241"/>
      <c r="AF21" s="241"/>
      <c r="AG21" s="241"/>
      <c r="AH21" s="241"/>
      <c r="AI21" s="245"/>
      <c r="AJ21" s="245"/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1"/>
      <c r="AV21" s="242"/>
    </row>
    <row r="22" spans="3:54" ht="23.25" customHeight="1" x14ac:dyDescent="0.25">
      <c r="C22" s="244"/>
      <c r="D22" s="241"/>
      <c r="E22" s="2026" t="s">
        <v>210</v>
      </c>
      <c r="F22" s="2026"/>
      <c r="G22" s="241"/>
      <c r="H22" s="241"/>
      <c r="I22" s="241"/>
      <c r="J22" s="241"/>
      <c r="K22" s="232"/>
      <c r="L22" s="241"/>
      <c r="M22" s="241"/>
      <c r="N22" s="241"/>
      <c r="O22" s="241"/>
      <c r="P22" s="241"/>
      <c r="Q22" s="241"/>
      <c r="R22" s="247"/>
      <c r="S22" s="241"/>
      <c r="T22" s="241"/>
      <c r="U22" s="241"/>
      <c r="V22" s="241"/>
      <c r="W22" s="241"/>
      <c r="X22" s="241"/>
      <c r="Y22" s="241"/>
      <c r="Z22" s="241"/>
      <c r="AA22" s="241"/>
      <c r="AB22" s="2040"/>
      <c r="AC22" s="241"/>
      <c r="AD22" s="247"/>
      <c r="AE22" s="241"/>
      <c r="AF22" s="241"/>
      <c r="AG22" s="241"/>
      <c r="AH22" s="241"/>
      <c r="AI22" s="245" t="s">
        <v>339</v>
      </c>
      <c r="AJ22" s="235">
        <f>+DAILYREPORT1!C34</f>
        <v>2341.5250000000001</v>
      </c>
      <c r="AK22" s="229" t="e">
        <f>+#REF!</f>
        <v>#REF!</v>
      </c>
      <c r="AL22" s="232"/>
      <c r="AM22" s="228" t="e">
        <f>+#REF!+#REF!</f>
        <v>#REF!</v>
      </c>
      <c r="AN22" s="229" t="e">
        <f>+#REF!+#REF!</f>
        <v>#REF!</v>
      </c>
      <c r="AO22" s="228" t="e">
        <f>+#REF!</f>
        <v>#REF!</v>
      </c>
      <c r="AP22" s="229" t="e">
        <f>+#REF!</f>
        <v>#REF!</v>
      </c>
      <c r="AQ22" s="228" t="e">
        <f>+#REF!</f>
        <v>#REF!</v>
      </c>
      <c r="AR22" s="229" t="e">
        <f>+#REF!</f>
        <v>#REF!</v>
      </c>
      <c r="AS22" s="241"/>
      <c r="AT22" s="261" t="e">
        <f>+#REF!</f>
        <v>#REF!</v>
      </c>
      <c r="AU22" s="241"/>
      <c r="AV22" s="242"/>
      <c r="BB22" s="253"/>
    </row>
    <row r="23" spans="3:54" ht="21" x14ac:dyDescent="0.25">
      <c r="C23" s="240"/>
      <c r="D23" s="241"/>
      <c r="E23" s="228">
        <f>+RAWMATERIALS!N40</f>
        <v>14450</v>
      </c>
      <c r="F23" s="229" t="e">
        <f>+RAWMATERIALS!O40</f>
        <v>#REF!</v>
      </c>
      <c r="G23" s="241"/>
      <c r="H23" s="241"/>
      <c r="I23" s="228">
        <f>+DAILYREPORT1!C13</f>
        <v>6035</v>
      </c>
      <c r="J23" s="229" t="e">
        <f>+#REF!</f>
        <v>#REF!</v>
      </c>
      <c r="K23" s="243"/>
      <c r="L23" s="243"/>
      <c r="M23" s="241"/>
      <c r="N23" s="228">
        <f>+RAWMATERIALS!N48</f>
        <v>11520</v>
      </c>
      <c r="O23" s="229" t="e">
        <f>+RAWMATERIALS!O48</f>
        <v>#REF!</v>
      </c>
      <c r="P23" s="232"/>
      <c r="Q23" s="241"/>
      <c r="R23" s="241"/>
      <c r="S23" s="228">
        <f>+DAILYREPORT1!C18</f>
        <v>0</v>
      </c>
      <c r="T23" s="231" t="e">
        <f>+#REF!</f>
        <v>#REF!</v>
      </c>
      <c r="U23" s="241"/>
      <c r="V23" s="241"/>
      <c r="W23" s="241"/>
      <c r="X23" s="256" t="s">
        <v>92</v>
      </c>
      <c r="Y23" s="228">
        <f>+DAILYREPORT1!C23</f>
        <v>14</v>
      </c>
      <c r="Z23" s="229" t="e">
        <f>+#REF!</f>
        <v>#REF!</v>
      </c>
      <c r="AA23" s="258" t="s">
        <v>330</v>
      </c>
      <c r="AB23" s="228">
        <f>+DAILYREPORT1!C27</f>
        <v>17</v>
      </c>
      <c r="AC23" s="229" t="e">
        <f>+#REF!</f>
        <v>#REF!</v>
      </c>
      <c r="AD23" s="241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32"/>
      <c r="AQ23" s="232"/>
      <c r="AR23" s="241"/>
      <c r="AS23" s="241"/>
      <c r="AT23" s="241"/>
      <c r="AU23" s="241"/>
      <c r="AV23" s="242"/>
    </row>
    <row r="24" spans="3:54" ht="21.2" customHeight="1" x14ac:dyDescent="0.25">
      <c r="C24" s="240"/>
      <c r="D24" s="241"/>
      <c r="E24" s="241"/>
      <c r="F24" s="241"/>
      <c r="G24" s="241"/>
      <c r="H24" s="241"/>
      <c r="I24" s="2029" t="s">
        <v>334</v>
      </c>
      <c r="J24" s="2029"/>
      <c r="K24" s="232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040" t="s">
        <v>353</v>
      </c>
      <c r="AC24" s="247"/>
      <c r="AD24" s="247"/>
      <c r="AE24" s="247"/>
      <c r="AF24" s="241"/>
      <c r="AG24" s="241"/>
      <c r="AH24" s="241"/>
      <c r="AI24" s="245"/>
      <c r="AJ24" s="245"/>
      <c r="AK24" s="241"/>
      <c r="AL24" s="241"/>
      <c r="AM24" s="241"/>
      <c r="AN24" s="241"/>
      <c r="AO24" s="241"/>
      <c r="AP24" s="232"/>
      <c r="AQ24" s="232"/>
      <c r="AR24" s="241"/>
      <c r="AS24" s="241"/>
      <c r="AT24" s="241"/>
      <c r="AU24" s="241"/>
      <c r="AV24" s="242"/>
    </row>
    <row r="25" spans="3:54" ht="21.2" customHeight="1" x14ac:dyDescent="0.25">
      <c r="C25" s="244"/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2040"/>
      <c r="AC25" s="247"/>
      <c r="AD25" s="247"/>
      <c r="AE25" s="247"/>
      <c r="AF25" s="241"/>
      <c r="AG25" s="241"/>
      <c r="AH25" s="241"/>
      <c r="AI25" s="245" t="s">
        <v>340</v>
      </c>
      <c r="AJ25" s="245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2"/>
    </row>
    <row r="26" spans="3:54" x14ac:dyDescent="0.25">
      <c r="C26" s="240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28">
        <f>+DAILYREPORT1!C20</f>
        <v>0</v>
      </c>
      <c r="T26" s="229" t="e">
        <f>+#REF!</f>
        <v>#REF!</v>
      </c>
      <c r="U26" s="241"/>
      <c r="V26" s="241"/>
      <c r="W26" s="241"/>
      <c r="X26" s="241"/>
      <c r="Y26" s="241"/>
      <c r="Z26" s="241"/>
      <c r="AA26" s="241"/>
      <c r="AB26" s="2040"/>
      <c r="AC26" s="234">
        <f>+DAILYREPORT1!C31</f>
        <v>2340</v>
      </c>
      <c r="AD26" s="236" t="e">
        <f>+#REF!</f>
        <v>#REF!</v>
      </c>
      <c r="AE26" s="247"/>
      <c r="AF26" s="241"/>
      <c r="AG26" s="241"/>
      <c r="AH26" s="241"/>
      <c r="AI26" s="241"/>
      <c r="AJ26" s="228">
        <f>+DAILYREPORT1!C35</f>
        <v>681.7</v>
      </c>
      <c r="AK26" s="229" t="e">
        <f>+#REF!</f>
        <v>#REF!</v>
      </c>
      <c r="AL26" s="232"/>
      <c r="AM26" s="228" t="e">
        <f>+#REF!+#REF!</f>
        <v>#REF!</v>
      </c>
      <c r="AN26" s="229" t="e">
        <f>+#REF!+#REF!</f>
        <v>#REF!</v>
      </c>
      <c r="AO26" s="228" t="e">
        <f>+#REF!</f>
        <v>#REF!</v>
      </c>
      <c r="AP26" s="229" t="e">
        <f>+#REF!</f>
        <v>#REF!</v>
      </c>
      <c r="AQ26" s="228" t="e">
        <f>+#REF!</f>
        <v>#REF!</v>
      </c>
      <c r="AR26" s="229" t="e">
        <f>+#REF!</f>
        <v>#REF!</v>
      </c>
      <c r="AS26" s="241"/>
      <c r="AT26" s="261" t="e">
        <f>+#REF!</f>
        <v>#REF!</v>
      </c>
      <c r="AU26" s="241"/>
      <c r="AV26" s="242"/>
    </row>
    <row r="27" spans="3:54" ht="18.75" customHeight="1" x14ac:dyDescent="0.25">
      <c r="C27" s="240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  <c r="AA27" s="241"/>
      <c r="AB27" s="2040"/>
      <c r="AC27" s="247"/>
      <c r="AD27" s="247"/>
      <c r="AE27" s="247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32"/>
      <c r="AQ27" s="232"/>
      <c r="AR27" s="241"/>
      <c r="AS27" s="241"/>
      <c r="AT27" s="241"/>
      <c r="AU27" s="241"/>
      <c r="AV27" s="242"/>
    </row>
    <row r="28" spans="3:54" ht="18.75" customHeight="1" x14ac:dyDescent="0.25">
      <c r="C28" s="240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3"/>
      <c r="S28" s="243"/>
      <c r="T28" s="241"/>
      <c r="U28" s="241"/>
      <c r="V28" s="241"/>
      <c r="W28" s="241"/>
      <c r="X28" s="256" t="s">
        <v>90</v>
      </c>
      <c r="Y28" s="228">
        <f>+DAILYREPORT1!C24</f>
        <v>18</v>
      </c>
      <c r="Z28" s="229" t="e">
        <f>+#REF!</f>
        <v>#REF!</v>
      </c>
      <c r="AA28" s="258" t="s">
        <v>331</v>
      </c>
      <c r="AB28" s="228">
        <f>+DAILYREPORT1!C28</f>
        <v>15</v>
      </c>
      <c r="AC28" s="229" t="e">
        <f>+#REF!</f>
        <v>#REF!</v>
      </c>
      <c r="AD28" s="241"/>
      <c r="AE28" s="247"/>
      <c r="AF28" s="241"/>
      <c r="AG28" s="241"/>
      <c r="AH28" s="241"/>
      <c r="AI28" s="241"/>
      <c r="AJ28" s="235">
        <f>+DAILYREPORT1!C37</f>
        <v>0</v>
      </c>
      <c r="AK28" s="229">
        <f>+DAILYREPORT1!D37</f>
        <v>19329</v>
      </c>
      <c r="AL28" s="232"/>
      <c r="AM28" s="241"/>
      <c r="AN28" s="241"/>
      <c r="AO28" s="241"/>
      <c r="AP28" s="232"/>
      <c r="AQ28" s="232"/>
      <c r="AR28" s="241"/>
      <c r="AS28" s="241"/>
      <c r="AT28" s="261" t="e">
        <f>+#REF!</f>
        <v>#REF!</v>
      </c>
      <c r="AU28" s="241"/>
      <c r="AV28" s="242"/>
    </row>
    <row r="29" spans="3:54" ht="42" x14ac:dyDescent="0.25">
      <c r="C29" s="240"/>
      <c r="D29" s="241"/>
      <c r="F29" s="241"/>
      <c r="G29" s="241"/>
      <c r="H29" s="241"/>
      <c r="I29" s="241"/>
      <c r="J29" s="241"/>
      <c r="K29" s="243"/>
      <c r="L29" s="243"/>
      <c r="M29" s="243"/>
      <c r="N29" s="243"/>
      <c r="O29" s="248"/>
      <c r="P29" s="248"/>
      <c r="Q29" s="248"/>
      <c r="R29" s="241"/>
      <c r="S29" s="241"/>
      <c r="T29" s="241"/>
      <c r="U29" s="241"/>
      <c r="V29" s="241"/>
      <c r="W29" s="241"/>
      <c r="X29" s="257" t="s">
        <v>89</v>
      </c>
      <c r="Y29" s="234">
        <f>+DAILYREPORT1!C25</f>
        <v>55</v>
      </c>
      <c r="Z29" s="229" t="e">
        <f>+Z19+Z23+Z28</f>
        <v>#REF!</v>
      </c>
      <c r="AA29" s="259" t="s">
        <v>85</v>
      </c>
      <c r="AB29" s="228">
        <f>+DAILYREPORT1!C29</f>
        <v>55</v>
      </c>
      <c r="AC29" s="229" t="e">
        <f>+AC19+AC23+AC28</f>
        <v>#REF!</v>
      </c>
      <c r="AD29" s="241"/>
      <c r="AE29" s="241"/>
      <c r="AF29" s="241"/>
      <c r="AG29" s="241"/>
      <c r="AH29" s="241"/>
      <c r="AI29" s="245" t="s">
        <v>341</v>
      </c>
      <c r="AJ29" s="228">
        <f>+DAILYREPORT1!C38</f>
        <v>0</v>
      </c>
      <c r="AK29" s="229">
        <f>+DAILYREPORT1!D38</f>
        <v>3468</v>
      </c>
      <c r="AL29" s="232"/>
      <c r="AM29" s="228" t="e">
        <f>+#REF!+#REF!</f>
        <v>#REF!</v>
      </c>
      <c r="AN29" s="229" t="e">
        <f>+#REF!+#REF!</f>
        <v>#REF!</v>
      </c>
      <c r="AO29" s="228" t="e">
        <f>+#REF!</f>
        <v>#REF!</v>
      </c>
      <c r="AP29" s="229" t="e">
        <f>+#REF!</f>
        <v>#REF!</v>
      </c>
      <c r="AQ29" s="228" t="e">
        <f>+#REF!</f>
        <v>#REF!</v>
      </c>
      <c r="AR29" s="229" t="e">
        <f>+#REF!</f>
        <v>#REF!</v>
      </c>
      <c r="AS29" s="241"/>
      <c r="AT29" s="261" t="e">
        <f>+#REF!</f>
        <v>#REF!</v>
      </c>
      <c r="AU29" s="241"/>
      <c r="AV29" s="242"/>
    </row>
    <row r="30" spans="3:54" ht="23.25" x14ac:dyDescent="0.25">
      <c r="C30" s="240"/>
      <c r="D30" s="241"/>
      <c r="E30" s="278"/>
      <c r="F30" s="279" t="s">
        <v>52</v>
      </c>
      <c r="G30" s="241"/>
      <c r="H30" s="241"/>
      <c r="I30" s="241"/>
      <c r="J30" s="241"/>
      <c r="K30" s="243"/>
      <c r="L30" s="243"/>
      <c r="M30" s="243"/>
      <c r="N30" s="243"/>
      <c r="O30" s="2038" t="s">
        <v>137</v>
      </c>
      <c r="P30" s="2038"/>
      <c r="Q30" s="2038"/>
      <c r="R30" s="2038"/>
      <c r="S30" s="260"/>
      <c r="T30" s="260"/>
      <c r="U30" s="241"/>
      <c r="V30" s="241"/>
      <c r="W30" s="241"/>
      <c r="X30" s="241"/>
      <c r="Y30" s="241"/>
      <c r="Z30" s="2041" t="s">
        <v>244</v>
      </c>
      <c r="AA30" s="2041"/>
      <c r="AB30" s="2041"/>
      <c r="AC30" s="228">
        <f>+DAILYREPORT1!C32</f>
        <v>8576.64</v>
      </c>
      <c r="AD30" s="229" t="e">
        <f>+#REF!</f>
        <v>#REF!</v>
      </c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2"/>
    </row>
    <row r="31" spans="3:54" ht="23.25" customHeight="1" x14ac:dyDescent="0.25">
      <c r="C31" s="240"/>
      <c r="D31" s="241"/>
      <c r="E31" s="253"/>
      <c r="F31" s="279" t="s">
        <v>95</v>
      </c>
      <c r="G31" s="241"/>
      <c r="H31" s="241"/>
      <c r="I31" s="241"/>
      <c r="J31" s="241"/>
      <c r="K31" s="243"/>
      <c r="L31" s="243"/>
      <c r="M31" s="243"/>
      <c r="N31" s="243"/>
      <c r="O31" s="243"/>
      <c r="P31" s="243"/>
      <c r="Q31" s="243"/>
      <c r="R31" s="243"/>
      <c r="S31" s="243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039" t="s">
        <v>245</v>
      </c>
      <c r="AH31" s="2039"/>
      <c r="AI31" s="2039"/>
      <c r="AJ31" s="235">
        <f>+DAILYREPORT1!C39</f>
        <v>4361.875</v>
      </c>
      <c r="AK31" s="229" t="e">
        <f>+#REF!</f>
        <v>#REF!</v>
      </c>
      <c r="AL31" s="232"/>
      <c r="AM31" s="228" t="e">
        <f>+#REF!+#REF!</f>
        <v>#REF!</v>
      </c>
      <c r="AN31" s="229" t="e">
        <f>SUM(AN19:AN29)</f>
        <v>#REF!</v>
      </c>
      <c r="AO31" s="228" t="e">
        <f>+#REF!</f>
        <v>#REF!</v>
      </c>
      <c r="AP31" s="229" t="e">
        <f>SUM(AP19:AP29)</f>
        <v>#REF!</v>
      </c>
      <c r="AQ31" s="228" t="e">
        <f>+#REF!</f>
        <v>#REF!</v>
      </c>
      <c r="AR31" s="229" t="e">
        <f>SUM(AR19:AR29)</f>
        <v>#REF!</v>
      </c>
      <c r="AS31" s="241"/>
      <c r="AT31" s="261" t="e">
        <f>+#REF!</f>
        <v>#REF!</v>
      </c>
      <c r="AU31" s="241"/>
      <c r="AV31" s="242"/>
    </row>
    <row r="32" spans="3:54" ht="18.75" customHeight="1" x14ac:dyDescent="0.25">
      <c r="C32" s="240"/>
      <c r="D32" s="241"/>
      <c r="E32" s="241"/>
      <c r="F32" s="241"/>
      <c r="G32" s="241"/>
      <c r="H32" s="241"/>
      <c r="I32" s="241"/>
      <c r="J32" s="241"/>
      <c r="K32" s="243"/>
      <c r="L32" s="243"/>
      <c r="M32" s="243"/>
      <c r="N32" s="243"/>
      <c r="O32" s="243"/>
      <c r="P32" s="243"/>
      <c r="Q32" s="243"/>
      <c r="R32" s="243"/>
      <c r="S32" s="243"/>
      <c r="T32" s="241"/>
      <c r="U32" s="241"/>
      <c r="V32" s="241"/>
      <c r="W32" s="241"/>
      <c r="X32" s="241"/>
      <c r="Y32" s="241"/>
      <c r="Z32" s="241"/>
      <c r="AA32" s="241"/>
      <c r="AB32" s="241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2"/>
    </row>
    <row r="33" spans="3:48" ht="18.75" customHeight="1" x14ac:dyDescent="0.25">
      <c r="C33" s="240"/>
      <c r="D33" s="241"/>
      <c r="E33" s="241"/>
      <c r="F33" s="241"/>
      <c r="G33" s="241"/>
      <c r="H33" s="241"/>
      <c r="I33" s="241"/>
      <c r="J33" s="241"/>
      <c r="K33" s="243"/>
      <c r="L33" s="243"/>
      <c r="M33" s="243"/>
      <c r="N33" s="243"/>
      <c r="O33" s="243"/>
      <c r="P33" s="243"/>
      <c r="Q33" s="243"/>
      <c r="R33" s="243"/>
      <c r="S33" s="243"/>
      <c r="T33" s="241"/>
      <c r="U33" s="241"/>
      <c r="V33" s="241"/>
      <c r="W33" s="241"/>
      <c r="X33" s="241"/>
      <c r="Y33" s="241"/>
      <c r="Z33" s="241"/>
      <c r="AA33" s="241"/>
      <c r="AB33" s="241"/>
      <c r="AC33" s="241"/>
      <c r="AD33" s="241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2"/>
    </row>
    <row r="34" spans="3:48" ht="19.5" thickBot="1" x14ac:dyDescent="0.3">
      <c r="C34" s="249"/>
      <c r="D34" s="250"/>
      <c r="E34" s="250"/>
      <c r="F34" s="250"/>
      <c r="G34" s="250"/>
      <c r="H34" s="250"/>
      <c r="I34" s="250"/>
      <c r="J34" s="250"/>
      <c r="K34" s="251"/>
      <c r="L34" s="251"/>
      <c r="M34" s="251"/>
      <c r="N34" s="251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2"/>
    </row>
    <row r="40" spans="3:48" x14ac:dyDescent="0.25">
      <c r="Z40" s="174"/>
      <c r="AA40" s="174"/>
      <c r="AB40" s="174"/>
      <c r="AC40" s="174"/>
    </row>
    <row r="41" spans="3:48" x14ac:dyDescent="0.25">
      <c r="M41" s="174"/>
      <c r="R41" s="174"/>
    </row>
    <row r="42" spans="3:48" ht="26.45" customHeight="1" x14ac:dyDescent="0.25">
      <c r="M42" s="174"/>
      <c r="R42" s="174"/>
    </row>
    <row r="43" spans="3:48" ht="60" customHeight="1" x14ac:dyDescent="0.25"/>
    <row r="44" spans="3:48" ht="15" customHeight="1" x14ac:dyDescent="0.25">
      <c r="M44" s="174"/>
      <c r="R44" s="174"/>
    </row>
    <row r="45" spans="3:48" x14ac:dyDescent="0.25">
      <c r="M45" s="174"/>
    </row>
    <row r="46" spans="3:48" ht="15" customHeight="1" x14ac:dyDescent="0.25"/>
    <row r="47" spans="3:48" ht="15" customHeight="1" x14ac:dyDescent="0.25"/>
    <row r="48" spans="3:48" x14ac:dyDescent="0.25">
      <c r="R48" s="174"/>
    </row>
  </sheetData>
  <mergeCells count="28">
    <mergeCell ref="I24:J24"/>
    <mergeCell ref="K20:L20"/>
    <mergeCell ref="K6:L6"/>
    <mergeCell ref="O30:R30"/>
    <mergeCell ref="AG31:AI31"/>
    <mergeCell ref="AB20:AB22"/>
    <mergeCell ref="Z30:AB30"/>
    <mergeCell ref="AB24:AB27"/>
    <mergeCell ref="W6:X6"/>
    <mergeCell ref="X13:AC14"/>
    <mergeCell ref="E22:F22"/>
    <mergeCell ref="I18:J18"/>
    <mergeCell ref="AM18:AN18"/>
    <mergeCell ref="AO18:AP18"/>
    <mergeCell ref="AI17:AK18"/>
    <mergeCell ref="AM17:AR17"/>
    <mergeCell ref="AQ18:AR18"/>
    <mergeCell ref="S17:T17"/>
    <mergeCell ref="N2:T2"/>
    <mergeCell ref="P3:Q4"/>
    <mergeCell ref="AT17:AT18"/>
    <mergeCell ref="E19:F19"/>
    <mergeCell ref="D9:E9"/>
    <mergeCell ref="F7:G7"/>
    <mergeCell ref="H9:I9"/>
    <mergeCell ref="N14:O14"/>
    <mergeCell ref="K15:L15"/>
    <mergeCell ref="AC3:AD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pageSetUpPr fitToPage="1"/>
  </sheetPr>
  <dimension ref="B2:U29"/>
  <sheetViews>
    <sheetView zoomScale="130" zoomScaleNormal="130" workbookViewId="0">
      <selection activeCell="E19" sqref="E19:E20"/>
    </sheetView>
  </sheetViews>
  <sheetFormatPr defaultRowHeight="15" x14ac:dyDescent="0.25"/>
  <cols>
    <col min="1" max="1" width="3.140625" customWidth="1"/>
    <col min="3" max="3" width="9.5703125" bestFit="1" customWidth="1"/>
    <col min="4" max="4" width="13.85546875" customWidth="1"/>
    <col min="5" max="5" width="36.7109375" bestFit="1" customWidth="1"/>
    <col min="6" max="6" width="13.7109375" customWidth="1"/>
    <col min="7" max="7" width="9.85546875" bestFit="1" customWidth="1"/>
    <col min="8" max="8" width="13.85546875" customWidth="1"/>
    <col min="9" max="9" width="21.28515625" customWidth="1"/>
    <col min="10" max="10" width="12.85546875" customWidth="1"/>
    <col min="11" max="11" width="8.7109375" bestFit="1" customWidth="1"/>
    <col min="12" max="12" width="13.140625" customWidth="1"/>
    <col min="13" max="13" width="11.28515625" bestFit="1" customWidth="1"/>
    <col min="14" max="14" width="12.28515625" bestFit="1" customWidth="1"/>
    <col min="15" max="15" width="31.42578125" bestFit="1" customWidth="1"/>
    <col min="16" max="16" width="9.85546875" bestFit="1" customWidth="1"/>
    <col min="17" max="17" width="8.7109375" bestFit="1" customWidth="1"/>
    <col min="18" max="18" width="11.42578125" customWidth="1"/>
    <col min="19" max="19" width="9.85546875" bestFit="1" customWidth="1"/>
    <col min="20" max="20" width="8.7109375" bestFit="1" customWidth="1"/>
    <col min="21" max="21" width="10.42578125" bestFit="1" customWidth="1"/>
  </cols>
  <sheetData>
    <row r="2" spans="2:21" ht="15.75" thickBot="1" x14ac:dyDescent="0.3"/>
    <row r="3" spans="2:21" ht="14.25" customHeight="1" x14ac:dyDescent="0.25">
      <c r="B3" s="136"/>
      <c r="C3" s="87"/>
      <c r="D3" s="87"/>
      <c r="E3" s="87"/>
      <c r="F3" s="2046" t="s">
        <v>295</v>
      </c>
      <c r="G3" s="2046"/>
      <c r="H3" s="2046"/>
      <c r="I3" s="2046"/>
      <c r="J3" s="2046"/>
      <c r="K3" s="2046"/>
      <c r="L3" s="2046"/>
      <c r="M3" s="2046"/>
      <c r="N3" s="2046"/>
      <c r="O3" s="2046"/>
      <c r="P3" s="2046"/>
      <c r="Q3" s="2046"/>
      <c r="R3" s="2046"/>
      <c r="S3" s="2046"/>
      <c r="T3" s="87"/>
      <c r="U3" s="84"/>
    </row>
    <row r="4" spans="2:21" ht="14.25" customHeight="1" x14ac:dyDescent="0.25">
      <c r="B4" s="74"/>
      <c r="D4" s="137"/>
      <c r="F4" s="2047"/>
      <c r="G4" s="2047"/>
      <c r="H4" s="2047"/>
      <c r="I4" s="2047"/>
      <c r="J4" s="2047"/>
      <c r="K4" s="2047"/>
      <c r="L4" s="2047"/>
      <c r="M4" s="2047"/>
      <c r="N4" s="2047"/>
      <c r="O4" s="2047"/>
      <c r="P4" s="2047"/>
      <c r="Q4" s="2047"/>
      <c r="R4" s="2047"/>
      <c r="S4" s="2047"/>
      <c r="U4" s="71"/>
    </row>
    <row r="5" spans="2:21" ht="16.5" thickBot="1" x14ac:dyDescent="0.3">
      <c r="B5" s="74"/>
      <c r="D5" s="2048">
        <v>46173</v>
      </c>
      <c r="E5" s="2048"/>
      <c r="T5" s="138" t="s">
        <v>296</v>
      </c>
      <c r="U5" s="71"/>
    </row>
    <row r="6" spans="2:21" ht="15.75" x14ac:dyDescent="0.25">
      <c r="B6" s="74"/>
      <c r="C6" s="139" t="s">
        <v>297</v>
      </c>
      <c r="D6" s="2049" t="s">
        <v>298</v>
      </c>
      <c r="E6" s="2050"/>
      <c r="F6" s="2051"/>
      <c r="G6" s="2049" t="s">
        <v>299</v>
      </c>
      <c r="H6" s="2050"/>
      <c r="I6" s="2051"/>
      <c r="J6" s="2049" t="s">
        <v>300</v>
      </c>
      <c r="K6" s="2050"/>
      <c r="L6" s="2051"/>
      <c r="M6" s="2049" t="s">
        <v>301</v>
      </c>
      <c r="N6" s="2050"/>
      <c r="O6" s="2051"/>
      <c r="P6" s="2049" t="s">
        <v>302</v>
      </c>
      <c r="Q6" s="2050"/>
      <c r="R6" s="2051"/>
      <c r="S6" s="2049" t="s">
        <v>303</v>
      </c>
      <c r="T6" s="2050"/>
      <c r="U6" s="2051"/>
    </row>
    <row r="7" spans="2:21" ht="15.75" thickBot="1" x14ac:dyDescent="0.3">
      <c r="B7" s="74"/>
      <c r="C7" s="140"/>
      <c r="D7" s="141" t="s">
        <v>304</v>
      </c>
      <c r="E7" s="141" t="s">
        <v>666</v>
      </c>
      <c r="F7" s="141" t="s">
        <v>367</v>
      </c>
      <c r="G7" s="141" t="s">
        <v>304</v>
      </c>
      <c r="H7" s="141" t="s">
        <v>305</v>
      </c>
      <c r="I7" s="141" t="s">
        <v>367</v>
      </c>
      <c r="J7" s="141" t="s">
        <v>304</v>
      </c>
      <c r="K7" s="141" t="s">
        <v>305</v>
      </c>
      <c r="L7" s="141" t="s">
        <v>306</v>
      </c>
      <c r="M7" s="141" t="s">
        <v>304</v>
      </c>
      <c r="N7" s="141" t="s">
        <v>307</v>
      </c>
      <c r="O7" s="141" t="s">
        <v>306</v>
      </c>
      <c r="P7" s="141" t="s">
        <v>304</v>
      </c>
      <c r="Q7" s="141" t="s">
        <v>305</v>
      </c>
      <c r="R7" s="141" t="s">
        <v>306</v>
      </c>
      <c r="S7" s="141" t="s">
        <v>304</v>
      </c>
      <c r="T7" s="141" t="s">
        <v>305</v>
      </c>
      <c r="U7" s="149" t="s">
        <v>306</v>
      </c>
    </row>
    <row r="8" spans="2:21" ht="15.75" x14ac:dyDescent="0.25">
      <c r="B8" s="74"/>
      <c r="C8" s="142" t="s">
        <v>308</v>
      </c>
      <c r="D8" s="143"/>
      <c r="E8" s="144"/>
      <c r="F8" s="145">
        <v>0</v>
      </c>
      <c r="G8" s="143"/>
      <c r="H8" s="144"/>
      <c r="I8" s="145">
        <v>0</v>
      </c>
      <c r="J8" s="143"/>
      <c r="K8" s="144"/>
      <c r="L8" s="145">
        <v>0</v>
      </c>
      <c r="M8" s="143"/>
      <c r="N8" s="144"/>
      <c r="O8" s="145">
        <v>0</v>
      </c>
      <c r="P8" s="146"/>
      <c r="Q8" s="144"/>
      <c r="R8" s="145">
        <v>0</v>
      </c>
      <c r="S8" s="146"/>
      <c r="T8" s="144"/>
      <c r="U8" s="145">
        <v>0</v>
      </c>
    </row>
    <row r="9" spans="2:21" ht="15.75" x14ac:dyDescent="0.25">
      <c r="B9" s="74"/>
      <c r="C9" s="147" t="s">
        <v>309</v>
      </c>
      <c r="D9" s="148"/>
      <c r="E9" s="141"/>
      <c r="F9" s="149">
        <v>0</v>
      </c>
      <c r="G9" s="148"/>
      <c r="H9" s="141"/>
      <c r="I9" s="149">
        <v>0</v>
      </c>
      <c r="J9" s="148"/>
      <c r="K9" s="141"/>
      <c r="L9" s="149">
        <v>0</v>
      </c>
      <c r="M9" s="148"/>
      <c r="N9" s="141"/>
      <c r="O9" s="149">
        <v>0</v>
      </c>
      <c r="P9" s="150"/>
      <c r="Q9" s="141"/>
      <c r="R9" s="149">
        <v>0</v>
      </c>
      <c r="S9" s="150"/>
      <c r="T9" s="141"/>
      <c r="U9" s="149">
        <v>0</v>
      </c>
    </row>
    <row r="10" spans="2:21" ht="15.75" x14ac:dyDescent="0.25">
      <c r="B10" s="74"/>
      <c r="C10" s="147" t="s">
        <v>310</v>
      </c>
      <c r="D10" s="148"/>
      <c r="E10" s="141"/>
      <c r="F10" s="149">
        <v>0</v>
      </c>
      <c r="G10" s="148"/>
      <c r="H10" s="141"/>
      <c r="I10" s="149">
        <v>0</v>
      </c>
      <c r="J10" s="148"/>
      <c r="K10" s="141"/>
      <c r="L10" s="149">
        <v>0</v>
      </c>
      <c r="M10" s="148"/>
      <c r="N10" s="141"/>
      <c r="O10" s="149">
        <v>0</v>
      </c>
      <c r="P10" s="150"/>
      <c r="Q10" s="141"/>
      <c r="R10" s="149">
        <v>0</v>
      </c>
      <c r="S10" s="150"/>
      <c r="T10" s="141"/>
      <c r="U10" s="149">
        <v>0</v>
      </c>
    </row>
    <row r="11" spans="2:21" ht="15.75" x14ac:dyDescent="0.25">
      <c r="B11" s="74"/>
      <c r="C11" s="147" t="s">
        <v>311</v>
      </c>
      <c r="D11" s="148"/>
      <c r="E11" s="141"/>
      <c r="F11" s="149">
        <v>0</v>
      </c>
      <c r="G11" s="148"/>
      <c r="H11" s="141"/>
      <c r="I11" s="149">
        <v>0</v>
      </c>
      <c r="J11" s="148"/>
      <c r="K11" s="141"/>
      <c r="L11" s="149">
        <v>0</v>
      </c>
      <c r="M11" s="148"/>
      <c r="N11" s="141"/>
      <c r="O11" s="149">
        <v>0</v>
      </c>
      <c r="P11" s="150"/>
      <c r="Q11" s="141"/>
      <c r="R11" s="149">
        <v>0</v>
      </c>
      <c r="S11" s="150"/>
      <c r="T11" s="141"/>
      <c r="U11" s="149">
        <v>0</v>
      </c>
    </row>
    <row r="12" spans="2:21" ht="16.5" thickBot="1" x14ac:dyDescent="0.3">
      <c r="B12" s="74"/>
      <c r="C12" s="151" t="s">
        <v>312</v>
      </c>
      <c r="D12" s="152">
        <v>46934.28</v>
      </c>
      <c r="E12" s="153">
        <v>1060.1999999999998</v>
      </c>
      <c r="F12" s="154">
        <v>48344.479999999996</v>
      </c>
      <c r="G12" s="152">
        <v>33019.740000000005</v>
      </c>
      <c r="H12" s="153">
        <v>13320.500000000002</v>
      </c>
      <c r="I12" s="155">
        <v>49806.240000000005</v>
      </c>
      <c r="J12" s="156"/>
      <c r="K12" s="157"/>
      <c r="L12" s="158"/>
      <c r="M12" s="156"/>
      <c r="N12" s="157"/>
      <c r="O12" s="158"/>
      <c r="P12" s="159"/>
      <c r="Q12" s="157"/>
      <c r="R12" s="158"/>
      <c r="S12" s="159"/>
      <c r="T12" s="160">
        <v>2651.5709999999999</v>
      </c>
      <c r="U12" s="154">
        <v>2651.5709999999999</v>
      </c>
    </row>
    <row r="13" spans="2:21" ht="36.75" thickBot="1" x14ac:dyDescent="0.3">
      <c r="B13" s="74"/>
      <c r="C13" s="161" t="s">
        <v>313</v>
      </c>
      <c r="D13" s="162"/>
      <c r="E13" s="163"/>
      <c r="F13" s="162"/>
      <c r="G13" s="152"/>
      <c r="H13" s="281"/>
      <c r="I13" s="972" t="s">
        <v>643</v>
      </c>
      <c r="J13" s="984"/>
      <c r="K13" s="165"/>
      <c r="L13" s="164"/>
      <c r="M13" s="164"/>
      <c r="N13" s="165"/>
      <c r="O13" s="164"/>
      <c r="P13" s="164"/>
      <c r="Q13" s="165"/>
      <c r="R13" s="164"/>
      <c r="S13" s="164"/>
      <c r="T13" s="163"/>
      <c r="U13" s="162"/>
    </row>
    <row r="14" spans="2:21" ht="16.5" thickBot="1" x14ac:dyDescent="0.3">
      <c r="B14" s="114"/>
      <c r="C14" s="202"/>
      <c r="D14" s="202"/>
      <c r="E14" s="202"/>
      <c r="F14" s="202"/>
      <c r="G14" s="202"/>
      <c r="H14" s="202"/>
      <c r="I14" s="974">
        <v>3466</v>
      </c>
      <c r="J14" s="202"/>
      <c r="K14" s="202"/>
      <c r="L14" s="83"/>
      <c r="M14" s="72"/>
      <c r="U14" s="71"/>
    </row>
    <row r="15" spans="2:21" ht="30.75" customHeight="1" thickBot="1" x14ac:dyDescent="0.3">
      <c r="B15" s="114"/>
      <c r="C15" s="2052" t="s">
        <v>362</v>
      </c>
      <c r="D15" s="2043"/>
      <c r="E15" s="2043" t="s">
        <v>363</v>
      </c>
      <c r="F15" s="2043"/>
      <c r="G15" s="2043"/>
      <c r="H15" s="985"/>
      <c r="I15" s="2043" t="s">
        <v>364</v>
      </c>
      <c r="J15" s="2044"/>
      <c r="K15" s="202"/>
      <c r="L15" s="83"/>
      <c r="M15" s="2053" t="s">
        <v>312</v>
      </c>
      <c r="N15" s="2054"/>
      <c r="O15" s="2054"/>
      <c r="P15" s="2055"/>
      <c r="U15" s="71"/>
    </row>
    <row r="16" spans="2:21" ht="30.75" thickBot="1" x14ac:dyDescent="0.3">
      <c r="B16" s="114"/>
      <c r="C16" s="994" t="s">
        <v>365</v>
      </c>
      <c r="D16" s="995" t="s">
        <v>366</v>
      </c>
      <c r="E16" s="995" t="s">
        <v>365</v>
      </c>
      <c r="F16" s="995" t="s">
        <v>667</v>
      </c>
      <c r="G16" s="995" t="s">
        <v>366</v>
      </c>
      <c r="H16" s="996"/>
      <c r="I16" s="995" t="s">
        <v>365</v>
      </c>
      <c r="J16" s="997" t="s">
        <v>366</v>
      </c>
      <c r="K16" s="202"/>
      <c r="L16" s="83"/>
      <c r="M16" s="2056" t="s">
        <v>314</v>
      </c>
      <c r="N16" s="2057"/>
      <c r="O16" s="2056" t="s">
        <v>644</v>
      </c>
      <c r="P16" s="2057"/>
      <c r="U16" s="71"/>
    </row>
    <row r="17" spans="2:21" ht="15" customHeight="1" thickBot="1" x14ac:dyDescent="0.3">
      <c r="B17" s="114"/>
      <c r="C17" s="986">
        <v>14380.7</v>
      </c>
      <c r="D17" s="987">
        <v>0</v>
      </c>
      <c r="E17" s="988">
        <v>17010.627000000004</v>
      </c>
      <c r="F17" s="989">
        <v>246.5</v>
      </c>
      <c r="G17" s="990">
        <v>0</v>
      </c>
      <c r="H17" s="991"/>
      <c r="I17" s="992">
        <v>31391.327000000005</v>
      </c>
      <c r="J17" s="993">
        <v>0</v>
      </c>
      <c r="K17" s="202"/>
      <c r="L17" s="83"/>
      <c r="M17" s="166" t="s">
        <v>315</v>
      </c>
      <c r="N17" s="167">
        <v>33019.740000000005</v>
      </c>
      <c r="O17" s="166" t="s">
        <v>315</v>
      </c>
      <c r="P17" s="167">
        <v>13320.500000000002</v>
      </c>
      <c r="U17" s="71"/>
    </row>
    <row r="18" spans="2:21" ht="15" customHeight="1" x14ac:dyDescent="0.25">
      <c r="B18" s="114"/>
      <c r="C18" s="202"/>
      <c r="D18" s="202"/>
      <c r="E18" s="202"/>
      <c r="F18" s="202"/>
      <c r="G18" s="202"/>
      <c r="H18" s="202"/>
      <c r="I18" s="202"/>
      <c r="J18" s="202"/>
      <c r="K18" s="202"/>
      <c r="M18" s="168" t="s">
        <v>316</v>
      </c>
      <c r="N18" s="973">
        <v>3211.28</v>
      </c>
      <c r="O18" s="168" t="s">
        <v>316</v>
      </c>
      <c r="P18" s="169">
        <v>670.19999999999982</v>
      </c>
      <c r="T18" s="170"/>
      <c r="U18" s="71"/>
    </row>
    <row r="19" spans="2:21" ht="15" customHeight="1" x14ac:dyDescent="0.25">
      <c r="B19" s="114"/>
      <c r="C19" s="202"/>
      <c r="D19" s="202"/>
      <c r="E19" s="202"/>
      <c r="F19" s="202"/>
      <c r="G19" s="202"/>
      <c r="H19" s="202"/>
      <c r="I19" s="202"/>
      <c r="J19" s="202"/>
      <c r="K19" s="202"/>
      <c r="M19" s="168" t="s">
        <v>642</v>
      </c>
      <c r="N19" s="169">
        <v>43723</v>
      </c>
      <c r="O19" s="168" t="s">
        <v>645</v>
      </c>
      <c r="P19" s="973">
        <v>390</v>
      </c>
      <c r="S19" s="170"/>
      <c r="U19" s="71"/>
    </row>
    <row r="20" spans="2:21" ht="15.75" customHeight="1" thickBot="1" x14ac:dyDescent="0.3">
      <c r="B20" s="114"/>
      <c r="C20" s="202"/>
      <c r="D20" s="202"/>
      <c r="E20" s="202"/>
      <c r="F20" s="202"/>
      <c r="G20" s="202"/>
      <c r="H20" s="202"/>
      <c r="I20" s="941"/>
      <c r="J20" s="202"/>
      <c r="K20" s="202"/>
      <c r="M20" s="171"/>
      <c r="N20" s="172"/>
      <c r="O20" s="171"/>
      <c r="P20" s="173"/>
      <c r="U20" s="71"/>
    </row>
    <row r="21" spans="2:21" ht="15" customHeight="1" x14ac:dyDescent="0.25">
      <c r="B21" s="114"/>
      <c r="C21" s="202"/>
      <c r="D21" s="202"/>
      <c r="E21" s="202"/>
      <c r="F21" s="202"/>
      <c r="G21" s="202"/>
      <c r="H21" s="202"/>
      <c r="I21" s="202"/>
      <c r="J21" s="202"/>
      <c r="K21" s="202"/>
      <c r="M21" s="6"/>
      <c r="N21" s="6"/>
      <c r="O21" s="6"/>
      <c r="P21" s="6"/>
      <c r="U21" s="71"/>
    </row>
    <row r="22" spans="2:21" ht="17.25" x14ac:dyDescent="0.25">
      <c r="B22" s="114"/>
      <c r="C22" s="202"/>
      <c r="D22" s="202"/>
      <c r="E22" s="202"/>
      <c r="F22" s="202"/>
      <c r="G22" s="202"/>
      <c r="H22" s="202"/>
      <c r="I22" s="202"/>
      <c r="J22" s="202"/>
      <c r="K22" s="202"/>
      <c r="L22" s="2045"/>
      <c r="M22" s="2045"/>
      <c r="N22" s="2045"/>
      <c r="O22" s="2045"/>
      <c r="P22" s="2045"/>
      <c r="Q22" s="2045"/>
      <c r="R22" s="2045"/>
      <c r="S22" s="286"/>
      <c r="U22" s="71"/>
    </row>
    <row r="23" spans="2:21" ht="15" customHeight="1" x14ac:dyDescent="0.25">
      <c r="B23" s="114"/>
      <c r="C23" s="83"/>
      <c r="D23" s="83"/>
      <c r="E23" s="83"/>
      <c r="F23" s="83"/>
      <c r="G23" s="83"/>
      <c r="H23" s="83"/>
      <c r="I23" s="83"/>
      <c r="J23" s="83"/>
      <c r="K23" s="83"/>
      <c r="L23" s="2045"/>
      <c r="M23" s="2045"/>
      <c r="N23" s="2045"/>
      <c r="O23" s="2045"/>
      <c r="P23" s="2045"/>
      <c r="Q23" s="2045"/>
      <c r="R23" s="2045"/>
      <c r="S23" s="286"/>
      <c r="U23" s="71"/>
    </row>
    <row r="24" spans="2:21" ht="15.75" thickBot="1" x14ac:dyDescent="0.3">
      <c r="B24" s="85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3"/>
    </row>
    <row r="25" spans="2:21" x14ac:dyDescent="0.25">
      <c r="H25" s="170"/>
    </row>
    <row r="26" spans="2:21" x14ac:dyDescent="0.25">
      <c r="F26" s="979"/>
      <c r="J26" s="170"/>
    </row>
    <row r="28" spans="2:21" x14ac:dyDescent="0.25">
      <c r="N28" s="75" t="s">
        <v>371</v>
      </c>
    </row>
    <row r="29" spans="2:21" x14ac:dyDescent="0.25">
      <c r="N29" s="75" t="s">
        <v>372</v>
      </c>
    </row>
  </sheetData>
  <mergeCells count="16">
    <mergeCell ref="E15:G15"/>
    <mergeCell ref="I15:J15"/>
    <mergeCell ref="L23:R23"/>
    <mergeCell ref="L22:R22"/>
    <mergeCell ref="F3:S4"/>
    <mergeCell ref="D5:E5"/>
    <mergeCell ref="D6:F6"/>
    <mergeCell ref="G6:I6"/>
    <mergeCell ref="J6:L6"/>
    <mergeCell ref="M6:O6"/>
    <mergeCell ref="P6:R6"/>
    <mergeCell ref="S6:U6"/>
    <mergeCell ref="C15:D15"/>
    <mergeCell ref="M15:P15"/>
    <mergeCell ref="M16:N16"/>
    <mergeCell ref="O16:P16"/>
  </mergeCells>
  <pageMargins left="0.70866141732283472" right="0.70866141732283472" top="0.74803149606299213" bottom="0.74803149606299213" header="0.31496062992125984" footer="0.31496062992125984"/>
  <pageSetup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CEOREPORT</vt:lpstr>
      <vt:lpstr>RAWMATERIALS</vt:lpstr>
      <vt:lpstr>DAILYREPORT1</vt:lpstr>
      <vt:lpstr>RAWMATERIAL &amp; CONSTRAINTS</vt:lpstr>
      <vt:lpstr>ECR DELHI</vt:lpstr>
      <vt:lpstr>DIC REPORT-1</vt:lpstr>
      <vt:lpstr>DIC REPORT-2</vt:lpstr>
      <vt:lpstr>PROCESS FLOW</vt:lpstr>
      <vt:lpstr>SEMIS</vt:lpstr>
      <vt:lpstr>CEOREPORT!LoadName0</vt:lpstr>
      <vt:lpstr>CEOREPORT!LoadName1</vt:lpstr>
      <vt:lpstr>CEOREPORT!LoadName2</vt:lpstr>
      <vt:lpstr>CEOREPORT!LoadName3</vt:lpstr>
      <vt:lpstr>CEOREPORT!LoadName4</vt:lpstr>
      <vt:lpstr>CEOREPORT!LoadName5</vt:lpstr>
      <vt:lpstr>CEOREPORT!LoadName6</vt:lpstr>
      <vt:lpstr>CEOREPORT!Print_Area</vt:lpstr>
      <vt:lpstr>DAILYREPORT1!Print_Area</vt:lpstr>
      <vt:lpstr>'DIC REPORT-1'!Print_Area</vt:lpstr>
      <vt:lpstr>'DIC REPORT-2'!Print_Area</vt:lpstr>
      <vt:lpstr>'RAWMATERIAL &amp; CONSTRAINTS'!Print_Area</vt:lpstr>
      <vt:lpstr>RAWMATERIALS!Print_Area</vt:lpstr>
      <vt:lpstr>SEMIS!Print_Area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PPC</dc:creator>
  <cp:lastModifiedBy>PPC2140</cp:lastModifiedBy>
  <cp:lastPrinted>2026-06-01T03:07:25Z</cp:lastPrinted>
  <dcterms:created xsi:type="dcterms:W3CDTF">2017-04-20T05:59:17Z</dcterms:created>
  <dcterms:modified xsi:type="dcterms:W3CDTF">2026-06-01T03:22:43Z</dcterms:modified>
</cp:coreProperties>
</file>