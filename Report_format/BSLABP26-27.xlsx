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9555" windowHeight="7755"/>
  </bookViews>
  <sheets>
    <sheet name="PLAN SUMMARY" sheetId="1" r:id="rId1"/>
  </sheets>
  <externalReferences>
    <externalReference r:id="rId2"/>
  </externalReferences>
  <definedNames>
    <definedName name="_xlnm.Print_Area" localSheetId="0">'PLAN SUMMARY'!$A$1:$N$33</definedName>
  </definedNames>
  <calcPr calcId="144525"/>
</workbook>
</file>

<file path=xl/calcChain.xml><?xml version="1.0" encoding="utf-8"?>
<calcChain xmlns="http://schemas.openxmlformats.org/spreadsheetml/2006/main">
  <c r="R26" i="1" l="1"/>
  <c r="Q26" i="1"/>
  <c r="P26" i="1"/>
  <c r="M25" i="1"/>
  <c r="I25" i="1"/>
  <c r="N24" i="1"/>
  <c r="M24" i="1"/>
  <c r="K24" i="1"/>
  <c r="J24" i="1"/>
  <c r="L24" i="1" s="1"/>
  <c r="I24" i="1"/>
  <c r="H24" i="1"/>
  <c r="G24" i="1"/>
  <c r="F24" i="1"/>
  <c r="E24" i="1" s="1"/>
  <c r="D24" i="1"/>
  <c r="C24" i="1"/>
  <c r="B24" i="1"/>
  <c r="N23" i="1"/>
  <c r="M23" i="1"/>
  <c r="K23" i="1"/>
  <c r="J23" i="1"/>
  <c r="L23" i="1" s="1"/>
  <c r="I23" i="1"/>
  <c r="H23" i="1"/>
  <c r="G23" i="1"/>
  <c r="E23" i="1" s="1"/>
  <c r="F23" i="1"/>
  <c r="D23" i="1"/>
  <c r="C23" i="1"/>
  <c r="B23" i="1"/>
  <c r="N22" i="1"/>
  <c r="N25" i="1" s="1"/>
  <c r="M22" i="1"/>
  <c r="L22" i="1"/>
  <c r="K22" i="1"/>
  <c r="K25" i="1" s="1"/>
  <c r="J22" i="1"/>
  <c r="J25" i="1" s="1"/>
  <c r="I22" i="1"/>
  <c r="H22" i="1"/>
  <c r="H25" i="1" s="1"/>
  <c r="G22" i="1"/>
  <c r="E22" i="1" s="1"/>
  <c r="F22" i="1"/>
  <c r="F25" i="1" s="1"/>
  <c r="D22" i="1"/>
  <c r="D25" i="1" s="1"/>
  <c r="C22" i="1"/>
  <c r="C25" i="1" s="1"/>
  <c r="B22" i="1"/>
  <c r="B25" i="1" s="1"/>
  <c r="M21" i="1"/>
  <c r="I21" i="1"/>
  <c r="N20" i="1"/>
  <c r="M20" i="1"/>
  <c r="K20" i="1"/>
  <c r="J20" i="1"/>
  <c r="L20" i="1" s="1"/>
  <c r="I20" i="1"/>
  <c r="H20" i="1"/>
  <c r="G20" i="1"/>
  <c r="F20" i="1"/>
  <c r="E20" i="1" s="1"/>
  <c r="D20" i="1"/>
  <c r="C20" i="1"/>
  <c r="B20" i="1"/>
  <c r="N19" i="1"/>
  <c r="M19" i="1"/>
  <c r="K19" i="1"/>
  <c r="J19" i="1"/>
  <c r="L19" i="1" s="1"/>
  <c r="I19" i="1"/>
  <c r="H19" i="1"/>
  <c r="G19" i="1"/>
  <c r="E19" i="1" s="1"/>
  <c r="F19" i="1"/>
  <c r="D19" i="1"/>
  <c r="C19" i="1"/>
  <c r="B19" i="1"/>
  <c r="N18" i="1"/>
  <c r="N21" i="1" s="1"/>
  <c r="M18" i="1"/>
  <c r="L18" i="1"/>
  <c r="K18" i="1"/>
  <c r="K21" i="1" s="1"/>
  <c r="J18" i="1"/>
  <c r="J21" i="1" s="1"/>
  <c r="I18" i="1"/>
  <c r="H18" i="1"/>
  <c r="H21" i="1" s="1"/>
  <c r="G18" i="1"/>
  <c r="E18" i="1" s="1"/>
  <c r="F18" i="1"/>
  <c r="F21" i="1" s="1"/>
  <c r="D18" i="1"/>
  <c r="D21" i="1" s="1"/>
  <c r="C18" i="1"/>
  <c r="C21" i="1" s="1"/>
  <c r="B18" i="1"/>
  <c r="B21" i="1" s="1"/>
  <c r="M17" i="1"/>
  <c r="N16" i="1"/>
  <c r="M16" i="1"/>
  <c r="K16" i="1"/>
  <c r="J16" i="1"/>
  <c r="L16" i="1" s="1"/>
  <c r="I16" i="1"/>
  <c r="H16" i="1"/>
  <c r="G16" i="1"/>
  <c r="F16" i="1"/>
  <c r="E16" i="1" s="1"/>
  <c r="D16" i="1"/>
  <c r="C16" i="1"/>
  <c r="B16" i="1"/>
  <c r="N15" i="1"/>
  <c r="M15" i="1"/>
  <c r="K15" i="1"/>
  <c r="J15" i="1"/>
  <c r="L15" i="1" s="1"/>
  <c r="I15" i="1"/>
  <c r="H15" i="1"/>
  <c r="G15" i="1"/>
  <c r="E15" i="1" s="1"/>
  <c r="F15" i="1"/>
  <c r="D15" i="1"/>
  <c r="C15" i="1"/>
  <c r="B15" i="1"/>
  <c r="N14" i="1"/>
  <c r="N17" i="1" s="1"/>
  <c r="M14" i="1"/>
  <c r="L14" i="1"/>
  <c r="K14" i="1"/>
  <c r="K17" i="1" s="1"/>
  <c r="J14" i="1"/>
  <c r="J17" i="1" s="1"/>
  <c r="I14" i="1"/>
  <c r="I17" i="1" s="1"/>
  <c r="H14" i="1"/>
  <c r="H17" i="1" s="1"/>
  <c r="G14" i="1"/>
  <c r="E14" i="1" s="1"/>
  <c r="F14" i="1"/>
  <c r="F17" i="1" s="1"/>
  <c r="D14" i="1"/>
  <c r="D17" i="1" s="1"/>
  <c r="C14" i="1"/>
  <c r="C17" i="1" s="1"/>
  <c r="B14" i="1"/>
  <c r="B17" i="1" s="1"/>
  <c r="N12" i="1"/>
  <c r="M12" i="1"/>
  <c r="K12" i="1"/>
  <c r="J12" i="1"/>
  <c r="L12" i="1" s="1"/>
  <c r="I12" i="1"/>
  <c r="H12" i="1"/>
  <c r="G12" i="1"/>
  <c r="F12" i="1"/>
  <c r="E12" i="1" s="1"/>
  <c r="D12" i="1"/>
  <c r="C12" i="1"/>
  <c r="B12" i="1"/>
  <c r="N11" i="1"/>
  <c r="M11" i="1"/>
  <c r="K11" i="1"/>
  <c r="J11" i="1"/>
  <c r="L11" i="1" s="1"/>
  <c r="I11" i="1"/>
  <c r="H11" i="1"/>
  <c r="G11" i="1"/>
  <c r="E11" i="1" s="1"/>
  <c r="F11" i="1"/>
  <c r="D11" i="1"/>
  <c r="C11" i="1"/>
  <c r="B11" i="1"/>
  <c r="N10" i="1"/>
  <c r="N13" i="1" s="1"/>
  <c r="M10" i="1"/>
  <c r="M13" i="1" s="1"/>
  <c r="M26" i="1" s="1"/>
  <c r="L10" i="1"/>
  <c r="K10" i="1"/>
  <c r="K13" i="1" s="1"/>
  <c r="K26" i="1" s="1"/>
  <c r="J10" i="1"/>
  <c r="J13" i="1" s="1"/>
  <c r="I10" i="1"/>
  <c r="I13" i="1" s="1"/>
  <c r="H10" i="1"/>
  <c r="H13" i="1" s="1"/>
  <c r="G10" i="1"/>
  <c r="E10" i="1" s="1"/>
  <c r="E13" i="1" s="1"/>
  <c r="F10" i="1"/>
  <c r="F13" i="1" s="1"/>
  <c r="D10" i="1"/>
  <c r="D13" i="1" s="1"/>
  <c r="C10" i="1"/>
  <c r="C13" i="1" s="1"/>
  <c r="B10" i="1"/>
  <c r="B13" i="1" s="1"/>
  <c r="B26" i="1" s="1"/>
  <c r="C26" i="1" l="1"/>
  <c r="H26" i="1"/>
  <c r="L13" i="1"/>
  <c r="L26" i="1" s="1"/>
  <c r="E21" i="1"/>
  <c r="E25" i="1"/>
  <c r="D26" i="1"/>
  <c r="I26" i="1"/>
  <c r="E17" i="1"/>
  <c r="E26" i="1" s="1"/>
  <c r="L21" i="1"/>
  <c r="L25" i="1"/>
  <c r="F26" i="1"/>
  <c r="J26" i="1"/>
  <c r="N26" i="1"/>
  <c r="L17" i="1"/>
  <c r="G13" i="1"/>
  <c r="G26" i="1" s="1"/>
  <c r="G17" i="1"/>
  <c r="G21" i="1"/>
  <c r="G25" i="1"/>
</calcChain>
</file>

<file path=xl/sharedStrings.xml><?xml version="1.0" encoding="utf-8"?>
<sst xmlns="http://schemas.openxmlformats.org/spreadsheetml/2006/main" count="45" uniqueCount="42">
  <si>
    <t>APP / BSL</t>
  </si>
  <si>
    <t xml:space="preserve"> PLAN SUMMARY 2026-27</t>
  </si>
  <si>
    <t>UNIT : '000 T</t>
  </si>
  <si>
    <r>
      <t xml:space="preserve">OVEN PUSHING </t>
    </r>
    <r>
      <rPr>
        <b/>
        <sz val="8"/>
        <color indexed="56"/>
        <rFont val="Arial"/>
        <family val="2"/>
      </rPr>
      <t>(Nos./day)</t>
    </r>
  </si>
  <si>
    <t>SINTER</t>
  </si>
  <si>
    <t>HOT METAL</t>
  </si>
  <si>
    <t>CRUDE STEEL</t>
  </si>
  <si>
    <t>HR COIL</t>
  </si>
  <si>
    <t>HR PLATE SHEET</t>
  </si>
  <si>
    <t>CR SALEABLE</t>
  </si>
  <si>
    <t>SAL. STEEL</t>
  </si>
  <si>
    <t>PIG IRON</t>
  </si>
  <si>
    <t>SLAB FOR SALE</t>
  </si>
  <si>
    <t>PERIOD</t>
  </si>
  <si>
    <t>TOTAL</t>
  </si>
  <si>
    <t>SMS-N</t>
  </si>
  <si>
    <t>SMS-II</t>
  </si>
  <si>
    <t>CRM I/II</t>
  </si>
  <si>
    <t>CRM III</t>
  </si>
  <si>
    <t>Total</t>
  </si>
  <si>
    <t>HR</t>
  </si>
  <si>
    <t>COIL</t>
  </si>
  <si>
    <t>PLATE</t>
  </si>
  <si>
    <t>SHEET</t>
  </si>
  <si>
    <t>APR'26</t>
  </si>
  <si>
    <t>MAY</t>
  </si>
  <si>
    <t>JUN</t>
  </si>
  <si>
    <t>1ST QTR</t>
  </si>
  <si>
    <t>JUL</t>
  </si>
  <si>
    <t>AUG</t>
  </si>
  <si>
    <t>SEP</t>
  </si>
  <si>
    <t>2ND QTR</t>
  </si>
  <si>
    <t>OCT</t>
  </si>
  <si>
    <t>NOV</t>
  </si>
  <si>
    <t>DEC</t>
  </si>
  <si>
    <t>3RD QTR</t>
  </si>
  <si>
    <t>JAN'27</t>
  </si>
  <si>
    <t>FEB</t>
  </si>
  <si>
    <t>MAR</t>
  </si>
  <si>
    <t>4TH QTR</t>
  </si>
  <si>
    <t>2026-27</t>
  </si>
  <si>
    <t>( 1 )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</si>
</sst>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_)"/>
    <numFmt numFmtId="166" formatCode="0.000"/>
  </numFmts>
  <fonts count="22" x14ac:knownFonts="1">
    <font>
      <sz val="10"/>
      <name val="Arial"/>
    </font>
    <font>
      <sz val="10"/>
      <name val="Courier"/>
      <family val="3"/>
    </font>
    <font>
      <b/>
      <sz val="10"/>
      <color rgb="FF002060"/>
      <name val="Courier"/>
      <family val="3"/>
    </font>
    <font>
      <b/>
      <i/>
      <sz val="10"/>
      <color rgb="FF002060"/>
      <name val="Arial"/>
      <family val="2"/>
    </font>
    <font>
      <b/>
      <sz val="12"/>
      <color rgb="FF002060"/>
      <name val="Arial"/>
      <family val="2"/>
    </font>
    <font>
      <b/>
      <u/>
      <sz val="15"/>
      <color rgb="FF002060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9"/>
      <color rgb="FF002060"/>
      <name val="Arial"/>
      <family val="2"/>
    </font>
    <font>
      <b/>
      <sz val="8"/>
      <color indexed="56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color rgb="FF002060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Courier"/>
      <family val="3"/>
    </font>
    <font>
      <b/>
      <sz val="12"/>
      <color theme="1"/>
      <name val="Arial"/>
      <family val="2"/>
    </font>
    <font>
      <b/>
      <sz val="12"/>
      <color rgb="FF002060"/>
      <name val="Courier"/>
      <family val="3"/>
    </font>
    <font>
      <sz val="9"/>
      <color rgb="FF002060"/>
      <name val="Arial Black"/>
      <family val="2"/>
    </font>
    <font>
      <sz val="11"/>
      <color rgb="FF002060"/>
      <name val="Arial Black"/>
      <family val="2"/>
    </font>
    <font>
      <sz val="10"/>
      <color rgb="FF002060"/>
      <name val="Arial Black"/>
      <family val="2"/>
    </font>
    <font>
      <sz val="10"/>
      <color rgb="FF00206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7BD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/>
    </xf>
    <xf numFmtId="0" fontId="4" fillId="2" borderId="1" xfId="1" applyFont="1" applyFill="1" applyBorder="1" applyAlignment="1" applyProtection="1"/>
    <xf numFmtId="0" fontId="4" fillId="2" borderId="2" xfId="1" applyFont="1" applyFill="1" applyBorder="1" applyAlignment="1" applyProtection="1"/>
    <xf numFmtId="0" fontId="4" fillId="0" borderId="0" xfId="1" applyFont="1" applyBorder="1" applyAlignment="1" applyProtection="1"/>
    <xf numFmtId="0" fontId="5" fillId="0" borderId="0" xfId="1" applyFont="1" applyAlignment="1" applyProtection="1">
      <alignment horizontal="center"/>
    </xf>
    <xf numFmtId="0" fontId="6" fillId="0" borderId="0" xfId="1" applyFont="1"/>
    <xf numFmtId="0" fontId="4" fillId="0" borderId="0" xfId="1" applyFont="1"/>
    <xf numFmtId="0" fontId="7" fillId="0" borderId="0" xfId="1" applyFont="1" applyAlignment="1" applyProtection="1">
      <alignment horizontal="left"/>
    </xf>
    <xf numFmtId="0" fontId="8" fillId="3" borderId="3" xfId="1" applyFont="1" applyFill="1" applyBorder="1" applyAlignment="1">
      <alignment vertical="center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3" xfId="1" applyFont="1" applyFill="1" applyBorder="1" applyAlignment="1" applyProtection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8" fillId="3" borderId="10" xfId="1" applyFont="1" applyFill="1" applyBorder="1" applyAlignment="1" applyProtection="1">
      <alignment horizontal="left" vertical="center"/>
    </xf>
    <xf numFmtId="0" fontId="8" fillId="3" borderId="10" xfId="1" applyFont="1" applyFill="1" applyBorder="1" applyAlignment="1" applyProtection="1">
      <alignment horizontal="center" vertical="center" wrapText="1"/>
    </xf>
    <xf numFmtId="0" fontId="8" fillId="3" borderId="10" xfId="1" applyFont="1" applyFill="1" applyBorder="1" applyAlignment="1" applyProtection="1">
      <alignment horizontal="center" vertical="center"/>
    </xf>
    <xf numFmtId="0" fontId="10" fillId="3" borderId="3" xfId="1" applyFont="1" applyFill="1" applyBorder="1" applyAlignment="1" applyProtection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 applyProtection="1">
      <alignment horizontal="center" vertical="center"/>
    </xf>
    <xf numFmtId="0" fontId="11" fillId="3" borderId="10" xfId="2" applyFont="1" applyFill="1" applyBorder="1" applyAlignment="1" applyProtection="1">
      <alignment horizontal="center"/>
    </xf>
    <xf numFmtId="0" fontId="11" fillId="3" borderId="0" xfId="2" applyFont="1" applyFill="1" applyBorder="1" applyAlignment="1" applyProtection="1">
      <alignment horizontal="center"/>
    </xf>
    <xf numFmtId="0" fontId="11" fillId="3" borderId="14" xfId="2" applyFont="1" applyFill="1" applyBorder="1" applyAlignment="1" applyProtection="1">
      <alignment horizontal="center"/>
    </xf>
    <xf numFmtId="0" fontId="8" fillId="3" borderId="15" xfId="1" applyFont="1" applyFill="1" applyBorder="1" applyAlignment="1">
      <alignment vertical="center"/>
    </xf>
    <xf numFmtId="0" fontId="8" fillId="3" borderId="15" xfId="1" applyFont="1" applyFill="1" applyBorder="1" applyAlignment="1" applyProtection="1">
      <alignment horizontal="center" vertical="center" wrapText="1"/>
    </xf>
    <xf numFmtId="0" fontId="8" fillId="3" borderId="15" xfId="1" applyFont="1" applyFill="1" applyBorder="1" applyAlignment="1" applyProtection="1">
      <alignment horizontal="center" vertical="center"/>
    </xf>
    <xf numFmtId="0" fontId="10" fillId="3" borderId="15" xfId="1" applyFont="1" applyFill="1" applyBorder="1" applyAlignment="1" applyProtection="1">
      <alignment horizontal="center" vertical="center"/>
    </xf>
    <xf numFmtId="0" fontId="8" fillId="3" borderId="15" xfId="1" applyFont="1" applyFill="1" applyBorder="1" applyAlignment="1">
      <alignment horizontal="center" vertical="center" wrapText="1"/>
    </xf>
    <xf numFmtId="0" fontId="11" fillId="3" borderId="15" xfId="2" applyFont="1" applyFill="1" applyBorder="1" applyAlignment="1" applyProtection="1">
      <alignment horizontal="center" vertical="center"/>
    </xf>
    <xf numFmtId="0" fontId="11" fillId="3" borderId="12" xfId="2" applyFont="1" applyFill="1" applyBorder="1" applyAlignment="1" applyProtection="1">
      <alignment horizontal="center" vertical="center"/>
    </xf>
    <xf numFmtId="0" fontId="11" fillId="3" borderId="11" xfId="2" applyFont="1" applyFill="1" applyBorder="1" applyAlignment="1" applyProtection="1">
      <alignment horizontal="center" vertical="center"/>
    </xf>
    <xf numFmtId="0" fontId="6" fillId="0" borderId="14" xfId="1" applyFont="1" applyBorder="1" applyAlignment="1" applyProtection="1">
      <alignment horizontal="left" vertical="center"/>
    </xf>
    <xf numFmtId="1" fontId="6" fillId="0" borderId="7" xfId="1" applyNumberFormat="1" applyFont="1" applyBorder="1" applyAlignment="1" applyProtection="1">
      <alignment horizontal="center" vertical="center"/>
    </xf>
    <xf numFmtId="1" fontId="6" fillId="0" borderId="3" xfId="1" applyNumberFormat="1" applyFont="1" applyBorder="1" applyAlignment="1" applyProtection="1">
      <alignment horizontal="center" vertical="center"/>
    </xf>
    <xf numFmtId="1" fontId="6" fillId="0" borderId="0" xfId="1" applyNumberFormat="1" applyFont="1" applyBorder="1" applyAlignment="1" applyProtection="1">
      <alignment horizontal="center" vertical="center"/>
    </xf>
    <xf numFmtId="1" fontId="6" fillId="0" borderId="9" xfId="1" applyNumberFormat="1" applyFont="1" applyBorder="1" applyAlignment="1" applyProtection="1">
      <alignment horizontal="center" vertical="center"/>
    </xf>
    <xf numFmtId="1" fontId="6" fillId="0" borderId="16" xfId="1" applyNumberFormat="1" applyFont="1" applyBorder="1" applyAlignment="1" applyProtection="1">
      <alignment horizontal="center" vertical="center"/>
    </xf>
    <xf numFmtId="1" fontId="6" fillId="0" borderId="10" xfId="1" applyNumberFormat="1" applyFont="1" applyBorder="1" applyAlignment="1" applyProtection="1">
      <alignment horizontal="center" vertical="center"/>
    </xf>
    <xf numFmtId="164" fontId="2" fillId="0" borderId="0" xfId="1" applyNumberFormat="1" applyFont="1" applyAlignment="1">
      <alignment vertical="center"/>
    </xf>
    <xf numFmtId="164" fontId="12" fillId="0" borderId="10" xfId="2" applyNumberFormat="1" applyFont="1" applyBorder="1" applyAlignment="1" applyProtection="1">
      <alignment horizontal="center" vertical="center"/>
    </xf>
    <xf numFmtId="164" fontId="12" fillId="0" borderId="0" xfId="2" applyNumberFormat="1" applyFont="1" applyBorder="1" applyAlignment="1" applyProtection="1">
      <alignment horizontal="center" vertical="center"/>
    </xf>
    <xf numFmtId="164" fontId="12" fillId="0" borderId="3" xfId="2" applyNumberFormat="1" applyFont="1" applyBorder="1" applyAlignment="1" applyProtection="1">
      <alignment horizontal="center" vertical="center"/>
    </xf>
    <xf numFmtId="1" fontId="6" fillId="0" borderId="14" xfId="1" applyNumberFormat="1" applyFont="1" applyBorder="1" applyAlignment="1" applyProtection="1">
      <alignment horizontal="center" vertical="center"/>
    </xf>
    <xf numFmtId="1" fontId="6" fillId="0" borderId="15" xfId="1" applyNumberFormat="1" applyFont="1" applyBorder="1" applyAlignment="1" applyProtection="1">
      <alignment horizontal="center" vertical="center"/>
    </xf>
    <xf numFmtId="164" fontId="12" fillId="0" borderId="15" xfId="2" applyNumberFormat="1" applyFont="1" applyBorder="1" applyAlignment="1" applyProtection="1">
      <alignment horizontal="center" vertical="center"/>
    </xf>
    <xf numFmtId="0" fontId="13" fillId="4" borderId="17" xfId="1" applyFont="1" applyFill="1" applyBorder="1" applyAlignment="1" applyProtection="1">
      <alignment horizontal="left" vertical="center"/>
    </xf>
    <xf numFmtId="1" fontId="13" fillId="4" borderId="17" xfId="1" applyNumberFormat="1" applyFont="1" applyFill="1" applyBorder="1" applyAlignment="1" applyProtection="1">
      <alignment horizontal="center" vertical="center"/>
    </xf>
    <xf numFmtId="165" fontId="13" fillId="4" borderId="17" xfId="1" applyNumberFormat="1" applyFont="1" applyFill="1" applyBorder="1" applyAlignment="1" applyProtection="1">
      <alignment horizontal="center" vertical="center"/>
    </xf>
    <xf numFmtId="164" fontId="13" fillId="4" borderId="17" xfId="1" applyNumberFormat="1" applyFont="1" applyFill="1" applyBorder="1" applyAlignment="1" applyProtection="1">
      <alignment horizontal="center" vertical="center"/>
    </xf>
    <xf numFmtId="2" fontId="13" fillId="4" borderId="17" xfId="1" applyNumberFormat="1" applyFont="1" applyFill="1" applyBorder="1" applyAlignment="1" applyProtection="1">
      <alignment horizontal="center" vertical="center"/>
    </xf>
    <xf numFmtId="164" fontId="14" fillId="4" borderId="17" xfId="2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Alignment="1">
      <alignment vertical="center"/>
    </xf>
    <xf numFmtId="166" fontId="2" fillId="0" borderId="0" xfId="1" applyNumberFormat="1" applyFont="1" applyAlignment="1">
      <alignment vertical="center"/>
    </xf>
    <xf numFmtId="0" fontId="15" fillId="0" borderId="0" xfId="1" applyFont="1" applyAlignment="1">
      <alignment vertical="center"/>
    </xf>
    <xf numFmtId="0" fontId="6" fillId="0" borderId="10" xfId="1" applyFont="1" applyBorder="1" applyAlignment="1" applyProtection="1">
      <alignment horizontal="left" vertical="center"/>
    </xf>
    <xf numFmtId="0" fontId="6" fillId="0" borderId="3" xfId="1" applyFont="1" applyBorder="1" applyAlignment="1" applyProtection="1">
      <alignment horizontal="center" vertical="center"/>
    </xf>
    <xf numFmtId="164" fontId="6" fillId="0" borderId="0" xfId="1" applyNumberFormat="1" applyFont="1" applyBorder="1" applyAlignment="1" applyProtection="1">
      <alignment horizontal="center" vertical="center"/>
    </xf>
    <xf numFmtId="164" fontId="6" fillId="0" borderId="3" xfId="1" applyNumberFormat="1" applyFont="1" applyBorder="1" applyAlignment="1" applyProtection="1">
      <alignment horizontal="center" vertical="center"/>
    </xf>
    <xf numFmtId="164" fontId="6" fillId="0" borderId="16" xfId="1" applyNumberFormat="1" applyFont="1" applyBorder="1" applyAlignment="1" applyProtection="1">
      <alignment horizontal="center" vertical="center"/>
    </xf>
    <xf numFmtId="2" fontId="6" fillId="0" borderId="10" xfId="1" applyNumberFormat="1" applyFont="1" applyBorder="1" applyAlignment="1" applyProtection="1">
      <alignment horizontal="center" vertical="center"/>
    </xf>
    <xf numFmtId="0" fontId="6" fillId="0" borderId="10" xfId="1" applyFont="1" applyBorder="1" applyAlignment="1" applyProtection="1">
      <alignment horizontal="center" vertical="center"/>
    </xf>
    <xf numFmtId="164" fontId="6" fillId="0" borderId="10" xfId="1" applyNumberFormat="1" applyFont="1" applyBorder="1" applyAlignment="1" applyProtection="1">
      <alignment horizontal="center" vertical="center"/>
    </xf>
    <xf numFmtId="0" fontId="6" fillId="0" borderId="15" xfId="1" applyFont="1" applyBorder="1" applyAlignment="1" applyProtection="1">
      <alignment horizontal="center" vertical="center"/>
    </xf>
    <xf numFmtId="1" fontId="13" fillId="4" borderId="5" xfId="1" applyNumberFormat="1" applyFont="1" applyFill="1" applyBorder="1" applyAlignment="1" applyProtection="1">
      <alignment horizontal="center" vertical="center"/>
    </xf>
    <xf numFmtId="0" fontId="4" fillId="3" borderId="3" xfId="1" applyFont="1" applyFill="1" applyBorder="1" applyAlignment="1" applyProtection="1">
      <alignment horizontal="left" vertical="center"/>
    </xf>
    <xf numFmtId="1" fontId="4" fillId="3" borderId="3" xfId="1" applyNumberFormat="1" applyFont="1" applyFill="1" applyBorder="1" applyAlignment="1" applyProtection="1">
      <alignment horizontal="center" vertical="center"/>
    </xf>
    <xf numFmtId="2" fontId="4" fillId="3" borderId="3" xfId="1" applyNumberFormat="1" applyFont="1" applyFill="1" applyBorder="1" applyAlignment="1" applyProtection="1">
      <alignment horizontal="center" vertical="center"/>
    </xf>
    <xf numFmtId="164" fontId="16" fillId="3" borderId="3" xfId="2" applyNumberFormat="1" applyFont="1" applyFill="1" applyBorder="1" applyAlignment="1" applyProtection="1">
      <alignment horizontal="center" vertical="center"/>
    </xf>
    <xf numFmtId="0" fontId="17" fillId="0" borderId="0" xfId="1" applyFont="1" applyAlignment="1">
      <alignment vertical="center"/>
    </xf>
    <xf numFmtId="0" fontId="4" fillId="3" borderId="15" xfId="1" applyFont="1" applyFill="1" applyBorder="1" applyAlignment="1" applyProtection="1">
      <alignment horizontal="left" vertical="center"/>
    </xf>
    <xf numFmtId="1" fontId="4" fillId="3" borderId="15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2" fontId="4" fillId="3" borderId="15" xfId="0" applyNumberFormat="1" applyFont="1" applyFill="1" applyBorder="1" applyAlignment="1">
      <alignment horizontal="center" vertical="center"/>
    </xf>
    <xf numFmtId="164" fontId="16" fillId="3" borderId="15" xfId="0" applyNumberFormat="1" applyFont="1" applyFill="1" applyBorder="1" applyAlignment="1">
      <alignment horizontal="center" vertical="center"/>
    </xf>
    <xf numFmtId="1" fontId="17" fillId="0" borderId="0" xfId="1" applyNumberFormat="1" applyFont="1" applyAlignment="1">
      <alignment vertical="center"/>
    </xf>
    <xf numFmtId="166" fontId="17" fillId="0" borderId="0" xfId="1" applyNumberFormat="1" applyFont="1" applyAlignment="1">
      <alignment vertical="center"/>
    </xf>
    <xf numFmtId="0" fontId="6" fillId="0" borderId="0" xfId="1" applyFont="1" applyBorder="1" applyAlignment="1" applyProtection="1">
      <alignment horizontal="left"/>
    </xf>
    <xf numFmtId="0" fontId="6" fillId="0" borderId="0" xfId="1" applyFont="1" applyBorder="1" applyAlignment="1" applyProtection="1">
      <alignment horizontal="center"/>
    </xf>
    <xf numFmtId="165" fontId="6" fillId="0" borderId="0" xfId="1" applyNumberFormat="1" applyFont="1" applyBorder="1" applyAlignment="1" applyProtection="1">
      <alignment horizontal="center"/>
    </xf>
    <xf numFmtId="1" fontId="6" fillId="0" borderId="0" xfId="1" applyNumberFormat="1" applyFont="1" applyBorder="1" applyAlignment="1" applyProtection="1">
      <alignment horizontal="center"/>
    </xf>
    <xf numFmtId="165" fontId="6" fillId="0" borderId="0" xfId="1" applyNumberFormat="1" applyFont="1"/>
    <xf numFmtId="2" fontId="6" fillId="0" borderId="0" xfId="1" applyNumberFormat="1" applyFont="1"/>
    <xf numFmtId="0" fontId="6" fillId="0" borderId="0" xfId="1" applyFont="1" applyAlignment="1" applyProtection="1">
      <alignment horizontal="left"/>
    </xf>
    <xf numFmtId="165" fontId="6" fillId="0" borderId="0" xfId="1" applyNumberFormat="1" applyFont="1" applyAlignment="1" applyProtection="1">
      <alignment horizontal="left"/>
    </xf>
    <xf numFmtId="0" fontId="6" fillId="0" borderId="0" xfId="1" quotePrefix="1" applyFont="1" applyAlignment="1" applyProtection="1">
      <alignment horizontal="center"/>
    </xf>
    <xf numFmtId="0" fontId="6" fillId="0" borderId="0" xfId="1" applyFont="1" applyAlignment="1" applyProtection="1">
      <alignment horizontal="center"/>
    </xf>
    <xf numFmtId="0" fontId="4" fillId="0" borderId="0" xfId="1" quotePrefix="1" applyFont="1" applyAlignment="1">
      <alignment horizontal="center"/>
    </xf>
    <xf numFmtId="1" fontId="18" fillId="0" borderId="0" xfId="1" applyNumberFormat="1" applyFont="1"/>
    <xf numFmtId="1" fontId="19" fillId="0" borderId="0" xfId="1" applyNumberFormat="1" applyFont="1"/>
    <xf numFmtId="1" fontId="20" fillId="0" borderId="0" xfId="1" applyNumberFormat="1" applyFont="1"/>
    <xf numFmtId="164" fontId="20" fillId="0" borderId="0" xfId="1" applyNumberFormat="1" applyFont="1"/>
    <xf numFmtId="1" fontId="21" fillId="0" borderId="0" xfId="1" applyNumberFormat="1" applyFont="1"/>
    <xf numFmtId="1" fontId="2" fillId="0" borderId="0" xfId="1" applyNumberFormat="1" applyFont="1"/>
    <xf numFmtId="165" fontId="2" fillId="0" borderId="0" xfId="1" applyNumberFormat="1" applyFont="1"/>
  </cellXfs>
  <cellStyles count="3">
    <cellStyle name="Normal" xfId="0" builtinId="0"/>
    <cellStyle name="Normal_APP-1" xfId="1"/>
    <cellStyle name="Normal_APP-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L/Downloads/APP%20BOOK%20%202026-27%20for%20distribu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PLAN SUMMARY"/>
      <sheetName val="DNW"/>
      <sheetName val="S-2"/>
      <sheetName val="S-3"/>
      <sheetName val="S-4"/>
      <sheetName val="S-5"/>
      <sheetName val="S-6"/>
      <sheetName val="DCR"/>
      <sheetName val="S-7"/>
      <sheetName val="S-8"/>
      <sheetName val="CR SAL"/>
      <sheetName val="S-9"/>
      <sheetName val="S-10"/>
      <sheetName val="S-11"/>
      <sheetName val="S-12"/>
      <sheetName val="S-13"/>
      <sheetName val="S-14"/>
      <sheetName val="S-15"/>
      <sheetName val="S-16"/>
      <sheetName val="S-17"/>
      <sheetName val="S-18"/>
      <sheetName val="S-19"/>
      <sheetName val="S-20"/>
      <sheetName val="CR"/>
    </sheetNames>
    <sheetDataSet>
      <sheetData sheetId="0"/>
      <sheetData sheetId="1"/>
      <sheetData sheetId="2"/>
      <sheetData sheetId="3">
        <row r="9">
          <cell r="B9">
            <v>525</v>
          </cell>
          <cell r="D9">
            <v>513</v>
          </cell>
          <cell r="F9">
            <v>461</v>
          </cell>
          <cell r="I9">
            <v>0.5</v>
          </cell>
        </row>
        <row r="10">
          <cell r="B10">
            <v>565</v>
          </cell>
          <cell r="D10">
            <v>587</v>
          </cell>
          <cell r="F10">
            <v>475</v>
          </cell>
          <cell r="I10">
            <v>2.69</v>
          </cell>
        </row>
        <row r="11">
          <cell r="B11">
            <v>547</v>
          </cell>
          <cell r="D11">
            <v>537</v>
          </cell>
          <cell r="F11">
            <v>469</v>
          </cell>
          <cell r="I11">
            <v>0</v>
          </cell>
        </row>
        <row r="13">
          <cell r="B13">
            <v>506</v>
          </cell>
          <cell r="D13">
            <v>528</v>
          </cell>
          <cell r="F13">
            <v>448</v>
          </cell>
          <cell r="I13">
            <v>4.95</v>
          </cell>
        </row>
        <row r="14">
          <cell r="B14">
            <v>507</v>
          </cell>
          <cell r="D14">
            <v>493</v>
          </cell>
          <cell r="F14">
            <v>438</v>
          </cell>
          <cell r="I14">
            <v>5.21</v>
          </cell>
        </row>
        <row r="15">
          <cell r="B15">
            <v>507</v>
          </cell>
          <cell r="D15">
            <v>515</v>
          </cell>
          <cell r="F15">
            <v>465</v>
          </cell>
          <cell r="I15">
            <v>0.25</v>
          </cell>
        </row>
        <row r="17">
          <cell r="B17">
            <v>513</v>
          </cell>
          <cell r="D17">
            <v>557</v>
          </cell>
          <cell r="F17">
            <v>437</v>
          </cell>
          <cell r="I17">
            <v>6.05</v>
          </cell>
        </row>
        <row r="18">
          <cell r="B18">
            <v>526</v>
          </cell>
          <cell r="D18">
            <v>513</v>
          </cell>
          <cell r="F18">
            <v>425</v>
          </cell>
          <cell r="I18">
            <v>8.23</v>
          </cell>
        </row>
        <row r="19">
          <cell r="B19">
            <v>526</v>
          </cell>
          <cell r="D19">
            <v>587</v>
          </cell>
          <cell r="F19">
            <v>478</v>
          </cell>
          <cell r="I19">
            <v>0.76</v>
          </cell>
        </row>
        <row r="21">
          <cell r="B21">
            <v>526</v>
          </cell>
          <cell r="D21">
            <v>587</v>
          </cell>
          <cell r="F21">
            <v>485</v>
          </cell>
          <cell r="I21">
            <v>5.71</v>
          </cell>
        </row>
        <row r="22">
          <cell r="B22">
            <v>526</v>
          </cell>
          <cell r="D22">
            <v>526</v>
          </cell>
          <cell r="F22">
            <v>434</v>
          </cell>
          <cell r="I22">
            <v>0.34</v>
          </cell>
        </row>
        <row r="23">
          <cell r="B23">
            <v>526</v>
          </cell>
          <cell r="D23">
            <v>587</v>
          </cell>
          <cell r="F23">
            <v>485</v>
          </cell>
          <cell r="I23">
            <v>0.42</v>
          </cell>
        </row>
      </sheetData>
      <sheetData sheetId="4">
        <row r="10">
          <cell r="C10">
            <v>106</v>
          </cell>
          <cell r="D10">
            <v>337</v>
          </cell>
        </row>
        <row r="11">
          <cell r="C11">
            <v>109</v>
          </cell>
          <cell r="D11">
            <v>345</v>
          </cell>
        </row>
        <row r="12">
          <cell r="C12">
            <v>121</v>
          </cell>
          <cell r="D12">
            <v>330</v>
          </cell>
        </row>
        <row r="14">
          <cell r="C14">
            <v>121</v>
          </cell>
          <cell r="D14">
            <v>304</v>
          </cell>
        </row>
        <row r="15">
          <cell r="C15">
            <v>77</v>
          </cell>
          <cell r="D15">
            <v>339</v>
          </cell>
        </row>
        <row r="16">
          <cell r="C16">
            <v>113</v>
          </cell>
          <cell r="D16">
            <v>334</v>
          </cell>
        </row>
        <row r="18">
          <cell r="C18">
            <v>125</v>
          </cell>
          <cell r="D18">
            <v>288</v>
          </cell>
        </row>
        <row r="19">
          <cell r="C19">
            <v>120</v>
          </cell>
          <cell r="D19">
            <v>279</v>
          </cell>
        </row>
        <row r="20">
          <cell r="C20">
            <v>113</v>
          </cell>
          <cell r="D20">
            <v>346</v>
          </cell>
        </row>
        <row r="22">
          <cell r="C22">
            <v>115</v>
          </cell>
          <cell r="D22">
            <v>345</v>
          </cell>
        </row>
        <row r="23">
          <cell r="C23">
            <v>109</v>
          </cell>
          <cell r="D23">
            <v>308</v>
          </cell>
        </row>
        <row r="24">
          <cell r="C24">
            <v>121</v>
          </cell>
          <cell r="D24">
            <v>345</v>
          </cell>
        </row>
      </sheetData>
      <sheetData sheetId="5">
        <row r="9">
          <cell r="B9">
            <v>356</v>
          </cell>
          <cell r="L9">
            <v>38</v>
          </cell>
        </row>
        <row r="10">
          <cell r="B10">
            <v>315</v>
          </cell>
          <cell r="L10">
            <v>51</v>
          </cell>
        </row>
        <row r="11">
          <cell r="B11">
            <v>380</v>
          </cell>
          <cell r="L11">
            <v>51.5</v>
          </cell>
        </row>
        <row r="13">
          <cell r="B13">
            <v>395</v>
          </cell>
          <cell r="L13">
            <v>52.5</v>
          </cell>
        </row>
        <row r="14">
          <cell r="B14">
            <v>405</v>
          </cell>
          <cell r="L14">
            <v>52.5</v>
          </cell>
        </row>
        <row r="15">
          <cell r="B15">
            <v>390</v>
          </cell>
          <cell r="L15">
            <v>51</v>
          </cell>
        </row>
        <row r="17">
          <cell r="B17">
            <v>395</v>
          </cell>
          <cell r="L17">
            <v>53</v>
          </cell>
        </row>
        <row r="18">
          <cell r="B18">
            <v>380</v>
          </cell>
          <cell r="L18">
            <v>51</v>
          </cell>
        </row>
        <row r="19">
          <cell r="B19">
            <v>395</v>
          </cell>
          <cell r="L19">
            <v>53.5</v>
          </cell>
        </row>
        <row r="21">
          <cell r="B21">
            <v>395</v>
          </cell>
          <cell r="L21">
            <v>53.5</v>
          </cell>
        </row>
        <row r="22">
          <cell r="B22">
            <v>365</v>
          </cell>
          <cell r="L22">
            <v>49</v>
          </cell>
        </row>
        <row r="23">
          <cell r="B23">
            <v>405</v>
          </cell>
          <cell r="L23">
            <v>53.5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8">
          <cell r="I8">
            <v>55</v>
          </cell>
          <cell r="M8">
            <v>83.5</v>
          </cell>
          <cell r="N8">
            <v>388</v>
          </cell>
        </row>
        <row r="9">
          <cell r="I9">
            <v>57</v>
          </cell>
          <cell r="M9">
            <v>86.5</v>
          </cell>
          <cell r="N9">
            <v>351</v>
          </cell>
        </row>
        <row r="10">
          <cell r="I10">
            <v>45.000000000000007</v>
          </cell>
          <cell r="M10">
            <v>83.5</v>
          </cell>
          <cell r="N10">
            <v>413</v>
          </cell>
        </row>
        <row r="12">
          <cell r="I12">
            <v>57</v>
          </cell>
          <cell r="M12">
            <v>86</v>
          </cell>
          <cell r="N12">
            <v>423</v>
          </cell>
        </row>
        <row r="13">
          <cell r="I13">
            <v>57</v>
          </cell>
          <cell r="M13">
            <v>86</v>
          </cell>
          <cell r="N13">
            <v>432</v>
          </cell>
        </row>
        <row r="14">
          <cell r="I14">
            <v>55</v>
          </cell>
          <cell r="M14">
            <v>83.5</v>
          </cell>
          <cell r="N14">
            <v>416</v>
          </cell>
        </row>
        <row r="16">
          <cell r="I16">
            <v>57</v>
          </cell>
          <cell r="M16">
            <v>86.5</v>
          </cell>
          <cell r="N16">
            <v>423</v>
          </cell>
        </row>
        <row r="17">
          <cell r="I17">
            <v>55.000000000000007</v>
          </cell>
          <cell r="M17">
            <v>83.5</v>
          </cell>
          <cell r="N17">
            <v>407</v>
          </cell>
        </row>
        <row r="18">
          <cell r="I18">
            <v>57</v>
          </cell>
          <cell r="M18">
            <v>70.5</v>
          </cell>
          <cell r="N18">
            <v>423</v>
          </cell>
        </row>
        <row r="20">
          <cell r="I20">
            <v>57</v>
          </cell>
          <cell r="M20">
            <v>86.5</v>
          </cell>
          <cell r="N20">
            <v>423</v>
          </cell>
        </row>
        <row r="21">
          <cell r="I21">
            <v>51</v>
          </cell>
          <cell r="M21">
            <v>77.5</v>
          </cell>
          <cell r="N21">
            <v>389</v>
          </cell>
        </row>
        <row r="22">
          <cell r="I22">
            <v>57</v>
          </cell>
          <cell r="M22">
            <v>86.5</v>
          </cell>
          <cell r="N22">
            <v>433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tabSelected="1" topLeftCell="J1" zoomScale="110" zoomScaleNormal="110" workbookViewId="0">
      <selection activeCell="O13" sqref="O13"/>
    </sheetView>
  </sheetViews>
  <sheetFormatPr defaultColWidth="11" defaultRowHeight="12" x14ac:dyDescent="0.15"/>
  <cols>
    <col min="1" max="1" width="10.7109375" style="1" customWidth="1"/>
    <col min="2" max="2" width="8.42578125" style="1" customWidth="1"/>
    <col min="3" max="3" width="7" style="1" customWidth="1"/>
    <col min="4" max="4" width="6.7109375" style="1" customWidth="1"/>
    <col min="5" max="5" width="6.42578125" style="1" customWidth="1"/>
    <col min="6" max="6" width="6.28515625" style="1" customWidth="1"/>
    <col min="7" max="7" width="6.85546875" style="1" customWidth="1"/>
    <col min="8" max="8" width="6.7109375" style="1" customWidth="1"/>
    <col min="9" max="9" width="7.140625" style="1" customWidth="1"/>
    <col min="10" max="10" width="7.28515625" style="1" customWidth="1"/>
    <col min="11" max="11" width="7.7109375" style="1" customWidth="1"/>
    <col min="12" max="12" width="7.85546875" style="1" customWidth="1"/>
    <col min="13" max="13" width="7.7109375" style="1" customWidth="1"/>
    <col min="14" max="14" width="7" style="1" customWidth="1"/>
    <col min="15" max="15" width="9.85546875" style="1" customWidth="1"/>
    <col min="16" max="16" width="10.5703125" style="1" customWidth="1"/>
    <col min="17" max="17" width="6.7109375" style="1" bestFit="1" customWidth="1"/>
    <col min="18" max="18" width="8" style="1" bestFit="1" customWidth="1"/>
    <col min="19" max="19" width="6.7109375" style="1" bestFit="1" customWidth="1"/>
    <col min="20" max="20" width="9.28515625" style="1" bestFit="1" customWidth="1"/>
    <col min="21" max="22" width="8" style="1" bestFit="1" customWidth="1"/>
    <col min="23" max="16384" width="11" style="1"/>
  </cols>
  <sheetData>
    <row r="1" spans="1:24" ht="13.5" thickBot="1" x14ac:dyDescent="0.25">
      <c r="N1" s="2"/>
    </row>
    <row r="2" spans="1:24" ht="16.5" thickBot="1" x14ac:dyDescent="0.3">
      <c r="A2" s="3" t="s">
        <v>0</v>
      </c>
      <c r="B2" s="4"/>
      <c r="C2" s="5"/>
      <c r="D2" s="5"/>
    </row>
    <row r="3" spans="1:24" ht="19.5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24" ht="12.75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24" ht="15.75" x14ac:dyDescent="0.25">
      <c r="A5" s="8"/>
      <c r="B5" s="8"/>
      <c r="C5" s="8"/>
      <c r="D5" s="7"/>
      <c r="E5" s="7"/>
      <c r="F5" s="7"/>
      <c r="G5" s="7"/>
      <c r="H5" s="7"/>
      <c r="I5" s="7"/>
      <c r="J5" s="7"/>
      <c r="K5" s="7"/>
      <c r="L5" s="7"/>
      <c r="M5" s="9" t="s">
        <v>2</v>
      </c>
    </row>
    <row r="6" spans="1:24" s="20" customFormat="1" ht="15.75" customHeight="1" x14ac:dyDescent="0.2">
      <c r="A6" s="10"/>
      <c r="B6" s="11" t="s">
        <v>3</v>
      </c>
      <c r="C6" s="12" t="s">
        <v>4</v>
      </c>
      <c r="D6" s="11" t="s">
        <v>5</v>
      </c>
      <c r="E6" s="13" t="s">
        <v>6</v>
      </c>
      <c r="F6" s="14"/>
      <c r="G6" s="15"/>
      <c r="H6" s="16" t="s">
        <v>7</v>
      </c>
      <c r="I6" s="16" t="s">
        <v>8</v>
      </c>
      <c r="J6" s="17" t="s">
        <v>9</v>
      </c>
      <c r="K6" s="18"/>
      <c r="L6" s="19"/>
      <c r="M6" s="16" t="s">
        <v>10</v>
      </c>
      <c r="N6" s="16" t="s">
        <v>11</v>
      </c>
      <c r="O6" s="20" t="s">
        <v>12</v>
      </c>
    </row>
    <row r="7" spans="1:24" s="20" customFormat="1" ht="11.25" customHeight="1" x14ac:dyDescent="0.2">
      <c r="A7" s="21" t="s">
        <v>13</v>
      </c>
      <c r="B7" s="22"/>
      <c r="C7" s="23"/>
      <c r="D7" s="22"/>
      <c r="E7" s="12" t="s">
        <v>14</v>
      </c>
      <c r="F7" s="24" t="s">
        <v>15</v>
      </c>
      <c r="G7" s="24" t="s">
        <v>16</v>
      </c>
      <c r="H7" s="25"/>
      <c r="I7" s="25"/>
      <c r="J7" s="26"/>
      <c r="K7" s="27"/>
      <c r="L7" s="28"/>
      <c r="M7" s="25"/>
      <c r="N7" s="25"/>
    </row>
    <row r="8" spans="1:24" s="20" customFormat="1" ht="14.25" customHeight="1" x14ac:dyDescent="0.2">
      <c r="A8" s="21"/>
      <c r="B8" s="22"/>
      <c r="C8" s="23"/>
      <c r="D8" s="22"/>
      <c r="E8" s="23"/>
      <c r="F8" s="29"/>
      <c r="G8" s="29"/>
      <c r="H8" s="25"/>
      <c r="I8" s="25"/>
      <c r="J8" s="16" t="s">
        <v>17</v>
      </c>
      <c r="K8" s="16" t="s">
        <v>18</v>
      </c>
      <c r="L8" s="16" t="s">
        <v>19</v>
      </c>
      <c r="M8" s="25"/>
      <c r="N8" s="25"/>
      <c r="P8" s="30" t="s">
        <v>20</v>
      </c>
      <c r="Q8" s="31" t="s">
        <v>20</v>
      </c>
      <c r="R8" s="32" t="s">
        <v>20</v>
      </c>
    </row>
    <row r="9" spans="1:24" s="20" customFormat="1" ht="6.75" customHeight="1" x14ac:dyDescent="0.2">
      <c r="A9" s="33"/>
      <c r="B9" s="34"/>
      <c r="C9" s="35"/>
      <c r="D9" s="34"/>
      <c r="E9" s="35"/>
      <c r="F9" s="36"/>
      <c r="G9" s="36"/>
      <c r="H9" s="37"/>
      <c r="I9" s="37"/>
      <c r="J9" s="37"/>
      <c r="K9" s="37"/>
      <c r="L9" s="37"/>
      <c r="M9" s="37"/>
      <c r="N9" s="37"/>
      <c r="P9" s="38" t="s">
        <v>21</v>
      </c>
      <c r="Q9" s="39" t="s">
        <v>22</v>
      </c>
      <c r="R9" s="40" t="s">
        <v>23</v>
      </c>
    </row>
    <row r="10" spans="1:24" s="20" customFormat="1" ht="35.1" customHeight="1" x14ac:dyDescent="0.2">
      <c r="A10" s="41" t="s">
        <v>24</v>
      </c>
      <c r="B10" s="42">
        <f>+'[1]S-2'!B9</f>
        <v>525</v>
      </c>
      <c r="C10" s="43">
        <f>'[1]S-2'!D9</f>
        <v>513</v>
      </c>
      <c r="D10" s="44">
        <f>'[1]S-2'!F9</f>
        <v>461</v>
      </c>
      <c r="E10" s="43">
        <f>+G10+F10</f>
        <v>443</v>
      </c>
      <c r="F10" s="45">
        <f>+'[1]S-3'!C10</f>
        <v>106</v>
      </c>
      <c r="G10" s="45">
        <f>+'[1]S-3'!D10</f>
        <v>337</v>
      </c>
      <c r="H10" s="45">
        <f>'[1]S-4'!B9</f>
        <v>356</v>
      </c>
      <c r="I10" s="44">
        <f>'[1]S-4'!L9</f>
        <v>38</v>
      </c>
      <c r="J10" s="43">
        <f>+'[1]S-9'!I8</f>
        <v>55</v>
      </c>
      <c r="K10" s="46">
        <f>+'[1]S-9'!M8</f>
        <v>83.5</v>
      </c>
      <c r="L10" s="46">
        <f>+J10+K10</f>
        <v>138.5</v>
      </c>
      <c r="M10" s="46">
        <f>'[1]S-9'!N8</f>
        <v>388</v>
      </c>
      <c r="N10" s="47">
        <f>'[1]S-2'!I9</f>
        <v>0.5</v>
      </c>
      <c r="O10" s="48">
        <v>45</v>
      </c>
      <c r="P10" s="49">
        <v>166.5</v>
      </c>
      <c r="Q10" s="50">
        <v>35</v>
      </c>
      <c r="R10" s="51">
        <v>3</v>
      </c>
    </row>
    <row r="11" spans="1:24" s="20" customFormat="1" ht="35.1" customHeight="1" x14ac:dyDescent="0.2">
      <c r="A11" s="41" t="s">
        <v>25</v>
      </c>
      <c r="B11" s="52">
        <f>+'[1]S-2'!B10</f>
        <v>565</v>
      </c>
      <c r="C11" s="47">
        <f>'[1]S-2'!D10</f>
        <v>587</v>
      </c>
      <c r="D11" s="44">
        <f>'[1]S-2'!F10</f>
        <v>475</v>
      </c>
      <c r="E11" s="47">
        <f>+G11+F11</f>
        <v>454</v>
      </c>
      <c r="F11" s="46">
        <f>+'[1]S-3'!C11</f>
        <v>109</v>
      </c>
      <c r="G11" s="46">
        <f>+'[1]S-3'!D11</f>
        <v>345</v>
      </c>
      <c r="H11" s="46">
        <f>'[1]S-4'!B10</f>
        <v>315</v>
      </c>
      <c r="I11" s="44">
        <f>'[1]S-4'!L10</f>
        <v>51</v>
      </c>
      <c r="J11" s="47">
        <f>+'[1]S-9'!I9</f>
        <v>57</v>
      </c>
      <c r="K11" s="46">
        <f>+'[1]S-9'!M9</f>
        <v>86.5</v>
      </c>
      <c r="L11" s="46">
        <f>+J11+K11</f>
        <v>143.5</v>
      </c>
      <c r="M11" s="46">
        <f>'[1]S-9'!N9</f>
        <v>351</v>
      </c>
      <c r="N11" s="47">
        <f>'[1]S-2'!I10</f>
        <v>2.69</v>
      </c>
      <c r="O11" s="48">
        <v>50</v>
      </c>
      <c r="P11" s="49">
        <v>106.5</v>
      </c>
      <c r="Q11" s="50">
        <v>39</v>
      </c>
      <c r="R11" s="49">
        <v>12</v>
      </c>
    </row>
    <row r="12" spans="1:24" s="20" customFormat="1" ht="35.1" customHeight="1" x14ac:dyDescent="0.2">
      <c r="A12" s="41" t="s">
        <v>26</v>
      </c>
      <c r="B12" s="52">
        <f>+'[1]S-2'!B11</f>
        <v>547</v>
      </c>
      <c r="C12" s="47">
        <f>'[1]S-2'!D11</f>
        <v>537</v>
      </c>
      <c r="D12" s="44">
        <f>'[1]S-2'!F11</f>
        <v>469</v>
      </c>
      <c r="E12" s="53">
        <f>+G12+F12</f>
        <v>451</v>
      </c>
      <c r="F12" s="46">
        <f>+'[1]S-3'!C12</f>
        <v>121</v>
      </c>
      <c r="G12" s="46">
        <f>+'[1]S-3'!D12</f>
        <v>330</v>
      </c>
      <c r="H12" s="46">
        <f>'[1]S-4'!B11</f>
        <v>380</v>
      </c>
      <c r="I12" s="44">
        <f>'[1]S-4'!L11</f>
        <v>51.5</v>
      </c>
      <c r="J12" s="47">
        <f>+'[1]S-9'!I10</f>
        <v>45.000000000000007</v>
      </c>
      <c r="K12" s="46">
        <f>+'[1]S-9'!M10</f>
        <v>83.5</v>
      </c>
      <c r="L12" s="46">
        <f>+J12+K12</f>
        <v>128.5</v>
      </c>
      <c r="M12" s="46">
        <f>'[1]S-9'!N10</f>
        <v>413</v>
      </c>
      <c r="N12" s="47">
        <f>'[1]S-2'!I11</f>
        <v>0</v>
      </c>
      <c r="O12" s="48">
        <v>45.5</v>
      </c>
      <c r="P12" s="49">
        <v>187.5</v>
      </c>
      <c r="Q12" s="50">
        <v>39</v>
      </c>
      <c r="R12" s="54">
        <v>12.5</v>
      </c>
    </row>
    <row r="13" spans="1:24" s="63" customFormat="1" ht="35.1" customHeight="1" x14ac:dyDescent="0.2">
      <c r="A13" s="55" t="s">
        <v>27</v>
      </c>
      <c r="B13" s="56">
        <f>(B10*30+B11*31+B12*30)/91</f>
        <v>545.87912087912093</v>
      </c>
      <c r="C13" s="57">
        <f>SUM(C10:C12)</f>
        <v>1637</v>
      </c>
      <c r="D13" s="57">
        <f t="shared" ref="D13:N13" si="0">SUM(D10:D12)</f>
        <v>1405</v>
      </c>
      <c r="E13" s="57">
        <f t="shared" si="0"/>
        <v>1348</v>
      </c>
      <c r="F13" s="57">
        <f>SUM(F10:F12)</f>
        <v>336</v>
      </c>
      <c r="G13" s="57">
        <f t="shared" si="0"/>
        <v>1012</v>
      </c>
      <c r="H13" s="57">
        <f t="shared" si="0"/>
        <v>1051</v>
      </c>
      <c r="I13" s="58">
        <f t="shared" si="0"/>
        <v>140.5</v>
      </c>
      <c r="J13" s="58">
        <f t="shared" si="0"/>
        <v>157</v>
      </c>
      <c r="K13" s="58">
        <f t="shared" si="0"/>
        <v>253.5</v>
      </c>
      <c r="L13" s="58">
        <f t="shared" si="0"/>
        <v>410.5</v>
      </c>
      <c r="M13" s="56">
        <f t="shared" si="0"/>
        <v>1152</v>
      </c>
      <c r="N13" s="59">
        <f t="shared" si="0"/>
        <v>3.19</v>
      </c>
      <c r="O13" s="48">
        <v>140.5</v>
      </c>
      <c r="P13" s="60">
        <v>460.5</v>
      </c>
      <c r="Q13" s="60">
        <v>113</v>
      </c>
      <c r="R13" s="60">
        <v>27.5</v>
      </c>
      <c r="S13" s="61"/>
      <c r="T13" s="61"/>
      <c r="U13" s="61"/>
      <c r="V13" s="61"/>
      <c r="W13" s="61"/>
      <c r="X13" s="62"/>
    </row>
    <row r="14" spans="1:24" s="20" customFormat="1" ht="35.1" customHeight="1" x14ac:dyDescent="0.2">
      <c r="A14" s="64" t="s">
        <v>28</v>
      </c>
      <c r="B14" s="42">
        <f>+'[1]S-2'!B13</f>
        <v>506</v>
      </c>
      <c r="C14" s="65">
        <f>'[1]S-2'!D13</f>
        <v>528</v>
      </c>
      <c r="D14" s="44">
        <f>'[1]S-2'!F13</f>
        <v>448</v>
      </c>
      <c r="E14" s="43">
        <f>+G14+F14</f>
        <v>425</v>
      </c>
      <c r="F14" s="45">
        <f>+'[1]S-3'!C14</f>
        <v>121</v>
      </c>
      <c r="G14" s="45">
        <f>+'[1]S-3'!D14</f>
        <v>304</v>
      </c>
      <c r="H14" s="47">
        <f>'[1]S-4'!B13</f>
        <v>395</v>
      </c>
      <c r="I14" s="66">
        <f>'[1]S-4'!L13</f>
        <v>52.5</v>
      </c>
      <c r="J14" s="67">
        <f>+'[1]S-9'!I12</f>
        <v>57</v>
      </c>
      <c r="K14" s="68">
        <f>+'[1]S-9'!M12</f>
        <v>86</v>
      </c>
      <c r="L14" s="68">
        <f>+J14+K14</f>
        <v>143</v>
      </c>
      <c r="M14" s="46">
        <f>'[1]S-9'!N12</f>
        <v>423</v>
      </c>
      <c r="N14" s="69">
        <f>'[1]S-2'!I13</f>
        <v>4.95</v>
      </c>
      <c r="O14" s="48">
        <v>42</v>
      </c>
      <c r="P14" s="49">
        <v>185</v>
      </c>
      <c r="Q14" s="50">
        <v>39</v>
      </c>
      <c r="R14" s="51">
        <v>13.5</v>
      </c>
    </row>
    <row r="15" spans="1:24" s="20" customFormat="1" ht="35.1" customHeight="1" x14ac:dyDescent="0.2">
      <c r="A15" s="64" t="s">
        <v>29</v>
      </c>
      <c r="B15" s="52">
        <f>+'[1]S-2'!B14</f>
        <v>507</v>
      </c>
      <c r="C15" s="70">
        <f>'[1]S-2'!D14</f>
        <v>493</v>
      </c>
      <c r="D15" s="44">
        <f>'[1]S-2'!F14</f>
        <v>438</v>
      </c>
      <c r="E15" s="47">
        <f>+G15+F15</f>
        <v>416</v>
      </c>
      <c r="F15" s="46">
        <f>+'[1]S-3'!C15</f>
        <v>77</v>
      </c>
      <c r="G15" s="46">
        <f>+'[1]S-3'!D15</f>
        <v>339</v>
      </c>
      <c r="H15" s="47">
        <f>'[1]S-4'!B14</f>
        <v>405</v>
      </c>
      <c r="I15" s="66">
        <f>'[1]S-4'!L14</f>
        <v>52.5</v>
      </c>
      <c r="J15" s="71">
        <f>+'[1]S-9'!I13</f>
        <v>57</v>
      </c>
      <c r="K15" s="68">
        <f>+'[1]S-9'!M13</f>
        <v>86</v>
      </c>
      <c r="L15" s="68">
        <f>+J15+K15</f>
        <v>143</v>
      </c>
      <c r="M15" s="46">
        <f>'[1]S-9'!N13</f>
        <v>432</v>
      </c>
      <c r="N15" s="69">
        <f>'[1]S-2'!I14</f>
        <v>5.21</v>
      </c>
      <c r="O15" s="48">
        <v>41</v>
      </c>
      <c r="P15" s="49">
        <v>195</v>
      </c>
      <c r="Q15" s="50">
        <v>39</v>
      </c>
      <c r="R15" s="49">
        <v>13.5</v>
      </c>
    </row>
    <row r="16" spans="1:24" s="20" customFormat="1" ht="35.1" customHeight="1" x14ac:dyDescent="0.2">
      <c r="A16" s="64" t="s">
        <v>30</v>
      </c>
      <c r="B16" s="52">
        <f>+'[1]S-2'!B15</f>
        <v>507</v>
      </c>
      <c r="C16" s="72">
        <f>'[1]S-2'!D15</f>
        <v>515</v>
      </c>
      <c r="D16" s="53">
        <f>'[1]S-2'!F15</f>
        <v>465</v>
      </c>
      <c r="E16" s="53">
        <f>+G16+F16</f>
        <v>447</v>
      </c>
      <c r="F16" s="46">
        <f>+'[1]S-3'!C16</f>
        <v>113</v>
      </c>
      <c r="G16" s="46">
        <f>+'[1]S-3'!D16</f>
        <v>334</v>
      </c>
      <c r="H16" s="47">
        <f>'[1]S-4'!B15</f>
        <v>390</v>
      </c>
      <c r="I16" s="66">
        <f>'[1]S-4'!L15</f>
        <v>51</v>
      </c>
      <c r="J16" s="71">
        <f>+'[1]S-9'!I14</f>
        <v>55</v>
      </c>
      <c r="K16" s="68">
        <f>+'[1]S-9'!M14</f>
        <v>83.5</v>
      </c>
      <c r="L16" s="68">
        <f>+J16+K16</f>
        <v>138.5</v>
      </c>
      <c r="M16" s="46">
        <f>'[1]S-9'!N14</f>
        <v>416</v>
      </c>
      <c r="N16" s="69">
        <f>'[1]S-2'!I15</f>
        <v>0.25</v>
      </c>
      <c r="O16" s="48">
        <v>39.5</v>
      </c>
      <c r="P16" s="49">
        <v>187</v>
      </c>
      <c r="Q16" s="50">
        <v>39</v>
      </c>
      <c r="R16" s="54">
        <v>12</v>
      </c>
    </row>
    <row r="17" spans="1:24" s="63" customFormat="1" ht="35.1" customHeight="1" x14ac:dyDescent="0.2">
      <c r="A17" s="55" t="s">
        <v>31</v>
      </c>
      <c r="B17" s="73">
        <f>(B14*31+B15*31+B16*30)/92</f>
        <v>506.66304347826087</v>
      </c>
      <c r="C17" s="57">
        <f t="shared" ref="C17:N17" si="1">SUM(C14:C16)</f>
        <v>1536</v>
      </c>
      <c r="D17" s="57">
        <f t="shared" si="1"/>
        <v>1351</v>
      </c>
      <c r="E17" s="57">
        <f t="shared" si="1"/>
        <v>1288</v>
      </c>
      <c r="F17" s="57">
        <f>SUM(F14:F16)</f>
        <v>311</v>
      </c>
      <c r="G17" s="57">
        <f t="shared" si="1"/>
        <v>977</v>
      </c>
      <c r="H17" s="57">
        <f t="shared" si="1"/>
        <v>1190</v>
      </c>
      <c r="I17" s="58">
        <f t="shared" si="1"/>
        <v>156</v>
      </c>
      <c r="J17" s="58">
        <f t="shared" si="1"/>
        <v>169</v>
      </c>
      <c r="K17" s="58">
        <f t="shared" si="1"/>
        <v>255.5</v>
      </c>
      <c r="L17" s="58">
        <f t="shared" si="1"/>
        <v>424.5</v>
      </c>
      <c r="M17" s="56">
        <f t="shared" si="1"/>
        <v>1271</v>
      </c>
      <c r="N17" s="59">
        <f t="shared" si="1"/>
        <v>10.41</v>
      </c>
      <c r="O17" s="48">
        <v>122.5</v>
      </c>
      <c r="P17" s="60">
        <v>567</v>
      </c>
      <c r="Q17" s="60">
        <v>117</v>
      </c>
      <c r="R17" s="60">
        <v>39</v>
      </c>
      <c r="S17" s="61"/>
      <c r="T17" s="61"/>
      <c r="U17" s="61"/>
      <c r="V17" s="61"/>
      <c r="W17" s="61"/>
      <c r="X17" s="62"/>
    </row>
    <row r="18" spans="1:24" s="20" customFormat="1" ht="35.1" customHeight="1" x14ac:dyDescent="0.2">
      <c r="A18" s="64" t="s">
        <v>32</v>
      </c>
      <c r="B18" s="42">
        <f>+'[1]S-2'!B17</f>
        <v>513</v>
      </c>
      <c r="C18" s="65">
        <f>'[1]S-2'!D17</f>
        <v>557</v>
      </c>
      <c r="D18" s="44">
        <f>'[1]S-2'!F17</f>
        <v>437</v>
      </c>
      <c r="E18" s="43">
        <f>+G18+F18</f>
        <v>413</v>
      </c>
      <c r="F18" s="45">
        <f>+'[1]S-3'!C18</f>
        <v>125</v>
      </c>
      <c r="G18" s="45">
        <f>+'[1]S-3'!D18</f>
        <v>288</v>
      </c>
      <c r="H18" s="47">
        <f>'[1]S-4'!B17</f>
        <v>395</v>
      </c>
      <c r="I18" s="66">
        <f>'[1]S-4'!L17</f>
        <v>53</v>
      </c>
      <c r="J18" s="67">
        <f>+'[1]S-9'!I16</f>
        <v>57</v>
      </c>
      <c r="K18" s="68">
        <f>+'[1]S-9'!M16</f>
        <v>86.5</v>
      </c>
      <c r="L18" s="68">
        <f>+J18+K18</f>
        <v>143.5</v>
      </c>
      <c r="M18" s="46">
        <f>'[1]S-9'!N16</f>
        <v>423</v>
      </c>
      <c r="N18" s="69">
        <f>'[1]S-2'!I17</f>
        <v>6.05</v>
      </c>
      <c r="O18" s="61">
        <v>42</v>
      </c>
      <c r="P18" s="49">
        <v>184.5</v>
      </c>
      <c r="Q18" s="50">
        <v>40</v>
      </c>
      <c r="R18" s="51">
        <v>13</v>
      </c>
    </row>
    <row r="19" spans="1:24" s="20" customFormat="1" ht="35.1" customHeight="1" x14ac:dyDescent="0.2">
      <c r="A19" s="64" t="s">
        <v>33</v>
      </c>
      <c r="B19" s="52">
        <f>+'[1]S-2'!B18</f>
        <v>526</v>
      </c>
      <c r="C19" s="70">
        <f>'[1]S-2'!D18</f>
        <v>513</v>
      </c>
      <c r="D19" s="44">
        <f>'[1]S-2'!F18</f>
        <v>425</v>
      </c>
      <c r="E19" s="47">
        <f>+G19+F19</f>
        <v>399</v>
      </c>
      <c r="F19" s="46">
        <f>+'[1]S-3'!C19</f>
        <v>120</v>
      </c>
      <c r="G19" s="46">
        <f>+'[1]S-3'!D19</f>
        <v>279</v>
      </c>
      <c r="H19" s="47">
        <f>'[1]S-4'!B18</f>
        <v>380</v>
      </c>
      <c r="I19" s="66">
        <f>'[1]S-4'!L18</f>
        <v>51</v>
      </c>
      <c r="J19" s="71">
        <f>+'[1]S-9'!I17</f>
        <v>55.000000000000007</v>
      </c>
      <c r="K19" s="68">
        <f>+'[1]S-9'!M17</f>
        <v>83.5</v>
      </c>
      <c r="L19" s="68">
        <f>+J19+K19</f>
        <v>138.5</v>
      </c>
      <c r="M19" s="46">
        <f>'[1]S-9'!N17</f>
        <v>407</v>
      </c>
      <c r="N19" s="69">
        <f>'[1]S-2'!I18</f>
        <v>8.23</v>
      </c>
      <c r="O19" s="48">
        <v>40.5</v>
      </c>
      <c r="P19" s="49">
        <v>177</v>
      </c>
      <c r="Q19" s="50">
        <v>39</v>
      </c>
      <c r="R19" s="49">
        <v>12</v>
      </c>
    </row>
    <row r="20" spans="1:24" s="20" customFormat="1" ht="35.1" customHeight="1" x14ac:dyDescent="0.2">
      <c r="A20" s="64" t="s">
        <v>34</v>
      </c>
      <c r="B20" s="52">
        <f>+'[1]S-2'!B19</f>
        <v>526</v>
      </c>
      <c r="C20" s="72">
        <f>'[1]S-2'!D19</f>
        <v>587</v>
      </c>
      <c r="D20" s="53">
        <f>'[1]S-2'!F19</f>
        <v>478</v>
      </c>
      <c r="E20" s="53">
        <f>+G20+F20</f>
        <v>459</v>
      </c>
      <c r="F20" s="46">
        <f>+'[1]S-3'!C20</f>
        <v>113</v>
      </c>
      <c r="G20" s="46">
        <f>+'[1]S-3'!D20</f>
        <v>346</v>
      </c>
      <c r="H20" s="47">
        <f>'[1]S-4'!B19</f>
        <v>395</v>
      </c>
      <c r="I20" s="66">
        <f>'[1]S-4'!L19</f>
        <v>53.5</v>
      </c>
      <c r="J20" s="71">
        <f>+'[1]S-9'!I18</f>
        <v>57</v>
      </c>
      <c r="K20" s="68">
        <f>+'[1]S-9'!M18</f>
        <v>70.5</v>
      </c>
      <c r="L20" s="68">
        <f>+J20+K20</f>
        <v>127.5</v>
      </c>
      <c r="M20" s="46">
        <f>'[1]S-9'!N18</f>
        <v>423</v>
      </c>
      <c r="N20" s="69">
        <f>'[1]S-2'!I19</f>
        <v>0.76</v>
      </c>
      <c r="O20" s="48">
        <v>41</v>
      </c>
      <c r="P20" s="49">
        <v>201</v>
      </c>
      <c r="Q20" s="50">
        <v>40</v>
      </c>
      <c r="R20" s="54">
        <v>13.5</v>
      </c>
    </row>
    <row r="21" spans="1:24" s="63" customFormat="1" ht="35.1" customHeight="1" x14ac:dyDescent="0.2">
      <c r="A21" s="55" t="s">
        <v>35</v>
      </c>
      <c r="B21" s="73">
        <f>(B18*31+B19*30+B20*31)/92</f>
        <v>521.61956521739125</v>
      </c>
      <c r="C21" s="57">
        <f t="shared" ref="C21:N21" si="2">SUM(C18:C20)</f>
        <v>1657</v>
      </c>
      <c r="D21" s="57">
        <f t="shared" si="2"/>
        <v>1340</v>
      </c>
      <c r="E21" s="57">
        <f t="shared" si="2"/>
        <v>1271</v>
      </c>
      <c r="F21" s="57">
        <f>SUM(F18:F20)</f>
        <v>358</v>
      </c>
      <c r="G21" s="57">
        <f t="shared" si="2"/>
        <v>913</v>
      </c>
      <c r="H21" s="57">
        <f t="shared" si="2"/>
        <v>1170</v>
      </c>
      <c r="I21" s="58">
        <f t="shared" si="2"/>
        <v>157.5</v>
      </c>
      <c r="J21" s="58">
        <f t="shared" si="2"/>
        <v>169</v>
      </c>
      <c r="K21" s="58">
        <f t="shared" si="2"/>
        <v>240.5</v>
      </c>
      <c r="L21" s="58">
        <f t="shared" si="2"/>
        <v>409.5</v>
      </c>
      <c r="M21" s="56">
        <f t="shared" si="2"/>
        <v>1253</v>
      </c>
      <c r="N21" s="59">
        <f t="shared" si="2"/>
        <v>15.040000000000001</v>
      </c>
      <c r="O21" s="48">
        <v>123.5</v>
      </c>
      <c r="P21" s="60">
        <v>562.5</v>
      </c>
      <c r="Q21" s="60">
        <v>119</v>
      </c>
      <c r="R21" s="60">
        <v>38.5</v>
      </c>
      <c r="S21" s="61"/>
      <c r="T21" s="61"/>
      <c r="U21" s="61"/>
      <c r="V21" s="61"/>
      <c r="W21" s="61"/>
      <c r="X21" s="62"/>
    </row>
    <row r="22" spans="1:24" s="20" customFormat="1" ht="35.1" customHeight="1" x14ac:dyDescent="0.2">
      <c r="A22" s="64" t="s">
        <v>36</v>
      </c>
      <c r="B22" s="42">
        <f>+'[1]S-2'!B21</f>
        <v>526</v>
      </c>
      <c r="C22" s="65">
        <f>'[1]S-2'!D21</f>
        <v>587</v>
      </c>
      <c r="D22" s="44">
        <f>'[1]S-2'!F21</f>
        <v>485</v>
      </c>
      <c r="E22" s="43">
        <f>+G22+F22</f>
        <v>460</v>
      </c>
      <c r="F22" s="45">
        <f>+'[1]S-3'!C22</f>
        <v>115</v>
      </c>
      <c r="G22" s="45">
        <f>+'[1]S-3'!D22</f>
        <v>345</v>
      </c>
      <c r="H22" s="47">
        <f>'[1]S-4'!B21</f>
        <v>395</v>
      </c>
      <c r="I22" s="66">
        <f>'[1]S-4'!L21</f>
        <v>53.5</v>
      </c>
      <c r="J22" s="67">
        <f>+'[1]S-9'!I20</f>
        <v>57</v>
      </c>
      <c r="K22" s="68">
        <f>+'[1]S-9'!M20</f>
        <v>86.5</v>
      </c>
      <c r="L22" s="68">
        <f>+J22+K22</f>
        <v>143.5</v>
      </c>
      <c r="M22" s="46">
        <f>'[1]S-9'!N20</f>
        <v>423</v>
      </c>
      <c r="N22" s="69">
        <f>'[1]S-2'!I21</f>
        <v>5.71</v>
      </c>
      <c r="O22" s="48">
        <v>42.5</v>
      </c>
      <c r="P22" s="49">
        <v>184</v>
      </c>
      <c r="Q22" s="50">
        <v>40</v>
      </c>
      <c r="R22" s="51">
        <v>13.5</v>
      </c>
    </row>
    <row r="23" spans="1:24" s="20" customFormat="1" ht="35.1" customHeight="1" x14ac:dyDescent="0.2">
      <c r="A23" s="64" t="s">
        <v>37</v>
      </c>
      <c r="B23" s="52">
        <f>+'[1]S-2'!B22</f>
        <v>526</v>
      </c>
      <c r="C23" s="70">
        <f>'[1]S-2'!D22</f>
        <v>526</v>
      </c>
      <c r="D23" s="44">
        <f>'[1]S-2'!F22</f>
        <v>434</v>
      </c>
      <c r="E23" s="47">
        <f>+G23+F23</f>
        <v>417</v>
      </c>
      <c r="F23" s="46">
        <f>+'[1]S-3'!C23</f>
        <v>109</v>
      </c>
      <c r="G23" s="46">
        <f>+'[1]S-3'!D23</f>
        <v>308</v>
      </c>
      <c r="H23" s="47">
        <f>'[1]S-4'!B22</f>
        <v>365</v>
      </c>
      <c r="I23" s="66">
        <f>'[1]S-4'!L22</f>
        <v>49</v>
      </c>
      <c r="J23" s="71">
        <f>+'[1]S-9'!I21</f>
        <v>51</v>
      </c>
      <c r="K23" s="68">
        <f>+'[1]S-9'!M21</f>
        <v>77.5</v>
      </c>
      <c r="L23" s="68">
        <f>+J23+K23</f>
        <v>128.5</v>
      </c>
      <c r="M23" s="46">
        <f>'[1]S-9'!N21</f>
        <v>389</v>
      </c>
      <c r="N23" s="69">
        <f>'[1]S-2'!I22</f>
        <v>0.34</v>
      </c>
      <c r="O23" s="48">
        <v>36.5</v>
      </c>
      <c r="P23" s="49">
        <v>175</v>
      </c>
      <c r="Q23" s="50">
        <v>38</v>
      </c>
      <c r="R23" s="49">
        <v>11</v>
      </c>
    </row>
    <row r="24" spans="1:24" s="20" customFormat="1" ht="35.1" customHeight="1" x14ac:dyDescent="0.2">
      <c r="A24" s="64" t="s">
        <v>38</v>
      </c>
      <c r="B24" s="52">
        <f>+'[1]S-2'!B23</f>
        <v>526</v>
      </c>
      <c r="C24" s="72">
        <f>'[1]S-2'!D23</f>
        <v>587</v>
      </c>
      <c r="D24" s="53">
        <f>'[1]S-2'!F23</f>
        <v>485</v>
      </c>
      <c r="E24" s="53">
        <f>+G24+F24</f>
        <v>466</v>
      </c>
      <c r="F24" s="46">
        <f>+'[1]S-3'!C24</f>
        <v>121</v>
      </c>
      <c r="G24" s="46">
        <f>+'[1]S-3'!D24</f>
        <v>345</v>
      </c>
      <c r="H24" s="47">
        <f>'[1]S-4'!B23</f>
        <v>405</v>
      </c>
      <c r="I24" s="66">
        <f>'[1]S-4'!L23</f>
        <v>53.5</v>
      </c>
      <c r="J24" s="71">
        <f>+'[1]S-9'!I22</f>
        <v>57</v>
      </c>
      <c r="K24" s="68">
        <f>+'[1]S-9'!M22</f>
        <v>86.5</v>
      </c>
      <c r="L24" s="68">
        <f>+J24+K24</f>
        <v>143.5</v>
      </c>
      <c r="M24" s="46">
        <f>'[1]S-9'!N22</f>
        <v>433</v>
      </c>
      <c r="N24" s="69">
        <f>'[1]S-2'!I23</f>
        <v>0.42</v>
      </c>
      <c r="O24" s="48">
        <v>42.5</v>
      </c>
      <c r="P24" s="49">
        <v>194</v>
      </c>
      <c r="Q24" s="50">
        <v>40</v>
      </c>
      <c r="R24" s="54">
        <v>13.5</v>
      </c>
    </row>
    <row r="25" spans="1:24" s="63" customFormat="1" ht="35.1" customHeight="1" x14ac:dyDescent="0.2">
      <c r="A25" s="55" t="s">
        <v>39</v>
      </c>
      <c r="B25" s="73">
        <f>(B22*31+B23*28+B24*31)/90</f>
        <v>526</v>
      </c>
      <c r="C25" s="57">
        <f t="shared" ref="C25:N25" si="3">SUM(C22:C24)</f>
        <v>1700</v>
      </c>
      <c r="D25" s="57">
        <f t="shared" si="3"/>
        <v>1404</v>
      </c>
      <c r="E25" s="57">
        <f t="shared" si="3"/>
        <v>1343</v>
      </c>
      <c r="F25" s="57">
        <f>SUM(F22:F24)</f>
        <v>345</v>
      </c>
      <c r="G25" s="57">
        <f t="shared" si="3"/>
        <v>998</v>
      </c>
      <c r="H25" s="57">
        <f t="shared" si="3"/>
        <v>1165</v>
      </c>
      <c r="I25" s="58">
        <f t="shared" si="3"/>
        <v>156</v>
      </c>
      <c r="J25" s="58">
        <f t="shared" si="3"/>
        <v>165</v>
      </c>
      <c r="K25" s="58">
        <f t="shared" si="3"/>
        <v>250.5</v>
      </c>
      <c r="L25" s="58">
        <f t="shared" si="3"/>
        <v>415.5</v>
      </c>
      <c r="M25" s="56">
        <f t="shared" si="3"/>
        <v>1245</v>
      </c>
      <c r="N25" s="59">
        <f t="shared" si="3"/>
        <v>6.47</v>
      </c>
      <c r="O25" s="48">
        <v>121.5</v>
      </c>
      <c r="P25" s="60">
        <v>553</v>
      </c>
      <c r="Q25" s="60">
        <v>118</v>
      </c>
      <c r="R25" s="60">
        <v>38</v>
      </c>
      <c r="S25" s="61"/>
      <c r="T25" s="61"/>
      <c r="U25" s="61"/>
      <c r="V25" s="61"/>
      <c r="W25" s="61"/>
      <c r="X25" s="62"/>
    </row>
    <row r="26" spans="1:24" s="78" customFormat="1" ht="18" customHeight="1" x14ac:dyDescent="0.2">
      <c r="A26" s="74" t="s">
        <v>14</v>
      </c>
      <c r="B26" s="75">
        <f>(B13*91+B17*92+B21*92+B25*90)/365</f>
        <v>524.9780821917808</v>
      </c>
      <c r="C26" s="75">
        <f>SUM(C13,C17,C21,C25)</f>
        <v>6530</v>
      </c>
      <c r="D26" s="75">
        <f t="shared" ref="D26:N26" si="4">SUM(D13,D17,D21,D25)</f>
        <v>5500</v>
      </c>
      <c r="E26" s="75">
        <f t="shared" si="4"/>
        <v>5250</v>
      </c>
      <c r="F26" s="75">
        <f>SUM(F13,F17,F21,F25)</f>
        <v>1350</v>
      </c>
      <c r="G26" s="75">
        <f t="shared" si="4"/>
        <v>3900</v>
      </c>
      <c r="H26" s="75">
        <f t="shared" si="4"/>
        <v>4576</v>
      </c>
      <c r="I26" s="75">
        <f t="shared" si="4"/>
        <v>610</v>
      </c>
      <c r="J26" s="75">
        <f t="shared" si="4"/>
        <v>660</v>
      </c>
      <c r="K26" s="75">
        <f>SUM(K13,K17,K21,K25)</f>
        <v>1000</v>
      </c>
      <c r="L26" s="75">
        <f>SUM(L13,L17,L21,L25)</f>
        <v>1660</v>
      </c>
      <c r="M26" s="75">
        <f t="shared" si="4"/>
        <v>4921</v>
      </c>
      <c r="N26" s="76">
        <f t="shared" si="4"/>
        <v>35.11</v>
      </c>
      <c r="O26" s="48">
        <v>508</v>
      </c>
      <c r="P26" s="77">
        <f>SUM(P13,P17,P21,P25)</f>
        <v>2143</v>
      </c>
      <c r="Q26" s="77">
        <f t="shared" ref="Q26:R26" si="5">SUM(Q13,Q17,Q21,Q25)</f>
        <v>467</v>
      </c>
      <c r="R26" s="77">
        <f t="shared" si="5"/>
        <v>143</v>
      </c>
    </row>
    <row r="27" spans="1:24" s="78" customFormat="1" ht="18" customHeight="1" x14ac:dyDescent="0.2">
      <c r="A27" s="79" t="s">
        <v>40</v>
      </c>
      <c r="B27" s="80"/>
      <c r="C27" s="81"/>
      <c r="D27" s="81"/>
      <c r="E27" s="81"/>
      <c r="F27" s="81"/>
      <c r="G27" s="81"/>
      <c r="H27" s="81"/>
      <c r="I27" s="80"/>
      <c r="J27" s="80"/>
      <c r="K27" s="80"/>
      <c r="L27" s="80"/>
      <c r="M27" s="80"/>
      <c r="N27" s="82"/>
      <c r="O27" s="48"/>
      <c r="P27" s="83"/>
      <c r="Q27" s="83"/>
      <c r="R27" s="83"/>
      <c r="S27" s="84"/>
      <c r="T27" s="84"/>
      <c r="U27" s="84"/>
      <c r="V27" s="84"/>
      <c r="W27" s="84"/>
      <c r="X27" s="85"/>
    </row>
    <row r="28" spans="1:24" ht="15" customHeight="1" x14ac:dyDescent="0.2">
      <c r="A28" s="86"/>
      <c r="B28" s="86"/>
      <c r="C28" s="86"/>
      <c r="D28" s="87"/>
      <c r="E28" s="88"/>
      <c r="F28" s="88"/>
      <c r="G28" s="88"/>
      <c r="H28" s="88"/>
      <c r="I28" s="88"/>
      <c r="J28" s="88"/>
      <c r="K28" s="88"/>
      <c r="L28" s="88"/>
      <c r="M28" s="89"/>
    </row>
    <row r="29" spans="1:24" ht="15" customHeight="1" x14ac:dyDescent="0.2">
      <c r="A29" s="7"/>
      <c r="B29" s="7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</row>
    <row r="30" spans="1:24" ht="15" customHeight="1" x14ac:dyDescent="0.2">
      <c r="A30" s="7"/>
      <c r="B30" s="91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</row>
    <row r="31" spans="1:24" ht="15" customHeight="1" x14ac:dyDescent="0.2">
      <c r="A31" s="7"/>
      <c r="B31" s="7"/>
      <c r="C31" s="7"/>
      <c r="D31" s="92"/>
      <c r="E31" s="93"/>
      <c r="F31" s="94"/>
      <c r="G31" s="95"/>
      <c r="H31" s="7"/>
      <c r="I31" s="7"/>
      <c r="J31" s="7"/>
      <c r="K31" s="7"/>
      <c r="L31" s="7"/>
      <c r="M31" s="7"/>
    </row>
    <row r="33" spans="1:14" ht="15.75" x14ac:dyDescent="0.25">
      <c r="A33" s="96" t="s">
        <v>41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</row>
    <row r="37" spans="1:14" ht="18.75" x14ac:dyDescent="0.4">
      <c r="B37" s="97"/>
      <c r="C37" s="98"/>
      <c r="D37" s="98"/>
      <c r="E37" s="99"/>
      <c r="F37" s="98"/>
      <c r="G37" s="98"/>
      <c r="H37" s="98"/>
      <c r="I37" s="98"/>
      <c r="J37" s="98"/>
      <c r="K37" s="98"/>
      <c r="L37" s="99"/>
      <c r="M37" s="98"/>
      <c r="N37" s="100"/>
    </row>
    <row r="38" spans="1:14" x14ac:dyDescent="0.15"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</row>
    <row r="39" spans="1:14" x14ac:dyDescent="0.15"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</row>
    <row r="40" spans="1:14" x14ac:dyDescent="0.15"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</row>
    <row r="41" spans="1:14" x14ac:dyDescent="0.15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</row>
    <row r="42" spans="1:14" x14ac:dyDescent="0.15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</row>
    <row r="43" spans="1:14" x14ac:dyDescent="0.15"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 x14ac:dyDescent="0.15"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 x14ac:dyDescent="0.15"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 x14ac:dyDescent="0.15"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 x14ac:dyDescent="0.15"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</row>
  </sheetData>
  <mergeCells count="34">
    <mergeCell ref="N26:N27"/>
    <mergeCell ref="P26:P27"/>
    <mergeCell ref="Q26:Q27"/>
    <mergeCell ref="R26:R27"/>
    <mergeCell ref="F31:G31"/>
    <mergeCell ref="A33:N33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E7:E9"/>
    <mergeCell ref="F7:F9"/>
    <mergeCell ref="G7:G9"/>
    <mergeCell ref="J8:J9"/>
    <mergeCell ref="K8:K9"/>
    <mergeCell ref="L8:L9"/>
    <mergeCell ref="A3:N3"/>
    <mergeCell ref="B6:B9"/>
    <mergeCell ref="C6:C9"/>
    <mergeCell ref="D6:D9"/>
    <mergeCell ref="E6:G6"/>
    <mergeCell ref="H6:H9"/>
    <mergeCell ref="I6:I9"/>
    <mergeCell ref="J6:L7"/>
    <mergeCell ref="M6:M9"/>
    <mergeCell ref="N6:N9"/>
  </mergeCells>
  <printOptions horizontalCentered="1"/>
  <pageMargins left="0" right="0" top="0.5" bottom="0" header="0" footer="0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 SUMMARY</vt:lpstr>
      <vt:lpstr>'PLAN SUMMARY'!Print_Area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</dc:creator>
  <cp:lastModifiedBy>SAIL</cp:lastModifiedBy>
  <dcterms:created xsi:type="dcterms:W3CDTF">2026-06-08T04:34:11Z</dcterms:created>
  <dcterms:modified xsi:type="dcterms:W3CDTF">2026-06-08T04:35:46Z</dcterms:modified>
</cp:coreProperties>
</file>